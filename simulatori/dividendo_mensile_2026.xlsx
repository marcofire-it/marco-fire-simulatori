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540" windowWidth="27495" windowHeight="13995"/>
  </bookViews>
  <sheets>
    <sheet name="0 - Indice" sheetId="1" r:id="rId1"/>
    <sheet name="1 - Input" sheetId="2" r:id="rId2"/>
    <sheet name="2 - Distribuzione" sheetId="3" r:id="rId3"/>
    <sheet name="3 - Accumulo" sheetId="4" r:id="rId4"/>
    <sheet name="4 - Confronto" sheetId="5" r:id="rId5"/>
    <sheet name="5 - Annualizzatore" sheetId="6" r:id="rId6"/>
  </sheets>
  <calcPr calcId="144525"/>
</workbook>
</file>

<file path=xl/calcChain.xml><?xml version="1.0" encoding="utf-8"?>
<calcChain xmlns="http://schemas.openxmlformats.org/spreadsheetml/2006/main">
  <c r="B14" i="6" l="1"/>
  <c r="B8" i="6"/>
  <c r="B7" i="6"/>
  <c r="B5" i="5"/>
  <c r="B4" i="5"/>
  <c r="N403" i="4"/>
  <c r="H403" i="4"/>
  <c r="B403" i="4"/>
  <c r="D403" i="4" s="1"/>
  <c r="O403" i="4" s="1"/>
  <c r="Y402" i="4"/>
  <c r="N402" i="4"/>
  <c r="H402" i="4"/>
  <c r="B402" i="4"/>
  <c r="D402" i="4" s="1"/>
  <c r="O402" i="4" s="1"/>
  <c r="Y401" i="4"/>
  <c r="N401" i="4"/>
  <c r="H401" i="4"/>
  <c r="B401" i="4"/>
  <c r="D401" i="4" s="1"/>
  <c r="O401" i="4" s="1"/>
  <c r="Y400" i="4"/>
  <c r="N400" i="4"/>
  <c r="H400" i="4"/>
  <c r="D400" i="4"/>
  <c r="O400" i="4" s="1"/>
  <c r="B400" i="4"/>
  <c r="Y399" i="4"/>
  <c r="N399" i="4"/>
  <c r="H399" i="4"/>
  <c r="B399" i="4"/>
  <c r="D399" i="4" s="1"/>
  <c r="O399" i="4" s="1"/>
  <c r="Y398" i="4"/>
  <c r="N398" i="4"/>
  <c r="H398" i="4"/>
  <c r="B398" i="4"/>
  <c r="D398" i="4" s="1"/>
  <c r="O398" i="4" s="1"/>
  <c r="Y397" i="4"/>
  <c r="N397" i="4"/>
  <c r="H397" i="4"/>
  <c r="B397" i="4"/>
  <c r="D397" i="4" s="1"/>
  <c r="O397" i="4" s="1"/>
  <c r="Y396" i="4"/>
  <c r="N396" i="4"/>
  <c r="H396" i="4"/>
  <c r="B396" i="4"/>
  <c r="D396" i="4" s="1"/>
  <c r="O396" i="4" s="1"/>
  <c r="Y395" i="4"/>
  <c r="N395" i="4"/>
  <c r="H395" i="4"/>
  <c r="B395" i="4"/>
  <c r="Y394" i="4"/>
  <c r="N394" i="4"/>
  <c r="H394" i="4"/>
  <c r="B394" i="4"/>
  <c r="D394" i="4" s="1"/>
  <c r="O394" i="4" s="1"/>
  <c r="Y393" i="4"/>
  <c r="N393" i="4"/>
  <c r="H393" i="4"/>
  <c r="B393" i="4"/>
  <c r="D393" i="4" s="1"/>
  <c r="O393" i="4" s="1"/>
  <c r="Y392" i="4"/>
  <c r="N392" i="4"/>
  <c r="H392" i="4"/>
  <c r="B392" i="4"/>
  <c r="D392" i="4" s="1"/>
  <c r="O392" i="4" s="1"/>
  <c r="N391" i="4"/>
  <c r="H391" i="4"/>
  <c r="B391" i="4"/>
  <c r="Y390" i="4"/>
  <c r="N390" i="4"/>
  <c r="H390" i="4"/>
  <c r="B390" i="4"/>
  <c r="D390" i="4" s="1"/>
  <c r="O390" i="4" s="1"/>
  <c r="Y389" i="4"/>
  <c r="N389" i="4"/>
  <c r="H389" i="4"/>
  <c r="B389" i="4"/>
  <c r="Y388" i="4"/>
  <c r="N388" i="4"/>
  <c r="H388" i="4"/>
  <c r="B388" i="4"/>
  <c r="D388" i="4" s="1"/>
  <c r="O388" i="4" s="1"/>
  <c r="Y387" i="4"/>
  <c r="N387" i="4"/>
  <c r="H387" i="4"/>
  <c r="B387" i="4"/>
  <c r="D387" i="4" s="1"/>
  <c r="O387" i="4" s="1"/>
  <c r="Y386" i="4"/>
  <c r="N386" i="4"/>
  <c r="H386" i="4"/>
  <c r="B386" i="4"/>
  <c r="Y385" i="4"/>
  <c r="N385" i="4"/>
  <c r="H385" i="4"/>
  <c r="B385" i="4"/>
  <c r="D385" i="4" s="1"/>
  <c r="O385" i="4" s="1"/>
  <c r="Y384" i="4"/>
  <c r="N384" i="4"/>
  <c r="H384" i="4"/>
  <c r="B384" i="4"/>
  <c r="Y383" i="4"/>
  <c r="N383" i="4"/>
  <c r="H383" i="4"/>
  <c r="B383" i="4"/>
  <c r="Y382" i="4"/>
  <c r="N382" i="4"/>
  <c r="H382" i="4"/>
  <c r="B382" i="4"/>
  <c r="Y381" i="4"/>
  <c r="N381" i="4"/>
  <c r="H381" i="4"/>
  <c r="B381" i="4"/>
  <c r="D381" i="4" s="1"/>
  <c r="O381" i="4" s="1"/>
  <c r="Y380" i="4"/>
  <c r="N380" i="4"/>
  <c r="H380" i="4"/>
  <c r="B380" i="4"/>
  <c r="D380" i="4" s="1"/>
  <c r="O380" i="4" s="1"/>
  <c r="N379" i="4"/>
  <c r="H379" i="4"/>
  <c r="B379" i="4"/>
  <c r="D379" i="4" s="1"/>
  <c r="O379" i="4" s="1"/>
  <c r="Y378" i="4"/>
  <c r="N378" i="4"/>
  <c r="H378" i="4"/>
  <c r="B378" i="4"/>
  <c r="Y377" i="4"/>
  <c r="N377" i="4"/>
  <c r="H377" i="4"/>
  <c r="B377" i="4"/>
  <c r="D377" i="4" s="1"/>
  <c r="O377" i="4" s="1"/>
  <c r="Y376" i="4"/>
  <c r="N376" i="4"/>
  <c r="H376" i="4"/>
  <c r="B376" i="4"/>
  <c r="D376" i="4" s="1"/>
  <c r="O376" i="4" s="1"/>
  <c r="Y375" i="4"/>
  <c r="N375" i="4"/>
  <c r="H375" i="4"/>
  <c r="B375" i="4"/>
  <c r="Y374" i="4"/>
  <c r="N374" i="4"/>
  <c r="H374" i="4"/>
  <c r="B374" i="4"/>
  <c r="Y373" i="4"/>
  <c r="N373" i="4"/>
  <c r="H373" i="4"/>
  <c r="D373" i="4"/>
  <c r="O373" i="4" s="1"/>
  <c r="B373" i="4"/>
  <c r="Y372" i="4"/>
  <c r="N372" i="4"/>
  <c r="H372" i="4"/>
  <c r="B372" i="4"/>
  <c r="Y371" i="4"/>
  <c r="N371" i="4"/>
  <c r="H371" i="4"/>
  <c r="B371" i="4"/>
  <c r="D371" i="4" s="1"/>
  <c r="O371" i="4" s="1"/>
  <c r="Y370" i="4"/>
  <c r="N370" i="4"/>
  <c r="H370" i="4"/>
  <c r="B370" i="4"/>
  <c r="D370" i="4" s="1"/>
  <c r="O370" i="4" s="1"/>
  <c r="Y369" i="4"/>
  <c r="N369" i="4"/>
  <c r="H369" i="4"/>
  <c r="B369" i="4"/>
  <c r="Y368" i="4"/>
  <c r="N368" i="4"/>
  <c r="H368" i="4"/>
  <c r="B368" i="4"/>
  <c r="D368" i="4" s="1"/>
  <c r="O368" i="4" s="1"/>
  <c r="N367" i="4"/>
  <c r="H367" i="4"/>
  <c r="B367" i="4"/>
  <c r="D367" i="4" s="1"/>
  <c r="O367" i="4" s="1"/>
  <c r="Y366" i="4"/>
  <c r="N366" i="4"/>
  <c r="H366" i="4"/>
  <c r="B366" i="4"/>
  <c r="D366" i="4" s="1"/>
  <c r="O366" i="4" s="1"/>
  <c r="Y365" i="4"/>
  <c r="N365" i="4"/>
  <c r="H365" i="4"/>
  <c r="B365" i="4"/>
  <c r="Y364" i="4"/>
  <c r="N364" i="4"/>
  <c r="H364" i="4"/>
  <c r="B364" i="4"/>
  <c r="D364" i="4" s="1"/>
  <c r="O364" i="4" s="1"/>
  <c r="Y363" i="4"/>
  <c r="N363" i="4"/>
  <c r="H363" i="4"/>
  <c r="B363" i="4"/>
  <c r="D363" i="4" s="1"/>
  <c r="O363" i="4" s="1"/>
  <c r="Y362" i="4"/>
  <c r="N362" i="4"/>
  <c r="H362" i="4"/>
  <c r="B362" i="4"/>
  <c r="D362" i="4" s="1"/>
  <c r="O362" i="4" s="1"/>
  <c r="Y361" i="4"/>
  <c r="N361" i="4"/>
  <c r="H361" i="4"/>
  <c r="D361" i="4"/>
  <c r="O361" i="4" s="1"/>
  <c r="B361" i="4"/>
  <c r="Y360" i="4"/>
  <c r="N360" i="4"/>
  <c r="H360" i="4"/>
  <c r="B360" i="4"/>
  <c r="D360" i="4" s="1"/>
  <c r="O360" i="4" s="1"/>
  <c r="Y359" i="4"/>
  <c r="N359" i="4"/>
  <c r="H359" i="4"/>
  <c r="B359" i="4"/>
  <c r="D359" i="4" s="1"/>
  <c r="O359" i="4" s="1"/>
  <c r="Y358" i="4"/>
  <c r="N358" i="4"/>
  <c r="H358" i="4"/>
  <c r="B358" i="4"/>
  <c r="D358" i="4" s="1"/>
  <c r="O358" i="4" s="1"/>
  <c r="Y357" i="4"/>
  <c r="N357" i="4"/>
  <c r="H357" i="4"/>
  <c r="B357" i="4"/>
  <c r="Y356" i="4"/>
  <c r="N356" i="4"/>
  <c r="H356" i="4"/>
  <c r="B356" i="4"/>
  <c r="D356" i="4" s="1"/>
  <c r="O356" i="4" s="1"/>
  <c r="N355" i="4"/>
  <c r="H355" i="4"/>
  <c r="B355" i="4"/>
  <c r="D355" i="4" s="1"/>
  <c r="O355" i="4" s="1"/>
  <c r="Y354" i="4"/>
  <c r="N354" i="4"/>
  <c r="H354" i="4"/>
  <c r="B354" i="4"/>
  <c r="D354" i="4" s="1"/>
  <c r="O354" i="4" s="1"/>
  <c r="Y353" i="4"/>
  <c r="N353" i="4"/>
  <c r="H353" i="4"/>
  <c r="B353" i="4"/>
  <c r="D353" i="4" s="1"/>
  <c r="O353" i="4" s="1"/>
  <c r="Y352" i="4"/>
  <c r="N352" i="4"/>
  <c r="H352" i="4"/>
  <c r="B352" i="4"/>
  <c r="Y351" i="4"/>
  <c r="N351" i="4"/>
  <c r="H351" i="4"/>
  <c r="B351" i="4"/>
  <c r="D351" i="4" s="1"/>
  <c r="O351" i="4" s="1"/>
  <c r="Y350" i="4"/>
  <c r="N350" i="4"/>
  <c r="H350" i="4"/>
  <c r="B350" i="4"/>
  <c r="Y349" i="4"/>
  <c r="N349" i="4"/>
  <c r="H349" i="4"/>
  <c r="B349" i="4"/>
  <c r="D349" i="4" s="1"/>
  <c r="O349" i="4" s="1"/>
  <c r="Y348" i="4"/>
  <c r="N348" i="4"/>
  <c r="H348" i="4"/>
  <c r="B348" i="4"/>
  <c r="D348" i="4" s="1"/>
  <c r="O348" i="4" s="1"/>
  <c r="Y347" i="4"/>
  <c r="N347" i="4"/>
  <c r="H347" i="4"/>
  <c r="B347" i="4"/>
  <c r="D347" i="4" s="1"/>
  <c r="O347" i="4" s="1"/>
  <c r="Y346" i="4"/>
  <c r="N346" i="4"/>
  <c r="H346" i="4"/>
  <c r="B346" i="4"/>
  <c r="D346" i="4" s="1"/>
  <c r="O346" i="4" s="1"/>
  <c r="Y345" i="4"/>
  <c r="N345" i="4"/>
  <c r="H345" i="4"/>
  <c r="B345" i="4"/>
  <c r="D345" i="4" s="1"/>
  <c r="O345" i="4" s="1"/>
  <c r="Y344" i="4"/>
  <c r="N344" i="4"/>
  <c r="H344" i="4"/>
  <c r="B344" i="4"/>
  <c r="D344" i="4" s="1"/>
  <c r="O344" i="4" s="1"/>
  <c r="N343" i="4"/>
  <c r="H343" i="4"/>
  <c r="B343" i="4"/>
  <c r="D343" i="4" s="1"/>
  <c r="O343" i="4" s="1"/>
  <c r="Y342" i="4"/>
  <c r="N342" i="4"/>
  <c r="H342" i="4"/>
  <c r="B342" i="4"/>
  <c r="Y341" i="4"/>
  <c r="N341" i="4"/>
  <c r="H341" i="4"/>
  <c r="B341" i="4"/>
  <c r="D341" i="4" s="1"/>
  <c r="O341" i="4" s="1"/>
  <c r="Y340" i="4"/>
  <c r="N340" i="4"/>
  <c r="H340" i="4"/>
  <c r="B340" i="4"/>
  <c r="Y339" i="4"/>
  <c r="N339" i="4"/>
  <c r="H339" i="4"/>
  <c r="B339" i="4"/>
  <c r="D339" i="4" s="1"/>
  <c r="O339" i="4" s="1"/>
  <c r="Y338" i="4"/>
  <c r="N338" i="4"/>
  <c r="H338" i="4"/>
  <c r="B338" i="4"/>
  <c r="D338" i="4" s="1"/>
  <c r="O338" i="4" s="1"/>
  <c r="Y337" i="4"/>
  <c r="N337" i="4"/>
  <c r="H337" i="4"/>
  <c r="D337" i="4"/>
  <c r="O337" i="4" s="1"/>
  <c r="B337" i="4"/>
  <c r="Y336" i="4"/>
  <c r="N336" i="4"/>
  <c r="H336" i="4"/>
  <c r="B336" i="4"/>
  <c r="Y335" i="4"/>
  <c r="N335" i="4"/>
  <c r="H335" i="4"/>
  <c r="B335" i="4"/>
  <c r="D335" i="4" s="1"/>
  <c r="O335" i="4" s="1"/>
  <c r="Y334" i="4"/>
  <c r="N334" i="4"/>
  <c r="H334" i="4"/>
  <c r="B334" i="4"/>
  <c r="D334" i="4" s="1"/>
  <c r="O334" i="4" s="1"/>
  <c r="Y333" i="4"/>
  <c r="N333" i="4"/>
  <c r="H333" i="4"/>
  <c r="B333" i="4"/>
  <c r="D333" i="4" s="1"/>
  <c r="O333" i="4" s="1"/>
  <c r="Y332" i="4"/>
  <c r="N332" i="4"/>
  <c r="H332" i="4"/>
  <c r="B332" i="4"/>
  <c r="D332" i="4" s="1"/>
  <c r="O332" i="4" s="1"/>
  <c r="N331" i="4"/>
  <c r="H331" i="4"/>
  <c r="B331" i="4"/>
  <c r="D331" i="4" s="1"/>
  <c r="O331" i="4" s="1"/>
  <c r="Y330" i="4"/>
  <c r="N330" i="4"/>
  <c r="H330" i="4"/>
  <c r="B330" i="4"/>
  <c r="Y329" i="4"/>
  <c r="N329" i="4"/>
  <c r="H329" i="4"/>
  <c r="B329" i="4"/>
  <c r="Y328" i="4"/>
  <c r="N328" i="4"/>
  <c r="H328" i="4"/>
  <c r="B328" i="4"/>
  <c r="D328" i="4" s="1"/>
  <c r="O328" i="4" s="1"/>
  <c r="Y327" i="4"/>
  <c r="N327" i="4"/>
  <c r="H327" i="4"/>
  <c r="B327" i="4"/>
  <c r="Y326" i="4"/>
  <c r="N326" i="4"/>
  <c r="H326" i="4"/>
  <c r="B326" i="4"/>
  <c r="Y325" i="4"/>
  <c r="N325" i="4"/>
  <c r="H325" i="4"/>
  <c r="B325" i="4"/>
  <c r="D325" i="4" s="1"/>
  <c r="O325" i="4" s="1"/>
  <c r="Y324" i="4"/>
  <c r="N324" i="4"/>
  <c r="H324" i="4"/>
  <c r="B324" i="4"/>
  <c r="D324" i="4" s="1"/>
  <c r="O324" i="4" s="1"/>
  <c r="Y323" i="4"/>
  <c r="N323" i="4"/>
  <c r="H323" i="4"/>
  <c r="B323" i="4"/>
  <c r="D323" i="4" s="1"/>
  <c r="O323" i="4" s="1"/>
  <c r="Y322" i="4"/>
  <c r="N322" i="4"/>
  <c r="H322" i="4"/>
  <c r="B322" i="4"/>
  <c r="Y321" i="4"/>
  <c r="N321" i="4"/>
  <c r="H321" i="4"/>
  <c r="B321" i="4"/>
  <c r="D321" i="4" s="1"/>
  <c r="O321" i="4" s="1"/>
  <c r="Y320" i="4"/>
  <c r="N320" i="4"/>
  <c r="H320" i="4"/>
  <c r="B320" i="4"/>
  <c r="D320" i="4" s="1"/>
  <c r="O320" i="4" s="1"/>
  <c r="N319" i="4"/>
  <c r="H319" i="4"/>
  <c r="B319" i="4"/>
  <c r="D319" i="4" s="1"/>
  <c r="O319" i="4" s="1"/>
  <c r="Y318" i="4"/>
  <c r="N318" i="4"/>
  <c r="H318" i="4"/>
  <c r="B318" i="4"/>
  <c r="D318" i="4" s="1"/>
  <c r="O318" i="4" s="1"/>
  <c r="Y317" i="4"/>
  <c r="N317" i="4"/>
  <c r="H317" i="4"/>
  <c r="B317" i="4"/>
  <c r="Y316" i="4"/>
  <c r="N316" i="4"/>
  <c r="H316" i="4"/>
  <c r="B316" i="4"/>
  <c r="D316" i="4" s="1"/>
  <c r="O316" i="4" s="1"/>
  <c r="Y315" i="4"/>
  <c r="N315" i="4"/>
  <c r="H315" i="4"/>
  <c r="B315" i="4"/>
  <c r="D315" i="4" s="1"/>
  <c r="O315" i="4" s="1"/>
  <c r="Y314" i="4"/>
  <c r="N314" i="4"/>
  <c r="H314" i="4"/>
  <c r="B314" i="4"/>
  <c r="D314" i="4" s="1"/>
  <c r="O314" i="4" s="1"/>
  <c r="Y313" i="4"/>
  <c r="N313" i="4"/>
  <c r="H313" i="4"/>
  <c r="B313" i="4"/>
  <c r="D313" i="4" s="1"/>
  <c r="O313" i="4" s="1"/>
  <c r="Y312" i="4"/>
  <c r="N312" i="4"/>
  <c r="H312" i="4"/>
  <c r="B312" i="4"/>
  <c r="D312" i="4" s="1"/>
  <c r="O312" i="4" s="1"/>
  <c r="Y311" i="4"/>
  <c r="N311" i="4"/>
  <c r="H311" i="4"/>
  <c r="B311" i="4"/>
  <c r="D311" i="4" s="1"/>
  <c r="O311" i="4" s="1"/>
  <c r="Y310" i="4"/>
  <c r="N310" i="4"/>
  <c r="H310" i="4"/>
  <c r="B310" i="4"/>
  <c r="D310" i="4" s="1"/>
  <c r="O310" i="4" s="1"/>
  <c r="Y309" i="4"/>
  <c r="N309" i="4"/>
  <c r="H309" i="4"/>
  <c r="B309" i="4"/>
  <c r="Y308" i="4"/>
  <c r="N308" i="4"/>
  <c r="H308" i="4"/>
  <c r="B308" i="4"/>
  <c r="D308" i="4" s="1"/>
  <c r="O308" i="4" s="1"/>
  <c r="N307" i="4"/>
  <c r="H307" i="4"/>
  <c r="B307" i="4"/>
  <c r="Y306" i="4"/>
  <c r="N306" i="4"/>
  <c r="H306" i="4"/>
  <c r="B306" i="4"/>
  <c r="Y305" i="4"/>
  <c r="N305" i="4"/>
  <c r="H305" i="4"/>
  <c r="B305" i="4"/>
  <c r="D305" i="4" s="1"/>
  <c r="O305" i="4" s="1"/>
  <c r="Y304" i="4"/>
  <c r="N304" i="4"/>
  <c r="H304" i="4"/>
  <c r="B304" i="4"/>
  <c r="Y303" i="4"/>
  <c r="N303" i="4"/>
  <c r="H303" i="4"/>
  <c r="B303" i="4"/>
  <c r="D303" i="4" s="1"/>
  <c r="O303" i="4" s="1"/>
  <c r="Y302" i="4"/>
  <c r="N302" i="4"/>
  <c r="H302" i="4"/>
  <c r="B302" i="4"/>
  <c r="D302" i="4" s="1"/>
  <c r="O302" i="4" s="1"/>
  <c r="Y301" i="4"/>
  <c r="N301" i="4"/>
  <c r="H301" i="4"/>
  <c r="B301" i="4"/>
  <c r="Y300" i="4"/>
  <c r="N300" i="4"/>
  <c r="H300" i="4"/>
  <c r="B300" i="4"/>
  <c r="Y299" i="4"/>
  <c r="N299" i="4"/>
  <c r="H299" i="4"/>
  <c r="B299" i="4"/>
  <c r="D299" i="4" s="1"/>
  <c r="O299" i="4" s="1"/>
  <c r="Y298" i="4"/>
  <c r="N298" i="4"/>
  <c r="H298" i="4"/>
  <c r="B298" i="4"/>
  <c r="D298" i="4" s="1"/>
  <c r="O298" i="4" s="1"/>
  <c r="Y297" i="4"/>
  <c r="N297" i="4"/>
  <c r="H297" i="4"/>
  <c r="B297" i="4"/>
  <c r="Y296" i="4"/>
  <c r="N296" i="4"/>
  <c r="H296" i="4"/>
  <c r="B296" i="4"/>
  <c r="D296" i="4" s="1"/>
  <c r="O296" i="4" s="1"/>
  <c r="N295" i="4"/>
  <c r="H295" i="4"/>
  <c r="B295" i="4"/>
  <c r="Y294" i="4"/>
  <c r="N294" i="4"/>
  <c r="H294" i="4"/>
  <c r="B294" i="4"/>
  <c r="D294" i="4" s="1"/>
  <c r="O294" i="4" s="1"/>
  <c r="Y293" i="4"/>
  <c r="N293" i="4"/>
  <c r="H293" i="4"/>
  <c r="B293" i="4"/>
  <c r="Y292" i="4"/>
  <c r="N292" i="4"/>
  <c r="H292" i="4"/>
  <c r="B292" i="4"/>
  <c r="D292" i="4" s="1"/>
  <c r="O292" i="4" s="1"/>
  <c r="Y291" i="4"/>
  <c r="N291" i="4"/>
  <c r="H291" i="4"/>
  <c r="B291" i="4"/>
  <c r="Y290" i="4"/>
  <c r="N290" i="4"/>
  <c r="H290" i="4"/>
  <c r="B290" i="4"/>
  <c r="Y289" i="4"/>
  <c r="N289" i="4"/>
  <c r="H289" i="4"/>
  <c r="B289" i="4"/>
  <c r="D289" i="4" s="1"/>
  <c r="O289" i="4" s="1"/>
  <c r="Y288" i="4"/>
  <c r="N288" i="4"/>
  <c r="H288" i="4"/>
  <c r="B288" i="4"/>
  <c r="D288" i="4" s="1"/>
  <c r="O288" i="4" s="1"/>
  <c r="Y287" i="4"/>
  <c r="N287" i="4"/>
  <c r="H287" i="4"/>
  <c r="B287" i="4"/>
  <c r="D287" i="4" s="1"/>
  <c r="O287" i="4" s="1"/>
  <c r="Y286" i="4"/>
  <c r="N286" i="4"/>
  <c r="H286" i="4"/>
  <c r="B286" i="4"/>
  <c r="D286" i="4" s="1"/>
  <c r="O286" i="4" s="1"/>
  <c r="Y285" i="4"/>
  <c r="N285" i="4"/>
  <c r="H285" i="4"/>
  <c r="B285" i="4"/>
  <c r="Y284" i="4"/>
  <c r="N284" i="4"/>
  <c r="H284" i="4"/>
  <c r="B284" i="4"/>
  <c r="D284" i="4" s="1"/>
  <c r="O284" i="4" s="1"/>
  <c r="N283" i="4"/>
  <c r="H283" i="4"/>
  <c r="B283" i="4"/>
  <c r="D283" i="4" s="1"/>
  <c r="O283" i="4" s="1"/>
  <c r="Y282" i="4"/>
  <c r="N282" i="4"/>
  <c r="H282" i="4"/>
  <c r="B282" i="4"/>
  <c r="D282" i="4" s="1"/>
  <c r="O282" i="4" s="1"/>
  <c r="Y281" i="4"/>
  <c r="N281" i="4"/>
  <c r="H281" i="4"/>
  <c r="B281" i="4"/>
  <c r="D281" i="4" s="1"/>
  <c r="O281" i="4" s="1"/>
  <c r="Y280" i="4"/>
  <c r="N280" i="4"/>
  <c r="H280" i="4"/>
  <c r="B280" i="4"/>
  <c r="D280" i="4" s="1"/>
  <c r="O280" i="4" s="1"/>
  <c r="Y279" i="4"/>
  <c r="N279" i="4"/>
  <c r="H279" i="4"/>
  <c r="B279" i="4"/>
  <c r="D279" i="4" s="1"/>
  <c r="O279" i="4" s="1"/>
  <c r="Y278" i="4"/>
  <c r="N278" i="4"/>
  <c r="H278" i="4"/>
  <c r="B278" i="4"/>
  <c r="D278" i="4" s="1"/>
  <c r="O278" i="4" s="1"/>
  <c r="Y277" i="4"/>
  <c r="N277" i="4"/>
  <c r="H277" i="4"/>
  <c r="B277" i="4"/>
  <c r="Y276" i="4"/>
  <c r="N276" i="4"/>
  <c r="H276" i="4"/>
  <c r="B276" i="4"/>
  <c r="Y275" i="4"/>
  <c r="N275" i="4"/>
  <c r="H275" i="4"/>
  <c r="B275" i="4"/>
  <c r="D275" i="4" s="1"/>
  <c r="O275" i="4" s="1"/>
  <c r="Y274" i="4"/>
  <c r="N274" i="4"/>
  <c r="H274" i="4"/>
  <c r="B274" i="4"/>
  <c r="D274" i="4" s="1"/>
  <c r="O274" i="4" s="1"/>
  <c r="Y273" i="4"/>
  <c r="N273" i="4"/>
  <c r="H273" i="4"/>
  <c r="B273" i="4"/>
  <c r="Y272" i="4"/>
  <c r="N272" i="4"/>
  <c r="H272" i="4"/>
  <c r="B272" i="4"/>
  <c r="N271" i="4"/>
  <c r="H271" i="4"/>
  <c r="B271" i="4"/>
  <c r="Y270" i="4"/>
  <c r="N270" i="4"/>
  <c r="H270" i="4"/>
  <c r="B270" i="4"/>
  <c r="D270" i="4" s="1"/>
  <c r="O270" i="4" s="1"/>
  <c r="Y269" i="4"/>
  <c r="N269" i="4"/>
  <c r="H269" i="4"/>
  <c r="B269" i="4"/>
  <c r="D269" i="4" s="1"/>
  <c r="O269" i="4" s="1"/>
  <c r="Y268" i="4"/>
  <c r="N268" i="4"/>
  <c r="H268" i="4"/>
  <c r="B268" i="4"/>
  <c r="D268" i="4" s="1"/>
  <c r="O268" i="4" s="1"/>
  <c r="Y267" i="4"/>
  <c r="N267" i="4"/>
  <c r="H267" i="4"/>
  <c r="D267" i="4"/>
  <c r="O267" i="4" s="1"/>
  <c r="B267" i="4"/>
  <c r="Y266" i="4"/>
  <c r="N266" i="4"/>
  <c r="H266" i="4"/>
  <c r="B266" i="4"/>
  <c r="D266" i="4" s="1"/>
  <c r="O266" i="4" s="1"/>
  <c r="Y265" i="4"/>
  <c r="N265" i="4"/>
  <c r="H265" i="4"/>
  <c r="B265" i="4"/>
  <c r="D265" i="4" s="1"/>
  <c r="O265" i="4" s="1"/>
  <c r="Y264" i="4"/>
  <c r="N264" i="4"/>
  <c r="H264" i="4"/>
  <c r="B264" i="4"/>
  <c r="Y263" i="4"/>
  <c r="N263" i="4"/>
  <c r="H263" i="4"/>
  <c r="B263" i="4"/>
  <c r="D263" i="4" s="1"/>
  <c r="O263" i="4" s="1"/>
  <c r="Y262" i="4"/>
  <c r="N262" i="4"/>
  <c r="H262" i="4"/>
  <c r="B262" i="4"/>
  <c r="D262" i="4" s="1"/>
  <c r="O262" i="4" s="1"/>
  <c r="Y261" i="4"/>
  <c r="N261" i="4"/>
  <c r="H261" i="4"/>
  <c r="B261" i="4"/>
  <c r="D261" i="4" s="1"/>
  <c r="O261" i="4" s="1"/>
  <c r="Y260" i="4"/>
  <c r="N260" i="4"/>
  <c r="H260" i="4"/>
  <c r="D260" i="4"/>
  <c r="O260" i="4" s="1"/>
  <c r="B260" i="4"/>
  <c r="N259" i="4"/>
  <c r="H259" i="4"/>
  <c r="B259" i="4"/>
  <c r="D259" i="4" s="1"/>
  <c r="O259" i="4" s="1"/>
  <c r="Y258" i="4"/>
  <c r="N258" i="4"/>
  <c r="H258" i="4"/>
  <c r="B258" i="4"/>
  <c r="D258" i="4" s="1"/>
  <c r="O258" i="4" s="1"/>
  <c r="Y257" i="4"/>
  <c r="N257" i="4"/>
  <c r="H257" i="4"/>
  <c r="B257" i="4"/>
  <c r="Y256" i="4"/>
  <c r="N256" i="4"/>
  <c r="H256" i="4"/>
  <c r="B256" i="4"/>
  <c r="D256" i="4" s="1"/>
  <c r="O256" i="4" s="1"/>
  <c r="Y255" i="4"/>
  <c r="N255" i="4"/>
  <c r="H255" i="4"/>
  <c r="B255" i="4"/>
  <c r="Y254" i="4"/>
  <c r="N254" i="4"/>
  <c r="H254" i="4"/>
  <c r="B254" i="4"/>
  <c r="D254" i="4" s="1"/>
  <c r="O254" i="4" s="1"/>
  <c r="Y253" i="4"/>
  <c r="N253" i="4"/>
  <c r="H253" i="4"/>
  <c r="B253" i="4"/>
  <c r="D253" i="4" s="1"/>
  <c r="O253" i="4" s="1"/>
  <c r="Y252" i="4"/>
  <c r="N252" i="4"/>
  <c r="H252" i="4"/>
  <c r="B252" i="4"/>
  <c r="D252" i="4" s="1"/>
  <c r="O252" i="4" s="1"/>
  <c r="Y251" i="4"/>
  <c r="N251" i="4"/>
  <c r="H251" i="4"/>
  <c r="B251" i="4"/>
  <c r="D251" i="4" s="1"/>
  <c r="O251" i="4" s="1"/>
  <c r="Y250" i="4"/>
  <c r="N250" i="4"/>
  <c r="H250" i="4"/>
  <c r="B250" i="4"/>
  <c r="Y249" i="4"/>
  <c r="N249" i="4"/>
  <c r="H249" i="4"/>
  <c r="B249" i="4"/>
  <c r="D249" i="4" s="1"/>
  <c r="O249" i="4" s="1"/>
  <c r="Y248" i="4"/>
  <c r="N248" i="4"/>
  <c r="H248" i="4"/>
  <c r="B248" i="4"/>
  <c r="D248" i="4" s="1"/>
  <c r="O248" i="4" s="1"/>
  <c r="N247" i="4"/>
  <c r="H247" i="4"/>
  <c r="B247" i="4"/>
  <c r="D247" i="4" s="1"/>
  <c r="O247" i="4" s="1"/>
  <c r="Y246" i="4"/>
  <c r="N246" i="4"/>
  <c r="H246" i="4"/>
  <c r="B246" i="4"/>
  <c r="Y245" i="4"/>
  <c r="N245" i="4"/>
  <c r="H245" i="4"/>
  <c r="B245" i="4"/>
  <c r="D245" i="4" s="1"/>
  <c r="O245" i="4" s="1"/>
  <c r="Y244" i="4"/>
  <c r="N244" i="4"/>
  <c r="H244" i="4"/>
  <c r="B244" i="4"/>
  <c r="D244" i="4" s="1"/>
  <c r="O244" i="4" s="1"/>
  <c r="Y243" i="4"/>
  <c r="N243" i="4"/>
  <c r="H243" i="4"/>
  <c r="B243" i="4"/>
  <c r="D243" i="4" s="1"/>
  <c r="O243" i="4" s="1"/>
  <c r="Y242" i="4"/>
  <c r="N242" i="4"/>
  <c r="H242" i="4"/>
  <c r="B242" i="4"/>
  <c r="Y241" i="4"/>
  <c r="N241" i="4"/>
  <c r="H241" i="4"/>
  <c r="B241" i="4"/>
  <c r="D241" i="4" s="1"/>
  <c r="O241" i="4" s="1"/>
  <c r="Y240" i="4"/>
  <c r="N240" i="4"/>
  <c r="H240" i="4"/>
  <c r="B240" i="4"/>
  <c r="D240" i="4" s="1"/>
  <c r="O240" i="4" s="1"/>
  <c r="Y239" i="4"/>
  <c r="N239" i="4"/>
  <c r="H239" i="4"/>
  <c r="B239" i="4"/>
  <c r="D239" i="4" s="1"/>
  <c r="O239" i="4" s="1"/>
  <c r="Y238" i="4"/>
  <c r="N238" i="4"/>
  <c r="H238" i="4"/>
  <c r="B238" i="4"/>
  <c r="D238" i="4" s="1"/>
  <c r="O238" i="4" s="1"/>
  <c r="Y237" i="4"/>
  <c r="N237" i="4"/>
  <c r="H237" i="4"/>
  <c r="B237" i="4"/>
  <c r="D237" i="4" s="1"/>
  <c r="O237" i="4" s="1"/>
  <c r="Y236" i="4"/>
  <c r="N236" i="4"/>
  <c r="H236" i="4"/>
  <c r="B236" i="4"/>
  <c r="D236" i="4" s="1"/>
  <c r="O236" i="4" s="1"/>
  <c r="N235" i="4"/>
  <c r="H235" i="4"/>
  <c r="B235" i="4"/>
  <c r="Y234" i="4"/>
  <c r="N234" i="4"/>
  <c r="H234" i="4"/>
  <c r="B234" i="4"/>
  <c r="D234" i="4" s="1"/>
  <c r="O234" i="4" s="1"/>
  <c r="Y233" i="4"/>
  <c r="N233" i="4"/>
  <c r="H233" i="4"/>
  <c r="B233" i="4"/>
  <c r="Y232" i="4"/>
  <c r="N232" i="4"/>
  <c r="H232" i="4"/>
  <c r="B232" i="4"/>
  <c r="D232" i="4" s="1"/>
  <c r="O232" i="4" s="1"/>
  <c r="Y231" i="4"/>
  <c r="N231" i="4"/>
  <c r="H231" i="4"/>
  <c r="B231" i="4"/>
  <c r="Y230" i="4"/>
  <c r="N230" i="4"/>
  <c r="H230" i="4"/>
  <c r="B230" i="4"/>
  <c r="D230" i="4" s="1"/>
  <c r="O230" i="4" s="1"/>
  <c r="Y229" i="4"/>
  <c r="N229" i="4"/>
  <c r="H229" i="4"/>
  <c r="B229" i="4"/>
  <c r="D229" i="4" s="1"/>
  <c r="O229" i="4" s="1"/>
  <c r="Y228" i="4"/>
  <c r="N228" i="4"/>
  <c r="H228" i="4"/>
  <c r="B228" i="4"/>
  <c r="D228" i="4" s="1"/>
  <c r="O228" i="4" s="1"/>
  <c r="Y227" i="4"/>
  <c r="N227" i="4"/>
  <c r="H227" i="4"/>
  <c r="B227" i="4"/>
  <c r="Y226" i="4"/>
  <c r="N226" i="4"/>
  <c r="H226" i="4"/>
  <c r="D226" i="4"/>
  <c r="O226" i="4" s="1"/>
  <c r="B226" i="4"/>
  <c r="Y225" i="4"/>
  <c r="N225" i="4"/>
  <c r="H225" i="4"/>
  <c r="B225" i="4"/>
  <c r="D225" i="4" s="1"/>
  <c r="O225" i="4" s="1"/>
  <c r="Y224" i="4"/>
  <c r="N224" i="4"/>
  <c r="H224" i="4"/>
  <c r="B224" i="4"/>
  <c r="D224" i="4" s="1"/>
  <c r="O224" i="4" s="1"/>
  <c r="N223" i="4"/>
  <c r="H223" i="4"/>
  <c r="B223" i="4"/>
  <c r="Y222" i="4"/>
  <c r="N222" i="4"/>
  <c r="H222" i="4"/>
  <c r="B222" i="4"/>
  <c r="D222" i="4" s="1"/>
  <c r="O222" i="4" s="1"/>
  <c r="Y221" i="4"/>
  <c r="N221" i="4"/>
  <c r="H221" i="4"/>
  <c r="B221" i="4"/>
  <c r="D221" i="4" s="1"/>
  <c r="O221" i="4" s="1"/>
  <c r="Y220" i="4"/>
  <c r="N220" i="4"/>
  <c r="H220" i="4"/>
  <c r="B220" i="4"/>
  <c r="D220" i="4" s="1"/>
  <c r="O220" i="4" s="1"/>
  <c r="Y219" i="4"/>
  <c r="N219" i="4"/>
  <c r="H219" i="4"/>
  <c r="D219" i="4"/>
  <c r="O219" i="4" s="1"/>
  <c r="B219" i="4"/>
  <c r="Y218" i="4"/>
  <c r="N218" i="4"/>
  <c r="H218" i="4"/>
  <c r="B218" i="4"/>
  <c r="Y217" i="4"/>
  <c r="N217" i="4"/>
  <c r="H217" i="4"/>
  <c r="B217" i="4"/>
  <c r="Y216" i="4"/>
  <c r="N216" i="4"/>
  <c r="H216" i="4"/>
  <c r="B216" i="4"/>
  <c r="D216" i="4" s="1"/>
  <c r="O216" i="4" s="1"/>
  <c r="Y215" i="4"/>
  <c r="N215" i="4"/>
  <c r="H215" i="4"/>
  <c r="B215" i="4"/>
  <c r="D215" i="4" s="1"/>
  <c r="O215" i="4" s="1"/>
  <c r="Y214" i="4"/>
  <c r="N214" i="4"/>
  <c r="H214" i="4"/>
  <c r="B214" i="4"/>
  <c r="D214" i="4" s="1"/>
  <c r="O214" i="4" s="1"/>
  <c r="Y213" i="4"/>
  <c r="N213" i="4"/>
  <c r="H213" i="4"/>
  <c r="B213" i="4"/>
  <c r="D213" i="4" s="1"/>
  <c r="O213" i="4" s="1"/>
  <c r="Y212" i="4"/>
  <c r="N212" i="4"/>
  <c r="H212" i="4"/>
  <c r="B212" i="4"/>
  <c r="N211" i="4"/>
  <c r="H211" i="4"/>
  <c r="B211" i="4"/>
  <c r="D211" i="4" s="1"/>
  <c r="O211" i="4" s="1"/>
  <c r="Y210" i="4"/>
  <c r="N210" i="4"/>
  <c r="H210" i="4"/>
  <c r="B210" i="4"/>
  <c r="Y209" i="4"/>
  <c r="N209" i="4"/>
  <c r="H209" i="4"/>
  <c r="B209" i="4"/>
  <c r="D209" i="4" s="1"/>
  <c r="O209" i="4" s="1"/>
  <c r="Y208" i="4"/>
  <c r="N208" i="4"/>
  <c r="H208" i="4"/>
  <c r="B208" i="4"/>
  <c r="Y207" i="4"/>
  <c r="N207" i="4"/>
  <c r="H207" i="4"/>
  <c r="B207" i="4"/>
  <c r="Y206" i="4"/>
  <c r="N206" i="4"/>
  <c r="H206" i="4"/>
  <c r="B206" i="4"/>
  <c r="Y205" i="4"/>
  <c r="N205" i="4"/>
  <c r="H205" i="4"/>
  <c r="B205" i="4"/>
  <c r="D205" i="4" s="1"/>
  <c r="O205" i="4" s="1"/>
  <c r="Y204" i="4"/>
  <c r="N204" i="4"/>
  <c r="H204" i="4"/>
  <c r="B204" i="4"/>
  <c r="Y203" i="4"/>
  <c r="N203" i="4"/>
  <c r="H203" i="4"/>
  <c r="B203" i="4"/>
  <c r="D203" i="4" s="1"/>
  <c r="O203" i="4" s="1"/>
  <c r="Y202" i="4"/>
  <c r="N202" i="4"/>
  <c r="H202" i="4"/>
  <c r="B202" i="4"/>
  <c r="D202" i="4" s="1"/>
  <c r="O202" i="4" s="1"/>
  <c r="Y201" i="4"/>
  <c r="N201" i="4"/>
  <c r="H201" i="4"/>
  <c r="B201" i="4"/>
  <c r="D201" i="4" s="1"/>
  <c r="O201" i="4" s="1"/>
  <c r="Y200" i="4"/>
  <c r="N200" i="4"/>
  <c r="H200" i="4"/>
  <c r="B200" i="4"/>
  <c r="D200" i="4" s="1"/>
  <c r="O200" i="4" s="1"/>
  <c r="N199" i="4"/>
  <c r="H199" i="4"/>
  <c r="B199" i="4"/>
  <c r="D199" i="4" s="1"/>
  <c r="O199" i="4" s="1"/>
  <c r="Y198" i="4"/>
  <c r="N198" i="4"/>
  <c r="H198" i="4"/>
  <c r="B198" i="4"/>
  <c r="D198" i="4" s="1"/>
  <c r="O198" i="4" s="1"/>
  <c r="Y197" i="4"/>
  <c r="N197" i="4"/>
  <c r="H197" i="4"/>
  <c r="B197" i="4"/>
  <c r="D197" i="4" s="1"/>
  <c r="O197" i="4" s="1"/>
  <c r="Y196" i="4"/>
  <c r="N196" i="4"/>
  <c r="H196" i="4"/>
  <c r="B196" i="4"/>
  <c r="Y195" i="4"/>
  <c r="N195" i="4"/>
  <c r="H195" i="4"/>
  <c r="B195" i="4"/>
  <c r="Y194" i="4"/>
  <c r="N194" i="4"/>
  <c r="H194" i="4"/>
  <c r="B194" i="4"/>
  <c r="D194" i="4" s="1"/>
  <c r="O194" i="4" s="1"/>
  <c r="Y193" i="4"/>
  <c r="N193" i="4"/>
  <c r="H193" i="4"/>
  <c r="B193" i="4"/>
  <c r="D193" i="4" s="1"/>
  <c r="O193" i="4" s="1"/>
  <c r="Y192" i="4"/>
  <c r="N192" i="4"/>
  <c r="H192" i="4"/>
  <c r="B192" i="4"/>
  <c r="D192" i="4" s="1"/>
  <c r="O192" i="4" s="1"/>
  <c r="Y191" i="4"/>
  <c r="N191" i="4"/>
  <c r="H191" i="4"/>
  <c r="B191" i="4"/>
  <c r="Y190" i="4"/>
  <c r="N190" i="4"/>
  <c r="H190" i="4"/>
  <c r="B190" i="4"/>
  <c r="Y189" i="4"/>
  <c r="N189" i="4"/>
  <c r="H189" i="4"/>
  <c r="B189" i="4"/>
  <c r="D189" i="4" s="1"/>
  <c r="O189" i="4" s="1"/>
  <c r="Y188" i="4"/>
  <c r="N188" i="4"/>
  <c r="H188" i="4"/>
  <c r="B188" i="4"/>
  <c r="N187" i="4"/>
  <c r="H187" i="4"/>
  <c r="B187" i="4"/>
  <c r="D187" i="4" s="1"/>
  <c r="O187" i="4" s="1"/>
  <c r="Y186" i="4"/>
  <c r="N186" i="4"/>
  <c r="H186" i="4"/>
  <c r="B186" i="4"/>
  <c r="D186" i="4" s="1"/>
  <c r="O186" i="4" s="1"/>
  <c r="Y185" i="4"/>
  <c r="N185" i="4"/>
  <c r="H185" i="4"/>
  <c r="B185" i="4"/>
  <c r="D185" i="4" s="1"/>
  <c r="O185" i="4" s="1"/>
  <c r="Y184" i="4"/>
  <c r="N184" i="4"/>
  <c r="H184" i="4"/>
  <c r="B184" i="4"/>
  <c r="D184" i="4" s="1"/>
  <c r="O184" i="4" s="1"/>
  <c r="Y183" i="4"/>
  <c r="N183" i="4"/>
  <c r="H183" i="4"/>
  <c r="B183" i="4"/>
  <c r="D183" i="4" s="1"/>
  <c r="O183" i="4" s="1"/>
  <c r="Y182" i="4"/>
  <c r="N182" i="4"/>
  <c r="H182" i="4"/>
  <c r="B182" i="4"/>
  <c r="D182" i="4" s="1"/>
  <c r="O182" i="4" s="1"/>
  <c r="Y181" i="4"/>
  <c r="N181" i="4"/>
  <c r="H181" i="4"/>
  <c r="B181" i="4"/>
  <c r="Y180" i="4"/>
  <c r="N180" i="4"/>
  <c r="H180" i="4"/>
  <c r="B180" i="4"/>
  <c r="D180" i="4" s="1"/>
  <c r="O180" i="4" s="1"/>
  <c r="Y179" i="4"/>
  <c r="N179" i="4"/>
  <c r="H179" i="4"/>
  <c r="B179" i="4"/>
  <c r="D179" i="4" s="1"/>
  <c r="O179" i="4" s="1"/>
  <c r="Y178" i="4"/>
  <c r="N178" i="4"/>
  <c r="H178" i="4"/>
  <c r="B178" i="4"/>
  <c r="D178" i="4" s="1"/>
  <c r="O178" i="4" s="1"/>
  <c r="Y177" i="4"/>
  <c r="N177" i="4"/>
  <c r="H177" i="4"/>
  <c r="B177" i="4"/>
  <c r="D177" i="4" s="1"/>
  <c r="O177" i="4" s="1"/>
  <c r="Y176" i="4"/>
  <c r="N176" i="4"/>
  <c r="H176" i="4"/>
  <c r="B176" i="4"/>
  <c r="N175" i="4"/>
  <c r="H175" i="4"/>
  <c r="B175" i="4"/>
  <c r="D175" i="4" s="1"/>
  <c r="O175" i="4" s="1"/>
  <c r="Y174" i="4"/>
  <c r="N174" i="4"/>
  <c r="H174" i="4"/>
  <c r="B174" i="4"/>
  <c r="D174" i="4" s="1"/>
  <c r="O174" i="4" s="1"/>
  <c r="Y173" i="4"/>
  <c r="N173" i="4"/>
  <c r="H173" i="4"/>
  <c r="B173" i="4"/>
  <c r="D173" i="4" s="1"/>
  <c r="O173" i="4" s="1"/>
  <c r="Y172" i="4"/>
  <c r="N172" i="4"/>
  <c r="H172" i="4"/>
  <c r="B172" i="4"/>
  <c r="D172" i="4" s="1"/>
  <c r="O172" i="4" s="1"/>
  <c r="Y171" i="4"/>
  <c r="N171" i="4"/>
  <c r="H171" i="4"/>
  <c r="B171" i="4"/>
  <c r="Y170" i="4"/>
  <c r="N170" i="4"/>
  <c r="H170" i="4"/>
  <c r="B170" i="4"/>
  <c r="D170" i="4" s="1"/>
  <c r="O170" i="4" s="1"/>
  <c r="Y169" i="4"/>
  <c r="N169" i="4"/>
  <c r="H169" i="4"/>
  <c r="B169" i="4"/>
  <c r="D169" i="4" s="1"/>
  <c r="O169" i="4" s="1"/>
  <c r="Y168" i="4"/>
  <c r="N168" i="4"/>
  <c r="H168" i="4"/>
  <c r="B168" i="4"/>
  <c r="D168" i="4" s="1"/>
  <c r="O168" i="4" s="1"/>
  <c r="Y167" i="4"/>
  <c r="N167" i="4"/>
  <c r="H167" i="4"/>
  <c r="D167" i="4"/>
  <c r="O167" i="4" s="1"/>
  <c r="B167" i="4"/>
  <c r="Y166" i="4"/>
  <c r="N166" i="4"/>
  <c r="H166" i="4"/>
  <c r="B166" i="4"/>
  <c r="D166" i="4" s="1"/>
  <c r="O166" i="4" s="1"/>
  <c r="Y165" i="4"/>
  <c r="N165" i="4"/>
  <c r="H165" i="4"/>
  <c r="B165" i="4"/>
  <c r="D165" i="4" s="1"/>
  <c r="O165" i="4" s="1"/>
  <c r="Y164" i="4"/>
  <c r="N164" i="4"/>
  <c r="H164" i="4"/>
  <c r="B164" i="4"/>
  <c r="N163" i="4"/>
  <c r="H163" i="4"/>
  <c r="B163" i="4"/>
  <c r="D163" i="4" s="1"/>
  <c r="O163" i="4" s="1"/>
  <c r="Y162" i="4"/>
  <c r="N162" i="4"/>
  <c r="H162" i="4"/>
  <c r="B162" i="4"/>
  <c r="Y161" i="4"/>
  <c r="N161" i="4"/>
  <c r="H161" i="4"/>
  <c r="B161" i="4"/>
  <c r="D161" i="4" s="1"/>
  <c r="O161" i="4" s="1"/>
  <c r="Y160" i="4"/>
  <c r="N160" i="4"/>
  <c r="H160" i="4"/>
  <c r="B160" i="4"/>
  <c r="D160" i="4" s="1"/>
  <c r="O160" i="4" s="1"/>
  <c r="Y159" i="4"/>
  <c r="N159" i="4"/>
  <c r="H159" i="4"/>
  <c r="D159" i="4"/>
  <c r="O159" i="4" s="1"/>
  <c r="B159" i="4"/>
  <c r="Y158" i="4"/>
  <c r="N158" i="4"/>
  <c r="H158" i="4"/>
  <c r="B158" i="4"/>
  <c r="D158" i="4" s="1"/>
  <c r="O158" i="4" s="1"/>
  <c r="Y157" i="4"/>
  <c r="N157" i="4"/>
  <c r="H157" i="4"/>
  <c r="B157" i="4"/>
  <c r="Y156" i="4"/>
  <c r="N156" i="4"/>
  <c r="H156" i="4"/>
  <c r="D156" i="4"/>
  <c r="O156" i="4" s="1"/>
  <c r="B156" i="4"/>
  <c r="Y155" i="4"/>
  <c r="N155" i="4"/>
  <c r="H155" i="4"/>
  <c r="B155" i="4"/>
  <c r="D155" i="4" s="1"/>
  <c r="O155" i="4" s="1"/>
  <c r="Y154" i="4"/>
  <c r="N154" i="4"/>
  <c r="H154" i="4"/>
  <c r="B154" i="4"/>
  <c r="D154" i="4" s="1"/>
  <c r="O154" i="4" s="1"/>
  <c r="Y153" i="4"/>
  <c r="N153" i="4"/>
  <c r="H153" i="4"/>
  <c r="B153" i="4"/>
  <c r="D153" i="4" s="1"/>
  <c r="O153" i="4" s="1"/>
  <c r="Y152" i="4"/>
  <c r="N152" i="4"/>
  <c r="H152" i="4"/>
  <c r="B152" i="4"/>
  <c r="N151" i="4"/>
  <c r="H151" i="4"/>
  <c r="B151" i="4"/>
  <c r="D151" i="4" s="1"/>
  <c r="O151" i="4" s="1"/>
  <c r="Y150" i="4"/>
  <c r="N150" i="4"/>
  <c r="H150" i="4"/>
  <c r="B150" i="4"/>
  <c r="D150" i="4" s="1"/>
  <c r="O150" i="4" s="1"/>
  <c r="Y149" i="4"/>
  <c r="N149" i="4"/>
  <c r="H149" i="4"/>
  <c r="B149" i="4"/>
  <c r="Y148" i="4"/>
  <c r="N148" i="4"/>
  <c r="H148" i="4"/>
  <c r="B148" i="4"/>
  <c r="D148" i="4" s="1"/>
  <c r="O148" i="4" s="1"/>
  <c r="Y147" i="4"/>
  <c r="N147" i="4"/>
  <c r="H147" i="4"/>
  <c r="B147" i="4"/>
  <c r="Y146" i="4"/>
  <c r="N146" i="4"/>
  <c r="H146" i="4"/>
  <c r="B146" i="4"/>
  <c r="D146" i="4" s="1"/>
  <c r="O146" i="4" s="1"/>
  <c r="Y145" i="4"/>
  <c r="N145" i="4"/>
  <c r="H145" i="4"/>
  <c r="B145" i="4"/>
  <c r="D145" i="4" s="1"/>
  <c r="O145" i="4" s="1"/>
  <c r="Y144" i="4"/>
  <c r="N144" i="4"/>
  <c r="H144" i="4"/>
  <c r="B144" i="4"/>
  <c r="D144" i="4" s="1"/>
  <c r="O144" i="4" s="1"/>
  <c r="Y143" i="4"/>
  <c r="N143" i="4"/>
  <c r="H143" i="4"/>
  <c r="B143" i="4"/>
  <c r="D143" i="4" s="1"/>
  <c r="O143" i="4" s="1"/>
  <c r="Y142" i="4"/>
  <c r="N142" i="4"/>
  <c r="H142" i="4"/>
  <c r="B142" i="4"/>
  <c r="D142" i="4" s="1"/>
  <c r="O142" i="4" s="1"/>
  <c r="Y141" i="4"/>
  <c r="N141" i="4"/>
  <c r="H141" i="4"/>
  <c r="B141" i="4"/>
  <c r="D141" i="4" s="1"/>
  <c r="O141" i="4" s="1"/>
  <c r="Y140" i="4"/>
  <c r="N140" i="4"/>
  <c r="H140" i="4"/>
  <c r="B140" i="4"/>
  <c r="D140" i="4" s="1"/>
  <c r="O140" i="4" s="1"/>
  <c r="N139" i="4"/>
  <c r="H139" i="4"/>
  <c r="B139" i="4"/>
  <c r="D139" i="4" s="1"/>
  <c r="O139" i="4" s="1"/>
  <c r="Y138" i="4"/>
  <c r="N138" i="4"/>
  <c r="H138" i="4"/>
  <c r="B138" i="4"/>
  <c r="Y137" i="4"/>
  <c r="N137" i="4"/>
  <c r="H137" i="4"/>
  <c r="B137" i="4"/>
  <c r="D137" i="4" s="1"/>
  <c r="O137" i="4" s="1"/>
  <c r="Y136" i="4"/>
  <c r="N136" i="4"/>
  <c r="H136" i="4"/>
  <c r="B136" i="4"/>
  <c r="D136" i="4" s="1"/>
  <c r="O136" i="4" s="1"/>
  <c r="Y135" i="4"/>
  <c r="N135" i="4"/>
  <c r="H135" i="4"/>
  <c r="B135" i="4"/>
  <c r="D135" i="4" s="1"/>
  <c r="O135" i="4" s="1"/>
  <c r="Y134" i="4"/>
  <c r="N134" i="4"/>
  <c r="H134" i="4"/>
  <c r="B134" i="4"/>
  <c r="Y133" i="4"/>
  <c r="N133" i="4"/>
  <c r="H133" i="4"/>
  <c r="B133" i="4"/>
  <c r="D133" i="4" s="1"/>
  <c r="O133" i="4" s="1"/>
  <c r="Y132" i="4"/>
  <c r="N132" i="4"/>
  <c r="H132" i="4"/>
  <c r="B132" i="4"/>
  <c r="D132" i="4" s="1"/>
  <c r="O132" i="4" s="1"/>
  <c r="Y131" i="4"/>
  <c r="N131" i="4"/>
  <c r="H131" i="4"/>
  <c r="B131" i="4"/>
  <c r="Y130" i="4"/>
  <c r="N130" i="4"/>
  <c r="H130" i="4"/>
  <c r="B130" i="4"/>
  <c r="D130" i="4" s="1"/>
  <c r="O130" i="4" s="1"/>
  <c r="Y129" i="4"/>
  <c r="N129" i="4"/>
  <c r="H129" i="4"/>
  <c r="B129" i="4"/>
  <c r="D129" i="4" s="1"/>
  <c r="O129" i="4" s="1"/>
  <c r="Y128" i="4"/>
  <c r="N128" i="4"/>
  <c r="H128" i="4"/>
  <c r="B128" i="4"/>
  <c r="N127" i="4"/>
  <c r="H127" i="4"/>
  <c r="B127" i="4"/>
  <c r="D127" i="4" s="1"/>
  <c r="O127" i="4" s="1"/>
  <c r="Y126" i="4"/>
  <c r="N126" i="4"/>
  <c r="H126" i="4"/>
  <c r="B126" i="4"/>
  <c r="Y125" i="4"/>
  <c r="N125" i="4"/>
  <c r="H125" i="4"/>
  <c r="B125" i="4"/>
  <c r="Y124" i="4"/>
  <c r="N124" i="4"/>
  <c r="H124" i="4"/>
  <c r="B124" i="4"/>
  <c r="D124" i="4" s="1"/>
  <c r="O124" i="4" s="1"/>
  <c r="Y123" i="4"/>
  <c r="N123" i="4"/>
  <c r="H123" i="4"/>
  <c r="B123" i="4"/>
  <c r="D123" i="4" s="1"/>
  <c r="O123" i="4" s="1"/>
  <c r="Y122" i="4"/>
  <c r="N122" i="4"/>
  <c r="H122" i="4"/>
  <c r="B122" i="4"/>
  <c r="D122" i="4" s="1"/>
  <c r="O122" i="4" s="1"/>
  <c r="Y121" i="4"/>
  <c r="N121" i="4"/>
  <c r="H121" i="4"/>
  <c r="B121" i="4"/>
  <c r="D121" i="4" s="1"/>
  <c r="O121" i="4" s="1"/>
  <c r="Y120" i="4"/>
  <c r="N120" i="4"/>
  <c r="H120" i="4"/>
  <c r="B120" i="4"/>
  <c r="D120" i="4" s="1"/>
  <c r="O120" i="4" s="1"/>
  <c r="Y119" i="4"/>
  <c r="N119" i="4"/>
  <c r="H119" i="4"/>
  <c r="B119" i="4"/>
  <c r="D119" i="4" s="1"/>
  <c r="O119" i="4" s="1"/>
  <c r="Y118" i="4"/>
  <c r="N118" i="4"/>
  <c r="H118" i="4"/>
  <c r="B118" i="4"/>
  <c r="D118" i="4" s="1"/>
  <c r="O118" i="4" s="1"/>
  <c r="Y117" i="4"/>
  <c r="N117" i="4"/>
  <c r="H117" i="4"/>
  <c r="B117" i="4"/>
  <c r="D117" i="4" s="1"/>
  <c r="O117" i="4" s="1"/>
  <c r="Y116" i="4"/>
  <c r="N116" i="4"/>
  <c r="H116" i="4"/>
  <c r="B116" i="4"/>
  <c r="D116" i="4" s="1"/>
  <c r="O116" i="4" s="1"/>
  <c r="N115" i="4"/>
  <c r="H115" i="4"/>
  <c r="B115" i="4"/>
  <c r="D115" i="4" s="1"/>
  <c r="O115" i="4" s="1"/>
  <c r="Y114" i="4"/>
  <c r="N114" i="4"/>
  <c r="H114" i="4"/>
  <c r="B114" i="4"/>
  <c r="D114" i="4" s="1"/>
  <c r="O114" i="4" s="1"/>
  <c r="Y113" i="4"/>
  <c r="N113" i="4"/>
  <c r="H113" i="4"/>
  <c r="B113" i="4"/>
  <c r="D113" i="4" s="1"/>
  <c r="O113" i="4" s="1"/>
  <c r="Y112" i="4"/>
  <c r="N112" i="4"/>
  <c r="H112" i="4"/>
  <c r="B112" i="4"/>
  <c r="D112" i="4" s="1"/>
  <c r="O112" i="4" s="1"/>
  <c r="Y111" i="4"/>
  <c r="N111" i="4"/>
  <c r="H111" i="4"/>
  <c r="B111" i="4"/>
  <c r="D111" i="4" s="1"/>
  <c r="O111" i="4" s="1"/>
  <c r="Y110" i="4"/>
  <c r="N110" i="4"/>
  <c r="H110" i="4"/>
  <c r="B110" i="4"/>
  <c r="D110" i="4" s="1"/>
  <c r="O110" i="4" s="1"/>
  <c r="Y109" i="4"/>
  <c r="N109" i="4"/>
  <c r="H109" i="4"/>
  <c r="B109" i="4"/>
  <c r="D109" i="4" s="1"/>
  <c r="O109" i="4" s="1"/>
  <c r="Y108" i="4"/>
  <c r="N108" i="4"/>
  <c r="H108" i="4"/>
  <c r="B108" i="4"/>
  <c r="Y107" i="4"/>
  <c r="N107" i="4"/>
  <c r="H107" i="4"/>
  <c r="B107" i="4"/>
  <c r="Y106" i="4"/>
  <c r="N106" i="4"/>
  <c r="H106" i="4"/>
  <c r="B106" i="4"/>
  <c r="D106" i="4" s="1"/>
  <c r="O106" i="4" s="1"/>
  <c r="Y105" i="4"/>
  <c r="N105" i="4"/>
  <c r="H105" i="4"/>
  <c r="B105" i="4"/>
  <c r="D105" i="4" s="1"/>
  <c r="O105" i="4" s="1"/>
  <c r="Y104" i="4"/>
  <c r="N104" i="4"/>
  <c r="H104" i="4"/>
  <c r="B104" i="4"/>
  <c r="D104" i="4" s="1"/>
  <c r="O104" i="4" s="1"/>
  <c r="N103" i="4"/>
  <c r="H103" i="4"/>
  <c r="B103" i="4"/>
  <c r="Y102" i="4"/>
  <c r="N102" i="4"/>
  <c r="H102" i="4"/>
  <c r="B102" i="4"/>
  <c r="D102" i="4" s="1"/>
  <c r="O102" i="4" s="1"/>
  <c r="Y101" i="4"/>
  <c r="N101" i="4"/>
  <c r="H101" i="4"/>
  <c r="D101" i="4"/>
  <c r="O101" i="4" s="1"/>
  <c r="B101" i="4"/>
  <c r="Y100" i="4"/>
  <c r="N100" i="4"/>
  <c r="H100" i="4"/>
  <c r="B100" i="4"/>
  <c r="Y99" i="4"/>
  <c r="N99" i="4"/>
  <c r="H99" i="4"/>
  <c r="B99" i="4"/>
  <c r="D99" i="4" s="1"/>
  <c r="O99" i="4" s="1"/>
  <c r="Y98" i="4"/>
  <c r="N98" i="4"/>
  <c r="H98" i="4"/>
  <c r="B98" i="4"/>
  <c r="D98" i="4" s="1"/>
  <c r="O98" i="4" s="1"/>
  <c r="Y97" i="4"/>
  <c r="N97" i="4"/>
  <c r="H97" i="4"/>
  <c r="B97" i="4"/>
  <c r="D97" i="4" s="1"/>
  <c r="O97" i="4" s="1"/>
  <c r="Y96" i="4"/>
  <c r="N96" i="4"/>
  <c r="H96" i="4"/>
  <c r="B96" i="4"/>
  <c r="D96" i="4" s="1"/>
  <c r="O96" i="4" s="1"/>
  <c r="Y95" i="4"/>
  <c r="N95" i="4"/>
  <c r="H95" i="4"/>
  <c r="B95" i="4"/>
  <c r="D95" i="4" s="1"/>
  <c r="O95" i="4" s="1"/>
  <c r="Y94" i="4"/>
  <c r="N94" i="4"/>
  <c r="H94" i="4"/>
  <c r="B94" i="4"/>
  <c r="D94" i="4" s="1"/>
  <c r="O94" i="4" s="1"/>
  <c r="Y93" i="4"/>
  <c r="N93" i="4"/>
  <c r="H93" i="4"/>
  <c r="B93" i="4"/>
  <c r="D93" i="4" s="1"/>
  <c r="O93" i="4" s="1"/>
  <c r="Y92" i="4"/>
  <c r="N92" i="4"/>
  <c r="H92" i="4"/>
  <c r="B92" i="4"/>
  <c r="N91" i="4"/>
  <c r="H91" i="4"/>
  <c r="B91" i="4"/>
  <c r="D91" i="4" s="1"/>
  <c r="O91" i="4" s="1"/>
  <c r="Y90" i="4"/>
  <c r="N90" i="4"/>
  <c r="H90" i="4"/>
  <c r="B90" i="4"/>
  <c r="D90" i="4" s="1"/>
  <c r="O90" i="4" s="1"/>
  <c r="Y89" i="4"/>
  <c r="N89" i="4"/>
  <c r="H89" i="4"/>
  <c r="B89" i="4"/>
  <c r="D89" i="4" s="1"/>
  <c r="O89" i="4" s="1"/>
  <c r="Y88" i="4"/>
  <c r="N88" i="4"/>
  <c r="H88" i="4"/>
  <c r="B88" i="4"/>
  <c r="D88" i="4" s="1"/>
  <c r="O88" i="4" s="1"/>
  <c r="Y87" i="4"/>
  <c r="N87" i="4"/>
  <c r="H87" i="4"/>
  <c r="B87" i="4"/>
  <c r="Y86" i="4"/>
  <c r="N86" i="4"/>
  <c r="H86" i="4"/>
  <c r="B86" i="4"/>
  <c r="D86" i="4" s="1"/>
  <c r="O86" i="4" s="1"/>
  <c r="Y85" i="4"/>
  <c r="N85" i="4"/>
  <c r="H85" i="4"/>
  <c r="B85" i="4"/>
  <c r="D85" i="4" s="1"/>
  <c r="O85" i="4" s="1"/>
  <c r="Y84" i="4"/>
  <c r="N84" i="4"/>
  <c r="H84" i="4"/>
  <c r="B84" i="4"/>
  <c r="Y83" i="4"/>
  <c r="N83" i="4"/>
  <c r="H83" i="4"/>
  <c r="B83" i="4"/>
  <c r="Y82" i="4"/>
  <c r="N82" i="4"/>
  <c r="H82" i="4"/>
  <c r="B82" i="4"/>
  <c r="D82" i="4" s="1"/>
  <c r="O82" i="4" s="1"/>
  <c r="Y81" i="4"/>
  <c r="N81" i="4"/>
  <c r="H81" i="4"/>
  <c r="B81" i="4"/>
  <c r="D81" i="4" s="1"/>
  <c r="O81" i="4" s="1"/>
  <c r="Y80" i="4"/>
  <c r="N80" i="4"/>
  <c r="H80" i="4"/>
  <c r="B80" i="4"/>
  <c r="N79" i="4"/>
  <c r="H79" i="4"/>
  <c r="B79" i="4"/>
  <c r="D79" i="4" s="1"/>
  <c r="O79" i="4" s="1"/>
  <c r="Y78" i="4"/>
  <c r="N78" i="4"/>
  <c r="H78" i="4"/>
  <c r="B78" i="4"/>
  <c r="Y77" i="4"/>
  <c r="N77" i="4"/>
  <c r="H77" i="4"/>
  <c r="B77" i="4"/>
  <c r="D77" i="4" s="1"/>
  <c r="O77" i="4" s="1"/>
  <c r="Y76" i="4"/>
  <c r="N76" i="4"/>
  <c r="H76" i="4"/>
  <c r="B76" i="4"/>
  <c r="Y75" i="4"/>
  <c r="N75" i="4"/>
  <c r="H75" i="4"/>
  <c r="B75" i="4"/>
  <c r="D75" i="4" s="1"/>
  <c r="O75" i="4" s="1"/>
  <c r="Y74" i="4"/>
  <c r="N74" i="4"/>
  <c r="H74" i="4"/>
  <c r="B74" i="4"/>
  <c r="D74" i="4" s="1"/>
  <c r="O74" i="4" s="1"/>
  <c r="Y73" i="4"/>
  <c r="N73" i="4"/>
  <c r="H73" i="4"/>
  <c r="B73" i="4"/>
  <c r="Y72" i="4"/>
  <c r="N72" i="4"/>
  <c r="H72" i="4"/>
  <c r="B72" i="4"/>
  <c r="Y71" i="4"/>
  <c r="N71" i="4"/>
  <c r="H71" i="4"/>
  <c r="B71" i="4"/>
  <c r="D71" i="4" s="1"/>
  <c r="O71" i="4" s="1"/>
  <c r="Y70" i="4"/>
  <c r="N70" i="4"/>
  <c r="H70" i="4"/>
  <c r="B70" i="4"/>
  <c r="D70" i="4" s="1"/>
  <c r="O70" i="4" s="1"/>
  <c r="Y69" i="4"/>
  <c r="N69" i="4"/>
  <c r="H69" i="4"/>
  <c r="B69" i="4"/>
  <c r="D69" i="4" s="1"/>
  <c r="O69" i="4" s="1"/>
  <c r="Y68" i="4"/>
  <c r="N68" i="4"/>
  <c r="H68" i="4"/>
  <c r="B68" i="4"/>
  <c r="N67" i="4"/>
  <c r="H67" i="4"/>
  <c r="B67" i="4"/>
  <c r="Y66" i="4"/>
  <c r="N66" i="4"/>
  <c r="H66" i="4"/>
  <c r="B66" i="4"/>
  <c r="D66" i="4" s="1"/>
  <c r="O66" i="4" s="1"/>
  <c r="Y65" i="4"/>
  <c r="N65" i="4"/>
  <c r="H65" i="4"/>
  <c r="B65" i="4"/>
  <c r="Y64" i="4"/>
  <c r="N64" i="4"/>
  <c r="H64" i="4"/>
  <c r="B64" i="4"/>
  <c r="D64" i="4" s="1"/>
  <c r="O64" i="4" s="1"/>
  <c r="Y63" i="4"/>
  <c r="N63" i="4"/>
  <c r="H63" i="4"/>
  <c r="B63" i="4"/>
  <c r="D63" i="4" s="1"/>
  <c r="O63" i="4" s="1"/>
  <c r="Y62" i="4"/>
  <c r="N62" i="4"/>
  <c r="H62" i="4"/>
  <c r="B62" i="4"/>
  <c r="D62" i="4" s="1"/>
  <c r="O62" i="4" s="1"/>
  <c r="Y61" i="4"/>
  <c r="N61" i="4"/>
  <c r="H61" i="4"/>
  <c r="B61" i="4"/>
  <c r="D61" i="4" s="1"/>
  <c r="O61" i="4" s="1"/>
  <c r="Y60" i="4"/>
  <c r="N60" i="4"/>
  <c r="H60" i="4"/>
  <c r="B60" i="4"/>
  <c r="Y59" i="4"/>
  <c r="N59" i="4"/>
  <c r="H59" i="4"/>
  <c r="B59" i="4"/>
  <c r="D59" i="4" s="1"/>
  <c r="O59" i="4" s="1"/>
  <c r="Y58" i="4"/>
  <c r="N58" i="4"/>
  <c r="H58" i="4"/>
  <c r="B58" i="4"/>
  <c r="D58" i="4" s="1"/>
  <c r="O58" i="4" s="1"/>
  <c r="Y57" i="4"/>
  <c r="N57" i="4"/>
  <c r="H57" i="4"/>
  <c r="B57" i="4"/>
  <c r="D57" i="4" s="1"/>
  <c r="O57" i="4" s="1"/>
  <c r="Y56" i="4"/>
  <c r="N56" i="4"/>
  <c r="H56" i="4"/>
  <c r="B56" i="4"/>
  <c r="D56" i="4" s="1"/>
  <c r="O56" i="4" s="1"/>
  <c r="N55" i="4"/>
  <c r="H55" i="4"/>
  <c r="B55" i="4"/>
  <c r="D55" i="4" s="1"/>
  <c r="O55" i="4" s="1"/>
  <c r="Y54" i="4"/>
  <c r="N54" i="4"/>
  <c r="H54" i="4"/>
  <c r="B54" i="4"/>
  <c r="Y53" i="4"/>
  <c r="N53" i="4"/>
  <c r="H53" i="4"/>
  <c r="B53" i="4"/>
  <c r="D53" i="4" s="1"/>
  <c r="O53" i="4" s="1"/>
  <c r="Y52" i="4"/>
  <c r="N52" i="4"/>
  <c r="H52" i="4"/>
  <c r="B52" i="4"/>
  <c r="Y51" i="4"/>
  <c r="N51" i="4"/>
  <c r="H51" i="4"/>
  <c r="B51" i="4"/>
  <c r="D51" i="4" s="1"/>
  <c r="O51" i="4" s="1"/>
  <c r="Y50" i="4"/>
  <c r="N50" i="4"/>
  <c r="H50" i="4"/>
  <c r="B50" i="4"/>
  <c r="Y49" i="4"/>
  <c r="N49" i="4"/>
  <c r="H49" i="4"/>
  <c r="B49" i="4"/>
  <c r="D49" i="4" s="1"/>
  <c r="O49" i="4" s="1"/>
  <c r="Y48" i="4"/>
  <c r="N48" i="4"/>
  <c r="H48" i="4"/>
  <c r="B48" i="4"/>
  <c r="D48" i="4" s="1"/>
  <c r="O48" i="4" s="1"/>
  <c r="Y47" i="4"/>
  <c r="N47" i="4"/>
  <c r="H47" i="4"/>
  <c r="B47" i="4"/>
  <c r="D47" i="4" s="1"/>
  <c r="O47" i="4" s="1"/>
  <c r="Y46" i="4"/>
  <c r="N46" i="4"/>
  <c r="H46" i="4"/>
  <c r="B46" i="4"/>
  <c r="D46" i="4" s="1"/>
  <c r="O46" i="4" s="1"/>
  <c r="Y45" i="4"/>
  <c r="N45" i="4"/>
  <c r="H45" i="4"/>
  <c r="B45" i="4"/>
  <c r="D45" i="4" s="1"/>
  <c r="O45" i="4" s="1"/>
  <c r="Y44" i="4"/>
  <c r="N44" i="4"/>
  <c r="H44" i="4"/>
  <c r="F44" i="4"/>
  <c r="E44" i="4"/>
  <c r="B44" i="4"/>
  <c r="B41" i="4"/>
  <c r="BV403" i="3"/>
  <c r="BX403" i="3" s="1"/>
  <c r="AN403" i="3"/>
  <c r="AL403" i="3"/>
  <c r="B403" i="3"/>
  <c r="CS402" i="3"/>
  <c r="BV402" i="3"/>
  <c r="BI402" i="3"/>
  <c r="AL402" i="3"/>
  <c r="AN402" i="3" s="1"/>
  <c r="Y402" i="3"/>
  <c r="B402" i="3"/>
  <c r="CS401" i="3"/>
  <c r="BV401" i="3"/>
  <c r="BX401" i="3" s="1"/>
  <c r="BI401" i="3"/>
  <c r="AL401" i="3"/>
  <c r="AN401" i="3" s="1"/>
  <c r="Y401" i="3"/>
  <c r="B401" i="3"/>
  <c r="CS400" i="3"/>
  <c r="BV400" i="3"/>
  <c r="BX400" i="3" s="1"/>
  <c r="BI400" i="3"/>
  <c r="AL400" i="3"/>
  <c r="Y400" i="3"/>
  <c r="B400" i="3"/>
  <c r="CS399" i="3"/>
  <c r="BV399" i="3"/>
  <c r="BX399" i="3" s="1"/>
  <c r="BI399" i="3"/>
  <c r="AL399" i="3"/>
  <c r="Y399" i="3"/>
  <c r="B399" i="3"/>
  <c r="D399" i="3" s="1"/>
  <c r="CS398" i="3"/>
  <c r="BV398" i="3"/>
  <c r="BI398" i="3"/>
  <c r="AL398" i="3"/>
  <c r="Y398" i="3"/>
  <c r="B398" i="3"/>
  <c r="D398" i="3" s="1"/>
  <c r="CS397" i="3"/>
  <c r="BV397" i="3"/>
  <c r="BI397" i="3"/>
  <c r="AL397" i="3"/>
  <c r="AN397" i="3" s="1"/>
  <c r="Y397" i="3"/>
  <c r="B397" i="3"/>
  <c r="D397" i="3" s="1"/>
  <c r="CS396" i="3"/>
  <c r="BV396" i="3"/>
  <c r="BI396" i="3"/>
  <c r="AL396" i="3"/>
  <c r="Y396" i="3"/>
  <c r="B396" i="3"/>
  <c r="CS395" i="3"/>
  <c r="BV395" i="3"/>
  <c r="BI395" i="3"/>
  <c r="AL395" i="3"/>
  <c r="AN395" i="3" s="1"/>
  <c r="Y395" i="3"/>
  <c r="B395" i="3"/>
  <c r="CS394" i="3"/>
  <c r="BV394" i="3"/>
  <c r="BX394" i="3" s="1"/>
  <c r="BI394" i="3"/>
  <c r="AL394" i="3"/>
  <c r="AN394" i="3" s="1"/>
  <c r="Y394" i="3"/>
  <c r="D394" i="3"/>
  <c r="B394" i="3"/>
  <c r="CS393" i="3"/>
  <c r="BV393" i="3"/>
  <c r="BX393" i="3" s="1"/>
  <c r="BI393" i="3"/>
  <c r="AL393" i="3"/>
  <c r="Y393" i="3"/>
  <c r="B393" i="3"/>
  <c r="CS392" i="3"/>
  <c r="BV392" i="3"/>
  <c r="BX392" i="3" s="1"/>
  <c r="BI392" i="3"/>
  <c r="AL392" i="3"/>
  <c r="Y392" i="3"/>
  <c r="B392" i="3"/>
  <c r="D392" i="3" s="1"/>
  <c r="BV391" i="3"/>
  <c r="BX391" i="3" s="1"/>
  <c r="AL391" i="3"/>
  <c r="AN391" i="3" s="1"/>
  <c r="B391" i="3"/>
  <c r="D391" i="3" s="1"/>
  <c r="CS390" i="3"/>
  <c r="BV390" i="3"/>
  <c r="BI390" i="3"/>
  <c r="AL390" i="3"/>
  <c r="Y390" i="3"/>
  <c r="B390" i="3"/>
  <c r="D390" i="3" s="1"/>
  <c r="CS389" i="3"/>
  <c r="BV389" i="3"/>
  <c r="BI389" i="3"/>
  <c r="AL389" i="3"/>
  <c r="AN389" i="3" s="1"/>
  <c r="Y389" i="3"/>
  <c r="B389" i="3"/>
  <c r="D389" i="3" s="1"/>
  <c r="CS388" i="3"/>
  <c r="BV388" i="3"/>
  <c r="BI388" i="3"/>
  <c r="AL388" i="3"/>
  <c r="AN388" i="3" s="1"/>
  <c r="Y388" i="3"/>
  <c r="B388" i="3"/>
  <c r="CS387" i="3"/>
  <c r="BV387" i="3"/>
  <c r="BI387" i="3"/>
  <c r="AL387" i="3"/>
  <c r="AN387" i="3" s="1"/>
  <c r="Y387" i="3"/>
  <c r="B387" i="3"/>
  <c r="CS386" i="3"/>
  <c r="BV386" i="3"/>
  <c r="BX386" i="3" s="1"/>
  <c r="BI386" i="3"/>
  <c r="AL386" i="3"/>
  <c r="AN386" i="3" s="1"/>
  <c r="Y386" i="3"/>
  <c r="B386" i="3"/>
  <c r="D386" i="3" s="1"/>
  <c r="CS385" i="3"/>
  <c r="BV385" i="3"/>
  <c r="BX385" i="3" s="1"/>
  <c r="BI385" i="3"/>
  <c r="AL385" i="3"/>
  <c r="Y385" i="3"/>
  <c r="B385" i="3"/>
  <c r="CS384" i="3"/>
  <c r="BV384" i="3"/>
  <c r="BX384" i="3" s="1"/>
  <c r="BI384" i="3"/>
  <c r="AL384" i="3"/>
  <c r="AN384" i="3" s="1"/>
  <c r="Y384" i="3"/>
  <c r="B384" i="3"/>
  <c r="D384" i="3" s="1"/>
  <c r="CS383" i="3"/>
  <c r="BV383" i="3"/>
  <c r="BX383" i="3" s="1"/>
  <c r="BI383" i="3"/>
  <c r="AL383" i="3"/>
  <c r="AN383" i="3" s="1"/>
  <c r="Y383" i="3"/>
  <c r="B383" i="3"/>
  <c r="D383" i="3" s="1"/>
  <c r="CS382" i="3"/>
  <c r="BV382" i="3"/>
  <c r="BX382" i="3" s="1"/>
  <c r="BI382" i="3"/>
  <c r="AL382" i="3"/>
  <c r="AN382" i="3" s="1"/>
  <c r="Y382" i="3"/>
  <c r="B382" i="3"/>
  <c r="CS381" i="3"/>
  <c r="BV381" i="3"/>
  <c r="BX381" i="3" s="1"/>
  <c r="BI381" i="3"/>
  <c r="AL381" i="3"/>
  <c r="AN381" i="3" s="1"/>
  <c r="Y381" i="3"/>
  <c r="B381" i="3"/>
  <c r="D381" i="3" s="1"/>
  <c r="CS380" i="3"/>
  <c r="BV380" i="3"/>
  <c r="BX380" i="3" s="1"/>
  <c r="BI380" i="3"/>
  <c r="AL380" i="3"/>
  <c r="AN380" i="3" s="1"/>
  <c r="Y380" i="3"/>
  <c r="B380" i="3"/>
  <c r="D380" i="3" s="1"/>
  <c r="BV379" i="3"/>
  <c r="BX379" i="3" s="1"/>
  <c r="AL379" i="3"/>
  <c r="AN379" i="3" s="1"/>
  <c r="B379" i="3"/>
  <c r="D379" i="3" s="1"/>
  <c r="CS378" i="3"/>
  <c r="BV378" i="3"/>
  <c r="BX378" i="3" s="1"/>
  <c r="BI378" i="3"/>
  <c r="AL378" i="3"/>
  <c r="AN378" i="3" s="1"/>
  <c r="Y378" i="3"/>
  <c r="B378" i="3"/>
  <c r="CS377" i="3"/>
  <c r="BV377" i="3"/>
  <c r="BX377" i="3" s="1"/>
  <c r="BI377" i="3"/>
  <c r="AL377" i="3"/>
  <c r="Y377" i="3"/>
  <c r="B377" i="3"/>
  <c r="D377" i="3" s="1"/>
  <c r="CS376" i="3"/>
  <c r="BV376" i="3"/>
  <c r="BX376" i="3" s="1"/>
  <c r="BI376" i="3"/>
  <c r="AL376" i="3"/>
  <c r="AN376" i="3" s="1"/>
  <c r="Y376" i="3"/>
  <c r="B376" i="3"/>
  <c r="D376" i="3" s="1"/>
  <c r="CS375" i="3"/>
  <c r="BV375" i="3"/>
  <c r="BX375" i="3" s="1"/>
  <c r="BI375" i="3"/>
  <c r="AL375" i="3"/>
  <c r="Y375" i="3"/>
  <c r="D375" i="3"/>
  <c r="B375" i="3"/>
  <c r="CS374" i="3"/>
  <c r="BV374" i="3"/>
  <c r="BI374" i="3"/>
  <c r="AL374" i="3"/>
  <c r="AN374" i="3" s="1"/>
  <c r="Y374" i="3"/>
  <c r="B374" i="3"/>
  <c r="CS373" i="3"/>
  <c r="BV373" i="3"/>
  <c r="BX373" i="3" s="1"/>
  <c r="BI373" i="3"/>
  <c r="AL373" i="3"/>
  <c r="AN373" i="3" s="1"/>
  <c r="Y373" i="3"/>
  <c r="B373" i="3"/>
  <c r="D373" i="3" s="1"/>
  <c r="CS372" i="3"/>
  <c r="BV372" i="3"/>
  <c r="BI372" i="3"/>
  <c r="AL372" i="3"/>
  <c r="Y372" i="3"/>
  <c r="B372" i="3"/>
  <c r="D372" i="3" s="1"/>
  <c r="CS371" i="3"/>
  <c r="BV371" i="3"/>
  <c r="BI371" i="3"/>
  <c r="AL371" i="3"/>
  <c r="AN371" i="3" s="1"/>
  <c r="Y371" i="3"/>
  <c r="B371" i="3"/>
  <c r="D371" i="3" s="1"/>
  <c r="CS370" i="3"/>
  <c r="BV370" i="3"/>
  <c r="BX370" i="3" s="1"/>
  <c r="BI370" i="3"/>
  <c r="AL370" i="3"/>
  <c r="AN370" i="3" s="1"/>
  <c r="Y370" i="3"/>
  <c r="B370" i="3"/>
  <c r="D370" i="3" s="1"/>
  <c r="CS369" i="3"/>
  <c r="BV369" i="3"/>
  <c r="BI369" i="3"/>
  <c r="AL369" i="3"/>
  <c r="AN369" i="3" s="1"/>
  <c r="Y369" i="3"/>
  <c r="B369" i="3"/>
  <c r="D369" i="3" s="1"/>
  <c r="CS368" i="3"/>
  <c r="BV368" i="3"/>
  <c r="BX368" i="3" s="1"/>
  <c r="BI368" i="3"/>
  <c r="AL368" i="3"/>
  <c r="Y368" i="3"/>
  <c r="B368" i="3"/>
  <c r="D368" i="3" s="1"/>
  <c r="BV367" i="3"/>
  <c r="BX367" i="3" s="1"/>
  <c r="AL367" i="3"/>
  <c r="AN367" i="3" s="1"/>
  <c r="B367" i="3"/>
  <c r="CS366" i="3"/>
  <c r="BV366" i="3"/>
  <c r="BX366" i="3" s="1"/>
  <c r="BI366" i="3"/>
  <c r="AL366" i="3"/>
  <c r="AN366" i="3" s="1"/>
  <c r="Y366" i="3"/>
  <c r="B366" i="3"/>
  <c r="D366" i="3" s="1"/>
  <c r="CS365" i="3"/>
  <c r="BV365" i="3"/>
  <c r="BX365" i="3" s="1"/>
  <c r="BI365" i="3"/>
  <c r="AL365" i="3"/>
  <c r="AN365" i="3" s="1"/>
  <c r="Y365" i="3"/>
  <c r="B365" i="3"/>
  <c r="D365" i="3" s="1"/>
  <c r="CS364" i="3"/>
  <c r="BV364" i="3"/>
  <c r="BX364" i="3" s="1"/>
  <c r="BI364" i="3"/>
  <c r="AL364" i="3"/>
  <c r="AN364" i="3" s="1"/>
  <c r="Y364" i="3"/>
  <c r="B364" i="3"/>
  <c r="D364" i="3" s="1"/>
  <c r="CS363" i="3"/>
  <c r="BV363" i="3"/>
  <c r="BX363" i="3" s="1"/>
  <c r="BI363" i="3"/>
  <c r="AL363" i="3"/>
  <c r="Y363" i="3"/>
  <c r="B363" i="3"/>
  <c r="D363" i="3" s="1"/>
  <c r="CS362" i="3"/>
  <c r="BV362" i="3"/>
  <c r="BX362" i="3" s="1"/>
  <c r="BI362" i="3"/>
  <c r="AL362" i="3"/>
  <c r="AN362" i="3" s="1"/>
  <c r="Y362" i="3"/>
  <c r="B362" i="3"/>
  <c r="D362" i="3" s="1"/>
  <c r="CS361" i="3"/>
  <c r="BV361" i="3"/>
  <c r="BX361" i="3" s="1"/>
  <c r="BI361" i="3"/>
  <c r="AL361" i="3"/>
  <c r="AN361" i="3" s="1"/>
  <c r="Y361" i="3"/>
  <c r="B361" i="3"/>
  <c r="D361" i="3" s="1"/>
  <c r="CS360" i="3"/>
  <c r="BV360" i="3"/>
  <c r="BI360" i="3"/>
  <c r="AL360" i="3"/>
  <c r="AN360" i="3" s="1"/>
  <c r="Y360" i="3"/>
  <c r="B360" i="3"/>
  <c r="D360" i="3" s="1"/>
  <c r="CS359" i="3"/>
  <c r="BV359" i="3"/>
  <c r="BX359" i="3" s="1"/>
  <c r="BI359" i="3"/>
  <c r="AL359" i="3"/>
  <c r="AN359" i="3" s="1"/>
  <c r="Y359" i="3"/>
  <c r="B359" i="3"/>
  <c r="D359" i="3" s="1"/>
  <c r="CS358" i="3"/>
  <c r="BV358" i="3"/>
  <c r="BX358" i="3" s="1"/>
  <c r="BI358" i="3"/>
  <c r="AL358" i="3"/>
  <c r="AN358" i="3" s="1"/>
  <c r="Y358" i="3"/>
  <c r="B358" i="3"/>
  <c r="D358" i="3" s="1"/>
  <c r="CS357" i="3"/>
  <c r="BV357" i="3"/>
  <c r="BX357" i="3" s="1"/>
  <c r="BI357" i="3"/>
  <c r="AL357" i="3"/>
  <c r="AN357" i="3" s="1"/>
  <c r="Y357" i="3"/>
  <c r="B357" i="3"/>
  <c r="CS356" i="3"/>
  <c r="BV356" i="3"/>
  <c r="BX356" i="3" s="1"/>
  <c r="BI356" i="3"/>
  <c r="AL356" i="3"/>
  <c r="AN356" i="3" s="1"/>
  <c r="Y356" i="3"/>
  <c r="B356" i="3"/>
  <c r="D356" i="3" s="1"/>
  <c r="BV355" i="3"/>
  <c r="BX355" i="3" s="1"/>
  <c r="AL355" i="3"/>
  <c r="AN355" i="3" s="1"/>
  <c r="B355" i="3"/>
  <c r="D355" i="3" s="1"/>
  <c r="CS354" i="3"/>
  <c r="BV354" i="3"/>
  <c r="BX354" i="3" s="1"/>
  <c r="BI354" i="3"/>
  <c r="AL354" i="3"/>
  <c r="AN354" i="3" s="1"/>
  <c r="Y354" i="3"/>
  <c r="B354" i="3"/>
  <c r="D354" i="3" s="1"/>
  <c r="CS353" i="3"/>
  <c r="BV353" i="3"/>
  <c r="BX353" i="3" s="1"/>
  <c r="BI353" i="3"/>
  <c r="AL353" i="3"/>
  <c r="AN353" i="3" s="1"/>
  <c r="Y353" i="3"/>
  <c r="B353" i="3"/>
  <c r="D353" i="3" s="1"/>
  <c r="CS352" i="3"/>
  <c r="BV352" i="3"/>
  <c r="BX352" i="3" s="1"/>
  <c r="BI352" i="3"/>
  <c r="AL352" i="3"/>
  <c r="AN352" i="3" s="1"/>
  <c r="Y352" i="3"/>
  <c r="B352" i="3"/>
  <c r="D352" i="3" s="1"/>
  <c r="CS351" i="3"/>
  <c r="BV351" i="3"/>
  <c r="BX351" i="3" s="1"/>
  <c r="BI351" i="3"/>
  <c r="AL351" i="3"/>
  <c r="AN351" i="3" s="1"/>
  <c r="Y351" i="3"/>
  <c r="B351" i="3"/>
  <c r="D351" i="3" s="1"/>
  <c r="CS350" i="3"/>
  <c r="BV350" i="3"/>
  <c r="BX350" i="3" s="1"/>
  <c r="BI350" i="3"/>
  <c r="AL350" i="3"/>
  <c r="AN350" i="3" s="1"/>
  <c r="Y350" i="3"/>
  <c r="B350" i="3"/>
  <c r="D350" i="3" s="1"/>
  <c r="CS349" i="3"/>
  <c r="BV349" i="3"/>
  <c r="BX349" i="3" s="1"/>
  <c r="BI349" i="3"/>
  <c r="AL349" i="3"/>
  <c r="AN349" i="3" s="1"/>
  <c r="Y349" i="3"/>
  <c r="B349" i="3"/>
  <c r="D349" i="3" s="1"/>
  <c r="CS348" i="3"/>
  <c r="BV348" i="3"/>
  <c r="BX348" i="3" s="1"/>
  <c r="BI348" i="3"/>
  <c r="AL348" i="3"/>
  <c r="Y348" i="3"/>
  <c r="B348" i="3"/>
  <c r="D348" i="3" s="1"/>
  <c r="CS347" i="3"/>
  <c r="BV347" i="3"/>
  <c r="BX347" i="3" s="1"/>
  <c r="BI347" i="3"/>
  <c r="AL347" i="3"/>
  <c r="AN347" i="3" s="1"/>
  <c r="Y347" i="3"/>
  <c r="B347" i="3"/>
  <c r="D347" i="3" s="1"/>
  <c r="CS346" i="3"/>
  <c r="BV346" i="3"/>
  <c r="BX346" i="3" s="1"/>
  <c r="BI346" i="3"/>
  <c r="AL346" i="3"/>
  <c r="Y346" i="3"/>
  <c r="B346" i="3"/>
  <c r="D346" i="3" s="1"/>
  <c r="CS345" i="3"/>
  <c r="BV345" i="3"/>
  <c r="BI345" i="3"/>
  <c r="AL345" i="3"/>
  <c r="AN345" i="3" s="1"/>
  <c r="Y345" i="3"/>
  <c r="B345" i="3"/>
  <c r="D345" i="3" s="1"/>
  <c r="CS344" i="3"/>
  <c r="BV344" i="3"/>
  <c r="BX344" i="3" s="1"/>
  <c r="BI344" i="3"/>
  <c r="AL344" i="3"/>
  <c r="AN344" i="3" s="1"/>
  <c r="Y344" i="3"/>
  <c r="B344" i="3"/>
  <c r="D344" i="3" s="1"/>
  <c r="BV343" i="3"/>
  <c r="AL343" i="3"/>
  <c r="AN343" i="3" s="1"/>
  <c r="B343" i="3"/>
  <c r="D343" i="3" s="1"/>
  <c r="CS342" i="3"/>
  <c r="BV342" i="3"/>
  <c r="BX342" i="3" s="1"/>
  <c r="BI342" i="3"/>
  <c r="AL342" i="3"/>
  <c r="Y342" i="3"/>
  <c r="B342" i="3"/>
  <c r="D342" i="3" s="1"/>
  <c r="CS341" i="3"/>
  <c r="BV341" i="3"/>
  <c r="BX341" i="3" s="1"/>
  <c r="BI341" i="3"/>
  <c r="AL341" i="3"/>
  <c r="AN341" i="3" s="1"/>
  <c r="Y341" i="3"/>
  <c r="B341" i="3"/>
  <c r="CS340" i="3"/>
  <c r="BV340" i="3"/>
  <c r="BI340" i="3"/>
  <c r="AL340" i="3"/>
  <c r="AN340" i="3" s="1"/>
  <c r="Y340" i="3"/>
  <c r="B340" i="3"/>
  <c r="D340" i="3" s="1"/>
  <c r="CS339" i="3"/>
  <c r="BV339" i="3"/>
  <c r="BX339" i="3" s="1"/>
  <c r="BI339" i="3"/>
  <c r="AL339" i="3"/>
  <c r="AN339" i="3" s="1"/>
  <c r="Y339" i="3"/>
  <c r="B339" i="3"/>
  <c r="D339" i="3" s="1"/>
  <c r="CS338" i="3"/>
  <c r="BV338" i="3"/>
  <c r="BX338" i="3" s="1"/>
  <c r="BI338" i="3"/>
  <c r="AL338" i="3"/>
  <c r="AN338" i="3" s="1"/>
  <c r="Y338" i="3"/>
  <c r="B338" i="3"/>
  <c r="CS337" i="3"/>
  <c r="BV337" i="3"/>
  <c r="BI337" i="3"/>
  <c r="AL337" i="3"/>
  <c r="AN337" i="3" s="1"/>
  <c r="Y337" i="3"/>
  <c r="B337" i="3"/>
  <c r="D337" i="3" s="1"/>
  <c r="CS336" i="3"/>
  <c r="BV336" i="3"/>
  <c r="BX336" i="3" s="1"/>
  <c r="BI336" i="3"/>
  <c r="AL336" i="3"/>
  <c r="AN336" i="3" s="1"/>
  <c r="Y336" i="3"/>
  <c r="B336" i="3"/>
  <c r="D336" i="3" s="1"/>
  <c r="CS335" i="3"/>
  <c r="BV335" i="3"/>
  <c r="BX335" i="3" s="1"/>
  <c r="BI335" i="3"/>
  <c r="AL335" i="3"/>
  <c r="Y335" i="3"/>
  <c r="B335" i="3"/>
  <c r="CS334" i="3"/>
  <c r="BV334" i="3"/>
  <c r="BX334" i="3" s="1"/>
  <c r="BI334" i="3"/>
  <c r="AL334" i="3"/>
  <c r="AN334" i="3" s="1"/>
  <c r="Y334" i="3"/>
  <c r="B334" i="3"/>
  <c r="D334" i="3" s="1"/>
  <c r="CS333" i="3"/>
  <c r="BV333" i="3"/>
  <c r="BX333" i="3" s="1"/>
  <c r="BI333" i="3"/>
  <c r="AL333" i="3"/>
  <c r="AN333" i="3" s="1"/>
  <c r="Y333" i="3"/>
  <c r="B333" i="3"/>
  <c r="D333" i="3" s="1"/>
  <c r="CS332" i="3"/>
  <c r="BV332" i="3"/>
  <c r="BI332" i="3"/>
  <c r="AL332" i="3"/>
  <c r="Y332" i="3"/>
  <c r="B332" i="3"/>
  <c r="D332" i="3" s="1"/>
  <c r="BV331" i="3"/>
  <c r="BX331" i="3" s="1"/>
  <c r="AL331" i="3"/>
  <c r="AN331" i="3" s="1"/>
  <c r="B331" i="3"/>
  <c r="CS330" i="3"/>
  <c r="BV330" i="3"/>
  <c r="BX330" i="3" s="1"/>
  <c r="BI330" i="3"/>
  <c r="AL330" i="3"/>
  <c r="AN330" i="3" s="1"/>
  <c r="Y330" i="3"/>
  <c r="B330" i="3"/>
  <c r="D330" i="3" s="1"/>
  <c r="CS329" i="3"/>
  <c r="BV329" i="3"/>
  <c r="BX329" i="3" s="1"/>
  <c r="BI329" i="3"/>
  <c r="AL329" i="3"/>
  <c r="AN329" i="3" s="1"/>
  <c r="Y329" i="3"/>
  <c r="B329" i="3"/>
  <c r="D329" i="3" s="1"/>
  <c r="CS328" i="3"/>
  <c r="BV328" i="3"/>
  <c r="BI328" i="3"/>
  <c r="AL328" i="3"/>
  <c r="Y328" i="3"/>
  <c r="B328" i="3"/>
  <c r="D328" i="3" s="1"/>
  <c r="CS327" i="3"/>
  <c r="BV327" i="3"/>
  <c r="BX327" i="3" s="1"/>
  <c r="BI327" i="3"/>
  <c r="AL327" i="3"/>
  <c r="AN327" i="3" s="1"/>
  <c r="Y327" i="3"/>
  <c r="B327" i="3"/>
  <c r="D327" i="3" s="1"/>
  <c r="CS326" i="3"/>
  <c r="BV326" i="3"/>
  <c r="BX326" i="3" s="1"/>
  <c r="BI326" i="3"/>
  <c r="AL326" i="3"/>
  <c r="AN326" i="3" s="1"/>
  <c r="Y326" i="3"/>
  <c r="B326" i="3"/>
  <c r="D326" i="3" s="1"/>
  <c r="CS325" i="3"/>
  <c r="BV325" i="3"/>
  <c r="BX325" i="3" s="1"/>
  <c r="BI325" i="3"/>
  <c r="AL325" i="3"/>
  <c r="AN325" i="3" s="1"/>
  <c r="Y325" i="3"/>
  <c r="B325" i="3"/>
  <c r="D325" i="3" s="1"/>
  <c r="CS324" i="3"/>
  <c r="BV324" i="3"/>
  <c r="BX324" i="3" s="1"/>
  <c r="BI324" i="3"/>
  <c r="AL324" i="3"/>
  <c r="AN324" i="3" s="1"/>
  <c r="Y324" i="3"/>
  <c r="B324" i="3"/>
  <c r="D324" i="3" s="1"/>
  <c r="CS323" i="3"/>
  <c r="BV323" i="3"/>
  <c r="BX323" i="3" s="1"/>
  <c r="BI323" i="3"/>
  <c r="AL323" i="3"/>
  <c r="AN323" i="3" s="1"/>
  <c r="Y323" i="3"/>
  <c r="B323" i="3"/>
  <c r="D323" i="3" s="1"/>
  <c r="CS322" i="3"/>
  <c r="BV322" i="3"/>
  <c r="BX322" i="3" s="1"/>
  <c r="BI322" i="3"/>
  <c r="AL322" i="3"/>
  <c r="AN322" i="3" s="1"/>
  <c r="Y322" i="3"/>
  <c r="B322" i="3"/>
  <c r="D322" i="3" s="1"/>
  <c r="CS321" i="3"/>
  <c r="BV321" i="3"/>
  <c r="BX321" i="3" s="1"/>
  <c r="BI321" i="3"/>
  <c r="AL321" i="3"/>
  <c r="AN321" i="3" s="1"/>
  <c r="Y321" i="3"/>
  <c r="B321" i="3"/>
  <c r="D321" i="3" s="1"/>
  <c r="CS320" i="3"/>
  <c r="BV320" i="3"/>
  <c r="BX320" i="3" s="1"/>
  <c r="BI320" i="3"/>
  <c r="AL320" i="3"/>
  <c r="Y320" i="3"/>
  <c r="B320" i="3"/>
  <c r="D320" i="3" s="1"/>
  <c r="BV319" i="3"/>
  <c r="BX319" i="3" s="1"/>
  <c r="AL319" i="3"/>
  <c r="AN319" i="3" s="1"/>
  <c r="B319" i="3"/>
  <c r="D319" i="3" s="1"/>
  <c r="CS318" i="3"/>
  <c r="BV318" i="3"/>
  <c r="BX318" i="3" s="1"/>
  <c r="BI318" i="3"/>
  <c r="AN318" i="3"/>
  <c r="AL318" i="3"/>
  <c r="Y318" i="3"/>
  <c r="B318" i="3"/>
  <c r="D318" i="3" s="1"/>
  <c r="CS317" i="3"/>
  <c r="BV317" i="3"/>
  <c r="BI317" i="3"/>
  <c r="AL317" i="3"/>
  <c r="AN317" i="3" s="1"/>
  <c r="Y317" i="3"/>
  <c r="B317" i="3"/>
  <c r="CS316" i="3"/>
  <c r="BV316" i="3"/>
  <c r="BX316" i="3" s="1"/>
  <c r="BI316" i="3"/>
  <c r="AL316" i="3"/>
  <c r="AN316" i="3" s="1"/>
  <c r="Y316" i="3"/>
  <c r="B316" i="3"/>
  <c r="D316" i="3" s="1"/>
  <c r="CS315" i="3"/>
  <c r="BV315" i="3"/>
  <c r="BX315" i="3" s="1"/>
  <c r="BI315" i="3"/>
  <c r="AL315" i="3"/>
  <c r="AN315" i="3" s="1"/>
  <c r="Y315" i="3"/>
  <c r="B315" i="3"/>
  <c r="D315" i="3" s="1"/>
  <c r="CS314" i="3"/>
  <c r="BV314" i="3"/>
  <c r="BX314" i="3" s="1"/>
  <c r="BI314" i="3"/>
  <c r="AL314" i="3"/>
  <c r="Y314" i="3"/>
  <c r="B314" i="3"/>
  <c r="D314" i="3" s="1"/>
  <c r="CS313" i="3"/>
  <c r="BV313" i="3"/>
  <c r="BX313" i="3" s="1"/>
  <c r="BI313" i="3"/>
  <c r="AL313" i="3"/>
  <c r="AN313" i="3" s="1"/>
  <c r="Y313" i="3"/>
  <c r="B313" i="3"/>
  <c r="D313" i="3" s="1"/>
  <c r="CS312" i="3"/>
  <c r="BV312" i="3"/>
  <c r="BX312" i="3" s="1"/>
  <c r="BI312" i="3"/>
  <c r="AL312" i="3"/>
  <c r="AN312" i="3" s="1"/>
  <c r="Y312" i="3"/>
  <c r="B312" i="3"/>
  <c r="D312" i="3" s="1"/>
  <c r="CS311" i="3"/>
  <c r="BV311" i="3"/>
  <c r="BI311" i="3"/>
  <c r="AL311" i="3"/>
  <c r="AN311" i="3" s="1"/>
  <c r="Y311" i="3"/>
  <c r="B311" i="3"/>
  <c r="CS310" i="3"/>
  <c r="BV310" i="3"/>
  <c r="BX310" i="3" s="1"/>
  <c r="BI310" i="3"/>
  <c r="AL310" i="3"/>
  <c r="AN310" i="3" s="1"/>
  <c r="Y310" i="3"/>
  <c r="B310" i="3"/>
  <c r="D310" i="3" s="1"/>
  <c r="CS309" i="3"/>
  <c r="BV309" i="3"/>
  <c r="BX309" i="3" s="1"/>
  <c r="BI309" i="3"/>
  <c r="AL309" i="3"/>
  <c r="AN309" i="3" s="1"/>
  <c r="Y309" i="3"/>
  <c r="B309" i="3"/>
  <c r="CS308" i="3"/>
  <c r="BV308" i="3"/>
  <c r="BX308" i="3" s="1"/>
  <c r="BI308" i="3"/>
  <c r="AL308" i="3"/>
  <c r="Y308" i="3"/>
  <c r="B308" i="3"/>
  <c r="D308" i="3" s="1"/>
  <c r="BV307" i="3"/>
  <c r="BX307" i="3" s="1"/>
  <c r="AL307" i="3"/>
  <c r="AN307" i="3" s="1"/>
  <c r="B307" i="3"/>
  <c r="D307" i="3" s="1"/>
  <c r="CS306" i="3"/>
  <c r="BV306" i="3"/>
  <c r="BX306" i="3" s="1"/>
  <c r="BI306" i="3"/>
  <c r="AL306" i="3"/>
  <c r="Y306" i="3"/>
  <c r="B306" i="3"/>
  <c r="D306" i="3" s="1"/>
  <c r="CS305" i="3"/>
  <c r="BV305" i="3"/>
  <c r="BI305" i="3"/>
  <c r="AL305" i="3"/>
  <c r="AN305" i="3" s="1"/>
  <c r="Y305" i="3"/>
  <c r="B305" i="3"/>
  <c r="CS304" i="3"/>
  <c r="BV304" i="3"/>
  <c r="BX304" i="3" s="1"/>
  <c r="BI304" i="3"/>
  <c r="AL304" i="3"/>
  <c r="AN304" i="3" s="1"/>
  <c r="Y304" i="3"/>
  <c r="B304" i="3"/>
  <c r="D304" i="3" s="1"/>
  <c r="CS303" i="3"/>
  <c r="BV303" i="3"/>
  <c r="BX303" i="3" s="1"/>
  <c r="BI303" i="3"/>
  <c r="AL303" i="3"/>
  <c r="AN303" i="3" s="1"/>
  <c r="Y303" i="3"/>
  <c r="B303" i="3"/>
  <c r="CS302" i="3"/>
  <c r="BV302" i="3"/>
  <c r="BX302" i="3" s="1"/>
  <c r="BI302" i="3"/>
  <c r="AL302" i="3"/>
  <c r="Y302" i="3"/>
  <c r="B302" i="3"/>
  <c r="D302" i="3" s="1"/>
  <c r="CS301" i="3"/>
  <c r="BV301" i="3"/>
  <c r="BX301" i="3" s="1"/>
  <c r="BI301" i="3"/>
  <c r="AL301" i="3"/>
  <c r="AN301" i="3" s="1"/>
  <c r="Y301" i="3"/>
  <c r="B301" i="3"/>
  <c r="D301" i="3" s="1"/>
  <c r="CS300" i="3"/>
  <c r="BV300" i="3"/>
  <c r="BX300" i="3" s="1"/>
  <c r="BI300" i="3"/>
  <c r="AL300" i="3"/>
  <c r="Y300" i="3"/>
  <c r="D300" i="3"/>
  <c r="B300" i="3"/>
  <c r="CS299" i="3"/>
  <c r="BV299" i="3"/>
  <c r="BI299" i="3"/>
  <c r="AL299" i="3"/>
  <c r="AN299" i="3" s="1"/>
  <c r="Y299" i="3"/>
  <c r="B299" i="3"/>
  <c r="D299" i="3" s="1"/>
  <c r="CS298" i="3"/>
  <c r="BV298" i="3"/>
  <c r="BX298" i="3" s="1"/>
  <c r="BI298" i="3"/>
  <c r="AL298" i="3"/>
  <c r="AN298" i="3" s="1"/>
  <c r="Y298" i="3"/>
  <c r="B298" i="3"/>
  <c r="D298" i="3" s="1"/>
  <c r="CS297" i="3"/>
  <c r="BV297" i="3"/>
  <c r="BX297" i="3" s="1"/>
  <c r="BI297" i="3"/>
  <c r="AL297" i="3"/>
  <c r="AN297" i="3" s="1"/>
  <c r="Y297" i="3"/>
  <c r="D297" i="3"/>
  <c r="B297" i="3"/>
  <c r="CS296" i="3"/>
  <c r="BV296" i="3"/>
  <c r="BX296" i="3" s="1"/>
  <c r="BI296" i="3"/>
  <c r="AL296" i="3"/>
  <c r="AN296" i="3" s="1"/>
  <c r="Y296" i="3"/>
  <c r="B296" i="3"/>
  <c r="D296" i="3" s="1"/>
  <c r="BV295" i="3"/>
  <c r="BX295" i="3" s="1"/>
  <c r="AL295" i="3"/>
  <c r="AN295" i="3" s="1"/>
  <c r="B295" i="3"/>
  <c r="D295" i="3" s="1"/>
  <c r="CS294" i="3"/>
  <c r="BV294" i="3"/>
  <c r="BX294" i="3" s="1"/>
  <c r="BI294" i="3"/>
  <c r="AL294" i="3"/>
  <c r="AN294" i="3" s="1"/>
  <c r="Y294" i="3"/>
  <c r="B294" i="3"/>
  <c r="D294" i="3" s="1"/>
  <c r="CS293" i="3"/>
  <c r="BV293" i="3"/>
  <c r="BX293" i="3" s="1"/>
  <c r="BI293" i="3"/>
  <c r="AL293" i="3"/>
  <c r="AN293" i="3" s="1"/>
  <c r="Y293" i="3"/>
  <c r="B293" i="3"/>
  <c r="D293" i="3" s="1"/>
  <c r="CS292" i="3"/>
  <c r="BV292" i="3"/>
  <c r="BX292" i="3" s="1"/>
  <c r="BI292" i="3"/>
  <c r="AL292" i="3"/>
  <c r="AN292" i="3" s="1"/>
  <c r="Y292" i="3"/>
  <c r="B292" i="3"/>
  <c r="D292" i="3" s="1"/>
  <c r="CS291" i="3"/>
  <c r="BV291" i="3"/>
  <c r="BX291" i="3" s="1"/>
  <c r="BI291" i="3"/>
  <c r="AL291" i="3"/>
  <c r="AN291" i="3" s="1"/>
  <c r="Y291" i="3"/>
  <c r="B291" i="3"/>
  <c r="D291" i="3" s="1"/>
  <c r="CS290" i="3"/>
  <c r="BV290" i="3"/>
  <c r="BX290" i="3" s="1"/>
  <c r="BI290" i="3"/>
  <c r="AL290" i="3"/>
  <c r="AN290" i="3" s="1"/>
  <c r="Y290" i="3"/>
  <c r="B290" i="3"/>
  <c r="D290" i="3" s="1"/>
  <c r="CS289" i="3"/>
  <c r="BV289" i="3"/>
  <c r="BI289" i="3"/>
  <c r="AL289" i="3"/>
  <c r="AN289" i="3" s="1"/>
  <c r="Y289" i="3"/>
  <c r="B289" i="3"/>
  <c r="D289" i="3" s="1"/>
  <c r="CS288" i="3"/>
  <c r="BV288" i="3"/>
  <c r="BX288" i="3" s="1"/>
  <c r="BI288" i="3"/>
  <c r="AL288" i="3"/>
  <c r="AN288" i="3" s="1"/>
  <c r="Y288" i="3"/>
  <c r="B288" i="3"/>
  <c r="D288" i="3" s="1"/>
  <c r="CS287" i="3"/>
  <c r="BV287" i="3"/>
  <c r="BX287" i="3" s="1"/>
  <c r="BI287" i="3"/>
  <c r="AL287" i="3"/>
  <c r="AN287" i="3" s="1"/>
  <c r="Y287" i="3"/>
  <c r="B287" i="3"/>
  <c r="D287" i="3" s="1"/>
  <c r="CS286" i="3"/>
  <c r="BV286" i="3"/>
  <c r="BX286" i="3" s="1"/>
  <c r="BI286" i="3"/>
  <c r="AL286" i="3"/>
  <c r="AN286" i="3" s="1"/>
  <c r="Y286" i="3"/>
  <c r="B286" i="3"/>
  <c r="D286" i="3" s="1"/>
  <c r="CS285" i="3"/>
  <c r="BV285" i="3"/>
  <c r="BX285" i="3" s="1"/>
  <c r="BI285" i="3"/>
  <c r="AL285" i="3"/>
  <c r="AN285" i="3" s="1"/>
  <c r="Y285" i="3"/>
  <c r="B285" i="3"/>
  <c r="D285" i="3" s="1"/>
  <c r="CS284" i="3"/>
  <c r="BV284" i="3"/>
  <c r="BI284" i="3"/>
  <c r="AL284" i="3"/>
  <c r="Y284" i="3"/>
  <c r="B284" i="3"/>
  <c r="D284" i="3" s="1"/>
  <c r="BV283" i="3"/>
  <c r="BX283" i="3" s="1"/>
  <c r="AL283" i="3"/>
  <c r="AN283" i="3" s="1"/>
  <c r="B283" i="3"/>
  <c r="D283" i="3" s="1"/>
  <c r="CS282" i="3"/>
  <c r="BV282" i="3"/>
  <c r="BX282" i="3" s="1"/>
  <c r="BI282" i="3"/>
  <c r="AL282" i="3"/>
  <c r="AN282" i="3" s="1"/>
  <c r="Y282" i="3"/>
  <c r="B282" i="3"/>
  <c r="CS281" i="3"/>
  <c r="BV281" i="3"/>
  <c r="BX281" i="3" s="1"/>
  <c r="BI281" i="3"/>
  <c r="AL281" i="3"/>
  <c r="AN281" i="3" s="1"/>
  <c r="Y281" i="3"/>
  <c r="B281" i="3"/>
  <c r="D281" i="3" s="1"/>
  <c r="CS280" i="3"/>
  <c r="BV280" i="3"/>
  <c r="BX280" i="3" s="1"/>
  <c r="BI280" i="3"/>
  <c r="AL280" i="3"/>
  <c r="AN280" i="3" s="1"/>
  <c r="Y280" i="3"/>
  <c r="B280" i="3"/>
  <c r="D280" i="3" s="1"/>
  <c r="CS279" i="3"/>
  <c r="BV279" i="3"/>
  <c r="BX279" i="3" s="1"/>
  <c r="BI279" i="3"/>
  <c r="AL279" i="3"/>
  <c r="AN279" i="3" s="1"/>
  <c r="Y279" i="3"/>
  <c r="B279" i="3"/>
  <c r="CS278" i="3"/>
  <c r="BV278" i="3"/>
  <c r="BX278" i="3" s="1"/>
  <c r="BI278" i="3"/>
  <c r="AL278" i="3"/>
  <c r="AN278" i="3" s="1"/>
  <c r="Y278" i="3"/>
  <c r="B278" i="3"/>
  <c r="D278" i="3" s="1"/>
  <c r="CS277" i="3"/>
  <c r="BV277" i="3"/>
  <c r="BX277" i="3" s="1"/>
  <c r="BI277" i="3"/>
  <c r="AL277" i="3"/>
  <c r="AN277" i="3" s="1"/>
  <c r="Y277" i="3"/>
  <c r="B277" i="3"/>
  <c r="D277" i="3" s="1"/>
  <c r="CS276" i="3"/>
  <c r="BV276" i="3"/>
  <c r="BX276" i="3" s="1"/>
  <c r="BI276" i="3"/>
  <c r="AL276" i="3"/>
  <c r="AN276" i="3" s="1"/>
  <c r="Y276" i="3"/>
  <c r="B276" i="3"/>
  <c r="D276" i="3" s="1"/>
  <c r="CS275" i="3"/>
  <c r="BV275" i="3"/>
  <c r="BX275" i="3" s="1"/>
  <c r="BI275" i="3"/>
  <c r="AL275" i="3"/>
  <c r="AN275" i="3" s="1"/>
  <c r="Y275" i="3"/>
  <c r="B275" i="3"/>
  <c r="D275" i="3" s="1"/>
  <c r="CS274" i="3"/>
  <c r="BV274" i="3"/>
  <c r="BX274" i="3" s="1"/>
  <c r="BI274" i="3"/>
  <c r="AL274" i="3"/>
  <c r="AN274" i="3" s="1"/>
  <c r="Y274" i="3"/>
  <c r="B274" i="3"/>
  <c r="D274" i="3" s="1"/>
  <c r="CS273" i="3"/>
  <c r="BV273" i="3"/>
  <c r="BX273" i="3" s="1"/>
  <c r="BI273" i="3"/>
  <c r="AL273" i="3"/>
  <c r="AN273" i="3" s="1"/>
  <c r="Y273" i="3"/>
  <c r="B273" i="3"/>
  <c r="D273" i="3" s="1"/>
  <c r="CS272" i="3"/>
  <c r="BV272" i="3"/>
  <c r="BX272" i="3" s="1"/>
  <c r="BI272" i="3"/>
  <c r="AL272" i="3"/>
  <c r="AN272" i="3" s="1"/>
  <c r="Y272" i="3"/>
  <c r="B272" i="3"/>
  <c r="D272" i="3" s="1"/>
  <c r="BV271" i="3"/>
  <c r="BX271" i="3" s="1"/>
  <c r="AL271" i="3"/>
  <c r="AN271" i="3" s="1"/>
  <c r="B271" i="3"/>
  <c r="CS270" i="3"/>
  <c r="BV270" i="3"/>
  <c r="BX270" i="3" s="1"/>
  <c r="BI270" i="3"/>
  <c r="AL270" i="3"/>
  <c r="AN270" i="3" s="1"/>
  <c r="Y270" i="3"/>
  <c r="B270" i="3"/>
  <c r="D270" i="3" s="1"/>
  <c r="CS269" i="3"/>
  <c r="BV269" i="3"/>
  <c r="BX269" i="3" s="1"/>
  <c r="BI269" i="3"/>
  <c r="AL269" i="3"/>
  <c r="AN269" i="3" s="1"/>
  <c r="Y269" i="3"/>
  <c r="B269" i="3"/>
  <c r="D269" i="3" s="1"/>
  <c r="CS268" i="3"/>
  <c r="BV268" i="3"/>
  <c r="BX268" i="3" s="1"/>
  <c r="BI268" i="3"/>
  <c r="AL268" i="3"/>
  <c r="Y268" i="3"/>
  <c r="B268" i="3"/>
  <c r="D268" i="3" s="1"/>
  <c r="CS267" i="3"/>
  <c r="BV267" i="3"/>
  <c r="BX267" i="3" s="1"/>
  <c r="BI267" i="3"/>
  <c r="AL267" i="3"/>
  <c r="AN267" i="3" s="1"/>
  <c r="Y267" i="3"/>
  <c r="B267" i="3"/>
  <c r="CS266" i="3"/>
  <c r="BV266" i="3"/>
  <c r="BX266" i="3" s="1"/>
  <c r="BI266" i="3"/>
  <c r="AL266" i="3"/>
  <c r="AN266" i="3" s="1"/>
  <c r="Y266" i="3"/>
  <c r="B266" i="3"/>
  <c r="D266" i="3" s="1"/>
  <c r="CS265" i="3"/>
  <c r="BV265" i="3"/>
  <c r="BI265" i="3"/>
  <c r="AL265" i="3"/>
  <c r="AN265" i="3" s="1"/>
  <c r="Y265" i="3"/>
  <c r="B265" i="3"/>
  <c r="D265" i="3" s="1"/>
  <c r="CS264" i="3"/>
  <c r="BV264" i="3"/>
  <c r="BX264" i="3" s="1"/>
  <c r="BI264" i="3"/>
  <c r="AL264" i="3"/>
  <c r="Y264" i="3"/>
  <c r="B264" i="3"/>
  <c r="D264" i="3" s="1"/>
  <c r="CS263" i="3"/>
  <c r="BV263" i="3"/>
  <c r="BX263" i="3" s="1"/>
  <c r="BI263" i="3"/>
  <c r="AL263" i="3"/>
  <c r="AN263" i="3" s="1"/>
  <c r="Y263" i="3"/>
  <c r="B263" i="3"/>
  <c r="D263" i="3" s="1"/>
  <c r="CS262" i="3"/>
  <c r="BV262" i="3"/>
  <c r="BX262" i="3" s="1"/>
  <c r="BI262" i="3"/>
  <c r="AL262" i="3"/>
  <c r="AN262" i="3" s="1"/>
  <c r="Y262" i="3"/>
  <c r="B262" i="3"/>
  <c r="D262" i="3" s="1"/>
  <c r="CS261" i="3"/>
  <c r="BV261" i="3"/>
  <c r="BI261" i="3"/>
  <c r="AL261" i="3"/>
  <c r="AN261" i="3" s="1"/>
  <c r="Y261" i="3"/>
  <c r="B261" i="3"/>
  <c r="D261" i="3" s="1"/>
  <c r="CS260" i="3"/>
  <c r="BV260" i="3"/>
  <c r="BI260" i="3"/>
  <c r="AL260" i="3"/>
  <c r="AN260" i="3" s="1"/>
  <c r="Y260" i="3"/>
  <c r="B260" i="3"/>
  <c r="D260" i="3" s="1"/>
  <c r="BV259" i="3"/>
  <c r="BX259" i="3" s="1"/>
  <c r="AL259" i="3"/>
  <c r="AN259" i="3" s="1"/>
  <c r="B259" i="3"/>
  <c r="D259" i="3" s="1"/>
  <c r="CS258" i="3"/>
  <c r="BV258" i="3"/>
  <c r="BX258" i="3" s="1"/>
  <c r="BI258" i="3"/>
  <c r="AL258" i="3"/>
  <c r="AN258" i="3" s="1"/>
  <c r="Y258" i="3"/>
  <c r="B258" i="3"/>
  <c r="D258" i="3" s="1"/>
  <c r="CS257" i="3"/>
  <c r="BV257" i="3"/>
  <c r="BX257" i="3" s="1"/>
  <c r="BI257" i="3"/>
  <c r="AL257" i="3"/>
  <c r="AN257" i="3" s="1"/>
  <c r="Y257" i="3"/>
  <c r="B257" i="3"/>
  <c r="D257" i="3" s="1"/>
  <c r="CS256" i="3"/>
  <c r="BV256" i="3"/>
  <c r="BX256" i="3" s="1"/>
  <c r="BI256" i="3"/>
  <c r="AL256" i="3"/>
  <c r="AN256" i="3" s="1"/>
  <c r="Y256" i="3"/>
  <c r="B256" i="3"/>
  <c r="D256" i="3" s="1"/>
  <c r="CS255" i="3"/>
  <c r="BV255" i="3"/>
  <c r="BX255" i="3" s="1"/>
  <c r="BI255" i="3"/>
  <c r="AL255" i="3"/>
  <c r="AN255" i="3" s="1"/>
  <c r="Y255" i="3"/>
  <c r="B255" i="3"/>
  <c r="D255" i="3" s="1"/>
  <c r="CS254" i="3"/>
  <c r="BV254" i="3"/>
  <c r="BX254" i="3" s="1"/>
  <c r="BI254" i="3"/>
  <c r="AL254" i="3"/>
  <c r="AN254" i="3" s="1"/>
  <c r="Y254" i="3"/>
  <c r="B254" i="3"/>
  <c r="D254" i="3" s="1"/>
  <c r="CS253" i="3"/>
  <c r="BV253" i="3"/>
  <c r="BX253" i="3" s="1"/>
  <c r="BI253" i="3"/>
  <c r="AL253" i="3"/>
  <c r="AN253" i="3" s="1"/>
  <c r="Y253" i="3"/>
  <c r="B253" i="3"/>
  <c r="D253" i="3" s="1"/>
  <c r="CS252" i="3"/>
  <c r="BV252" i="3"/>
  <c r="BX252" i="3" s="1"/>
  <c r="BI252" i="3"/>
  <c r="AL252" i="3"/>
  <c r="AN252" i="3" s="1"/>
  <c r="Y252" i="3"/>
  <c r="B252" i="3"/>
  <c r="D252" i="3" s="1"/>
  <c r="CS251" i="3"/>
  <c r="BV251" i="3"/>
  <c r="BX251" i="3" s="1"/>
  <c r="BI251" i="3"/>
  <c r="AL251" i="3"/>
  <c r="AN251" i="3" s="1"/>
  <c r="Y251" i="3"/>
  <c r="B251" i="3"/>
  <c r="D251" i="3" s="1"/>
  <c r="CS250" i="3"/>
  <c r="BV250" i="3"/>
  <c r="BX250" i="3" s="1"/>
  <c r="BI250" i="3"/>
  <c r="AL250" i="3"/>
  <c r="AN250" i="3" s="1"/>
  <c r="Y250" i="3"/>
  <c r="B250" i="3"/>
  <c r="D250" i="3" s="1"/>
  <c r="CS249" i="3"/>
  <c r="BV249" i="3"/>
  <c r="BX249" i="3" s="1"/>
  <c r="BI249" i="3"/>
  <c r="AL249" i="3"/>
  <c r="AN249" i="3" s="1"/>
  <c r="Y249" i="3"/>
  <c r="B249" i="3"/>
  <c r="D249" i="3" s="1"/>
  <c r="CS248" i="3"/>
  <c r="BV248" i="3"/>
  <c r="BX248" i="3" s="1"/>
  <c r="BI248" i="3"/>
  <c r="AL248" i="3"/>
  <c r="AN248" i="3" s="1"/>
  <c r="Y248" i="3"/>
  <c r="B248" i="3"/>
  <c r="D248" i="3" s="1"/>
  <c r="BV247" i="3"/>
  <c r="BX247" i="3" s="1"/>
  <c r="AL247" i="3"/>
  <c r="AN247" i="3" s="1"/>
  <c r="B247" i="3"/>
  <c r="D247" i="3" s="1"/>
  <c r="CS246" i="3"/>
  <c r="BV246" i="3"/>
  <c r="BX246" i="3" s="1"/>
  <c r="BI246" i="3"/>
  <c r="AN246" i="3"/>
  <c r="AL246" i="3"/>
  <c r="Y246" i="3"/>
  <c r="B246" i="3"/>
  <c r="D246" i="3" s="1"/>
  <c r="CS245" i="3"/>
  <c r="BV245" i="3"/>
  <c r="BX245" i="3" s="1"/>
  <c r="BI245" i="3"/>
  <c r="AL245" i="3"/>
  <c r="AN245" i="3" s="1"/>
  <c r="Y245" i="3"/>
  <c r="B245" i="3"/>
  <c r="CS244" i="3"/>
  <c r="BV244" i="3"/>
  <c r="BX244" i="3" s="1"/>
  <c r="BI244" i="3"/>
  <c r="AL244" i="3"/>
  <c r="AN244" i="3" s="1"/>
  <c r="Y244" i="3"/>
  <c r="B244" i="3"/>
  <c r="D244" i="3" s="1"/>
  <c r="CS243" i="3"/>
  <c r="BV243" i="3"/>
  <c r="BX243" i="3" s="1"/>
  <c r="BI243" i="3"/>
  <c r="AL243" i="3"/>
  <c r="AN243" i="3" s="1"/>
  <c r="Y243" i="3"/>
  <c r="B243" i="3"/>
  <c r="D243" i="3" s="1"/>
  <c r="CS242" i="3"/>
  <c r="BV242" i="3"/>
  <c r="BX242" i="3" s="1"/>
  <c r="BI242" i="3"/>
  <c r="AL242" i="3"/>
  <c r="Y242" i="3"/>
  <c r="B242" i="3"/>
  <c r="D242" i="3" s="1"/>
  <c r="CS241" i="3"/>
  <c r="BV241" i="3"/>
  <c r="BX241" i="3" s="1"/>
  <c r="BI241" i="3"/>
  <c r="AL241" i="3"/>
  <c r="AN241" i="3" s="1"/>
  <c r="Y241" i="3"/>
  <c r="B241" i="3"/>
  <c r="D241" i="3" s="1"/>
  <c r="CS240" i="3"/>
  <c r="BV240" i="3"/>
  <c r="BX240" i="3" s="1"/>
  <c r="BI240" i="3"/>
  <c r="AL240" i="3"/>
  <c r="AN240" i="3" s="1"/>
  <c r="Y240" i="3"/>
  <c r="B240" i="3"/>
  <c r="D240" i="3" s="1"/>
  <c r="CS239" i="3"/>
  <c r="BV239" i="3"/>
  <c r="BI239" i="3"/>
  <c r="AL239" i="3"/>
  <c r="AN239" i="3" s="1"/>
  <c r="Y239" i="3"/>
  <c r="B239" i="3"/>
  <c r="D239" i="3" s="1"/>
  <c r="CS238" i="3"/>
  <c r="BV238" i="3"/>
  <c r="BX238" i="3" s="1"/>
  <c r="BI238" i="3"/>
  <c r="AL238" i="3"/>
  <c r="AN238" i="3" s="1"/>
  <c r="Y238" i="3"/>
  <c r="B238" i="3"/>
  <c r="D238" i="3" s="1"/>
  <c r="CS237" i="3"/>
  <c r="BV237" i="3"/>
  <c r="BI237" i="3"/>
  <c r="AL237" i="3"/>
  <c r="AN237" i="3" s="1"/>
  <c r="Y237" i="3"/>
  <c r="B237" i="3"/>
  <c r="CS236" i="3"/>
  <c r="BV236" i="3"/>
  <c r="BX236" i="3" s="1"/>
  <c r="BI236" i="3"/>
  <c r="AL236" i="3"/>
  <c r="AN236" i="3" s="1"/>
  <c r="Y236" i="3"/>
  <c r="B236" i="3"/>
  <c r="D236" i="3" s="1"/>
  <c r="BV235" i="3"/>
  <c r="BX235" i="3" s="1"/>
  <c r="AL235" i="3"/>
  <c r="AN235" i="3" s="1"/>
  <c r="B235" i="3"/>
  <c r="D235" i="3" s="1"/>
  <c r="CS234" i="3"/>
  <c r="BV234" i="3"/>
  <c r="BI234" i="3"/>
  <c r="AL234" i="3"/>
  <c r="AN234" i="3" s="1"/>
  <c r="Y234" i="3"/>
  <c r="B234" i="3"/>
  <c r="D234" i="3" s="1"/>
  <c r="CS233" i="3"/>
  <c r="BV233" i="3"/>
  <c r="BX233" i="3" s="1"/>
  <c r="BI233" i="3"/>
  <c r="AL233" i="3"/>
  <c r="AN233" i="3" s="1"/>
  <c r="Y233" i="3"/>
  <c r="B233" i="3"/>
  <c r="D233" i="3" s="1"/>
  <c r="CS232" i="3"/>
  <c r="BV232" i="3"/>
  <c r="BX232" i="3" s="1"/>
  <c r="BI232" i="3"/>
  <c r="AL232" i="3"/>
  <c r="AN232" i="3" s="1"/>
  <c r="Y232" i="3"/>
  <c r="B232" i="3"/>
  <c r="D232" i="3" s="1"/>
  <c r="CS231" i="3"/>
  <c r="BV231" i="3"/>
  <c r="BX231" i="3" s="1"/>
  <c r="BI231" i="3"/>
  <c r="AL231" i="3"/>
  <c r="AN231" i="3" s="1"/>
  <c r="Y231" i="3"/>
  <c r="B231" i="3"/>
  <c r="D231" i="3" s="1"/>
  <c r="CS230" i="3"/>
  <c r="BV230" i="3"/>
  <c r="BX230" i="3" s="1"/>
  <c r="BI230" i="3"/>
  <c r="AL230" i="3"/>
  <c r="AN230" i="3" s="1"/>
  <c r="Y230" i="3"/>
  <c r="B230" i="3"/>
  <c r="D230" i="3" s="1"/>
  <c r="CS229" i="3"/>
  <c r="BV229" i="3"/>
  <c r="BX229" i="3" s="1"/>
  <c r="BI229" i="3"/>
  <c r="AL229" i="3"/>
  <c r="AN229" i="3" s="1"/>
  <c r="Y229" i="3"/>
  <c r="B229" i="3"/>
  <c r="CS228" i="3"/>
  <c r="BV228" i="3"/>
  <c r="BX228" i="3" s="1"/>
  <c r="BI228" i="3"/>
  <c r="AL228" i="3"/>
  <c r="AN228" i="3" s="1"/>
  <c r="Y228" i="3"/>
  <c r="B228" i="3"/>
  <c r="D228" i="3" s="1"/>
  <c r="CS227" i="3"/>
  <c r="BV227" i="3"/>
  <c r="BI227" i="3"/>
  <c r="AL227" i="3"/>
  <c r="AN227" i="3" s="1"/>
  <c r="Y227" i="3"/>
  <c r="B227" i="3"/>
  <c r="D227" i="3" s="1"/>
  <c r="CS226" i="3"/>
  <c r="BV226" i="3"/>
  <c r="BX226" i="3" s="1"/>
  <c r="BI226" i="3"/>
  <c r="AL226" i="3"/>
  <c r="AN226" i="3" s="1"/>
  <c r="Y226" i="3"/>
  <c r="B226" i="3"/>
  <c r="D226" i="3" s="1"/>
  <c r="CS225" i="3"/>
  <c r="BV225" i="3"/>
  <c r="BX225" i="3" s="1"/>
  <c r="BI225" i="3"/>
  <c r="AL225" i="3"/>
  <c r="AN225" i="3" s="1"/>
  <c r="Y225" i="3"/>
  <c r="B225" i="3"/>
  <c r="D225" i="3" s="1"/>
  <c r="CS224" i="3"/>
  <c r="BV224" i="3"/>
  <c r="BX224" i="3" s="1"/>
  <c r="BI224" i="3"/>
  <c r="AL224" i="3"/>
  <c r="AN224" i="3" s="1"/>
  <c r="Y224" i="3"/>
  <c r="B224" i="3"/>
  <c r="D224" i="3" s="1"/>
  <c r="BV223" i="3"/>
  <c r="BX223" i="3" s="1"/>
  <c r="AL223" i="3"/>
  <c r="AN223" i="3" s="1"/>
  <c r="B223" i="3"/>
  <c r="D223" i="3" s="1"/>
  <c r="CS222" i="3"/>
  <c r="BV222" i="3"/>
  <c r="BX222" i="3" s="1"/>
  <c r="BI222" i="3"/>
  <c r="AL222" i="3"/>
  <c r="AN222" i="3" s="1"/>
  <c r="Y222" i="3"/>
  <c r="B222" i="3"/>
  <c r="CS221" i="3"/>
  <c r="BV221" i="3"/>
  <c r="BX221" i="3" s="1"/>
  <c r="BI221" i="3"/>
  <c r="AL221" i="3"/>
  <c r="Y221" i="3"/>
  <c r="B221" i="3"/>
  <c r="CS220" i="3"/>
  <c r="BV220" i="3"/>
  <c r="BX220" i="3" s="1"/>
  <c r="BI220" i="3"/>
  <c r="AL220" i="3"/>
  <c r="AN220" i="3" s="1"/>
  <c r="Y220" i="3"/>
  <c r="B220" i="3"/>
  <c r="D220" i="3" s="1"/>
  <c r="CS219" i="3"/>
  <c r="BV219" i="3"/>
  <c r="BX219" i="3" s="1"/>
  <c r="BI219" i="3"/>
  <c r="AL219" i="3"/>
  <c r="Y219" i="3"/>
  <c r="B219" i="3"/>
  <c r="D219" i="3" s="1"/>
  <c r="CS218" i="3"/>
  <c r="BV218" i="3"/>
  <c r="BI218" i="3"/>
  <c r="AL218" i="3"/>
  <c r="Y218" i="3"/>
  <c r="B218" i="3"/>
  <c r="D218" i="3" s="1"/>
  <c r="CS217" i="3"/>
  <c r="BV217" i="3"/>
  <c r="BX217" i="3" s="1"/>
  <c r="BI217" i="3"/>
  <c r="AL217" i="3"/>
  <c r="AN217" i="3" s="1"/>
  <c r="Y217" i="3"/>
  <c r="B217" i="3"/>
  <c r="D217" i="3" s="1"/>
  <c r="CS216" i="3"/>
  <c r="BV216" i="3"/>
  <c r="BX216" i="3" s="1"/>
  <c r="BI216" i="3"/>
  <c r="AL216" i="3"/>
  <c r="AN216" i="3" s="1"/>
  <c r="Y216" i="3"/>
  <c r="B216" i="3"/>
  <c r="D216" i="3" s="1"/>
  <c r="CS215" i="3"/>
  <c r="BV215" i="3"/>
  <c r="BX215" i="3" s="1"/>
  <c r="BI215" i="3"/>
  <c r="AL215" i="3"/>
  <c r="AN215" i="3" s="1"/>
  <c r="Y215" i="3"/>
  <c r="B215" i="3"/>
  <c r="D215" i="3" s="1"/>
  <c r="CS214" i="3"/>
  <c r="BV214" i="3"/>
  <c r="BX214" i="3" s="1"/>
  <c r="BI214" i="3"/>
  <c r="AL214" i="3"/>
  <c r="AN214" i="3" s="1"/>
  <c r="Y214" i="3"/>
  <c r="B214" i="3"/>
  <c r="D214" i="3" s="1"/>
  <c r="CS213" i="3"/>
  <c r="BV213" i="3"/>
  <c r="BX213" i="3" s="1"/>
  <c r="BI213" i="3"/>
  <c r="AL213" i="3"/>
  <c r="AN213" i="3" s="1"/>
  <c r="Y213" i="3"/>
  <c r="B213" i="3"/>
  <c r="CS212" i="3"/>
  <c r="BV212" i="3"/>
  <c r="BX212" i="3" s="1"/>
  <c r="BI212" i="3"/>
  <c r="AL212" i="3"/>
  <c r="AN212" i="3" s="1"/>
  <c r="Y212" i="3"/>
  <c r="B212" i="3"/>
  <c r="D212" i="3" s="1"/>
  <c r="BV211" i="3"/>
  <c r="BX211" i="3" s="1"/>
  <c r="AL211" i="3"/>
  <c r="AN211" i="3" s="1"/>
  <c r="B211" i="3"/>
  <c r="D211" i="3" s="1"/>
  <c r="CS210" i="3"/>
  <c r="BV210" i="3"/>
  <c r="BX210" i="3" s="1"/>
  <c r="BI210" i="3"/>
  <c r="AL210" i="3"/>
  <c r="Y210" i="3"/>
  <c r="B210" i="3"/>
  <c r="D210" i="3" s="1"/>
  <c r="CS209" i="3"/>
  <c r="BV209" i="3"/>
  <c r="BX209" i="3" s="1"/>
  <c r="BI209" i="3"/>
  <c r="AL209" i="3"/>
  <c r="AN209" i="3" s="1"/>
  <c r="Y209" i="3"/>
  <c r="B209" i="3"/>
  <c r="D209" i="3" s="1"/>
  <c r="CS208" i="3"/>
  <c r="BV208" i="3"/>
  <c r="BX208" i="3" s="1"/>
  <c r="BI208" i="3"/>
  <c r="AL208" i="3"/>
  <c r="AN208" i="3" s="1"/>
  <c r="Y208" i="3"/>
  <c r="B208" i="3"/>
  <c r="D208" i="3" s="1"/>
  <c r="CS207" i="3"/>
  <c r="BV207" i="3"/>
  <c r="BI207" i="3"/>
  <c r="AL207" i="3"/>
  <c r="AN207" i="3" s="1"/>
  <c r="Y207" i="3"/>
  <c r="B207" i="3"/>
  <c r="D207" i="3" s="1"/>
  <c r="CS206" i="3"/>
  <c r="BV206" i="3"/>
  <c r="BX206" i="3" s="1"/>
  <c r="BI206" i="3"/>
  <c r="AN206" i="3"/>
  <c r="AL206" i="3"/>
  <c r="Y206" i="3"/>
  <c r="B206" i="3"/>
  <c r="D206" i="3" s="1"/>
  <c r="CS205" i="3"/>
  <c r="BV205" i="3"/>
  <c r="BI205" i="3"/>
  <c r="AL205" i="3"/>
  <c r="AN205" i="3" s="1"/>
  <c r="Y205" i="3"/>
  <c r="B205" i="3"/>
  <c r="CS204" i="3"/>
  <c r="BV204" i="3"/>
  <c r="BX204" i="3" s="1"/>
  <c r="BI204" i="3"/>
  <c r="AL204" i="3"/>
  <c r="AN204" i="3" s="1"/>
  <c r="Y204" i="3"/>
  <c r="B204" i="3"/>
  <c r="D204" i="3" s="1"/>
  <c r="CS203" i="3"/>
  <c r="BV203" i="3"/>
  <c r="BX203" i="3" s="1"/>
  <c r="BI203" i="3"/>
  <c r="AL203" i="3"/>
  <c r="Y203" i="3"/>
  <c r="B203" i="3"/>
  <c r="D203" i="3" s="1"/>
  <c r="CS202" i="3"/>
  <c r="BV202" i="3"/>
  <c r="BX202" i="3" s="1"/>
  <c r="BI202" i="3"/>
  <c r="AL202" i="3"/>
  <c r="Y202" i="3"/>
  <c r="B202" i="3"/>
  <c r="D202" i="3" s="1"/>
  <c r="CS201" i="3"/>
  <c r="BV201" i="3"/>
  <c r="BX201" i="3" s="1"/>
  <c r="BI201" i="3"/>
  <c r="AL201" i="3"/>
  <c r="AN201" i="3" s="1"/>
  <c r="Y201" i="3"/>
  <c r="B201" i="3"/>
  <c r="D201" i="3" s="1"/>
  <c r="CS200" i="3"/>
  <c r="BV200" i="3"/>
  <c r="BX200" i="3" s="1"/>
  <c r="BI200" i="3"/>
  <c r="AL200" i="3"/>
  <c r="AN200" i="3" s="1"/>
  <c r="Y200" i="3"/>
  <c r="D200" i="3"/>
  <c r="B200" i="3"/>
  <c r="BV199" i="3"/>
  <c r="AL199" i="3"/>
  <c r="AN199" i="3" s="1"/>
  <c r="B199" i="3"/>
  <c r="D199" i="3" s="1"/>
  <c r="CS198" i="3"/>
  <c r="BV198" i="3"/>
  <c r="BX198" i="3" s="1"/>
  <c r="BI198" i="3"/>
  <c r="AL198" i="3"/>
  <c r="AN198" i="3" s="1"/>
  <c r="Y198" i="3"/>
  <c r="B198" i="3"/>
  <c r="D198" i="3" s="1"/>
  <c r="CS197" i="3"/>
  <c r="BV197" i="3"/>
  <c r="BX197" i="3" s="1"/>
  <c r="BI197" i="3"/>
  <c r="AL197" i="3"/>
  <c r="AN197" i="3" s="1"/>
  <c r="Y197" i="3"/>
  <c r="B197" i="3"/>
  <c r="CS196" i="3"/>
  <c r="BV196" i="3"/>
  <c r="BX196" i="3" s="1"/>
  <c r="BI196" i="3"/>
  <c r="AN196" i="3"/>
  <c r="AL196" i="3"/>
  <c r="Y196" i="3"/>
  <c r="B196" i="3"/>
  <c r="D196" i="3" s="1"/>
  <c r="CS195" i="3"/>
  <c r="BV195" i="3"/>
  <c r="BX195" i="3" s="1"/>
  <c r="BI195" i="3"/>
  <c r="AL195" i="3"/>
  <c r="AN195" i="3" s="1"/>
  <c r="Y195" i="3"/>
  <c r="B195" i="3"/>
  <c r="D195" i="3" s="1"/>
  <c r="CS194" i="3"/>
  <c r="BV194" i="3"/>
  <c r="BX194" i="3" s="1"/>
  <c r="BI194" i="3"/>
  <c r="AL194" i="3"/>
  <c r="AN194" i="3" s="1"/>
  <c r="Y194" i="3"/>
  <c r="B194" i="3"/>
  <c r="D194" i="3" s="1"/>
  <c r="CS193" i="3"/>
  <c r="BV193" i="3"/>
  <c r="BX193" i="3" s="1"/>
  <c r="BI193" i="3"/>
  <c r="AL193" i="3"/>
  <c r="Y193" i="3"/>
  <c r="B193" i="3"/>
  <c r="D193" i="3" s="1"/>
  <c r="CS192" i="3"/>
  <c r="BV192" i="3"/>
  <c r="BI192" i="3"/>
  <c r="AL192" i="3"/>
  <c r="AN192" i="3" s="1"/>
  <c r="Y192" i="3"/>
  <c r="B192" i="3"/>
  <c r="D192" i="3" s="1"/>
  <c r="CS191" i="3"/>
  <c r="BV191" i="3"/>
  <c r="BX191" i="3" s="1"/>
  <c r="BI191" i="3"/>
  <c r="AL191" i="3"/>
  <c r="AN191" i="3" s="1"/>
  <c r="Y191" i="3"/>
  <c r="B191" i="3"/>
  <c r="D191" i="3" s="1"/>
  <c r="CS190" i="3"/>
  <c r="BV190" i="3"/>
  <c r="BI190" i="3"/>
  <c r="AL190" i="3"/>
  <c r="AN190" i="3" s="1"/>
  <c r="Y190" i="3"/>
  <c r="B190" i="3"/>
  <c r="D190" i="3" s="1"/>
  <c r="CS189" i="3"/>
  <c r="BV189" i="3"/>
  <c r="BX189" i="3" s="1"/>
  <c r="BI189" i="3"/>
  <c r="AL189" i="3"/>
  <c r="AN189" i="3" s="1"/>
  <c r="Y189" i="3"/>
  <c r="B189" i="3"/>
  <c r="D189" i="3" s="1"/>
  <c r="CS188" i="3"/>
  <c r="BV188" i="3"/>
  <c r="BX188" i="3" s="1"/>
  <c r="BI188" i="3"/>
  <c r="AL188" i="3"/>
  <c r="AN188" i="3" s="1"/>
  <c r="Y188" i="3"/>
  <c r="B188" i="3"/>
  <c r="BV187" i="3"/>
  <c r="BX187" i="3" s="1"/>
  <c r="AL187" i="3"/>
  <c r="B187" i="3"/>
  <c r="CS186" i="3"/>
  <c r="BV186" i="3"/>
  <c r="BX186" i="3" s="1"/>
  <c r="BI186" i="3"/>
  <c r="AL186" i="3"/>
  <c r="AN186" i="3" s="1"/>
  <c r="Y186" i="3"/>
  <c r="B186" i="3"/>
  <c r="D186" i="3" s="1"/>
  <c r="CS185" i="3"/>
  <c r="BV185" i="3"/>
  <c r="BX185" i="3" s="1"/>
  <c r="BI185" i="3"/>
  <c r="AL185" i="3"/>
  <c r="Y185" i="3"/>
  <c r="B185" i="3"/>
  <c r="D185" i="3" s="1"/>
  <c r="CS184" i="3"/>
  <c r="BV184" i="3"/>
  <c r="BX184" i="3" s="1"/>
  <c r="BI184" i="3"/>
  <c r="AL184" i="3"/>
  <c r="AN184" i="3" s="1"/>
  <c r="Y184" i="3"/>
  <c r="B184" i="3"/>
  <c r="D184" i="3" s="1"/>
  <c r="CS183" i="3"/>
  <c r="BV183" i="3"/>
  <c r="BX183" i="3" s="1"/>
  <c r="BI183" i="3"/>
  <c r="AL183" i="3"/>
  <c r="AN183" i="3" s="1"/>
  <c r="Y183" i="3"/>
  <c r="B183" i="3"/>
  <c r="D183" i="3" s="1"/>
  <c r="CS182" i="3"/>
  <c r="BV182" i="3"/>
  <c r="BI182" i="3"/>
  <c r="AL182" i="3"/>
  <c r="AN182" i="3" s="1"/>
  <c r="Y182" i="3"/>
  <c r="B182" i="3"/>
  <c r="D182" i="3" s="1"/>
  <c r="CS181" i="3"/>
  <c r="BV181" i="3"/>
  <c r="BX181" i="3" s="1"/>
  <c r="BI181" i="3"/>
  <c r="AL181" i="3"/>
  <c r="AN181" i="3" s="1"/>
  <c r="Y181" i="3"/>
  <c r="B181" i="3"/>
  <c r="D181" i="3" s="1"/>
  <c r="CS180" i="3"/>
  <c r="BV180" i="3"/>
  <c r="BX180" i="3" s="1"/>
  <c r="BI180" i="3"/>
  <c r="AL180" i="3"/>
  <c r="AN180" i="3" s="1"/>
  <c r="Y180" i="3"/>
  <c r="B180" i="3"/>
  <c r="CS179" i="3"/>
  <c r="BV179" i="3"/>
  <c r="BX179" i="3" s="1"/>
  <c r="BI179" i="3"/>
  <c r="AL179" i="3"/>
  <c r="AN179" i="3" s="1"/>
  <c r="Y179" i="3"/>
  <c r="B179" i="3"/>
  <c r="D179" i="3" s="1"/>
  <c r="CS178" i="3"/>
  <c r="BV178" i="3"/>
  <c r="BX178" i="3" s="1"/>
  <c r="BI178" i="3"/>
  <c r="AL178" i="3"/>
  <c r="AN178" i="3" s="1"/>
  <c r="Y178" i="3"/>
  <c r="B178" i="3"/>
  <c r="D178" i="3" s="1"/>
  <c r="CS177" i="3"/>
  <c r="BV177" i="3"/>
  <c r="BX177" i="3" s="1"/>
  <c r="BI177" i="3"/>
  <c r="AL177" i="3"/>
  <c r="Y177" i="3"/>
  <c r="B177" i="3"/>
  <c r="D177" i="3" s="1"/>
  <c r="CS176" i="3"/>
  <c r="BV176" i="3"/>
  <c r="BX176" i="3" s="1"/>
  <c r="BI176" i="3"/>
  <c r="AL176" i="3"/>
  <c r="AN176" i="3" s="1"/>
  <c r="Y176" i="3"/>
  <c r="B176" i="3"/>
  <c r="D176" i="3" s="1"/>
  <c r="BV175" i="3"/>
  <c r="BX175" i="3" s="1"/>
  <c r="AL175" i="3"/>
  <c r="AN175" i="3" s="1"/>
  <c r="B175" i="3"/>
  <c r="D175" i="3" s="1"/>
  <c r="CS174" i="3"/>
  <c r="BV174" i="3"/>
  <c r="BI174" i="3"/>
  <c r="AL174" i="3"/>
  <c r="AN174" i="3" s="1"/>
  <c r="Y174" i="3"/>
  <c r="B174" i="3"/>
  <c r="CS173" i="3"/>
  <c r="BV173" i="3"/>
  <c r="BX173" i="3" s="1"/>
  <c r="BI173" i="3"/>
  <c r="AL173" i="3"/>
  <c r="AN173" i="3" s="1"/>
  <c r="Y173" i="3"/>
  <c r="B173" i="3"/>
  <c r="D173" i="3" s="1"/>
  <c r="CS172" i="3"/>
  <c r="BV172" i="3"/>
  <c r="BX172" i="3" s="1"/>
  <c r="BI172" i="3"/>
  <c r="AL172" i="3"/>
  <c r="AN172" i="3" s="1"/>
  <c r="Y172" i="3"/>
  <c r="B172" i="3"/>
  <c r="CS171" i="3"/>
  <c r="BV171" i="3"/>
  <c r="BX171" i="3" s="1"/>
  <c r="BI171" i="3"/>
  <c r="AL171" i="3"/>
  <c r="Y171" i="3"/>
  <c r="B171" i="3"/>
  <c r="D171" i="3" s="1"/>
  <c r="CS170" i="3"/>
  <c r="BV170" i="3"/>
  <c r="BX170" i="3" s="1"/>
  <c r="BI170" i="3"/>
  <c r="AL170" i="3"/>
  <c r="AN170" i="3" s="1"/>
  <c r="Y170" i="3"/>
  <c r="B170" i="3"/>
  <c r="D170" i="3" s="1"/>
  <c r="CS169" i="3"/>
  <c r="BV169" i="3"/>
  <c r="BX169" i="3" s="1"/>
  <c r="BI169" i="3"/>
  <c r="AL169" i="3"/>
  <c r="Y169" i="3"/>
  <c r="B169" i="3"/>
  <c r="D169" i="3" s="1"/>
  <c r="CS168" i="3"/>
  <c r="BV168" i="3"/>
  <c r="BI168" i="3"/>
  <c r="AL168" i="3"/>
  <c r="AN168" i="3" s="1"/>
  <c r="Y168" i="3"/>
  <c r="B168" i="3"/>
  <c r="D168" i="3" s="1"/>
  <c r="CS167" i="3"/>
  <c r="BV167" i="3"/>
  <c r="BX167" i="3" s="1"/>
  <c r="BI167" i="3"/>
  <c r="AL167" i="3"/>
  <c r="Y167" i="3"/>
  <c r="B167" i="3"/>
  <c r="CS166" i="3"/>
  <c r="BV166" i="3"/>
  <c r="BX166" i="3" s="1"/>
  <c r="BI166" i="3"/>
  <c r="AL166" i="3"/>
  <c r="AN166" i="3" s="1"/>
  <c r="Y166" i="3"/>
  <c r="B166" i="3"/>
  <c r="D166" i="3" s="1"/>
  <c r="CS165" i="3"/>
  <c r="BV165" i="3"/>
  <c r="BX165" i="3" s="1"/>
  <c r="BI165" i="3"/>
  <c r="AL165" i="3"/>
  <c r="AN165" i="3" s="1"/>
  <c r="Y165" i="3"/>
  <c r="B165" i="3"/>
  <c r="D165" i="3" s="1"/>
  <c r="CS164" i="3"/>
  <c r="BV164" i="3"/>
  <c r="BI164" i="3"/>
  <c r="AL164" i="3"/>
  <c r="Y164" i="3"/>
  <c r="B164" i="3"/>
  <c r="D164" i="3" s="1"/>
  <c r="BV163" i="3"/>
  <c r="BX163" i="3" s="1"/>
  <c r="AL163" i="3"/>
  <c r="AN163" i="3" s="1"/>
  <c r="B163" i="3"/>
  <c r="D163" i="3" s="1"/>
  <c r="CS162" i="3"/>
  <c r="BV162" i="3"/>
  <c r="BX162" i="3" s="1"/>
  <c r="BI162" i="3"/>
  <c r="AL162" i="3"/>
  <c r="AN162" i="3" s="1"/>
  <c r="Y162" i="3"/>
  <c r="B162" i="3"/>
  <c r="CS161" i="3"/>
  <c r="BV161" i="3"/>
  <c r="BI161" i="3"/>
  <c r="AL161" i="3"/>
  <c r="AN161" i="3" s="1"/>
  <c r="Y161" i="3"/>
  <c r="B161" i="3"/>
  <c r="D161" i="3" s="1"/>
  <c r="CS160" i="3"/>
  <c r="BV160" i="3"/>
  <c r="BX160" i="3" s="1"/>
  <c r="BI160" i="3"/>
  <c r="AL160" i="3"/>
  <c r="AN160" i="3" s="1"/>
  <c r="Y160" i="3"/>
  <c r="B160" i="3"/>
  <c r="D160" i="3" s="1"/>
  <c r="CS159" i="3"/>
  <c r="BV159" i="3"/>
  <c r="BX159" i="3" s="1"/>
  <c r="BI159" i="3"/>
  <c r="AL159" i="3"/>
  <c r="Y159" i="3"/>
  <c r="B159" i="3"/>
  <c r="CS158" i="3"/>
  <c r="BV158" i="3"/>
  <c r="BX158" i="3" s="1"/>
  <c r="BI158" i="3"/>
  <c r="AL158" i="3"/>
  <c r="AN158" i="3" s="1"/>
  <c r="Y158" i="3"/>
  <c r="B158" i="3"/>
  <c r="D158" i="3" s="1"/>
  <c r="CS157" i="3"/>
  <c r="BV157" i="3"/>
  <c r="BX157" i="3" s="1"/>
  <c r="BI157" i="3"/>
  <c r="AL157" i="3"/>
  <c r="AN157" i="3" s="1"/>
  <c r="Y157" i="3"/>
  <c r="B157" i="3"/>
  <c r="D157" i="3" s="1"/>
  <c r="CS156" i="3"/>
  <c r="BV156" i="3"/>
  <c r="BI156" i="3"/>
  <c r="AL156" i="3"/>
  <c r="AN156" i="3" s="1"/>
  <c r="Y156" i="3"/>
  <c r="B156" i="3"/>
  <c r="D156" i="3" s="1"/>
  <c r="CS155" i="3"/>
  <c r="BV155" i="3"/>
  <c r="BI155" i="3"/>
  <c r="AL155" i="3"/>
  <c r="AN155" i="3" s="1"/>
  <c r="Y155" i="3"/>
  <c r="B155" i="3"/>
  <c r="D155" i="3" s="1"/>
  <c r="CS154" i="3"/>
  <c r="BV154" i="3"/>
  <c r="BX154" i="3" s="1"/>
  <c r="BI154" i="3"/>
  <c r="AL154" i="3"/>
  <c r="Y154" i="3"/>
  <c r="B154" i="3"/>
  <c r="D154" i="3" s="1"/>
  <c r="CS153" i="3"/>
  <c r="BV153" i="3"/>
  <c r="BX153" i="3" s="1"/>
  <c r="BI153" i="3"/>
  <c r="AL153" i="3"/>
  <c r="AN153" i="3" s="1"/>
  <c r="Y153" i="3"/>
  <c r="B153" i="3"/>
  <c r="CS152" i="3"/>
  <c r="BV152" i="3"/>
  <c r="BX152" i="3" s="1"/>
  <c r="BI152" i="3"/>
  <c r="AL152" i="3"/>
  <c r="AN152" i="3" s="1"/>
  <c r="Y152" i="3"/>
  <c r="B152" i="3"/>
  <c r="BV151" i="3"/>
  <c r="BX151" i="3" s="1"/>
  <c r="AL151" i="3"/>
  <c r="AN151" i="3" s="1"/>
  <c r="B151" i="3"/>
  <c r="D151" i="3" s="1"/>
  <c r="CS150" i="3"/>
  <c r="BV150" i="3"/>
  <c r="BX150" i="3" s="1"/>
  <c r="BI150" i="3"/>
  <c r="AL150" i="3"/>
  <c r="Y150" i="3"/>
  <c r="B150" i="3"/>
  <c r="D150" i="3" s="1"/>
  <c r="CS149" i="3"/>
  <c r="BV149" i="3"/>
  <c r="BX149" i="3" s="1"/>
  <c r="BI149" i="3"/>
  <c r="AL149" i="3"/>
  <c r="Y149" i="3"/>
  <c r="B149" i="3"/>
  <c r="CS148" i="3"/>
  <c r="BV148" i="3"/>
  <c r="BX148" i="3" s="1"/>
  <c r="BI148" i="3"/>
  <c r="AL148" i="3"/>
  <c r="AN148" i="3" s="1"/>
  <c r="Y148" i="3"/>
  <c r="B148" i="3"/>
  <c r="D148" i="3" s="1"/>
  <c r="CS147" i="3"/>
  <c r="BV147" i="3"/>
  <c r="BI147" i="3"/>
  <c r="AL147" i="3"/>
  <c r="AN147" i="3" s="1"/>
  <c r="Y147" i="3"/>
  <c r="B147" i="3"/>
  <c r="D147" i="3" s="1"/>
  <c r="CS146" i="3"/>
  <c r="BV146" i="3"/>
  <c r="BI146" i="3"/>
  <c r="AL146" i="3"/>
  <c r="AN146" i="3" s="1"/>
  <c r="Y146" i="3"/>
  <c r="B146" i="3"/>
  <c r="D146" i="3" s="1"/>
  <c r="CS145" i="3"/>
  <c r="BV145" i="3"/>
  <c r="BX145" i="3" s="1"/>
  <c r="BI145" i="3"/>
  <c r="AL145" i="3"/>
  <c r="AN145" i="3" s="1"/>
  <c r="Y145" i="3"/>
  <c r="B145" i="3"/>
  <c r="D145" i="3" s="1"/>
  <c r="CS144" i="3"/>
  <c r="BV144" i="3"/>
  <c r="BX144" i="3" s="1"/>
  <c r="BI144" i="3"/>
  <c r="AL144" i="3"/>
  <c r="AN144" i="3" s="1"/>
  <c r="Y144" i="3"/>
  <c r="B144" i="3"/>
  <c r="D144" i="3" s="1"/>
  <c r="CS143" i="3"/>
  <c r="BV143" i="3"/>
  <c r="BX143" i="3" s="1"/>
  <c r="BI143" i="3"/>
  <c r="AL143" i="3"/>
  <c r="AN143" i="3" s="1"/>
  <c r="Y143" i="3"/>
  <c r="B143" i="3"/>
  <c r="D143" i="3" s="1"/>
  <c r="CS142" i="3"/>
  <c r="BV142" i="3"/>
  <c r="BX142" i="3" s="1"/>
  <c r="BI142" i="3"/>
  <c r="AL142" i="3"/>
  <c r="AN142" i="3" s="1"/>
  <c r="Y142" i="3"/>
  <c r="B142" i="3"/>
  <c r="D142" i="3" s="1"/>
  <c r="CS141" i="3"/>
  <c r="BV141" i="3"/>
  <c r="BX141" i="3" s="1"/>
  <c r="BI141" i="3"/>
  <c r="AL141" i="3"/>
  <c r="AN141" i="3" s="1"/>
  <c r="Y141" i="3"/>
  <c r="B141" i="3"/>
  <c r="D141" i="3" s="1"/>
  <c r="CS140" i="3"/>
  <c r="BV140" i="3"/>
  <c r="BX140" i="3" s="1"/>
  <c r="BI140" i="3"/>
  <c r="AL140" i="3"/>
  <c r="AN140" i="3" s="1"/>
  <c r="Y140" i="3"/>
  <c r="B140" i="3"/>
  <c r="D140" i="3" s="1"/>
  <c r="BV139" i="3"/>
  <c r="BX139" i="3" s="1"/>
  <c r="AL139" i="3"/>
  <c r="B139" i="3"/>
  <c r="D139" i="3" s="1"/>
  <c r="CS138" i="3"/>
  <c r="BV138" i="3"/>
  <c r="BX138" i="3" s="1"/>
  <c r="BI138" i="3"/>
  <c r="AL138" i="3"/>
  <c r="AN138" i="3" s="1"/>
  <c r="Y138" i="3"/>
  <c r="B138" i="3"/>
  <c r="CS137" i="3"/>
  <c r="BV137" i="3"/>
  <c r="BX137" i="3" s="1"/>
  <c r="BI137" i="3"/>
  <c r="AL137" i="3"/>
  <c r="AN137" i="3" s="1"/>
  <c r="Y137" i="3"/>
  <c r="B137" i="3"/>
  <c r="D137" i="3" s="1"/>
  <c r="CS136" i="3"/>
  <c r="BV136" i="3"/>
  <c r="BX136" i="3" s="1"/>
  <c r="BI136" i="3"/>
  <c r="AN136" i="3"/>
  <c r="AL136" i="3"/>
  <c r="Y136" i="3"/>
  <c r="B136" i="3"/>
  <c r="D136" i="3" s="1"/>
  <c r="CS135" i="3"/>
  <c r="BV135" i="3"/>
  <c r="BX135" i="3" s="1"/>
  <c r="BI135" i="3"/>
  <c r="AL135" i="3"/>
  <c r="AN135" i="3" s="1"/>
  <c r="Y135" i="3"/>
  <c r="B135" i="3"/>
  <c r="D135" i="3" s="1"/>
  <c r="CS134" i="3"/>
  <c r="BV134" i="3"/>
  <c r="BX134" i="3" s="1"/>
  <c r="BI134" i="3"/>
  <c r="AN134" i="3"/>
  <c r="AL134" i="3"/>
  <c r="Y134" i="3"/>
  <c r="B134" i="3"/>
  <c r="D134" i="3" s="1"/>
  <c r="CS133" i="3"/>
  <c r="BV133" i="3"/>
  <c r="BX133" i="3" s="1"/>
  <c r="BI133" i="3"/>
  <c r="AL133" i="3"/>
  <c r="AN133" i="3" s="1"/>
  <c r="Y133" i="3"/>
  <c r="B133" i="3"/>
  <c r="D133" i="3" s="1"/>
  <c r="CS132" i="3"/>
  <c r="BV132" i="3"/>
  <c r="BX132" i="3" s="1"/>
  <c r="BI132" i="3"/>
  <c r="AL132" i="3"/>
  <c r="AN132" i="3" s="1"/>
  <c r="Y132" i="3"/>
  <c r="B132" i="3"/>
  <c r="CS131" i="3"/>
  <c r="BV131" i="3"/>
  <c r="BX131" i="3" s="1"/>
  <c r="BI131" i="3"/>
  <c r="AL131" i="3"/>
  <c r="AN131" i="3" s="1"/>
  <c r="Y131" i="3"/>
  <c r="B131" i="3"/>
  <c r="D131" i="3" s="1"/>
  <c r="CS130" i="3"/>
  <c r="BV130" i="3"/>
  <c r="BX130" i="3" s="1"/>
  <c r="BI130" i="3"/>
  <c r="AL130" i="3"/>
  <c r="AN130" i="3" s="1"/>
  <c r="Y130" i="3"/>
  <c r="B130" i="3"/>
  <c r="D130" i="3" s="1"/>
  <c r="CS129" i="3"/>
  <c r="BV129" i="3"/>
  <c r="BX129" i="3" s="1"/>
  <c r="BI129" i="3"/>
  <c r="AN129" i="3"/>
  <c r="AL129" i="3"/>
  <c r="Y129" i="3"/>
  <c r="B129" i="3"/>
  <c r="D129" i="3" s="1"/>
  <c r="CS128" i="3"/>
  <c r="BV128" i="3"/>
  <c r="BX128" i="3" s="1"/>
  <c r="BI128" i="3"/>
  <c r="AL128" i="3"/>
  <c r="AN128" i="3" s="1"/>
  <c r="Y128" i="3"/>
  <c r="B128" i="3"/>
  <c r="D128" i="3" s="1"/>
  <c r="BV127" i="3"/>
  <c r="BX127" i="3" s="1"/>
  <c r="AL127" i="3"/>
  <c r="AN127" i="3" s="1"/>
  <c r="B127" i="3"/>
  <c r="D127" i="3" s="1"/>
  <c r="CS126" i="3"/>
  <c r="BV126" i="3"/>
  <c r="BX126" i="3" s="1"/>
  <c r="BI126" i="3"/>
  <c r="AL126" i="3"/>
  <c r="AN126" i="3" s="1"/>
  <c r="Y126" i="3"/>
  <c r="B126" i="3"/>
  <c r="D126" i="3" s="1"/>
  <c r="CS125" i="3"/>
  <c r="BX125" i="3"/>
  <c r="BV125" i="3"/>
  <c r="BI125" i="3"/>
  <c r="AL125" i="3"/>
  <c r="AN125" i="3" s="1"/>
  <c r="Y125" i="3"/>
  <c r="B125" i="3"/>
  <c r="D125" i="3" s="1"/>
  <c r="CS124" i="3"/>
  <c r="BV124" i="3"/>
  <c r="BX124" i="3" s="1"/>
  <c r="BI124" i="3"/>
  <c r="AL124" i="3"/>
  <c r="AN124" i="3" s="1"/>
  <c r="Y124" i="3"/>
  <c r="B124" i="3"/>
  <c r="D124" i="3" s="1"/>
  <c r="CS123" i="3"/>
  <c r="BV123" i="3"/>
  <c r="BX123" i="3" s="1"/>
  <c r="BI123" i="3"/>
  <c r="AL123" i="3"/>
  <c r="AN123" i="3" s="1"/>
  <c r="Y123" i="3"/>
  <c r="B123" i="3"/>
  <c r="D123" i="3" s="1"/>
  <c r="CS122" i="3"/>
  <c r="BV122" i="3"/>
  <c r="BI122" i="3"/>
  <c r="AL122" i="3"/>
  <c r="AN122" i="3" s="1"/>
  <c r="Y122" i="3"/>
  <c r="B122" i="3"/>
  <c r="D122" i="3" s="1"/>
  <c r="CS121" i="3"/>
  <c r="BV121" i="3"/>
  <c r="BX121" i="3" s="1"/>
  <c r="BI121" i="3"/>
  <c r="AL121" i="3"/>
  <c r="AN121" i="3" s="1"/>
  <c r="Y121" i="3"/>
  <c r="B121" i="3"/>
  <c r="D121" i="3" s="1"/>
  <c r="CS120" i="3"/>
  <c r="BV120" i="3"/>
  <c r="BI120" i="3"/>
  <c r="AL120" i="3"/>
  <c r="AN120" i="3" s="1"/>
  <c r="Y120" i="3"/>
  <c r="B120" i="3"/>
  <c r="CS119" i="3"/>
  <c r="BV119" i="3"/>
  <c r="BX119" i="3" s="1"/>
  <c r="BI119" i="3"/>
  <c r="AL119" i="3"/>
  <c r="AN119" i="3" s="1"/>
  <c r="Y119" i="3"/>
  <c r="B119" i="3"/>
  <c r="D119" i="3" s="1"/>
  <c r="CS118" i="3"/>
  <c r="BV118" i="3"/>
  <c r="BX118" i="3" s="1"/>
  <c r="BI118" i="3"/>
  <c r="AL118" i="3"/>
  <c r="AN118" i="3" s="1"/>
  <c r="Y118" i="3"/>
  <c r="B118" i="3"/>
  <c r="CS117" i="3"/>
  <c r="BV117" i="3"/>
  <c r="BX117" i="3" s="1"/>
  <c r="BI117" i="3"/>
  <c r="AL117" i="3"/>
  <c r="Y117" i="3"/>
  <c r="B117" i="3"/>
  <c r="D117" i="3" s="1"/>
  <c r="CS116" i="3"/>
  <c r="BV116" i="3"/>
  <c r="BX116" i="3" s="1"/>
  <c r="BI116" i="3"/>
  <c r="AL116" i="3"/>
  <c r="AN116" i="3" s="1"/>
  <c r="Y116" i="3"/>
  <c r="B116" i="3"/>
  <c r="D116" i="3" s="1"/>
  <c r="BV115" i="3"/>
  <c r="BX115" i="3" s="1"/>
  <c r="AL115" i="3"/>
  <c r="B115" i="3"/>
  <c r="D115" i="3" s="1"/>
  <c r="CS114" i="3"/>
  <c r="BV114" i="3"/>
  <c r="BI114" i="3"/>
  <c r="AL114" i="3"/>
  <c r="AN114" i="3" s="1"/>
  <c r="Y114" i="3"/>
  <c r="B114" i="3"/>
  <c r="D114" i="3" s="1"/>
  <c r="CS113" i="3"/>
  <c r="BV113" i="3"/>
  <c r="BX113" i="3" s="1"/>
  <c r="BI113" i="3"/>
  <c r="AL113" i="3"/>
  <c r="AN113" i="3" s="1"/>
  <c r="Y113" i="3"/>
  <c r="B113" i="3"/>
  <c r="D113" i="3" s="1"/>
  <c r="CS112" i="3"/>
  <c r="BV112" i="3"/>
  <c r="BI112" i="3"/>
  <c r="AL112" i="3"/>
  <c r="AN112" i="3" s="1"/>
  <c r="Y112" i="3"/>
  <c r="B112" i="3"/>
  <c r="CS111" i="3"/>
  <c r="BV111" i="3"/>
  <c r="BX111" i="3" s="1"/>
  <c r="BI111" i="3"/>
  <c r="AL111" i="3"/>
  <c r="AN111" i="3" s="1"/>
  <c r="Y111" i="3"/>
  <c r="B111" i="3"/>
  <c r="D111" i="3" s="1"/>
  <c r="CS110" i="3"/>
  <c r="BV110" i="3"/>
  <c r="BI110" i="3"/>
  <c r="AL110" i="3"/>
  <c r="AN110" i="3" s="1"/>
  <c r="Y110" i="3"/>
  <c r="B110" i="3"/>
  <c r="CS109" i="3"/>
  <c r="BV109" i="3"/>
  <c r="BX109" i="3" s="1"/>
  <c r="BI109" i="3"/>
  <c r="AL109" i="3"/>
  <c r="Y109" i="3"/>
  <c r="B109" i="3"/>
  <c r="D109" i="3" s="1"/>
  <c r="CS108" i="3"/>
  <c r="BV108" i="3"/>
  <c r="BI108" i="3"/>
  <c r="AL108" i="3"/>
  <c r="AN108" i="3" s="1"/>
  <c r="Y108" i="3"/>
  <c r="B108" i="3"/>
  <c r="D108" i="3" s="1"/>
  <c r="CS107" i="3"/>
  <c r="BV107" i="3"/>
  <c r="BX107" i="3" s="1"/>
  <c r="BI107" i="3"/>
  <c r="AL107" i="3"/>
  <c r="Y107" i="3"/>
  <c r="B107" i="3"/>
  <c r="D107" i="3" s="1"/>
  <c r="CS106" i="3"/>
  <c r="BV106" i="3"/>
  <c r="BX106" i="3" s="1"/>
  <c r="BI106" i="3"/>
  <c r="AL106" i="3"/>
  <c r="AN106" i="3" s="1"/>
  <c r="Y106" i="3"/>
  <c r="B106" i="3"/>
  <c r="D106" i="3" s="1"/>
  <c r="CS105" i="3"/>
  <c r="BV105" i="3"/>
  <c r="BX105" i="3" s="1"/>
  <c r="BI105" i="3"/>
  <c r="AL105" i="3"/>
  <c r="AN105" i="3" s="1"/>
  <c r="Y105" i="3"/>
  <c r="B105" i="3"/>
  <c r="D105" i="3" s="1"/>
  <c r="CS104" i="3"/>
  <c r="BV104" i="3"/>
  <c r="BI104" i="3"/>
  <c r="AL104" i="3"/>
  <c r="AN104" i="3" s="1"/>
  <c r="Y104" i="3"/>
  <c r="B104" i="3"/>
  <c r="BV103" i="3"/>
  <c r="BX103" i="3" s="1"/>
  <c r="AL103" i="3"/>
  <c r="AN103" i="3" s="1"/>
  <c r="B103" i="3"/>
  <c r="D103" i="3" s="1"/>
  <c r="CS102" i="3"/>
  <c r="BV102" i="3"/>
  <c r="BX102" i="3" s="1"/>
  <c r="BI102" i="3"/>
  <c r="AL102" i="3"/>
  <c r="AN102" i="3" s="1"/>
  <c r="Y102" i="3"/>
  <c r="B102" i="3"/>
  <c r="CS101" i="3"/>
  <c r="BV101" i="3"/>
  <c r="BX101" i="3" s="1"/>
  <c r="BI101" i="3"/>
  <c r="AL101" i="3"/>
  <c r="AN101" i="3" s="1"/>
  <c r="Y101" i="3"/>
  <c r="B101" i="3"/>
  <c r="D101" i="3" s="1"/>
  <c r="CS100" i="3"/>
  <c r="BV100" i="3"/>
  <c r="BI100" i="3"/>
  <c r="AL100" i="3"/>
  <c r="AN100" i="3" s="1"/>
  <c r="Y100" i="3"/>
  <c r="B100" i="3"/>
  <c r="D100" i="3" s="1"/>
  <c r="CS99" i="3"/>
  <c r="BV99" i="3"/>
  <c r="BX99" i="3" s="1"/>
  <c r="BI99" i="3"/>
  <c r="AL99" i="3"/>
  <c r="Y99" i="3"/>
  <c r="B99" i="3"/>
  <c r="D99" i="3" s="1"/>
  <c r="CS98" i="3"/>
  <c r="BV98" i="3"/>
  <c r="BX98" i="3" s="1"/>
  <c r="BI98" i="3"/>
  <c r="AL98" i="3"/>
  <c r="AN98" i="3" s="1"/>
  <c r="Y98" i="3"/>
  <c r="B98" i="3"/>
  <c r="D98" i="3" s="1"/>
  <c r="CS97" i="3"/>
  <c r="BV97" i="3"/>
  <c r="BX97" i="3" s="1"/>
  <c r="BI97" i="3"/>
  <c r="AL97" i="3"/>
  <c r="AN97" i="3" s="1"/>
  <c r="Y97" i="3"/>
  <c r="B97" i="3"/>
  <c r="D97" i="3" s="1"/>
  <c r="CS96" i="3"/>
  <c r="BV96" i="3"/>
  <c r="BX96" i="3" s="1"/>
  <c r="BI96" i="3"/>
  <c r="AL96" i="3"/>
  <c r="AN96" i="3" s="1"/>
  <c r="Y96" i="3"/>
  <c r="B96" i="3"/>
  <c r="CS95" i="3"/>
  <c r="BV95" i="3"/>
  <c r="BX95" i="3" s="1"/>
  <c r="BI95" i="3"/>
  <c r="AL95" i="3"/>
  <c r="AN95" i="3" s="1"/>
  <c r="Y95" i="3"/>
  <c r="B95" i="3"/>
  <c r="D95" i="3" s="1"/>
  <c r="CS94" i="3"/>
  <c r="BV94" i="3"/>
  <c r="BX94" i="3" s="1"/>
  <c r="BI94" i="3"/>
  <c r="AL94" i="3"/>
  <c r="AN94" i="3" s="1"/>
  <c r="Y94" i="3"/>
  <c r="B94" i="3"/>
  <c r="D94" i="3" s="1"/>
  <c r="CS93" i="3"/>
  <c r="BV93" i="3"/>
  <c r="BI93" i="3"/>
  <c r="AL93" i="3"/>
  <c r="Y93" i="3"/>
  <c r="B93" i="3"/>
  <c r="D93" i="3" s="1"/>
  <c r="CS92" i="3"/>
  <c r="BV92" i="3"/>
  <c r="BX92" i="3" s="1"/>
  <c r="BI92" i="3"/>
  <c r="AL92" i="3"/>
  <c r="AN92" i="3" s="1"/>
  <c r="Y92" i="3"/>
  <c r="B92" i="3"/>
  <c r="D92" i="3" s="1"/>
  <c r="BV91" i="3"/>
  <c r="BX91" i="3" s="1"/>
  <c r="AL91" i="3"/>
  <c r="AN91" i="3" s="1"/>
  <c r="B91" i="3"/>
  <c r="D91" i="3" s="1"/>
  <c r="CS90" i="3"/>
  <c r="BV90" i="3"/>
  <c r="BX90" i="3" s="1"/>
  <c r="BI90" i="3"/>
  <c r="AL90" i="3"/>
  <c r="AN90" i="3" s="1"/>
  <c r="Y90" i="3"/>
  <c r="B90" i="3"/>
  <c r="D90" i="3" s="1"/>
  <c r="CS89" i="3"/>
  <c r="BV89" i="3"/>
  <c r="BX89" i="3" s="1"/>
  <c r="BI89" i="3"/>
  <c r="AL89" i="3"/>
  <c r="AN89" i="3" s="1"/>
  <c r="Y89" i="3"/>
  <c r="B89" i="3"/>
  <c r="CS88" i="3"/>
  <c r="BV88" i="3"/>
  <c r="BX88" i="3" s="1"/>
  <c r="BI88" i="3"/>
  <c r="AL88" i="3"/>
  <c r="AN88" i="3" s="1"/>
  <c r="Y88" i="3"/>
  <c r="B88" i="3"/>
  <c r="D88" i="3" s="1"/>
  <c r="CS87" i="3"/>
  <c r="BV87" i="3"/>
  <c r="BX87" i="3" s="1"/>
  <c r="BI87" i="3"/>
  <c r="AL87" i="3"/>
  <c r="AN87" i="3" s="1"/>
  <c r="Y87" i="3"/>
  <c r="B87" i="3"/>
  <c r="D87" i="3" s="1"/>
  <c r="CS86" i="3"/>
  <c r="BV86" i="3"/>
  <c r="BX86" i="3" s="1"/>
  <c r="BI86" i="3"/>
  <c r="AL86" i="3"/>
  <c r="Y86" i="3"/>
  <c r="B86" i="3"/>
  <c r="D86" i="3" s="1"/>
  <c r="CS85" i="3"/>
  <c r="BV85" i="3"/>
  <c r="BI85" i="3"/>
  <c r="AL85" i="3"/>
  <c r="AN85" i="3" s="1"/>
  <c r="Y85" i="3"/>
  <c r="B85" i="3"/>
  <c r="D85" i="3" s="1"/>
  <c r="CS84" i="3"/>
  <c r="BV84" i="3"/>
  <c r="BX84" i="3" s="1"/>
  <c r="BI84" i="3"/>
  <c r="AL84" i="3"/>
  <c r="AN84" i="3" s="1"/>
  <c r="Y84" i="3"/>
  <c r="B84" i="3"/>
  <c r="D84" i="3" s="1"/>
  <c r="CS83" i="3"/>
  <c r="BV83" i="3"/>
  <c r="BI83" i="3"/>
  <c r="AL83" i="3"/>
  <c r="AN83" i="3" s="1"/>
  <c r="Y83" i="3"/>
  <c r="B83" i="3"/>
  <c r="D83" i="3" s="1"/>
  <c r="CS82" i="3"/>
  <c r="BV82" i="3"/>
  <c r="BX82" i="3" s="1"/>
  <c r="BI82" i="3"/>
  <c r="AL82" i="3"/>
  <c r="AN82" i="3" s="1"/>
  <c r="Y82" i="3"/>
  <c r="B82" i="3"/>
  <c r="D82" i="3" s="1"/>
  <c r="CS81" i="3"/>
  <c r="BV81" i="3"/>
  <c r="BX81" i="3" s="1"/>
  <c r="BI81" i="3"/>
  <c r="AL81" i="3"/>
  <c r="Y81" i="3"/>
  <c r="B81" i="3"/>
  <c r="CS80" i="3"/>
  <c r="BV80" i="3"/>
  <c r="BX80" i="3" s="1"/>
  <c r="BI80" i="3"/>
  <c r="AL80" i="3"/>
  <c r="AN80" i="3" s="1"/>
  <c r="Y80" i="3"/>
  <c r="B80" i="3"/>
  <c r="D80" i="3" s="1"/>
  <c r="BV79" i="3"/>
  <c r="BX79" i="3" s="1"/>
  <c r="AL79" i="3"/>
  <c r="AN79" i="3" s="1"/>
  <c r="B79" i="3"/>
  <c r="D79" i="3" s="1"/>
  <c r="CS78" i="3"/>
  <c r="BV78" i="3"/>
  <c r="BX78" i="3" s="1"/>
  <c r="BI78" i="3"/>
  <c r="AL78" i="3"/>
  <c r="Y78" i="3"/>
  <c r="B78" i="3"/>
  <c r="D78" i="3" s="1"/>
  <c r="CS77" i="3"/>
  <c r="BV77" i="3"/>
  <c r="BI77" i="3"/>
  <c r="AL77" i="3"/>
  <c r="AN77" i="3" s="1"/>
  <c r="Y77" i="3"/>
  <c r="B77" i="3"/>
  <c r="D77" i="3" s="1"/>
  <c r="CS76" i="3"/>
  <c r="BV76" i="3"/>
  <c r="BX76" i="3" s="1"/>
  <c r="BI76" i="3"/>
  <c r="AL76" i="3"/>
  <c r="AN76" i="3" s="1"/>
  <c r="Y76" i="3"/>
  <c r="B76" i="3"/>
  <c r="D76" i="3" s="1"/>
  <c r="CS75" i="3"/>
  <c r="BV75" i="3"/>
  <c r="BX75" i="3" s="1"/>
  <c r="BI75" i="3"/>
  <c r="AL75" i="3"/>
  <c r="AN75" i="3" s="1"/>
  <c r="Y75" i="3"/>
  <c r="B75" i="3"/>
  <c r="D75" i="3" s="1"/>
  <c r="CS74" i="3"/>
  <c r="BV74" i="3"/>
  <c r="BX74" i="3" s="1"/>
  <c r="BI74" i="3"/>
  <c r="AL74" i="3"/>
  <c r="AN74" i="3" s="1"/>
  <c r="Y74" i="3"/>
  <c r="B74" i="3"/>
  <c r="D74" i="3" s="1"/>
  <c r="CS73" i="3"/>
  <c r="BV73" i="3"/>
  <c r="BX73" i="3" s="1"/>
  <c r="BI73" i="3"/>
  <c r="AL73" i="3"/>
  <c r="AN73" i="3" s="1"/>
  <c r="Y73" i="3"/>
  <c r="B73" i="3"/>
  <c r="D73" i="3" s="1"/>
  <c r="CS72" i="3"/>
  <c r="BV72" i="3"/>
  <c r="BX72" i="3" s="1"/>
  <c r="BI72" i="3"/>
  <c r="AL72" i="3"/>
  <c r="AN72" i="3" s="1"/>
  <c r="Y72" i="3"/>
  <c r="B72" i="3"/>
  <c r="D72" i="3" s="1"/>
  <c r="CS71" i="3"/>
  <c r="BV71" i="3"/>
  <c r="BX71" i="3" s="1"/>
  <c r="BI71" i="3"/>
  <c r="AL71" i="3"/>
  <c r="AN71" i="3" s="1"/>
  <c r="Y71" i="3"/>
  <c r="B71" i="3"/>
  <c r="C71" i="3" s="1"/>
  <c r="CS70" i="3"/>
  <c r="BV70" i="3"/>
  <c r="BX70" i="3" s="1"/>
  <c r="BI70" i="3"/>
  <c r="AL70" i="3"/>
  <c r="Y70" i="3"/>
  <c r="B70" i="3"/>
  <c r="D70" i="3" s="1"/>
  <c r="CS69" i="3"/>
  <c r="BV69" i="3"/>
  <c r="BX69" i="3" s="1"/>
  <c r="BI69" i="3"/>
  <c r="AL69" i="3"/>
  <c r="AN69" i="3" s="1"/>
  <c r="Y69" i="3"/>
  <c r="B69" i="3"/>
  <c r="D69" i="3" s="1"/>
  <c r="CS68" i="3"/>
  <c r="BV68" i="3"/>
  <c r="BX68" i="3" s="1"/>
  <c r="BI68" i="3"/>
  <c r="AL68" i="3"/>
  <c r="AN68" i="3" s="1"/>
  <c r="Y68" i="3"/>
  <c r="B68" i="3"/>
  <c r="D68" i="3" s="1"/>
  <c r="BV67" i="3"/>
  <c r="BX67" i="3" s="1"/>
  <c r="AL67" i="3"/>
  <c r="AN67" i="3" s="1"/>
  <c r="B67" i="3"/>
  <c r="D67" i="3" s="1"/>
  <c r="CS66" i="3"/>
  <c r="BV66" i="3"/>
  <c r="BX66" i="3" s="1"/>
  <c r="BI66" i="3"/>
  <c r="AL66" i="3"/>
  <c r="AN66" i="3" s="1"/>
  <c r="Y66" i="3"/>
  <c r="B66" i="3"/>
  <c r="CS65" i="3"/>
  <c r="BV65" i="3"/>
  <c r="BX65" i="3" s="1"/>
  <c r="BI65" i="3"/>
  <c r="AL65" i="3"/>
  <c r="AN65" i="3" s="1"/>
  <c r="Y65" i="3"/>
  <c r="B65" i="3"/>
  <c r="D65" i="3" s="1"/>
  <c r="CS64" i="3"/>
  <c r="BV64" i="3"/>
  <c r="BX64" i="3" s="1"/>
  <c r="BI64" i="3"/>
  <c r="AL64" i="3"/>
  <c r="AN64" i="3" s="1"/>
  <c r="Y64" i="3"/>
  <c r="B64" i="3"/>
  <c r="D64" i="3" s="1"/>
  <c r="CS63" i="3"/>
  <c r="BV63" i="3"/>
  <c r="BX63" i="3" s="1"/>
  <c r="BI63" i="3"/>
  <c r="AL63" i="3"/>
  <c r="Y63" i="3"/>
  <c r="D63" i="3"/>
  <c r="B63" i="3"/>
  <c r="CS62" i="3"/>
  <c r="BV62" i="3"/>
  <c r="BX62" i="3" s="1"/>
  <c r="BI62" i="3"/>
  <c r="AL62" i="3"/>
  <c r="AN62" i="3" s="1"/>
  <c r="Y62" i="3"/>
  <c r="B62" i="3"/>
  <c r="D62" i="3" s="1"/>
  <c r="CS61" i="3"/>
  <c r="BV61" i="3"/>
  <c r="BX61" i="3" s="1"/>
  <c r="BI61" i="3"/>
  <c r="AL61" i="3"/>
  <c r="AN61" i="3" s="1"/>
  <c r="Y61" i="3"/>
  <c r="B61" i="3"/>
  <c r="D61" i="3" s="1"/>
  <c r="CS60" i="3"/>
  <c r="BV60" i="3"/>
  <c r="BI60" i="3"/>
  <c r="AL60" i="3"/>
  <c r="AN60" i="3" s="1"/>
  <c r="Y60" i="3"/>
  <c r="B60" i="3"/>
  <c r="D60" i="3" s="1"/>
  <c r="CS59" i="3"/>
  <c r="BV59" i="3"/>
  <c r="BX59" i="3" s="1"/>
  <c r="BI59" i="3"/>
  <c r="AL59" i="3"/>
  <c r="AN59" i="3" s="1"/>
  <c r="Y59" i="3"/>
  <c r="B59" i="3"/>
  <c r="D59" i="3" s="1"/>
  <c r="CS58" i="3"/>
  <c r="BV58" i="3"/>
  <c r="BX58" i="3" s="1"/>
  <c r="BI58" i="3"/>
  <c r="AL58" i="3"/>
  <c r="AN58" i="3" s="1"/>
  <c r="Y58" i="3"/>
  <c r="B58" i="3"/>
  <c r="CS57" i="3"/>
  <c r="BV57" i="3"/>
  <c r="BI57" i="3"/>
  <c r="AL57" i="3"/>
  <c r="AN57" i="3" s="1"/>
  <c r="Y57" i="3"/>
  <c r="B57" i="3"/>
  <c r="D57" i="3" s="1"/>
  <c r="CS56" i="3"/>
  <c r="BV56" i="3"/>
  <c r="BX56" i="3" s="1"/>
  <c r="BI56" i="3"/>
  <c r="AL56" i="3"/>
  <c r="AN56" i="3" s="1"/>
  <c r="Y56" i="3"/>
  <c r="B56" i="3"/>
  <c r="D56" i="3" s="1"/>
  <c r="BV55" i="3"/>
  <c r="BX55" i="3" s="1"/>
  <c r="AL55" i="3"/>
  <c r="B55" i="3"/>
  <c r="CS54" i="3"/>
  <c r="BV54" i="3"/>
  <c r="BX54" i="3" s="1"/>
  <c r="BI54" i="3"/>
  <c r="AL54" i="3"/>
  <c r="AN54" i="3" s="1"/>
  <c r="Y54" i="3"/>
  <c r="B54" i="3"/>
  <c r="D54" i="3" s="1"/>
  <c r="CS53" i="3"/>
  <c r="BV53" i="3"/>
  <c r="BI53" i="3"/>
  <c r="AL53" i="3"/>
  <c r="AN53" i="3" s="1"/>
  <c r="Y53" i="3"/>
  <c r="B53" i="3"/>
  <c r="D53" i="3" s="1"/>
  <c r="CS52" i="3"/>
  <c r="BV52" i="3"/>
  <c r="BX52" i="3" s="1"/>
  <c r="BI52" i="3"/>
  <c r="AL52" i="3"/>
  <c r="AN52" i="3" s="1"/>
  <c r="Y52" i="3"/>
  <c r="B52" i="3"/>
  <c r="CS51" i="3"/>
  <c r="BV51" i="3"/>
  <c r="BX51" i="3" s="1"/>
  <c r="BI51" i="3"/>
  <c r="AL51" i="3"/>
  <c r="Y51" i="3"/>
  <c r="B51" i="3"/>
  <c r="D51" i="3" s="1"/>
  <c r="CS50" i="3"/>
  <c r="BV50" i="3"/>
  <c r="BX50" i="3" s="1"/>
  <c r="BI50" i="3"/>
  <c r="AL50" i="3"/>
  <c r="Y50" i="3"/>
  <c r="B50" i="3"/>
  <c r="D50" i="3" s="1"/>
  <c r="CS49" i="3"/>
  <c r="BV49" i="3"/>
  <c r="BX49" i="3" s="1"/>
  <c r="BI49" i="3"/>
  <c r="AL49" i="3"/>
  <c r="AN49" i="3" s="1"/>
  <c r="Y49" i="3"/>
  <c r="B49" i="3"/>
  <c r="D49" i="3" s="1"/>
  <c r="CS48" i="3"/>
  <c r="BV48" i="3"/>
  <c r="BX48" i="3" s="1"/>
  <c r="BI48" i="3"/>
  <c r="AL48" i="3"/>
  <c r="Y48" i="3"/>
  <c r="B48" i="3"/>
  <c r="CS47" i="3"/>
  <c r="BV47" i="3"/>
  <c r="BX47" i="3" s="1"/>
  <c r="BI47" i="3"/>
  <c r="AL47" i="3"/>
  <c r="Y47" i="3"/>
  <c r="B47" i="3"/>
  <c r="D47" i="3" s="1"/>
  <c r="CS46" i="3"/>
  <c r="BV46" i="3"/>
  <c r="BI46" i="3"/>
  <c r="AL46" i="3"/>
  <c r="AN46" i="3" s="1"/>
  <c r="Y46" i="3"/>
  <c r="B46" i="3"/>
  <c r="D46" i="3" s="1"/>
  <c r="CS45" i="3"/>
  <c r="BV45" i="3"/>
  <c r="BI45" i="3"/>
  <c r="AL45" i="3"/>
  <c r="Y45" i="3"/>
  <c r="B45" i="3"/>
  <c r="D45" i="3" s="1"/>
  <c r="CS44" i="3"/>
  <c r="DA44" i="3" s="1"/>
  <c r="BZ44" i="3"/>
  <c r="BY44" i="3"/>
  <c r="BV44" i="3"/>
  <c r="BW44" i="3" s="1"/>
  <c r="BI44" i="3"/>
  <c r="BQ44" i="3" s="1"/>
  <c r="AP44" i="3"/>
  <c r="AO44" i="3"/>
  <c r="AL44" i="3"/>
  <c r="AN44" i="3" s="1"/>
  <c r="Y44" i="3"/>
  <c r="AG44" i="3" s="1"/>
  <c r="F44" i="3"/>
  <c r="E44" i="3"/>
  <c r="B44" i="3"/>
  <c r="BV41" i="3"/>
  <c r="AL41" i="3"/>
  <c r="B41" i="3"/>
  <c r="C63" i="2"/>
  <c r="B63" i="2"/>
  <c r="C62" i="2"/>
  <c r="B62" i="2"/>
  <c r="C61" i="2"/>
  <c r="B61" i="2"/>
  <c r="C60" i="2"/>
  <c r="B60" i="2"/>
  <c r="C59" i="2"/>
  <c r="B59" i="2"/>
  <c r="C58" i="2"/>
  <c r="B58" i="2"/>
  <c r="C57" i="2"/>
  <c r="B57" i="2"/>
  <c r="D56" i="2"/>
  <c r="C56" i="2"/>
  <c r="B56" i="2"/>
  <c r="C55" i="2"/>
  <c r="B55" i="2"/>
  <c r="C54" i="2"/>
  <c r="B54" i="2"/>
  <c r="C53" i="2"/>
  <c r="B53" i="2"/>
  <c r="C52" i="2"/>
  <c r="B52" i="2"/>
  <c r="C51" i="2"/>
  <c r="B51" i="2"/>
  <c r="C50" i="2"/>
  <c r="B50" i="2"/>
  <c r="C49" i="2"/>
  <c r="B49" i="2"/>
  <c r="C48" i="2"/>
  <c r="B48" i="2"/>
  <c r="C47" i="2"/>
  <c r="B47" i="2"/>
  <c r="C46" i="2"/>
  <c r="B46" i="2"/>
  <c r="C45" i="2"/>
  <c r="B45" i="2"/>
  <c r="C44" i="2"/>
  <c r="B44" i="2"/>
  <c r="C43" i="2"/>
  <c r="B43" i="2"/>
  <c r="C42" i="2"/>
  <c r="B42" i="2"/>
  <c r="C41" i="2"/>
  <c r="B41" i="2"/>
  <c r="C40" i="2"/>
  <c r="B40" i="2"/>
  <c r="C39" i="2"/>
  <c r="B39" i="2"/>
  <c r="C38" i="2"/>
  <c r="B38" i="2"/>
  <c r="BW95" i="3" s="1"/>
  <c r="C37" i="2"/>
  <c r="B37" i="2"/>
  <c r="BW82" i="3" s="1"/>
  <c r="E36" i="2"/>
  <c r="C36" i="2"/>
  <c r="B36" i="2"/>
  <c r="E35" i="2"/>
  <c r="C35" i="2"/>
  <c r="B35" i="2"/>
  <c r="E34" i="2"/>
  <c r="D34" i="2"/>
  <c r="C34" i="2"/>
  <c r="B34" i="2"/>
  <c r="BW54" i="3" s="1"/>
  <c r="B30" i="2"/>
  <c r="B9" i="6" s="1"/>
  <c r="B13" i="6" s="1"/>
  <c r="B15" i="6" s="1"/>
  <c r="B16" i="6" s="1"/>
  <c r="B26" i="2"/>
  <c r="B29" i="2" s="1"/>
  <c r="B23" i="2"/>
  <c r="B22" i="2"/>
  <c r="D51" i="2" l="1"/>
  <c r="AM52" i="3"/>
  <c r="AM81" i="3"/>
  <c r="BW57" i="3"/>
  <c r="E40" i="2"/>
  <c r="E59" i="2"/>
  <c r="BQ45" i="3"/>
  <c r="BQ46" i="3" s="1"/>
  <c r="BQ47" i="3" s="1"/>
  <c r="BQ48" i="3" s="1"/>
  <c r="BQ49" i="3" s="1"/>
  <c r="BQ50" i="3" s="1"/>
  <c r="BQ51" i="3" s="1"/>
  <c r="BQ52" i="3" s="1"/>
  <c r="BQ53" i="3" s="1"/>
  <c r="BQ54" i="3" s="1"/>
  <c r="BW52" i="3"/>
  <c r="C55" i="3"/>
  <c r="J44" i="4"/>
  <c r="E51" i="2"/>
  <c r="E41" i="2"/>
  <c r="D60" i="2"/>
  <c r="E45" i="2"/>
  <c r="BW45" i="3"/>
  <c r="D40" i="2"/>
  <c r="D35" i="2"/>
  <c r="E60" i="2"/>
  <c r="D55" i="2"/>
  <c r="AM51" i="3"/>
  <c r="E44" i="2"/>
  <c r="C46" i="3"/>
  <c r="D36" i="2"/>
  <c r="E49" i="2"/>
  <c r="E55" i="2"/>
  <c r="BW53" i="3"/>
  <c r="BW85" i="3"/>
  <c r="C49" i="3"/>
  <c r="AN51" i="3"/>
  <c r="AG45" i="3"/>
  <c r="AG46" i="3" s="1"/>
  <c r="AG47" i="3" s="1"/>
  <c r="AG48" i="3" s="1"/>
  <c r="AG49" i="3" s="1"/>
  <c r="AG50" i="3" s="1"/>
  <c r="AG51" i="3" s="1"/>
  <c r="AG52" i="3" s="1"/>
  <c r="AG53" i="3" s="1"/>
  <c r="AG54" i="3" s="1"/>
  <c r="BX85" i="3"/>
  <c r="E56" i="2"/>
  <c r="E61" i="2"/>
  <c r="BX45" i="3"/>
  <c r="BX53" i="3"/>
  <c r="D47" i="2"/>
  <c r="C52" i="3"/>
  <c r="E37" i="2"/>
  <c r="E47" i="2"/>
  <c r="D52" i="2"/>
  <c r="D52" i="3"/>
  <c r="AM48" i="3"/>
  <c r="BX57" i="3"/>
  <c r="D71" i="3"/>
  <c r="E52" i="2"/>
  <c r="E57" i="2"/>
  <c r="D43" i="2"/>
  <c r="AN48" i="3"/>
  <c r="BW86" i="3"/>
  <c r="D55" i="3"/>
  <c r="AN81" i="3"/>
  <c r="D63" i="2"/>
  <c r="AM70" i="3"/>
  <c r="E43" i="2"/>
  <c r="D48" i="2"/>
  <c r="E48" i="2"/>
  <c r="E53" i="2"/>
  <c r="E63" i="2"/>
  <c r="D39" i="2"/>
  <c r="BW48" i="3"/>
  <c r="C51" i="3"/>
  <c r="AN70" i="3"/>
  <c r="E39" i="2"/>
  <c r="D44" i="2"/>
  <c r="D59" i="2"/>
  <c r="C61" i="4"/>
  <c r="C62" i="4"/>
  <c r="C64" i="4"/>
  <c r="C59" i="4"/>
  <c r="C57" i="3"/>
  <c r="AM67" i="3"/>
  <c r="BW64" i="3"/>
  <c r="C62" i="3"/>
  <c r="AM59" i="3"/>
  <c r="BW56" i="3"/>
  <c r="C258" i="4"/>
  <c r="C252" i="4"/>
  <c r="C249" i="4"/>
  <c r="C251" i="4"/>
  <c r="C253" i="4"/>
  <c r="AM258" i="3"/>
  <c r="AM253" i="3"/>
  <c r="BW250" i="3"/>
  <c r="C248" i="3"/>
  <c r="BW257" i="3"/>
  <c r="C255" i="3"/>
  <c r="C258" i="3"/>
  <c r="AM255" i="3"/>
  <c r="BW255" i="3"/>
  <c r="BW259" i="3"/>
  <c r="C257" i="3"/>
  <c r="C256" i="3"/>
  <c r="BW256" i="3"/>
  <c r="BW258" i="3"/>
  <c r="AM60" i="3"/>
  <c r="BW62" i="3"/>
  <c r="D89" i="3"/>
  <c r="C89" i="3"/>
  <c r="BW94" i="3"/>
  <c r="AM99" i="3"/>
  <c r="AN99" i="3"/>
  <c r="C45" i="3"/>
  <c r="AN63" i="3"/>
  <c r="AM63" i="3"/>
  <c r="K44" i="4"/>
  <c r="L44" i="4" s="1"/>
  <c r="C79" i="4"/>
  <c r="C69" i="4"/>
  <c r="C77" i="4"/>
  <c r="C70" i="4"/>
  <c r="C71" i="4"/>
  <c r="AM75" i="3"/>
  <c r="BW72" i="3"/>
  <c r="C70" i="3"/>
  <c r="BW79" i="3"/>
  <c r="C74" i="3"/>
  <c r="C127" i="4"/>
  <c r="C119" i="4"/>
  <c r="C123" i="4"/>
  <c r="C124" i="4"/>
  <c r="C122" i="4"/>
  <c r="AM126" i="3"/>
  <c r="BW127" i="3"/>
  <c r="BW124" i="3"/>
  <c r="C122" i="3"/>
  <c r="AM119" i="3"/>
  <c r="BW116" i="3"/>
  <c r="AM122" i="3"/>
  <c r="C127" i="3"/>
  <c r="BW119" i="3"/>
  <c r="C117" i="3"/>
  <c r="C119" i="3"/>
  <c r="BW118" i="3"/>
  <c r="AM124" i="3"/>
  <c r="C125" i="3"/>
  <c r="C173" i="4"/>
  <c r="C169" i="4"/>
  <c r="C165" i="4"/>
  <c r="C170" i="4"/>
  <c r="C167" i="4"/>
  <c r="C175" i="4"/>
  <c r="BW166" i="3"/>
  <c r="C164" i="3"/>
  <c r="BW173" i="3"/>
  <c r="AM174" i="3"/>
  <c r="BW171" i="3"/>
  <c r="AM170" i="3"/>
  <c r="AM173" i="3"/>
  <c r="C168" i="3"/>
  <c r="AM168" i="3"/>
  <c r="C170" i="3"/>
  <c r="C173" i="3"/>
  <c r="BW170" i="3"/>
  <c r="BW175" i="3"/>
  <c r="C213" i="4"/>
  <c r="C219" i="4"/>
  <c r="C220" i="4"/>
  <c r="C222" i="4"/>
  <c r="BW220" i="3"/>
  <c r="AM215" i="3"/>
  <c r="C217" i="3"/>
  <c r="AM214" i="3"/>
  <c r="C216" i="3"/>
  <c r="AM213" i="3"/>
  <c r="AM220" i="3"/>
  <c r="C215" i="3"/>
  <c r="BW213" i="3"/>
  <c r="C223" i="3"/>
  <c r="AM222" i="3"/>
  <c r="AM212" i="3"/>
  <c r="BW219" i="3"/>
  <c r="BW212" i="3"/>
  <c r="BW217" i="3"/>
  <c r="AM216" i="3"/>
  <c r="C266" i="4"/>
  <c r="C265" i="4"/>
  <c r="C268" i="4"/>
  <c r="C260" i="4"/>
  <c r="C263" i="4"/>
  <c r="AM269" i="3"/>
  <c r="BW266" i="3"/>
  <c r="C269" i="3"/>
  <c r="AM266" i="3"/>
  <c r="BW263" i="3"/>
  <c r="C261" i="3"/>
  <c r="AM271" i="3"/>
  <c r="BW270" i="3"/>
  <c r="AM270" i="3"/>
  <c r="BW268" i="3"/>
  <c r="C266" i="3"/>
  <c r="C265" i="3"/>
  <c r="C264" i="3"/>
  <c r="AM262" i="3"/>
  <c r="AM261" i="3"/>
  <c r="C268" i="3"/>
  <c r="C308" i="4"/>
  <c r="C315" i="4"/>
  <c r="C312" i="4"/>
  <c r="C316" i="4"/>
  <c r="AM313" i="3"/>
  <c r="BW310" i="3"/>
  <c r="C314" i="3"/>
  <c r="AM311" i="3"/>
  <c r="BW316" i="3"/>
  <c r="AM319" i="3"/>
  <c r="C313" i="3"/>
  <c r="BW315" i="3"/>
  <c r="BW308" i="3"/>
  <c r="AM310" i="3"/>
  <c r="BW309" i="3"/>
  <c r="AM318" i="3"/>
  <c r="C356" i="4"/>
  <c r="C362" i="4"/>
  <c r="AM367" i="3"/>
  <c r="BW364" i="3"/>
  <c r="C362" i="3"/>
  <c r="AM359" i="3"/>
  <c r="BW356" i="3"/>
  <c r="C364" i="3"/>
  <c r="AM361" i="3"/>
  <c r="BW358" i="3"/>
  <c r="C366" i="3"/>
  <c r="C356" i="3"/>
  <c r="AM362" i="3"/>
  <c r="BW359" i="3"/>
  <c r="BW366" i="3"/>
  <c r="BW362" i="3"/>
  <c r="BW367" i="3"/>
  <c r="AM364" i="3"/>
  <c r="C360" i="3"/>
  <c r="D44" i="3"/>
  <c r="BW46" i="3"/>
  <c r="BW47" i="3"/>
  <c r="BW49" i="3"/>
  <c r="AM57" i="3"/>
  <c r="AM65" i="3"/>
  <c r="C109" i="4"/>
  <c r="C106" i="4"/>
  <c r="C111" i="4"/>
  <c r="C115" i="3"/>
  <c r="AM112" i="3"/>
  <c r="BW109" i="3"/>
  <c r="C114" i="3"/>
  <c r="C109" i="3"/>
  <c r="C108" i="3"/>
  <c r="AM114" i="3"/>
  <c r="BW111" i="3"/>
  <c r="AM108" i="3"/>
  <c r="C203" i="4"/>
  <c r="C202" i="4"/>
  <c r="C200" i="4"/>
  <c r="C211" i="4"/>
  <c r="AM211" i="3"/>
  <c r="BW209" i="3"/>
  <c r="C207" i="3"/>
  <c r="AM208" i="3"/>
  <c r="BW204" i="3"/>
  <c r="C210" i="3"/>
  <c r="AM207" i="3"/>
  <c r="BW206" i="3"/>
  <c r="C211" i="3"/>
  <c r="C203" i="3"/>
  <c r="C201" i="3"/>
  <c r="AM200" i="3"/>
  <c r="AM201" i="3"/>
  <c r="BW202" i="3"/>
  <c r="BW200" i="3"/>
  <c r="C200" i="3"/>
  <c r="C344" i="4"/>
  <c r="C355" i="4"/>
  <c r="C351" i="4"/>
  <c r="AM347" i="3"/>
  <c r="BW344" i="3"/>
  <c r="C352" i="3"/>
  <c r="AM349" i="3"/>
  <c r="C353" i="3"/>
  <c r="C351" i="3"/>
  <c r="C350" i="3"/>
  <c r="BW352" i="3"/>
  <c r="AM355" i="3"/>
  <c r="BW353" i="3"/>
  <c r="AM353" i="3"/>
  <c r="AM351" i="3"/>
  <c r="C354" i="3"/>
  <c r="BW348" i="3"/>
  <c r="C346" i="3"/>
  <c r="C345" i="3"/>
  <c r="BW346" i="3"/>
  <c r="BW347" i="3"/>
  <c r="C344" i="3"/>
  <c r="BX46" i="3"/>
  <c r="AM56" i="3"/>
  <c r="C61" i="3"/>
  <c r="C68" i="3"/>
  <c r="BW73" i="3"/>
  <c r="BW84" i="3"/>
  <c r="C60" i="3"/>
  <c r="D66" i="3"/>
  <c r="C66" i="3"/>
  <c r="AM76" i="3"/>
  <c r="AM79" i="3"/>
  <c r="C159" i="4"/>
  <c r="C154" i="4"/>
  <c r="C156" i="4"/>
  <c r="C163" i="4"/>
  <c r="C153" i="4"/>
  <c r="C160" i="4"/>
  <c r="C155" i="4"/>
  <c r="AM161" i="3"/>
  <c r="BW158" i="3"/>
  <c r="C156" i="3"/>
  <c r="AM153" i="3"/>
  <c r="BW160" i="3"/>
  <c r="C155" i="3"/>
  <c r="AM152" i="3"/>
  <c r="AM156" i="3"/>
  <c r="C154" i="3"/>
  <c r="C303" i="4"/>
  <c r="C299" i="4"/>
  <c r="C305" i="4"/>
  <c r="C298" i="4"/>
  <c r="C298" i="3"/>
  <c r="AM305" i="3"/>
  <c r="BW302" i="3"/>
  <c r="C307" i="3"/>
  <c r="AM298" i="3"/>
  <c r="BW307" i="3"/>
  <c r="C304" i="3"/>
  <c r="AM301" i="3"/>
  <c r="BW306" i="3"/>
  <c r="C297" i="3"/>
  <c r="C393" i="4"/>
  <c r="C398" i="4"/>
  <c r="AM403" i="3"/>
  <c r="BW401" i="3"/>
  <c r="BW392" i="3"/>
  <c r="BW400" i="3"/>
  <c r="AM395" i="3"/>
  <c r="BW393" i="3"/>
  <c r="C398" i="3"/>
  <c r="C59" i="3"/>
  <c r="AM62" i="3"/>
  <c r="BX93" i="3"/>
  <c r="BW93" i="3"/>
  <c r="C106" i="3"/>
  <c r="C82" i="4"/>
  <c r="C90" i="4"/>
  <c r="C85" i="4"/>
  <c r="C90" i="3"/>
  <c r="AM87" i="3"/>
  <c r="AM91" i="3"/>
  <c r="C83" i="3"/>
  <c r="AM80" i="3"/>
  <c r="C85" i="3"/>
  <c r="AM82" i="3"/>
  <c r="AM90" i="3"/>
  <c r="BW87" i="3"/>
  <c r="D104" i="3"/>
  <c r="C104" i="3"/>
  <c r="C230" i="4"/>
  <c r="C225" i="4"/>
  <c r="C229" i="4"/>
  <c r="C226" i="4"/>
  <c r="BW235" i="3"/>
  <c r="AM233" i="3"/>
  <c r="C233" i="3"/>
  <c r="BW232" i="3"/>
  <c r="AM230" i="3"/>
  <c r="BW233" i="3"/>
  <c r="AM228" i="3"/>
  <c r="AM235" i="3"/>
  <c r="BW228" i="3"/>
  <c r="BW225" i="3"/>
  <c r="BX44" i="3"/>
  <c r="AM47" i="3"/>
  <c r="C50" i="3"/>
  <c r="AN55" i="3"/>
  <c r="AM55" i="3"/>
  <c r="D58" i="3"/>
  <c r="C58" i="3"/>
  <c r="AM92" i="3"/>
  <c r="C44" i="3"/>
  <c r="G44" i="3" s="1"/>
  <c r="D37" i="2"/>
  <c r="D41" i="2"/>
  <c r="D45" i="2"/>
  <c r="D49" i="2"/>
  <c r="D53" i="2"/>
  <c r="D57" i="2"/>
  <c r="D61" i="2"/>
  <c r="CA44" i="3"/>
  <c r="AM46" i="3"/>
  <c r="AN47" i="3"/>
  <c r="BW59" i="3"/>
  <c r="C65" i="3"/>
  <c r="C84" i="3"/>
  <c r="B27" i="2"/>
  <c r="B28" i="2" s="1"/>
  <c r="C323" i="4"/>
  <c r="C331" i="4"/>
  <c r="C324" i="4"/>
  <c r="BW329" i="3"/>
  <c r="AM325" i="3"/>
  <c r="BW330" i="3"/>
  <c r="C328" i="3"/>
  <c r="C322" i="3"/>
  <c r="AM331" i="3"/>
  <c r="C321" i="3"/>
  <c r="AM321" i="3"/>
  <c r="AM329" i="3"/>
  <c r="C329" i="3"/>
  <c r="BX60" i="3"/>
  <c r="BW60" i="3"/>
  <c r="C63" i="3"/>
  <c r="BW63" i="3"/>
  <c r="BW70" i="3"/>
  <c r="BW78" i="3"/>
  <c r="C377" i="4"/>
  <c r="C371" i="4"/>
  <c r="BW376" i="3"/>
  <c r="BW370" i="3"/>
  <c r="C371" i="3"/>
  <c r="BW377" i="3"/>
  <c r="C375" i="3"/>
  <c r="C377" i="3"/>
  <c r="AM374" i="3"/>
  <c r="AM371" i="3"/>
  <c r="BW379" i="3"/>
  <c r="BW373" i="3"/>
  <c r="BW368" i="3"/>
  <c r="AM369" i="3"/>
  <c r="AM370" i="3"/>
  <c r="C53" i="4"/>
  <c r="C51" i="4"/>
  <c r="C45" i="4"/>
  <c r="C55" i="4"/>
  <c r="C47" i="4"/>
  <c r="C48" i="4"/>
  <c r="AM54" i="3"/>
  <c r="C54" i="3"/>
  <c r="C102" i="4"/>
  <c r="C98" i="4"/>
  <c r="C93" i="4"/>
  <c r="C94" i="4"/>
  <c r="C97" i="4"/>
  <c r="C101" i="4"/>
  <c r="C103" i="3"/>
  <c r="AM100" i="3"/>
  <c r="AM95" i="3"/>
  <c r="BW92" i="3"/>
  <c r="C98" i="3"/>
  <c r="BW97" i="3"/>
  <c r="BW102" i="3"/>
  <c r="BW101" i="3"/>
  <c r="C99" i="3"/>
  <c r="BW96" i="3"/>
  <c r="C94" i="3"/>
  <c r="C93" i="3"/>
  <c r="C100" i="3"/>
  <c r="C141" i="4"/>
  <c r="C143" i="4"/>
  <c r="C144" i="4"/>
  <c r="C151" i="4"/>
  <c r="BW150" i="3"/>
  <c r="C148" i="3"/>
  <c r="AM145" i="3"/>
  <c r="BW142" i="3"/>
  <c r="BW149" i="3"/>
  <c r="C147" i="3"/>
  <c r="C140" i="3"/>
  <c r="AM148" i="3"/>
  <c r="BW145" i="3"/>
  <c r="AM146" i="3"/>
  <c r="BW140" i="3"/>
  <c r="AM142" i="3"/>
  <c r="C143" i="3"/>
  <c r="BW141" i="3"/>
  <c r="BW143" i="3"/>
  <c r="C145" i="3"/>
  <c r="AM144" i="3"/>
  <c r="C192" i="4"/>
  <c r="C193" i="4"/>
  <c r="C199" i="4"/>
  <c r="C198" i="4"/>
  <c r="C193" i="3"/>
  <c r="AM190" i="3"/>
  <c r="AM196" i="3"/>
  <c r="AM195" i="3"/>
  <c r="AM198" i="3"/>
  <c r="AM197" i="3"/>
  <c r="BW195" i="3"/>
  <c r="BW197" i="3"/>
  <c r="BW198" i="3"/>
  <c r="C196" i="3"/>
  <c r="BW194" i="3"/>
  <c r="C198" i="3"/>
  <c r="C195" i="3"/>
  <c r="C192" i="3"/>
  <c r="AM192" i="3"/>
  <c r="AM189" i="3"/>
  <c r="C190" i="3"/>
  <c r="C236" i="4"/>
  <c r="C244" i="4"/>
  <c r="C243" i="4"/>
  <c r="C240" i="4"/>
  <c r="C245" i="4"/>
  <c r="BW245" i="3"/>
  <c r="AM245" i="3"/>
  <c r="AM238" i="3"/>
  <c r="BW238" i="3"/>
  <c r="C236" i="3"/>
  <c r="C239" i="3"/>
  <c r="AM236" i="3"/>
  <c r="BW242" i="3"/>
  <c r="BW243" i="3"/>
  <c r="C241" i="3"/>
  <c r="C238" i="3"/>
  <c r="C240" i="3"/>
  <c r="BW244" i="3"/>
  <c r="C289" i="4"/>
  <c r="C284" i="4"/>
  <c r="AM295" i="3"/>
  <c r="BW292" i="3"/>
  <c r="C292" i="3"/>
  <c r="C288" i="3"/>
  <c r="AM285" i="3"/>
  <c r="C290" i="3"/>
  <c r="AM290" i="3"/>
  <c r="AM294" i="3"/>
  <c r="BW290" i="3"/>
  <c r="BW286" i="3"/>
  <c r="C284" i="3"/>
  <c r="BW295" i="3"/>
  <c r="C293" i="3"/>
  <c r="C343" i="4"/>
  <c r="C341" i="4"/>
  <c r="C334" i="4"/>
  <c r="C333" i="4"/>
  <c r="C338" i="4"/>
  <c r="C332" i="4"/>
  <c r="C339" i="4"/>
  <c r="C339" i="3"/>
  <c r="AM339" i="3"/>
  <c r="C336" i="3"/>
  <c r="AM333" i="3"/>
  <c r="AM341" i="3"/>
  <c r="AM334" i="3"/>
  <c r="BW339" i="3"/>
  <c r="C340" i="3"/>
  <c r="BW336" i="3"/>
  <c r="C334" i="3"/>
  <c r="C333" i="3"/>
  <c r="AM340" i="3"/>
  <c r="BW342" i="3"/>
  <c r="C342" i="3"/>
  <c r="C337" i="3"/>
  <c r="BW335" i="3"/>
  <c r="C385" i="4"/>
  <c r="AM391" i="3"/>
  <c r="AM387" i="3"/>
  <c r="AM386" i="3"/>
  <c r="C384" i="3"/>
  <c r="C381" i="3"/>
  <c r="BW391" i="3"/>
  <c r="C390" i="3"/>
  <c r="AM389" i="3"/>
  <c r="AM388" i="3"/>
  <c r="AM380" i="3"/>
  <c r="AM383" i="3"/>
  <c r="AM382" i="3"/>
  <c r="AM381" i="3"/>
  <c r="BW381" i="3"/>
  <c r="AN45" i="3"/>
  <c r="AM45" i="3"/>
  <c r="BW67" i="3"/>
  <c r="C184" i="4"/>
  <c r="C185" i="4"/>
  <c r="C177" i="4"/>
  <c r="C180" i="4"/>
  <c r="C179" i="4"/>
  <c r="C183" i="4"/>
  <c r="BW183" i="3"/>
  <c r="C181" i="3"/>
  <c r="BW187" i="3"/>
  <c r="C185" i="3"/>
  <c r="BW184" i="3"/>
  <c r="AM182" i="3"/>
  <c r="C184" i="3"/>
  <c r="AM181" i="3"/>
  <c r="C177" i="3"/>
  <c r="BW179" i="3"/>
  <c r="BW178" i="3"/>
  <c r="C176" i="3"/>
  <c r="BW186" i="3"/>
  <c r="BW176" i="3"/>
  <c r="AM178" i="3"/>
  <c r="AM179" i="3"/>
  <c r="AM44" i="3"/>
  <c r="AQ44" i="3" s="1"/>
  <c r="D48" i="3"/>
  <c r="C48" i="3"/>
  <c r="AN50" i="3"/>
  <c r="AM50" i="3"/>
  <c r="BW51" i="3"/>
  <c r="AM73" i="3"/>
  <c r="BX77" i="3"/>
  <c r="BW77" i="3"/>
  <c r="C82" i="3"/>
  <c r="C135" i="4"/>
  <c r="C130" i="4"/>
  <c r="C136" i="4"/>
  <c r="C133" i="4"/>
  <c r="C139" i="3"/>
  <c r="BW135" i="3"/>
  <c r="C133" i="3"/>
  <c r="AM130" i="3"/>
  <c r="C135" i="3"/>
  <c r="AM132" i="3"/>
  <c r="BW138" i="3"/>
  <c r="AM138" i="3"/>
  <c r="BW137" i="3"/>
  <c r="B31" i="2"/>
  <c r="D38" i="2"/>
  <c r="D42" i="2"/>
  <c r="D46" i="2"/>
  <c r="D50" i="2"/>
  <c r="D54" i="2"/>
  <c r="D58" i="2"/>
  <c r="D62" i="2"/>
  <c r="C47" i="3"/>
  <c r="AM49" i="3"/>
  <c r="BW65" i="3"/>
  <c r="C76" i="3"/>
  <c r="C280" i="4"/>
  <c r="C274" i="4"/>
  <c r="C282" i="4"/>
  <c r="C281" i="4"/>
  <c r="BW282" i="3"/>
  <c r="C280" i="3"/>
  <c r="AM277" i="3"/>
  <c r="BW274" i="3"/>
  <c r="C272" i="3"/>
  <c r="BW278" i="3"/>
  <c r="AM278" i="3"/>
  <c r="BW276" i="3"/>
  <c r="C276" i="3"/>
  <c r="BW275" i="3"/>
  <c r="C274" i="3"/>
  <c r="AM281" i="3"/>
  <c r="E38" i="2"/>
  <c r="E42" i="2"/>
  <c r="E46" i="2"/>
  <c r="E50" i="2"/>
  <c r="E54" i="2"/>
  <c r="E58" i="2"/>
  <c r="E62" i="2"/>
  <c r="DA45" i="3"/>
  <c r="DA46" i="3" s="1"/>
  <c r="DA47" i="3" s="1"/>
  <c r="DA48" i="3" s="1"/>
  <c r="DA49" i="3" s="1"/>
  <c r="DA50" i="3" s="1"/>
  <c r="DA51" i="3" s="1"/>
  <c r="DA52" i="3" s="1"/>
  <c r="DA53" i="3" s="1"/>
  <c r="DA54" i="3" s="1"/>
  <c r="AM68" i="3"/>
  <c r="C80" i="3"/>
  <c r="AM85" i="3"/>
  <c r="BW88" i="3"/>
  <c r="AM121" i="3"/>
  <c r="D132" i="3"/>
  <c r="C132" i="3"/>
  <c r="BW68" i="3"/>
  <c r="AM71" i="3"/>
  <c r="BW76" i="3"/>
  <c r="BW80" i="3"/>
  <c r="AM83" i="3"/>
  <c r="C86" i="3"/>
  <c r="AM89" i="3"/>
  <c r="C92" i="3"/>
  <c r="AM97" i="3"/>
  <c r="AM96" i="3"/>
  <c r="BX110" i="3"/>
  <c r="BW110" i="3"/>
  <c r="C53" i="3"/>
  <c r="BW55" i="3"/>
  <c r="AM58" i="3"/>
  <c r="AM66" i="3"/>
  <c r="C69" i="3"/>
  <c r="BW71" i="3"/>
  <c r="AM74" i="3"/>
  <c r="C77" i="3"/>
  <c r="AM77" i="3"/>
  <c r="BW89" i="3"/>
  <c r="BW126" i="3"/>
  <c r="AN78" i="3"/>
  <c r="AM78" i="3"/>
  <c r="AM93" i="3"/>
  <c r="BW50" i="3"/>
  <c r="AM53" i="3"/>
  <c r="C56" i="3"/>
  <c r="BW58" i="3"/>
  <c r="AM61" i="3"/>
  <c r="C64" i="3"/>
  <c r="BW66" i="3"/>
  <c r="AM69" i="3"/>
  <c r="C72" i="3"/>
  <c r="BW74" i="3"/>
  <c r="C88" i="3"/>
  <c r="BW90" i="3"/>
  <c r="AN93" i="3"/>
  <c r="BW99" i="3"/>
  <c r="C102" i="3"/>
  <c r="AM105" i="3"/>
  <c r="C91" i="3"/>
  <c r="BW61" i="3"/>
  <c r="AM64" i="3"/>
  <c r="C67" i="3"/>
  <c r="BW69" i="3"/>
  <c r="AM72" i="3"/>
  <c r="C75" i="3"/>
  <c r="C79" i="3"/>
  <c r="BW81" i="3"/>
  <c r="AM84" i="3"/>
  <c r="C87" i="3"/>
  <c r="C96" i="3"/>
  <c r="D81" i="3"/>
  <c r="C81" i="3"/>
  <c r="BX83" i="3"/>
  <c r="BW83" i="3"/>
  <c r="AN86" i="3"/>
  <c r="AM86" i="3"/>
  <c r="D96" i="3"/>
  <c r="AM129" i="3"/>
  <c r="BX104" i="3"/>
  <c r="BW104" i="3"/>
  <c r="D149" i="3"/>
  <c r="C149" i="3"/>
  <c r="AM88" i="3"/>
  <c r="C73" i="3"/>
  <c r="BW75" i="3"/>
  <c r="C78" i="3"/>
  <c r="AM128" i="3"/>
  <c r="D102" i="3"/>
  <c r="AN107" i="3"/>
  <c r="AM107" i="3"/>
  <c r="AN109" i="3"/>
  <c r="AM109" i="3"/>
  <c r="BX156" i="3"/>
  <c r="BW156" i="3"/>
  <c r="C131" i="3"/>
  <c r="BW134" i="3"/>
  <c r="BW151" i="3"/>
  <c r="C129" i="3"/>
  <c r="BX146" i="3"/>
  <c r="BW146" i="3"/>
  <c r="AM103" i="3"/>
  <c r="BW106" i="3"/>
  <c r="C111" i="3"/>
  <c r="C124" i="3"/>
  <c r="BW133" i="3"/>
  <c r="AM137" i="3"/>
  <c r="BW189" i="3"/>
  <c r="BW123" i="3"/>
  <c r="BW131" i="3"/>
  <c r="BW107" i="3"/>
  <c r="C113" i="3"/>
  <c r="AM136" i="3"/>
  <c r="BW91" i="3"/>
  <c r="AM94" i="3"/>
  <c r="C97" i="3"/>
  <c r="BW98" i="3"/>
  <c r="AM101" i="3"/>
  <c r="BX112" i="3"/>
  <c r="BW112" i="3"/>
  <c r="AM113" i="3"/>
  <c r="BW113" i="3"/>
  <c r="BW115" i="3"/>
  <c r="C116" i="3"/>
  <c r="AM116" i="3"/>
  <c r="AM118" i="3"/>
  <c r="AM134" i="3"/>
  <c r="D152" i="3"/>
  <c r="C152" i="3"/>
  <c r="AN167" i="3"/>
  <c r="AM167" i="3"/>
  <c r="AM98" i="3"/>
  <c r="C101" i="3"/>
  <c r="BW108" i="3"/>
  <c r="D110" i="3"/>
  <c r="C110" i="3"/>
  <c r="D112" i="3"/>
  <c r="C112" i="3"/>
  <c r="AN115" i="3"/>
  <c r="AM115" i="3"/>
  <c r="D118" i="3"/>
  <c r="C118" i="3"/>
  <c r="C121" i="3"/>
  <c r="D138" i="3"/>
  <c r="C138" i="3"/>
  <c r="BW148" i="3"/>
  <c r="BX108" i="3"/>
  <c r="BX114" i="3"/>
  <c r="BW114" i="3"/>
  <c r="AN117" i="3"/>
  <c r="AM117" i="3"/>
  <c r="BW117" i="3"/>
  <c r="BX120" i="3"/>
  <c r="BW120" i="3"/>
  <c r="BW121" i="3"/>
  <c r="BW129" i="3"/>
  <c r="C137" i="3"/>
  <c r="BW100" i="3"/>
  <c r="AM102" i="3"/>
  <c r="C105" i="3"/>
  <c r="D120" i="3"/>
  <c r="C120" i="3"/>
  <c r="AM120" i="3"/>
  <c r="C123" i="3"/>
  <c r="BW125" i="3"/>
  <c r="C95" i="3"/>
  <c r="BX100" i="3"/>
  <c r="BW105" i="3"/>
  <c r="AM106" i="3"/>
  <c r="AM110" i="3"/>
  <c r="BX122" i="3"/>
  <c r="BW122" i="3"/>
  <c r="BW157" i="3"/>
  <c r="AM171" i="3"/>
  <c r="AN171" i="3"/>
  <c r="BX192" i="3"/>
  <c r="BW192" i="3"/>
  <c r="BW103" i="3"/>
  <c r="AM104" i="3"/>
  <c r="C107" i="3"/>
  <c r="AM151" i="3"/>
  <c r="BX164" i="3"/>
  <c r="BW164" i="3"/>
  <c r="AN159" i="3"/>
  <c r="AM159" i="3"/>
  <c r="C197" i="3"/>
  <c r="D197" i="3"/>
  <c r="AN149" i="3"/>
  <c r="AM149" i="3"/>
  <c r="D162" i="3"/>
  <c r="C162" i="3"/>
  <c r="AM111" i="3"/>
  <c r="AM127" i="3"/>
  <c r="C130" i="3"/>
  <c r="BW132" i="3"/>
  <c r="AM135" i="3"/>
  <c r="BW139" i="3"/>
  <c r="AN154" i="3"/>
  <c r="AM154" i="3"/>
  <c r="AM184" i="3"/>
  <c r="BW152" i="3"/>
  <c r="BX155" i="3"/>
  <c r="BW155" i="3"/>
  <c r="D187" i="3"/>
  <c r="C187" i="3"/>
  <c r="AM141" i="3"/>
  <c r="AM143" i="3"/>
  <c r="AM147" i="3"/>
  <c r="D153" i="3"/>
  <c r="C153" i="3"/>
  <c r="BW153" i="3"/>
  <c r="AN187" i="3"/>
  <c r="AM187" i="3"/>
  <c r="AM125" i="3"/>
  <c r="C128" i="3"/>
  <c r="BW130" i="3"/>
  <c r="AM133" i="3"/>
  <c r="C136" i="3"/>
  <c r="AM139" i="3"/>
  <c r="AM140" i="3"/>
  <c r="C142" i="3"/>
  <c r="C144" i="3"/>
  <c r="C146" i="3"/>
  <c r="BX147" i="3"/>
  <c r="BW147" i="3"/>
  <c r="C150" i="3"/>
  <c r="AN177" i="3"/>
  <c r="AM177" i="3"/>
  <c r="AN139" i="3"/>
  <c r="BW144" i="3"/>
  <c r="AN150" i="3"/>
  <c r="AM150" i="3"/>
  <c r="C158" i="3"/>
  <c r="C166" i="3"/>
  <c r="D174" i="3"/>
  <c r="C174" i="3"/>
  <c r="AM163" i="3"/>
  <c r="BX168" i="3"/>
  <c r="BW168" i="3"/>
  <c r="AM155" i="3"/>
  <c r="AM164" i="3"/>
  <c r="AM123" i="3"/>
  <c r="C126" i="3"/>
  <c r="BW128" i="3"/>
  <c r="AM131" i="3"/>
  <c r="C134" i="3"/>
  <c r="BW136" i="3"/>
  <c r="C141" i="3"/>
  <c r="C151" i="3"/>
  <c r="C159" i="3"/>
  <c r="AN164" i="3"/>
  <c r="C167" i="3"/>
  <c r="D159" i="3"/>
  <c r="BW161" i="3"/>
  <c r="D167" i="3"/>
  <c r="AM206" i="3"/>
  <c r="BX161" i="3"/>
  <c r="C169" i="3"/>
  <c r="AM172" i="3"/>
  <c r="C175" i="3"/>
  <c r="AM203" i="3"/>
  <c r="C157" i="3"/>
  <c r="BW159" i="3"/>
  <c r="AM162" i="3"/>
  <c r="C165" i="3"/>
  <c r="BW167" i="3"/>
  <c r="BW177" i="3"/>
  <c r="AM199" i="3"/>
  <c r="C202" i="3"/>
  <c r="AN203" i="3"/>
  <c r="BX205" i="3"/>
  <c r="BW205" i="3"/>
  <c r="BW208" i="3"/>
  <c r="BW154" i="3"/>
  <c r="AM157" i="3"/>
  <c r="C160" i="3"/>
  <c r="BW162" i="3"/>
  <c r="AM165" i="3"/>
  <c r="BW169" i="3"/>
  <c r="C171" i="3"/>
  <c r="AM160" i="3"/>
  <c r="C163" i="3"/>
  <c r="BW165" i="3"/>
  <c r="AM188" i="3"/>
  <c r="BW196" i="3"/>
  <c r="BW172" i="3"/>
  <c r="AM175" i="3"/>
  <c r="C191" i="3"/>
  <c r="C206" i="3"/>
  <c r="C178" i="3"/>
  <c r="D180" i="3"/>
  <c r="C180" i="3"/>
  <c r="BW185" i="3"/>
  <c r="D188" i="3"/>
  <c r="C188" i="3"/>
  <c r="BW193" i="3"/>
  <c r="BW199" i="3"/>
  <c r="BX199" i="3"/>
  <c r="BW203" i="3"/>
  <c r="AM169" i="3"/>
  <c r="BX190" i="3"/>
  <c r="BW190" i="3"/>
  <c r="AM202" i="3"/>
  <c r="AN202" i="3"/>
  <c r="AN221" i="3"/>
  <c r="AM221" i="3"/>
  <c r="AM158" i="3"/>
  <c r="C161" i="3"/>
  <c r="BW163" i="3"/>
  <c r="AM166" i="3"/>
  <c r="AN169" i="3"/>
  <c r="AM176" i="3"/>
  <c r="C179" i="3"/>
  <c r="BW181" i="3"/>
  <c r="AN185" i="3"/>
  <c r="AM185" i="3"/>
  <c r="AN193" i="3"/>
  <c r="AM193" i="3"/>
  <c r="AM180" i="3"/>
  <c r="C182" i="3"/>
  <c r="BW201" i="3"/>
  <c r="D172" i="3"/>
  <c r="C172" i="3"/>
  <c r="BX174" i="3"/>
  <c r="BW174" i="3"/>
  <c r="BX182" i="3"/>
  <c r="BW182" i="3"/>
  <c r="C183" i="3"/>
  <c r="C199" i="3"/>
  <c r="C222" i="3"/>
  <c r="D222" i="3"/>
  <c r="C229" i="3"/>
  <c r="D229" i="3"/>
  <c r="D213" i="3"/>
  <c r="C213" i="3"/>
  <c r="BX237" i="3"/>
  <c r="BW237" i="3"/>
  <c r="C219" i="3"/>
  <c r="AM205" i="3"/>
  <c r="C208" i="3"/>
  <c r="AN218" i="3"/>
  <c r="AM218" i="3"/>
  <c r="C214" i="3"/>
  <c r="C205" i="3"/>
  <c r="BW221" i="3"/>
  <c r="D205" i="3"/>
  <c r="C209" i="3"/>
  <c r="BW211" i="3"/>
  <c r="BW216" i="3"/>
  <c r="D221" i="3"/>
  <c r="C221" i="3"/>
  <c r="C218" i="3"/>
  <c r="BW180" i="3"/>
  <c r="AM183" i="3"/>
  <c r="C186" i="3"/>
  <c r="BW188" i="3"/>
  <c r="AM191" i="3"/>
  <c r="C194" i="3"/>
  <c r="AM204" i="3"/>
  <c r="AN210" i="3"/>
  <c r="AM210" i="3"/>
  <c r="C204" i="3"/>
  <c r="BX218" i="3"/>
  <c r="BW218" i="3"/>
  <c r="AM186" i="3"/>
  <c r="C189" i="3"/>
  <c r="BW191" i="3"/>
  <c r="AM194" i="3"/>
  <c r="AM209" i="3"/>
  <c r="AM219" i="3"/>
  <c r="AN219" i="3"/>
  <c r="BX207" i="3"/>
  <c r="BW207" i="3"/>
  <c r="BW210" i="3"/>
  <c r="AM234" i="3"/>
  <c r="BW224" i="3"/>
  <c r="AM227" i="3"/>
  <c r="BX227" i="3"/>
  <c r="BW227" i="3"/>
  <c r="C224" i="3"/>
  <c r="BW226" i="3"/>
  <c r="AM241" i="3"/>
  <c r="C263" i="3"/>
  <c r="C225" i="3"/>
  <c r="AM229" i="3"/>
  <c r="D245" i="3"/>
  <c r="C245" i="3"/>
  <c r="AM249" i="3"/>
  <c r="C226" i="3"/>
  <c r="C235" i="3"/>
  <c r="BX239" i="3"/>
  <c r="BW239" i="3"/>
  <c r="BW215" i="3"/>
  <c r="AM223" i="3"/>
  <c r="BW229" i="3"/>
  <c r="AM224" i="3"/>
  <c r="C227" i="3"/>
  <c r="C230" i="3"/>
  <c r="BW251" i="3"/>
  <c r="AM226" i="3"/>
  <c r="BX234" i="3"/>
  <c r="BW234" i="3"/>
  <c r="AN242" i="3"/>
  <c r="AM242" i="3"/>
  <c r="BW223" i="3"/>
  <c r="C237" i="3"/>
  <c r="D237" i="3"/>
  <c r="AM251" i="3"/>
  <c r="BX284" i="3"/>
  <c r="BW284" i="3"/>
  <c r="BW288" i="3"/>
  <c r="AM237" i="3"/>
  <c r="C251" i="3"/>
  <c r="AM254" i="3"/>
  <c r="BW265" i="3"/>
  <c r="BX265" i="3"/>
  <c r="AN300" i="3"/>
  <c r="AM300" i="3"/>
  <c r="BW249" i="3"/>
  <c r="C250" i="3"/>
  <c r="BX260" i="3"/>
  <c r="BW260" i="3"/>
  <c r="C249" i="3"/>
  <c r="C242" i="3"/>
  <c r="C244" i="3"/>
  <c r="AM246" i="3"/>
  <c r="BW248" i="3"/>
  <c r="BW252" i="3"/>
  <c r="C254" i="3"/>
  <c r="C234" i="3"/>
  <c r="BW236" i="3"/>
  <c r="AM239" i="3"/>
  <c r="BW246" i="3"/>
  <c r="AM248" i="3"/>
  <c r="AM256" i="3"/>
  <c r="BW240" i="3"/>
  <c r="C247" i="3"/>
  <c r="AM247" i="3"/>
  <c r="BW230" i="3"/>
  <c r="C231" i="3"/>
  <c r="AM231" i="3"/>
  <c r="BW231" i="3"/>
  <c r="C232" i="3"/>
  <c r="AM232" i="3"/>
  <c r="C243" i="3"/>
  <c r="AM252" i="3"/>
  <c r="BW253" i="3"/>
  <c r="AM244" i="3"/>
  <c r="AM260" i="3"/>
  <c r="C212" i="3"/>
  <c r="BW214" i="3"/>
  <c r="AM217" i="3"/>
  <c r="C220" i="3"/>
  <c r="BW222" i="3"/>
  <c r="AM225" i="3"/>
  <c r="C228" i="3"/>
  <c r="AM240" i="3"/>
  <c r="BW241" i="3"/>
  <c r="C252" i="3"/>
  <c r="AM268" i="3"/>
  <c r="D282" i="3"/>
  <c r="C282" i="3"/>
  <c r="AN268" i="3"/>
  <c r="AM284" i="3"/>
  <c r="C291" i="3"/>
  <c r="BW281" i="3"/>
  <c r="AN284" i="3"/>
  <c r="C287" i="3"/>
  <c r="C294" i="3"/>
  <c r="BW272" i="3"/>
  <c r="C281" i="3"/>
  <c r="BW283" i="3"/>
  <c r="AM286" i="3"/>
  <c r="BX289" i="3"/>
  <c r="BW289" i="3"/>
  <c r="C259" i="3"/>
  <c r="AM263" i="3"/>
  <c r="C273" i="3"/>
  <c r="AM273" i="3"/>
  <c r="BW273" i="3"/>
  <c r="AM275" i="3"/>
  <c r="BW280" i="3"/>
  <c r="C286" i="3"/>
  <c r="C270" i="3"/>
  <c r="AM276" i="3"/>
  <c r="C278" i="3"/>
  <c r="AM283" i="3"/>
  <c r="BX261" i="3"/>
  <c r="BW261" i="3"/>
  <c r="AN264" i="3"/>
  <c r="AM264" i="3"/>
  <c r="D267" i="3"/>
  <c r="C267" i="3"/>
  <c r="C271" i="3"/>
  <c r="C279" i="3"/>
  <c r="D303" i="3"/>
  <c r="C303" i="3"/>
  <c r="C260" i="3"/>
  <c r="BW262" i="3"/>
  <c r="AM265" i="3"/>
  <c r="AM267" i="3"/>
  <c r="D271" i="3"/>
  <c r="D279" i="3"/>
  <c r="AM279" i="3"/>
  <c r="AM289" i="3"/>
  <c r="AM291" i="3"/>
  <c r="AM243" i="3"/>
  <c r="C246" i="3"/>
  <c r="BW254" i="3"/>
  <c r="AM257" i="3"/>
  <c r="BW267" i="3"/>
  <c r="C289" i="3"/>
  <c r="BW247" i="3"/>
  <c r="AM250" i="3"/>
  <c r="C253" i="3"/>
  <c r="AM259" i="3"/>
  <c r="C262" i="3"/>
  <c r="BW264" i="3"/>
  <c r="BW296" i="3"/>
  <c r="AN308" i="3"/>
  <c r="AM308" i="3"/>
  <c r="C301" i="3"/>
  <c r="BW303" i="3"/>
  <c r="AM299" i="3"/>
  <c r="AM287" i="3"/>
  <c r="BW293" i="3"/>
  <c r="AM296" i="3"/>
  <c r="BW298" i="3"/>
  <c r="BW271" i="3"/>
  <c r="AM274" i="3"/>
  <c r="C277" i="3"/>
  <c r="BW279" i="3"/>
  <c r="AM282" i="3"/>
  <c r="C285" i="3"/>
  <c r="BW287" i="3"/>
  <c r="AM292" i="3"/>
  <c r="C295" i="3"/>
  <c r="BW297" i="3"/>
  <c r="BW301" i="3"/>
  <c r="AM304" i="3"/>
  <c r="C306" i="3"/>
  <c r="D311" i="3"/>
  <c r="C311" i="3"/>
  <c r="BX299" i="3"/>
  <c r="BW299" i="3"/>
  <c r="AM293" i="3"/>
  <c r="C296" i="3"/>
  <c r="C302" i="3"/>
  <c r="BW304" i="3"/>
  <c r="BW269" i="3"/>
  <c r="AM272" i="3"/>
  <c r="C275" i="3"/>
  <c r="BW277" i="3"/>
  <c r="AM280" i="3"/>
  <c r="C283" i="3"/>
  <c r="BW285" i="3"/>
  <c r="AM288" i="3"/>
  <c r="BW291" i="3"/>
  <c r="BW294" i="3"/>
  <c r="AM297" i="3"/>
  <c r="BX305" i="3"/>
  <c r="BW305" i="3"/>
  <c r="C299" i="3"/>
  <c r="AN302" i="3"/>
  <c r="AM302" i="3"/>
  <c r="D305" i="3"/>
  <c r="C305" i="3"/>
  <c r="C300" i="3"/>
  <c r="C320" i="3"/>
  <c r="AM312" i="3"/>
  <c r="BW313" i="3"/>
  <c r="C315" i="3"/>
  <c r="D317" i="3"/>
  <c r="C317" i="3"/>
  <c r="D309" i="3"/>
  <c r="C309" i="3"/>
  <c r="C310" i="3"/>
  <c r="AM317" i="3"/>
  <c r="BW340" i="3"/>
  <c r="BX340" i="3"/>
  <c r="BX317" i="3"/>
  <c r="BW317" i="3"/>
  <c r="BW321" i="3"/>
  <c r="BX328" i="3"/>
  <c r="BW328" i="3"/>
  <c r="AM306" i="3"/>
  <c r="AM309" i="3"/>
  <c r="BX311" i="3"/>
  <c r="BW311" i="3"/>
  <c r="AN314" i="3"/>
  <c r="AM314" i="3"/>
  <c r="C343" i="3"/>
  <c r="AN306" i="3"/>
  <c r="C316" i="3"/>
  <c r="BW318" i="3"/>
  <c r="BW300" i="3"/>
  <c r="AM303" i="3"/>
  <c r="C308" i="3"/>
  <c r="BW322" i="3"/>
  <c r="C312" i="3"/>
  <c r="BW314" i="3"/>
  <c r="AM316" i="3"/>
  <c r="C319" i="3"/>
  <c r="AN320" i="3"/>
  <c r="AM320" i="3"/>
  <c r="BW332" i="3"/>
  <c r="BX332" i="3"/>
  <c r="BW334" i="3"/>
  <c r="BW333" i="3"/>
  <c r="AM337" i="3"/>
  <c r="AM343" i="3"/>
  <c r="AM336" i="3"/>
  <c r="AM328" i="3"/>
  <c r="C331" i="3"/>
  <c r="C332" i="3"/>
  <c r="C335" i="3"/>
  <c r="AM345" i="3"/>
  <c r="C348" i="3"/>
  <c r="BW319" i="3"/>
  <c r="AM322" i="3"/>
  <c r="AN328" i="3"/>
  <c r="D331" i="3"/>
  <c r="D335" i="3"/>
  <c r="BW337" i="3"/>
  <c r="BX337" i="3"/>
  <c r="D341" i="3"/>
  <c r="C341" i="3"/>
  <c r="AM335" i="3"/>
  <c r="C323" i="3"/>
  <c r="BW327" i="3"/>
  <c r="AM330" i="3"/>
  <c r="AN335" i="3"/>
  <c r="C338" i="3"/>
  <c r="AM327" i="3"/>
  <c r="C330" i="3"/>
  <c r="AM332" i="3"/>
  <c r="D338" i="3"/>
  <c r="BX345" i="3"/>
  <c r="BW345" i="3"/>
  <c r="AN348" i="3"/>
  <c r="AM348" i="3"/>
  <c r="AM307" i="3"/>
  <c r="BW312" i="3"/>
  <c r="AM315" i="3"/>
  <c r="C318" i="3"/>
  <c r="BW320" i="3"/>
  <c r="AM323" i="3"/>
  <c r="BW323" i="3"/>
  <c r="C324" i="3"/>
  <c r="AM324" i="3"/>
  <c r="BW324" i="3"/>
  <c r="C325" i="3"/>
  <c r="BW325" i="3"/>
  <c r="C326" i="3"/>
  <c r="AM326" i="3"/>
  <c r="BW326" i="3"/>
  <c r="C327" i="3"/>
  <c r="BW331" i="3"/>
  <c r="AN332" i="3"/>
  <c r="AM342" i="3"/>
  <c r="AM350" i="3"/>
  <c r="AM338" i="3"/>
  <c r="AN342" i="3"/>
  <c r="AM357" i="3"/>
  <c r="C359" i="3"/>
  <c r="BW361" i="3"/>
  <c r="AM356" i="3"/>
  <c r="AM365" i="3"/>
  <c r="BW350" i="3"/>
  <c r="C363" i="3"/>
  <c r="BW338" i="3"/>
  <c r="C358" i="3"/>
  <c r="BX360" i="3"/>
  <c r="BW360" i="3"/>
  <c r="BX343" i="3"/>
  <c r="BW343" i="3"/>
  <c r="AN346" i="3"/>
  <c r="AM346" i="3"/>
  <c r="BX371" i="3"/>
  <c r="BW371" i="3"/>
  <c r="D357" i="3"/>
  <c r="C357" i="3"/>
  <c r="AM360" i="3"/>
  <c r="C355" i="3"/>
  <c r="AN372" i="3"/>
  <c r="AM372" i="3"/>
  <c r="AN363" i="3"/>
  <c r="AM363" i="3"/>
  <c r="BW365" i="3"/>
  <c r="C370" i="3"/>
  <c r="D374" i="3"/>
  <c r="C374" i="3"/>
  <c r="C368" i="3"/>
  <c r="BX369" i="3"/>
  <c r="BW369" i="3"/>
  <c r="C365" i="3"/>
  <c r="BW354" i="3"/>
  <c r="D367" i="3"/>
  <c r="C367" i="3"/>
  <c r="AN368" i="3"/>
  <c r="AM368" i="3"/>
  <c r="C372" i="3"/>
  <c r="AM354" i="3"/>
  <c r="C349" i="3"/>
  <c r="BW351" i="3"/>
  <c r="BW357" i="3"/>
  <c r="BW355" i="3"/>
  <c r="AM358" i="3"/>
  <c r="BW341" i="3"/>
  <c r="AM344" i="3"/>
  <c r="C347" i="3"/>
  <c r="BW349" i="3"/>
  <c r="AM352" i="3"/>
  <c r="BX388" i="3"/>
  <c r="BW388" i="3"/>
  <c r="C382" i="3"/>
  <c r="BW383" i="3"/>
  <c r="D385" i="3"/>
  <c r="C385" i="3"/>
  <c r="C388" i="3"/>
  <c r="D388" i="3"/>
  <c r="BX372" i="3"/>
  <c r="BW372" i="3"/>
  <c r="BW375" i="3"/>
  <c r="AM376" i="3"/>
  <c r="AM378" i="3"/>
  <c r="C379" i="3"/>
  <c r="D382" i="3"/>
  <c r="C392" i="3"/>
  <c r="C383" i="3"/>
  <c r="AM373" i="3"/>
  <c r="BW382" i="3"/>
  <c r="C361" i="3"/>
  <c r="BW363" i="3"/>
  <c r="AM366" i="3"/>
  <c r="C369" i="3"/>
  <c r="AM379" i="3"/>
  <c r="BW387" i="3"/>
  <c r="BX387" i="3"/>
  <c r="C376" i="3"/>
  <c r="BW378" i="3"/>
  <c r="AN392" i="3"/>
  <c r="AM392" i="3"/>
  <c r="AM393" i="3"/>
  <c r="C373" i="3"/>
  <c r="BX374" i="3"/>
  <c r="BW374" i="3"/>
  <c r="AN375" i="3"/>
  <c r="AM375" i="3"/>
  <c r="AN377" i="3"/>
  <c r="AM377" i="3"/>
  <c r="D378" i="3"/>
  <c r="C378" i="3"/>
  <c r="BW386" i="3"/>
  <c r="AN393" i="3"/>
  <c r="BW385" i="3"/>
  <c r="C396" i="3"/>
  <c r="D396" i="3"/>
  <c r="C399" i="3"/>
  <c r="AG44" i="4"/>
  <c r="AG45" i="4" s="1"/>
  <c r="AG46" i="4" s="1"/>
  <c r="AG47" i="4" s="1"/>
  <c r="AG48" i="4" s="1"/>
  <c r="AG49" i="4" s="1"/>
  <c r="AG50" i="4" s="1"/>
  <c r="AG51" i="4" s="1"/>
  <c r="AG52" i="4" s="1"/>
  <c r="AG53" i="4" s="1"/>
  <c r="AG54" i="4" s="1"/>
  <c r="D50" i="4"/>
  <c r="O50" i="4" s="1"/>
  <c r="C50" i="4"/>
  <c r="E9" i="4"/>
  <c r="E19" i="4"/>
  <c r="E22" i="4"/>
  <c r="E25" i="4"/>
  <c r="E15" i="4"/>
  <c r="E18" i="4"/>
  <c r="E35" i="4"/>
  <c r="E21" i="4"/>
  <c r="E11" i="4"/>
  <c r="E31" i="4"/>
  <c r="E6" i="4"/>
  <c r="C402" i="3"/>
  <c r="C389" i="3"/>
  <c r="BW398" i="3"/>
  <c r="BX398" i="3"/>
  <c r="D402" i="3"/>
  <c r="C380" i="3"/>
  <c r="BW384" i="3"/>
  <c r="C386" i="3"/>
  <c r="BW399" i="3"/>
  <c r="BX389" i="3"/>
  <c r="BW389" i="3"/>
  <c r="BW396" i="3"/>
  <c r="AM385" i="3"/>
  <c r="AN385" i="3"/>
  <c r="BX396" i="3"/>
  <c r="AM399" i="3"/>
  <c r="BW380" i="3"/>
  <c r="AM384" i="3"/>
  <c r="BW390" i="3"/>
  <c r="AN396" i="3"/>
  <c r="AM396" i="3"/>
  <c r="AN399" i="3"/>
  <c r="BX390" i="3"/>
  <c r="C391" i="3"/>
  <c r="E27" i="4"/>
  <c r="C394" i="3"/>
  <c r="C72" i="4"/>
  <c r="D72" i="4"/>
  <c r="O72" i="4" s="1"/>
  <c r="BW394" i="3"/>
  <c r="AM397" i="3"/>
  <c r="D401" i="3"/>
  <c r="C401" i="3"/>
  <c r="D78" i="4"/>
  <c r="O78" i="4" s="1"/>
  <c r="C78" i="4"/>
  <c r="C393" i="3"/>
  <c r="AM402" i="3"/>
  <c r="C49" i="4"/>
  <c r="AM390" i="3"/>
  <c r="D393" i="3"/>
  <c r="D67" i="4"/>
  <c r="O67" i="4" s="1"/>
  <c r="C67" i="4"/>
  <c r="AN390" i="3"/>
  <c r="C400" i="3"/>
  <c r="AM401" i="3"/>
  <c r="BW402" i="3"/>
  <c r="D400" i="3"/>
  <c r="BX402" i="3"/>
  <c r="D403" i="3"/>
  <c r="C403" i="3"/>
  <c r="D395" i="3"/>
  <c r="C395" i="3"/>
  <c r="BW395" i="3"/>
  <c r="BX397" i="3"/>
  <c r="BW397" i="3"/>
  <c r="AM398" i="3"/>
  <c r="C387" i="3"/>
  <c r="AM394" i="3"/>
  <c r="BX395" i="3"/>
  <c r="C397" i="3"/>
  <c r="AN398" i="3"/>
  <c r="D387" i="3"/>
  <c r="AN400" i="3"/>
  <c r="AM400" i="3"/>
  <c r="E23" i="4"/>
  <c r="E7" i="4"/>
  <c r="E20" i="4"/>
  <c r="E8" i="4"/>
  <c r="E28" i="4"/>
  <c r="E12" i="4"/>
  <c r="D83" i="4"/>
  <c r="O83" i="4" s="1"/>
  <c r="C83" i="4"/>
  <c r="C99" i="4"/>
  <c r="C91" i="4"/>
  <c r="D176" i="4"/>
  <c r="O176" i="4" s="1"/>
  <c r="C176" i="4"/>
  <c r="C58" i="4"/>
  <c r="C66" i="4"/>
  <c r="D103" i="4"/>
  <c r="O103" i="4" s="1"/>
  <c r="C103" i="4"/>
  <c r="D87" i="4"/>
  <c r="O87" i="4" s="1"/>
  <c r="C87" i="4"/>
  <c r="D107" i="4"/>
  <c r="O107" i="4" s="1"/>
  <c r="C107" i="4"/>
  <c r="E24" i="4"/>
  <c r="D65" i="4"/>
  <c r="O65" i="4" s="1"/>
  <c r="C65" i="4"/>
  <c r="C74" i="4"/>
  <c r="E14" i="4"/>
  <c r="E30" i="4"/>
  <c r="C56" i="4"/>
  <c r="E17" i="4"/>
  <c r="D84" i="4"/>
  <c r="O84" i="4" s="1"/>
  <c r="C84" i="4"/>
  <c r="C162" i="4"/>
  <c r="D162" i="4"/>
  <c r="O162" i="4" s="1"/>
  <c r="E34" i="4"/>
  <c r="D44" i="4"/>
  <c r="O44" i="4" s="1"/>
  <c r="C44" i="4"/>
  <c r="G44" i="4" s="1"/>
  <c r="I44" i="4" s="1"/>
  <c r="E33" i="4"/>
  <c r="C80" i="4"/>
  <c r="BW403" i="3"/>
  <c r="E10" i="4"/>
  <c r="E26" i="4"/>
  <c r="D54" i="4"/>
  <c r="O54" i="4" s="1"/>
  <c r="C54" i="4"/>
  <c r="D73" i="4"/>
  <c r="O73" i="4" s="1"/>
  <c r="C73" i="4"/>
  <c r="D80" i="4"/>
  <c r="O80" i="4" s="1"/>
  <c r="C86" i="4"/>
  <c r="E13" i="4"/>
  <c r="E29" i="4"/>
  <c r="M44" i="4"/>
  <c r="C46" i="4"/>
  <c r="D52" i="4"/>
  <c r="O52" i="4" s="1"/>
  <c r="C52" i="4"/>
  <c r="C110" i="4"/>
  <c r="E16" i="4"/>
  <c r="E32" i="4"/>
  <c r="C145" i="4"/>
  <c r="D125" i="4"/>
  <c r="O125" i="4" s="1"/>
  <c r="C125" i="4"/>
  <c r="D68" i="4"/>
  <c r="O68" i="4" s="1"/>
  <c r="C68" i="4"/>
  <c r="C75" i="4"/>
  <c r="C81" i="4"/>
  <c r="C96" i="4"/>
  <c r="C104" i="4"/>
  <c r="C105" i="4"/>
  <c r="C129" i="4"/>
  <c r="C148" i="4"/>
  <c r="D171" i="4"/>
  <c r="O171" i="4" s="1"/>
  <c r="C171" i="4"/>
  <c r="C89" i="4"/>
  <c r="C128" i="4"/>
  <c r="D128" i="4"/>
  <c r="O128" i="4" s="1"/>
  <c r="C132" i="4"/>
  <c r="D60" i="4"/>
  <c r="O60" i="4" s="1"/>
  <c r="C60" i="4"/>
  <c r="C186" i="4"/>
  <c r="C57" i="4"/>
  <c r="D76" i="4"/>
  <c r="O76" i="4" s="1"/>
  <c r="C76" i="4"/>
  <c r="D92" i="4"/>
  <c r="O92" i="4" s="1"/>
  <c r="C92" i="4"/>
  <c r="C112" i="4"/>
  <c r="C63" i="4"/>
  <c r="C95" i="4"/>
  <c r="C117" i="4"/>
  <c r="D149" i="4"/>
  <c r="O149" i="4" s="1"/>
  <c r="C149" i="4"/>
  <c r="C88" i="4"/>
  <c r="C113" i="4"/>
  <c r="C114" i="4"/>
  <c r="D126" i="4"/>
  <c r="O126" i="4" s="1"/>
  <c r="C126" i="4"/>
  <c r="D157" i="4"/>
  <c r="O157" i="4" s="1"/>
  <c r="C157" i="4"/>
  <c r="C218" i="4"/>
  <c r="D218" i="4"/>
  <c r="O218" i="4" s="1"/>
  <c r="C209" i="4"/>
  <c r="C121" i="4"/>
  <c r="D196" i="4"/>
  <c r="O196" i="4" s="1"/>
  <c r="C196" i="4"/>
  <c r="D100" i="4"/>
  <c r="O100" i="4" s="1"/>
  <c r="C100" i="4"/>
  <c r="C120" i="4"/>
  <c r="C140" i="4"/>
  <c r="C152" i="4"/>
  <c r="C164" i="4"/>
  <c r="D164" i="4"/>
  <c r="O164" i="4" s="1"/>
  <c r="D108" i="4"/>
  <c r="O108" i="4" s="1"/>
  <c r="C108" i="4"/>
  <c r="C115" i="4"/>
  <c r="C139" i="4"/>
  <c r="D152" i="4"/>
  <c r="O152" i="4" s="1"/>
  <c r="C172" i="4"/>
  <c r="D131" i="4"/>
  <c r="O131" i="4" s="1"/>
  <c r="C131" i="4"/>
  <c r="C146" i="4"/>
  <c r="D147" i="4"/>
  <c r="O147" i="4" s="1"/>
  <c r="C147" i="4"/>
  <c r="C168" i="4"/>
  <c r="D210" i="4"/>
  <c r="O210" i="4" s="1"/>
  <c r="C210" i="4"/>
  <c r="C178" i="4"/>
  <c r="D297" i="4"/>
  <c r="O297" i="4" s="1"/>
  <c r="C297" i="4"/>
  <c r="D208" i="4"/>
  <c r="O208" i="4" s="1"/>
  <c r="C208" i="4"/>
  <c r="C189" i="4"/>
  <c r="D206" i="4"/>
  <c r="O206" i="4" s="1"/>
  <c r="C206" i="4"/>
  <c r="D138" i="4"/>
  <c r="O138" i="4" s="1"/>
  <c r="C138" i="4"/>
  <c r="D207" i="4"/>
  <c r="O207" i="4" s="1"/>
  <c r="C207" i="4"/>
  <c r="C137" i="4"/>
  <c r="D181" i="4"/>
  <c r="O181" i="4" s="1"/>
  <c r="C181" i="4"/>
  <c r="C116" i="4"/>
  <c r="D134" i="4"/>
  <c r="O134" i="4" s="1"/>
  <c r="C134" i="4"/>
  <c r="C190" i="4"/>
  <c r="D190" i="4"/>
  <c r="O190" i="4" s="1"/>
  <c r="C118" i="4"/>
  <c r="C161" i="4"/>
  <c r="C195" i="4"/>
  <c r="D233" i="4"/>
  <c r="O233" i="4" s="1"/>
  <c r="C233" i="4"/>
  <c r="D195" i="4"/>
  <c r="O195" i="4" s="1"/>
  <c r="C214" i="4"/>
  <c r="D212" i="4"/>
  <c r="O212" i="4" s="1"/>
  <c r="C212" i="4"/>
  <c r="D250" i="4"/>
  <c r="O250" i="4" s="1"/>
  <c r="C250" i="4"/>
  <c r="C205" i="4"/>
  <c r="D217" i="4"/>
  <c r="O217" i="4" s="1"/>
  <c r="C217" i="4"/>
  <c r="D257" i="4"/>
  <c r="O257" i="4" s="1"/>
  <c r="C257" i="4"/>
  <c r="C191" i="4"/>
  <c r="C234" i="4"/>
  <c r="C187" i="4"/>
  <c r="D191" i="4"/>
  <c r="O191" i="4" s="1"/>
  <c r="C194" i="4"/>
  <c r="D271" i="4"/>
  <c r="O271" i="4" s="1"/>
  <c r="C271" i="4"/>
  <c r="C318" i="4"/>
  <c r="C216" i="4"/>
  <c r="D227" i="4"/>
  <c r="O227" i="4" s="1"/>
  <c r="C227" i="4"/>
  <c r="D255" i="4"/>
  <c r="O255" i="4" s="1"/>
  <c r="C255" i="4"/>
  <c r="D188" i="4"/>
  <c r="O188" i="4" s="1"/>
  <c r="C188" i="4"/>
  <c r="C241" i="4"/>
  <c r="C235" i="4"/>
  <c r="D235" i="4"/>
  <c r="O235" i="4" s="1"/>
  <c r="C197" i="4"/>
  <c r="C221" i="4"/>
  <c r="C142" i="4"/>
  <c r="C150" i="4"/>
  <c r="C158" i="4"/>
  <c r="C166" i="4"/>
  <c r="C174" i="4"/>
  <c r="C182" i="4"/>
  <c r="C201" i="4"/>
  <c r="D204" i="4"/>
  <c r="O204" i="4" s="1"/>
  <c r="C204" i="4"/>
  <c r="C246" i="4"/>
  <c r="D246" i="4"/>
  <c r="O246" i="4" s="1"/>
  <c r="D264" i="4"/>
  <c r="O264" i="4" s="1"/>
  <c r="C264" i="4"/>
  <c r="D223" i="4"/>
  <c r="O223" i="4" s="1"/>
  <c r="C223" i="4"/>
  <c r="C238" i="4"/>
  <c r="D301" i="4"/>
  <c r="O301" i="4" s="1"/>
  <c r="C301" i="4"/>
  <c r="D293" i="4"/>
  <c r="O293" i="4" s="1"/>
  <c r="C293" i="4"/>
  <c r="C314" i="4"/>
  <c r="D326" i="4"/>
  <c r="O326" i="4" s="1"/>
  <c r="C326" i="4"/>
  <c r="C402" i="4"/>
  <c r="C267" i="4"/>
  <c r="D290" i="4"/>
  <c r="O290" i="4" s="1"/>
  <c r="C290" i="4"/>
  <c r="D295" i="4"/>
  <c r="O295" i="4" s="1"/>
  <c r="C295" i="4"/>
  <c r="D306" i="4"/>
  <c r="O306" i="4" s="1"/>
  <c r="C306" i="4"/>
  <c r="D309" i="4"/>
  <c r="O309" i="4" s="1"/>
  <c r="C309" i="4"/>
  <c r="D285" i="4"/>
  <c r="O285" i="4" s="1"/>
  <c r="C285" i="4"/>
  <c r="C313" i="4"/>
  <c r="C262" i="4"/>
  <c r="C237" i="4"/>
  <c r="C248" i="4"/>
  <c r="C259" i="4"/>
  <c r="C270" i="4"/>
  <c r="C358" i="4"/>
  <c r="C269" i="4"/>
  <c r="C328" i="4"/>
  <c r="D231" i="4"/>
  <c r="O231" i="4" s="1"/>
  <c r="C231" i="4"/>
  <c r="C288" i="4"/>
  <c r="C304" i="4"/>
  <c r="D304" i="4"/>
  <c r="O304" i="4" s="1"/>
  <c r="C242" i="4"/>
  <c r="D272" i="4"/>
  <c r="O272" i="4" s="1"/>
  <c r="C272" i="4"/>
  <c r="D277" i="4"/>
  <c r="O277" i="4" s="1"/>
  <c r="C277" i="4"/>
  <c r="C224" i="4"/>
  <c r="D242" i="4"/>
  <c r="O242" i="4" s="1"/>
  <c r="D273" i="4"/>
  <c r="O273" i="4" s="1"/>
  <c r="C273" i="4"/>
  <c r="C278" i="4"/>
  <c r="D330" i="4"/>
  <c r="O330" i="4" s="1"/>
  <c r="C330" i="4"/>
  <c r="C215" i="4"/>
  <c r="C228" i="4"/>
  <c r="C239" i="4"/>
  <c r="C247" i="4"/>
  <c r="C254" i="4"/>
  <c r="C256" i="4"/>
  <c r="C261" i="4"/>
  <c r="D276" i="4"/>
  <c r="O276" i="4" s="1"/>
  <c r="C276" i="4"/>
  <c r="C286" i="4"/>
  <c r="C302" i="4"/>
  <c r="C232" i="4"/>
  <c r="C275" i="4"/>
  <c r="C311" i="4"/>
  <c r="C321" i="4"/>
  <c r="C291" i="4"/>
  <c r="C350" i="4"/>
  <c r="C279" i="4"/>
  <c r="D291" i="4"/>
  <c r="O291" i="4" s="1"/>
  <c r="C325" i="4"/>
  <c r="D350" i="4"/>
  <c r="O350" i="4" s="1"/>
  <c r="C296" i="4"/>
  <c r="C283" i="4"/>
  <c r="C359" i="4"/>
  <c r="C337" i="4"/>
  <c r="C364" i="4"/>
  <c r="C307" i="4"/>
  <c r="C327" i="4"/>
  <c r="C379" i="4"/>
  <c r="C287" i="4"/>
  <c r="C292" i="4"/>
  <c r="D307" i="4"/>
  <c r="O307" i="4" s="1"/>
  <c r="C310" i="4"/>
  <c r="C320" i="4"/>
  <c r="D327" i="4"/>
  <c r="O327" i="4" s="1"/>
  <c r="D336" i="4"/>
  <c r="O336" i="4" s="1"/>
  <c r="C336" i="4"/>
  <c r="C353" i="4"/>
  <c r="C384" i="4"/>
  <c r="D300" i="4"/>
  <c r="O300" i="4" s="1"/>
  <c r="C300" i="4"/>
  <c r="C335" i="4"/>
  <c r="D384" i="4"/>
  <c r="O384" i="4" s="1"/>
  <c r="D317" i="4"/>
  <c r="O317" i="4" s="1"/>
  <c r="C317" i="4"/>
  <c r="C340" i="4"/>
  <c r="D340" i="4"/>
  <c r="O340" i="4" s="1"/>
  <c r="D378" i="4"/>
  <c r="O378" i="4" s="1"/>
  <c r="C378" i="4"/>
  <c r="C363" i="4"/>
  <c r="C380" i="4"/>
  <c r="C395" i="4"/>
  <c r="C294" i="4"/>
  <c r="C319" i="4"/>
  <c r="C361" i="4"/>
  <c r="C387" i="4"/>
  <c r="C392" i="4"/>
  <c r="D395" i="4"/>
  <c r="O395" i="4" s="1"/>
  <c r="C366" i="4"/>
  <c r="C376" i="4"/>
  <c r="C329" i="4"/>
  <c r="D352" i="4"/>
  <c r="O352" i="4" s="1"/>
  <c r="C352" i="4"/>
  <c r="C322" i="4"/>
  <c r="D329" i="4"/>
  <c r="O329" i="4" s="1"/>
  <c r="C367" i="4"/>
  <c r="C399" i="4"/>
  <c r="D322" i="4"/>
  <c r="O322" i="4" s="1"/>
  <c r="D369" i="4"/>
  <c r="O369" i="4" s="1"/>
  <c r="C369" i="4"/>
  <c r="D342" i="4"/>
  <c r="O342" i="4" s="1"/>
  <c r="C342" i="4"/>
  <c r="C372" i="4"/>
  <c r="D372" i="4"/>
  <c r="O372" i="4" s="1"/>
  <c r="C373" i="4"/>
  <c r="C391" i="4"/>
  <c r="D391" i="4"/>
  <c r="O391" i="4" s="1"/>
  <c r="C375" i="4"/>
  <c r="C389" i="4"/>
  <c r="D389" i="4"/>
  <c r="O389" i="4" s="1"/>
  <c r="C360" i="4"/>
  <c r="D375" i="4"/>
  <c r="O375" i="4" s="1"/>
  <c r="C381" i="4"/>
  <c r="C388" i="4"/>
  <c r="D382" i="4"/>
  <c r="O382" i="4" s="1"/>
  <c r="C382" i="4"/>
  <c r="D386" i="4"/>
  <c r="O386" i="4" s="1"/>
  <c r="C386" i="4"/>
  <c r="C345" i="4"/>
  <c r="C346" i="4"/>
  <c r="C347" i="4"/>
  <c r="C348" i="4"/>
  <c r="C349" i="4"/>
  <c r="C354" i="4"/>
  <c r="C368" i="4"/>
  <c r="C370" i="4"/>
  <c r="C383" i="4"/>
  <c r="D383" i="4"/>
  <c r="O383" i="4" s="1"/>
  <c r="C396" i="4"/>
  <c r="C401" i="4"/>
  <c r="D357" i="4"/>
  <c r="O357" i="4" s="1"/>
  <c r="C357" i="4"/>
  <c r="D374" i="4"/>
  <c r="O374" i="4" s="1"/>
  <c r="C374" i="4"/>
  <c r="D365" i="4"/>
  <c r="O365" i="4" s="1"/>
  <c r="C365" i="4"/>
  <c r="C400" i="4"/>
  <c r="C390" i="4"/>
  <c r="C394" i="4"/>
  <c r="B10" i="6"/>
  <c r="C397" i="4"/>
  <c r="C403" i="4"/>
  <c r="P44" i="4" l="1"/>
  <c r="H44" i="3"/>
  <c r="I44" i="3" s="1"/>
  <c r="AR44" i="3"/>
  <c r="AS44" i="3" s="1"/>
  <c r="Q44" i="4"/>
  <c r="R44" i="4" s="1"/>
  <c r="CB44" i="3"/>
  <c r="AD44" i="4"/>
  <c r="J44" i="3" l="1"/>
  <c r="M44" i="3" s="1"/>
  <c r="P44" i="3"/>
  <c r="AT44" i="3"/>
  <c r="AW44" i="3" s="1"/>
  <c r="AZ44" i="3" s="1"/>
  <c r="CD44" i="3"/>
  <c r="CG44" i="3" s="1"/>
  <c r="X44" i="4"/>
  <c r="AA44" i="4" s="1"/>
  <c r="F45" i="4" s="1"/>
  <c r="S44" i="4"/>
  <c r="V44" i="4"/>
  <c r="AF44" i="4" s="1"/>
  <c r="CC44" i="3"/>
  <c r="W44" i="4"/>
  <c r="K44" i="3" l="1"/>
  <c r="CE44" i="3"/>
  <c r="CX44" i="3"/>
  <c r="CJ44" i="3"/>
  <c r="AE44" i="4"/>
  <c r="CF44" i="3"/>
  <c r="AI44" i="4"/>
  <c r="Z44" i="4"/>
  <c r="E45" i="4" s="1"/>
  <c r="G45" i="4" s="1"/>
  <c r="I45" i="4" s="1"/>
  <c r="AD44" i="3"/>
  <c r="AU44" i="3"/>
  <c r="J45" i="4"/>
  <c r="K45" i="4" s="1"/>
  <c r="T44" i="4"/>
  <c r="L44" i="3"/>
  <c r="BN44" i="3" l="1"/>
  <c r="AV44" i="3"/>
  <c r="CH44" i="3"/>
  <c r="CI44" i="3"/>
  <c r="AB44" i="4"/>
  <c r="U44" i="4"/>
  <c r="AH44" i="4" s="1"/>
  <c r="L45" i="4"/>
  <c r="AD45" i="4"/>
  <c r="N44" i="3"/>
  <c r="O44" i="3"/>
  <c r="M45" i="4"/>
  <c r="P45" i="4" s="1"/>
  <c r="Q45" i="4" l="1"/>
  <c r="R45" i="4" s="1"/>
  <c r="AC44" i="4"/>
  <c r="AY44" i="3"/>
  <c r="AX44" i="3"/>
  <c r="CK44" i="3"/>
  <c r="CL44" i="3" s="1"/>
  <c r="Q44" i="3"/>
  <c r="R44" i="3" s="1"/>
  <c r="X44" i="3" l="1"/>
  <c r="AA44" i="3" s="1"/>
  <c r="F45" i="3" s="1"/>
  <c r="W44" i="3"/>
  <c r="V44" i="3"/>
  <c r="AF44" i="3" s="1"/>
  <c r="S44" i="3"/>
  <c r="CR44" i="3"/>
  <c r="CU44" i="3" s="1"/>
  <c r="BZ45" i="3" s="1"/>
  <c r="CQ44" i="3"/>
  <c r="CP44" i="3"/>
  <c r="CZ44" i="3" s="1"/>
  <c r="CM44" i="3"/>
  <c r="BA44" i="3"/>
  <c r="BB44" i="3" s="1"/>
  <c r="X45" i="4"/>
  <c r="AA45" i="4" s="1"/>
  <c r="F46" i="4" s="1"/>
  <c r="W45" i="4"/>
  <c r="V45" i="4"/>
  <c r="AF45" i="4" s="1"/>
  <c r="S45" i="4"/>
  <c r="T45" i="4" s="1"/>
  <c r="Z45" i="4" l="1"/>
  <c r="E46" i="4" s="1"/>
  <c r="G46" i="4" s="1"/>
  <c r="I46" i="4" s="1"/>
  <c r="AI45" i="4"/>
  <c r="BH44" i="3"/>
  <c r="BK44" i="3" s="1"/>
  <c r="AP45" i="3" s="1"/>
  <c r="BF44" i="3"/>
  <c r="BP44" i="3" s="1"/>
  <c r="BG44" i="3"/>
  <c r="BC44" i="3"/>
  <c r="AE44" i="3"/>
  <c r="AE45" i="4"/>
  <c r="T44" i="3"/>
  <c r="J46" i="4"/>
  <c r="K46" i="4" s="1"/>
  <c r="AB45" i="4"/>
  <c r="U45" i="4"/>
  <c r="AH45" i="4" s="1"/>
  <c r="CY44" i="3"/>
  <c r="CT44" i="3"/>
  <c r="BY45" i="3" s="1"/>
  <c r="CA45" i="3" s="1"/>
  <c r="DC44" i="3"/>
  <c r="CN44" i="3"/>
  <c r="AI44" i="3"/>
  <c r="Z44" i="3"/>
  <c r="E45" i="3" s="1"/>
  <c r="G45" i="3" s="1"/>
  <c r="BJ44" i="3" l="1"/>
  <c r="AO45" i="3" s="1"/>
  <c r="AQ45" i="3" s="1"/>
  <c r="BS44" i="3"/>
  <c r="AC45" i="4"/>
  <c r="AB44" i="3"/>
  <c r="U44" i="3"/>
  <c r="AH44" i="3" s="1"/>
  <c r="H45" i="3"/>
  <c r="CV44" i="3"/>
  <c r="CO44" i="3"/>
  <c r="DB44" i="3" s="1"/>
  <c r="BO44" i="3"/>
  <c r="CB45" i="3"/>
  <c r="L46" i="4"/>
  <c r="AD46" i="4"/>
  <c r="M46" i="4"/>
  <c r="BD44" i="3"/>
  <c r="P46" i="4"/>
  <c r="Q46" i="4"/>
  <c r="R46" i="4" s="1"/>
  <c r="X46" i="4" l="1"/>
  <c r="AA46" i="4" s="1"/>
  <c r="F47" i="4" s="1"/>
  <c r="S46" i="4"/>
  <c r="W46" i="4"/>
  <c r="J45" i="3"/>
  <c r="M45" i="3" s="1"/>
  <c r="CD45" i="3"/>
  <c r="CG45" i="3" s="1"/>
  <c r="V46" i="4"/>
  <c r="AF46" i="4" s="1"/>
  <c r="CC45" i="3"/>
  <c r="CW44" i="3"/>
  <c r="BL44" i="3"/>
  <c r="BE44" i="3"/>
  <c r="BR44" i="3" s="1"/>
  <c r="I45" i="3"/>
  <c r="AC44" i="3"/>
  <c r="AR45" i="3"/>
  <c r="K45" i="3" l="1"/>
  <c r="AT45" i="3"/>
  <c r="AW45" i="3" s="1"/>
  <c r="AU45" i="3"/>
  <c r="AV45" i="3" s="1"/>
  <c r="CE45" i="3"/>
  <c r="AD45" i="3"/>
  <c r="AE46" i="4"/>
  <c r="L45" i="3"/>
  <c r="Z46" i="4"/>
  <c r="E47" i="4" s="1"/>
  <c r="G47" i="4" s="1"/>
  <c r="I47" i="4" s="1"/>
  <c r="AI46" i="4"/>
  <c r="T46" i="4"/>
  <c r="CJ45" i="3"/>
  <c r="AS45" i="3"/>
  <c r="P45" i="3"/>
  <c r="BM44" i="3"/>
  <c r="J47" i="4"/>
  <c r="K47" i="4" s="1"/>
  <c r="AX45" i="3" l="1"/>
  <c r="AY45" i="3"/>
  <c r="AB46" i="4"/>
  <c r="U46" i="4"/>
  <c r="AH46" i="4" s="1"/>
  <c r="L47" i="4"/>
  <c r="AD47" i="4"/>
  <c r="N45" i="3"/>
  <c r="O45" i="3"/>
  <c r="M47" i="4"/>
  <c r="P47" i="4" s="1"/>
  <c r="CX45" i="3"/>
  <c r="CF45" i="3"/>
  <c r="AZ45" i="3"/>
  <c r="BN45" i="3"/>
  <c r="Q47" i="4" l="1"/>
  <c r="R47" i="4" s="1"/>
  <c r="Q45" i="3"/>
  <c r="R45" i="3" s="1"/>
  <c r="BA45" i="3"/>
  <c r="BB45" i="3" s="1"/>
  <c r="BC45" i="3" s="1"/>
  <c r="CI45" i="3"/>
  <c r="CH45" i="3"/>
  <c r="AC46" i="4"/>
  <c r="BO45" i="3" l="1"/>
  <c r="CK45" i="3"/>
  <c r="CL45" i="3" s="1"/>
  <c r="X45" i="3"/>
  <c r="AA45" i="3" s="1"/>
  <c r="F46" i="3" s="1"/>
  <c r="W45" i="3"/>
  <c r="V45" i="3"/>
  <c r="AF45" i="3" s="1"/>
  <c r="S45" i="3"/>
  <c r="BD45" i="3"/>
  <c r="BH45" i="3"/>
  <c r="BK45" i="3" s="1"/>
  <c r="AP46" i="3" s="1"/>
  <c r="BG45" i="3"/>
  <c r="BF45" i="3"/>
  <c r="BP45" i="3" s="1"/>
  <c r="X47" i="4"/>
  <c r="AA47" i="4" s="1"/>
  <c r="F48" i="4" s="1"/>
  <c r="W47" i="4"/>
  <c r="V47" i="4"/>
  <c r="AF47" i="4" s="1"/>
  <c r="S47" i="4"/>
  <c r="T47" i="4" s="1"/>
  <c r="AI47" i="4" l="1"/>
  <c r="Z47" i="4"/>
  <c r="E48" i="4" s="1"/>
  <c r="G48" i="4" s="1"/>
  <c r="I48" i="4" s="1"/>
  <c r="AE45" i="3"/>
  <c r="AE47" i="4"/>
  <c r="J48" i="4"/>
  <c r="K48" i="4" s="1"/>
  <c r="AI45" i="3"/>
  <c r="Z45" i="3"/>
  <c r="E46" i="3" s="1"/>
  <c r="G46" i="3" s="1"/>
  <c r="T45" i="3"/>
  <c r="AB47" i="4"/>
  <c r="U47" i="4"/>
  <c r="AH47" i="4" s="1"/>
  <c r="BS45" i="3"/>
  <c r="BJ45" i="3"/>
  <c r="AO46" i="3" s="1"/>
  <c r="AQ46" i="3" s="1"/>
  <c r="BL45" i="3"/>
  <c r="BE45" i="3"/>
  <c r="BR45" i="3" s="1"/>
  <c r="CR45" i="3"/>
  <c r="CU45" i="3" s="1"/>
  <c r="BZ46" i="3" s="1"/>
  <c r="CQ45" i="3"/>
  <c r="CP45" i="3"/>
  <c r="CZ45" i="3" s="1"/>
  <c r="CM45" i="3"/>
  <c r="DC45" i="3" l="1"/>
  <c r="CT45" i="3"/>
  <c r="BY46" i="3" s="1"/>
  <c r="CA46" i="3" s="1"/>
  <c r="BM45" i="3"/>
  <c r="H46" i="3"/>
  <c r="AC47" i="4"/>
  <c r="AB45" i="3"/>
  <c r="U45" i="3"/>
  <c r="AH45" i="3" s="1"/>
  <c r="CY45" i="3"/>
  <c r="L48" i="4"/>
  <c r="AD48" i="4"/>
  <c r="M48" i="4"/>
  <c r="P48" i="4" s="1"/>
  <c r="Q48" i="4" s="1"/>
  <c r="R48" i="4" s="1"/>
  <c r="CN45" i="3"/>
  <c r="AR46" i="3"/>
  <c r="AS46" i="3" s="1"/>
  <c r="X48" i="4" l="1"/>
  <c r="AA48" i="4" s="1"/>
  <c r="F49" i="4" s="1"/>
  <c r="V48" i="4"/>
  <c r="AF48" i="4" s="1"/>
  <c r="S48" i="4"/>
  <c r="AT46" i="3"/>
  <c r="AW46" i="3" s="1"/>
  <c r="AZ46" i="3" s="1"/>
  <c r="W48" i="4"/>
  <c r="CV45" i="3"/>
  <c r="CO45" i="3"/>
  <c r="DB45" i="3" s="1"/>
  <c r="J46" i="3"/>
  <c r="M46" i="3" s="1"/>
  <c r="I46" i="3"/>
  <c r="AC45" i="3"/>
  <c r="CB46" i="3"/>
  <c r="Z48" i="4" l="1"/>
  <c r="E49" i="4" s="1"/>
  <c r="G49" i="4" s="1"/>
  <c r="I49" i="4" s="1"/>
  <c r="AI48" i="4"/>
  <c r="CD46" i="3"/>
  <c r="CG46" i="3" s="1"/>
  <c r="CC46" i="3"/>
  <c r="AE48" i="4"/>
  <c r="AU46" i="3"/>
  <c r="T48" i="4"/>
  <c r="CW45" i="3"/>
  <c r="P46" i="3"/>
  <c r="K46" i="3"/>
  <c r="J49" i="4"/>
  <c r="K49" i="4" s="1"/>
  <c r="BN46" i="3" l="1"/>
  <c r="AV46" i="3"/>
  <c r="L49" i="4"/>
  <c r="AD49" i="4"/>
  <c r="M49" i="4"/>
  <c r="P49" i="4" s="1"/>
  <c r="CJ46" i="3"/>
  <c r="AB48" i="4"/>
  <c r="U48" i="4"/>
  <c r="AH48" i="4" s="1"/>
  <c r="CE46" i="3"/>
  <c r="AD46" i="3"/>
  <c r="L46" i="3"/>
  <c r="Q49" i="4" l="1"/>
  <c r="R49" i="4" s="1"/>
  <c r="CX46" i="3"/>
  <c r="CF46" i="3"/>
  <c r="AX46" i="3"/>
  <c r="AY46" i="3"/>
  <c r="AC48" i="4"/>
  <c r="N46" i="3"/>
  <c r="O46" i="3"/>
  <c r="CH46" i="3" l="1"/>
  <c r="CI46" i="3"/>
  <c r="X49" i="4"/>
  <c r="AA49" i="4" s="1"/>
  <c r="F50" i="4" s="1"/>
  <c r="V49" i="4"/>
  <c r="AF49" i="4" s="1"/>
  <c r="W49" i="4"/>
  <c r="BA46" i="3"/>
  <c r="BB46" i="3" s="1"/>
  <c r="Q46" i="3"/>
  <c r="R46" i="3" s="1"/>
  <c r="S49" i="4"/>
  <c r="AE49" i="4" s="1"/>
  <c r="Z49" i="4" l="1"/>
  <c r="E50" i="4" s="1"/>
  <c r="G50" i="4" s="1"/>
  <c r="I50" i="4" s="1"/>
  <c r="AI49" i="4"/>
  <c r="X46" i="3"/>
  <c r="AA46" i="3" s="1"/>
  <c r="F47" i="3" s="1"/>
  <c r="V46" i="3"/>
  <c r="AF46" i="3" s="1"/>
  <c r="W46" i="3"/>
  <c r="S46" i="3"/>
  <c r="J50" i="4"/>
  <c r="K50" i="4" s="1"/>
  <c r="BH46" i="3"/>
  <c r="BK46" i="3" s="1"/>
  <c r="AP47" i="3" s="1"/>
  <c r="BG46" i="3"/>
  <c r="BF46" i="3"/>
  <c r="BP46" i="3" s="1"/>
  <c r="BC46" i="3"/>
  <c r="BD46" i="3" s="1"/>
  <c r="T49" i="4"/>
  <c r="CK46" i="3"/>
  <c r="CL46" i="3" s="1"/>
  <c r="BL46" i="3" l="1"/>
  <c r="BE46" i="3"/>
  <c r="BR46" i="3" s="1"/>
  <c r="BJ46" i="3"/>
  <c r="AO47" i="3" s="1"/>
  <c r="AQ47" i="3" s="1"/>
  <c r="BS46" i="3"/>
  <c r="AE46" i="3"/>
  <c r="AI46" i="3"/>
  <c r="Z46" i="3"/>
  <c r="E47" i="3" s="1"/>
  <c r="G47" i="3" s="1"/>
  <c r="BO46" i="3"/>
  <c r="L50" i="4"/>
  <c r="AD50" i="4"/>
  <c r="M50" i="4"/>
  <c r="P50" i="4" s="1"/>
  <c r="T46" i="3"/>
  <c r="CR46" i="3"/>
  <c r="CU46" i="3" s="1"/>
  <c r="BZ47" i="3" s="1"/>
  <c r="CQ46" i="3"/>
  <c r="CP46" i="3"/>
  <c r="CZ46" i="3" s="1"/>
  <c r="CM46" i="3"/>
  <c r="AB49" i="4"/>
  <c r="AC49" i="4" s="1"/>
  <c r="U49" i="4"/>
  <c r="AH49" i="4" s="1"/>
  <c r="Q50" i="4" l="1"/>
  <c r="R50" i="4" s="1"/>
  <c r="CY46" i="3"/>
  <c r="DC46" i="3"/>
  <c r="CT46" i="3"/>
  <c r="BY47" i="3" s="1"/>
  <c r="CA47" i="3" s="1"/>
  <c r="CN46" i="3"/>
  <c r="AB46" i="3"/>
  <c r="U46" i="3"/>
  <c r="AH46" i="3" s="1"/>
  <c r="AR47" i="3"/>
  <c r="AS47" i="3" s="1"/>
  <c r="H47" i="3"/>
  <c r="BM46" i="3"/>
  <c r="AC46" i="3" l="1"/>
  <c r="J47" i="3"/>
  <c r="M47" i="3" s="1"/>
  <c r="I47" i="3"/>
  <c r="CB47" i="3"/>
  <c r="CC47" i="3"/>
  <c r="X50" i="4"/>
  <c r="AA50" i="4" s="1"/>
  <c r="F51" i="4" s="1"/>
  <c r="V50" i="4"/>
  <c r="AF50" i="4" s="1"/>
  <c r="W50" i="4"/>
  <c r="CV46" i="3"/>
  <c r="CO46" i="3"/>
  <c r="DB46" i="3" s="1"/>
  <c r="AT47" i="3"/>
  <c r="AW47" i="3" s="1"/>
  <c r="AZ47" i="3" s="1"/>
  <c r="AU47" i="3"/>
  <c r="S50" i="4"/>
  <c r="AE50" i="4" s="1"/>
  <c r="T50" i="4" l="1"/>
  <c r="AI50" i="4"/>
  <c r="Z50" i="4"/>
  <c r="E51" i="4" s="1"/>
  <c r="G51" i="4" s="1"/>
  <c r="I51" i="4" s="1"/>
  <c r="CD47" i="3"/>
  <c r="CG47" i="3" s="1"/>
  <c r="CJ47" i="3" s="1"/>
  <c r="AB50" i="4"/>
  <c r="AC50" i="4" s="1"/>
  <c r="U50" i="4"/>
  <c r="AH50" i="4" s="1"/>
  <c r="P47" i="3"/>
  <c r="K47" i="3"/>
  <c r="J51" i="4"/>
  <c r="K51" i="4" s="1"/>
  <c r="BN47" i="3"/>
  <c r="AV47" i="3"/>
  <c r="CW46" i="3"/>
  <c r="CE47" i="3" l="1"/>
  <c r="AX47" i="3"/>
  <c r="AY47" i="3"/>
  <c r="L51" i="4"/>
  <c r="AD51" i="4"/>
  <c r="M51" i="4"/>
  <c r="P51" i="4" s="1"/>
  <c r="Q51" i="4" s="1"/>
  <c r="R51" i="4" s="1"/>
  <c r="AD47" i="3"/>
  <c r="L47" i="3"/>
  <c r="X51" i="4" l="1"/>
  <c r="AA51" i="4" s="1"/>
  <c r="F52" i="4" s="1"/>
  <c r="W51" i="4"/>
  <c r="V51" i="4"/>
  <c r="AF51" i="4" s="1"/>
  <c r="BA47" i="3"/>
  <c r="BB47" i="3" s="1"/>
  <c r="S51" i="4"/>
  <c r="AE51" i="4" s="1"/>
  <c r="N47" i="3"/>
  <c r="O47" i="3"/>
  <c r="CX47" i="3"/>
  <c r="CF47" i="3"/>
  <c r="CH47" i="3" l="1"/>
  <c r="CI47" i="3"/>
  <c r="Q47" i="3"/>
  <c r="R47" i="3" s="1"/>
  <c r="BH47" i="3"/>
  <c r="BK47" i="3" s="1"/>
  <c r="AP48" i="3" s="1"/>
  <c r="BF47" i="3"/>
  <c r="BP47" i="3" s="1"/>
  <c r="BG47" i="3"/>
  <c r="BC47" i="3"/>
  <c r="T51" i="4"/>
  <c r="AI51" i="4"/>
  <c r="Z51" i="4"/>
  <c r="E52" i="4" s="1"/>
  <c r="G52" i="4" s="1"/>
  <c r="I52" i="4" s="1"/>
  <c r="J52" i="4"/>
  <c r="K52" i="4" s="1"/>
  <c r="AB51" i="4" l="1"/>
  <c r="AC51" i="4" s="1"/>
  <c r="U51" i="4"/>
  <c r="AH51" i="4" s="1"/>
  <c r="BO47" i="3"/>
  <c r="BD47" i="3"/>
  <c r="X47" i="3"/>
  <c r="AA47" i="3" s="1"/>
  <c r="F48" i="3" s="1"/>
  <c r="W47" i="3"/>
  <c r="V47" i="3"/>
  <c r="AF47" i="3" s="1"/>
  <c r="S47" i="3"/>
  <c r="BJ47" i="3"/>
  <c r="AO48" i="3" s="1"/>
  <c r="AQ48" i="3" s="1"/>
  <c r="BS47" i="3"/>
  <c r="L52" i="4"/>
  <c r="AD52" i="4"/>
  <c r="CK47" i="3"/>
  <c r="CL47" i="3" s="1"/>
  <c r="M52" i="4"/>
  <c r="P52" i="4" s="1"/>
  <c r="Q52" i="4" l="1"/>
  <c r="R52" i="4" s="1"/>
  <c r="AE47" i="3"/>
  <c r="T47" i="3"/>
  <c r="BL47" i="3"/>
  <c r="BE47" i="3"/>
  <c r="BR47" i="3" s="1"/>
  <c r="AR48" i="3"/>
  <c r="Z47" i="3"/>
  <c r="E48" i="3" s="1"/>
  <c r="G48" i="3" s="1"/>
  <c r="AI47" i="3"/>
  <c r="CR47" i="3"/>
  <c r="CU47" i="3" s="1"/>
  <c r="BZ48" i="3" s="1"/>
  <c r="CQ47" i="3"/>
  <c r="CP47" i="3"/>
  <c r="CZ47" i="3" s="1"/>
  <c r="CM47" i="3"/>
  <c r="H48" i="3" l="1"/>
  <c r="I48" i="3" s="1"/>
  <c r="AB47" i="3"/>
  <c r="U47" i="3"/>
  <c r="AH47" i="3" s="1"/>
  <c r="DC47" i="3"/>
  <c r="CT47" i="3"/>
  <c r="BY48" i="3" s="1"/>
  <c r="CA48" i="3" s="1"/>
  <c r="AT48" i="3"/>
  <c r="AW48" i="3" s="1"/>
  <c r="X52" i="4"/>
  <c r="AA52" i="4" s="1"/>
  <c r="F53" i="4" s="1"/>
  <c r="W52" i="4"/>
  <c r="V52" i="4"/>
  <c r="AF52" i="4" s="1"/>
  <c r="AS48" i="3"/>
  <c r="BM47" i="3"/>
  <c r="CY47" i="3"/>
  <c r="CN47" i="3"/>
  <c r="S52" i="4"/>
  <c r="AE52" i="4" s="1"/>
  <c r="T52" i="4" l="1"/>
  <c r="AC47" i="3"/>
  <c r="J53" i="4"/>
  <c r="K53" i="4" s="1"/>
  <c r="CV47" i="3"/>
  <c r="CO47" i="3"/>
  <c r="DB47" i="3" s="1"/>
  <c r="AU48" i="3"/>
  <c r="CB48" i="3"/>
  <c r="AI52" i="4"/>
  <c r="Z52" i="4"/>
  <c r="E53" i="4" s="1"/>
  <c r="G53" i="4" s="1"/>
  <c r="I53" i="4" s="1"/>
  <c r="AB52" i="4"/>
  <c r="AC52" i="4" s="1"/>
  <c r="U52" i="4"/>
  <c r="AH52" i="4" s="1"/>
  <c r="AZ48" i="3"/>
  <c r="J48" i="3"/>
  <c r="M48" i="3" s="1"/>
  <c r="P48" i="3" s="1"/>
  <c r="CD48" i="3" l="1"/>
  <c r="CG48" i="3" s="1"/>
  <c r="CC48" i="3"/>
  <c r="L53" i="4"/>
  <c r="AD53" i="4"/>
  <c r="BN48" i="3"/>
  <c r="AV48" i="3"/>
  <c r="K48" i="3"/>
  <c r="M53" i="4"/>
  <c r="P53" i="4" s="1"/>
  <c r="CW47" i="3"/>
  <c r="Q53" i="4" l="1"/>
  <c r="R53" i="4" s="1"/>
  <c r="CJ48" i="3"/>
  <c r="AD48" i="3"/>
  <c r="L48" i="3"/>
  <c r="AY48" i="3"/>
  <c r="AX48" i="3"/>
  <c r="CE48" i="3"/>
  <c r="CX48" i="3" l="1"/>
  <c r="CF48" i="3"/>
  <c r="BA48" i="3"/>
  <c r="BB48" i="3" s="1"/>
  <c r="N48" i="3"/>
  <c r="O48" i="3"/>
  <c r="X53" i="4"/>
  <c r="AA53" i="4" s="1"/>
  <c r="F54" i="4" s="1"/>
  <c r="V53" i="4"/>
  <c r="AF53" i="4" s="1"/>
  <c r="W53" i="4"/>
  <c r="S53" i="4"/>
  <c r="AE53" i="4" s="1"/>
  <c r="AI53" i="4" l="1"/>
  <c r="Z53" i="4"/>
  <c r="E54" i="4" s="1"/>
  <c r="G54" i="4" s="1"/>
  <c r="I54" i="4" s="1"/>
  <c r="T53" i="4"/>
  <c r="J54" i="4"/>
  <c r="K54" i="4" s="1"/>
  <c r="Q48" i="3"/>
  <c r="R48" i="3" s="1"/>
  <c r="BH48" i="3"/>
  <c r="BK48" i="3" s="1"/>
  <c r="AP49" i="3" s="1"/>
  <c r="BG48" i="3"/>
  <c r="BF48" i="3"/>
  <c r="BP48" i="3" s="1"/>
  <c r="BC48" i="3"/>
  <c r="CH48" i="3"/>
  <c r="CI48" i="3"/>
  <c r="BO48" i="3" l="1"/>
  <c r="BS48" i="3"/>
  <c r="BJ48" i="3"/>
  <c r="AO49" i="3" s="1"/>
  <c r="AQ49" i="3" s="1"/>
  <c r="BD48" i="3"/>
  <c r="X48" i="3"/>
  <c r="AA48" i="3" s="1"/>
  <c r="F49" i="3" s="1"/>
  <c r="V48" i="3"/>
  <c r="AF48" i="3" s="1"/>
  <c r="W48" i="3"/>
  <c r="S48" i="3"/>
  <c r="AE48" i="3" s="1"/>
  <c r="M54" i="4"/>
  <c r="P54" i="4" s="1"/>
  <c r="L54" i="4"/>
  <c r="AD54" i="4"/>
  <c r="AB53" i="4"/>
  <c r="AC53" i="4" s="1"/>
  <c r="U53" i="4"/>
  <c r="AH53" i="4" s="1"/>
  <c r="CK48" i="3"/>
  <c r="CL48" i="3" s="1"/>
  <c r="Q54" i="4" l="1"/>
  <c r="R54" i="4" s="1"/>
  <c r="AR49" i="3"/>
  <c r="AI48" i="3"/>
  <c r="Z48" i="3"/>
  <c r="E49" i="3" s="1"/>
  <c r="G49" i="3" s="1"/>
  <c r="T48" i="3"/>
  <c r="CR48" i="3"/>
  <c r="CU48" i="3" s="1"/>
  <c r="BZ49" i="3" s="1"/>
  <c r="CQ48" i="3"/>
  <c r="CP48" i="3"/>
  <c r="CZ48" i="3" s="1"/>
  <c r="CM48" i="3"/>
  <c r="CN48" i="3" s="1"/>
  <c r="BL48" i="3"/>
  <c r="BE48" i="3"/>
  <c r="BR48" i="3" s="1"/>
  <c r="DC48" i="3" l="1"/>
  <c r="CT48" i="3"/>
  <c r="BY49" i="3" s="1"/>
  <c r="CA49" i="3" s="1"/>
  <c r="AB48" i="3"/>
  <c r="AC48" i="3" s="1"/>
  <c r="U48" i="3"/>
  <c r="AH48" i="3" s="1"/>
  <c r="CV48" i="3"/>
  <c r="CO48" i="3"/>
  <c r="DB48" i="3" s="1"/>
  <c r="X54" i="4"/>
  <c r="AA54" i="4" s="1"/>
  <c r="F55" i="4" s="1"/>
  <c r="V54" i="4"/>
  <c r="AF54" i="4" s="1"/>
  <c r="W54" i="4"/>
  <c r="H49" i="3"/>
  <c r="AT49" i="3"/>
  <c r="AW49" i="3" s="1"/>
  <c r="AS49" i="3"/>
  <c r="BM48" i="3"/>
  <c r="CY48" i="3"/>
  <c r="S54" i="4"/>
  <c r="AE54" i="4" s="1"/>
  <c r="T54" i="4" l="1"/>
  <c r="AU49" i="3"/>
  <c r="J55" i="4"/>
  <c r="K55" i="4" s="1"/>
  <c r="J49" i="3"/>
  <c r="M49" i="3" s="1"/>
  <c r="I49" i="3"/>
  <c r="AB54" i="4"/>
  <c r="AC54" i="4" s="1"/>
  <c r="U54" i="4"/>
  <c r="AH54" i="4" s="1"/>
  <c r="Z54" i="4"/>
  <c r="E55" i="4" s="1"/>
  <c r="G55" i="4" s="1"/>
  <c r="I55" i="4" s="1"/>
  <c r="AI54" i="4"/>
  <c r="CB49" i="3"/>
  <c r="CW48" i="3"/>
  <c r="AZ49" i="3"/>
  <c r="BN49" i="3" l="1"/>
  <c r="AV49" i="3"/>
  <c r="P49" i="3"/>
  <c r="CD49" i="3"/>
  <c r="CG49" i="3" s="1"/>
  <c r="K49" i="3"/>
  <c r="L55" i="4"/>
  <c r="AD55" i="4"/>
  <c r="CC49" i="3"/>
  <c r="M55" i="4"/>
  <c r="P55" i="4" s="1"/>
  <c r="AY49" i="3" l="1"/>
  <c r="BA49" i="3" s="1"/>
  <c r="BB49" i="3" s="1"/>
  <c r="AX49" i="3"/>
  <c r="Q55" i="4"/>
  <c r="R55" i="4" s="1"/>
  <c r="CE49" i="3"/>
  <c r="BH49" i="3"/>
  <c r="BK49" i="3" s="1"/>
  <c r="AP50" i="3" s="1"/>
  <c r="BG49" i="3"/>
  <c r="BF49" i="3"/>
  <c r="BP49" i="3" s="1"/>
  <c r="BC49" i="3"/>
  <c r="BO49" i="3" s="1"/>
  <c r="CJ49" i="3"/>
  <c r="AD49" i="3"/>
  <c r="L49" i="3"/>
  <c r="BD49" i="3" l="1"/>
  <c r="N49" i="3"/>
  <c r="O49" i="3"/>
  <c r="BJ49" i="3"/>
  <c r="AO50" i="3" s="1"/>
  <c r="AQ50" i="3" s="1"/>
  <c r="BS49" i="3"/>
  <c r="CX49" i="3"/>
  <c r="CF49" i="3"/>
  <c r="X55" i="4"/>
  <c r="AA55" i="4" s="1"/>
  <c r="W55" i="4"/>
  <c r="V55" i="4"/>
  <c r="AF55" i="4" s="1"/>
  <c r="S55" i="4"/>
  <c r="AE55" i="4" s="1"/>
  <c r="T55" i="4" l="1"/>
  <c r="Y55" i="4"/>
  <c r="AI55" i="4"/>
  <c r="Z55" i="4"/>
  <c r="CH49" i="3"/>
  <c r="CI49" i="3"/>
  <c r="Q49" i="3"/>
  <c r="R49" i="3" s="1"/>
  <c r="F56" i="4"/>
  <c r="C6" i="4"/>
  <c r="I17" i="5"/>
  <c r="AB55" i="4"/>
  <c r="AC55" i="4" s="1"/>
  <c r="U55" i="4"/>
  <c r="AH55" i="4" s="1"/>
  <c r="AR50" i="3"/>
  <c r="BL49" i="3"/>
  <c r="BM49" i="3" s="1"/>
  <c r="BE49" i="3"/>
  <c r="BR49" i="3" s="1"/>
  <c r="J6" i="4"/>
  <c r="X49" i="3" l="1"/>
  <c r="AA49" i="3" s="1"/>
  <c r="F50" i="3" s="1"/>
  <c r="V49" i="3"/>
  <c r="AF49" i="3" s="1"/>
  <c r="W49" i="3"/>
  <c r="S49" i="3"/>
  <c r="AE49" i="3" s="1"/>
  <c r="AT50" i="3"/>
  <c r="AW50" i="3" s="1"/>
  <c r="J56" i="4"/>
  <c r="K56" i="4" s="1"/>
  <c r="CK49" i="3"/>
  <c r="CL49" i="3" s="1"/>
  <c r="E17" i="5"/>
  <c r="E56" i="4"/>
  <c r="G56" i="4" s="1"/>
  <c r="I56" i="4" s="1"/>
  <c r="B6" i="4"/>
  <c r="D6" i="4" s="1"/>
  <c r="AS50" i="3"/>
  <c r="I6" i="4"/>
  <c r="AG55" i="4"/>
  <c r="AG56" i="4" s="1"/>
  <c r="AG57" i="4" s="1"/>
  <c r="AG58" i="4" s="1"/>
  <c r="AG59" i="4" s="1"/>
  <c r="AG60" i="4" s="1"/>
  <c r="AG61" i="4" s="1"/>
  <c r="AG62" i="4" s="1"/>
  <c r="AG63" i="4" s="1"/>
  <c r="AG64" i="4" s="1"/>
  <c r="AG65" i="4" s="1"/>
  <c r="AG66" i="4" s="1"/>
  <c r="CR49" i="3" l="1"/>
  <c r="CU49" i="3" s="1"/>
  <c r="BZ50" i="3" s="1"/>
  <c r="CQ49" i="3"/>
  <c r="CP49" i="3"/>
  <c r="CZ49" i="3" s="1"/>
  <c r="CM49" i="3"/>
  <c r="CY49" i="3" s="1"/>
  <c r="M56" i="4"/>
  <c r="AI49" i="3"/>
  <c r="Z49" i="3"/>
  <c r="E50" i="3" s="1"/>
  <c r="G50" i="3" s="1"/>
  <c r="AZ50" i="3"/>
  <c r="T49" i="3"/>
  <c r="L56" i="4"/>
  <c r="AD56" i="4"/>
  <c r="AU50" i="3"/>
  <c r="P56" i="4"/>
  <c r="Q56" i="4"/>
  <c r="R56" i="4" s="1"/>
  <c r="V56" i="4" s="1"/>
  <c r="AF56" i="4" s="1"/>
  <c r="H50" i="3" l="1"/>
  <c r="X56" i="4"/>
  <c r="AA56" i="4" s="1"/>
  <c r="F57" i="4" s="1"/>
  <c r="CT49" i="3"/>
  <c r="BY50" i="3" s="1"/>
  <c r="CA50" i="3" s="1"/>
  <c r="DC49" i="3"/>
  <c r="S56" i="4"/>
  <c r="T56" i="4" s="1"/>
  <c r="BN50" i="3"/>
  <c r="AV50" i="3"/>
  <c r="CN49" i="3"/>
  <c r="AB49" i="3"/>
  <c r="AC49" i="3" s="1"/>
  <c r="U49" i="3"/>
  <c r="AH49" i="3" s="1"/>
  <c r="W56" i="4"/>
  <c r="AB56" i="4" l="1"/>
  <c r="U56" i="4"/>
  <c r="AH56" i="4" s="1"/>
  <c r="Z56" i="4"/>
  <c r="E57" i="4" s="1"/>
  <c r="G57" i="4" s="1"/>
  <c r="I57" i="4" s="1"/>
  <c r="AI56" i="4"/>
  <c r="AX50" i="3"/>
  <c r="AY50" i="3"/>
  <c r="J57" i="4"/>
  <c r="K57" i="4" s="1"/>
  <c r="CV49" i="3"/>
  <c r="CW49" i="3" s="1"/>
  <c r="CO49" i="3"/>
  <c r="DB49" i="3" s="1"/>
  <c r="AE56" i="4"/>
  <c r="CB50" i="3"/>
  <c r="CC50" i="3" s="1"/>
  <c r="J50" i="3"/>
  <c r="M50" i="3" s="1"/>
  <c r="I50" i="3"/>
  <c r="M57" i="4" l="1"/>
  <c r="P57" i="4" s="1"/>
  <c r="L57" i="4"/>
  <c r="AD57" i="4"/>
  <c r="BA50" i="3"/>
  <c r="BB50" i="3" s="1"/>
  <c r="P50" i="3"/>
  <c r="K50" i="3"/>
  <c r="CD50" i="3"/>
  <c r="CG50" i="3" s="1"/>
  <c r="CJ50" i="3" s="1"/>
  <c r="CE50" i="3"/>
  <c r="CX50" i="3" s="1"/>
  <c r="AC56" i="4"/>
  <c r="Q57" i="4" l="1"/>
  <c r="R57" i="4" s="1"/>
  <c r="BH50" i="3"/>
  <c r="BK50" i="3" s="1"/>
  <c r="AP51" i="3" s="1"/>
  <c r="BF50" i="3"/>
  <c r="BP50" i="3" s="1"/>
  <c r="BG50" i="3"/>
  <c r="BC50" i="3"/>
  <c r="BO50" i="3" s="1"/>
  <c r="AD50" i="3"/>
  <c r="L50" i="3"/>
  <c r="CF50" i="3"/>
  <c r="CH50" i="3" l="1"/>
  <c r="CI50" i="3"/>
  <c r="BJ50" i="3"/>
  <c r="AO51" i="3" s="1"/>
  <c r="AQ51" i="3" s="1"/>
  <c r="BS50" i="3"/>
  <c r="N50" i="3"/>
  <c r="O50" i="3"/>
  <c r="BD50" i="3"/>
  <c r="X57" i="4"/>
  <c r="AA57" i="4" s="1"/>
  <c r="F58" i="4" s="1"/>
  <c r="W57" i="4"/>
  <c r="V57" i="4"/>
  <c r="AF57" i="4" s="1"/>
  <c r="S57" i="4"/>
  <c r="T57" i="4" s="1"/>
  <c r="AB57" i="4" l="1"/>
  <c r="U57" i="4"/>
  <c r="AH57" i="4" s="1"/>
  <c r="J58" i="4"/>
  <c r="K58" i="4" s="1"/>
  <c r="Z57" i="4"/>
  <c r="E58" i="4" s="1"/>
  <c r="G58" i="4" s="1"/>
  <c r="I58" i="4" s="1"/>
  <c r="AI57" i="4"/>
  <c r="BL50" i="3"/>
  <c r="BM50" i="3" s="1"/>
  <c r="BE50" i="3"/>
  <c r="BR50" i="3" s="1"/>
  <c r="Q50" i="3"/>
  <c r="R50" i="3" s="1"/>
  <c r="AR51" i="3"/>
  <c r="CK50" i="3"/>
  <c r="CL50" i="3" s="1"/>
  <c r="AE57" i="4"/>
  <c r="CR50" i="3" l="1"/>
  <c r="CU50" i="3" s="1"/>
  <c r="BZ51" i="3" s="1"/>
  <c r="CP50" i="3"/>
  <c r="CZ50" i="3" s="1"/>
  <c r="CQ50" i="3"/>
  <c r="CM50" i="3"/>
  <c r="CY50" i="3" s="1"/>
  <c r="X50" i="3"/>
  <c r="AA50" i="3" s="1"/>
  <c r="F51" i="3" s="1"/>
  <c r="W50" i="3"/>
  <c r="V50" i="3"/>
  <c r="AF50" i="3" s="1"/>
  <c r="S50" i="3"/>
  <c r="AE50" i="3" s="1"/>
  <c r="L58" i="4"/>
  <c r="AD58" i="4"/>
  <c r="AT51" i="3"/>
  <c r="AW51" i="3" s="1"/>
  <c r="AS51" i="3"/>
  <c r="M58" i="4"/>
  <c r="P58" i="4" s="1"/>
  <c r="AC57" i="4"/>
  <c r="Q58" i="4" l="1"/>
  <c r="R58" i="4" s="1"/>
  <c r="Z50" i="3"/>
  <c r="E51" i="3" s="1"/>
  <c r="G51" i="3" s="1"/>
  <c r="AI50" i="3"/>
  <c r="T50" i="3"/>
  <c r="CN50" i="3"/>
  <c r="DC50" i="3"/>
  <c r="CT50" i="3"/>
  <c r="BY51" i="3" s="1"/>
  <c r="CA51" i="3" s="1"/>
  <c r="AZ51" i="3"/>
  <c r="AU51" i="3"/>
  <c r="CB51" i="3" l="1"/>
  <c r="H51" i="3"/>
  <c r="I51" i="3" s="1"/>
  <c r="CV50" i="3"/>
  <c r="CW50" i="3" s="1"/>
  <c r="CO50" i="3"/>
  <c r="DB50" i="3" s="1"/>
  <c r="AB50" i="3"/>
  <c r="AC50" i="3" s="1"/>
  <c r="U50" i="3"/>
  <c r="AH50" i="3" s="1"/>
  <c r="BN51" i="3"/>
  <c r="AV51" i="3"/>
  <c r="X58" i="4"/>
  <c r="AA58" i="4" s="1"/>
  <c r="F59" i="4" s="1"/>
  <c r="W58" i="4"/>
  <c r="V58" i="4"/>
  <c r="AF58" i="4" s="1"/>
  <c r="S58" i="4"/>
  <c r="J59" i="4" l="1"/>
  <c r="K59" i="4" s="1"/>
  <c r="AE58" i="4"/>
  <c r="T58" i="4"/>
  <c r="AX51" i="3"/>
  <c r="AY51" i="3"/>
  <c r="Z58" i="4"/>
  <c r="E59" i="4" s="1"/>
  <c r="G59" i="4" s="1"/>
  <c r="I59" i="4" s="1"/>
  <c r="AI58" i="4"/>
  <c r="J51" i="3"/>
  <c r="M51" i="3" s="1"/>
  <c r="P51" i="3" s="1"/>
  <c r="K51" i="3"/>
  <c r="AD51" i="3" s="1"/>
  <c r="CD51" i="3"/>
  <c r="CG51" i="3" s="1"/>
  <c r="CE51" i="3"/>
  <c r="CX51" i="3" s="1"/>
  <c r="CC51" i="3"/>
  <c r="BA51" i="3" l="1"/>
  <c r="BB51" i="3" s="1"/>
  <c r="AB58" i="4"/>
  <c r="U58" i="4"/>
  <c r="AH58" i="4" s="1"/>
  <c r="CJ51" i="3"/>
  <c r="CF51" i="3"/>
  <c r="L59" i="4"/>
  <c r="AD59" i="4"/>
  <c r="L51" i="3"/>
  <c r="M59" i="4"/>
  <c r="P59" i="4" s="1"/>
  <c r="Q59" i="4" s="1"/>
  <c r="R59" i="4" s="1"/>
  <c r="X59" i="4" l="1"/>
  <c r="AA59" i="4" s="1"/>
  <c r="F60" i="4" s="1"/>
  <c r="W59" i="4"/>
  <c r="CH51" i="3"/>
  <c r="CI51" i="3"/>
  <c r="S59" i="4"/>
  <c r="V59" i="4"/>
  <c r="AF59" i="4" s="1"/>
  <c r="O51" i="3"/>
  <c r="N51" i="3"/>
  <c r="AC58" i="4"/>
  <c r="BH51" i="3"/>
  <c r="BK51" i="3" s="1"/>
  <c r="AP52" i="3" s="1"/>
  <c r="BF51" i="3"/>
  <c r="BP51" i="3" s="1"/>
  <c r="BG51" i="3"/>
  <c r="BC51" i="3"/>
  <c r="BO51" i="3" s="1"/>
  <c r="AE59" i="4" l="1"/>
  <c r="CK51" i="3"/>
  <c r="CL51" i="3" s="1"/>
  <c r="Q51" i="3"/>
  <c r="R51" i="3" s="1"/>
  <c r="BS51" i="3"/>
  <c r="BJ51" i="3"/>
  <c r="AO52" i="3" s="1"/>
  <c r="AQ52" i="3" s="1"/>
  <c r="Z59" i="4"/>
  <c r="E60" i="4" s="1"/>
  <c r="G60" i="4" s="1"/>
  <c r="I60" i="4" s="1"/>
  <c r="AI59" i="4"/>
  <c r="J60" i="4"/>
  <c r="K60" i="4" s="1"/>
  <c r="BD51" i="3"/>
  <c r="T59" i="4"/>
  <c r="M60" i="4" l="1"/>
  <c r="X51" i="3"/>
  <c r="AA51" i="3" s="1"/>
  <c r="F52" i="3" s="1"/>
  <c r="V51" i="3"/>
  <c r="AF51" i="3" s="1"/>
  <c r="W51" i="3"/>
  <c r="S51" i="3"/>
  <c r="AE51" i="3" s="1"/>
  <c r="AR52" i="3"/>
  <c r="AS52" i="3" s="1"/>
  <c r="BL51" i="3"/>
  <c r="BM51" i="3" s="1"/>
  <c r="BE51" i="3"/>
  <c r="BR51" i="3" s="1"/>
  <c r="P60" i="4"/>
  <c r="Q60" i="4" s="1"/>
  <c r="R60" i="4" s="1"/>
  <c r="V60" i="4" s="1"/>
  <c r="AF60" i="4" s="1"/>
  <c r="CR51" i="3"/>
  <c r="CU51" i="3" s="1"/>
  <c r="BZ52" i="3" s="1"/>
  <c r="CP51" i="3"/>
  <c r="CZ51" i="3" s="1"/>
  <c r="CQ51" i="3"/>
  <c r="CM51" i="3"/>
  <c r="CY51" i="3" s="1"/>
  <c r="AB59" i="4"/>
  <c r="U59" i="4"/>
  <c r="AH59" i="4" s="1"/>
  <c r="L60" i="4"/>
  <c r="AD60" i="4"/>
  <c r="CN51" i="3" l="1"/>
  <c r="X60" i="4"/>
  <c r="AA60" i="4" s="1"/>
  <c r="F61" i="4" s="1"/>
  <c r="W60" i="4"/>
  <c r="AT52" i="3"/>
  <c r="AW52" i="3" s="1"/>
  <c r="AZ52" i="3" s="1"/>
  <c r="CT51" i="3"/>
  <c r="BY52" i="3" s="1"/>
  <c r="CA52" i="3" s="1"/>
  <c r="DC51" i="3"/>
  <c r="CV51" i="3"/>
  <c r="CW51" i="3" s="1"/>
  <c r="CO51" i="3"/>
  <c r="DB51" i="3" s="1"/>
  <c r="S60" i="4"/>
  <c r="AE60" i="4" s="1"/>
  <c r="AC59" i="4"/>
  <c r="AI51" i="3"/>
  <c r="Z51" i="3"/>
  <c r="E52" i="3" s="1"/>
  <c r="G52" i="3" s="1"/>
  <c r="T51" i="3"/>
  <c r="T60" i="4" l="1"/>
  <c r="AU52" i="3"/>
  <c r="AI60" i="4"/>
  <c r="Z60" i="4"/>
  <c r="E61" i="4" s="1"/>
  <c r="G61" i="4" s="1"/>
  <c r="I61" i="4" s="1"/>
  <c r="AB60" i="4"/>
  <c r="U60" i="4"/>
  <c r="AH60" i="4" s="1"/>
  <c r="AB51" i="3"/>
  <c r="AC51" i="3" s="1"/>
  <c r="U51" i="3"/>
  <c r="AH51" i="3" s="1"/>
  <c r="AC60" i="4"/>
  <c r="J61" i="4"/>
  <c r="K61" i="4" s="1"/>
  <c r="H52" i="3"/>
  <c r="I52" i="3" s="1"/>
  <c r="CB52" i="3"/>
  <c r="J52" i="3" l="1"/>
  <c r="M52" i="3" s="1"/>
  <c r="P52" i="3" s="1"/>
  <c r="L61" i="4"/>
  <c r="AD61" i="4"/>
  <c r="M61" i="4"/>
  <c r="P61" i="4" s="1"/>
  <c r="CD52" i="3"/>
  <c r="CG52" i="3" s="1"/>
  <c r="BN52" i="3"/>
  <c r="AV52" i="3"/>
  <c r="CC52" i="3"/>
  <c r="Q61" i="4" l="1"/>
  <c r="R61" i="4" s="1"/>
  <c r="K52" i="3"/>
  <c r="CE52" i="3"/>
  <c r="CJ52" i="3"/>
  <c r="AX52" i="3"/>
  <c r="AY52" i="3"/>
  <c r="AD52" i="3" l="1"/>
  <c r="L52" i="3"/>
  <c r="BA52" i="3"/>
  <c r="BB52" i="3" s="1"/>
  <c r="CX52" i="3"/>
  <c r="CF52" i="3"/>
  <c r="X61" i="4"/>
  <c r="AA61" i="4" s="1"/>
  <c r="F62" i="4" s="1"/>
  <c r="W61" i="4"/>
  <c r="V61" i="4"/>
  <c r="AF61" i="4" s="1"/>
  <c r="S61" i="4"/>
  <c r="AE61" i="4" s="1"/>
  <c r="CI52" i="3" l="1"/>
  <c r="CH52" i="3"/>
  <c r="AI61" i="4"/>
  <c r="Z61" i="4"/>
  <c r="E62" i="4" s="1"/>
  <c r="G62" i="4" s="1"/>
  <c r="I62" i="4" s="1"/>
  <c r="J62" i="4"/>
  <c r="K62" i="4" s="1"/>
  <c r="T61" i="4"/>
  <c r="BH52" i="3"/>
  <c r="BK52" i="3" s="1"/>
  <c r="AP53" i="3" s="1"/>
  <c r="BG52" i="3"/>
  <c r="BF52" i="3"/>
  <c r="BP52" i="3" s="1"/>
  <c r="BC52" i="3"/>
  <c r="BO52" i="3" s="1"/>
  <c r="N52" i="3"/>
  <c r="O52" i="3"/>
  <c r="L62" i="4" l="1"/>
  <c r="AD62" i="4"/>
  <c r="BJ52" i="3"/>
  <c r="AO53" i="3" s="1"/>
  <c r="AQ53" i="3" s="1"/>
  <c r="BS52" i="3"/>
  <c r="BD52" i="3"/>
  <c r="AB61" i="4"/>
  <c r="AC61" i="4" s="1"/>
  <c r="U61" i="4"/>
  <c r="AH61" i="4" s="1"/>
  <c r="M62" i="4"/>
  <c r="P62" i="4" s="1"/>
  <c r="Q52" i="3"/>
  <c r="R52" i="3" s="1"/>
  <c r="CK52" i="3"/>
  <c r="CL52" i="3" s="1"/>
  <c r="Q62" i="4" l="1"/>
  <c r="R62" i="4" s="1"/>
  <c r="CR52" i="3"/>
  <c r="CU52" i="3" s="1"/>
  <c r="BZ53" i="3" s="1"/>
  <c r="CQ52" i="3"/>
  <c r="CP52" i="3"/>
  <c r="CZ52" i="3" s="1"/>
  <c r="CM52" i="3"/>
  <c r="CY52" i="3" s="1"/>
  <c r="BL52" i="3"/>
  <c r="BM52" i="3" s="1"/>
  <c r="BE52" i="3"/>
  <c r="BR52" i="3" s="1"/>
  <c r="AR53" i="3"/>
  <c r="AS53" i="3" s="1"/>
  <c r="X52" i="3"/>
  <c r="AA52" i="3" s="1"/>
  <c r="F53" i="3" s="1"/>
  <c r="W52" i="3"/>
  <c r="V52" i="3"/>
  <c r="AF52" i="3" s="1"/>
  <c r="S52" i="3"/>
  <c r="AE52" i="3" s="1"/>
  <c r="T52" i="3" l="1"/>
  <c r="AB52" i="3"/>
  <c r="AC52" i="3" s="1"/>
  <c r="U52" i="3"/>
  <c r="AH52" i="3" s="1"/>
  <c r="CT52" i="3"/>
  <c r="BY53" i="3" s="1"/>
  <c r="CA53" i="3" s="1"/>
  <c r="DC52" i="3"/>
  <c r="AT53" i="3"/>
  <c r="AW53" i="3" s="1"/>
  <c r="AZ53" i="3" s="1"/>
  <c r="CN52" i="3"/>
  <c r="X62" i="4"/>
  <c r="AA62" i="4" s="1"/>
  <c r="F63" i="4" s="1"/>
  <c r="V62" i="4"/>
  <c r="AF62" i="4" s="1"/>
  <c r="W62" i="4"/>
  <c r="Z52" i="3"/>
  <c r="E53" i="3" s="1"/>
  <c r="G53" i="3" s="1"/>
  <c r="AI52" i="3"/>
  <c r="S62" i="4"/>
  <c r="AE62" i="4" s="1"/>
  <c r="AI62" i="4" l="1"/>
  <c r="Z62" i="4"/>
  <c r="E63" i="4" s="1"/>
  <c r="G63" i="4" s="1"/>
  <c r="I63" i="4" s="1"/>
  <c r="J63" i="4"/>
  <c r="K63" i="4" s="1"/>
  <c r="T62" i="4"/>
  <c r="AU53" i="3"/>
  <c r="CV52" i="3"/>
  <c r="CW52" i="3" s="1"/>
  <c r="CO52" i="3"/>
  <c r="DB52" i="3" s="1"/>
  <c r="H53" i="3"/>
  <c r="I53" i="3" s="1"/>
  <c r="CB53" i="3"/>
  <c r="CD53" i="3" l="1"/>
  <c r="CG53" i="3" s="1"/>
  <c r="L63" i="4"/>
  <c r="AD63" i="4"/>
  <c r="M63" i="4"/>
  <c r="P63" i="4" s="1"/>
  <c r="CC53" i="3"/>
  <c r="J53" i="3"/>
  <c r="M53" i="3" s="1"/>
  <c r="P53" i="3" s="1"/>
  <c r="BN53" i="3"/>
  <c r="AV53" i="3"/>
  <c r="AB62" i="4"/>
  <c r="AC62" i="4" s="1"/>
  <c r="U62" i="4"/>
  <c r="AH62" i="4" s="1"/>
  <c r="Q63" i="4" l="1"/>
  <c r="R63" i="4" s="1"/>
  <c r="CJ53" i="3"/>
  <c r="K53" i="3"/>
  <c r="CE53" i="3"/>
  <c r="AX53" i="3"/>
  <c r="AY53" i="3"/>
  <c r="BA53" i="3" l="1"/>
  <c r="BB53" i="3" s="1"/>
  <c r="AD53" i="3"/>
  <c r="L53" i="3"/>
  <c r="CX53" i="3"/>
  <c r="CF53" i="3"/>
  <c r="X63" i="4"/>
  <c r="AA63" i="4" s="1"/>
  <c r="F64" i="4" s="1"/>
  <c r="W63" i="4"/>
  <c r="V63" i="4"/>
  <c r="AF63" i="4" s="1"/>
  <c r="S63" i="4"/>
  <c r="AE63" i="4" s="1"/>
  <c r="J64" i="4" l="1"/>
  <c r="K64" i="4" s="1"/>
  <c r="N53" i="3"/>
  <c r="O53" i="3"/>
  <c r="Z63" i="4"/>
  <c r="E64" i="4" s="1"/>
  <c r="G64" i="4" s="1"/>
  <c r="I64" i="4" s="1"/>
  <c r="AI63" i="4"/>
  <c r="T63" i="4"/>
  <c r="CI53" i="3"/>
  <c r="CH53" i="3"/>
  <c r="BH53" i="3"/>
  <c r="BK53" i="3" s="1"/>
  <c r="AP54" i="3" s="1"/>
  <c r="BG53" i="3"/>
  <c r="BF53" i="3"/>
  <c r="BP53" i="3" s="1"/>
  <c r="BC53" i="3"/>
  <c r="BO53" i="3" s="1"/>
  <c r="CK53" i="3" l="1"/>
  <c r="CL53" i="3" s="1"/>
  <c r="AB63" i="4"/>
  <c r="AC63" i="4" s="1"/>
  <c r="U63" i="4"/>
  <c r="AH63" i="4" s="1"/>
  <c r="Q53" i="3"/>
  <c r="R53" i="3" s="1"/>
  <c r="L64" i="4"/>
  <c r="AD64" i="4"/>
  <c r="BJ53" i="3"/>
  <c r="AO54" i="3" s="1"/>
  <c r="AQ54" i="3" s="1"/>
  <c r="BS53" i="3"/>
  <c r="M64" i="4"/>
  <c r="P64" i="4" s="1"/>
  <c r="BD53" i="3"/>
  <c r="AR54" i="3" l="1"/>
  <c r="AS54" i="3" s="1"/>
  <c r="Q64" i="4"/>
  <c r="R64" i="4" s="1"/>
  <c r="BL53" i="3"/>
  <c r="BM53" i="3" s="1"/>
  <c r="BE53" i="3"/>
  <c r="BR53" i="3" s="1"/>
  <c r="X53" i="3"/>
  <c r="AA53" i="3" s="1"/>
  <c r="F54" i="3" s="1"/>
  <c r="W53" i="3"/>
  <c r="V53" i="3"/>
  <c r="AF53" i="3" s="1"/>
  <c r="S53" i="3"/>
  <c r="AE53" i="3" s="1"/>
  <c r="CR53" i="3"/>
  <c r="CU53" i="3" s="1"/>
  <c r="BZ54" i="3" s="1"/>
  <c r="CP53" i="3"/>
  <c r="CZ53" i="3" s="1"/>
  <c r="CQ53" i="3"/>
  <c r="CM53" i="3"/>
  <c r="CY53" i="3" s="1"/>
  <c r="CN53" i="3" l="1"/>
  <c r="CV53" i="3"/>
  <c r="CW53" i="3" s="1"/>
  <c r="CO53" i="3"/>
  <c r="DB53" i="3" s="1"/>
  <c r="Z53" i="3"/>
  <c r="E54" i="3" s="1"/>
  <c r="G54" i="3" s="1"/>
  <c r="AI53" i="3"/>
  <c r="T53" i="3"/>
  <c r="X64" i="4"/>
  <c r="AA64" i="4" s="1"/>
  <c r="F65" i="4" s="1"/>
  <c r="W64" i="4"/>
  <c r="V64" i="4"/>
  <c r="AF64" i="4" s="1"/>
  <c r="DC53" i="3"/>
  <c r="CT53" i="3"/>
  <c r="BY54" i="3" s="1"/>
  <c r="CA54" i="3" s="1"/>
  <c r="AT54" i="3"/>
  <c r="AW54" i="3" s="1"/>
  <c r="AZ54" i="3" s="1"/>
  <c r="S64" i="4"/>
  <c r="AE64" i="4" s="1"/>
  <c r="AU54" i="3" l="1"/>
  <c r="BN54" i="3" s="1"/>
  <c r="AI64" i="4"/>
  <c r="Z64" i="4"/>
  <c r="E65" i="4" s="1"/>
  <c r="G65" i="4" s="1"/>
  <c r="I65" i="4" s="1"/>
  <c r="J65" i="4"/>
  <c r="K65" i="4" s="1"/>
  <c r="T64" i="4"/>
  <c r="AB53" i="3"/>
  <c r="AC53" i="3" s="1"/>
  <c r="U53" i="3"/>
  <c r="AH53" i="3" s="1"/>
  <c r="H54" i="3"/>
  <c r="AV54" i="3"/>
  <c r="CB54" i="3"/>
  <c r="J54" i="3" l="1"/>
  <c r="M54" i="3" s="1"/>
  <c r="L65" i="4"/>
  <c r="AD65" i="4"/>
  <c r="M65" i="4"/>
  <c r="AX54" i="3"/>
  <c r="AY54" i="3"/>
  <c r="I54" i="3"/>
  <c r="AB64" i="4"/>
  <c r="AC64" i="4" s="1"/>
  <c r="U64" i="4"/>
  <c r="AH64" i="4" s="1"/>
  <c r="P65" i="4"/>
  <c r="CD54" i="3"/>
  <c r="CG54" i="3" s="1"/>
  <c r="CC54" i="3"/>
  <c r="BA54" i="3" l="1"/>
  <c r="BB54" i="3" s="1"/>
  <c r="P54" i="3"/>
  <c r="CJ54" i="3"/>
  <c r="CE54" i="3"/>
  <c r="Q65" i="4"/>
  <c r="R65" i="4" s="1"/>
  <c r="K54" i="3"/>
  <c r="AD54" i="3" l="1"/>
  <c r="L54" i="3"/>
  <c r="X65" i="4"/>
  <c r="AA65" i="4" s="1"/>
  <c r="F66" i="4" s="1"/>
  <c r="V65" i="4"/>
  <c r="AF65" i="4" s="1"/>
  <c r="W65" i="4"/>
  <c r="CX54" i="3"/>
  <c r="CF54" i="3"/>
  <c r="BH54" i="3"/>
  <c r="BK54" i="3" s="1"/>
  <c r="AP55" i="3" s="1"/>
  <c r="BF54" i="3"/>
  <c r="BP54" i="3" s="1"/>
  <c r="BG54" i="3"/>
  <c r="BC54" i="3"/>
  <c r="BO54" i="3" s="1"/>
  <c r="S65" i="4"/>
  <c r="AE65" i="4" s="1"/>
  <c r="BS54" i="3" l="1"/>
  <c r="BJ54" i="3"/>
  <c r="AO55" i="3" s="1"/>
  <c r="AQ55" i="3" s="1"/>
  <c r="BD54" i="3"/>
  <c r="T65" i="4"/>
  <c r="CH54" i="3"/>
  <c r="CI54" i="3"/>
  <c r="Z65" i="4"/>
  <c r="E66" i="4" s="1"/>
  <c r="G66" i="4" s="1"/>
  <c r="I66" i="4" s="1"/>
  <c r="AI65" i="4"/>
  <c r="J66" i="4"/>
  <c r="K66" i="4" s="1"/>
  <c r="N54" i="3"/>
  <c r="O54" i="3"/>
  <c r="M66" i="4" l="1"/>
  <c r="CK54" i="3"/>
  <c r="CL54" i="3" s="1"/>
  <c r="BL54" i="3"/>
  <c r="BM54" i="3" s="1"/>
  <c r="BE54" i="3"/>
  <c r="BR54" i="3" s="1"/>
  <c r="P66" i="4"/>
  <c r="Q66" i="4"/>
  <c r="R66" i="4" s="1"/>
  <c r="AB65" i="4"/>
  <c r="AC65" i="4" s="1"/>
  <c r="U65" i="4"/>
  <c r="AH65" i="4" s="1"/>
  <c r="Q54" i="3"/>
  <c r="R54" i="3" s="1"/>
  <c r="AR55" i="3"/>
  <c r="L66" i="4"/>
  <c r="AD66" i="4"/>
  <c r="X66" i="4" l="1"/>
  <c r="AA66" i="4" s="1"/>
  <c r="F67" i="4" s="1"/>
  <c r="AT55" i="3"/>
  <c r="AW55" i="3" s="1"/>
  <c r="AS55" i="3"/>
  <c r="X54" i="3"/>
  <c r="AA54" i="3" s="1"/>
  <c r="F55" i="3" s="1"/>
  <c r="V54" i="3"/>
  <c r="AF54" i="3" s="1"/>
  <c r="W54" i="3"/>
  <c r="S54" i="3"/>
  <c r="AE54" i="3" s="1"/>
  <c r="S66" i="4"/>
  <c r="AE66" i="4" s="1"/>
  <c r="V66" i="4"/>
  <c r="AF66" i="4" s="1"/>
  <c r="W66" i="4"/>
  <c r="CR54" i="3"/>
  <c r="CU54" i="3" s="1"/>
  <c r="BZ55" i="3" s="1"/>
  <c r="CQ54" i="3"/>
  <c r="CP54" i="3"/>
  <c r="CZ54" i="3" s="1"/>
  <c r="CM54" i="3"/>
  <c r="CY54" i="3" s="1"/>
  <c r="AI54" i="3" l="1"/>
  <c r="Z54" i="3"/>
  <c r="E55" i="3" s="1"/>
  <c r="G55" i="3" s="1"/>
  <c r="AZ55" i="3"/>
  <c r="CN54" i="3"/>
  <c r="AU55" i="3"/>
  <c r="AI66" i="4"/>
  <c r="Z66" i="4"/>
  <c r="E67" i="4" s="1"/>
  <c r="G67" i="4" s="1"/>
  <c r="I67" i="4" s="1"/>
  <c r="T66" i="4"/>
  <c r="T54" i="3"/>
  <c r="CT54" i="3"/>
  <c r="BY55" i="3" s="1"/>
  <c r="CA55" i="3" s="1"/>
  <c r="DC54" i="3"/>
  <c r="J67" i="4"/>
  <c r="K67" i="4" s="1"/>
  <c r="AB66" i="4" l="1"/>
  <c r="AC66" i="4" s="1"/>
  <c r="U66" i="4"/>
  <c r="AH66" i="4" s="1"/>
  <c r="AB54" i="3"/>
  <c r="AC54" i="3" s="1"/>
  <c r="U54" i="3"/>
  <c r="AH54" i="3" s="1"/>
  <c r="L67" i="4"/>
  <c r="AD67" i="4"/>
  <c r="BN55" i="3"/>
  <c r="AV55" i="3"/>
  <c r="CV54" i="3"/>
  <c r="CW54" i="3" s="1"/>
  <c r="CO54" i="3"/>
  <c r="DB54" i="3" s="1"/>
  <c r="M67" i="4"/>
  <c r="P67" i="4" s="1"/>
  <c r="H55" i="3"/>
  <c r="CB55" i="3"/>
  <c r="Q67" i="4" l="1"/>
  <c r="R67" i="4" s="1"/>
  <c r="AX55" i="3"/>
  <c r="AY55" i="3"/>
  <c r="CD55" i="3"/>
  <c r="CG55" i="3" s="1"/>
  <c r="CC55" i="3"/>
  <c r="J55" i="3"/>
  <c r="M55" i="3" s="1"/>
  <c r="I55" i="3"/>
  <c r="CE55" i="3" l="1"/>
  <c r="P55" i="3"/>
  <c r="CJ55" i="3"/>
  <c r="BA55" i="3"/>
  <c r="BB55" i="3" s="1"/>
  <c r="K55" i="3"/>
  <c r="X67" i="4"/>
  <c r="AA67" i="4" s="1"/>
  <c r="V67" i="4"/>
  <c r="AF67" i="4" s="1"/>
  <c r="W67" i="4"/>
  <c r="S67" i="4"/>
  <c r="AE67" i="4" s="1"/>
  <c r="J7" i="4" l="1"/>
  <c r="AD55" i="3"/>
  <c r="L55" i="3"/>
  <c r="C7" i="4"/>
  <c r="F68" i="4"/>
  <c r="I18" i="5"/>
  <c r="AI67" i="4"/>
  <c r="Y67" i="4"/>
  <c r="T67" i="4"/>
  <c r="BH55" i="3"/>
  <c r="BK55" i="3" s="1"/>
  <c r="BF55" i="3"/>
  <c r="BP55" i="3" s="1"/>
  <c r="BG55" i="3"/>
  <c r="BC55" i="3"/>
  <c r="BO55" i="3" s="1"/>
  <c r="CX55" i="3"/>
  <c r="CF55" i="3"/>
  <c r="BD55" i="3" l="1"/>
  <c r="AB67" i="4"/>
  <c r="AC67" i="4" s="1"/>
  <c r="U67" i="4"/>
  <c r="AH67" i="4" s="1"/>
  <c r="I7" i="4"/>
  <c r="AG67" i="4"/>
  <c r="AG68" i="4" s="1"/>
  <c r="AG69" i="4" s="1"/>
  <c r="AG70" i="4" s="1"/>
  <c r="AG71" i="4" s="1"/>
  <c r="AG72" i="4" s="1"/>
  <c r="AG73" i="4" s="1"/>
  <c r="AG74" i="4" s="1"/>
  <c r="AG75" i="4" s="1"/>
  <c r="AG76" i="4" s="1"/>
  <c r="AG77" i="4" s="1"/>
  <c r="AG78" i="4" s="1"/>
  <c r="CH55" i="3"/>
  <c r="CI55" i="3"/>
  <c r="AP56" i="3"/>
  <c r="P6" i="3"/>
  <c r="Z67" i="4"/>
  <c r="J68" i="4"/>
  <c r="K68" i="4" s="1"/>
  <c r="G17" i="5"/>
  <c r="W6" i="3"/>
  <c r="BL55" i="3"/>
  <c r="BM55" i="3" s="1"/>
  <c r="BE55" i="3"/>
  <c r="BR55" i="3" s="1"/>
  <c r="N55" i="3"/>
  <c r="O55" i="3"/>
  <c r="BI55" i="3"/>
  <c r="BS55" i="3"/>
  <c r="L68" i="4" l="1"/>
  <c r="AD68" i="4"/>
  <c r="E18" i="5"/>
  <c r="E68" i="4"/>
  <c r="G68" i="4" s="1"/>
  <c r="I68" i="4" s="1"/>
  <c r="B7" i="4"/>
  <c r="D7" i="4" s="1"/>
  <c r="CK55" i="3"/>
  <c r="CL55" i="3" s="1"/>
  <c r="V6" i="3"/>
  <c r="BQ55" i="3"/>
  <c r="BQ56" i="3" s="1"/>
  <c r="BQ57" i="3" s="1"/>
  <c r="BQ58" i="3" s="1"/>
  <c r="BQ59" i="3" s="1"/>
  <c r="BQ60" i="3" s="1"/>
  <c r="BQ61" i="3" s="1"/>
  <c r="BQ62" i="3" s="1"/>
  <c r="BQ63" i="3" s="1"/>
  <c r="BQ64" i="3" s="1"/>
  <c r="BQ65" i="3" s="1"/>
  <c r="BQ66" i="3" s="1"/>
  <c r="M68" i="4"/>
  <c r="BJ55" i="3"/>
  <c r="Q55" i="3"/>
  <c r="R55" i="3" s="1"/>
  <c r="P68" i="4" l="1"/>
  <c r="Q68" i="4"/>
  <c r="R68" i="4" s="1"/>
  <c r="C17" i="5"/>
  <c r="AO56" i="3"/>
  <c r="AQ56" i="3" s="1"/>
  <c r="O6" i="3"/>
  <c r="Q6" i="3" s="1"/>
  <c r="CR55" i="3"/>
  <c r="CU55" i="3" s="1"/>
  <c r="CP55" i="3"/>
  <c r="CZ55" i="3" s="1"/>
  <c r="CQ55" i="3"/>
  <c r="CM55" i="3"/>
  <c r="CY55" i="3" s="1"/>
  <c r="X55" i="3"/>
  <c r="AA55" i="3" s="1"/>
  <c r="V55" i="3"/>
  <c r="AF55" i="3" s="1"/>
  <c r="W55" i="3"/>
  <c r="S55" i="3"/>
  <c r="AE55" i="3" s="1"/>
  <c r="T55" i="3" l="1"/>
  <c r="F56" i="3"/>
  <c r="C6" i="3"/>
  <c r="CS55" i="3"/>
  <c r="DC55" i="3"/>
  <c r="X68" i="4"/>
  <c r="AA68" i="4" s="1"/>
  <c r="F69" i="4" s="1"/>
  <c r="AB55" i="3"/>
  <c r="AC55" i="3" s="1"/>
  <c r="U55" i="3"/>
  <c r="AH55" i="3" s="1"/>
  <c r="BZ56" i="3"/>
  <c r="AC6" i="3"/>
  <c r="AR56" i="3"/>
  <c r="AS56" i="3" s="1"/>
  <c r="V68" i="4"/>
  <c r="AF68" i="4" s="1"/>
  <c r="S68" i="4"/>
  <c r="H17" i="5"/>
  <c r="AJ6" i="3"/>
  <c r="CN55" i="3"/>
  <c r="F17" i="5"/>
  <c r="W68" i="4"/>
  <c r="Y55" i="3"/>
  <c r="Z55" i="3" s="1"/>
  <c r="AI55" i="3"/>
  <c r="J6" i="3"/>
  <c r="B17" i="5" l="1"/>
  <c r="E56" i="3"/>
  <c r="G56" i="3" s="1"/>
  <c r="B6" i="3"/>
  <c r="D6" i="3" s="1"/>
  <c r="AE68" i="4"/>
  <c r="AT56" i="3"/>
  <c r="AW56" i="3" s="1"/>
  <c r="AZ56" i="3" s="1"/>
  <c r="AU56" i="3"/>
  <c r="AI68" i="4"/>
  <c r="Z68" i="4"/>
  <c r="E69" i="4" s="1"/>
  <c r="G69" i="4" s="1"/>
  <c r="I69" i="4" s="1"/>
  <c r="CV55" i="3"/>
  <c r="CW55" i="3" s="1"/>
  <c r="CO55" i="3"/>
  <c r="DB55" i="3" s="1"/>
  <c r="AG55" i="3"/>
  <c r="AG56" i="3" s="1"/>
  <c r="AG57" i="3" s="1"/>
  <c r="AG58" i="3" s="1"/>
  <c r="AG59" i="3" s="1"/>
  <c r="AG60" i="3" s="1"/>
  <c r="AG61" i="3" s="1"/>
  <c r="AG62" i="3" s="1"/>
  <c r="AG63" i="3" s="1"/>
  <c r="AG64" i="3" s="1"/>
  <c r="AG65" i="3" s="1"/>
  <c r="AG66" i="3" s="1"/>
  <c r="I6" i="3"/>
  <c r="J69" i="4"/>
  <c r="K69" i="4" s="1"/>
  <c r="T68" i="4"/>
  <c r="AI6" i="3"/>
  <c r="DA55" i="3"/>
  <c r="DA56" i="3" s="1"/>
  <c r="DA57" i="3" s="1"/>
  <c r="DA58" i="3" s="1"/>
  <c r="DA59" i="3" s="1"/>
  <c r="DA60" i="3" s="1"/>
  <c r="DA61" i="3" s="1"/>
  <c r="DA62" i="3" s="1"/>
  <c r="DA63" i="3" s="1"/>
  <c r="DA64" i="3" s="1"/>
  <c r="DA65" i="3" s="1"/>
  <c r="DA66" i="3" s="1"/>
  <c r="CT55" i="3"/>
  <c r="D17" i="5" l="1"/>
  <c r="BY56" i="3"/>
  <c r="CA56" i="3" s="1"/>
  <c r="AB6" i="3"/>
  <c r="AD6" i="3" s="1"/>
  <c r="BN56" i="3"/>
  <c r="AB68" i="4"/>
  <c r="U68" i="4"/>
  <c r="AH68" i="4" s="1"/>
  <c r="AV56" i="3"/>
  <c r="L69" i="4"/>
  <c r="AD69" i="4"/>
  <c r="M69" i="4"/>
  <c r="P69" i="4" s="1"/>
  <c r="H56" i="3"/>
  <c r="Q69" i="4" l="1"/>
  <c r="R69" i="4" s="1"/>
  <c r="CB56" i="3"/>
  <c r="AY56" i="3"/>
  <c r="AX56" i="3"/>
  <c r="AC68" i="4"/>
  <c r="J56" i="3"/>
  <c r="M56" i="3" s="1"/>
  <c r="I56" i="3"/>
  <c r="BA56" i="3" l="1"/>
  <c r="BB56" i="3" s="1"/>
  <c r="CD56" i="3"/>
  <c r="CG56" i="3" s="1"/>
  <c r="CE56" i="3"/>
  <c r="CC56" i="3"/>
  <c r="K56" i="3"/>
  <c r="X69" i="4"/>
  <c r="AA69" i="4" s="1"/>
  <c r="F70" i="4" s="1"/>
  <c r="W69" i="4"/>
  <c r="V69" i="4"/>
  <c r="AF69" i="4" s="1"/>
  <c r="P56" i="3"/>
  <c r="S69" i="4"/>
  <c r="T69" i="4" s="1"/>
  <c r="AB69" i="4" l="1"/>
  <c r="U69" i="4"/>
  <c r="AH69" i="4" s="1"/>
  <c r="CX56" i="3"/>
  <c r="AI69" i="4"/>
  <c r="Z69" i="4"/>
  <c r="E70" i="4" s="1"/>
  <c r="G70" i="4" s="1"/>
  <c r="I70" i="4" s="1"/>
  <c r="CF56" i="3"/>
  <c r="J70" i="4"/>
  <c r="K70" i="4" s="1"/>
  <c r="AD56" i="3"/>
  <c r="L56" i="3"/>
  <c r="CJ56" i="3"/>
  <c r="BH56" i="3"/>
  <c r="BK56" i="3" s="1"/>
  <c r="AP57" i="3" s="1"/>
  <c r="BG56" i="3"/>
  <c r="BF56" i="3"/>
  <c r="BP56" i="3" s="1"/>
  <c r="BC56" i="3"/>
  <c r="AE69" i="4"/>
  <c r="M70" i="4" l="1"/>
  <c r="P70" i="4"/>
  <c r="Q70" i="4" s="1"/>
  <c r="R70" i="4" s="1"/>
  <c r="N56" i="3"/>
  <c r="O56" i="3"/>
  <c r="BO56" i="3"/>
  <c r="BS56" i="3"/>
  <c r="BJ56" i="3"/>
  <c r="AO57" i="3" s="1"/>
  <c r="AQ57" i="3" s="1"/>
  <c r="BD56" i="3"/>
  <c r="AC69" i="4"/>
  <c r="L70" i="4"/>
  <c r="AD70" i="4"/>
  <c r="CH56" i="3"/>
  <c r="CI56" i="3"/>
  <c r="Q56" i="3" l="1"/>
  <c r="R56" i="3" s="1"/>
  <c r="X70" i="4"/>
  <c r="AA70" i="4" s="1"/>
  <c r="F71" i="4" s="1"/>
  <c r="CK56" i="3"/>
  <c r="CL56" i="3" s="1"/>
  <c r="V70" i="4"/>
  <c r="AF70" i="4" s="1"/>
  <c r="W70" i="4"/>
  <c r="S70" i="4"/>
  <c r="BL56" i="3"/>
  <c r="BE56" i="3"/>
  <c r="BR56" i="3" s="1"/>
  <c r="AR57" i="3"/>
  <c r="BM56" i="3" l="1"/>
  <c r="AT57" i="3"/>
  <c r="AW57" i="3" s="1"/>
  <c r="AU57" i="3"/>
  <c r="AS57" i="3"/>
  <c r="AE70" i="4"/>
  <c r="J71" i="4"/>
  <c r="K71" i="4" s="1"/>
  <c r="Z70" i="4"/>
  <c r="E71" i="4" s="1"/>
  <c r="G71" i="4" s="1"/>
  <c r="I71" i="4" s="1"/>
  <c r="AI70" i="4"/>
  <c r="CR56" i="3"/>
  <c r="CU56" i="3" s="1"/>
  <c r="BZ57" i="3" s="1"/>
  <c r="CQ56" i="3"/>
  <c r="CP56" i="3"/>
  <c r="CZ56" i="3" s="1"/>
  <c r="CM56" i="3"/>
  <c r="CN56" i="3" s="1"/>
  <c r="T70" i="4"/>
  <c r="X56" i="3"/>
  <c r="AA56" i="3" s="1"/>
  <c r="F57" i="3" s="1"/>
  <c r="W56" i="3"/>
  <c r="V56" i="3"/>
  <c r="AF56" i="3" s="1"/>
  <c r="S56" i="3"/>
  <c r="L71" i="4" l="1"/>
  <c r="AD71" i="4"/>
  <c r="Z56" i="3"/>
  <c r="E57" i="3" s="1"/>
  <c r="G57" i="3" s="1"/>
  <c r="AI56" i="3"/>
  <c r="BN57" i="3"/>
  <c r="CV56" i="3"/>
  <c r="CO56" i="3"/>
  <c r="DB56" i="3" s="1"/>
  <c r="AE56" i="3"/>
  <c r="AB70" i="4"/>
  <c r="U70" i="4"/>
  <c r="AH70" i="4" s="1"/>
  <c r="AV57" i="3"/>
  <c r="M71" i="4"/>
  <c r="P71" i="4" s="1"/>
  <c r="AZ57" i="3"/>
  <c r="T56" i="3"/>
  <c r="DC56" i="3"/>
  <c r="CT56" i="3"/>
  <c r="BY57" i="3" s="1"/>
  <c r="CA57" i="3" s="1"/>
  <c r="CY56" i="3"/>
  <c r="Q71" i="4" l="1"/>
  <c r="R71" i="4" s="1"/>
  <c r="AX57" i="3"/>
  <c r="AY57" i="3"/>
  <c r="AB56" i="3"/>
  <c r="U56" i="3"/>
  <c r="AH56" i="3" s="1"/>
  <c r="AC70" i="4"/>
  <c r="CW56" i="3"/>
  <c r="CB57" i="3"/>
  <c r="H57" i="3"/>
  <c r="AC56" i="3" l="1"/>
  <c r="BA57" i="3"/>
  <c r="BB57" i="3" s="1"/>
  <c r="X71" i="4"/>
  <c r="AA71" i="4" s="1"/>
  <c r="F72" i="4" s="1"/>
  <c r="W71" i="4"/>
  <c r="V71" i="4"/>
  <c r="AF71" i="4" s="1"/>
  <c r="J57" i="3"/>
  <c r="M57" i="3" s="1"/>
  <c r="I57" i="3"/>
  <c r="CD57" i="3"/>
  <c r="CG57" i="3" s="1"/>
  <c r="CC57" i="3"/>
  <c r="S71" i="4"/>
  <c r="T71" i="4" s="1"/>
  <c r="K57" i="3" l="1"/>
  <c r="AD57" i="3"/>
  <c r="J72" i="4"/>
  <c r="K72" i="4" s="1"/>
  <c r="CJ57" i="3"/>
  <c r="BH57" i="3"/>
  <c r="BK57" i="3" s="1"/>
  <c r="AP58" i="3" s="1"/>
  <c r="BG57" i="3"/>
  <c r="BF57" i="3"/>
  <c r="BP57" i="3" s="1"/>
  <c r="BC57" i="3"/>
  <c r="BD57" i="3" s="1"/>
  <c r="P57" i="3"/>
  <c r="L57" i="3"/>
  <c r="AI71" i="4"/>
  <c r="Z71" i="4"/>
  <c r="E72" i="4" s="1"/>
  <c r="G72" i="4" s="1"/>
  <c r="I72" i="4" s="1"/>
  <c r="AB71" i="4"/>
  <c r="U71" i="4"/>
  <c r="AH71" i="4" s="1"/>
  <c r="AE71" i="4"/>
  <c r="CE57" i="3"/>
  <c r="BL57" i="3" l="1"/>
  <c r="BE57" i="3"/>
  <c r="BR57" i="3" s="1"/>
  <c r="AC71" i="4"/>
  <c r="BO57" i="3"/>
  <c r="BJ57" i="3"/>
  <c r="AO58" i="3" s="1"/>
  <c r="AQ58" i="3" s="1"/>
  <c r="BS57" i="3"/>
  <c r="CX57" i="3"/>
  <c r="CF57" i="3"/>
  <c r="L72" i="4"/>
  <c r="AD72" i="4"/>
  <c r="M72" i="4"/>
  <c r="P72" i="4" s="1"/>
  <c r="N57" i="3"/>
  <c r="O57" i="3"/>
  <c r="Q72" i="4" l="1"/>
  <c r="R72" i="4" s="1"/>
  <c r="CH57" i="3"/>
  <c r="CI57" i="3"/>
  <c r="Q57" i="3"/>
  <c r="R57" i="3" s="1"/>
  <c r="AR58" i="3"/>
  <c r="BM57" i="3"/>
  <c r="AT58" i="3" l="1"/>
  <c r="AW58" i="3" s="1"/>
  <c r="AU58" i="3"/>
  <c r="AS58" i="3"/>
  <c r="X57" i="3"/>
  <c r="AA57" i="3" s="1"/>
  <c r="F58" i="3" s="1"/>
  <c r="V57" i="3"/>
  <c r="AF57" i="3" s="1"/>
  <c r="W57" i="3"/>
  <c r="S57" i="3"/>
  <c r="T57" i="3" s="1"/>
  <c r="CK57" i="3"/>
  <c r="CL57" i="3" s="1"/>
  <c r="X72" i="4"/>
  <c r="AA72" i="4" s="1"/>
  <c r="F73" i="4" s="1"/>
  <c r="W72" i="4"/>
  <c r="V72" i="4"/>
  <c r="AF72" i="4" s="1"/>
  <c r="S72" i="4"/>
  <c r="AE72" i="4" s="1"/>
  <c r="T72" i="4" l="1"/>
  <c r="AB57" i="3"/>
  <c r="U57" i="3"/>
  <c r="AH57" i="3" s="1"/>
  <c r="Z72" i="4"/>
  <c r="E73" i="4" s="1"/>
  <c r="G73" i="4" s="1"/>
  <c r="I73" i="4" s="1"/>
  <c r="AI72" i="4"/>
  <c r="AB72" i="4"/>
  <c r="AC72" i="4" s="1"/>
  <c r="U72" i="4"/>
  <c r="AH72" i="4" s="1"/>
  <c r="AI57" i="3"/>
  <c r="Z57" i="3"/>
  <c r="E58" i="3" s="1"/>
  <c r="G58" i="3" s="1"/>
  <c r="AZ58" i="3"/>
  <c r="CR57" i="3"/>
  <c r="CU57" i="3" s="1"/>
  <c r="BZ58" i="3" s="1"/>
  <c r="CQ57" i="3"/>
  <c r="CP57" i="3"/>
  <c r="CZ57" i="3" s="1"/>
  <c r="CM57" i="3"/>
  <c r="CN57" i="3" s="1"/>
  <c r="J73" i="4"/>
  <c r="K73" i="4" s="1"/>
  <c r="AE57" i="3"/>
  <c r="BN58" i="3"/>
  <c r="AV58" i="3"/>
  <c r="CV57" i="3" l="1"/>
  <c r="CO57" i="3"/>
  <c r="DB57" i="3" s="1"/>
  <c r="AX58" i="3"/>
  <c r="AY58" i="3"/>
  <c r="H58" i="3"/>
  <c r="I58" i="3" s="1"/>
  <c r="L73" i="4"/>
  <c r="AD73" i="4"/>
  <c r="CT57" i="3"/>
  <c r="BY58" i="3" s="1"/>
  <c r="CA58" i="3" s="1"/>
  <c r="DC57" i="3"/>
  <c r="M73" i="4"/>
  <c r="P73" i="4"/>
  <c r="Q73" i="4"/>
  <c r="R73" i="4" s="1"/>
  <c r="W73" i="4" s="1"/>
  <c r="CY57" i="3"/>
  <c r="AC57" i="3"/>
  <c r="Z73" i="4" l="1"/>
  <c r="E74" i="4" s="1"/>
  <c r="G74" i="4" s="1"/>
  <c r="I74" i="4" s="1"/>
  <c r="AI73" i="4"/>
  <c r="CB58" i="3"/>
  <c r="CC58" i="3" s="1"/>
  <c r="S73" i="4"/>
  <c r="AE73" i="4" s="1"/>
  <c r="X73" i="4"/>
  <c r="AA73" i="4" s="1"/>
  <c r="F74" i="4" s="1"/>
  <c r="V73" i="4"/>
  <c r="AF73" i="4" s="1"/>
  <c r="BA58" i="3"/>
  <c r="BB58" i="3" s="1"/>
  <c r="J58" i="3"/>
  <c r="M58" i="3" s="1"/>
  <c r="P58" i="3" s="1"/>
  <c r="CW57" i="3"/>
  <c r="BH58" i="3" l="1"/>
  <c r="BK58" i="3" s="1"/>
  <c r="AP59" i="3" s="1"/>
  <c r="BF58" i="3"/>
  <c r="BP58" i="3" s="1"/>
  <c r="BG58" i="3"/>
  <c r="BC58" i="3"/>
  <c r="T73" i="4"/>
  <c r="J74" i="4"/>
  <c r="K74" i="4" s="1"/>
  <c r="CD58" i="3"/>
  <c r="CG58" i="3" s="1"/>
  <c r="CJ58" i="3" s="1"/>
  <c r="K58" i="3"/>
  <c r="CE58" i="3" l="1"/>
  <c r="CF58" i="3" s="1"/>
  <c r="BO58" i="3"/>
  <c r="L74" i="4"/>
  <c r="AD74" i="4"/>
  <c r="M74" i="4"/>
  <c r="P74" i="4" s="1"/>
  <c r="AD58" i="3"/>
  <c r="L58" i="3"/>
  <c r="BD58" i="3"/>
  <c r="CX58" i="3"/>
  <c r="CH58" i="3"/>
  <c r="CI58" i="3"/>
  <c r="AB73" i="4"/>
  <c r="AC73" i="4" s="1"/>
  <c r="U73" i="4"/>
  <c r="AH73" i="4" s="1"/>
  <c r="BJ58" i="3"/>
  <c r="AO59" i="3" s="1"/>
  <c r="AQ59" i="3" s="1"/>
  <c r="BS58" i="3"/>
  <c r="N58" i="3" l="1"/>
  <c r="O58" i="3"/>
  <c r="CK58" i="3"/>
  <c r="CL58" i="3" s="1"/>
  <c r="BL58" i="3"/>
  <c r="BE58" i="3"/>
  <c r="BR58" i="3" s="1"/>
  <c r="Q74" i="4"/>
  <c r="R74" i="4" s="1"/>
  <c r="S74" i="4" s="1"/>
  <c r="AE74" i="4" s="1"/>
  <c r="AR59" i="3"/>
  <c r="AT59" i="3" l="1"/>
  <c r="AW59" i="3" s="1"/>
  <c r="AU59" i="3"/>
  <c r="AV59" i="3" s="1"/>
  <c r="AS59" i="3"/>
  <c r="CR58" i="3"/>
  <c r="CU58" i="3" s="1"/>
  <c r="BZ59" i="3" s="1"/>
  <c r="CQ58" i="3"/>
  <c r="CP58" i="3"/>
  <c r="CZ58" i="3" s="1"/>
  <c r="CM58" i="3"/>
  <c r="BM58" i="3"/>
  <c r="X74" i="4"/>
  <c r="AA74" i="4" s="1"/>
  <c r="F75" i="4" s="1"/>
  <c r="T74" i="4"/>
  <c r="V74" i="4"/>
  <c r="AF74" i="4" s="1"/>
  <c r="W74" i="4"/>
  <c r="Q58" i="3"/>
  <c r="R58" i="3" s="1"/>
  <c r="AX59" i="3" l="1"/>
  <c r="AY59" i="3"/>
  <c r="CT58" i="3"/>
  <c r="BY59" i="3" s="1"/>
  <c r="CA59" i="3" s="1"/>
  <c r="DC58" i="3"/>
  <c r="AB74" i="4"/>
  <c r="AC74" i="4" s="1"/>
  <c r="U74" i="4"/>
  <c r="AH74" i="4" s="1"/>
  <c r="AZ59" i="3"/>
  <c r="J75" i="4"/>
  <c r="K75" i="4" s="1"/>
  <c r="CY58" i="3"/>
  <c r="CN58" i="3"/>
  <c r="X58" i="3"/>
  <c r="AA58" i="3" s="1"/>
  <c r="F59" i="3" s="1"/>
  <c r="W58" i="3"/>
  <c r="V58" i="3"/>
  <c r="AF58" i="3" s="1"/>
  <c r="S58" i="3"/>
  <c r="BN59" i="3"/>
  <c r="AI74" i="4"/>
  <c r="Z74" i="4"/>
  <c r="E75" i="4" s="1"/>
  <c r="G75" i="4" s="1"/>
  <c r="I75" i="4" s="1"/>
  <c r="BA59" i="3" l="1"/>
  <c r="BB59" i="3" s="1"/>
  <c r="BC59" i="3" s="1"/>
  <c r="M75" i="4"/>
  <c r="P75" i="4" s="1"/>
  <c r="AE58" i="3"/>
  <c r="CB59" i="3"/>
  <c r="CC59" i="3" s="1"/>
  <c r="Z58" i="3"/>
  <c r="E59" i="3" s="1"/>
  <c r="G59" i="3" s="1"/>
  <c r="AI58" i="3"/>
  <c r="T58" i="3"/>
  <c r="L75" i="4"/>
  <c r="AD75" i="4"/>
  <c r="CV58" i="3"/>
  <c r="CO58" i="3"/>
  <c r="DB58" i="3" s="1"/>
  <c r="Q75" i="4" l="1"/>
  <c r="R75" i="4" s="1"/>
  <c r="BO59" i="3"/>
  <c r="CW58" i="3"/>
  <c r="BD59" i="3"/>
  <c r="BH59" i="3"/>
  <c r="BK59" i="3" s="1"/>
  <c r="AP60" i="3" s="1"/>
  <c r="BF59" i="3"/>
  <c r="BP59" i="3" s="1"/>
  <c r="BG59" i="3"/>
  <c r="AB58" i="3"/>
  <c r="U58" i="3"/>
  <c r="AH58" i="3" s="1"/>
  <c r="H59" i="3"/>
  <c r="CD59" i="3"/>
  <c r="CG59" i="3" s="1"/>
  <c r="CJ59" i="3" s="1"/>
  <c r="J59" i="3" l="1"/>
  <c r="M59" i="3" s="1"/>
  <c r="BL59" i="3"/>
  <c r="BE59" i="3"/>
  <c r="BR59" i="3" s="1"/>
  <c r="X75" i="4"/>
  <c r="AA75" i="4" s="1"/>
  <c r="F76" i="4" s="1"/>
  <c r="V75" i="4"/>
  <c r="AF75" i="4" s="1"/>
  <c r="W75" i="4"/>
  <c r="BS59" i="3"/>
  <c r="BJ59" i="3"/>
  <c r="AO60" i="3" s="1"/>
  <c r="AQ60" i="3" s="1"/>
  <c r="CE59" i="3"/>
  <c r="I59" i="3"/>
  <c r="AC58" i="3"/>
  <c r="S75" i="4"/>
  <c r="AE75" i="4" s="1"/>
  <c r="K59" i="3" l="1"/>
  <c r="T75" i="4"/>
  <c r="AI75" i="4"/>
  <c r="Z75" i="4"/>
  <c r="E76" i="4" s="1"/>
  <c r="G76" i="4" s="1"/>
  <c r="I76" i="4" s="1"/>
  <c r="BM59" i="3"/>
  <c r="AB75" i="4"/>
  <c r="AC75" i="4" s="1"/>
  <c r="U75" i="4"/>
  <c r="AH75" i="4" s="1"/>
  <c r="AD59" i="3"/>
  <c r="J76" i="4"/>
  <c r="K76" i="4" s="1"/>
  <c r="P59" i="3"/>
  <c r="L59" i="3"/>
  <c r="CX59" i="3"/>
  <c r="CF59" i="3"/>
  <c r="AR60" i="3"/>
  <c r="L76" i="4" l="1"/>
  <c r="AD76" i="4"/>
  <c r="M76" i="4"/>
  <c r="AT60" i="3"/>
  <c r="AW60" i="3" s="1"/>
  <c r="AU60" i="3"/>
  <c r="AV60" i="3" s="1"/>
  <c r="P76" i="4"/>
  <c r="AS60" i="3"/>
  <c r="CH59" i="3"/>
  <c r="CI59" i="3"/>
  <c r="O59" i="3"/>
  <c r="N59" i="3"/>
  <c r="AX60" i="3" l="1"/>
  <c r="AY60" i="3"/>
  <c r="Q59" i="3"/>
  <c r="R59" i="3" s="1"/>
  <c r="Q76" i="4"/>
  <c r="R76" i="4" s="1"/>
  <c r="BN60" i="3"/>
  <c r="CK59" i="3"/>
  <c r="CL59" i="3" s="1"/>
  <c r="AZ60" i="3"/>
  <c r="CR59" i="3" l="1"/>
  <c r="CU59" i="3" s="1"/>
  <c r="BZ60" i="3" s="1"/>
  <c r="CQ59" i="3"/>
  <c r="CP59" i="3"/>
  <c r="CZ59" i="3" s="1"/>
  <c r="CM59" i="3"/>
  <c r="X59" i="3"/>
  <c r="AA59" i="3" s="1"/>
  <c r="F60" i="3" s="1"/>
  <c r="V59" i="3"/>
  <c r="AF59" i="3" s="1"/>
  <c r="W59" i="3"/>
  <c r="S59" i="3"/>
  <c r="X76" i="4"/>
  <c r="AA76" i="4" s="1"/>
  <c r="F77" i="4" s="1"/>
  <c r="W76" i="4"/>
  <c r="V76" i="4"/>
  <c r="AF76" i="4" s="1"/>
  <c r="S76" i="4"/>
  <c r="AE76" i="4" s="1"/>
  <c r="BA60" i="3"/>
  <c r="BB60" i="3" s="1"/>
  <c r="BC60" i="3" s="1"/>
  <c r="T76" i="4" l="1"/>
  <c r="AI76" i="4"/>
  <c r="Z76" i="4"/>
  <c r="E77" i="4" s="1"/>
  <c r="G77" i="4" s="1"/>
  <c r="I77" i="4" s="1"/>
  <c r="AI59" i="3"/>
  <c r="Z59" i="3"/>
  <c r="E60" i="3" s="1"/>
  <c r="G60" i="3" s="1"/>
  <c r="J77" i="4"/>
  <c r="K77" i="4" s="1"/>
  <c r="CY59" i="3"/>
  <c r="BO60" i="3"/>
  <c r="AB76" i="4"/>
  <c r="AC76" i="4" s="1"/>
  <c r="U76" i="4"/>
  <c r="AH76" i="4" s="1"/>
  <c r="AE59" i="3"/>
  <c r="T59" i="3"/>
  <c r="BH60" i="3"/>
  <c r="BK60" i="3" s="1"/>
  <c r="AP61" i="3" s="1"/>
  <c r="BD60" i="3"/>
  <c r="BG60" i="3"/>
  <c r="BF60" i="3"/>
  <c r="BP60" i="3" s="1"/>
  <c r="DC59" i="3"/>
  <c r="CT59" i="3"/>
  <c r="BY60" i="3" s="1"/>
  <c r="CA60" i="3" s="1"/>
  <c r="CN59" i="3"/>
  <c r="CV59" i="3" l="1"/>
  <c r="CO59" i="3"/>
  <c r="DB59" i="3" s="1"/>
  <c r="BJ60" i="3"/>
  <c r="AO61" i="3" s="1"/>
  <c r="AQ61" i="3" s="1"/>
  <c r="BS60" i="3"/>
  <c r="BL60" i="3"/>
  <c r="BM60" i="3" s="1"/>
  <c r="BE60" i="3"/>
  <c r="BR60" i="3" s="1"/>
  <c r="L77" i="4"/>
  <c r="AD77" i="4"/>
  <c r="H60" i="3"/>
  <c r="M77" i="4"/>
  <c r="P77" i="4" s="1"/>
  <c r="AB59" i="3"/>
  <c r="U59" i="3"/>
  <c r="AH59" i="3" s="1"/>
  <c r="CB60" i="3"/>
  <c r="Q77" i="4" l="1"/>
  <c r="R77" i="4" s="1"/>
  <c r="J60" i="3"/>
  <c r="M60" i="3" s="1"/>
  <c r="AC59" i="3"/>
  <c r="CD60" i="3"/>
  <c r="CG60" i="3" s="1"/>
  <c r="CC60" i="3"/>
  <c r="AR61" i="3"/>
  <c r="I60" i="3"/>
  <c r="CW59" i="3"/>
  <c r="CJ60" i="3" l="1"/>
  <c r="AT61" i="3"/>
  <c r="AW61" i="3" s="1"/>
  <c r="CE60" i="3"/>
  <c r="X77" i="4"/>
  <c r="AA77" i="4" s="1"/>
  <c r="F78" i="4" s="1"/>
  <c r="W77" i="4"/>
  <c r="V77" i="4"/>
  <c r="AF77" i="4" s="1"/>
  <c r="AS61" i="3"/>
  <c r="K60" i="3"/>
  <c r="P60" i="3"/>
  <c r="S77" i="4"/>
  <c r="AE77" i="4" s="1"/>
  <c r="T77" i="4" l="1"/>
  <c r="AZ61" i="3"/>
  <c r="AD60" i="3"/>
  <c r="L60" i="3"/>
  <c r="AI77" i="4"/>
  <c r="Z77" i="4"/>
  <c r="E78" i="4" s="1"/>
  <c r="G78" i="4" s="1"/>
  <c r="I78" i="4" s="1"/>
  <c r="AB77" i="4"/>
  <c r="AC77" i="4" s="1"/>
  <c r="U77" i="4"/>
  <c r="AH77" i="4" s="1"/>
  <c r="CX60" i="3"/>
  <c r="CF60" i="3"/>
  <c r="J78" i="4"/>
  <c r="K78" i="4" s="1"/>
  <c r="AU61" i="3"/>
  <c r="CH60" i="3" l="1"/>
  <c r="CI60" i="3"/>
  <c r="N60" i="3"/>
  <c r="O60" i="3"/>
  <c r="L78" i="4"/>
  <c r="AD78" i="4"/>
  <c r="M78" i="4"/>
  <c r="P78" i="4"/>
  <c r="BN61" i="3"/>
  <c r="AV61" i="3"/>
  <c r="Q78" i="4" l="1"/>
  <c r="R78" i="4" s="1"/>
  <c r="Q60" i="3"/>
  <c r="R60" i="3" s="1"/>
  <c r="AX61" i="3"/>
  <c r="AY61" i="3"/>
  <c r="CK60" i="3"/>
  <c r="CL60" i="3" s="1"/>
  <c r="CR60" i="3" l="1"/>
  <c r="CU60" i="3" s="1"/>
  <c r="BZ61" i="3" s="1"/>
  <c r="CQ60" i="3"/>
  <c r="CP60" i="3"/>
  <c r="CZ60" i="3" s="1"/>
  <c r="CM60" i="3"/>
  <c r="CY60" i="3" s="1"/>
  <c r="BA61" i="3"/>
  <c r="BB61" i="3" s="1"/>
  <c r="X60" i="3"/>
  <c r="AA60" i="3" s="1"/>
  <c r="F61" i="3" s="1"/>
  <c r="W60" i="3"/>
  <c r="V60" i="3"/>
  <c r="AF60" i="3" s="1"/>
  <c r="S60" i="3"/>
  <c r="AE60" i="3" s="1"/>
  <c r="X78" i="4"/>
  <c r="AA78" i="4" s="1"/>
  <c r="F79" i="4" s="1"/>
  <c r="V78" i="4"/>
  <c r="AF78" i="4" s="1"/>
  <c r="W78" i="4"/>
  <c r="S78" i="4"/>
  <c r="AE78" i="4" s="1"/>
  <c r="T78" i="4" l="1"/>
  <c r="AI78" i="4"/>
  <c r="Z78" i="4"/>
  <c r="E79" i="4" s="1"/>
  <c r="G79" i="4" s="1"/>
  <c r="I79" i="4" s="1"/>
  <c r="J79" i="4"/>
  <c r="K79" i="4" s="1"/>
  <c r="CT60" i="3"/>
  <c r="BY61" i="3" s="1"/>
  <c r="CA61" i="3" s="1"/>
  <c r="DC60" i="3"/>
  <c r="CN60" i="3"/>
  <c r="AB78" i="4"/>
  <c r="AC78" i="4" s="1"/>
  <c r="U78" i="4"/>
  <c r="AH78" i="4" s="1"/>
  <c r="Z60" i="3"/>
  <c r="E61" i="3" s="1"/>
  <c r="G61" i="3" s="1"/>
  <c r="AI60" i="3"/>
  <c r="T60" i="3"/>
  <c r="BH61" i="3"/>
  <c r="BK61" i="3" s="1"/>
  <c r="AP62" i="3" s="1"/>
  <c r="BG61" i="3"/>
  <c r="BF61" i="3"/>
  <c r="BP61" i="3" s="1"/>
  <c r="BC61" i="3"/>
  <c r="BO61" i="3" s="1"/>
  <c r="CV60" i="3" l="1"/>
  <c r="CW60" i="3" s="1"/>
  <c r="CO60" i="3"/>
  <c r="DB60" i="3" s="1"/>
  <c r="L79" i="4"/>
  <c r="AD79" i="4"/>
  <c r="M79" i="4"/>
  <c r="BD61" i="3"/>
  <c r="H61" i="3"/>
  <c r="CB61" i="3"/>
  <c r="CC61" i="3" s="1"/>
  <c r="P79" i="4"/>
  <c r="Q79" i="4" s="1"/>
  <c r="R79" i="4" s="1"/>
  <c r="BJ61" i="3"/>
  <c r="AO62" i="3" s="1"/>
  <c r="AQ62" i="3" s="1"/>
  <c r="BS61" i="3"/>
  <c r="AB60" i="3"/>
  <c r="AC60" i="3" s="1"/>
  <c r="U60" i="3"/>
  <c r="AH60" i="3" s="1"/>
  <c r="S79" i="4" l="1"/>
  <c r="AE79" i="4" s="1"/>
  <c r="X79" i="4"/>
  <c r="AA79" i="4" s="1"/>
  <c r="T79" i="4"/>
  <c r="J61" i="3"/>
  <c r="M61" i="3" s="1"/>
  <c r="I61" i="3"/>
  <c r="V79" i="4"/>
  <c r="AF79" i="4" s="1"/>
  <c r="W79" i="4"/>
  <c r="BL61" i="3"/>
  <c r="BM61" i="3" s="1"/>
  <c r="BE61" i="3"/>
  <c r="BR61" i="3" s="1"/>
  <c r="I19" i="5"/>
  <c r="CD61" i="3"/>
  <c r="CG61" i="3" s="1"/>
  <c r="CJ61" i="3" s="1"/>
  <c r="AR62" i="3"/>
  <c r="CE61" i="3" l="1"/>
  <c r="CX61" i="3" s="1"/>
  <c r="AI79" i="4"/>
  <c r="Y79" i="4"/>
  <c r="J8" i="4"/>
  <c r="K61" i="3"/>
  <c r="P61" i="3"/>
  <c r="AT62" i="3"/>
  <c r="AW62" i="3" s="1"/>
  <c r="AS62" i="3"/>
  <c r="AB79" i="4"/>
  <c r="AC79" i="4" s="1"/>
  <c r="U79" i="4"/>
  <c r="AH79" i="4" s="1"/>
  <c r="F80" i="4"/>
  <c r="C8" i="4"/>
  <c r="CF61" i="3"/>
  <c r="AU62" i="3" l="1"/>
  <c r="J80" i="4"/>
  <c r="K80" i="4" s="1"/>
  <c r="AD61" i="3"/>
  <c r="L61" i="3"/>
  <c r="CH61" i="3"/>
  <c r="CI61" i="3"/>
  <c r="I8" i="4"/>
  <c r="AG79" i="4"/>
  <c r="AG80" i="4" s="1"/>
  <c r="AG81" i="4" s="1"/>
  <c r="AG82" i="4" s="1"/>
  <c r="AG83" i="4" s="1"/>
  <c r="AG84" i="4" s="1"/>
  <c r="AG85" i="4" s="1"/>
  <c r="AG86" i="4" s="1"/>
  <c r="AG87" i="4" s="1"/>
  <c r="AG88" i="4" s="1"/>
  <c r="AG89" i="4" s="1"/>
  <c r="AG90" i="4" s="1"/>
  <c r="Z79" i="4"/>
  <c r="AZ62" i="3"/>
  <c r="E19" i="5" l="1"/>
  <c r="E80" i="4"/>
  <c r="G80" i="4" s="1"/>
  <c r="I80" i="4" s="1"/>
  <c r="B8" i="4"/>
  <c r="D8" i="4" s="1"/>
  <c r="CK61" i="3"/>
  <c r="CL61" i="3" s="1"/>
  <c r="O61" i="3"/>
  <c r="N61" i="3"/>
  <c r="L80" i="4"/>
  <c r="AD80" i="4"/>
  <c r="M80" i="4"/>
  <c r="BN62" i="3"/>
  <c r="AV62" i="3"/>
  <c r="Q61" i="3" l="1"/>
  <c r="R61" i="3" s="1"/>
  <c r="CR61" i="3"/>
  <c r="CU61" i="3" s="1"/>
  <c r="BZ62" i="3" s="1"/>
  <c r="CQ61" i="3"/>
  <c r="CP61" i="3"/>
  <c r="CZ61" i="3" s="1"/>
  <c r="CM61" i="3"/>
  <c r="CY61" i="3" s="1"/>
  <c r="P80" i="4"/>
  <c r="Q80" i="4"/>
  <c r="R80" i="4" s="1"/>
  <c r="AX62" i="3"/>
  <c r="AY62" i="3"/>
  <c r="X80" i="4" l="1"/>
  <c r="AA80" i="4" s="1"/>
  <c r="F81" i="4" s="1"/>
  <c r="S80" i="4"/>
  <c r="DC61" i="3"/>
  <c r="CT61" i="3"/>
  <c r="BY62" i="3" s="1"/>
  <c r="CA62" i="3" s="1"/>
  <c r="X61" i="3"/>
  <c r="AA61" i="3" s="1"/>
  <c r="F62" i="3" s="1"/>
  <c r="W61" i="3"/>
  <c r="V61" i="3"/>
  <c r="AF61" i="3" s="1"/>
  <c r="S61" i="3"/>
  <c r="AE61" i="3" s="1"/>
  <c r="W80" i="4"/>
  <c r="V80" i="4"/>
  <c r="AF80" i="4" s="1"/>
  <c r="CN61" i="3"/>
  <c r="BA62" i="3"/>
  <c r="BB62" i="3" s="1"/>
  <c r="CB62" i="3" l="1"/>
  <c r="CV61" i="3"/>
  <c r="CW61" i="3" s="1"/>
  <c r="CO61" i="3"/>
  <c r="DB61" i="3" s="1"/>
  <c r="Z80" i="4"/>
  <c r="E81" i="4" s="1"/>
  <c r="G81" i="4" s="1"/>
  <c r="I81" i="4" s="1"/>
  <c r="AI80" i="4"/>
  <c r="Z61" i="3"/>
  <c r="E62" i="3" s="1"/>
  <c r="G62" i="3" s="1"/>
  <c r="AI61" i="3"/>
  <c r="T61" i="3"/>
  <c r="J81" i="4"/>
  <c r="K81" i="4" s="1"/>
  <c r="AE80" i="4"/>
  <c r="BH62" i="3"/>
  <c r="BK62" i="3" s="1"/>
  <c r="AP63" i="3" s="1"/>
  <c r="BG62" i="3"/>
  <c r="BF62" i="3"/>
  <c r="BP62" i="3" s="1"/>
  <c r="BC62" i="3"/>
  <c r="BO62" i="3" s="1"/>
  <c r="T80" i="4"/>
  <c r="AB80" i="4" l="1"/>
  <c r="U80" i="4"/>
  <c r="AH80" i="4" s="1"/>
  <c r="AB61" i="3"/>
  <c r="AC61" i="3" s="1"/>
  <c r="U61" i="3"/>
  <c r="AH61" i="3" s="1"/>
  <c r="BS62" i="3"/>
  <c r="BJ62" i="3"/>
  <c r="AO63" i="3" s="1"/>
  <c r="AQ63" i="3" s="1"/>
  <c r="M81" i="4"/>
  <c r="P81" i="4" s="1"/>
  <c r="L81" i="4"/>
  <c r="AD81" i="4"/>
  <c r="H62" i="3"/>
  <c r="I62" i="3" s="1"/>
  <c r="CD62" i="3"/>
  <c r="CG62" i="3" s="1"/>
  <c r="BD62" i="3"/>
  <c r="CC62" i="3"/>
  <c r="Q81" i="4" l="1"/>
  <c r="R81" i="4" s="1"/>
  <c r="CE62" i="3"/>
  <c r="AR63" i="3"/>
  <c r="CJ62" i="3"/>
  <c r="BL62" i="3"/>
  <c r="BM62" i="3" s="1"/>
  <c r="BE62" i="3"/>
  <c r="BR62" i="3" s="1"/>
  <c r="J62" i="3"/>
  <c r="M62" i="3" s="1"/>
  <c r="P62" i="3" s="1"/>
  <c r="K62" i="3"/>
  <c r="AD62" i="3" s="1"/>
  <c r="AC80" i="4"/>
  <c r="AT63" i="3" l="1"/>
  <c r="AW63" i="3" s="1"/>
  <c r="AS63" i="3"/>
  <c r="CX62" i="3"/>
  <c r="CF62" i="3"/>
  <c r="L62" i="3"/>
  <c r="X81" i="4"/>
  <c r="AA81" i="4" s="1"/>
  <c r="F82" i="4" s="1"/>
  <c r="V81" i="4"/>
  <c r="AF81" i="4" s="1"/>
  <c r="W81" i="4"/>
  <c r="S81" i="4"/>
  <c r="T81" i="4" s="1"/>
  <c r="CH62" i="3" l="1"/>
  <c r="CI62" i="3"/>
  <c r="AB81" i="4"/>
  <c r="U81" i="4"/>
  <c r="AH81" i="4" s="1"/>
  <c r="N62" i="3"/>
  <c r="O62" i="3"/>
  <c r="J82" i="4"/>
  <c r="K82" i="4" s="1"/>
  <c r="AZ63" i="3"/>
  <c r="AU63" i="3"/>
  <c r="AE81" i="4"/>
  <c r="Z81" i="4"/>
  <c r="E82" i="4" s="1"/>
  <c r="G82" i="4" s="1"/>
  <c r="I82" i="4" s="1"/>
  <c r="AI81" i="4"/>
  <c r="M82" i="4" l="1"/>
  <c r="CK62" i="3"/>
  <c r="CL62" i="3" s="1"/>
  <c r="Q62" i="3"/>
  <c r="R62" i="3" s="1"/>
  <c r="AC81" i="4"/>
  <c r="BN63" i="3"/>
  <c r="AV63" i="3"/>
  <c r="L82" i="4"/>
  <c r="AD82" i="4"/>
  <c r="P82" i="4"/>
  <c r="Q82" i="4" s="1"/>
  <c r="R82" i="4" s="1"/>
  <c r="W82" i="4" s="1"/>
  <c r="Z82" i="4" l="1"/>
  <c r="E83" i="4" s="1"/>
  <c r="G83" i="4" s="1"/>
  <c r="I83" i="4" s="1"/>
  <c r="AI82" i="4"/>
  <c r="X82" i="4"/>
  <c r="AA82" i="4" s="1"/>
  <c r="F83" i="4" s="1"/>
  <c r="AX63" i="3"/>
  <c r="AY63" i="3"/>
  <c r="X62" i="3"/>
  <c r="AA62" i="3" s="1"/>
  <c r="F63" i="3" s="1"/>
  <c r="V62" i="3"/>
  <c r="AF62" i="3" s="1"/>
  <c r="W62" i="3"/>
  <c r="S62" i="3"/>
  <c r="AE62" i="3" s="1"/>
  <c r="S82" i="4"/>
  <c r="T82" i="4" s="1"/>
  <c r="CR62" i="3"/>
  <c r="CU62" i="3" s="1"/>
  <c r="BZ63" i="3" s="1"/>
  <c r="CQ62" i="3"/>
  <c r="CP62" i="3"/>
  <c r="CZ62" i="3" s="1"/>
  <c r="CM62" i="3"/>
  <c r="CY62" i="3" s="1"/>
  <c r="V82" i="4"/>
  <c r="AF82" i="4" s="1"/>
  <c r="AB82" i="4" l="1"/>
  <c r="U82" i="4"/>
  <c r="AH82" i="4" s="1"/>
  <c r="T62" i="3"/>
  <c r="AE82" i="4"/>
  <c r="AI62" i="3"/>
  <c r="Z62" i="3"/>
  <c r="E63" i="3" s="1"/>
  <c r="G63" i="3" s="1"/>
  <c r="BA63" i="3"/>
  <c r="BB63" i="3" s="1"/>
  <c r="J83" i="4"/>
  <c r="K83" i="4" s="1"/>
  <c r="CT62" i="3"/>
  <c r="BY63" i="3" s="1"/>
  <c r="CA63" i="3" s="1"/>
  <c r="DC62" i="3"/>
  <c r="CN62" i="3"/>
  <c r="AB62" i="3" l="1"/>
  <c r="AC62" i="3" s="1"/>
  <c r="U62" i="3"/>
  <c r="AH62" i="3" s="1"/>
  <c r="BH63" i="3"/>
  <c r="BK63" i="3" s="1"/>
  <c r="AP64" i="3" s="1"/>
  <c r="BF63" i="3"/>
  <c r="BP63" i="3" s="1"/>
  <c r="BG63" i="3"/>
  <c r="BC63" i="3"/>
  <c r="BO63" i="3" s="1"/>
  <c r="H63" i="3"/>
  <c r="CV62" i="3"/>
  <c r="CW62" i="3" s="1"/>
  <c r="CO62" i="3"/>
  <c r="DB62" i="3" s="1"/>
  <c r="CB63" i="3"/>
  <c r="L83" i="4"/>
  <c r="AD83" i="4"/>
  <c r="M83" i="4"/>
  <c r="P83" i="4" s="1"/>
  <c r="AC82" i="4"/>
  <c r="J63" i="3" l="1"/>
  <c r="M63" i="3" s="1"/>
  <c r="CD63" i="3"/>
  <c r="CG63" i="3" s="1"/>
  <c r="CC63" i="3"/>
  <c r="BJ63" i="3"/>
  <c r="AO64" i="3" s="1"/>
  <c r="AQ64" i="3" s="1"/>
  <c r="BS63" i="3"/>
  <c r="BD63" i="3"/>
  <c r="I63" i="3"/>
  <c r="Q83" i="4"/>
  <c r="R83" i="4" s="1"/>
  <c r="CJ63" i="3" l="1"/>
  <c r="BL63" i="3"/>
  <c r="BM63" i="3" s="1"/>
  <c r="BE63" i="3"/>
  <c r="BR63" i="3" s="1"/>
  <c r="X83" i="4"/>
  <c r="AA83" i="4" s="1"/>
  <c r="F84" i="4" s="1"/>
  <c r="W83" i="4"/>
  <c r="V83" i="4"/>
  <c r="AF83" i="4" s="1"/>
  <c r="S83" i="4"/>
  <c r="T83" i="4" s="1"/>
  <c r="P63" i="3"/>
  <c r="AR64" i="3"/>
  <c r="CE63" i="3"/>
  <c r="K63" i="3"/>
  <c r="AB83" i="4" l="1"/>
  <c r="U83" i="4"/>
  <c r="AH83" i="4" s="1"/>
  <c r="AT64" i="3"/>
  <c r="AW64" i="3" s="1"/>
  <c r="AU64" i="3"/>
  <c r="BN64" i="3" s="1"/>
  <c r="AI83" i="4"/>
  <c r="Z83" i="4"/>
  <c r="E84" i="4" s="1"/>
  <c r="G84" i="4" s="1"/>
  <c r="I84" i="4" s="1"/>
  <c r="AS64" i="3"/>
  <c r="CX63" i="3"/>
  <c r="CF63" i="3"/>
  <c r="AE83" i="4"/>
  <c r="J84" i="4"/>
  <c r="K84" i="4" s="1"/>
  <c r="AD63" i="3"/>
  <c r="L63" i="3"/>
  <c r="M84" i="4" l="1"/>
  <c r="P84" i="4"/>
  <c r="Q84" i="4"/>
  <c r="R84" i="4" s="1"/>
  <c r="V84" i="4" s="1"/>
  <c r="AF84" i="4" s="1"/>
  <c r="CH63" i="3"/>
  <c r="CI63" i="3"/>
  <c r="AZ64" i="3"/>
  <c r="N63" i="3"/>
  <c r="O63" i="3"/>
  <c r="AV64" i="3"/>
  <c r="L84" i="4"/>
  <c r="AD84" i="4"/>
  <c r="AC83" i="4"/>
  <c r="AX64" i="3" l="1"/>
  <c r="AY64" i="3"/>
  <c r="CK63" i="3"/>
  <c r="CL63" i="3" s="1"/>
  <c r="X84" i="4"/>
  <c r="AA84" i="4" s="1"/>
  <c r="F85" i="4" s="1"/>
  <c r="S84" i="4"/>
  <c r="AE84" i="4" s="1"/>
  <c r="Q63" i="3"/>
  <c r="R63" i="3" s="1"/>
  <c r="W84" i="4"/>
  <c r="X63" i="3" l="1"/>
  <c r="AA63" i="3" s="1"/>
  <c r="F64" i="3" s="1"/>
  <c r="V63" i="3"/>
  <c r="AF63" i="3" s="1"/>
  <c r="W63" i="3"/>
  <c r="S63" i="3"/>
  <c r="AE63" i="3" s="1"/>
  <c r="CR63" i="3"/>
  <c r="CU63" i="3" s="1"/>
  <c r="BZ64" i="3" s="1"/>
  <c r="CQ63" i="3"/>
  <c r="CP63" i="3"/>
  <c r="CZ63" i="3" s="1"/>
  <c r="CM63" i="3"/>
  <c r="CY63" i="3" s="1"/>
  <c r="AI84" i="4"/>
  <c r="Z84" i="4"/>
  <c r="E85" i="4" s="1"/>
  <c r="G85" i="4" s="1"/>
  <c r="I85" i="4" s="1"/>
  <c r="J85" i="4"/>
  <c r="K85" i="4" s="1"/>
  <c r="T84" i="4"/>
  <c r="BA64" i="3"/>
  <c r="BB64" i="3" s="1"/>
  <c r="AB84" i="4" l="1"/>
  <c r="AC84" i="4" s="1"/>
  <c r="U84" i="4"/>
  <c r="AH84" i="4" s="1"/>
  <c r="M85" i="4"/>
  <c r="P85" i="4"/>
  <c r="CT63" i="3"/>
  <c r="BY64" i="3" s="1"/>
  <c r="CA64" i="3" s="1"/>
  <c r="DC63" i="3"/>
  <c r="CN63" i="3"/>
  <c r="Z63" i="3"/>
  <c r="E64" i="3" s="1"/>
  <c r="G64" i="3" s="1"/>
  <c r="AI63" i="3"/>
  <c r="BH64" i="3"/>
  <c r="BK64" i="3" s="1"/>
  <c r="AP65" i="3" s="1"/>
  <c r="BF64" i="3"/>
  <c r="BP64" i="3" s="1"/>
  <c r="BG64" i="3"/>
  <c r="BC64" i="3"/>
  <c r="BO64" i="3" s="1"/>
  <c r="L85" i="4"/>
  <c r="AD85" i="4"/>
  <c r="T63" i="3"/>
  <c r="BD64" i="3" l="1"/>
  <c r="BL64" i="3"/>
  <c r="BM64" i="3" s="1"/>
  <c r="BE64" i="3"/>
  <c r="BR64" i="3" s="1"/>
  <c r="CB64" i="3"/>
  <c r="CC64" i="3"/>
  <c r="H64" i="3"/>
  <c r="CV63" i="3"/>
  <c r="CW63" i="3" s="1"/>
  <c r="CO63" i="3"/>
  <c r="DB63" i="3" s="1"/>
  <c r="AB63" i="3"/>
  <c r="AC63" i="3" s="1"/>
  <c r="U63" i="3"/>
  <c r="AH63" i="3" s="1"/>
  <c r="Q85" i="4"/>
  <c r="R85" i="4" s="1"/>
  <c r="BS64" i="3"/>
  <c r="BJ64" i="3"/>
  <c r="AO65" i="3" s="1"/>
  <c r="AQ65" i="3" s="1"/>
  <c r="X85" i="4" l="1"/>
  <c r="AA85" i="4" s="1"/>
  <c r="F86" i="4" s="1"/>
  <c r="V85" i="4"/>
  <c r="AF85" i="4" s="1"/>
  <c r="W85" i="4"/>
  <c r="S85" i="4"/>
  <c r="AE85" i="4" s="1"/>
  <c r="J64" i="3"/>
  <c r="M64" i="3" s="1"/>
  <c r="I64" i="3"/>
  <c r="CD64" i="3"/>
  <c r="CG64" i="3" s="1"/>
  <c r="CJ64" i="3" s="1"/>
  <c r="CE64" i="3"/>
  <c r="CX64" i="3" s="1"/>
  <c r="AR65" i="3"/>
  <c r="K64" i="3" l="1"/>
  <c r="P64" i="3"/>
  <c r="CF64" i="3"/>
  <c r="AT65" i="3"/>
  <c r="AW65" i="3" s="1"/>
  <c r="AS65" i="3"/>
  <c r="Z85" i="4"/>
  <c r="E86" i="4" s="1"/>
  <c r="G86" i="4" s="1"/>
  <c r="I86" i="4" s="1"/>
  <c r="AI85" i="4"/>
  <c r="J86" i="4"/>
  <c r="K86" i="4" s="1"/>
  <c r="T85" i="4"/>
  <c r="M86" i="4" l="1"/>
  <c r="AU65" i="3"/>
  <c r="BN65" i="3" s="1"/>
  <c r="AZ65" i="3"/>
  <c r="P86" i="4"/>
  <c r="Q86" i="4"/>
  <c r="R86" i="4" s="1"/>
  <c r="W86" i="4" s="1"/>
  <c r="AV65" i="3"/>
  <c r="CH64" i="3"/>
  <c r="CI64" i="3"/>
  <c r="AB85" i="4"/>
  <c r="AC85" i="4" s="1"/>
  <c r="U85" i="4"/>
  <c r="AH85" i="4" s="1"/>
  <c r="L86" i="4"/>
  <c r="AD86" i="4"/>
  <c r="AD64" i="3"/>
  <c r="L64" i="3"/>
  <c r="AI86" i="4" l="1"/>
  <c r="Z86" i="4"/>
  <c r="E87" i="4" s="1"/>
  <c r="G87" i="4" s="1"/>
  <c r="I87" i="4" s="1"/>
  <c r="AX65" i="3"/>
  <c r="AY65" i="3"/>
  <c r="CK64" i="3"/>
  <c r="CL64" i="3" s="1"/>
  <c r="X86" i="4"/>
  <c r="AA86" i="4" s="1"/>
  <c r="F87" i="4" s="1"/>
  <c r="V86" i="4"/>
  <c r="AF86" i="4" s="1"/>
  <c r="S86" i="4"/>
  <c r="AE86" i="4" s="1"/>
  <c r="N64" i="3"/>
  <c r="O64" i="3"/>
  <c r="CR64" i="3" l="1"/>
  <c r="CU64" i="3" s="1"/>
  <c r="BZ65" i="3" s="1"/>
  <c r="CQ64" i="3"/>
  <c r="CP64" i="3"/>
  <c r="CZ64" i="3" s="1"/>
  <c r="CM64" i="3"/>
  <c r="CY64" i="3" s="1"/>
  <c r="T86" i="4"/>
  <c r="J87" i="4"/>
  <c r="K87" i="4" s="1"/>
  <c r="BA65" i="3"/>
  <c r="BB65" i="3" s="1"/>
  <c r="Q64" i="3"/>
  <c r="R64" i="3" s="1"/>
  <c r="L87" i="4" l="1"/>
  <c r="AD87" i="4"/>
  <c r="M87" i="4"/>
  <c r="P87" i="4" s="1"/>
  <c r="BH65" i="3"/>
  <c r="BK65" i="3" s="1"/>
  <c r="AP66" i="3" s="1"/>
  <c r="BG65" i="3"/>
  <c r="BF65" i="3"/>
  <c r="BP65" i="3" s="1"/>
  <c r="BC65" i="3"/>
  <c r="BO65" i="3" s="1"/>
  <c r="AB86" i="4"/>
  <c r="AC86" i="4" s="1"/>
  <c r="U86" i="4"/>
  <c r="AH86" i="4" s="1"/>
  <c r="DC64" i="3"/>
  <c r="CT64" i="3"/>
  <c r="BY65" i="3" s="1"/>
  <c r="CA65" i="3" s="1"/>
  <c r="X64" i="3"/>
  <c r="AA64" i="3" s="1"/>
  <c r="F65" i="3" s="1"/>
  <c r="V64" i="3"/>
  <c r="AF64" i="3" s="1"/>
  <c r="W64" i="3"/>
  <c r="S64" i="3"/>
  <c r="AE64" i="3" s="1"/>
  <c r="CN64" i="3"/>
  <c r="CB65" i="3" l="1"/>
  <c r="BJ65" i="3"/>
  <c r="AO66" i="3" s="1"/>
  <c r="AQ66" i="3" s="1"/>
  <c r="BS65" i="3"/>
  <c r="BD65" i="3"/>
  <c r="CV64" i="3"/>
  <c r="CW64" i="3" s="1"/>
  <c r="CO64" i="3"/>
  <c r="DB64" i="3" s="1"/>
  <c r="Z64" i="3"/>
  <c r="E65" i="3" s="1"/>
  <c r="G65" i="3" s="1"/>
  <c r="AI64" i="3"/>
  <c r="Q87" i="4"/>
  <c r="R87" i="4" s="1"/>
  <c r="T64" i="3"/>
  <c r="AB64" i="3" l="1"/>
  <c r="AC64" i="3" s="1"/>
  <c r="U64" i="3"/>
  <c r="AH64" i="3" s="1"/>
  <c r="H65" i="3"/>
  <c r="I65" i="3" s="1"/>
  <c r="BL65" i="3"/>
  <c r="BM65" i="3" s="1"/>
  <c r="BE65" i="3"/>
  <c r="BR65" i="3" s="1"/>
  <c r="CD65" i="3"/>
  <c r="CG65" i="3" s="1"/>
  <c r="AR66" i="3"/>
  <c r="X87" i="4"/>
  <c r="AA87" i="4" s="1"/>
  <c r="F88" i="4" s="1"/>
  <c r="W87" i="4"/>
  <c r="V87" i="4"/>
  <c r="AF87" i="4" s="1"/>
  <c r="CC65" i="3"/>
  <c r="S87" i="4"/>
  <c r="AE87" i="4" s="1"/>
  <c r="T87" i="4" l="1"/>
  <c r="AI87" i="4"/>
  <c r="Z87" i="4"/>
  <c r="E88" i="4" s="1"/>
  <c r="G88" i="4" s="1"/>
  <c r="I88" i="4" s="1"/>
  <c r="AB87" i="4"/>
  <c r="AC87" i="4" s="1"/>
  <c r="U87" i="4"/>
  <c r="AH87" i="4" s="1"/>
  <c r="J88" i="4"/>
  <c r="K88" i="4" s="1"/>
  <c r="AT66" i="3"/>
  <c r="AW66" i="3" s="1"/>
  <c r="AS66" i="3"/>
  <c r="CJ65" i="3"/>
  <c r="CE65" i="3"/>
  <c r="J65" i="3"/>
  <c r="M65" i="3" s="1"/>
  <c r="P65" i="3" s="1"/>
  <c r="AZ66" i="3" l="1"/>
  <c r="K65" i="3"/>
  <c r="L88" i="4"/>
  <c r="AD88" i="4"/>
  <c r="CX65" i="3"/>
  <c r="CF65" i="3"/>
  <c r="AU66" i="3"/>
  <c r="M88" i="4"/>
  <c r="P88" i="4"/>
  <c r="BN66" i="3" l="1"/>
  <c r="AV66" i="3"/>
  <c r="AD65" i="3"/>
  <c r="L65" i="3"/>
  <c r="CH65" i="3"/>
  <c r="CI65" i="3"/>
  <c r="Q88" i="4"/>
  <c r="R88" i="4" s="1"/>
  <c r="N65" i="3" l="1"/>
  <c r="O65" i="3"/>
  <c r="X88" i="4"/>
  <c r="AA88" i="4" s="1"/>
  <c r="F89" i="4" s="1"/>
  <c r="W88" i="4"/>
  <c r="V88" i="4"/>
  <c r="AF88" i="4" s="1"/>
  <c r="CK65" i="3"/>
  <c r="CL65" i="3" s="1"/>
  <c r="S88" i="4"/>
  <c r="AE88" i="4" s="1"/>
  <c r="AX66" i="3"/>
  <c r="AY66" i="3"/>
  <c r="BA66" i="3" l="1"/>
  <c r="BB66" i="3" s="1"/>
  <c r="Q65" i="3"/>
  <c r="R65" i="3" s="1"/>
  <c r="CR65" i="3"/>
  <c r="CU65" i="3" s="1"/>
  <c r="BZ66" i="3" s="1"/>
  <c r="CQ65" i="3"/>
  <c r="CP65" i="3"/>
  <c r="CZ65" i="3" s="1"/>
  <c r="CM65" i="3"/>
  <c r="CY65" i="3" s="1"/>
  <c r="AI88" i="4"/>
  <c r="Z88" i="4"/>
  <c r="E89" i="4" s="1"/>
  <c r="G89" i="4" s="1"/>
  <c r="I89" i="4" s="1"/>
  <c r="T88" i="4"/>
  <c r="J89" i="4"/>
  <c r="K89" i="4" s="1"/>
  <c r="L89" i="4" l="1"/>
  <c r="AD89" i="4"/>
  <c r="M89" i="4"/>
  <c r="AB88" i="4"/>
  <c r="AC88" i="4" s="1"/>
  <c r="U88" i="4"/>
  <c r="AH88" i="4" s="1"/>
  <c r="P89" i="4"/>
  <c r="Q89" i="4"/>
  <c r="R89" i="4" s="1"/>
  <c r="V89" i="4" s="1"/>
  <c r="AF89" i="4" s="1"/>
  <c r="CT65" i="3"/>
  <c r="BY66" i="3" s="1"/>
  <c r="CA66" i="3" s="1"/>
  <c r="DC65" i="3"/>
  <c r="CN65" i="3"/>
  <c r="X65" i="3"/>
  <c r="AA65" i="3" s="1"/>
  <c r="F66" i="3" s="1"/>
  <c r="V65" i="3"/>
  <c r="AF65" i="3" s="1"/>
  <c r="W65" i="3"/>
  <c r="S65" i="3"/>
  <c r="AE65" i="3" s="1"/>
  <c r="BH66" i="3"/>
  <c r="BK66" i="3" s="1"/>
  <c r="AP67" i="3" s="1"/>
  <c r="BF66" i="3"/>
  <c r="BP66" i="3" s="1"/>
  <c r="BG66" i="3"/>
  <c r="BC66" i="3"/>
  <c r="BO66" i="3" s="1"/>
  <c r="T65" i="3" l="1"/>
  <c r="CV65" i="3"/>
  <c r="CW65" i="3" s="1"/>
  <c r="CO65" i="3"/>
  <c r="DB65" i="3" s="1"/>
  <c r="CB66" i="3"/>
  <c r="S89" i="4"/>
  <c r="AE89" i="4" s="1"/>
  <c r="AB65" i="3"/>
  <c r="AC65" i="3" s="1"/>
  <c r="U65" i="3"/>
  <c r="AH65" i="3" s="1"/>
  <c r="BJ66" i="3"/>
  <c r="AO67" i="3" s="1"/>
  <c r="AQ67" i="3" s="1"/>
  <c r="BS66" i="3"/>
  <c r="X89" i="4"/>
  <c r="AA89" i="4" s="1"/>
  <c r="F90" i="4" s="1"/>
  <c r="W89" i="4"/>
  <c r="BD66" i="3"/>
  <c r="AI65" i="3"/>
  <c r="Z65" i="3"/>
  <c r="E66" i="3" s="1"/>
  <c r="G66" i="3" s="1"/>
  <c r="J90" i="4" l="1"/>
  <c r="K90" i="4" s="1"/>
  <c r="H66" i="3"/>
  <c r="BL66" i="3"/>
  <c r="BM66" i="3" s="1"/>
  <c r="BE66" i="3"/>
  <c r="BR66" i="3" s="1"/>
  <c r="Z89" i="4"/>
  <c r="E90" i="4" s="1"/>
  <c r="G90" i="4" s="1"/>
  <c r="I90" i="4" s="1"/>
  <c r="AI89" i="4"/>
  <c r="AR67" i="3"/>
  <c r="AS67" i="3" s="1"/>
  <c r="CD66" i="3"/>
  <c r="CG66" i="3" s="1"/>
  <c r="CC66" i="3"/>
  <c r="T89" i="4"/>
  <c r="J66" i="3" l="1"/>
  <c r="M66" i="3" s="1"/>
  <c r="K66" i="3"/>
  <c r="AD66" i="3" s="1"/>
  <c r="I66" i="3"/>
  <c r="M90" i="4"/>
  <c r="P90" i="4" s="1"/>
  <c r="CE66" i="3"/>
  <c r="AT67" i="3"/>
  <c r="AW67" i="3" s="1"/>
  <c r="AZ67" i="3" s="1"/>
  <c r="AB89" i="4"/>
  <c r="AC89" i="4" s="1"/>
  <c r="U89" i="4"/>
  <c r="AH89" i="4" s="1"/>
  <c r="L90" i="4"/>
  <c r="AD90" i="4"/>
  <c r="CJ66" i="3"/>
  <c r="Q90" i="4" l="1"/>
  <c r="R90" i="4" s="1"/>
  <c r="AU67" i="3"/>
  <c r="CX66" i="3"/>
  <c r="CF66" i="3"/>
  <c r="P66" i="3"/>
  <c r="L66" i="3"/>
  <c r="N66" i="3" l="1"/>
  <c r="O66" i="3"/>
  <c r="BN67" i="3"/>
  <c r="AV67" i="3"/>
  <c r="CH66" i="3"/>
  <c r="CI66" i="3"/>
  <c r="X90" i="4"/>
  <c r="AA90" i="4" s="1"/>
  <c r="F91" i="4" s="1"/>
  <c r="V90" i="4"/>
  <c r="AF90" i="4" s="1"/>
  <c r="W90" i="4"/>
  <c r="S90" i="4"/>
  <c r="AE90" i="4" s="1"/>
  <c r="J91" i="4" l="1"/>
  <c r="K91" i="4" s="1"/>
  <c r="AI90" i="4"/>
  <c r="Z90" i="4"/>
  <c r="E91" i="4" s="1"/>
  <c r="G91" i="4" s="1"/>
  <c r="I91" i="4" s="1"/>
  <c r="T90" i="4"/>
  <c r="CK66" i="3"/>
  <c r="CL66" i="3" s="1"/>
  <c r="AX67" i="3"/>
  <c r="AY67" i="3"/>
  <c r="Q66" i="3"/>
  <c r="R66" i="3" s="1"/>
  <c r="AB90" i="4" l="1"/>
  <c r="AC90" i="4" s="1"/>
  <c r="U90" i="4"/>
  <c r="AH90" i="4" s="1"/>
  <c r="X66" i="3"/>
  <c r="AA66" i="3" s="1"/>
  <c r="F67" i="3" s="1"/>
  <c r="V66" i="3"/>
  <c r="AF66" i="3" s="1"/>
  <c r="W66" i="3"/>
  <c r="S66" i="3"/>
  <c r="AE66" i="3" s="1"/>
  <c r="BA67" i="3"/>
  <c r="BB67" i="3" s="1"/>
  <c r="CR66" i="3"/>
  <c r="CU66" i="3" s="1"/>
  <c r="BZ67" i="3" s="1"/>
  <c r="CQ66" i="3"/>
  <c r="CP66" i="3"/>
  <c r="CZ66" i="3" s="1"/>
  <c r="CM66" i="3"/>
  <c r="CY66" i="3" s="1"/>
  <c r="L91" i="4"/>
  <c r="AD91" i="4"/>
  <c r="M91" i="4"/>
  <c r="P91" i="4" s="1"/>
  <c r="Q91" i="4" l="1"/>
  <c r="R91" i="4" s="1"/>
  <c r="CT66" i="3"/>
  <c r="BY67" i="3" s="1"/>
  <c r="CA67" i="3" s="1"/>
  <c r="DC66" i="3"/>
  <c r="CN66" i="3"/>
  <c r="T66" i="3"/>
  <c r="BH67" i="3"/>
  <c r="BK67" i="3" s="1"/>
  <c r="BF67" i="3"/>
  <c r="BP67" i="3" s="1"/>
  <c r="BG67" i="3"/>
  <c r="BC67" i="3"/>
  <c r="BO67" i="3" s="1"/>
  <c r="Z66" i="3"/>
  <c r="E67" i="3" s="1"/>
  <c r="G67" i="3" s="1"/>
  <c r="AI66" i="3"/>
  <c r="BD67" i="3" l="1"/>
  <c r="AP68" i="3"/>
  <c r="P7" i="3"/>
  <c r="BL67" i="3"/>
  <c r="BM67" i="3" s="1"/>
  <c r="BE67" i="3"/>
  <c r="BR67" i="3" s="1"/>
  <c r="AB66" i="3"/>
  <c r="AC66" i="3" s="1"/>
  <c r="U66" i="3"/>
  <c r="AH66" i="3" s="1"/>
  <c r="X91" i="4"/>
  <c r="AA91" i="4" s="1"/>
  <c r="V91" i="4"/>
  <c r="AF91" i="4" s="1"/>
  <c r="W91" i="4"/>
  <c r="CV66" i="3"/>
  <c r="CW66" i="3" s="1"/>
  <c r="CO66" i="3"/>
  <c r="DB66" i="3" s="1"/>
  <c r="H67" i="3"/>
  <c r="CB67" i="3"/>
  <c r="G18" i="5"/>
  <c r="BS67" i="3"/>
  <c r="BI67" i="3"/>
  <c r="W7" i="3"/>
  <c r="S91" i="4"/>
  <c r="AE91" i="4" s="1"/>
  <c r="CD67" i="3" l="1"/>
  <c r="CG67" i="3" s="1"/>
  <c r="J67" i="3"/>
  <c r="M67" i="3" s="1"/>
  <c r="I20" i="5"/>
  <c r="T91" i="4"/>
  <c r="Y91" i="4"/>
  <c r="AI91" i="4"/>
  <c r="F92" i="4"/>
  <c r="C9" i="4"/>
  <c r="V7" i="3"/>
  <c r="BQ67" i="3"/>
  <c r="BQ68" i="3" s="1"/>
  <c r="BQ69" i="3" s="1"/>
  <c r="BQ70" i="3" s="1"/>
  <c r="BQ71" i="3" s="1"/>
  <c r="BQ72" i="3" s="1"/>
  <c r="BQ73" i="3" s="1"/>
  <c r="BQ74" i="3" s="1"/>
  <c r="BQ75" i="3" s="1"/>
  <c r="BQ76" i="3" s="1"/>
  <c r="BQ77" i="3" s="1"/>
  <c r="BQ78" i="3" s="1"/>
  <c r="CC67" i="3"/>
  <c r="I67" i="3"/>
  <c r="J9" i="4"/>
  <c r="BJ67" i="3"/>
  <c r="I9" i="4" l="1"/>
  <c r="AG91" i="4"/>
  <c r="AG92" i="4" s="1"/>
  <c r="AG93" i="4" s="1"/>
  <c r="AG94" i="4" s="1"/>
  <c r="AG95" i="4" s="1"/>
  <c r="AG96" i="4" s="1"/>
  <c r="AG97" i="4" s="1"/>
  <c r="AG98" i="4" s="1"/>
  <c r="AG99" i="4" s="1"/>
  <c r="AG100" i="4" s="1"/>
  <c r="AG101" i="4" s="1"/>
  <c r="AG102" i="4" s="1"/>
  <c r="AB91" i="4"/>
  <c r="AC91" i="4" s="1"/>
  <c r="U91" i="4"/>
  <c r="AH91" i="4" s="1"/>
  <c r="J92" i="4"/>
  <c r="K92" i="4" s="1"/>
  <c r="Z91" i="4"/>
  <c r="C18" i="5"/>
  <c r="AO68" i="3"/>
  <c r="AQ68" i="3" s="1"/>
  <c r="O7" i="3"/>
  <c r="Q7" i="3" s="1"/>
  <c r="K67" i="3"/>
  <c r="P67" i="3"/>
  <c r="CJ67" i="3"/>
  <c r="CE67" i="3"/>
  <c r="E20" i="5" l="1"/>
  <c r="E92" i="4"/>
  <c r="G92" i="4" s="1"/>
  <c r="I92" i="4" s="1"/>
  <c r="B9" i="4"/>
  <c r="D9" i="4" s="1"/>
  <c r="CX67" i="3"/>
  <c r="CF67" i="3"/>
  <c r="AD67" i="3"/>
  <c r="L67" i="3"/>
  <c r="AR68" i="3"/>
  <c r="L92" i="4"/>
  <c r="AD92" i="4"/>
  <c r="M92" i="4"/>
  <c r="N67" i="3" l="1"/>
  <c r="O67" i="3"/>
  <c r="CH67" i="3"/>
  <c r="CI67" i="3"/>
  <c r="AT68" i="3"/>
  <c r="AW68" i="3" s="1"/>
  <c r="AS68" i="3"/>
  <c r="P92" i="4"/>
  <c r="Q92" i="4"/>
  <c r="R92" i="4" s="1"/>
  <c r="CK67" i="3" l="1"/>
  <c r="CL67" i="3" s="1"/>
  <c r="AZ68" i="3"/>
  <c r="AU68" i="3"/>
  <c r="X92" i="4"/>
  <c r="AA92" i="4" s="1"/>
  <c r="F93" i="4" s="1"/>
  <c r="S92" i="4"/>
  <c r="T92" i="4" s="1"/>
  <c r="W92" i="4"/>
  <c r="Q67" i="3"/>
  <c r="R67" i="3" s="1"/>
  <c r="V92" i="4"/>
  <c r="AF92" i="4" s="1"/>
  <c r="AB92" i="4" l="1"/>
  <c r="U92" i="4"/>
  <c r="AH92" i="4" s="1"/>
  <c r="AI92" i="4"/>
  <c r="Z92" i="4"/>
  <c r="E93" i="4" s="1"/>
  <c r="G93" i="4" s="1"/>
  <c r="I93" i="4" s="1"/>
  <c r="BN68" i="3"/>
  <c r="AV68" i="3"/>
  <c r="X67" i="3"/>
  <c r="AA67" i="3" s="1"/>
  <c r="W67" i="3"/>
  <c r="V67" i="3"/>
  <c r="AF67" i="3" s="1"/>
  <c r="S67" i="3"/>
  <c r="AE67" i="3" s="1"/>
  <c r="J93" i="4"/>
  <c r="K93" i="4" s="1"/>
  <c r="AE92" i="4"/>
  <c r="CR67" i="3"/>
  <c r="CU67" i="3" s="1"/>
  <c r="CQ67" i="3"/>
  <c r="CP67" i="3"/>
  <c r="CZ67" i="3" s="1"/>
  <c r="CM67" i="3"/>
  <c r="CY67" i="3" s="1"/>
  <c r="M93" i="4" l="1"/>
  <c r="H18" i="5"/>
  <c r="J7" i="3"/>
  <c r="F18" i="5"/>
  <c r="F68" i="3"/>
  <c r="C7" i="3"/>
  <c r="AX68" i="3"/>
  <c r="AY68" i="3"/>
  <c r="BZ68" i="3"/>
  <c r="AC7" i="3"/>
  <c r="CN67" i="3"/>
  <c r="L93" i="4"/>
  <c r="AD93" i="4"/>
  <c r="AI67" i="3"/>
  <c r="Y67" i="3"/>
  <c r="T67" i="3"/>
  <c r="AJ7" i="3"/>
  <c r="DC67" i="3"/>
  <c r="CS67" i="3"/>
  <c r="P93" i="4"/>
  <c r="Q93" i="4"/>
  <c r="R93" i="4" s="1"/>
  <c r="V93" i="4" s="1"/>
  <c r="AF93" i="4" s="1"/>
  <c r="AC92" i="4"/>
  <c r="AI7" i="3" l="1"/>
  <c r="DA67" i="3"/>
  <c r="DA68" i="3" s="1"/>
  <c r="DA69" i="3" s="1"/>
  <c r="DA70" i="3" s="1"/>
  <c r="DA71" i="3" s="1"/>
  <c r="DA72" i="3" s="1"/>
  <c r="DA73" i="3" s="1"/>
  <c r="DA74" i="3" s="1"/>
  <c r="DA75" i="3" s="1"/>
  <c r="DA76" i="3" s="1"/>
  <c r="DA77" i="3" s="1"/>
  <c r="DA78" i="3" s="1"/>
  <c r="CT67" i="3"/>
  <c r="I7" i="3"/>
  <c r="AG67" i="3"/>
  <c r="AG68" i="3" s="1"/>
  <c r="AG69" i="3" s="1"/>
  <c r="AG70" i="3" s="1"/>
  <c r="AG71" i="3" s="1"/>
  <c r="AG72" i="3" s="1"/>
  <c r="AG73" i="3" s="1"/>
  <c r="AG74" i="3" s="1"/>
  <c r="AG75" i="3" s="1"/>
  <c r="AG76" i="3" s="1"/>
  <c r="AG77" i="3" s="1"/>
  <c r="AG78" i="3" s="1"/>
  <c r="BA68" i="3"/>
  <c r="BB68" i="3" s="1"/>
  <c r="AB67" i="3"/>
  <c r="AC67" i="3" s="1"/>
  <c r="U67" i="3"/>
  <c r="AH67" i="3" s="1"/>
  <c r="Z67" i="3"/>
  <c r="X93" i="4"/>
  <c r="AA93" i="4" s="1"/>
  <c r="F94" i="4" s="1"/>
  <c r="W93" i="4"/>
  <c r="S93" i="4"/>
  <c r="T93" i="4" s="1"/>
  <c r="CV67" i="3"/>
  <c r="CW67" i="3" s="1"/>
  <c r="CO67" i="3"/>
  <c r="DB67" i="3" s="1"/>
  <c r="J94" i="4" l="1"/>
  <c r="K94" i="4" s="1"/>
  <c r="B18" i="5"/>
  <c r="E68" i="3"/>
  <c r="G68" i="3" s="1"/>
  <c r="B7" i="3"/>
  <c r="D7" i="3" s="1"/>
  <c r="AE93" i="4"/>
  <c r="D18" i="5"/>
  <c r="BY68" i="3"/>
  <c r="CA68" i="3" s="1"/>
  <c r="AB7" i="3"/>
  <c r="AD7" i="3" s="1"/>
  <c r="Z93" i="4"/>
  <c r="E94" i="4" s="1"/>
  <c r="G94" i="4" s="1"/>
  <c r="I94" i="4" s="1"/>
  <c r="AI93" i="4"/>
  <c r="AB93" i="4"/>
  <c r="U93" i="4"/>
  <c r="AH93" i="4" s="1"/>
  <c r="BH68" i="3"/>
  <c r="BK68" i="3" s="1"/>
  <c r="AP69" i="3" s="1"/>
  <c r="BG68" i="3"/>
  <c r="BF68" i="3"/>
  <c r="BP68" i="3" s="1"/>
  <c r="BC68" i="3"/>
  <c r="AC93" i="4" l="1"/>
  <c r="CB68" i="3"/>
  <c r="BO68" i="3"/>
  <c r="BJ68" i="3"/>
  <c r="AO69" i="3" s="1"/>
  <c r="AQ69" i="3" s="1"/>
  <c r="BS68" i="3"/>
  <c r="H68" i="3"/>
  <c r="I68" i="3" s="1"/>
  <c r="BD68" i="3"/>
  <c r="L94" i="4"/>
  <c r="AD94" i="4"/>
  <c r="M94" i="4"/>
  <c r="P94" i="4" s="1"/>
  <c r="Q94" i="4" l="1"/>
  <c r="R94" i="4" s="1"/>
  <c r="AR69" i="3"/>
  <c r="BL68" i="3"/>
  <c r="BE68" i="3"/>
  <c r="BR68" i="3" s="1"/>
  <c r="CD68" i="3"/>
  <c r="CG68" i="3" s="1"/>
  <c r="CC68" i="3"/>
  <c r="J68" i="3"/>
  <c r="M68" i="3" s="1"/>
  <c r="P68" i="3" s="1"/>
  <c r="K68" i="3" l="1"/>
  <c r="CE68" i="3"/>
  <c r="BM68" i="3"/>
  <c r="AT69" i="3"/>
  <c r="AW69" i="3" s="1"/>
  <c r="AS69" i="3"/>
  <c r="X94" i="4"/>
  <c r="AA94" i="4" s="1"/>
  <c r="F95" i="4" s="1"/>
  <c r="W94" i="4"/>
  <c r="V94" i="4"/>
  <c r="AF94" i="4" s="1"/>
  <c r="CJ68" i="3"/>
  <c r="S94" i="4"/>
  <c r="T94" i="4" s="1"/>
  <c r="AB94" i="4" l="1"/>
  <c r="U94" i="4"/>
  <c r="AH94" i="4" s="1"/>
  <c r="J95" i="4"/>
  <c r="K95" i="4" s="1"/>
  <c r="AZ69" i="3"/>
  <c r="AU69" i="3"/>
  <c r="AE94" i="4"/>
  <c r="AD68" i="3"/>
  <c r="L68" i="3"/>
  <c r="Z94" i="4"/>
  <c r="E95" i="4" s="1"/>
  <c r="G95" i="4" s="1"/>
  <c r="I95" i="4" s="1"/>
  <c r="AI94" i="4"/>
  <c r="CX68" i="3"/>
  <c r="CF68" i="3"/>
  <c r="N68" i="3" l="1"/>
  <c r="O68" i="3"/>
  <c r="L95" i="4"/>
  <c r="AD95" i="4"/>
  <c r="BN69" i="3"/>
  <c r="AV69" i="3"/>
  <c r="M95" i="4"/>
  <c r="P95" i="4" s="1"/>
  <c r="Q95" i="4" s="1"/>
  <c r="R95" i="4" s="1"/>
  <c r="V95" i="4" s="1"/>
  <c r="AF95" i="4" s="1"/>
  <c r="CH68" i="3"/>
  <c r="CI68" i="3"/>
  <c r="AC94" i="4"/>
  <c r="AX69" i="3" l="1"/>
  <c r="AY69" i="3"/>
  <c r="CK68" i="3"/>
  <c r="CL68" i="3" s="1"/>
  <c r="Q68" i="3"/>
  <c r="R68" i="3" s="1"/>
  <c r="X95" i="4"/>
  <c r="AA95" i="4" s="1"/>
  <c r="F96" i="4" s="1"/>
  <c r="S95" i="4"/>
  <c r="W95" i="4"/>
  <c r="X68" i="3" l="1"/>
  <c r="AA68" i="3" s="1"/>
  <c r="F69" i="3" s="1"/>
  <c r="W68" i="3"/>
  <c r="V68" i="3"/>
  <c r="AF68" i="3" s="1"/>
  <c r="S68" i="3"/>
  <c r="J96" i="4"/>
  <c r="K96" i="4" s="1"/>
  <c r="CR68" i="3"/>
  <c r="CU68" i="3" s="1"/>
  <c r="BZ69" i="3" s="1"/>
  <c r="CP68" i="3"/>
  <c r="CZ68" i="3" s="1"/>
  <c r="CQ68" i="3"/>
  <c r="CM68" i="3"/>
  <c r="Z95" i="4"/>
  <c r="E96" i="4" s="1"/>
  <c r="G96" i="4" s="1"/>
  <c r="I96" i="4" s="1"/>
  <c r="AI95" i="4"/>
  <c r="AE95" i="4"/>
  <c r="T95" i="4"/>
  <c r="BA69" i="3"/>
  <c r="BB69" i="3" s="1"/>
  <c r="CY68" i="3" l="1"/>
  <c r="CT68" i="3"/>
  <c r="BY69" i="3" s="1"/>
  <c r="CA69" i="3" s="1"/>
  <c r="DC68" i="3"/>
  <c r="CN68" i="3"/>
  <c r="AE68" i="3"/>
  <c r="BH69" i="3"/>
  <c r="BK69" i="3" s="1"/>
  <c r="AP70" i="3" s="1"/>
  <c r="BG69" i="3"/>
  <c r="BF69" i="3"/>
  <c r="BP69" i="3" s="1"/>
  <c r="BC69" i="3"/>
  <c r="BD69" i="3" s="1"/>
  <c r="T68" i="3"/>
  <c r="L96" i="4"/>
  <c r="AD96" i="4"/>
  <c r="M96" i="4"/>
  <c r="P96" i="4" s="1"/>
  <c r="Z68" i="3"/>
  <c r="E69" i="3" s="1"/>
  <c r="G69" i="3" s="1"/>
  <c r="AI68" i="3"/>
  <c r="AB95" i="4"/>
  <c r="U95" i="4"/>
  <c r="AH95" i="4" s="1"/>
  <c r="Q96" i="4" l="1"/>
  <c r="R96" i="4" s="1"/>
  <c r="CB69" i="3"/>
  <c r="CC69" i="3"/>
  <c r="BJ69" i="3"/>
  <c r="AO70" i="3" s="1"/>
  <c r="AQ70" i="3" s="1"/>
  <c r="BS69" i="3"/>
  <c r="CV68" i="3"/>
  <c r="CO68" i="3"/>
  <c r="DB68" i="3" s="1"/>
  <c r="AB68" i="3"/>
  <c r="U68" i="3"/>
  <c r="AH68" i="3" s="1"/>
  <c r="BO69" i="3"/>
  <c r="BL69" i="3"/>
  <c r="BE69" i="3"/>
  <c r="BR69" i="3" s="1"/>
  <c r="AC95" i="4"/>
  <c r="H69" i="3"/>
  <c r="AC68" i="3" l="1"/>
  <c r="AR70" i="3"/>
  <c r="AS70" i="3" s="1"/>
  <c r="CW68" i="3"/>
  <c r="J69" i="3"/>
  <c r="M69" i="3" s="1"/>
  <c r="I69" i="3"/>
  <c r="CD69" i="3"/>
  <c r="CG69" i="3" s="1"/>
  <c r="CJ69" i="3" s="1"/>
  <c r="CE69" i="3"/>
  <c r="X96" i="4"/>
  <c r="AA96" i="4" s="1"/>
  <c r="F97" i="4" s="1"/>
  <c r="V96" i="4"/>
  <c r="AF96" i="4" s="1"/>
  <c r="W96" i="4"/>
  <c r="BM69" i="3"/>
  <c r="S96" i="4"/>
  <c r="AE96" i="4" s="1"/>
  <c r="AI96" i="4" l="1"/>
  <c r="Z96" i="4"/>
  <c r="E97" i="4" s="1"/>
  <c r="G97" i="4" s="1"/>
  <c r="I97" i="4" s="1"/>
  <c r="J97" i="4"/>
  <c r="K97" i="4" s="1"/>
  <c r="T96" i="4"/>
  <c r="AT70" i="3"/>
  <c r="AW70" i="3" s="1"/>
  <c r="AZ70" i="3" s="1"/>
  <c r="CX69" i="3"/>
  <c r="P69" i="3"/>
  <c r="K69" i="3"/>
  <c r="CF69" i="3"/>
  <c r="AB96" i="4" l="1"/>
  <c r="AC96" i="4" s="1"/>
  <c r="U96" i="4"/>
  <c r="AH96" i="4" s="1"/>
  <c r="AU70" i="3"/>
  <c r="L97" i="4"/>
  <c r="AD97" i="4"/>
  <c r="CH69" i="3"/>
  <c r="CI69" i="3"/>
  <c r="M97" i="4"/>
  <c r="P97" i="4" s="1"/>
  <c r="AD69" i="3"/>
  <c r="L69" i="3"/>
  <c r="Q97" i="4" l="1"/>
  <c r="R97" i="4" s="1"/>
  <c r="BN70" i="3"/>
  <c r="AV70" i="3"/>
  <c r="CK69" i="3"/>
  <c r="CL69" i="3" s="1"/>
  <c r="N69" i="3"/>
  <c r="O69" i="3"/>
  <c r="AX70" i="3" l="1"/>
  <c r="AY70" i="3"/>
  <c r="Q69" i="3"/>
  <c r="R69" i="3" s="1"/>
  <c r="X97" i="4"/>
  <c r="AA97" i="4" s="1"/>
  <c r="F98" i="4" s="1"/>
  <c r="V97" i="4"/>
  <c r="AF97" i="4" s="1"/>
  <c r="W97" i="4"/>
  <c r="CR69" i="3"/>
  <c r="CU69" i="3" s="1"/>
  <c r="BZ70" i="3" s="1"/>
  <c r="CP69" i="3"/>
  <c r="CZ69" i="3" s="1"/>
  <c r="CQ69" i="3"/>
  <c r="CM69" i="3"/>
  <c r="S97" i="4"/>
  <c r="AE97" i="4" s="1"/>
  <c r="T97" i="4" l="1"/>
  <c r="X69" i="3"/>
  <c r="AA69" i="3" s="1"/>
  <c r="F70" i="3" s="1"/>
  <c r="W69" i="3"/>
  <c r="V69" i="3"/>
  <c r="AF69" i="3" s="1"/>
  <c r="S69" i="3"/>
  <c r="T69" i="3" s="1"/>
  <c r="CY69" i="3"/>
  <c r="CN69" i="3"/>
  <c r="Z97" i="4"/>
  <c r="E98" i="4" s="1"/>
  <c r="G98" i="4" s="1"/>
  <c r="I98" i="4" s="1"/>
  <c r="AI97" i="4"/>
  <c r="J98" i="4"/>
  <c r="K98" i="4" s="1"/>
  <c r="AB97" i="4"/>
  <c r="AC97" i="4" s="1"/>
  <c r="U97" i="4"/>
  <c r="AH97" i="4" s="1"/>
  <c r="BA70" i="3"/>
  <c r="BB70" i="3" s="1"/>
  <c r="DC69" i="3"/>
  <c r="CT69" i="3"/>
  <c r="BY70" i="3" s="1"/>
  <c r="CA70" i="3" s="1"/>
  <c r="AB69" i="3" l="1"/>
  <c r="U69" i="3"/>
  <c r="AH69" i="3" s="1"/>
  <c r="CB70" i="3"/>
  <c r="L98" i="4"/>
  <c r="AD98" i="4"/>
  <c r="M98" i="4"/>
  <c r="P98" i="4" s="1"/>
  <c r="CV69" i="3"/>
  <c r="CO69" i="3"/>
  <c r="DB69" i="3" s="1"/>
  <c r="AE69" i="3"/>
  <c r="Z69" i="3"/>
  <c r="E70" i="3" s="1"/>
  <c r="G70" i="3" s="1"/>
  <c r="AI69" i="3"/>
  <c r="BH70" i="3"/>
  <c r="BK70" i="3" s="1"/>
  <c r="AP71" i="3" s="1"/>
  <c r="BF70" i="3"/>
  <c r="BP70" i="3" s="1"/>
  <c r="BG70" i="3"/>
  <c r="BC70" i="3"/>
  <c r="Q98" i="4" l="1"/>
  <c r="R98" i="4" s="1"/>
  <c r="BO70" i="3"/>
  <c r="H70" i="3"/>
  <c r="I70" i="3"/>
  <c r="BS70" i="3"/>
  <c r="BJ70" i="3"/>
  <c r="AO71" i="3" s="1"/>
  <c r="AQ71" i="3" s="1"/>
  <c r="CW69" i="3"/>
  <c r="BD70" i="3"/>
  <c r="CD70" i="3"/>
  <c r="CG70" i="3" s="1"/>
  <c r="CC70" i="3"/>
  <c r="AC69" i="3"/>
  <c r="AR71" i="3" l="1"/>
  <c r="X98" i="4"/>
  <c r="AA98" i="4" s="1"/>
  <c r="F99" i="4" s="1"/>
  <c r="W98" i="4"/>
  <c r="V98" i="4"/>
  <c r="AF98" i="4" s="1"/>
  <c r="CJ70" i="3"/>
  <c r="J70" i="3"/>
  <c r="M70" i="3" s="1"/>
  <c r="P70" i="3" s="1"/>
  <c r="CE70" i="3"/>
  <c r="BL70" i="3"/>
  <c r="BE70" i="3"/>
  <c r="BR70" i="3" s="1"/>
  <c r="S98" i="4"/>
  <c r="AE98" i="4" s="1"/>
  <c r="K70" i="3" l="1"/>
  <c r="T98" i="4"/>
  <c r="AI98" i="4"/>
  <c r="Z98" i="4"/>
  <c r="E99" i="4" s="1"/>
  <c r="G99" i="4" s="1"/>
  <c r="I99" i="4" s="1"/>
  <c r="AB98" i="4"/>
  <c r="AC98" i="4" s="1"/>
  <c r="U98" i="4"/>
  <c r="AH98" i="4" s="1"/>
  <c r="AT71" i="3"/>
  <c r="AW71" i="3" s="1"/>
  <c r="AS71" i="3"/>
  <c r="AD70" i="3"/>
  <c r="L70" i="3"/>
  <c r="J99" i="4"/>
  <c r="K99" i="4" s="1"/>
  <c r="BM70" i="3"/>
  <c r="CX70" i="3"/>
  <c r="CF70" i="3"/>
  <c r="AZ71" i="3" l="1"/>
  <c r="AU71" i="3"/>
  <c r="CH70" i="3"/>
  <c r="CI70" i="3"/>
  <c r="L99" i="4"/>
  <c r="AD99" i="4"/>
  <c r="M99" i="4"/>
  <c r="P99" i="4" s="1"/>
  <c r="Q99" i="4" s="1"/>
  <c r="R99" i="4" s="1"/>
  <c r="N70" i="3"/>
  <c r="O70" i="3"/>
  <c r="CK70" i="3" l="1"/>
  <c r="CL70" i="3" s="1"/>
  <c r="BN71" i="3"/>
  <c r="AV71" i="3"/>
  <c r="Q70" i="3"/>
  <c r="R70" i="3" s="1"/>
  <c r="X99" i="4"/>
  <c r="AA99" i="4" s="1"/>
  <c r="F100" i="4" s="1"/>
  <c r="S99" i="4"/>
  <c r="AE99" i="4" s="1"/>
  <c r="W99" i="4"/>
  <c r="V99" i="4"/>
  <c r="AF99" i="4" s="1"/>
  <c r="X70" i="3" l="1"/>
  <c r="AA70" i="3" s="1"/>
  <c r="F71" i="3" s="1"/>
  <c r="V70" i="3"/>
  <c r="AF70" i="3" s="1"/>
  <c r="W70" i="3"/>
  <c r="S70" i="3"/>
  <c r="AI99" i="4"/>
  <c r="Z99" i="4"/>
  <c r="E100" i="4" s="1"/>
  <c r="G100" i="4" s="1"/>
  <c r="I100" i="4" s="1"/>
  <c r="T99" i="4"/>
  <c r="AX71" i="3"/>
  <c r="AY71" i="3"/>
  <c r="J100" i="4"/>
  <c r="K100" i="4" s="1"/>
  <c r="CR70" i="3"/>
  <c r="CU70" i="3" s="1"/>
  <c r="BZ71" i="3" s="1"/>
  <c r="CQ70" i="3"/>
  <c r="CP70" i="3"/>
  <c r="CZ70" i="3" s="1"/>
  <c r="CM70" i="3"/>
  <c r="M100" i="4" l="1"/>
  <c r="CY70" i="3"/>
  <c r="CT70" i="3"/>
  <c r="BY71" i="3" s="1"/>
  <c r="CA71" i="3" s="1"/>
  <c r="DC70" i="3"/>
  <c r="BA71" i="3"/>
  <c r="BB71" i="3" s="1"/>
  <c r="AB99" i="4"/>
  <c r="AC99" i="4" s="1"/>
  <c r="U99" i="4"/>
  <c r="AH99" i="4" s="1"/>
  <c r="AE70" i="3"/>
  <c r="P100" i="4"/>
  <c r="Q100" i="4" s="1"/>
  <c r="R100" i="4" s="1"/>
  <c r="AI70" i="3"/>
  <c r="Z70" i="3"/>
  <c r="E71" i="3" s="1"/>
  <c r="G71" i="3" s="1"/>
  <c r="CN70" i="3"/>
  <c r="T70" i="3"/>
  <c r="L100" i="4"/>
  <c r="AD100" i="4"/>
  <c r="X100" i="4" l="1"/>
  <c r="AA100" i="4" s="1"/>
  <c r="F101" i="4" s="1"/>
  <c r="V100" i="4"/>
  <c r="AF100" i="4" s="1"/>
  <c r="W100" i="4"/>
  <c r="BH71" i="3"/>
  <c r="BK71" i="3" s="1"/>
  <c r="AP72" i="3" s="1"/>
  <c r="BG71" i="3"/>
  <c r="BF71" i="3"/>
  <c r="BP71" i="3" s="1"/>
  <c r="BC71" i="3"/>
  <c r="S100" i="4"/>
  <c r="AE100" i="4" s="1"/>
  <c r="H71" i="3"/>
  <c r="AB70" i="3"/>
  <c r="U70" i="3"/>
  <c r="AH70" i="3" s="1"/>
  <c r="CV70" i="3"/>
  <c r="CO70" i="3"/>
  <c r="DB70" i="3" s="1"/>
  <c r="CB71" i="3"/>
  <c r="J71" i="3" l="1"/>
  <c r="M71" i="3" s="1"/>
  <c r="CW70" i="3"/>
  <c r="CD71" i="3"/>
  <c r="CG71" i="3" s="1"/>
  <c r="CE71" i="3"/>
  <c r="AI100" i="4"/>
  <c r="Z100" i="4"/>
  <c r="E101" i="4" s="1"/>
  <c r="G101" i="4" s="1"/>
  <c r="I101" i="4" s="1"/>
  <c r="AC70" i="3"/>
  <c r="I71" i="3"/>
  <c r="BO71" i="3"/>
  <c r="BJ71" i="3"/>
  <c r="AO72" i="3" s="1"/>
  <c r="AQ72" i="3" s="1"/>
  <c r="BS71" i="3"/>
  <c r="CC71" i="3"/>
  <c r="BD71" i="3"/>
  <c r="J101" i="4"/>
  <c r="K101" i="4" s="1"/>
  <c r="T100" i="4"/>
  <c r="AB100" i="4" l="1"/>
  <c r="AC100" i="4" s="1"/>
  <c r="U100" i="4"/>
  <c r="AH100" i="4" s="1"/>
  <c r="CX71" i="3"/>
  <c r="CF71" i="3"/>
  <c r="BL71" i="3"/>
  <c r="BE71" i="3"/>
  <c r="BR71" i="3" s="1"/>
  <c r="AR72" i="3"/>
  <c r="AS72" i="3" s="1"/>
  <c r="L101" i="4"/>
  <c r="AD101" i="4"/>
  <c r="CJ71" i="3"/>
  <c r="P71" i="3"/>
  <c r="M101" i="4"/>
  <c r="P101" i="4" s="1"/>
  <c r="K71" i="3"/>
  <c r="Q101" i="4" l="1"/>
  <c r="R101" i="4" s="1"/>
  <c r="BM71" i="3"/>
  <c r="AD71" i="3"/>
  <c r="L71" i="3"/>
  <c r="CH71" i="3"/>
  <c r="CI71" i="3"/>
  <c r="AT72" i="3"/>
  <c r="AW72" i="3" s="1"/>
  <c r="AZ72" i="3" s="1"/>
  <c r="AU72" i="3"/>
  <c r="AV72" i="3" s="1"/>
  <c r="AX72" i="3" l="1"/>
  <c r="AY72" i="3"/>
  <c r="CK71" i="3"/>
  <c r="CL71" i="3" s="1"/>
  <c r="N71" i="3"/>
  <c r="O71" i="3"/>
  <c r="BN72" i="3"/>
  <c r="X101" i="4"/>
  <c r="AA101" i="4" s="1"/>
  <c r="F102" i="4" s="1"/>
  <c r="W101" i="4"/>
  <c r="V101" i="4"/>
  <c r="AF101" i="4" s="1"/>
  <c r="S101" i="4"/>
  <c r="AE101" i="4" s="1"/>
  <c r="T101" i="4" l="1"/>
  <c r="AB101" i="4"/>
  <c r="AC101" i="4" s="1"/>
  <c r="U101" i="4"/>
  <c r="AH101" i="4" s="1"/>
  <c r="J102" i="4"/>
  <c r="K102" i="4" s="1"/>
  <c r="Q71" i="3"/>
  <c r="R71" i="3" s="1"/>
  <c r="CR71" i="3"/>
  <c r="CU71" i="3" s="1"/>
  <c r="BZ72" i="3" s="1"/>
  <c r="CQ71" i="3"/>
  <c r="CP71" i="3"/>
  <c r="CZ71" i="3" s="1"/>
  <c r="CM71" i="3"/>
  <c r="BA72" i="3"/>
  <c r="BB72" i="3" s="1"/>
  <c r="Z101" i="4"/>
  <c r="E102" i="4" s="1"/>
  <c r="G102" i="4" s="1"/>
  <c r="I102" i="4" s="1"/>
  <c r="AI101" i="4"/>
  <c r="CY71" i="3" l="1"/>
  <c r="CT71" i="3"/>
  <c r="BY72" i="3" s="1"/>
  <c r="CA72" i="3" s="1"/>
  <c r="DC71" i="3"/>
  <c r="CN71" i="3"/>
  <c r="X71" i="3"/>
  <c r="AA71" i="3" s="1"/>
  <c r="F72" i="3" s="1"/>
  <c r="W71" i="3"/>
  <c r="V71" i="3"/>
  <c r="AF71" i="3" s="1"/>
  <c r="S71" i="3"/>
  <c r="BH72" i="3"/>
  <c r="BK72" i="3" s="1"/>
  <c r="AP73" i="3" s="1"/>
  <c r="BG72" i="3"/>
  <c r="BF72" i="3"/>
  <c r="BP72" i="3" s="1"/>
  <c r="BC72" i="3"/>
  <c r="BO72" i="3" s="1"/>
  <c r="L102" i="4"/>
  <c r="AD102" i="4"/>
  <c r="M102" i="4"/>
  <c r="P102" i="4" s="1"/>
  <c r="Q102" i="4" s="1"/>
  <c r="R102" i="4" s="1"/>
  <c r="W102" i="4" s="1"/>
  <c r="BD72" i="3" l="1"/>
  <c r="Z102" i="4"/>
  <c r="E103" i="4" s="1"/>
  <c r="G103" i="4" s="1"/>
  <c r="I103" i="4" s="1"/>
  <c r="AI102" i="4"/>
  <c r="BL72" i="3"/>
  <c r="BM72" i="3" s="1"/>
  <c r="BE72" i="3"/>
  <c r="BR72" i="3" s="1"/>
  <c r="Z71" i="3"/>
  <c r="E72" i="3" s="1"/>
  <c r="G72" i="3" s="1"/>
  <c r="AI71" i="3"/>
  <c r="V102" i="4"/>
  <c r="AF102" i="4" s="1"/>
  <c r="CB72" i="3"/>
  <c r="CC72" i="3" s="1"/>
  <c r="BS72" i="3"/>
  <c r="BJ72" i="3"/>
  <c r="AO73" i="3" s="1"/>
  <c r="AQ73" i="3" s="1"/>
  <c r="AE71" i="3"/>
  <c r="X102" i="4"/>
  <c r="AA102" i="4" s="1"/>
  <c r="F103" i="4" s="1"/>
  <c r="T71" i="3"/>
  <c r="S102" i="4"/>
  <c r="AE102" i="4" s="1"/>
  <c r="CV71" i="3"/>
  <c r="CO71" i="3"/>
  <c r="DB71" i="3" s="1"/>
  <c r="H72" i="3" l="1"/>
  <c r="AR73" i="3"/>
  <c r="CD72" i="3"/>
  <c r="CG72" i="3" s="1"/>
  <c r="CJ72" i="3" s="1"/>
  <c r="CW71" i="3"/>
  <c r="AB71" i="3"/>
  <c r="U71" i="3"/>
  <c r="AH71" i="3" s="1"/>
  <c r="J103" i="4"/>
  <c r="K103" i="4" s="1"/>
  <c r="T102" i="4"/>
  <c r="CE72" i="3" l="1"/>
  <c r="CX72" i="3" s="1"/>
  <c r="M103" i="4"/>
  <c r="P103" i="4" s="1"/>
  <c r="CF72" i="3"/>
  <c r="L103" i="4"/>
  <c r="AD103" i="4"/>
  <c r="AC71" i="3"/>
  <c r="AB102" i="4"/>
  <c r="AC102" i="4" s="1"/>
  <c r="U102" i="4"/>
  <c r="AH102" i="4" s="1"/>
  <c r="AT73" i="3"/>
  <c r="AW73" i="3" s="1"/>
  <c r="AS73" i="3"/>
  <c r="J72" i="3"/>
  <c r="M72" i="3" s="1"/>
  <c r="I72" i="3"/>
  <c r="AZ73" i="3" l="1"/>
  <c r="AU73" i="3"/>
  <c r="P72" i="3"/>
  <c r="K72" i="3"/>
  <c r="CH72" i="3"/>
  <c r="CI72" i="3"/>
  <c r="Q103" i="4"/>
  <c r="R103" i="4" s="1"/>
  <c r="AD72" i="3" l="1"/>
  <c r="L72" i="3"/>
  <c r="CK72" i="3"/>
  <c r="CL72" i="3" s="1"/>
  <c r="BN73" i="3"/>
  <c r="AV73" i="3"/>
  <c r="X103" i="4"/>
  <c r="AA103" i="4" s="1"/>
  <c r="W103" i="4"/>
  <c r="V103" i="4"/>
  <c r="AF103" i="4" s="1"/>
  <c r="S103" i="4"/>
  <c r="AE103" i="4" s="1"/>
  <c r="J10" i="4" l="1"/>
  <c r="I21" i="5"/>
  <c r="Y103" i="4"/>
  <c r="AI103" i="4"/>
  <c r="AX73" i="3"/>
  <c r="AY73" i="3"/>
  <c r="F104" i="4"/>
  <c r="C10" i="4"/>
  <c r="T103" i="4"/>
  <c r="CR72" i="3"/>
  <c r="CU72" i="3" s="1"/>
  <c r="BZ73" i="3" s="1"/>
  <c r="CP72" i="3"/>
  <c r="CZ72" i="3" s="1"/>
  <c r="CQ72" i="3"/>
  <c r="CM72" i="3"/>
  <c r="CY72" i="3" s="1"/>
  <c r="N72" i="3"/>
  <c r="O72" i="3"/>
  <c r="CN72" i="3" l="1"/>
  <c r="AB103" i="4"/>
  <c r="AC103" i="4" s="1"/>
  <c r="U103" i="4"/>
  <c r="AH103" i="4" s="1"/>
  <c r="BA73" i="3"/>
  <c r="BB73" i="3" s="1"/>
  <c r="I10" i="4"/>
  <c r="AG103" i="4"/>
  <c r="AG104" i="4" s="1"/>
  <c r="AG105" i="4" s="1"/>
  <c r="AG106" i="4" s="1"/>
  <c r="AG107" i="4" s="1"/>
  <c r="AG108" i="4" s="1"/>
  <c r="AG109" i="4" s="1"/>
  <c r="AG110" i="4" s="1"/>
  <c r="AG111" i="4" s="1"/>
  <c r="AG112" i="4" s="1"/>
  <c r="AG113" i="4" s="1"/>
  <c r="AG114" i="4" s="1"/>
  <c r="Z103" i="4"/>
  <c r="CV72" i="3"/>
  <c r="CW72" i="3" s="1"/>
  <c r="CO72" i="3"/>
  <c r="DB72" i="3" s="1"/>
  <c r="J104" i="4"/>
  <c r="K104" i="4" s="1"/>
  <c r="Q72" i="3"/>
  <c r="R72" i="3" s="1"/>
  <c r="DC72" i="3"/>
  <c r="CT72" i="3"/>
  <c r="BY73" i="3" s="1"/>
  <c r="CA73" i="3" s="1"/>
  <c r="L104" i="4" l="1"/>
  <c r="AD104" i="4"/>
  <c r="X72" i="3"/>
  <c r="AA72" i="3" s="1"/>
  <c r="F73" i="3" s="1"/>
  <c r="W72" i="3"/>
  <c r="V72" i="3"/>
  <c r="AF72" i="3" s="1"/>
  <c r="S72" i="3"/>
  <c r="AE72" i="3" s="1"/>
  <c r="M104" i="4"/>
  <c r="E21" i="5"/>
  <c r="E104" i="4"/>
  <c r="G104" i="4" s="1"/>
  <c r="I104" i="4" s="1"/>
  <c r="B10" i="4"/>
  <c r="D10" i="4" s="1"/>
  <c r="BH73" i="3"/>
  <c r="BK73" i="3" s="1"/>
  <c r="AP74" i="3" s="1"/>
  <c r="BF73" i="3"/>
  <c r="BP73" i="3" s="1"/>
  <c r="BG73" i="3"/>
  <c r="BC73" i="3"/>
  <c r="BO73" i="3" s="1"/>
  <c r="CB73" i="3"/>
  <c r="T72" i="3" l="1"/>
  <c r="CD73" i="3"/>
  <c r="CG73" i="3" s="1"/>
  <c r="CC73" i="3"/>
  <c r="BJ73" i="3"/>
  <c r="AO74" i="3" s="1"/>
  <c r="AQ74" i="3" s="1"/>
  <c r="BS73" i="3"/>
  <c r="Z72" i="3"/>
  <c r="E73" i="3" s="1"/>
  <c r="G73" i="3" s="1"/>
  <c r="AI72" i="3"/>
  <c r="P104" i="4"/>
  <c r="BD73" i="3"/>
  <c r="AR74" i="3" l="1"/>
  <c r="H73" i="3"/>
  <c r="CJ73" i="3"/>
  <c r="BL73" i="3"/>
  <c r="BM73" i="3" s="1"/>
  <c r="BE73" i="3"/>
  <c r="BR73" i="3" s="1"/>
  <c r="CE73" i="3"/>
  <c r="AB72" i="3"/>
  <c r="AC72" i="3" s="1"/>
  <c r="U72" i="3"/>
  <c r="AH72" i="3" s="1"/>
  <c r="Q104" i="4"/>
  <c r="R104" i="4" s="1"/>
  <c r="J73" i="3" l="1"/>
  <c r="M73" i="3" s="1"/>
  <c r="X104" i="4"/>
  <c r="AA104" i="4" s="1"/>
  <c r="F105" i="4" s="1"/>
  <c r="W104" i="4"/>
  <c r="V104" i="4"/>
  <c r="AF104" i="4" s="1"/>
  <c r="S104" i="4"/>
  <c r="T104" i="4" s="1"/>
  <c r="CX73" i="3"/>
  <c r="CF73" i="3"/>
  <c r="I73" i="3"/>
  <c r="AT74" i="3"/>
  <c r="AW74" i="3" s="1"/>
  <c r="AS74" i="3"/>
  <c r="AU74" i="3" l="1"/>
  <c r="BN74" i="3" s="1"/>
  <c r="AB104" i="4"/>
  <c r="U104" i="4"/>
  <c r="AH104" i="4" s="1"/>
  <c r="J105" i="4"/>
  <c r="K105" i="4" s="1"/>
  <c r="AZ74" i="3"/>
  <c r="P73" i="3"/>
  <c r="CH73" i="3"/>
  <c r="CI73" i="3"/>
  <c r="AE104" i="4"/>
  <c r="AI104" i="4"/>
  <c r="Z104" i="4"/>
  <c r="E105" i="4" s="1"/>
  <c r="G105" i="4" s="1"/>
  <c r="I105" i="4" s="1"/>
  <c r="K73" i="3"/>
  <c r="AV74" i="3"/>
  <c r="CK73" i="3" l="1"/>
  <c r="CL73" i="3" s="1"/>
  <c r="L105" i="4"/>
  <c r="AD105" i="4"/>
  <c r="AX74" i="3"/>
  <c r="AY74" i="3"/>
  <c r="M105" i="4"/>
  <c r="AD73" i="3"/>
  <c r="L73" i="3"/>
  <c r="P105" i="4"/>
  <c r="AC104" i="4"/>
  <c r="BA74" i="3" l="1"/>
  <c r="BB74" i="3" s="1"/>
  <c r="N73" i="3"/>
  <c r="O73" i="3"/>
  <c r="CR73" i="3"/>
  <c r="CU73" i="3" s="1"/>
  <c r="BZ74" i="3" s="1"/>
  <c r="CQ73" i="3"/>
  <c r="CP73" i="3"/>
  <c r="CZ73" i="3" s="1"/>
  <c r="CM73" i="3"/>
  <c r="CY73" i="3" s="1"/>
  <c r="Q105" i="4"/>
  <c r="R105" i="4" s="1"/>
  <c r="X105" i="4" l="1"/>
  <c r="AA105" i="4" s="1"/>
  <c r="F106" i="4" s="1"/>
  <c r="W105" i="4"/>
  <c r="V105" i="4"/>
  <c r="AF105" i="4" s="1"/>
  <c r="CT73" i="3"/>
  <c r="BY74" i="3" s="1"/>
  <c r="CA74" i="3" s="1"/>
  <c r="DC73" i="3"/>
  <c r="CN73" i="3"/>
  <c r="Q73" i="3"/>
  <c r="R73" i="3" s="1"/>
  <c r="BH74" i="3"/>
  <c r="BK74" i="3" s="1"/>
  <c r="AP75" i="3" s="1"/>
  <c r="BG74" i="3"/>
  <c r="BF74" i="3"/>
  <c r="BP74" i="3" s="1"/>
  <c r="BC74" i="3"/>
  <c r="BO74" i="3" s="1"/>
  <c r="S105" i="4"/>
  <c r="BD74" i="3" l="1"/>
  <c r="BJ74" i="3"/>
  <c r="AO75" i="3" s="1"/>
  <c r="AQ75" i="3" s="1"/>
  <c r="BS74" i="3"/>
  <c r="BL74" i="3"/>
  <c r="BM74" i="3" s="1"/>
  <c r="BE74" i="3"/>
  <c r="BR74" i="3" s="1"/>
  <c r="CB74" i="3"/>
  <c r="AE105" i="4"/>
  <c r="T105" i="4"/>
  <c r="X73" i="3"/>
  <c r="AA73" i="3" s="1"/>
  <c r="F74" i="3" s="1"/>
  <c r="V73" i="3"/>
  <c r="AF73" i="3" s="1"/>
  <c r="W73" i="3"/>
  <c r="S73" i="3"/>
  <c r="AE73" i="3" s="1"/>
  <c r="CV73" i="3"/>
  <c r="CW73" i="3" s="1"/>
  <c r="CO73" i="3"/>
  <c r="DB73" i="3" s="1"/>
  <c r="Z105" i="4"/>
  <c r="E106" i="4" s="1"/>
  <c r="G106" i="4" s="1"/>
  <c r="I106" i="4" s="1"/>
  <c r="AI105" i="4"/>
  <c r="J106" i="4"/>
  <c r="K106" i="4" s="1"/>
  <c r="AI73" i="3" l="1"/>
  <c r="Z73" i="3"/>
  <c r="E74" i="3" s="1"/>
  <c r="G74" i="3" s="1"/>
  <c r="AB105" i="4"/>
  <c r="U105" i="4"/>
  <c r="AH105" i="4" s="1"/>
  <c r="CD74" i="3"/>
  <c r="CG74" i="3" s="1"/>
  <c r="CC74" i="3"/>
  <c r="T73" i="3"/>
  <c r="L106" i="4"/>
  <c r="AD106" i="4"/>
  <c r="M106" i="4"/>
  <c r="P106" i="4"/>
  <c r="Q106" i="4"/>
  <c r="R106" i="4" s="1"/>
  <c r="AR75" i="3"/>
  <c r="AS75" i="3"/>
  <c r="AB73" i="3" l="1"/>
  <c r="AC73" i="3" s="1"/>
  <c r="U73" i="3"/>
  <c r="AH73" i="3" s="1"/>
  <c r="AT75" i="3"/>
  <c r="AW75" i="3" s="1"/>
  <c r="X106" i="4"/>
  <c r="AA106" i="4" s="1"/>
  <c r="F107" i="4" s="1"/>
  <c r="V106" i="4"/>
  <c r="AF106" i="4" s="1"/>
  <c r="H74" i="3"/>
  <c r="I74" i="3" s="1"/>
  <c r="AZ75" i="3"/>
  <c r="CJ74" i="3"/>
  <c r="CE74" i="3"/>
  <c r="S106" i="4"/>
  <c r="T106" i="4" s="1"/>
  <c r="AC105" i="4"/>
  <c r="W106" i="4"/>
  <c r="AB106" i="4" l="1"/>
  <c r="U106" i="4"/>
  <c r="AH106" i="4" s="1"/>
  <c r="J74" i="3"/>
  <c r="M74" i="3" s="1"/>
  <c r="P74" i="3" s="1"/>
  <c r="J107" i="4"/>
  <c r="K107" i="4" s="1"/>
  <c r="AI106" i="4"/>
  <c r="Z106" i="4"/>
  <c r="E107" i="4" s="1"/>
  <c r="G107" i="4" s="1"/>
  <c r="I107" i="4" s="1"/>
  <c r="AC106" i="4"/>
  <c r="AU75" i="3"/>
  <c r="AE106" i="4"/>
  <c r="CX74" i="3"/>
  <c r="CF74" i="3"/>
  <c r="L107" i="4" l="1"/>
  <c r="AD107" i="4"/>
  <c r="M107" i="4"/>
  <c r="P107" i="4" s="1"/>
  <c r="K74" i="3"/>
  <c r="CH74" i="3"/>
  <c r="CI74" i="3"/>
  <c r="BN75" i="3"/>
  <c r="AV75" i="3"/>
  <c r="Q107" i="4" l="1"/>
  <c r="R107" i="4" s="1"/>
  <c r="AX75" i="3"/>
  <c r="AY75" i="3"/>
  <c r="CK74" i="3"/>
  <c r="CL74" i="3" s="1"/>
  <c r="AD74" i="3"/>
  <c r="L74" i="3"/>
  <c r="N74" i="3" l="1"/>
  <c r="O74" i="3"/>
  <c r="CR74" i="3"/>
  <c r="CU74" i="3" s="1"/>
  <c r="BZ75" i="3" s="1"/>
  <c r="CP74" i="3"/>
  <c r="CZ74" i="3" s="1"/>
  <c r="CQ74" i="3"/>
  <c r="CM74" i="3"/>
  <c r="CY74" i="3" s="1"/>
  <c r="BA75" i="3"/>
  <c r="BB75" i="3" s="1"/>
  <c r="X107" i="4"/>
  <c r="AA107" i="4" s="1"/>
  <c r="F108" i="4" s="1"/>
  <c r="V107" i="4"/>
  <c r="AF107" i="4" s="1"/>
  <c r="W107" i="4"/>
  <c r="S107" i="4"/>
  <c r="AE107" i="4" l="1"/>
  <c r="BH75" i="3"/>
  <c r="BK75" i="3" s="1"/>
  <c r="AP76" i="3" s="1"/>
  <c r="BG75" i="3"/>
  <c r="BF75" i="3"/>
  <c r="BP75" i="3" s="1"/>
  <c r="BC75" i="3"/>
  <c r="BO75" i="3" s="1"/>
  <c r="J108" i="4"/>
  <c r="K108" i="4" s="1"/>
  <c r="CN74" i="3"/>
  <c r="AI107" i="4"/>
  <c r="Z107" i="4"/>
  <c r="E108" i="4" s="1"/>
  <c r="G108" i="4" s="1"/>
  <c r="I108" i="4" s="1"/>
  <c r="T107" i="4"/>
  <c r="CT74" i="3"/>
  <c r="BY75" i="3" s="1"/>
  <c r="CA75" i="3" s="1"/>
  <c r="DC74" i="3"/>
  <c r="Q74" i="3"/>
  <c r="R74" i="3" s="1"/>
  <c r="L108" i="4" l="1"/>
  <c r="AD108" i="4"/>
  <c r="M108" i="4"/>
  <c r="CV74" i="3"/>
  <c r="CW74" i="3" s="1"/>
  <c r="CO74" i="3"/>
  <c r="DB74" i="3" s="1"/>
  <c r="X74" i="3"/>
  <c r="AA74" i="3" s="1"/>
  <c r="F75" i="3" s="1"/>
  <c r="W74" i="3"/>
  <c r="V74" i="3"/>
  <c r="AF74" i="3" s="1"/>
  <c r="S74" i="3"/>
  <c r="AE74" i="3" s="1"/>
  <c r="AB107" i="4"/>
  <c r="AC107" i="4" s="1"/>
  <c r="U107" i="4"/>
  <c r="AH107" i="4" s="1"/>
  <c r="BD75" i="3"/>
  <c r="P108" i="4"/>
  <c r="Q108" i="4" s="1"/>
  <c r="R108" i="4" s="1"/>
  <c r="BS75" i="3"/>
  <c r="BJ75" i="3"/>
  <c r="AO76" i="3" s="1"/>
  <c r="AQ76" i="3" s="1"/>
  <c r="CB75" i="3"/>
  <c r="CD75" i="3" l="1"/>
  <c r="CG75" i="3" s="1"/>
  <c r="CE75" i="3"/>
  <c r="CX75" i="3" s="1"/>
  <c r="AR76" i="3"/>
  <c r="T74" i="3"/>
  <c r="CC75" i="3"/>
  <c r="Z74" i="3"/>
  <c r="E75" i="3" s="1"/>
  <c r="G75" i="3" s="1"/>
  <c r="AI74" i="3"/>
  <c r="BL75" i="3"/>
  <c r="BM75" i="3" s="1"/>
  <c r="BE75" i="3"/>
  <c r="BR75" i="3" s="1"/>
  <c r="X108" i="4"/>
  <c r="AA108" i="4" s="1"/>
  <c r="F109" i="4" s="1"/>
  <c r="S108" i="4"/>
  <c r="AE108" i="4" s="1"/>
  <c r="V108" i="4"/>
  <c r="AF108" i="4" s="1"/>
  <c r="W108" i="4"/>
  <c r="CJ75" i="3" l="1"/>
  <c r="AT76" i="3"/>
  <c r="AW76" i="3" s="1"/>
  <c r="AU76" i="3"/>
  <c r="BN76" i="3" s="1"/>
  <c r="H75" i="3"/>
  <c r="I75" i="3" s="1"/>
  <c r="AI108" i="4"/>
  <c r="Z108" i="4"/>
  <c r="E109" i="4" s="1"/>
  <c r="G109" i="4" s="1"/>
  <c r="I109" i="4" s="1"/>
  <c r="AB74" i="3"/>
  <c r="AC74" i="3" s="1"/>
  <c r="U74" i="3"/>
  <c r="AH74" i="3" s="1"/>
  <c r="J109" i="4"/>
  <c r="K109" i="4" s="1"/>
  <c r="T108" i="4"/>
  <c r="AS76" i="3"/>
  <c r="CF75" i="3"/>
  <c r="L109" i="4" l="1"/>
  <c r="AD109" i="4"/>
  <c r="AB108" i="4"/>
  <c r="AC108" i="4" s="1"/>
  <c r="U108" i="4"/>
  <c r="AH108" i="4" s="1"/>
  <c r="M109" i="4"/>
  <c r="AV76" i="3"/>
  <c r="P109" i="4"/>
  <c r="Q109" i="4"/>
  <c r="R109" i="4" s="1"/>
  <c r="W109" i="4" s="1"/>
  <c r="J75" i="3"/>
  <c r="M75" i="3" s="1"/>
  <c r="P75" i="3" s="1"/>
  <c r="CH75" i="3"/>
  <c r="CI75" i="3"/>
  <c r="AZ76" i="3"/>
  <c r="AI109" i="4" l="1"/>
  <c r="Z109" i="4"/>
  <c r="E110" i="4" s="1"/>
  <c r="G110" i="4" s="1"/>
  <c r="I110" i="4" s="1"/>
  <c r="V109" i="4"/>
  <c r="AF109" i="4" s="1"/>
  <c r="S109" i="4"/>
  <c r="AE109" i="4" s="1"/>
  <c r="X109" i="4"/>
  <c r="AA109" i="4" s="1"/>
  <c r="F110" i="4" s="1"/>
  <c r="T109" i="4"/>
  <c r="AX76" i="3"/>
  <c r="AY76" i="3"/>
  <c r="CK75" i="3"/>
  <c r="CL75" i="3" s="1"/>
  <c r="K75" i="3"/>
  <c r="CR75" i="3" l="1"/>
  <c r="CU75" i="3" s="1"/>
  <c r="BZ76" i="3" s="1"/>
  <c r="CP75" i="3"/>
  <c r="CZ75" i="3" s="1"/>
  <c r="CQ75" i="3"/>
  <c r="CM75" i="3"/>
  <c r="CY75" i="3" s="1"/>
  <c r="AB109" i="4"/>
  <c r="AC109" i="4" s="1"/>
  <c r="U109" i="4"/>
  <c r="AH109" i="4" s="1"/>
  <c r="BA76" i="3"/>
  <c r="BB76" i="3" s="1"/>
  <c r="J110" i="4"/>
  <c r="K110" i="4" s="1"/>
  <c r="AD75" i="3"/>
  <c r="L75" i="3"/>
  <c r="BH76" i="3" l="1"/>
  <c r="BK76" i="3" s="1"/>
  <c r="AP77" i="3" s="1"/>
  <c r="BG76" i="3"/>
  <c r="BF76" i="3"/>
  <c r="BP76" i="3" s="1"/>
  <c r="BC76" i="3"/>
  <c r="BO76" i="3" s="1"/>
  <c r="N75" i="3"/>
  <c r="O75" i="3"/>
  <c r="L110" i="4"/>
  <c r="AD110" i="4"/>
  <c r="M110" i="4"/>
  <c r="P110" i="4" s="1"/>
  <c r="DC75" i="3"/>
  <c r="CT75" i="3"/>
  <c r="BY76" i="3" s="1"/>
  <c r="CA76" i="3" s="1"/>
  <c r="CN75" i="3"/>
  <c r="Q110" i="4" l="1"/>
  <c r="R110" i="4" s="1"/>
  <c r="Q75" i="3"/>
  <c r="R75" i="3" s="1"/>
  <c r="BJ76" i="3"/>
  <c r="AO77" i="3" s="1"/>
  <c r="AQ77" i="3" s="1"/>
  <c r="BS76" i="3"/>
  <c r="BD76" i="3"/>
  <c r="CV75" i="3"/>
  <c r="CW75" i="3" s="1"/>
  <c r="CO75" i="3"/>
  <c r="DB75" i="3" s="1"/>
  <c r="CB76" i="3"/>
  <c r="CC76" i="3" s="1"/>
  <c r="BL76" i="3" l="1"/>
  <c r="BM76" i="3" s="1"/>
  <c r="BE76" i="3"/>
  <c r="BR76" i="3" s="1"/>
  <c r="AR77" i="3"/>
  <c r="CD76" i="3"/>
  <c r="CG76" i="3" s="1"/>
  <c r="CJ76" i="3" s="1"/>
  <c r="X75" i="3"/>
  <c r="AA75" i="3" s="1"/>
  <c r="F76" i="3" s="1"/>
  <c r="W75" i="3"/>
  <c r="V75" i="3"/>
  <c r="AF75" i="3" s="1"/>
  <c r="S75" i="3"/>
  <c r="AE75" i="3" s="1"/>
  <c r="X110" i="4"/>
  <c r="AA110" i="4" s="1"/>
  <c r="F111" i="4" s="1"/>
  <c r="V110" i="4"/>
  <c r="AF110" i="4" s="1"/>
  <c r="W110" i="4"/>
  <c r="S110" i="4"/>
  <c r="AE110" i="4" s="1"/>
  <c r="T75" i="3" l="1"/>
  <c r="AB75" i="3"/>
  <c r="AC75" i="3" s="1"/>
  <c r="U75" i="3"/>
  <c r="AH75" i="3" s="1"/>
  <c r="CE76" i="3"/>
  <c r="T110" i="4"/>
  <c r="AI75" i="3"/>
  <c r="Z75" i="3"/>
  <c r="E76" i="3" s="1"/>
  <c r="G76" i="3" s="1"/>
  <c r="AT77" i="3"/>
  <c r="AW77" i="3" s="1"/>
  <c r="AS77" i="3"/>
  <c r="Z110" i="4"/>
  <c r="E111" i="4" s="1"/>
  <c r="G111" i="4" s="1"/>
  <c r="I111" i="4" s="1"/>
  <c r="AI110" i="4"/>
  <c r="J111" i="4"/>
  <c r="K111" i="4" s="1"/>
  <c r="AZ77" i="3" l="1"/>
  <c r="AU77" i="3"/>
  <c r="AB110" i="4"/>
  <c r="AC110" i="4" s="1"/>
  <c r="U110" i="4"/>
  <c r="AH110" i="4" s="1"/>
  <c r="L111" i="4"/>
  <c r="AD111" i="4"/>
  <c r="H76" i="3"/>
  <c r="CX76" i="3"/>
  <c r="CF76" i="3"/>
  <c r="M111" i="4"/>
  <c r="P111" i="4" s="1"/>
  <c r="Q111" i="4" l="1"/>
  <c r="R111" i="4" s="1"/>
  <c r="CH76" i="3"/>
  <c r="CI76" i="3"/>
  <c r="J76" i="3"/>
  <c r="M76" i="3" s="1"/>
  <c r="I76" i="3"/>
  <c r="BN77" i="3"/>
  <c r="AV77" i="3"/>
  <c r="AX77" i="3" l="1"/>
  <c r="AY77" i="3"/>
  <c r="P76" i="3"/>
  <c r="K76" i="3"/>
  <c r="CK76" i="3"/>
  <c r="CL76" i="3" s="1"/>
  <c r="X111" i="4"/>
  <c r="AA111" i="4" s="1"/>
  <c r="F112" i="4" s="1"/>
  <c r="W111" i="4"/>
  <c r="V111" i="4"/>
  <c r="AF111" i="4" s="1"/>
  <c r="S111" i="4"/>
  <c r="AE111" i="4" s="1"/>
  <c r="J112" i="4" l="1"/>
  <c r="K112" i="4" s="1"/>
  <c r="Z111" i="4"/>
  <c r="E112" i="4" s="1"/>
  <c r="G112" i="4" s="1"/>
  <c r="I112" i="4" s="1"/>
  <c r="AI111" i="4"/>
  <c r="T111" i="4"/>
  <c r="AD76" i="3"/>
  <c r="L76" i="3"/>
  <c r="CR76" i="3"/>
  <c r="CU76" i="3" s="1"/>
  <c r="BZ77" i="3" s="1"/>
  <c r="CQ76" i="3"/>
  <c r="CP76" i="3"/>
  <c r="CZ76" i="3" s="1"/>
  <c r="CM76" i="3"/>
  <c r="CY76" i="3" s="1"/>
  <c r="BA77" i="3"/>
  <c r="BB77" i="3" s="1"/>
  <c r="CT76" i="3" l="1"/>
  <c r="BY77" i="3" s="1"/>
  <c r="CA77" i="3" s="1"/>
  <c r="DC76" i="3"/>
  <c r="CN76" i="3"/>
  <c r="N76" i="3"/>
  <c r="O76" i="3"/>
  <c r="AB111" i="4"/>
  <c r="AC111" i="4" s="1"/>
  <c r="U111" i="4"/>
  <c r="AH111" i="4" s="1"/>
  <c r="L112" i="4"/>
  <c r="AD112" i="4"/>
  <c r="BH77" i="3"/>
  <c r="BK77" i="3" s="1"/>
  <c r="AP78" i="3" s="1"/>
  <c r="BG77" i="3"/>
  <c r="BF77" i="3"/>
  <c r="BP77" i="3" s="1"/>
  <c r="BC77" i="3"/>
  <c r="BO77" i="3" s="1"/>
  <c r="M112" i="4"/>
  <c r="P112" i="4" s="1"/>
  <c r="Q112" i="4" s="1"/>
  <c r="R112" i="4" s="1"/>
  <c r="W112" i="4" s="1"/>
  <c r="Z112" i="4" l="1"/>
  <c r="E113" i="4" s="1"/>
  <c r="G113" i="4" s="1"/>
  <c r="I113" i="4" s="1"/>
  <c r="AI112" i="4"/>
  <c r="V112" i="4"/>
  <c r="AF112" i="4" s="1"/>
  <c r="S112" i="4"/>
  <c r="AE112" i="4" s="1"/>
  <c r="Q76" i="3"/>
  <c r="R76" i="3" s="1"/>
  <c r="BJ77" i="3"/>
  <c r="AO78" i="3" s="1"/>
  <c r="AQ78" i="3" s="1"/>
  <c r="BS77" i="3"/>
  <c r="T112" i="4"/>
  <c r="X112" i="4"/>
  <c r="AA112" i="4" s="1"/>
  <c r="F113" i="4" s="1"/>
  <c r="CV76" i="3"/>
  <c r="CW76" i="3" s="1"/>
  <c r="CO76" i="3"/>
  <c r="DB76" i="3" s="1"/>
  <c r="BD77" i="3"/>
  <c r="CB77" i="3"/>
  <c r="AR78" i="3" l="1"/>
  <c r="J113" i="4"/>
  <c r="K113" i="4" s="1"/>
  <c r="X76" i="3"/>
  <c r="AA76" i="3" s="1"/>
  <c r="F77" i="3" s="1"/>
  <c r="V76" i="3"/>
  <c r="AF76" i="3" s="1"/>
  <c r="W76" i="3"/>
  <c r="S76" i="3"/>
  <c r="AE76" i="3" s="1"/>
  <c r="AB112" i="4"/>
  <c r="AC112" i="4" s="1"/>
  <c r="U112" i="4"/>
  <c r="AH112" i="4" s="1"/>
  <c r="CD77" i="3"/>
  <c r="CG77" i="3" s="1"/>
  <c r="CC77" i="3"/>
  <c r="BL77" i="3"/>
  <c r="BM77" i="3" s="1"/>
  <c r="BE77" i="3"/>
  <c r="BR77" i="3" s="1"/>
  <c r="CE77" i="3" l="1"/>
  <c r="Z76" i="3"/>
  <c r="E77" i="3" s="1"/>
  <c r="G77" i="3" s="1"/>
  <c r="AI76" i="3"/>
  <c r="T76" i="3"/>
  <c r="L113" i="4"/>
  <c r="AD113" i="4"/>
  <c r="M113" i="4"/>
  <c r="P113" i="4" s="1"/>
  <c r="AT78" i="3"/>
  <c r="AW78" i="3" s="1"/>
  <c r="AS78" i="3"/>
  <c r="CJ77" i="3"/>
  <c r="AU78" i="3" l="1"/>
  <c r="BN78" i="3" s="1"/>
  <c r="Q113" i="4"/>
  <c r="R113" i="4" s="1"/>
  <c r="AV78" i="3"/>
  <c r="AB76" i="3"/>
  <c r="AC76" i="3" s="1"/>
  <c r="U76" i="3"/>
  <c r="AH76" i="3" s="1"/>
  <c r="H77" i="3"/>
  <c r="AZ78" i="3"/>
  <c r="CX77" i="3"/>
  <c r="CF77" i="3"/>
  <c r="CH77" i="3" l="1"/>
  <c r="CI77" i="3"/>
  <c r="J77" i="3"/>
  <c r="M77" i="3" s="1"/>
  <c r="I77" i="3"/>
  <c r="AX78" i="3"/>
  <c r="AY78" i="3"/>
  <c r="X113" i="4"/>
  <c r="AA113" i="4" s="1"/>
  <c r="F114" i="4" s="1"/>
  <c r="W113" i="4"/>
  <c r="V113" i="4"/>
  <c r="AF113" i="4" s="1"/>
  <c r="S113" i="4"/>
  <c r="AE113" i="4" s="1"/>
  <c r="T113" i="4" l="1"/>
  <c r="BA78" i="3"/>
  <c r="BB78" i="3" s="1"/>
  <c r="P77" i="3"/>
  <c r="U113" i="4"/>
  <c r="AH113" i="4" s="1"/>
  <c r="AB113" i="4"/>
  <c r="AC113" i="4" s="1"/>
  <c r="K77" i="3"/>
  <c r="J114" i="4"/>
  <c r="K114" i="4" s="1"/>
  <c r="CK77" i="3"/>
  <c r="CL77" i="3" s="1"/>
  <c r="Z113" i="4"/>
  <c r="E114" i="4" s="1"/>
  <c r="G114" i="4" s="1"/>
  <c r="I114" i="4" s="1"/>
  <c r="AI113" i="4"/>
  <c r="CR77" i="3" l="1"/>
  <c r="CU77" i="3" s="1"/>
  <c r="BZ78" i="3" s="1"/>
  <c r="CP77" i="3"/>
  <c r="CZ77" i="3" s="1"/>
  <c r="CQ77" i="3"/>
  <c r="CM77" i="3"/>
  <c r="CY77" i="3" s="1"/>
  <c r="M114" i="4"/>
  <c r="P114" i="4" s="1"/>
  <c r="L114" i="4"/>
  <c r="AD114" i="4"/>
  <c r="AD77" i="3"/>
  <c r="L77" i="3"/>
  <c r="BH78" i="3"/>
  <c r="BK78" i="3" s="1"/>
  <c r="AP79" i="3" s="1"/>
  <c r="BF78" i="3"/>
  <c r="BP78" i="3" s="1"/>
  <c r="BG78" i="3"/>
  <c r="BC78" i="3"/>
  <c r="BO78" i="3" s="1"/>
  <c r="Q114" i="4" l="1"/>
  <c r="R114" i="4" s="1"/>
  <c r="CN77" i="3"/>
  <c r="N77" i="3"/>
  <c r="O77" i="3"/>
  <c r="DC77" i="3"/>
  <c r="CT77" i="3"/>
  <c r="BY78" i="3" s="1"/>
  <c r="CA78" i="3" s="1"/>
  <c r="BJ78" i="3"/>
  <c r="AO79" i="3" s="1"/>
  <c r="AQ79" i="3" s="1"/>
  <c r="BS78" i="3"/>
  <c r="BD78" i="3"/>
  <c r="Q77" i="3" l="1"/>
  <c r="R77" i="3" s="1"/>
  <c r="CB78" i="3"/>
  <c r="CC78" i="3"/>
  <c r="CV77" i="3"/>
  <c r="CW77" i="3" s="1"/>
  <c r="CO77" i="3"/>
  <c r="DB77" i="3" s="1"/>
  <c r="AR79" i="3"/>
  <c r="BL78" i="3"/>
  <c r="BM78" i="3" s="1"/>
  <c r="BE78" i="3"/>
  <c r="BR78" i="3" s="1"/>
  <c r="X114" i="4"/>
  <c r="AA114" i="4" s="1"/>
  <c r="F115" i="4" s="1"/>
  <c r="W114" i="4"/>
  <c r="V114" i="4"/>
  <c r="AF114" i="4" s="1"/>
  <c r="S114" i="4"/>
  <c r="AE114" i="4" s="1"/>
  <c r="J115" i="4" l="1"/>
  <c r="K115" i="4" s="1"/>
  <c r="AI114" i="4"/>
  <c r="Z114" i="4"/>
  <c r="E115" i="4" s="1"/>
  <c r="G115" i="4" s="1"/>
  <c r="I115" i="4" s="1"/>
  <c r="T114" i="4"/>
  <c r="AT79" i="3"/>
  <c r="AW79" i="3" s="1"/>
  <c r="AU79" i="3"/>
  <c r="BN79" i="3" s="1"/>
  <c r="AS79" i="3"/>
  <c r="CD78" i="3"/>
  <c r="CG78" i="3" s="1"/>
  <c r="CJ78" i="3" s="1"/>
  <c r="X77" i="3"/>
  <c r="AA77" i="3" s="1"/>
  <c r="F78" i="3" s="1"/>
  <c r="W77" i="3"/>
  <c r="V77" i="3"/>
  <c r="AF77" i="3" s="1"/>
  <c r="S77" i="3"/>
  <c r="AE77" i="3" s="1"/>
  <c r="AB114" i="4" l="1"/>
  <c r="AC114" i="4" s="1"/>
  <c r="U114" i="4"/>
  <c r="AH114" i="4" s="1"/>
  <c r="Z77" i="3"/>
  <c r="E78" i="3" s="1"/>
  <c r="G78" i="3" s="1"/>
  <c r="AI77" i="3"/>
  <c r="T77" i="3"/>
  <c r="AZ79" i="3"/>
  <c r="AV79" i="3"/>
  <c r="CE78" i="3"/>
  <c r="L115" i="4"/>
  <c r="AD115" i="4"/>
  <c r="M115" i="4"/>
  <c r="P115" i="4" s="1"/>
  <c r="AB77" i="3" l="1"/>
  <c r="AC77" i="3" s="1"/>
  <c r="U77" i="3"/>
  <c r="AH77" i="3" s="1"/>
  <c r="AX79" i="3"/>
  <c r="AY79" i="3"/>
  <c r="H78" i="3"/>
  <c r="CX78" i="3"/>
  <c r="CF78" i="3"/>
  <c r="Q115" i="4"/>
  <c r="R115" i="4" s="1"/>
  <c r="X115" i="4" l="1"/>
  <c r="AA115" i="4" s="1"/>
  <c r="W115" i="4"/>
  <c r="V115" i="4"/>
  <c r="AF115" i="4" s="1"/>
  <c r="BA79" i="3"/>
  <c r="BB79" i="3" s="1"/>
  <c r="CH78" i="3"/>
  <c r="CI78" i="3"/>
  <c r="J78" i="3"/>
  <c r="M78" i="3" s="1"/>
  <c r="I78" i="3"/>
  <c r="S115" i="4"/>
  <c r="AE115" i="4" s="1"/>
  <c r="T115" i="4" l="1"/>
  <c r="K78" i="3"/>
  <c r="BH79" i="3"/>
  <c r="BK79" i="3" s="1"/>
  <c r="BF79" i="3"/>
  <c r="BP79" i="3" s="1"/>
  <c r="BG79" i="3"/>
  <c r="BC79" i="3"/>
  <c r="BO79" i="3" s="1"/>
  <c r="AB115" i="4"/>
  <c r="AC115" i="4" s="1"/>
  <c r="U115" i="4"/>
  <c r="AH115" i="4" s="1"/>
  <c r="P78" i="3"/>
  <c r="CK78" i="3"/>
  <c r="CL78" i="3" s="1"/>
  <c r="J11" i="4"/>
  <c r="AI115" i="4"/>
  <c r="Y115" i="4"/>
  <c r="Z115" i="4" s="1"/>
  <c r="I22" i="5"/>
  <c r="F116" i="4"/>
  <c r="C11" i="4"/>
  <c r="J116" i="4" l="1"/>
  <c r="K116" i="4" s="1"/>
  <c r="CR78" i="3"/>
  <c r="CU78" i="3" s="1"/>
  <c r="BZ79" i="3" s="1"/>
  <c r="CQ78" i="3"/>
  <c r="CP78" i="3"/>
  <c r="CZ78" i="3" s="1"/>
  <c r="CM78" i="3"/>
  <c r="CY78" i="3" s="1"/>
  <c r="G19" i="5"/>
  <c r="W8" i="3"/>
  <c r="BD79" i="3"/>
  <c r="BS79" i="3"/>
  <c r="BI79" i="3"/>
  <c r="AP80" i="3"/>
  <c r="P8" i="3"/>
  <c r="E22" i="5"/>
  <c r="E116" i="4"/>
  <c r="G116" i="4" s="1"/>
  <c r="I116" i="4" s="1"/>
  <c r="B11" i="4"/>
  <c r="D11" i="4" s="1"/>
  <c r="I11" i="4"/>
  <c r="AG115" i="4"/>
  <c r="AG116" i="4" s="1"/>
  <c r="AG117" i="4" s="1"/>
  <c r="AG118" i="4" s="1"/>
  <c r="AG119" i="4" s="1"/>
  <c r="AG120" i="4" s="1"/>
  <c r="AG121" i="4" s="1"/>
  <c r="AG122" i="4" s="1"/>
  <c r="AG123" i="4" s="1"/>
  <c r="AG124" i="4" s="1"/>
  <c r="AG125" i="4" s="1"/>
  <c r="AG126" i="4" s="1"/>
  <c r="AD78" i="3"/>
  <c r="L78" i="3"/>
  <c r="BL79" i="3" l="1"/>
  <c r="BM79" i="3" s="1"/>
  <c r="BE79" i="3"/>
  <c r="BR79" i="3" s="1"/>
  <c r="N78" i="3"/>
  <c r="O78" i="3"/>
  <c r="DC78" i="3"/>
  <c r="CT78" i="3"/>
  <c r="BY79" i="3" s="1"/>
  <c r="CA79" i="3" s="1"/>
  <c r="CN78" i="3"/>
  <c r="L116" i="4"/>
  <c r="AD116" i="4"/>
  <c r="V8" i="3"/>
  <c r="BQ79" i="3"/>
  <c r="BQ80" i="3" s="1"/>
  <c r="BQ81" i="3" s="1"/>
  <c r="BQ82" i="3" s="1"/>
  <c r="BQ83" i="3" s="1"/>
  <c r="BQ84" i="3" s="1"/>
  <c r="BQ85" i="3" s="1"/>
  <c r="BQ86" i="3" s="1"/>
  <c r="BQ87" i="3" s="1"/>
  <c r="BQ88" i="3" s="1"/>
  <c r="BQ89" i="3" s="1"/>
  <c r="BQ90" i="3" s="1"/>
  <c r="M116" i="4"/>
  <c r="P116" i="4" s="1"/>
  <c r="Q116" i="4" s="1"/>
  <c r="R116" i="4" s="1"/>
  <c r="BJ79" i="3"/>
  <c r="X116" i="4" l="1"/>
  <c r="AA116" i="4" s="1"/>
  <c r="F117" i="4" s="1"/>
  <c r="W116" i="4"/>
  <c r="C19" i="5"/>
  <c r="AO80" i="3"/>
  <c r="AQ80" i="3" s="1"/>
  <c r="O8" i="3"/>
  <c r="Q8" i="3" s="1"/>
  <c r="Q78" i="3"/>
  <c r="R78" i="3" s="1"/>
  <c r="S116" i="4"/>
  <c r="T116" i="4" s="1"/>
  <c r="V116" i="4"/>
  <c r="AF116" i="4" s="1"/>
  <c r="CV78" i="3"/>
  <c r="CW78" i="3" s="1"/>
  <c r="CO78" i="3"/>
  <c r="DB78" i="3" s="1"/>
  <c r="CB79" i="3"/>
  <c r="CC79" i="3" s="1"/>
  <c r="AB116" i="4" l="1"/>
  <c r="U116" i="4"/>
  <c r="AH116" i="4" s="1"/>
  <c r="CD79" i="3"/>
  <c r="CG79" i="3" s="1"/>
  <c r="X78" i="3"/>
  <c r="AA78" i="3" s="1"/>
  <c r="F79" i="3" s="1"/>
  <c r="W78" i="3"/>
  <c r="V78" i="3"/>
  <c r="AF78" i="3" s="1"/>
  <c r="S78" i="3"/>
  <c r="AE78" i="3" s="1"/>
  <c r="AR80" i="3"/>
  <c r="CJ79" i="3"/>
  <c r="AE116" i="4"/>
  <c r="AI116" i="4"/>
  <c r="Z116" i="4"/>
  <c r="E117" i="4" s="1"/>
  <c r="G117" i="4" s="1"/>
  <c r="I117" i="4" s="1"/>
  <c r="J117" i="4"/>
  <c r="K117" i="4" s="1"/>
  <c r="Z78" i="3" l="1"/>
  <c r="E79" i="3" s="1"/>
  <c r="G79" i="3" s="1"/>
  <c r="AI78" i="3"/>
  <c r="T78" i="3"/>
  <c r="M117" i="4"/>
  <c r="P117" i="4"/>
  <c r="Q117" i="4"/>
  <c r="R117" i="4" s="1"/>
  <c r="V117" i="4" s="1"/>
  <c r="AF117" i="4" s="1"/>
  <c r="CE79" i="3"/>
  <c r="AT80" i="3"/>
  <c r="AW80" i="3" s="1"/>
  <c r="AS80" i="3"/>
  <c r="L117" i="4"/>
  <c r="AD117" i="4"/>
  <c r="AC116" i="4"/>
  <c r="S117" i="4" l="1"/>
  <c r="AB78" i="3"/>
  <c r="AC78" i="3" s="1"/>
  <c r="U78" i="3"/>
  <c r="AH78" i="3" s="1"/>
  <c r="CX79" i="3"/>
  <c r="CF79" i="3"/>
  <c r="H79" i="3"/>
  <c r="AZ80" i="3"/>
  <c r="T117" i="4"/>
  <c r="X117" i="4"/>
  <c r="AA117" i="4" s="1"/>
  <c r="F118" i="4" s="1"/>
  <c r="W117" i="4"/>
  <c r="AU80" i="3"/>
  <c r="AI117" i="4" l="1"/>
  <c r="Z117" i="4"/>
  <c r="E118" i="4" s="1"/>
  <c r="G118" i="4" s="1"/>
  <c r="I118" i="4" s="1"/>
  <c r="CI79" i="3"/>
  <c r="CH79" i="3"/>
  <c r="J118" i="4"/>
  <c r="K118" i="4" s="1"/>
  <c r="AB117" i="4"/>
  <c r="U117" i="4"/>
  <c r="AH117" i="4" s="1"/>
  <c r="J79" i="3"/>
  <c r="M79" i="3" s="1"/>
  <c r="BN80" i="3"/>
  <c r="AV80" i="3"/>
  <c r="I79" i="3"/>
  <c r="AE117" i="4"/>
  <c r="L118" i="4" l="1"/>
  <c r="AD118" i="4"/>
  <c r="CK79" i="3"/>
  <c r="CL79" i="3" s="1"/>
  <c r="K79" i="3"/>
  <c r="AC117" i="4"/>
  <c r="M118" i="4"/>
  <c r="P118" i="4"/>
  <c r="P79" i="3"/>
  <c r="AX80" i="3"/>
  <c r="AY80" i="3"/>
  <c r="CR79" i="3" l="1"/>
  <c r="CU79" i="3" s="1"/>
  <c r="CP79" i="3"/>
  <c r="CZ79" i="3" s="1"/>
  <c r="CQ79" i="3"/>
  <c r="CM79" i="3"/>
  <c r="CY79" i="3" s="1"/>
  <c r="Q118" i="4"/>
  <c r="R118" i="4" s="1"/>
  <c r="AD79" i="3"/>
  <c r="L79" i="3"/>
  <c r="BA80" i="3"/>
  <c r="BB80" i="3" s="1"/>
  <c r="X118" i="4" l="1"/>
  <c r="AA118" i="4" s="1"/>
  <c r="F119" i="4" s="1"/>
  <c r="W118" i="4"/>
  <c r="V118" i="4"/>
  <c r="AF118" i="4" s="1"/>
  <c r="AJ8" i="3"/>
  <c r="CN79" i="3"/>
  <c r="BH80" i="3"/>
  <c r="BK80" i="3" s="1"/>
  <c r="AP81" i="3" s="1"/>
  <c r="BF80" i="3"/>
  <c r="BP80" i="3" s="1"/>
  <c r="BG80" i="3"/>
  <c r="BC80" i="3"/>
  <c r="N79" i="3"/>
  <c r="O79" i="3"/>
  <c r="H19" i="5"/>
  <c r="CS79" i="3"/>
  <c r="DC79" i="3"/>
  <c r="BZ80" i="3"/>
  <c r="AC8" i="3"/>
  <c r="S118" i="4"/>
  <c r="BO80" i="3" l="1"/>
  <c r="BD80" i="3"/>
  <c r="BJ80" i="3"/>
  <c r="AO81" i="3" s="1"/>
  <c r="AQ81" i="3" s="1"/>
  <c r="BS80" i="3"/>
  <c r="AE118" i="4"/>
  <c r="AI8" i="3"/>
  <c r="DA79" i="3"/>
  <c r="DA80" i="3" s="1"/>
  <c r="DA81" i="3" s="1"/>
  <c r="DA82" i="3" s="1"/>
  <c r="DA83" i="3" s="1"/>
  <c r="DA84" i="3" s="1"/>
  <c r="DA85" i="3" s="1"/>
  <c r="DA86" i="3" s="1"/>
  <c r="DA87" i="3" s="1"/>
  <c r="DA88" i="3" s="1"/>
  <c r="DA89" i="3" s="1"/>
  <c r="DA90" i="3" s="1"/>
  <c r="CV79" i="3"/>
  <c r="CW79" i="3" s="1"/>
  <c r="CO79" i="3"/>
  <c r="DB79" i="3" s="1"/>
  <c r="J119" i="4"/>
  <c r="K119" i="4" s="1"/>
  <c r="AI118" i="4"/>
  <c r="Z118" i="4"/>
  <c r="E119" i="4" s="1"/>
  <c r="G119" i="4" s="1"/>
  <c r="I119" i="4" s="1"/>
  <c r="CT79" i="3"/>
  <c r="T118" i="4"/>
  <c r="Q79" i="3"/>
  <c r="R79" i="3" s="1"/>
  <c r="L119" i="4" l="1"/>
  <c r="AD119" i="4"/>
  <c r="AR81" i="3"/>
  <c r="AS81" i="3"/>
  <c r="X79" i="3"/>
  <c r="AA79" i="3" s="1"/>
  <c r="W79" i="3"/>
  <c r="V79" i="3"/>
  <c r="AF79" i="3" s="1"/>
  <c r="S79" i="3"/>
  <c r="AE79" i="3" s="1"/>
  <c r="AB118" i="4"/>
  <c r="U118" i="4"/>
  <c r="AH118" i="4" s="1"/>
  <c r="M119" i="4"/>
  <c r="P119" i="4" s="1"/>
  <c r="D19" i="5"/>
  <c r="BY80" i="3"/>
  <c r="CA80" i="3" s="1"/>
  <c r="AB8" i="3"/>
  <c r="AD8" i="3" s="1"/>
  <c r="BL80" i="3"/>
  <c r="BE80" i="3"/>
  <c r="BR80" i="3" s="1"/>
  <c r="Q119" i="4" l="1"/>
  <c r="R119" i="4" s="1"/>
  <c r="AC118" i="4"/>
  <c r="BM80" i="3"/>
  <c r="Y79" i="3"/>
  <c r="AI79" i="3"/>
  <c r="J8" i="3"/>
  <c r="T79" i="3"/>
  <c r="CB80" i="3"/>
  <c r="AT81" i="3"/>
  <c r="AW81" i="3" s="1"/>
  <c r="F19" i="5"/>
  <c r="F80" i="3"/>
  <c r="C8" i="3"/>
  <c r="AZ81" i="3"/>
  <c r="AU81" i="3" l="1"/>
  <c r="CD80" i="3"/>
  <c r="CG80" i="3" s="1"/>
  <c r="I8" i="3"/>
  <c r="AG79" i="3"/>
  <c r="AG80" i="3" s="1"/>
  <c r="AG81" i="3" s="1"/>
  <c r="AG82" i="3" s="1"/>
  <c r="AG83" i="3" s="1"/>
  <c r="AG84" i="3" s="1"/>
  <c r="AG85" i="3" s="1"/>
  <c r="AG86" i="3" s="1"/>
  <c r="AG87" i="3" s="1"/>
  <c r="AG88" i="3" s="1"/>
  <c r="AG89" i="3" s="1"/>
  <c r="AG90" i="3" s="1"/>
  <c r="CC80" i="3"/>
  <c r="BN81" i="3"/>
  <c r="AB79" i="3"/>
  <c r="AC79" i="3" s="1"/>
  <c r="U79" i="3"/>
  <c r="AH79" i="3" s="1"/>
  <c r="Z79" i="3"/>
  <c r="X119" i="4"/>
  <c r="AA119" i="4" s="1"/>
  <c r="F120" i="4" s="1"/>
  <c r="W119" i="4"/>
  <c r="V119" i="4"/>
  <c r="AF119" i="4" s="1"/>
  <c r="AV81" i="3"/>
  <c r="S119" i="4"/>
  <c r="CE80" i="3" l="1"/>
  <c r="B19" i="5"/>
  <c r="E80" i="3"/>
  <c r="G80" i="3" s="1"/>
  <c r="B8" i="3"/>
  <c r="D8" i="3" s="1"/>
  <c r="CJ80" i="3"/>
  <c r="AE119" i="4"/>
  <c r="AX81" i="3"/>
  <c r="AY81" i="3"/>
  <c r="J120" i="4"/>
  <c r="K120" i="4" s="1"/>
  <c r="AI119" i="4"/>
  <c r="Z119" i="4"/>
  <c r="E120" i="4" s="1"/>
  <c r="G120" i="4" s="1"/>
  <c r="I120" i="4" s="1"/>
  <c r="CX80" i="3"/>
  <c r="T119" i="4"/>
  <c r="CF80" i="3"/>
  <c r="L120" i="4" l="1"/>
  <c r="AD120" i="4"/>
  <c r="H80" i="3"/>
  <c r="I80" i="3" s="1"/>
  <c r="BA81" i="3"/>
  <c r="BB81" i="3" s="1"/>
  <c r="CH80" i="3"/>
  <c r="CI80" i="3"/>
  <c r="AB119" i="4"/>
  <c r="U119" i="4"/>
  <c r="AH119" i="4" s="1"/>
  <c r="M120" i="4"/>
  <c r="P120" i="4" s="1"/>
  <c r="Q120" i="4" l="1"/>
  <c r="R120" i="4" s="1"/>
  <c r="CK80" i="3"/>
  <c r="CL80" i="3" s="1"/>
  <c r="J80" i="3"/>
  <c r="M80" i="3" s="1"/>
  <c r="P80" i="3" s="1"/>
  <c r="BH81" i="3"/>
  <c r="BK81" i="3" s="1"/>
  <c r="AP82" i="3" s="1"/>
  <c r="BF81" i="3"/>
  <c r="BP81" i="3" s="1"/>
  <c r="BG81" i="3"/>
  <c r="BC81" i="3"/>
  <c r="AC119" i="4"/>
  <c r="BO81" i="3" l="1"/>
  <c r="BD81" i="3"/>
  <c r="K80" i="3"/>
  <c r="CR80" i="3"/>
  <c r="CU80" i="3" s="1"/>
  <c r="BZ81" i="3" s="1"/>
  <c r="CQ80" i="3"/>
  <c r="CP80" i="3"/>
  <c r="CZ80" i="3" s="1"/>
  <c r="CM80" i="3"/>
  <c r="BS81" i="3"/>
  <c r="BJ81" i="3"/>
  <c r="AO82" i="3" s="1"/>
  <c r="AQ82" i="3" s="1"/>
  <c r="X120" i="4"/>
  <c r="AA120" i="4" s="1"/>
  <c r="F121" i="4" s="1"/>
  <c r="W120" i="4"/>
  <c r="V120" i="4"/>
  <c r="AF120" i="4" s="1"/>
  <c r="S120" i="4"/>
  <c r="AE120" i="4" s="1"/>
  <c r="T120" i="4" l="1"/>
  <c r="CY80" i="3"/>
  <c r="AD80" i="3"/>
  <c r="L80" i="3"/>
  <c r="AB120" i="4"/>
  <c r="AC120" i="4" s="1"/>
  <c r="U120" i="4"/>
  <c r="AH120" i="4" s="1"/>
  <c r="CT80" i="3"/>
  <c r="BY81" i="3" s="1"/>
  <c r="CA81" i="3" s="1"/>
  <c r="DC80" i="3"/>
  <c r="CN80" i="3"/>
  <c r="BL81" i="3"/>
  <c r="BE81" i="3"/>
  <c r="BR81" i="3" s="1"/>
  <c r="AI120" i="4"/>
  <c r="Z120" i="4"/>
  <c r="E121" i="4" s="1"/>
  <c r="G121" i="4" s="1"/>
  <c r="I121" i="4" s="1"/>
  <c r="AR82" i="3"/>
  <c r="AS82" i="3" s="1"/>
  <c r="J121" i="4"/>
  <c r="K121" i="4" s="1"/>
  <c r="BM81" i="3" l="1"/>
  <c r="CV80" i="3"/>
  <c r="CO80" i="3"/>
  <c r="DB80" i="3" s="1"/>
  <c r="L121" i="4"/>
  <c r="AD121" i="4"/>
  <c r="CB81" i="3"/>
  <c r="M121" i="4"/>
  <c r="P121" i="4" s="1"/>
  <c r="Q121" i="4" s="1"/>
  <c r="R121" i="4" s="1"/>
  <c r="W121" i="4" s="1"/>
  <c r="N80" i="3"/>
  <c r="O80" i="3"/>
  <c r="AT82" i="3"/>
  <c r="AW82" i="3" s="1"/>
  <c r="AZ82" i="3" s="1"/>
  <c r="AI121" i="4" l="1"/>
  <c r="Z121" i="4"/>
  <c r="E122" i="4" s="1"/>
  <c r="G122" i="4" s="1"/>
  <c r="I122" i="4" s="1"/>
  <c r="X121" i="4"/>
  <c r="AA121" i="4" s="1"/>
  <c r="F122" i="4" s="1"/>
  <c r="AU82" i="3"/>
  <c r="V121" i="4"/>
  <c r="AF121" i="4" s="1"/>
  <c r="S121" i="4"/>
  <c r="AE121" i="4" s="1"/>
  <c r="Q80" i="3"/>
  <c r="R80" i="3" s="1"/>
  <c r="CW80" i="3"/>
  <c r="CD81" i="3"/>
  <c r="CG81" i="3" s="1"/>
  <c r="CC81" i="3"/>
  <c r="CE81" i="3" l="1"/>
  <c r="CF81" i="3" s="1"/>
  <c r="J122" i="4"/>
  <c r="K122" i="4" s="1"/>
  <c r="CH81" i="3"/>
  <c r="CI81" i="3"/>
  <c r="X80" i="3"/>
  <c r="AA80" i="3" s="1"/>
  <c r="F81" i="3" s="1"/>
  <c r="W80" i="3"/>
  <c r="V80" i="3"/>
  <c r="AF80" i="3" s="1"/>
  <c r="S80" i="3"/>
  <c r="BN82" i="3"/>
  <c r="AV82" i="3"/>
  <c r="T121" i="4"/>
  <c r="CJ81" i="3"/>
  <c r="CX81" i="3"/>
  <c r="AE80" i="3" l="1"/>
  <c r="Z80" i="3"/>
  <c r="E81" i="3" s="1"/>
  <c r="G81" i="3" s="1"/>
  <c r="AI80" i="3"/>
  <c r="T80" i="3"/>
  <c r="L122" i="4"/>
  <c r="AD122" i="4"/>
  <c r="CK81" i="3"/>
  <c r="CL81" i="3" s="1"/>
  <c r="AB121" i="4"/>
  <c r="AC121" i="4" s="1"/>
  <c r="U121" i="4"/>
  <c r="AH121" i="4" s="1"/>
  <c r="AY82" i="3"/>
  <c r="AX82" i="3"/>
  <c r="M122" i="4"/>
  <c r="P122" i="4" s="1"/>
  <c r="CR81" i="3" l="1"/>
  <c r="CU81" i="3" s="1"/>
  <c r="BZ82" i="3" s="1"/>
  <c r="CP81" i="3"/>
  <c r="CZ81" i="3" s="1"/>
  <c r="CQ81" i="3"/>
  <c r="CM81" i="3"/>
  <c r="CN81" i="3" s="1"/>
  <c r="AB80" i="3"/>
  <c r="U80" i="3"/>
  <c r="AH80" i="3" s="1"/>
  <c r="H81" i="3"/>
  <c r="I81" i="3" s="1"/>
  <c r="BA82" i="3"/>
  <c r="BB82" i="3" s="1"/>
  <c r="Q122" i="4"/>
  <c r="R122" i="4" s="1"/>
  <c r="S122" i="4" s="1"/>
  <c r="AE122" i="4" s="1"/>
  <c r="CV81" i="3" l="1"/>
  <c r="CO81" i="3"/>
  <c r="DB81" i="3" s="1"/>
  <c r="BH82" i="3"/>
  <c r="BK82" i="3" s="1"/>
  <c r="AP83" i="3" s="1"/>
  <c r="BF82" i="3"/>
  <c r="BP82" i="3" s="1"/>
  <c r="BG82" i="3"/>
  <c r="BC82" i="3"/>
  <c r="CT81" i="3"/>
  <c r="BY82" i="3" s="1"/>
  <c r="CA82" i="3" s="1"/>
  <c r="DC81" i="3"/>
  <c r="J81" i="3"/>
  <c r="M81" i="3" s="1"/>
  <c r="P81" i="3" s="1"/>
  <c r="AC80" i="3"/>
  <c r="CY81" i="3"/>
  <c r="T122" i="4"/>
  <c r="X122" i="4"/>
  <c r="AA122" i="4" s="1"/>
  <c r="F123" i="4" s="1"/>
  <c r="W122" i="4"/>
  <c r="V122" i="4"/>
  <c r="AF122" i="4" s="1"/>
  <c r="CB82" i="3" l="1"/>
  <c r="CC82" i="3" s="1"/>
  <c r="K81" i="3"/>
  <c r="BJ82" i="3"/>
  <c r="AO83" i="3" s="1"/>
  <c r="AQ83" i="3" s="1"/>
  <c r="BS82" i="3"/>
  <c r="BO82" i="3"/>
  <c r="J123" i="4"/>
  <c r="K123" i="4" s="1"/>
  <c r="AB122" i="4"/>
  <c r="AC122" i="4" s="1"/>
  <c r="U122" i="4"/>
  <c r="AH122" i="4" s="1"/>
  <c r="BD82" i="3"/>
  <c r="Z122" i="4"/>
  <c r="E123" i="4" s="1"/>
  <c r="G123" i="4" s="1"/>
  <c r="I123" i="4" s="1"/>
  <c r="AI122" i="4"/>
  <c r="CW81" i="3"/>
  <c r="M123" i="4" l="1"/>
  <c r="P123" i="4" s="1"/>
  <c r="BL82" i="3"/>
  <c r="BE82" i="3"/>
  <c r="BR82" i="3" s="1"/>
  <c r="AD81" i="3"/>
  <c r="L81" i="3"/>
  <c r="L123" i="4"/>
  <c r="AD123" i="4"/>
  <c r="AR83" i="3"/>
  <c r="CD82" i="3"/>
  <c r="CG82" i="3" s="1"/>
  <c r="CJ82" i="3" s="1"/>
  <c r="Q123" i="4" l="1"/>
  <c r="R123" i="4" s="1"/>
  <c r="BM82" i="3"/>
  <c r="CE82" i="3"/>
  <c r="AT83" i="3"/>
  <c r="AW83" i="3" s="1"/>
  <c r="AS83" i="3"/>
  <c r="N81" i="3"/>
  <c r="O81" i="3"/>
  <c r="AZ83" i="3" l="1"/>
  <c r="CX82" i="3"/>
  <c r="CF82" i="3"/>
  <c r="AU83" i="3"/>
  <c r="X123" i="4"/>
  <c r="AA123" i="4" s="1"/>
  <c r="F124" i="4" s="1"/>
  <c r="W123" i="4"/>
  <c r="V123" i="4"/>
  <c r="AF123" i="4" s="1"/>
  <c r="S123" i="4"/>
  <c r="AE123" i="4" s="1"/>
  <c r="Q81" i="3"/>
  <c r="R81" i="3" s="1"/>
  <c r="T123" i="4" l="1"/>
  <c r="Z123" i="4"/>
  <c r="E124" i="4" s="1"/>
  <c r="G124" i="4" s="1"/>
  <c r="I124" i="4" s="1"/>
  <c r="AI123" i="4"/>
  <c r="X81" i="3"/>
  <c r="AA81" i="3" s="1"/>
  <c r="F82" i="3" s="1"/>
  <c r="W81" i="3"/>
  <c r="V81" i="3"/>
  <c r="AF81" i="3" s="1"/>
  <c r="S81" i="3"/>
  <c r="J124" i="4"/>
  <c r="K124" i="4" s="1"/>
  <c r="BN83" i="3"/>
  <c r="AV83" i="3"/>
  <c r="CH82" i="3"/>
  <c r="CI82" i="3"/>
  <c r="AX83" i="3" l="1"/>
  <c r="AY83" i="3"/>
  <c r="M124" i="4"/>
  <c r="P124" i="4" s="1"/>
  <c r="AE81" i="3"/>
  <c r="AB123" i="4"/>
  <c r="AC123" i="4" s="1"/>
  <c r="U123" i="4"/>
  <c r="AH123" i="4" s="1"/>
  <c r="L124" i="4"/>
  <c r="AD124" i="4"/>
  <c r="Z81" i="3"/>
  <c r="E82" i="3" s="1"/>
  <c r="G82" i="3" s="1"/>
  <c r="AI81" i="3"/>
  <c r="T81" i="3"/>
  <c r="CK82" i="3"/>
  <c r="CL82" i="3" s="1"/>
  <c r="Q124" i="4" l="1"/>
  <c r="R124" i="4" s="1"/>
  <c r="CR82" i="3"/>
  <c r="CU82" i="3" s="1"/>
  <c r="BZ83" i="3" s="1"/>
  <c r="CP82" i="3"/>
  <c r="CZ82" i="3" s="1"/>
  <c r="CQ82" i="3"/>
  <c r="CM82" i="3"/>
  <c r="H82" i="3"/>
  <c r="BA83" i="3"/>
  <c r="BB83" i="3" s="1"/>
  <c r="AB81" i="3"/>
  <c r="U81" i="3"/>
  <c r="AH81" i="3" s="1"/>
  <c r="BH83" i="3" l="1"/>
  <c r="BK83" i="3" s="1"/>
  <c r="AP84" i="3" s="1"/>
  <c r="BG83" i="3"/>
  <c r="BF83" i="3"/>
  <c r="BP83" i="3" s="1"/>
  <c r="BC83" i="3"/>
  <c r="BD83" i="3" s="1"/>
  <c r="CT82" i="3"/>
  <c r="BY83" i="3" s="1"/>
  <c r="CA83" i="3" s="1"/>
  <c r="DC82" i="3"/>
  <c r="AC81" i="3"/>
  <c r="X124" i="4"/>
  <c r="AA124" i="4" s="1"/>
  <c r="F125" i="4" s="1"/>
  <c r="W124" i="4"/>
  <c r="V124" i="4"/>
  <c r="AF124" i="4" s="1"/>
  <c r="J82" i="3"/>
  <c r="M82" i="3" s="1"/>
  <c r="I82" i="3"/>
  <c r="CY82" i="3"/>
  <c r="CN82" i="3"/>
  <c r="S124" i="4"/>
  <c r="AE124" i="4" s="1"/>
  <c r="T124" i="4" l="1"/>
  <c r="K82" i="3"/>
  <c r="L82" i="3" s="1"/>
  <c r="N82" i="3"/>
  <c r="O82" i="3"/>
  <c r="BL83" i="3"/>
  <c r="BE83" i="3"/>
  <c r="BR83" i="3" s="1"/>
  <c r="AB124" i="4"/>
  <c r="AC124" i="4" s="1"/>
  <c r="U124" i="4"/>
  <c r="AH124" i="4" s="1"/>
  <c r="J125" i="4"/>
  <c r="K125" i="4" s="1"/>
  <c r="Z124" i="4"/>
  <c r="E125" i="4" s="1"/>
  <c r="G125" i="4" s="1"/>
  <c r="I125" i="4" s="1"/>
  <c r="AI124" i="4"/>
  <c r="AD82" i="3"/>
  <c r="CV82" i="3"/>
  <c r="CO82" i="3"/>
  <c r="DB82" i="3" s="1"/>
  <c r="CB83" i="3"/>
  <c r="CC83" i="3" s="1"/>
  <c r="BO83" i="3"/>
  <c r="P82" i="3"/>
  <c r="BJ83" i="3"/>
  <c r="AO84" i="3" s="1"/>
  <c r="AQ84" i="3" s="1"/>
  <c r="BS83" i="3"/>
  <c r="AR84" i="3" l="1"/>
  <c r="L125" i="4"/>
  <c r="AD125" i="4"/>
  <c r="CD83" i="3"/>
  <c r="CG83" i="3" s="1"/>
  <c r="CJ83" i="3" s="1"/>
  <c r="Q82" i="3"/>
  <c r="R82" i="3" s="1"/>
  <c r="M125" i="4"/>
  <c r="P125" i="4" s="1"/>
  <c r="BM83" i="3"/>
  <c r="CW82" i="3"/>
  <c r="Q125" i="4" l="1"/>
  <c r="R125" i="4" s="1"/>
  <c r="X82" i="3"/>
  <c r="AA82" i="3" s="1"/>
  <c r="F83" i="3" s="1"/>
  <c r="V82" i="3"/>
  <c r="AF82" i="3" s="1"/>
  <c r="W82" i="3"/>
  <c r="CE83" i="3"/>
  <c r="AT84" i="3"/>
  <c r="AW84" i="3" s="1"/>
  <c r="AS84" i="3"/>
  <c r="S82" i="3"/>
  <c r="AE82" i="3" l="1"/>
  <c r="AU84" i="3"/>
  <c r="AI82" i="3"/>
  <c r="Z82" i="3"/>
  <c r="E83" i="3" s="1"/>
  <c r="G83" i="3" s="1"/>
  <c r="AZ84" i="3"/>
  <c r="CX83" i="3"/>
  <c r="CF83" i="3"/>
  <c r="T82" i="3"/>
  <c r="X125" i="4"/>
  <c r="AA125" i="4" s="1"/>
  <c r="F126" i="4" s="1"/>
  <c r="W125" i="4"/>
  <c r="V125" i="4"/>
  <c r="AF125" i="4" s="1"/>
  <c r="S125" i="4"/>
  <c r="AE125" i="4" s="1"/>
  <c r="T125" i="4" l="1"/>
  <c r="J126" i="4"/>
  <c r="K126" i="4" s="1"/>
  <c r="CH83" i="3"/>
  <c r="CI83" i="3"/>
  <c r="BN84" i="3"/>
  <c r="AV84" i="3"/>
  <c r="AB125" i="4"/>
  <c r="AC125" i="4" s="1"/>
  <c r="U125" i="4"/>
  <c r="AH125" i="4" s="1"/>
  <c r="AB82" i="3"/>
  <c r="U82" i="3"/>
  <c r="AH82" i="3" s="1"/>
  <c r="H83" i="3"/>
  <c r="AI125" i="4"/>
  <c r="Z125" i="4"/>
  <c r="E126" i="4" s="1"/>
  <c r="G126" i="4" s="1"/>
  <c r="I126" i="4" s="1"/>
  <c r="J83" i="3" l="1"/>
  <c r="M83" i="3" s="1"/>
  <c r="K83" i="3"/>
  <c r="AC82" i="3"/>
  <c r="I83" i="3"/>
  <c r="AX84" i="3"/>
  <c r="AY84" i="3"/>
  <c r="CK83" i="3"/>
  <c r="CL83" i="3" s="1"/>
  <c r="L126" i="4"/>
  <c r="AD126" i="4"/>
  <c r="M126" i="4"/>
  <c r="P126" i="4" s="1"/>
  <c r="BA84" i="3" l="1"/>
  <c r="BB84" i="3" s="1"/>
  <c r="CR83" i="3"/>
  <c r="CU83" i="3" s="1"/>
  <c r="BZ84" i="3" s="1"/>
  <c r="CQ83" i="3"/>
  <c r="CP83" i="3"/>
  <c r="CZ83" i="3" s="1"/>
  <c r="CM83" i="3"/>
  <c r="P83" i="3"/>
  <c r="AD83" i="3"/>
  <c r="Q126" i="4"/>
  <c r="R126" i="4" s="1"/>
  <c r="S126" i="4" s="1"/>
  <c r="AE126" i="4" s="1"/>
  <c r="L83" i="3"/>
  <c r="T126" i="4" l="1"/>
  <c r="X126" i="4"/>
  <c r="AA126" i="4" s="1"/>
  <c r="F127" i="4" s="1"/>
  <c r="V126" i="4"/>
  <c r="AF126" i="4" s="1"/>
  <c r="W126" i="4"/>
  <c r="CY83" i="3"/>
  <c r="CT83" i="3"/>
  <c r="BY84" i="3" s="1"/>
  <c r="CA84" i="3" s="1"/>
  <c r="DC83" i="3"/>
  <c r="CN83" i="3"/>
  <c r="N83" i="3"/>
  <c r="O83" i="3"/>
  <c r="BH84" i="3"/>
  <c r="BK84" i="3" s="1"/>
  <c r="AP85" i="3" s="1"/>
  <c r="BF84" i="3"/>
  <c r="BP84" i="3" s="1"/>
  <c r="BG84" i="3"/>
  <c r="BC84" i="3"/>
  <c r="BO84" i="3" s="1"/>
  <c r="CV83" i="3" l="1"/>
  <c r="CO83" i="3"/>
  <c r="DB83" i="3" s="1"/>
  <c r="BJ84" i="3"/>
  <c r="AO85" i="3" s="1"/>
  <c r="AQ85" i="3" s="1"/>
  <c r="BS84" i="3"/>
  <c r="BD84" i="3"/>
  <c r="AI126" i="4"/>
  <c r="Z126" i="4"/>
  <c r="E127" i="4" s="1"/>
  <c r="G127" i="4" s="1"/>
  <c r="I127" i="4" s="1"/>
  <c r="AB126" i="4"/>
  <c r="AC126" i="4" s="1"/>
  <c r="U126" i="4"/>
  <c r="AH126" i="4" s="1"/>
  <c r="CB84" i="3"/>
  <c r="J127" i="4"/>
  <c r="K127" i="4" s="1"/>
  <c r="Q83" i="3"/>
  <c r="R83" i="3" s="1"/>
  <c r="CD84" i="3" l="1"/>
  <c r="CG84" i="3" s="1"/>
  <c r="CE84" i="3"/>
  <c r="CC84" i="3"/>
  <c r="X83" i="3"/>
  <c r="AA83" i="3" s="1"/>
  <c r="F84" i="3" s="1"/>
  <c r="W83" i="3"/>
  <c r="V83" i="3"/>
  <c r="AF83" i="3" s="1"/>
  <c r="S83" i="3"/>
  <c r="BL84" i="3"/>
  <c r="BM84" i="3" s="1"/>
  <c r="BE84" i="3"/>
  <c r="BR84" i="3" s="1"/>
  <c r="AR85" i="3"/>
  <c r="AS85" i="3" s="1"/>
  <c r="L127" i="4"/>
  <c r="AD127" i="4"/>
  <c r="M127" i="4"/>
  <c r="P127" i="4" s="1"/>
  <c r="CW83" i="3"/>
  <c r="Q127" i="4" l="1"/>
  <c r="R127" i="4" s="1"/>
  <c r="AE83" i="3"/>
  <c r="Z83" i="3"/>
  <c r="E84" i="3" s="1"/>
  <c r="G84" i="3" s="1"/>
  <c r="AI83" i="3"/>
  <c r="T83" i="3"/>
  <c r="AT85" i="3"/>
  <c r="AW85" i="3" s="1"/>
  <c r="AZ85" i="3" s="1"/>
  <c r="CJ84" i="3"/>
  <c r="CX84" i="3"/>
  <c r="CF84" i="3"/>
  <c r="AB83" i="3" l="1"/>
  <c r="U83" i="3"/>
  <c r="AH83" i="3" s="1"/>
  <c r="CH84" i="3"/>
  <c r="CI84" i="3"/>
  <c r="H84" i="3"/>
  <c r="I84" i="3"/>
  <c r="AU85" i="3"/>
  <c r="X127" i="4"/>
  <c r="AA127" i="4" s="1"/>
  <c r="V127" i="4"/>
  <c r="AF127" i="4" s="1"/>
  <c r="W127" i="4"/>
  <c r="S127" i="4"/>
  <c r="AE127" i="4" s="1"/>
  <c r="T127" i="4" l="1"/>
  <c r="F128" i="4"/>
  <c r="C12" i="4"/>
  <c r="BN85" i="3"/>
  <c r="AV85" i="3"/>
  <c r="CK84" i="3"/>
  <c r="CL84" i="3" s="1"/>
  <c r="J12" i="4"/>
  <c r="AB127" i="4"/>
  <c r="AC127" i="4" s="1"/>
  <c r="U127" i="4"/>
  <c r="AH127" i="4" s="1"/>
  <c r="J84" i="3"/>
  <c r="M84" i="3" s="1"/>
  <c r="P84" i="3" s="1"/>
  <c r="AC83" i="3"/>
  <c r="I23" i="5"/>
  <c r="Y127" i="4"/>
  <c r="AI127" i="4"/>
  <c r="K84" i="3" l="1"/>
  <c r="I12" i="4"/>
  <c r="AG127" i="4"/>
  <c r="AG128" i="4" s="1"/>
  <c r="AG129" i="4" s="1"/>
  <c r="AG130" i="4" s="1"/>
  <c r="AG131" i="4" s="1"/>
  <c r="AG132" i="4" s="1"/>
  <c r="AG133" i="4" s="1"/>
  <c r="AG134" i="4" s="1"/>
  <c r="AG135" i="4" s="1"/>
  <c r="AG136" i="4" s="1"/>
  <c r="AG137" i="4" s="1"/>
  <c r="AG138" i="4" s="1"/>
  <c r="Z127" i="4"/>
  <c r="CR84" i="3"/>
  <c r="CU84" i="3" s="1"/>
  <c r="BZ85" i="3" s="1"/>
  <c r="CQ84" i="3"/>
  <c r="CP84" i="3"/>
  <c r="CZ84" i="3" s="1"/>
  <c r="CM84" i="3"/>
  <c r="CY84" i="3" s="1"/>
  <c r="AX85" i="3"/>
  <c r="AY85" i="3"/>
  <c r="J128" i="4"/>
  <c r="K128" i="4" s="1"/>
  <c r="DC84" i="3" l="1"/>
  <c r="CT84" i="3"/>
  <c r="BY85" i="3" s="1"/>
  <c r="CA85" i="3" s="1"/>
  <c r="CN84" i="3"/>
  <c r="E23" i="5"/>
  <c r="E128" i="4"/>
  <c r="G128" i="4" s="1"/>
  <c r="I128" i="4" s="1"/>
  <c r="B12" i="4"/>
  <c r="D12" i="4" s="1"/>
  <c r="BA85" i="3"/>
  <c r="BB85" i="3" s="1"/>
  <c r="L128" i="4"/>
  <c r="AD128" i="4"/>
  <c r="M128" i="4"/>
  <c r="AD84" i="3"/>
  <c r="L84" i="3"/>
  <c r="N84" i="3" l="1"/>
  <c r="O84" i="3"/>
  <c r="BH85" i="3"/>
  <c r="BK85" i="3" s="1"/>
  <c r="AP86" i="3" s="1"/>
  <c r="BF85" i="3"/>
  <c r="BP85" i="3" s="1"/>
  <c r="BG85" i="3"/>
  <c r="BC85" i="3"/>
  <c r="BO85" i="3" s="1"/>
  <c r="CB85" i="3"/>
  <c r="P128" i="4"/>
  <c r="CV84" i="3"/>
  <c r="CW84" i="3" s="1"/>
  <c r="CO84" i="3"/>
  <c r="DB84" i="3" s="1"/>
  <c r="CD85" i="3" l="1"/>
  <c r="CG85" i="3" s="1"/>
  <c r="CE85" i="3"/>
  <c r="CX85" i="3" s="1"/>
  <c r="CC85" i="3"/>
  <c r="BJ85" i="3"/>
  <c r="AO86" i="3" s="1"/>
  <c r="AQ86" i="3" s="1"/>
  <c r="BS85" i="3"/>
  <c r="BD85" i="3"/>
  <c r="Q84" i="3"/>
  <c r="R84" i="3" s="1"/>
  <c r="Q128" i="4"/>
  <c r="R128" i="4" s="1"/>
  <c r="X128" i="4" l="1"/>
  <c r="AA128" i="4" s="1"/>
  <c r="F129" i="4" s="1"/>
  <c r="V128" i="4"/>
  <c r="AF128" i="4" s="1"/>
  <c r="W128" i="4"/>
  <c r="CJ85" i="3"/>
  <c r="X84" i="3"/>
  <c r="AA84" i="3" s="1"/>
  <c r="F85" i="3" s="1"/>
  <c r="W84" i="3"/>
  <c r="V84" i="3"/>
  <c r="AF84" i="3" s="1"/>
  <c r="S84" i="3"/>
  <c r="AE84" i="3" s="1"/>
  <c r="BL85" i="3"/>
  <c r="BM85" i="3" s="1"/>
  <c r="BE85" i="3"/>
  <c r="BR85" i="3" s="1"/>
  <c r="AR86" i="3"/>
  <c r="AS86" i="3" s="1"/>
  <c r="S128" i="4"/>
  <c r="T128" i="4" s="1"/>
  <c r="CF85" i="3"/>
  <c r="AB128" i="4" l="1"/>
  <c r="U128" i="4"/>
  <c r="AH128" i="4" s="1"/>
  <c r="T84" i="3"/>
  <c r="Z128" i="4"/>
  <c r="E129" i="4" s="1"/>
  <c r="G129" i="4" s="1"/>
  <c r="I129" i="4" s="1"/>
  <c r="AI128" i="4"/>
  <c r="CH85" i="3"/>
  <c r="CI85" i="3"/>
  <c r="AT86" i="3"/>
  <c r="AW86" i="3" s="1"/>
  <c r="AZ86" i="3" s="1"/>
  <c r="AI84" i="3"/>
  <c r="Z84" i="3"/>
  <c r="E85" i="3" s="1"/>
  <c r="G85" i="3" s="1"/>
  <c r="AE128" i="4"/>
  <c r="J129" i="4"/>
  <c r="K129" i="4" s="1"/>
  <c r="L129" i="4" l="1"/>
  <c r="AD129" i="4"/>
  <c r="M129" i="4"/>
  <c r="H85" i="3"/>
  <c r="I85" i="3" s="1"/>
  <c r="CK85" i="3"/>
  <c r="CL85" i="3" s="1"/>
  <c r="P129" i="4"/>
  <c r="Q129" i="4" s="1"/>
  <c r="R129" i="4" s="1"/>
  <c r="AB84" i="3"/>
  <c r="AC84" i="3" s="1"/>
  <c r="U84" i="3"/>
  <c r="AH84" i="3" s="1"/>
  <c r="AU86" i="3"/>
  <c r="AC128" i="4"/>
  <c r="X129" i="4" l="1"/>
  <c r="AA129" i="4" s="1"/>
  <c r="F130" i="4" s="1"/>
  <c r="W129" i="4"/>
  <c r="S129" i="4"/>
  <c r="T129" i="4" s="1"/>
  <c r="CR85" i="3"/>
  <c r="CU85" i="3" s="1"/>
  <c r="BZ86" i="3" s="1"/>
  <c r="CQ85" i="3"/>
  <c r="CP85" i="3"/>
  <c r="CZ85" i="3" s="1"/>
  <c r="CM85" i="3"/>
  <c r="CY85" i="3" s="1"/>
  <c r="BN86" i="3"/>
  <c r="AV86" i="3"/>
  <c r="V129" i="4"/>
  <c r="AF129" i="4" s="1"/>
  <c r="J85" i="3"/>
  <c r="M85" i="3" s="1"/>
  <c r="P85" i="3" s="1"/>
  <c r="AB129" i="4" l="1"/>
  <c r="U129" i="4"/>
  <c r="AH129" i="4" s="1"/>
  <c r="AX86" i="3"/>
  <c r="AY86" i="3"/>
  <c r="Z129" i="4"/>
  <c r="E130" i="4" s="1"/>
  <c r="G130" i="4" s="1"/>
  <c r="I130" i="4" s="1"/>
  <c r="AI129" i="4"/>
  <c r="CT85" i="3"/>
  <c r="BY86" i="3" s="1"/>
  <c r="CA86" i="3" s="1"/>
  <c r="DC85" i="3"/>
  <c r="CN85" i="3"/>
  <c r="K85" i="3"/>
  <c r="AE129" i="4"/>
  <c r="J130" i="4"/>
  <c r="K130" i="4" s="1"/>
  <c r="CV85" i="3" l="1"/>
  <c r="CW85" i="3" s="1"/>
  <c r="CO85" i="3"/>
  <c r="DB85" i="3" s="1"/>
  <c r="CB86" i="3"/>
  <c r="BA86" i="3"/>
  <c r="BB86" i="3" s="1"/>
  <c r="L130" i="4"/>
  <c r="AD130" i="4"/>
  <c r="M130" i="4"/>
  <c r="P130" i="4" s="1"/>
  <c r="AC129" i="4"/>
  <c r="AD85" i="3"/>
  <c r="L85" i="3"/>
  <c r="Q130" i="4" l="1"/>
  <c r="R130" i="4" s="1"/>
  <c r="CD86" i="3"/>
  <c r="CG86" i="3" s="1"/>
  <c r="O85" i="3"/>
  <c r="N85" i="3"/>
  <c r="BH86" i="3"/>
  <c r="BK86" i="3" s="1"/>
  <c r="AP87" i="3" s="1"/>
  <c r="BG86" i="3"/>
  <c r="BF86" i="3"/>
  <c r="BP86" i="3" s="1"/>
  <c r="BC86" i="3"/>
  <c r="BO86" i="3" s="1"/>
  <c r="CC86" i="3"/>
  <c r="CE86" i="3" l="1"/>
  <c r="CJ86" i="3"/>
  <c r="BJ86" i="3"/>
  <c r="AO87" i="3" s="1"/>
  <c r="AQ87" i="3" s="1"/>
  <c r="BS86" i="3"/>
  <c r="BD86" i="3"/>
  <c r="Q85" i="3"/>
  <c r="R85" i="3" s="1"/>
  <c r="X130" i="4"/>
  <c r="AA130" i="4" s="1"/>
  <c r="F131" i="4" s="1"/>
  <c r="W130" i="4"/>
  <c r="V130" i="4"/>
  <c r="AF130" i="4" s="1"/>
  <c r="S130" i="4"/>
  <c r="T130" i="4" s="1"/>
  <c r="AB130" i="4" l="1"/>
  <c r="U130" i="4"/>
  <c r="AH130" i="4" s="1"/>
  <c r="J131" i="4"/>
  <c r="K131" i="4" s="1"/>
  <c r="BL86" i="3"/>
  <c r="BM86" i="3" s="1"/>
  <c r="BE86" i="3"/>
  <c r="BR86" i="3" s="1"/>
  <c r="AI130" i="4"/>
  <c r="Z130" i="4"/>
  <c r="E131" i="4" s="1"/>
  <c r="G131" i="4" s="1"/>
  <c r="I131" i="4" s="1"/>
  <c r="X85" i="3"/>
  <c r="AA85" i="3" s="1"/>
  <c r="F86" i="3" s="1"/>
  <c r="W85" i="3"/>
  <c r="V85" i="3"/>
  <c r="AF85" i="3" s="1"/>
  <c r="S85" i="3"/>
  <c r="AE85" i="3" s="1"/>
  <c r="AR87" i="3"/>
  <c r="AS87" i="3" s="1"/>
  <c r="CX86" i="3"/>
  <c r="CF86" i="3"/>
  <c r="AE130" i="4"/>
  <c r="Z85" i="3" l="1"/>
  <c r="E86" i="3" s="1"/>
  <c r="G86" i="3" s="1"/>
  <c r="AI85" i="3"/>
  <c r="T85" i="3"/>
  <c r="M131" i="4"/>
  <c r="P131" i="4" s="1"/>
  <c r="CH86" i="3"/>
  <c r="CI86" i="3"/>
  <c r="AC130" i="4"/>
  <c r="L131" i="4"/>
  <c r="AD131" i="4"/>
  <c r="AT87" i="3"/>
  <c r="AW87" i="3" s="1"/>
  <c r="AZ87" i="3" s="1"/>
  <c r="Q131" i="4" l="1"/>
  <c r="R131" i="4" s="1"/>
  <c r="AU87" i="3"/>
  <c r="AB85" i="3"/>
  <c r="AC85" i="3" s="1"/>
  <c r="U85" i="3"/>
  <c r="AH85" i="3" s="1"/>
  <c r="H86" i="3"/>
  <c r="I86" i="3" s="1"/>
  <c r="CK86" i="3"/>
  <c r="CL86" i="3" s="1"/>
  <c r="CR86" i="3" l="1"/>
  <c r="CU86" i="3" s="1"/>
  <c r="BZ87" i="3" s="1"/>
  <c r="CP86" i="3"/>
  <c r="CZ86" i="3" s="1"/>
  <c r="CQ86" i="3"/>
  <c r="CM86" i="3"/>
  <c r="CY86" i="3" s="1"/>
  <c r="BN87" i="3"/>
  <c r="AV87" i="3"/>
  <c r="J86" i="3"/>
  <c r="M86" i="3" s="1"/>
  <c r="P86" i="3" s="1"/>
  <c r="X131" i="4"/>
  <c r="AA131" i="4" s="1"/>
  <c r="F132" i="4" s="1"/>
  <c r="W131" i="4"/>
  <c r="V131" i="4"/>
  <c r="AF131" i="4" s="1"/>
  <c r="S131" i="4"/>
  <c r="CN86" i="3" l="1"/>
  <c r="J132" i="4"/>
  <c r="K132" i="4" s="1"/>
  <c r="K86" i="3"/>
  <c r="DC86" i="3"/>
  <c r="CT86" i="3"/>
  <c r="BY87" i="3" s="1"/>
  <c r="CA87" i="3" s="1"/>
  <c r="AE131" i="4"/>
  <c r="AX87" i="3"/>
  <c r="AY87" i="3"/>
  <c r="Z131" i="4"/>
  <c r="E132" i="4" s="1"/>
  <c r="G132" i="4" s="1"/>
  <c r="I132" i="4" s="1"/>
  <c r="AI131" i="4"/>
  <c r="T131" i="4"/>
  <c r="BA87" i="3" l="1"/>
  <c r="BB87" i="3" s="1"/>
  <c r="AD86" i="3"/>
  <c r="L86" i="3"/>
  <c r="CB87" i="3"/>
  <c r="L132" i="4"/>
  <c r="AD132" i="4"/>
  <c r="M132" i="4"/>
  <c r="P132" i="4" s="1"/>
  <c r="AB131" i="4"/>
  <c r="U131" i="4"/>
  <c r="AH131" i="4" s="1"/>
  <c r="CV86" i="3"/>
  <c r="CW86" i="3" s="1"/>
  <c r="CO86" i="3"/>
  <c r="DB86" i="3" s="1"/>
  <c r="Q132" i="4" l="1"/>
  <c r="R132" i="4" s="1"/>
  <c r="CD87" i="3"/>
  <c r="CG87" i="3" s="1"/>
  <c r="AC131" i="4"/>
  <c r="CC87" i="3"/>
  <c r="N86" i="3"/>
  <c r="O86" i="3"/>
  <c r="BH87" i="3"/>
  <c r="BK87" i="3" s="1"/>
  <c r="AP88" i="3" s="1"/>
  <c r="BG87" i="3"/>
  <c r="BF87" i="3"/>
  <c r="BP87" i="3" s="1"/>
  <c r="BC87" i="3"/>
  <c r="BO87" i="3" s="1"/>
  <c r="Q86" i="3" l="1"/>
  <c r="R86" i="3" s="1"/>
  <c r="CJ87" i="3"/>
  <c r="CE87" i="3"/>
  <c r="BS87" i="3"/>
  <c r="BJ87" i="3"/>
  <c r="AO88" i="3" s="1"/>
  <c r="AQ88" i="3" s="1"/>
  <c r="X132" i="4"/>
  <c r="AA132" i="4" s="1"/>
  <c r="F133" i="4" s="1"/>
  <c r="W132" i="4"/>
  <c r="V132" i="4"/>
  <c r="AF132" i="4" s="1"/>
  <c r="BD87" i="3"/>
  <c r="S132" i="4"/>
  <c r="AE132" i="4" s="1"/>
  <c r="T132" i="4" l="1"/>
  <c r="Z132" i="4"/>
  <c r="E133" i="4" s="1"/>
  <c r="G133" i="4" s="1"/>
  <c r="I133" i="4" s="1"/>
  <c r="AI132" i="4"/>
  <c r="AB132" i="4"/>
  <c r="AC132" i="4" s="1"/>
  <c r="U132" i="4"/>
  <c r="AH132" i="4" s="1"/>
  <c r="AR88" i="3"/>
  <c r="AS88" i="3" s="1"/>
  <c r="X86" i="3"/>
  <c r="AA86" i="3" s="1"/>
  <c r="F87" i="3" s="1"/>
  <c r="W86" i="3"/>
  <c r="V86" i="3"/>
  <c r="AF86" i="3" s="1"/>
  <c r="S86" i="3"/>
  <c r="AE86" i="3" s="1"/>
  <c r="J133" i="4"/>
  <c r="K133" i="4" s="1"/>
  <c r="CX87" i="3"/>
  <c r="CF87" i="3"/>
  <c r="BL87" i="3"/>
  <c r="BM87" i="3" s="1"/>
  <c r="BE87" i="3"/>
  <c r="BR87" i="3" s="1"/>
  <c r="T86" i="3" l="1"/>
  <c r="CH87" i="3"/>
  <c r="CI87" i="3"/>
  <c r="L133" i="4"/>
  <c r="AD133" i="4"/>
  <c r="M133" i="4"/>
  <c r="P133" i="4" s="1"/>
  <c r="Z86" i="3"/>
  <c r="E87" i="3" s="1"/>
  <c r="G87" i="3" s="1"/>
  <c r="AI86" i="3"/>
  <c r="AT88" i="3"/>
  <c r="AW88" i="3" s="1"/>
  <c r="AZ88" i="3" s="1"/>
  <c r="Q133" i="4" l="1"/>
  <c r="R133" i="4" s="1"/>
  <c r="H87" i="3"/>
  <c r="CK87" i="3"/>
  <c r="CL87" i="3" s="1"/>
  <c r="AB86" i="3"/>
  <c r="AC86" i="3" s="1"/>
  <c r="U86" i="3"/>
  <c r="AH86" i="3" s="1"/>
  <c r="AU88" i="3"/>
  <c r="BN88" i="3" l="1"/>
  <c r="AV88" i="3"/>
  <c r="J87" i="3"/>
  <c r="M87" i="3" s="1"/>
  <c r="I87" i="3"/>
  <c r="CR87" i="3"/>
  <c r="CU87" i="3" s="1"/>
  <c r="BZ88" i="3" s="1"/>
  <c r="CP87" i="3"/>
  <c r="CZ87" i="3" s="1"/>
  <c r="CQ87" i="3"/>
  <c r="CM87" i="3"/>
  <c r="CY87" i="3" s="1"/>
  <c r="X133" i="4"/>
  <c r="AA133" i="4" s="1"/>
  <c r="F134" i="4" s="1"/>
  <c r="V133" i="4"/>
  <c r="AF133" i="4" s="1"/>
  <c r="W133" i="4"/>
  <c r="S133" i="4"/>
  <c r="AE133" i="4" s="1"/>
  <c r="T133" i="4" l="1"/>
  <c r="DC87" i="3"/>
  <c r="CT87" i="3"/>
  <c r="BY88" i="3" s="1"/>
  <c r="CA88" i="3" s="1"/>
  <c r="J134" i="4"/>
  <c r="K134" i="4" s="1"/>
  <c r="CN87" i="3"/>
  <c r="P87" i="3"/>
  <c r="K87" i="3"/>
  <c r="AX88" i="3"/>
  <c r="AY88" i="3"/>
  <c r="AI133" i="4"/>
  <c r="Z133" i="4"/>
  <c r="E134" i="4" s="1"/>
  <c r="G134" i="4" s="1"/>
  <c r="I134" i="4" s="1"/>
  <c r="AD87" i="3" l="1"/>
  <c r="L87" i="3"/>
  <c r="CV87" i="3"/>
  <c r="CW87" i="3" s="1"/>
  <c r="CO87" i="3"/>
  <c r="DB87" i="3" s="1"/>
  <c r="M134" i="4"/>
  <c r="L134" i="4"/>
  <c r="AD134" i="4"/>
  <c r="CB88" i="3"/>
  <c r="AB133" i="4"/>
  <c r="AC133" i="4" s="1"/>
  <c r="U133" i="4"/>
  <c r="AH133" i="4" s="1"/>
  <c r="P134" i="4"/>
  <c r="Q134" i="4" s="1"/>
  <c r="R134" i="4" s="1"/>
  <c r="BA88" i="3"/>
  <c r="BB88" i="3" s="1"/>
  <c r="X134" i="4" l="1"/>
  <c r="AA134" i="4" s="1"/>
  <c r="F135" i="4" s="1"/>
  <c r="W134" i="4"/>
  <c r="N87" i="3"/>
  <c r="O87" i="3"/>
  <c r="S134" i="4"/>
  <c r="AE134" i="4" s="1"/>
  <c r="V134" i="4"/>
  <c r="AF134" i="4" s="1"/>
  <c r="CD88" i="3"/>
  <c r="CG88" i="3" s="1"/>
  <c r="CC88" i="3"/>
  <c r="BH88" i="3"/>
  <c r="BK88" i="3" s="1"/>
  <c r="AP89" i="3" s="1"/>
  <c r="BG88" i="3"/>
  <c r="BF88" i="3"/>
  <c r="BP88" i="3" s="1"/>
  <c r="BC88" i="3"/>
  <c r="BO88" i="3" s="1"/>
  <c r="CJ88" i="3" l="1"/>
  <c r="Q87" i="3"/>
  <c r="R87" i="3" s="1"/>
  <c r="CE88" i="3"/>
  <c r="BJ88" i="3"/>
  <c r="AO89" i="3" s="1"/>
  <c r="AQ89" i="3" s="1"/>
  <c r="BS88" i="3"/>
  <c r="BD88" i="3"/>
  <c r="AI134" i="4"/>
  <c r="Z134" i="4"/>
  <c r="E135" i="4" s="1"/>
  <c r="G135" i="4" s="1"/>
  <c r="I135" i="4" s="1"/>
  <c r="J135" i="4"/>
  <c r="K135" i="4" s="1"/>
  <c r="T134" i="4"/>
  <c r="BL88" i="3" l="1"/>
  <c r="BM88" i="3" s="1"/>
  <c r="BE88" i="3"/>
  <c r="BR88" i="3" s="1"/>
  <c r="CX88" i="3"/>
  <c r="CF88" i="3"/>
  <c r="AR89" i="3"/>
  <c r="AS89" i="3" s="1"/>
  <c r="X87" i="3"/>
  <c r="AA87" i="3" s="1"/>
  <c r="F88" i="3" s="1"/>
  <c r="V87" i="3"/>
  <c r="AF87" i="3" s="1"/>
  <c r="W87" i="3"/>
  <c r="S87" i="3"/>
  <c r="AE87" i="3" s="1"/>
  <c r="AB134" i="4"/>
  <c r="AC134" i="4" s="1"/>
  <c r="U134" i="4"/>
  <c r="AH134" i="4" s="1"/>
  <c r="L135" i="4"/>
  <c r="AD135" i="4"/>
  <c r="M135" i="4"/>
  <c r="P135" i="4" s="1"/>
  <c r="Q135" i="4" l="1"/>
  <c r="R135" i="4" s="1"/>
  <c r="CH88" i="3"/>
  <c r="CI88" i="3"/>
  <c r="T87" i="3"/>
  <c r="AI87" i="3"/>
  <c r="Z87" i="3"/>
  <c r="E88" i="3" s="1"/>
  <c r="G88" i="3" s="1"/>
  <c r="AT89" i="3"/>
  <c r="AW89" i="3" s="1"/>
  <c r="AZ89" i="3" s="1"/>
  <c r="AU89" i="3" l="1"/>
  <c r="BN89" i="3" s="1"/>
  <c r="AB87" i="3"/>
  <c r="AC87" i="3" s="1"/>
  <c r="U87" i="3"/>
  <c r="AH87" i="3" s="1"/>
  <c r="CK88" i="3"/>
  <c r="CL88" i="3" s="1"/>
  <c r="X135" i="4"/>
  <c r="AA135" i="4" s="1"/>
  <c r="F136" i="4" s="1"/>
  <c r="W135" i="4"/>
  <c r="V135" i="4"/>
  <c r="AF135" i="4" s="1"/>
  <c r="AV89" i="3"/>
  <c r="H88" i="3"/>
  <c r="I88" i="3" s="1"/>
  <c r="S135" i="4"/>
  <c r="AE135" i="4" s="1"/>
  <c r="AX89" i="3" l="1"/>
  <c r="AY89" i="3"/>
  <c r="AI135" i="4"/>
  <c r="Z135" i="4"/>
  <c r="E136" i="4" s="1"/>
  <c r="G136" i="4" s="1"/>
  <c r="I136" i="4" s="1"/>
  <c r="T135" i="4"/>
  <c r="J88" i="3"/>
  <c r="M88" i="3" s="1"/>
  <c r="P88" i="3" s="1"/>
  <c r="J136" i="4"/>
  <c r="K136" i="4" s="1"/>
  <c r="CR88" i="3"/>
  <c r="CU88" i="3" s="1"/>
  <c r="BZ89" i="3" s="1"/>
  <c r="CQ88" i="3"/>
  <c r="CP88" i="3"/>
  <c r="CZ88" i="3" s="1"/>
  <c r="CM88" i="3"/>
  <c r="CY88" i="3" s="1"/>
  <c r="M136" i="4" l="1"/>
  <c r="P136" i="4" s="1"/>
  <c r="Q136" i="4" s="1"/>
  <c r="R136" i="4" s="1"/>
  <c r="W136" i="4" s="1"/>
  <c r="AB135" i="4"/>
  <c r="AC135" i="4" s="1"/>
  <c r="U135" i="4"/>
  <c r="AH135" i="4" s="1"/>
  <c r="BA89" i="3"/>
  <c r="BB89" i="3" s="1"/>
  <c r="K88" i="3"/>
  <c r="CT88" i="3"/>
  <c r="BY89" i="3" s="1"/>
  <c r="CA89" i="3" s="1"/>
  <c r="DC88" i="3"/>
  <c r="CN88" i="3"/>
  <c r="L136" i="4"/>
  <c r="AD136" i="4"/>
  <c r="Z136" i="4" l="1"/>
  <c r="E137" i="4" s="1"/>
  <c r="G137" i="4" s="1"/>
  <c r="I137" i="4" s="1"/>
  <c r="AI136" i="4"/>
  <c r="CV88" i="3"/>
  <c r="CW88" i="3" s="1"/>
  <c r="CO88" i="3"/>
  <c r="DB88" i="3" s="1"/>
  <c r="V136" i="4"/>
  <c r="AF136" i="4" s="1"/>
  <c r="AD88" i="3"/>
  <c r="L88" i="3"/>
  <c r="S136" i="4"/>
  <c r="AE136" i="4" s="1"/>
  <c r="X136" i="4"/>
  <c r="AA136" i="4" s="1"/>
  <c r="F137" i="4" s="1"/>
  <c r="CB89" i="3"/>
  <c r="BH89" i="3"/>
  <c r="BK89" i="3" s="1"/>
  <c r="AP90" i="3" s="1"/>
  <c r="BG89" i="3"/>
  <c r="BF89" i="3"/>
  <c r="BP89" i="3" s="1"/>
  <c r="BC89" i="3"/>
  <c r="BO89" i="3" s="1"/>
  <c r="T136" i="4" l="1"/>
  <c r="BD89" i="3"/>
  <c r="BS89" i="3"/>
  <c r="BJ89" i="3"/>
  <c r="AO90" i="3" s="1"/>
  <c r="AQ90" i="3" s="1"/>
  <c r="CD89" i="3"/>
  <c r="CG89" i="3" s="1"/>
  <c r="CE89" i="3"/>
  <c r="CX89" i="3" s="1"/>
  <c r="AB136" i="4"/>
  <c r="AC136" i="4" s="1"/>
  <c r="U136" i="4"/>
  <c r="AH136" i="4" s="1"/>
  <c r="J137" i="4"/>
  <c r="K137" i="4" s="1"/>
  <c r="N88" i="3"/>
  <c r="O88" i="3"/>
  <c r="BL89" i="3"/>
  <c r="BM89" i="3" s="1"/>
  <c r="BE89" i="3"/>
  <c r="BR89" i="3" s="1"/>
  <c r="CC89" i="3"/>
  <c r="L137" i="4" l="1"/>
  <c r="AD137" i="4"/>
  <c r="M137" i="4"/>
  <c r="P137" i="4" s="1"/>
  <c r="AR90" i="3"/>
  <c r="Q88" i="3"/>
  <c r="R88" i="3" s="1"/>
  <c r="CF89" i="3"/>
  <c r="CJ89" i="3"/>
  <c r="CH89" i="3" l="1"/>
  <c r="CI89" i="3"/>
  <c r="Q137" i="4"/>
  <c r="R137" i="4" s="1"/>
  <c r="X88" i="3"/>
  <c r="AA88" i="3" s="1"/>
  <c r="F89" i="3" s="1"/>
  <c r="W88" i="3"/>
  <c r="V88" i="3"/>
  <c r="AF88" i="3" s="1"/>
  <c r="S88" i="3"/>
  <c r="AE88" i="3" s="1"/>
  <c r="AT90" i="3"/>
  <c r="AW90" i="3" s="1"/>
  <c r="AS90" i="3"/>
  <c r="AZ90" i="3" l="1"/>
  <c r="AU90" i="3"/>
  <c r="Z88" i="3"/>
  <c r="E89" i="3" s="1"/>
  <c r="G89" i="3" s="1"/>
  <c r="AI88" i="3"/>
  <c r="T88" i="3"/>
  <c r="CK89" i="3"/>
  <c r="CL89" i="3" s="1"/>
  <c r="X137" i="4"/>
  <c r="AA137" i="4" s="1"/>
  <c r="F138" i="4" s="1"/>
  <c r="W137" i="4"/>
  <c r="V137" i="4"/>
  <c r="AF137" i="4" s="1"/>
  <c r="S137" i="4"/>
  <c r="AE137" i="4" s="1"/>
  <c r="T137" i="4" l="1"/>
  <c r="CR89" i="3"/>
  <c r="CU89" i="3" s="1"/>
  <c r="BZ90" i="3" s="1"/>
  <c r="CQ89" i="3"/>
  <c r="CP89" i="3"/>
  <c r="CZ89" i="3" s="1"/>
  <c r="CM89" i="3"/>
  <c r="CY89" i="3" s="1"/>
  <c r="BN90" i="3"/>
  <c r="AV90" i="3"/>
  <c r="Z137" i="4"/>
  <c r="E138" i="4" s="1"/>
  <c r="G138" i="4" s="1"/>
  <c r="I138" i="4" s="1"/>
  <c r="AI137" i="4"/>
  <c r="U137" i="4"/>
  <c r="AH137" i="4" s="1"/>
  <c r="AB137" i="4"/>
  <c r="AC137" i="4" s="1"/>
  <c r="H89" i="3"/>
  <c r="J138" i="4"/>
  <c r="K138" i="4" s="1"/>
  <c r="AB88" i="3"/>
  <c r="AC88" i="3" s="1"/>
  <c r="U88" i="3"/>
  <c r="AH88" i="3" s="1"/>
  <c r="J89" i="3" l="1"/>
  <c r="M89" i="3" s="1"/>
  <c r="I89" i="3"/>
  <c r="M138" i="4"/>
  <c r="P138" i="4" s="1"/>
  <c r="DC89" i="3"/>
  <c r="CT89" i="3"/>
  <c r="BY90" i="3" s="1"/>
  <c r="CA90" i="3" s="1"/>
  <c r="CN89" i="3"/>
  <c r="L138" i="4"/>
  <c r="AD138" i="4"/>
  <c r="AX90" i="3"/>
  <c r="AY90" i="3"/>
  <c r="Q138" i="4" l="1"/>
  <c r="R138" i="4" s="1"/>
  <c r="CV89" i="3"/>
  <c r="CW89" i="3" s="1"/>
  <c r="CO89" i="3"/>
  <c r="DB89" i="3" s="1"/>
  <c r="K89" i="3"/>
  <c r="CB90" i="3"/>
  <c r="P89" i="3"/>
  <c r="BA90" i="3"/>
  <c r="BB90" i="3" s="1"/>
  <c r="BH90" i="3" l="1"/>
  <c r="BK90" i="3" s="1"/>
  <c r="AP91" i="3" s="1"/>
  <c r="BF90" i="3"/>
  <c r="BP90" i="3" s="1"/>
  <c r="BG90" i="3"/>
  <c r="BC90" i="3"/>
  <c r="BO90" i="3" s="1"/>
  <c r="CD90" i="3"/>
  <c r="CG90" i="3" s="1"/>
  <c r="CC90" i="3"/>
  <c r="AD89" i="3"/>
  <c r="L89" i="3"/>
  <c r="X138" i="4"/>
  <c r="AA138" i="4" s="1"/>
  <c r="F139" i="4" s="1"/>
  <c r="V138" i="4"/>
  <c r="AF138" i="4" s="1"/>
  <c r="W138" i="4"/>
  <c r="S138" i="4"/>
  <c r="AE138" i="4" s="1"/>
  <c r="T138" i="4" l="1"/>
  <c r="AB138" i="4" s="1"/>
  <c r="AC138" i="4" s="1"/>
  <c r="N89" i="3"/>
  <c r="O89" i="3"/>
  <c r="BJ90" i="3"/>
  <c r="AO91" i="3" s="1"/>
  <c r="AQ91" i="3" s="1"/>
  <c r="BS90" i="3"/>
  <c r="J139" i="4"/>
  <c r="K139" i="4" s="1"/>
  <c r="CJ90" i="3"/>
  <c r="CE90" i="3"/>
  <c r="BD90" i="3"/>
  <c r="Z138" i="4"/>
  <c r="E139" i="4" s="1"/>
  <c r="G139" i="4" s="1"/>
  <c r="I139" i="4" s="1"/>
  <c r="AI138" i="4"/>
  <c r="U138" i="4" l="1"/>
  <c r="AH138" i="4" s="1"/>
  <c r="CX90" i="3"/>
  <c r="CF90" i="3"/>
  <c r="AR91" i="3"/>
  <c r="L139" i="4"/>
  <c r="AD139" i="4"/>
  <c r="M139" i="4"/>
  <c r="Q89" i="3"/>
  <c r="R89" i="3" s="1"/>
  <c r="P139" i="4"/>
  <c r="Q139" i="4" s="1"/>
  <c r="R139" i="4" s="1"/>
  <c r="BL90" i="3"/>
  <c r="BM90" i="3" s="1"/>
  <c r="BE90" i="3"/>
  <c r="BR90" i="3" s="1"/>
  <c r="X89" i="3" l="1"/>
  <c r="AA89" i="3" s="1"/>
  <c r="F90" i="3" s="1"/>
  <c r="W89" i="3"/>
  <c r="V89" i="3"/>
  <c r="AF89" i="3" s="1"/>
  <c r="S89" i="3"/>
  <c r="AE89" i="3" s="1"/>
  <c r="X139" i="4"/>
  <c r="AA139" i="4" s="1"/>
  <c r="W139" i="4"/>
  <c r="CH90" i="3"/>
  <c r="CI90" i="3"/>
  <c r="S139" i="4"/>
  <c r="AE139" i="4" s="1"/>
  <c r="V139" i="4"/>
  <c r="AF139" i="4" s="1"/>
  <c r="I24" i="5"/>
  <c r="AT91" i="3"/>
  <c r="AW91" i="3" s="1"/>
  <c r="AS91" i="3"/>
  <c r="CK90" i="3" l="1"/>
  <c r="CL90" i="3" s="1"/>
  <c r="T139" i="4"/>
  <c r="AZ91" i="3"/>
  <c r="J13" i="4"/>
  <c r="F140" i="4"/>
  <c r="C13" i="4"/>
  <c r="AU91" i="3"/>
  <c r="T89" i="3"/>
  <c r="Y139" i="4"/>
  <c r="AI139" i="4"/>
  <c r="Z89" i="3"/>
  <c r="E90" i="3" s="1"/>
  <c r="G90" i="3" s="1"/>
  <c r="AI89" i="3"/>
  <c r="I13" i="4" l="1"/>
  <c r="AG139" i="4"/>
  <c r="AG140" i="4" s="1"/>
  <c r="AG141" i="4" s="1"/>
  <c r="AG142" i="4" s="1"/>
  <c r="AG143" i="4" s="1"/>
  <c r="AG144" i="4" s="1"/>
  <c r="AG145" i="4" s="1"/>
  <c r="AG146" i="4" s="1"/>
  <c r="AG147" i="4" s="1"/>
  <c r="AG148" i="4" s="1"/>
  <c r="AG149" i="4" s="1"/>
  <c r="AG150" i="4" s="1"/>
  <c r="AB89" i="3"/>
  <c r="AC89" i="3" s="1"/>
  <c r="U89" i="3"/>
  <c r="AH89" i="3" s="1"/>
  <c r="J140" i="4"/>
  <c r="K140" i="4" s="1"/>
  <c r="AB139" i="4"/>
  <c r="AC139" i="4" s="1"/>
  <c r="U139" i="4"/>
  <c r="AH139" i="4" s="1"/>
  <c r="Z139" i="4"/>
  <c r="BN91" i="3"/>
  <c r="AV91" i="3"/>
  <c r="H90" i="3"/>
  <c r="CR90" i="3"/>
  <c r="CU90" i="3" s="1"/>
  <c r="BZ91" i="3" s="1"/>
  <c r="CQ90" i="3"/>
  <c r="CP90" i="3"/>
  <c r="CZ90" i="3" s="1"/>
  <c r="CM90" i="3"/>
  <c r="CY90" i="3" s="1"/>
  <c r="CN90" i="3" l="1"/>
  <c r="J90" i="3"/>
  <c r="M90" i="3" s="1"/>
  <c r="E24" i="5"/>
  <c r="E140" i="4"/>
  <c r="G140" i="4" s="1"/>
  <c r="I140" i="4" s="1"/>
  <c r="B13" i="4"/>
  <c r="D13" i="4" s="1"/>
  <c r="CT90" i="3"/>
  <c r="BY91" i="3" s="1"/>
  <c r="CA91" i="3" s="1"/>
  <c r="DC90" i="3"/>
  <c r="CV90" i="3"/>
  <c r="CW90" i="3" s="1"/>
  <c r="CO90" i="3"/>
  <c r="DB90" i="3" s="1"/>
  <c r="AY91" i="3"/>
  <c r="AX91" i="3"/>
  <c r="I90" i="3"/>
  <c r="L140" i="4"/>
  <c r="AD140" i="4"/>
  <c r="M140" i="4"/>
  <c r="BA91" i="3" l="1"/>
  <c r="BB91" i="3" s="1"/>
  <c r="CB91" i="3"/>
  <c r="CC91" i="3" s="1"/>
  <c r="P140" i="4"/>
  <c r="Q140" i="4" s="1"/>
  <c r="R140" i="4" s="1"/>
  <c r="P90" i="3"/>
  <c r="K90" i="3"/>
  <c r="AD90" i="3" l="1"/>
  <c r="L90" i="3"/>
  <c r="X140" i="4"/>
  <c r="AA140" i="4" s="1"/>
  <c r="F141" i="4" s="1"/>
  <c r="S140" i="4"/>
  <c r="V140" i="4"/>
  <c r="AF140" i="4" s="1"/>
  <c r="W140" i="4"/>
  <c r="CD91" i="3"/>
  <c r="CG91" i="3" s="1"/>
  <c r="CJ91" i="3" s="1"/>
  <c r="BH91" i="3"/>
  <c r="BK91" i="3" s="1"/>
  <c r="BG91" i="3"/>
  <c r="BF91" i="3"/>
  <c r="BP91" i="3" s="1"/>
  <c r="BC91" i="3"/>
  <c r="BO91" i="3" s="1"/>
  <c r="BD91" i="3" l="1"/>
  <c r="J141" i="4"/>
  <c r="K141" i="4" s="1"/>
  <c r="N90" i="3"/>
  <c r="O90" i="3"/>
  <c r="AE140" i="4"/>
  <c r="AP92" i="3"/>
  <c r="P9" i="3"/>
  <c r="CE91" i="3"/>
  <c r="BL91" i="3"/>
  <c r="BM91" i="3" s="1"/>
  <c r="BE91" i="3"/>
  <c r="BR91" i="3" s="1"/>
  <c r="AI140" i="4"/>
  <c r="Z140" i="4"/>
  <c r="E141" i="4" s="1"/>
  <c r="G141" i="4" s="1"/>
  <c r="I141" i="4" s="1"/>
  <c r="T140" i="4"/>
  <c r="W9" i="3"/>
  <c r="G20" i="5"/>
  <c r="BS91" i="3"/>
  <c r="BI91" i="3"/>
  <c r="CX91" i="3" l="1"/>
  <c r="CF91" i="3"/>
  <c r="V9" i="3"/>
  <c r="BQ91" i="3"/>
  <c r="BQ92" i="3" s="1"/>
  <c r="BQ93" i="3" s="1"/>
  <c r="BQ94" i="3" s="1"/>
  <c r="BQ95" i="3" s="1"/>
  <c r="BQ96" i="3" s="1"/>
  <c r="BQ97" i="3" s="1"/>
  <c r="BQ98" i="3" s="1"/>
  <c r="BQ99" i="3" s="1"/>
  <c r="BQ100" i="3" s="1"/>
  <c r="BQ101" i="3" s="1"/>
  <c r="BQ102" i="3" s="1"/>
  <c r="Q90" i="3"/>
  <c r="R90" i="3" s="1"/>
  <c r="BJ91" i="3"/>
  <c r="M141" i="4"/>
  <c r="P141" i="4" s="1"/>
  <c r="L141" i="4"/>
  <c r="AD141" i="4"/>
  <c r="U140" i="4"/>
  <c r="AH140" i="4" s="1"/>
  <c r="AB140" i="4"/>
  <c r="Q141" i="4" l="1"/>
  <c r="R141" i="4" s="1"/>
  <c r="X90" i="3"/>
  <c r="AA90" i="3" s="1"/>
  <c r="F91" i="3" s="1"/>
  <c r="W90" i="3"/>
  <c r="V90" i="3"/>
  <c r="AF90" i="3" s="1"/>
  <c r="S90" i="3"/>
  <c r="AE90" i="3" s="1"/>
  <c r="C20" i="5"/>
  <c r="AO92" i="3"/>
  <c r="AQ92" i="3" s="1"/>
  <c r="O9" i="3"/>
  <c r="Q9" i="3" s="1"/>
  <c r="CH91" i="3"/>
  <c r="CI91" i="3"/>
  <c r="AC140" i="4"/>
  <c r="AR92" i="3" l="1"/>
  <c r="AI90" i="3"/>
  <c r="Z90" i="3"/>
  <c r="E91" i="3" s="1"/>
  <c r="G91" i="3" s="1"/>
  <c r="CK91" i="3"/>
  <c r="CL91" i="3" s="1"/>
  <c r="T90" i="3"/>
  <c r="X141" i="4"/>
  <c r="AA141" i="4" s="1"/>
  <c r="F142" i="4" s="1"/>
  <c r="V141" i="4"/>
  <c r="AF141" i="4" s="1"/>
  <c r="W141" i="4"/>
  <c r="S141" i="4"/>
  <c r="AE141" i="4" l="1"/>
  <c r="AI141" i="4"/>
  <c r="Z141" i="4"/>
  <c r="E142" i="4" s="1"/>
  <c r="G142" i="4" s="1"/>
  <c r="I142" i="4" s="1"/>
  <c r="CR91" i="3"/>
  <c r="CU91" i="3" s="1"/>
  <c r="CQ91" i="3"/>
  <c r="CP91" i="3"/>
  <c r="CZ91" i="3" s="1"/>
  <c r="CM91" i="3"/>
  <c r="CY91" i="3" s="1"/>
  <c r="J142" i="4"/>
  <c r="K142" i="4" s="1"/>
  <c r="T141" i="4"/>
  <c r="AB90" i="3"/>
  <c r="AC90" i="3" s="1"/>
  <c r="U90" i="3"/>
  <c r="AH90" i="3" s="1"/>
  <c r="H91" i="3"/>
  <c r="I91" i="3" s="1"/>
  <c r="AT92" i="3"/>
  <c r="AW92" i="3" s="1"/>
  <c r="AS92" i="3"/>
  <c r="H20" i="5" l="1"/>
  <c r="AJ9" i="3"/>
  <c r="CN91" i="3"/>
  <c r="L142" i="4"/>
  <c r="AD142" i="4"/>
  <c r="CS91" i="3"/>
  <c r="CT91" i="3" s="1"/>
  <c r="DC91" i="3"/>
  <c r="AZ92" i="3"/>
  <c r="AU92" i="3"/>
  <c r="AC9" i="3"/>
  <c r="BZ92" i="3"/>
  <c r="AB141" i="4"/>
  <c r="U141" i="4"/>
  <c r="AH141" i="4" s="1"/>
  <c r="M142" i="4"/>
  <c r="P142" i="4" s="1"/>
  <c r="J91" i="3"/>
  <c r="M91" i="3" s="1"/>
  <c r="P91" i="3" s="1"/>
  <c r="Q142" i="4" l="1"/>
  <c r="R142" i="4" s="1"/>
  <c r="D20" i="5"/>
  <c r="BY92" i="3"/>
  <c r="CA92" i="3" s="1"/>
  <c r="AB9" i="3"/>
  <c r="AD9" i="3" s="1"/>
  <c r="AI9" i="3"/>
  <c r="DA91" i="3"/>
  <c r="DA92" i="3" s="1"/>
  <c r="DA93" i="3" s="1"/>
  <c r="DA94" i="3" s="1"/>
  <c r="DA95" i="3" s="1"/>
  <c r="DA96" i="3" s="1"/>
  <c r="DA97" i="3" s="1"/>
  <c r="DA98" i="3" s="1"/>
  <c r="DA99" i="3" s="1"/>
  <c r="DA100" i="3" s="1"/>
  <c r="DA101" i="3" s="1"/>
  <c r="DA102" i="3" s="1"/>
  <c r="AC141" i="4"/>
  <c r="BN92" i="3"/>
  <c r="AV92" i="3"/>
  <c r="CV91" i="3"/>
  <c r="CW91" i="3" s="1"/>
  <c r="CO91" i="3"/>
  <c r="DB91" i="3" s="1"/>
  <c r="K91" i="3"/>
  <c r="AX92" i="3" l="1"/>
  <c r="AY92" i="3"/>
  <c r="X142" i="4"/>
  <c r="AA142" i="4" s="1"/>
  <c r="F143" i="4" s="1"/>
  <c r="V142" i="4"/>
  <c r="AF142" i="4" s="1"/>
  <c r="W142" i="4"/>
  <c r="CB92" i="3"/>
  <c r="AD91" i="3"/>
  <c r="L91" i="3"/>
  <c r="S142" i="4"/>
  <c r="T142" i="4" s="1"/>
  <c r="AB142" i="4" l="1"/>
  <c r="U142" i="4"/>
  <c r="AH142" i="4" s="1"/>
  <c r="CD92" i="3"/>
  <c r="CG92" i="3" s="1"/>
  <c r="J143" i="4"/>
  <c r="K143" i="4" s="1"/>
  <c r="BA92" i="3"/>
  <c r="BB92" i="3" s="1"/>
  <c r="N91" i="3"/>
  <c r="O91" i="3"/>
  <c r="CC92" i="3"/>
  <c r="AI142" i="4"/>
  <c r="Z142" i="4"/>
  <c r="E143" i="4" s="1"/>
  <c r="G143" i="4" s="1"/>
  <c r="I143" i="4" s="1"/>
  <c r="AE142" i="4"/>
  <c r="BH92" i="3" l="1"/>
  <c r="BK92" i="3" s="1"/>
  <c r="AP93" i="3" s="1"/>
  <c r="BG92" i="3"/>
  <c r="BF92" i="3"/>
  <c r="BP92" i="3" s="1"/>
  <c r="BC92" i="3"/>
  <c r="Q91" i="3"/>
  <c r="R91" i="3" s="1"/>
  <c r="L143" i="4"/>
  <c r="AD143" i="4"/>
  <c r="M143" i="4"/>
  <c r="P143" i="4" s="1"/>
  <c r="AC142" i="4"/>
  <c r="CE92" i="3"/>
  <c r="CJ92" i="3"/>
  <c r="Q143" i="4" l="1"/>
  <c r="R143" i="4" s="1"/>
  <c r="CX92" i="3"/>
  <c r="CF92" i="3"/>
  <c r="BO92" i="3"/>
  <c r="BS92" i="3"/>
  <c r="BJ92" i="3"/>
  <c r="AO93" i="3" s="1"/>
  <c r="AQ93" i="3" s="1"/>
  <c r="X91" i="3"/>
  <c r="AA91" i="3" s="1"/>
  <c r="W91" i="3"/>
  <c r="V91" i="3"/>
  <c r="AF91" i="3" s="1"/>
  <c r="S91" i="3"/>
  <c r="AE91" i="3" s="1"/>
  <c r="BD92" i="3"/>
  <c r="T91" i="3" l="1"/>
  <c r="F92" i="3"/>
  <c r="C9" i="3"/>
  <c r="J9" i="3"/>
  <c r="AB91" i="3"/>
  <c r="AC91" i="3" s="1"/>
  <c r="U91" i="3"/>
  <c r="AH91" i="3" s="1"/>
  <c r="BL92" i="3"/>
  <c r="BE92" i="3"/>
  <c r="BR92" i="3" s="1"/>
  <c r="CH92" i="3"/>
  <c r="CI92" i="3"/>
  <c r="X143" i="4"/>
  <c r="AA143" i="4" s="1"/>
  <c r="F144" i="4" s="1"/>
  <c r="T143" i="4"/>
  <c r="W143" i="4"/>
  <c r="V143" i="4"/>
  <c r="AF143" i="4" s="1"/>
  <c r="Y91" i="3"/>
  <c r="Z91" i="3" s="1"/>
  <c r="AI91" i="3"/>
  <c r="AR93" i="3"/>
  <c r="F20" i="5"/>
  <c r="S143" i="4"/>
  <c r="CK92" i="3" l="1"/>
  <c r="CL92" i="3" s="1"/>
  <c r="J144" i="4"/>
  <c r="K144" i="4" s="1"/>
  <c r="AT93" i="3"/>
  <c r="AW93" i="3" s="1"/>
  <c r="AI143" i="4"/>
  <c r="Z143" i="4"/>
  <c r="E144" i="4" s="1"/>
  <c r="G144" i="4" s="1"/>
  <c r="I144" i="4" s="1"/>
  <c r="AB143" i="4"/>
  <c r="U143" i="4"/>
  <c r="AH143" i="4" s="1"/>
  <c r="AE143" i="4"/>
  <c r="BM92" i="3"/>
  <c r="AS93" i="3"/>
  <c r="B20" i="5"/>
  <c r="E92" i="3"/>
  <c r="G92" i="3" s="1"/>
  <c r="B9" i="3"/>
  <c r="D9" i="3" s="1"/>
  <c r="I9" i="3"/>
  <c r="AG91" i="3"/>
  <c r="AG92" i="3" s="1"/>
  <c r="AG93" i="3" s="1"/>
  <c r="AG94" i="3" s="1"/>
  <c r="AG95" i="3" s="1"/>
  <c r="AG96" i="3" s="1"/>
  <c r="AG97" i="3" s="1"/>
  <c r="AG98" i="3" s="1"/>
  <c r="AG99" i="3" s="1"/>
  <c r="AG100" i="3" s="1"/>
  <c r="AG101" i="3" s="1"/>
  <c r="AG102" i="3" s="1"/>
  <c r="AU93" i="3" l="1"/>
  <c r="L144" i="4"/>
  <c r="AD144" i="4"/>
  <c r="M144" i="4"/>
  <c r="P144" i="4" s="1"/>
  <c r="AC143" i="4"/>
  <c r="H92" i="3"/>
  <c r="I92" i="3" s="1"/>
  <c r="AZ93" i="3"/>
  <c r="CR92" i="3"/>
  <c r="CU92" i="3" s="1"/>
  <c r="BZ93" i="3" s="1"/>
  <c r="CQ92" i="3"/>
  <c r="CP92" i="3"/>
  <c r="CZ92" i="3" s="1"/>
  <c r="CM92" i="3"/>
  <c r="Q144" i="4" l="1"/>
  <c r="R144" i="4" s="1"/>
  <c r="S144" i="4" s="1"/>
  <c r="AE144" i="4" s="1"/>
  <c r="J92" i="3"/>
  <c r="M92" i="3" s="1"/>
  <c r="P92" i="3" s="1"/>
  <c r="BN93" i="3"/>
  <c r="AV93" i="3"/>
  <c r="CY92" i="3"/>
  <c r="DC92" i="3"/>
  <c r="CT92" i="3"/>
  <c r="BY93" i="3" s="1"/>
  <c r="CA93" i="3" s="1"/>
  <c r="CN92" i="3"/>
  <c r="CV92" i="3" l="1"/>
  <c r="CO92" i="3"/>
  <c r="DB92" i="3" s="1"/>
  <c r="K92" i="3"/>
  <c r="AX93" i="3"/>
  <c r="AY93" i="3"/>
  <c r="T144" i="4"/>
  <c r="X144" i="4"/>
  <c r="AA144" i="4" s="1"/>
  <c r="F145" i="4" s="1"/>
  <c r="V144" i="4"/>
  <c r="AF144" i="4" s="1"/>
  <c r="W144" i="4"/>
  <c r="CB93" i="3"/>
  <c r="CC93" i="3" s="1"/>
  <c r="J145" i="4" l="1"/>
  <c r="K145" i="4" s="1"/>
  <c r="CD93" i="3"/>
  <c r="CG93" i="3" s="1"/>
  <c r="CJ93" i="3" s="1"/>
  <c r="AI144" i="4"/>
  <c r="Z144" i="4"/>
  <c r="E145" i="4" s="1"/>
  <c r="G145" i="4" s="1"/>
  <c r="I145" i="4" s="1"/>
  <c r="AB144" i="4"/>
  <c r="AC144" i="4" s="1"/>
  <c r="U144" i="4"/>
  <c r="AH144" i="4" s="1"/>
  <c r="BA93" i="3"/>
  <c r="BB93" i="3" s="1"/>
  <c r="AD92" i="3"/>
  <c r="L92" i="3"/>
  <c r="CW92" i="3"/>
  <c r="CE93" i="3" l="1"/>
  <c r="L145" i="4"/>
  <c r="AD145" i="4"/>
  <c r="N92" i="3"/>
  <c r="O92" i="3"/>
  <c r="M145" i="4"/>
  <c r="P145" i="4" s="1"/>
  <c r="BH93" i="3"/>
  <c r="BK93" i="3" s="1"/>
  <c r="AP94" i="3" s="1"/>
  <c r="BG93" i="3"/>
  <c r="BF93" i="3"/>
  <c r="BP93" i="3" s="1"/>
  <c r="BC93" i="3"/>
  <c r="Q145" i="4" l="1"/>
  <c r="R145" i="4" s="1"/>
  <c r="Q92" i="3"/>
  <c r="R92" i="3" s="1"/>
  <c r="CX93" i="3"/>
  <c r="CF93" i="3"/>
  <c r="BO93" i="3"/>
  <c r="BJ93" i="3"/>
  <c r="AO94" i="3" s="1"/>
  <c r="AQ94" i="3" s="1"/>
  <c r="BS93" i="3"/>
  <c r="BD93" i="3"/>
  <c r="BL93" i="3" l="1"/>
  <c r="BE93" i="3"/>
  <c r="BR93" i="3" s="1"/>
  <c r="AR94" i="3"/>
  <c r="CH93" i="3"/>
  <c r="CI93" i="3"/>
  <c r="X92" i="3"/>
  <c r="AA92" i="3" s="1"/>
  <c r="F93" i="3" s="1"/>
  <c r="W92" i="3"/>
  <c r="V92" i="3"/>
  <c r="AF92" i="3" s="1"/>
  <c r="S92" i="3"/>
  <c r="X145" i="4"/>
  <c r="AA145" i="4" s="1"/>
  <c r="F146" i="4" s="1"/>
  <c r="W145" i="4"/>
  <c r="V145" i="4"/>
  <c r="AF145" i="4" s="1"/>
  <c r="S145" i="4"/>
  <c r="AE145" i="4" s="1"/>
  <c r="AE92" i="3" l="1"/>
  <c r="AI92" i="3"/>
  <c r="Z92" i="3"/>
  <c r="E93" i="3" s="1"/>
  <c r="G93" i="3" s="1"/>
  <c r="T92" i="3"/>
  <c r="J146" i="4"/>
  <c r="K146" i="4" s="1"/>
  <c r="CK93" i="3"/>
  <c r="CL93" i="3" s="1"/>
  <c r="AT94" i="3"/>
  <c r="AW94" i="3" s="1"/>
  <c r="AS94" i="3"/>
  <c r="Z145" i="4"/>
  <c r="E146" i="4" s="1"/>
  <c r="G146" i="4" s="1"/>
  <c r="I146" i="4" s="1"/>
  <c r="AI145" i="4"/>
  <c r="T145" i="4"/>
  <c r="BM93" i="3"/>
  <c r="L146" i="4" l="1"/>
  <c r="AD146" i="4"/>
  <c r="M146" i="4"/>
  <c r="CR93" i="3"/>
  <c r="CU93" i="3" s="1"/>
  <c r="BZ94" i="3" s="1"/>
  <c r="CQ93" i="3"/>
  <c r="CP93" i="3"/>
  <c r="CZ93" i="3" s="1"/>
  <c r="CM93" i="3"/>
  <c r="CN93" i="3" s="1"/>
  <c r="AB145" i="4"/>
  <c r="AC145" i="4" s="1"/>
  <c r="U145" i="4"/>
  <c r="AH145" i="4" s="1"/>
  <c r="H93" i="3"/>
  <c r="I93" i="3" s="1"/>
  <c r="AZ94" i="3"/>
  <c r="AU94" i="3"/>
  <c r="P146" i="4"/>
  <c r="Q146" i="4"/>
  <c r="R146" i="4" s="1"/>
  <c r="AB92" i="3"/>
  <c r="U92" i="3"/>
  <c r="AH92" i="3" s="1"/>
  <c r="CV93" i="3" l="1"/>
  <c r="CO93" i="3"/>
  <c r="DB93" i="3" s="1"/>
  <c r="J93" i="3"/>
  <c r="M93" i="3" s="1"/>
  <c r="P93" i="3" s="1"/>
  <c r="AC92" i="3"/>
  <c r="CT93" i="3"/>
  <c r="BY94" i="3" s="1"/>
  <c r="CA94" i="3" s="1"/>
  <c r="DC93" i="3"/>
  <c r="S146" i="4"/>
  <c r="AE146" i="4" s="1"/>
  <c r="CY93" i="3"/>
  <c r="T146" i="4"/>
  <c r="X146" i="4"/>
  <c r="AA146" i="4" s="1"/>
  <c r="F147" i="4" s="1"/>
  <c r="V146" i="4"/>
  <c r="AF146" i="4" s="1"/>
  <c r="W146" i="4"/>
  <c r="BN94" i="3"/>
  <c r="AV94" i="3"/>
  <c r="CB94" i="3" l="1"/>
  <c r="J147" i="4"/>
  <c r="K147" i="4" s="1"/>
  <c r="AB146" i="4"/>
  <c r="AC146" i="4" s="1"/>
  <c r="U146" i="4"/>
  <c r="AH146" i="4" s="1"/>
  <c r="AY94" i="3"/>
  <c r="AX94" i="3"/>
  <c r="Z146" i="4"/>
  <c r="E147" i="4" s="1"/>
  <c r="G147" i="4" s="1"/>
  <c r="I147" i="4" s="1"/>
  <c r="AI146" i="4"/>
  <c r="K93" i="3"/>
  <c r="CW93" i="3"/>
  <c r="BA94" i="3" l="1"/>
  <c r="BB94" i="3" s="1"/>
  <c r="L147" i="4"/>
  <c r="AD147" i="4"/>
  <c r="CD94" i="3"/>
  <c r="CG94" i="3" s="1"/>
  <c r="M147" i="4"/>
  <c r="P147" i="4" s="1"/>
  <c r="CC94" i="3"/>
  <c r="AD93" i="3"/>
  <c r="L93" i="3"/>
  <c r="Q147" i="4" l="1"/>
  <c r="R147" i="4" s="1"/>
  <c r="CE94" i="3"/>
  <c r="N93" i="3"/>
  <c r="O93" i="3"/>
  <c r="BH94" i="3"/>
  <c r="BK94" i="3" s="1"/>
  <c r="AP95" i="3" s="1"/>
  <c r="BG94" i="3"/>
  <c r="BF94" i="3"/>
  <c r="BP94" i="3" s="1"/>
  <c r="BC94" i="3"/>
  <c r="CJ94" i="3"/>
  <c r="BO94" i="3" l="1"/>
  <c r="BJ94" i="3"/>
  <c r="AO95" i="3" s="1"/>
  <c r="AQ95" i="3" s="1"/>
  <c r="BS94" i="3"/>
  <c r="BD94" i="3"/>
  <c r="X147" i="4"/>
  <c r="AA147" i="4" s="1"/>
  <c r="F148" i="4" s="1"/>
  <c r="W147" i="4"/>
  <c r="V147" i="4"/>
  <c r="AF147" i="4" s="1"/>
  <c r="Q93" i="3"/>
  <c r="R93" i="3" s="1"/>
  <c r="CX94" i="3"/>
  <c r="CF94" i="3"/>
  <c r="S147" i="4"/>
  <c r="AE147" i="4" s="1"/>
  <c r="T147" i="4" l="1"/>
  <c r="CH94" i="3"/>
  <c r="CI94" i="3"/>
  <c r="X93" i="3"/>
  <c r="AA93" i="3" s="1"/>
  <c r="F94" i="3" s="1"/>
  <c r="V93" i="3"/>
  <c r="AF93" i="3" s="1"/>
  <c r="W93" i="3"/>
  <c r="S93" i="3"/>
  <c r="Z147" i="4"/>
  <c r="E148" i="4" s="1"/>
  <c r="G148" i="4" s="1"/>
  <c r="I148" i="4" s="1"/>
  <c r="AI147" i="4"/>
  <c r="AB147" i="4"/>
  <c r="AC147" i="4" s="1"/>
  <c r="U147" i="4"/>
  <c r="AH147" i="4" s="1"/>
  <c r="BL94" i="3"/>
  <c r="BE94" i="3"/>
  <c r="BR94" i="3" s="1"/>
  <c r="AR95" i="3"/>
  <c r="AS95" i="3" s="1"/>
  <c r="J148" i="4"/>
  <c r="K148" i="4" s="1"/>
  <c r="BM94" i="3" l="1"/>
  <c r="AE93" i="3"/>
  <c r="Z93" i="3"/>
  <c r="E94" i="3" s="1"/>
  <c r="G94" i="3" s="1"/>
  <c r="AI93" i="3"/>
  <c r="T93" i="3"/>
  <c r="L148" i="4"/>
  <c r="AD148" i="4"/>
  <c r="M148" i="4"/>
  <c r="P148" i="4" s="1"/>
  <c r="Q148" i="4" s="1"/>
  <c r="R148" i="4" s="1"/>
  <c r="AT95" i="3"/>
  <c r="AW95" i="3" s="1"/>
  <c r="AZ95" i="3" s="1"/>
  <c r="AU95" i="3"/>
  <c r="CK94" i="3"/>
  <c r="CL94" i="3" s="1"/>
  <c r="X148" i="4" l="1"/>
  <c r="AA148" i="4" s="1"/>
  <c r="F149" i="4" s="1"/>
  <c r="BN95" i="3"/>
  <c r="V148" i="4"/>
  <c r="AF148" i="4" s="1"/>
  <c r="W148" i="4"/>
  <c r="AV95" i="3"/>
  <c r="AB93" i="3"/>
  <c r="U93" i="3"/>
  <c r="AH93" i="3" s="1"/>
  <c r="H94" i="3"/>
  <c r="CR94" i="3"/>
  <c r="CU94" i="3" s="1"/>
  <c r="BZ95" i="3" s="1"/>
  <c r="CQ94" i="3"/>
  <c r="CP94" i="3"/>
  <c r="CZ94" i="3" s="1"/>
  <c r="CM94" i="3"/>
  <c r="S148" i="4"/>
  <c r="AE148" i="4" s="1"/>
  <c r="J94" i="3" l="1"/>
  <c r="M94" i="3" s="1"/>
  <c r="I94" i="3"/>
  <c r="Z148" i="4"/>
  <c r="E149" i="4" s="1"/>
  <c r="G149" i="4" s="1"/>
  <c r="I149" i="4" s="1"/>
  <c r="AI148" i="4"/>
  <c r="AC93" i="3"/>
  <c r="AX95" i="3"/>
  <c r="AY95" i="3"/>
  <c r="J149" i="4"/>
  <c r="K149" i="4" s="1"/>
  <c r="CY94" i="3"/>
  <c r="T148" i="4"/>
  <c r="DC94" i="3"/>
  <c r="CT94" i="3"/>
  <c r="BY95" i="3" s="1"/>
  <c r="CA95" i="3" s="1"/>
  <c r="CN94" i="3"/>
  <c r="CV94" i="3" l="1"/>
  <c r="CO94" i="3"/>
  <c r="DB94" i="3" s="1"/>
  <c r="AB148" i="4"/>
  <c r="AC148" i="4" s="1"/>
  <c r="U148" i="4"/>
  <c r="AH148" i="4" s="1"/>
  <c r="P94" i="3"/>
  <c r="BA95" i="3"/>
  <c r="BB95" i="3" s="1"/>
  <c r="CB95" i="3"/>
  <c r="CC95" i="3" s="1"/>
  <c r="L149" i="4"/>
  <c r="AD149" i="4"/>
  <c r="M149" i="4"/>
  <c r="P149" i="4" s="1"/>
  <c r="Q149" i="4" s="1"/>
  <c r="R149" i="4" s="1"/>
  <c r="W149" i="4" s="1"/>
  <c r="K94" i="3"/>
  <c r="AI149" i="4" l="1"/>
  <c r="Z149" i="4"/>
  <c r="E150" i="4" s="1"/>
  <c r="G150" i="4" s="1"/>
  <c r="I150" i="4" s="1"/>
  <c r="X149" i="4"/>
  <c r="AA149" i="4" s="1"/>
  <c r="F150" i="4" s="1"/>
  <c r="V149" i="4"/>
  <c r="AF149" i="4" s="1"/>
  <c r="BH95" i="3"/>
  <c r="BK95" i="3" s="1"/>
  <c r="AP96" i="3" s="1"/>
  <c r="BG95" i="3"/>
  <c r="BF95" i="3"/>
  <c r="BP95" i="3" s="1"/>
  <c r="BC95" i="3"/>
  <c r="BD95" i="3" s="1"/>
  <c r="S149" i="4"/>
  <c r="AE149" i="4" s="1"/>
  <c r="AD94" i="3"/>
  <c r="L94" i="3"/>
  <c r="CD95" i="3"/>
  <c r="CG95" i="3" s="1"/>
  <c r="CJ95" i="3" s="1"/>
  <c r="CW94" i="3"/>
  <c r="CE95" i="3" l="1"/>
  <c r="T149" i="4"/>
  <c r="BS95" i="3"/>
  <c r="BJ95" i="3"/>
  <c r="AO96" i="3" s="1"/>
  <c r="AQ96" i="3" s="1"/>
  <c r="CX95" i="3"/>
  <c r="BL95" i="3"/>
  <c r="BE95" i="3"/>
  <c r="BR95" i="3" s="1"/>
  <c r="AB149" i="4"/>
  <c r="AC149" i="4" s="1"/>
  <c r="U149" i="4"/>
  <c r="AH149" i="4" s="1"/>
  <c r="CF95" i="3"/>
  <c r="O94" i="3"/>
  <c r="N94" i="3"/>
  <c r="J150" i="4"/>
  <c r="K150" i="4" s="1"/>
  <c r="BO95" i="3"/>
  <c r="L150" i="4" l="1"/>
  <c r="AD150" i="4"/>
  <c r="Q94" i="3"/>
  <c r="R94" i="3" s="1"/>
  <c r="CH95" i="3"/>
  <c r="CI95" i="3"/>
  <c r="M150" i="4"/>
  <c r="P150" i="4" s="1"/>
  <c r="BM95" i="3"/>
  <c r="AR96" i="3"/>
  <c r="AS96" i="3" s="1"/>
  <c r="CK95" i="3" l="1"/>
  <c r="CL95" i="3" s="1"/>
  <c r="Q150" i="4"/>
  <c r="R150" i="4" s="1"/>
  <c r="X94" i="3"/>
  <c r="AA94" i="3" s="1"/>
  <c r="F95" i="3" s="1"/>
  <c r="V94" i="3"/>
  <c r="AF94" i="3" s="1"/>
  <c r="W94" i="3"/>
  <c r="S94" i="3"/>
  <c r="AT96" i="3"/>
  <c r="AW96" i="3" s="1"/>
  <c r="AZ96" i="3" s="1"/>
  <c r="AU96" i="3" l="1"/>
  <c r="BN96" i="3" s="1"/>
  <c r="AV96" i="3"/>
  <c r="AE94" i="3"/>
  <c r="Z94" i="3"/>
  <c r="E95" i="3" s="1"/>
  <c r="G95" i="3" s="1"/>
  <c r="AI94" i="3"/>
  <c r="T94" i="3"/>
  <c r="X150" i="4"/>
  <c r="AA150" i="4" s="1"/>
  <c r="F151" i="4" s="1"/>
  <c r="W150" i="4"/>
  <c r="V150" i="4"/>
  <c r="AF150" i="4" s="1"/>
  <c r="S150" i="4"/>
  <c r="AE150" i="4" s="1"/>
  <c r="CR95" i="3"/>
  <c r="CU95" i="3" s="1"/>
  <c r="BZ96" i="3" s="1"/>
  <c r="CQ95" i="3"/>
  <c r="CP95" i="3"/>
  <c r="CZ95" i="3" s="1"/>
  <c r="CM95" i="3"/>
  <c r="AI150" i="4" l="1"/>
  <c r="Z150" i="4"/>
  <c r="E151" i="4" s="1"/>
  <c r="G151" i="4" s="1"/>
  <c r="I151" i="4" s="1"/>
  <c r="H95" i="3"/>
  <c r="I95" i="3" s="1"/>
  <c r="J151" i="4"/>
  <c r="K151" i="4" s="1"/>
  <c r="T150" i="4"/>
  <c r="AB94" i="3"/>
  <c r="U94" i="3"/>
  <c r="AH94" i="3" s="1"/>
  <c r="AX96" i="3"/>
  <c r="AY96" i="3"/>
  <c r="CY95" i="3"/>
  <c r="CT95" i="3"/>
  <c r="BY96" i="3" s="1"/>
  <c r="CA96" i="3" s="1"/>
  <c r="DC95" i="3"/>
  <c r="CN95" i="3"/>
  <c r="BA96" i="3" l="1"/>
  <c r="BB96" i="3" s="1"/>
  <c r="AB150" i="4"/>
  <c r="AC150" i="4" s="1"/>
  <c r="U150" i="4"/>
  <c r="AH150" i="4" s="1"/>
  <c r="M151" i="4"/>
  <c r="L151" i="4"/>
  <c r="AD151" i="4"/>
  <c r="CV95" i="3"/>
  <c r="CO95" i="3"/>
  <c r="DB95" i="3" s="1"/>
  <c r="P151" i="4"/>
  <c r="AC94" i="3"/>
  <c r="J95" i="3"/>
  <c r="M95" i="3" s="1"/>
  <c r="P95" i="3" s="1"/>
  <c r="CB96" i="3"/>
  <c r="CD96" i="3" l="1"/>
  <c r="CG96" i="3" s="1"/>
  <c r="CE96" i="3"/>
  <c r="CX96" i="3" s="1"/>
  <c r="CC96" i="3"/>
  <c r="K95" i="3"/>
  <c r="BH96" i="3"/>
  <c r="BK96" i="3" s="1"/>
  <c r="AP97" i="3" s="1"/>
  <c r="BF96" i="3"/>
  <c r="BP96" i="3" s="1"/>
  <c r="BG96" i="3"/>
  <c r="BC96" i="3"/>
  <c r="BO96" i="3" s="1"/>
  <c r="CW95" i="3"/>
  <c r="Q151" i="4"/>
  <c r="R151" i="4" s="1"/>
  <c r="S151" i="4" s="1"/>
  <c r="AE151" i="4" s="1"/>
  <c r="I25" i="5" l="1"/>
  <c r="BJ96" i="3"/>
  <c r="AO97" i="3" s="1"/>
  <c r="AQ97" i="3" s="1"/>
  <c r="BS96" i="3"/>
  <c r="BD96" i="3"/>
  <c r="AD95" i="3"/>
  <c r="L95" i="3"/>
  <c r="CJ96" i="3"/>
  <c r="T151" i="4"/>
  <c r="X151" i="4"/>
  <c r="AA151" i="4" s="1"/>
  <c r="V151" i="4"/>
  <c r="AF151" i="4" s="1"/>
  <c r="W151" i="4"/>
  <c r="CF96" i="3"/>
  <c r="BL96" i="3" l="1"/>
  <c r="BM96" i="3" s="1"/>
  <c r="BE96" i="3"/>
  <c r="BR96" i="3" s="1"/>
  <c r="F152" i="4"/>
  <c r="C14" i="4"/>
  <c r="AB151" i="4"/>
  <c r="AC151" i="4" s="1"/>
  <c r="U151" i="4"/>
  <c r="AH151" i="4" s="1"/>
  <c r="N95" i="3"/>
  <c r="O95" i="3"/>
  <c r="CI96" i="3"/>
  <c r="CH96" i="3"/>
  <c r="AR97" i="3"/>
  <c r="Y151" i="4"/>
  <c r="Z151" i="4" s="1"/>
  <c r="AI151" i="4"/>
  <c r="J14" i="4"/>
  <c r="AT97" i="3" l="1"/>
  <c r="AW97" i="3" s="1"/>
  <c r="AU97" i="3"/>
  <c r="BN97" i="3" s="1"/>
  <c r="E25" i="5"/>
  <c r="E152" i="4"/>
  <c r="G152" i="4" s="1"/>
  <c r="I152" i="4" s="1"/>
  <c r="B14" i="4"/>
  <c r="D14" i="4" s="1"/>
  <c r="CK96" i="3"/>
  <c r="CL96" i="3" s="1"/>
  <c r="Q95" i="3"/>
  <c r="R95" i="3" s="1"/>
  <c r="I14" i="4"/>
  <c r="AG151" i="4"/>
  <c r="AG152" i="4" s="1"/>
  <c r="AG153" i="4" s="1"/>
  <c r="AG154" i="4" s="1"/>
  <c r="AG155" i="4" s="1"/>
  <c r="AG156" i="4" s="1"/>
  <c r="AG157" i="4" s="1"/>
  <c r="AG158" i="4" s="1"/>
  <c r="AG159" i="4" s="1"/>
  <c r="AG160" i="4" s="1"/>
  <c r="AG161" i="4" s="1"/>
  <c r="AG162" i="4" s="1"/>
  <c r="J152" i="4"/>
  <c r="K152" i="4" s="1"/>
  <c r="AS97" i="3"/>
  <c r="L152" i="4" l="1"/>
  <c r="AD152" i="4"/>
  <c r="M152" i="4"/>
  <c r="P152" i="4" s="1"/>
  <c r="X95" i="3"/>
  <c r="AA95" i="3" s="1"/>
  <c r="F96" i="3" s="1"/>
  <c r="V95" i="3"/>
  <c r="AF95" i="3" s="1"/>
  <c r="W95" i="3"/>
  <c r="S95" i="3"/>
  <c r="AZ97" i="3"/>
  <c r="CR96" i="3"/>
  <c r="CU96" i="3" s="1"/>
  <c r="BZ97" i="3" s="1"/>
  <c r="CP96" i="3"/>
  <c r="CZ96" i="3" s="1"/>
  <c r="CQ96" i="3"/>
  <c r="CM96" i="3"/>
  <c r="CY96" i="3" s="1"/>
  <c r="AV97" i="3"/>
  <c r="CN96" i="3" l="1"/>
  <c r="Q152" i="4"/>
  <c r="R152" i="4" s="1"/>
  <c r="CV96" i="3"/>
  <c r="CO96" i="3"/>
  <c r="DB96" i="3" s="1"/>
  <c r="AE95" i="3"/>
  <c r="AX97" i="3"/>
  <c r="AY97" i="3"/>
  <c r="T95" i="3"/>
  <c r="AI95" i="3"/>
  <c r="Z95" i="3"/>
  <c r="E96" i="3" s="1"/>
  <c r="G96" i="3" s="1"/>
  <c r="CT96" i="3"/>
  <c r="BY97" i="3" s="1"/>
  <c r="CA97" i="3" s="1"/>
  <c r="DC96" i="3"/>
  <c r="BA97" i="3" l="1"/>
  <c r="BB97" i="3" s="1"/>
  <c r="AB95" i="3"/>
  <c r="U95" i="3"/>
  <c r="AH95" i="3" s="1"/>
  <c r="X152" i="4"/>
  <c r="AA152" i="4" s="1"/>
  <c r="F153" i="4" s="1"/>
  <c r="V152" i="4"/>
  <c r="AF152" i="4" s="1"/>
  <c r="W152" i="4"/>
  <c r="CB97" i="3"/>
  <c r="CW96" i="3"/>
  <c r="H96" i="3"/>
  <c r="I96" i="3" s="1"/>
  <c r="S152" i="4"/>
  <c r="T152" i="4" s="1"/>
  <c r="Z152" i="4" l="1"/>
  <c r="E153" i="4" s="1"/>
  <c r="G153" i="4" s="1"/>
  <c r="I153" i="4" s="1"/>
  <c r="AI152" i="4"/>
  <c r="AB152" i="4"/>
  <c r="U152" i="4"/>
  <c r="AH152" i="4" s="1"/>
  <c r="BH97" i="3"/>
  <c r="BK97" i="3" s="1"/>
  <c r="AP98" i="3" s="1"/>
  <c r="BG97" i="3"/>
  <c r="BF97" i="3"/>
  <c r="BP97" i="3" s="1"/>
  <c r="BC97" i="3"/>
  <c r="BO97" i="3" s="1"/>
  <c r="J96" i="3"/>
  <c r="M96" i="3" s="1"/>
  <c r="P96" i="3" s="1"/>
  <c r="CD97" i="3"/>
  <c r="CG97" i="3" s="1"/>
  <c r="CC97" i="3"/>
  <c r="J153" i="4"/>
  <c r="K153" i="4" s="1"/>
  <c r="AC95" i="3"/>
  <c r="AE152" i="4"/>
  <c r="BS97" i="3" l="1"/>
  <c r="BJ97" i="3"/>
  <c r="AO98" i="3" s="1"/>
  <c r="AQ98" i="3" s="1"/>
  <c r="BD97" i="3"/>
  <c r="AC152" i="4"/>
  <c r="K96" i="3"/>
  <c r="L153" i="4"/>
  <c r="AD153" i="4"/>
  <c r="M153" i="4"/>
  <c r="P153" i="4" s="1"/>
  <c r="Q153" i="4" s="1"/>
  <c r="R153" i="4" s="1"/>
  <c r="V153" i="4" s="1"/>
  <c r="AF153" i="4" s="1"/>
  <c r="CJ97" i="3"/>
  <c r="CE97" i="3"/>
  <c r="CX97" i="3" l="1"/>
  <c r="CF97" i="3"/>
  <c r="AD96" i="3"/>
  <c r="L96" i="3"/>
  <c r="W153" i="4"/>
  <c r="AR98" i="3"/>
  <c r="AS98" i="3" s="1"/>
  <c r="X153" i="4"/>
  <c r="AA153" i="4" s="1"/>
  <c r="F154" i="4" s="1"/>
  <c r="S153" i="4"/>
  <c r="BL97" i="3"/>
  <c r="BM97" i="3" s="1"/>
  <c r="BE97" i="3"/>
  <c r="BR97" i="3" s="1"/>
  <c r="J154" i="4" l="1"/>
  <c r="K154" i="4" s="1"/>
  <c r="AE153" i="4"/>
  <c r="T153" i="4"/>
  <c r="AT98" i="3"/>
  <c r="AW98" i="3" s="1"/>
  <c r="AZ98" i="3" s="1"/>
  <c r="Z153" i="4"/>
  <c r="E154" i="4" s="1"/>
  <c r="G154" i="4" s="1"/>
  <c r="I154" i="4" s="1"/>
  <c r="AI153" i="4"/>
  <c r="N96" i="3"/>
  <c r="O96" i="3"/>
  <c r="CH97" i="3"/>
  <c r="CI97" i="3"/>
  <c r="AU98" i="3" l="1"/>
  <c r="AB153" i="4"/>
  <c r="U153" i="4"/>
  <c r="AH153" i="4" s="1"/>
  <c r="L154" i="4"/>
  <c r="AD154" i="4"/>
  <c r="M154" i="4"/>
  <c r="P154" i="4" s="1"/>
  <c r="CK97" i="3"/>
  <c r="CL97" i="3" s="1"/>
  <c r="Q96" i="3"/>
  <c r="R96" i="3" s="1"/>
  <c r="Q154" i="4" l="1"/>
  <c r="R154" i="4" s="1"/>
  <c r="X96" i="3"/>
  <c r="AA96" i="3" s="1"/>
  <c r="F97" i="3" s="1"/>
  <c r="W96" i="3"/>
  <c r="V96" i="3"/>
  <c r="AF96" i="3" s="1"/>
  <c r="S96" i="3"/>
  <c r="AE96" i="3" s="1"/>
  <c r="CR97" i="3"/>
  <c r="CU97" i="3" s="1"/>
  <c r="BZ98" i="3" s="1"/>
  <c r="CP97" i="3"/>
  <c r="CZ97" i="3" s="1"/>
  <c r="CQ97" i="3"/>
  <c r="CM97" i="3"/>
  <c r="CY97" i="3" s="1"/>
  <c r="BN98" i="3"/>
  <c r="AV98" i="3"/>
  <c r="AC153" i="4"/>
  <c r="AX98" i="3" l="1"/>
  <c r="AY98" i="3"/>
  <c r="DC97" i="3"/>
  <c r="CT97" i="3"/>
  <c r="BY98" i="3" s="1"/>
  <c r="CA98" i="3" s="1"/>
  <c r="CN97" i="3"/>
  <c r="Z96" i="3"/>
  <c r="E97" i="3" s="1"/>
  <c r="G97" i="3" s="1"/>
  <c r="AI96" i="3"/>
  <c r="T96" i="3"/>
  <c r="X154" i="4"/>
  <c r="AA154" i="4" s="1"/>
  <c r="F155" i="4" s="1"/>
  <c r="W154" i="4"/>
  <c r="V154" i="4"/>
  <c r="AF154" i="4" s="1"/>
  <c r="S154" i="4"/>
  <c r="J155" i="4" l="1"/>
  <c r="K155" i="4" s="1"/>
  <c r="BA98" i="3"/>
  <c r="BB98" i="3" s="1"/>
  <c r="H97" i="3"/>
  <c r="CV97" i="3"/>
  <c r="CW97" i="3" s="1"/>
  <c r="CO97" i="3"/>
  <c r="DB97" i="3" s="1"/>
  <c r="AB96" i="3"/>
  <c r="AC96" i="3" s="1"/>
  <c r="U96" i="3"/>
  <c r="AH96" i="3" s="1"/>
  <c r="CB98" i="3"/>
  <c r="AE154" i="4"/>
  <c r="Z154" i="4"/>
  <c r="E155" i="4" s="1"/>
  <c r="G155" i="4" s="1"/>
  <c r="I155" i="4" s="1"/>
  <c r="AI154" i="4"/>
  <c r="T154" i="4"/>
  <c r="CD98" i="3" l="1"/>
  <c r="CG98" i="3" s="1"/>
  <c r="CC98" i="3"/>
  <c r="J97" i="3"/>
  <c r="M97" i="3" s="1"/>
  <c r="I97" i="3"/>
  <c r="L155" i="4"/>
  <c r="AD155" i="4"/>
  <c r="BH98" i="3"/>
  <c r="BK98" i="3" s="1"/>
  <c r="AP99" i="3" s="1"/>
  <c r="BG98" i="3"/>
  <c r="BF98" i="3"/>
  <c r="BP98" i="3" s="1"/>
  <c r="BC98" i="3"/>
  <c r="BO98" i="3" s="1"/>
  <c r="AB154" i="4"/>
  <c r="U154" i="4"/>
  <c r="AH154" i="4" s="1"/>
  <c r="M155" i="4"/>
  <c r="P155" i="4" s="1"/>
  <c r="Q155" i="4" l="1"/>
  <c r="R155" i="4" s="1"/>
  <c r="K97" i="3"/>
  <c r="AC154" i="4"/>
  <c r="BD98" i="3"/>
  <c r="P97" i="3"/>
  <c r="BJ98" i="3"/>
  <c r="AO99" i="3" s="1"/>
  <c r="AQ99" i="3" s="1"/>
  <c r="BS98" i="3"/>
  <c r="CJ98" i="3"/>
  <c r="CE98" i="3"/>
  <c r="AR99" i="3" l="1"/>
  <c r="BL98" i="3"/>
  <c r="BM98" i="3" s="1"/>
  <c r="BE98" i="3"/>
  <c r="BR98" i="3" s="1"/>
  <c r="CX98" i="3"/>
  <c r="CF98" i="3"/>
  <c r="X155" i="4"/>
  <c r="AA155" i="4" s="1"/>
  <c r="F156" i="4" s="1"/>
  <c r="W155" i="4"/>
  <c r="V155" i="4"/>
  <c r="AF155" i="4" s="1"/>
  <c r="AD97" i="3"/>
  <c r="L97" i="3"/>
  <c r="S155" i="4"/>
  <c r="J156" i="4" l="1"/>
  <c r="K156" i="4" s="1"/>
  <c r="N97" i="3"/>
  <c r="O97" i="3"/>
  <c r="AE155" i="4"/>
  <c r="Z155" i="4"/>
  <c r="E156" i="4" s="1"/>
  <c r="G156" i="4" s="1"/>
  <c r="I156" i="4" s="1"/>
  <c r="AI155" i="4"/>
  <c r="T155" i="4"/>
  <c r="CH98" i="3"/>
  <c r="CI98" i="3"/>
  <c r="AT99" i="3"/>
  <c r="AW99" i="3" s="1"/>
  <c r="AU99" i="3"/>
  <c r="BN99" i="3" s="1"/>
  <c r="AS99" i="3"/>
  <c r="AB155" i="4" l="1"/>
  <c r="U155" i="4"/>
  <c r="AH155" i="4" s="1"/>
  <c r="CK98" i="3"/>
  <c r="CL98" i="3" s="1"/>
  <c r="AZ99" i="3"/>
  <c r="Q97" i="3"/>
  <c r="R97" i="3" s="1"/>
  <c r="AV99" i="3"/>
  <c r="L156" i="4"/>
  <c r="AD156" i="4"/>
  <c r="M156" i="4"/>
  <c r="P156" i="4" s="1"/>
  <c r="CR98" i="3" l="1"/>
  <c r="CU98" i="3" s="1"/>
  <c r="BZ99" i="3" s="1"/>
  <c r="CP98" i="3"/>
  <c r="CZ98" i="3" s="1"/>
  <c r="CQ98" i="3"/>
  <c r="CM98" i="3"/>
  <c r="CY98" i="3" s="1"/>
  <c r="AX99" i="3"/>
  <c r="AY99" i="3"/>
  <c r="X97" i="3"/>
  <c r="AA97" i="3" s="1"/>
  <c r="F98" i="3" s="1"/>
  <c r="V97" i="3"/>
  <c r="AF97" i="3" s="1"/>
  <c r="W97" i="3"/>
  <c r="S97" i="3"/>
  <c r="AE97" i="3" s="1"/>
  <c r="Q156" i="4"/>
  <c r="R156" i="4" s="1"/>
  <c r="S156" i="4" s="1"/>
  <c r="AE156" i="4" s="1"/>
  <c r="AC155" i="4"/>
  <c r="Z97" i="3" l="1"/>
  <c r="E98" i="3" s="1"/>
  <c r="G98" i="3" s="1"/>
  <c r="AI97" i="3"/>
  <c r="T97" i="3"/>
  <c r="BA99" i="3"/>
  <c r="BB99" i="3" s="1"/>
  <c r="CT98" i="3"/>
  <c r="BY99" i="3" s="1"/>
  <c r="CA99" i="3" s="1"/>
  <c r="DC98" i="3"/>
  <c r="CN98" i="3"/>
  <c r="X156" i="4"/>
  <c r="AA156" i="4" s="1"/>
  <c r="F157" i="4" s="1"/>
  <c r="T156" i="4"/>
  <c r="W156" i="4"/>
  <c r="V156" i="4"/>
  <c r="AF156" i="4" s="1"/>
  <c r="BH99" i="3" l="1"/>
  <c r="BK99" i="3" s="1"/>
  <c r="AP100" i="3" s="1"/>
  <c r="BG99" i="3"/>
  <c r="BF99" i="3"/>
  <c r="BP99" i="3" s="1"/>
  <c r="BC99" i="3"/>
  <c r="BO99" i="3" s="1"/>
  <c r="CV98" i="3"/>
  <c r="CW98" i="3" s="1"/>
  <c r="CO98" i="3"/>
  <c r="DB98" i="3" s="1"/>
  <c r="AB97" i="3"/>
  <c r="AC97" i="3" s="1"/>
  <c r="U97" i="3"/>
  <c r="AH97" i="3" s="1"/>
  <c r="J157" i="4"/>
  <c r="K157" i="4" s="1"/>
  <c r="CB99" i="3"/>
  <c r="Z156" i="4"/>
  <c r="E157" i="4" s="1"/>
  <c r="G157" i="4" s="1"/>
  <c r="I157" i="4" s="1"/>
  <c r="AI156" i="4"/>
  <c r="AB156" i="4"/>
  <c r="AC156" i="4" s="1"/>
  <c r="U156" i="4"/>
  <c r="AH156" i="4" s="1"/>
  <c r="H98" i="3"/>
  <c r="L157" i="4" l="1"/>
  <c r="AD157" i="4"/>
  <c r="M157" i="4"/>
  <c r="P157" i="4" s="1"/>
  <c r="CD99" i="3"/>
  <c r="CG99" i="3" s="1"/>
  <c r="CE99" i="3"/>
  <c r="CX99" i="3" s="1"/>
  <c r="CC99" i="3"/>
  <c r="J98" i="3"/>
  <c r="M98" i="3" s="1"/>
  <c r="BD99" i="3"/>
  <c r="I98" i="3"/>
  <c r="BS99" i="3"/>
  <c r="BJ99" i="3"/>
  <c r="AO100" i="3" s="1"/>
  <c r="AQ100" i="3" s="1"/>
  <c r="Q157" i="4" l="1"/>
  <c r="R157" i="4" s="1"/>
  <c r="K98" i="3"/>
  <c r="P98" i="3"/>
  <c r="CJ99" i="3"/>
  <c r="AR100" i="3"/>
  <c r="CF99" i="3"/>
  <c r="BL99" i="3"/>
  <c r="BM99" i="3" s="1"/>
  <c r="BE99" i="3"/>
  <c r="BR99" i="3" s="1"/>
  <c r="AT100" i="3" l="1"/>
  <c r="AW100" i="3" s="1"/>
  <c r="CH99" i="3"/>
  <c r="CI99" i="3"/>
  <c r="AS100" i="3"/>
  <c r="AD98" i="3"/>
  <c r="L98" i="3"/>
  <c r="X157" i="4"/>
  <c r="AA157" i="4" s="1"/>
  <c r="F158" i="4" s="1"/>
  <c r="V157" i="4"/>
  <c r="AF157" i="4" s="1"/>
  <c r="W157" i="4"/>
  <c r="S157" i="4"/>
  <c r="AE157" i="4" s="1"/>
  <c r="T157" i="4" l="1"/>
  <c r="CK99" i="3"/>
  <c r="CL99" i="3" s="1"/>
  <c r="AB157" i="4"/>
  <c r="AC157" i="4" s="1"/>
  <c r="U157" i="4"/>
  <c r="AH157" i="4" s="1"/>
  <c r="AZ100" i="3"/>
  <c r="J158" i="4"/>
  <c r="K158" i="4" s="1"/>
  <c r="O98" i="3"/>
  <c r="N98" i="3"/>
  <c r="AU100" i="3"/>
  <c r="Z157" i="4"/>
  <c r="E158" i="4" s="1"/>
  <c r="G158" i="4" s="1"/>
  <c r="I158" i="4" s="1"/>
  <c r="AI157" i="4"/>
  <c r="BN100" i="3" l="1"/>
  <c r="AV100" i="3"/>
  <c r="Q98" i="3"/>
  <c r="R98" i="3" s="1"/>
  <c r="M158" i="4"/>
  <c r="P158" i="4" s="1"/>
  <c r="CR99" i="3"/>
  <c r="CU99" i="3" s="1"/>
  <c r="BZ100" i="3" s="1"/>
  <c r="CP99" i="3"/>
  <c r="CZ99" i="3" s="1"/>
  <c r="CQ99" i="3"/>
  <c r="CM99" i="3"/>
  <c r="CY99" i="3" s="1"/>
  <c r="L158" i="4"/>
  <c r="AD158" i="4"/>
  <c r="Q158" i="4" l="1"/>
  <c r="R158" i="4" s="1"/>
  <c r="CN99" i="3"/>
  <c r="DC99" i="3"/>
  <c r="CT99" i="3"/>
  <c r="BY100" i="3" s="1"/>
  <c r="CA100" i="3" s="1"/>
  <c r="X98" i="3"/>
  <c r="AA98" i="3" s="1"/>
  <c r="F99" i="3" s="1"/>
  <c r="V98" i="3"/>
  <c r="AF98" i="3" s="1"/>
  <c r="W98" i="3"/>
  <c r="S98" i="3"/>
  <c r="AE98" i="3" s="1"/>
  <c r="AX100" i="3"/>
  <c r="AY100" i="3"/>
  <c r="BA100" i="3" l="1"/>
  <c r="BB100" i="3" s="1"/>
  <c r="T98" i="3"/>
  <c r="AI98" i="3"/>
  <c r="Z98" i="3"/>
  <c r="E99" i="3" s="1"/>
  <c r="G99" i="3" s="1"/>
  <c r="CB100" i="3"/>
  <c r="CV99" i="3"/>
  <c r="CW99" i="3" s="1"/>
  <c r="CO99" i="3"/>
  <c r="DB99" i="3" s="1"/>
  <c r="X158" i="4"/>
  <c r="AA158" i="4" s="1"/>
  <c r="F159" i="4" s="1"/>
  <c r="V158" i="4"/>
  <c r="AF158" i="4" s="1"/>
  <c r="W158" i="4"/>
  <c r="S158" i="4"/>
  <c r="AE158" i="4" s="1"/>
  <c r="T158" i="4" l="1"/>
  <c r="AI158" i="4"/>
  <c r="Z158" i="4"/>
  <c r="E159" i="4" s="1"/>
  <c r="G159" i="4" s="1"/>
  <c r="I159" i="4" s="1"/>
  <c r="AB158" i="4"/>
  <c r="AC158" i="4" s="1"/>
  <c r="U158" i="4"/>
  <c r="AH158" i="4" s="1"/>
  <c r="BH100" i="3"/>
  <c r="BK100" i="3" s="1"/>
  <c r="AP101" i="3" s="1"/>
  <c r="BF100" i="3"/>
  <c r="BP100" i="3" s="1"/>
  <c r="BG100" i="3"/>
  <c r="BC100" i="3"/>
  <c r="BO100" i="3" s="1"/>
  <c r="J159" i="4"/>
  <c r="K159" i="4" s="1"/>
  <c r="CD100" i="3"/>
  <c r="CG100" i="3" s="1"/>
  <c r="CC100" i="3"/>
  <c r="H99" i="3"/>
  <c r="AB98" i="3"/>
  <c r="AC98" i="3" s="1"/>
  <c r="U98" i="3"/>
  <c r="AH98" i="3" s="1"/>
  <c r="L159" i="4" l="1"/>
  <c r="AD159" i="4"/>
  <c r="M159" i="4"/>
  <c r="BD100" i="3"/>
  <c r="BS100" i="3"/>
  <c r="BJ100" i="3"/>
  <c r="AO101" i="3" s="1"/>
  <c r="AQ101" i="3" s="1"/>
  <c r="P159" i="4"/>
  <c r="Q159" i="4" s="1"/>
  <c r="R159" i="4" s="1"/>
  <c r="J99" i="3"/>
  <c r="M99" i="3" s="1"/>
  <c r="I99" i="3"/>
  <c r="CJ100" i="3"/>
  <c r="CE100" i="3"/>
  <c r="K99" i="3" l="1"/>
  <c r="X159" i="4"/>
  <c r="AA159" i="4" s="1"/>
  <c r="F160" i="4" s="1"/>
  <c r="V159" i="4"/>
  <c r="AF159" i="4" s="1"/>
  <c r="W159" i="4"/>
  <c r="AR101" i="3"/>
  <c r="BL100" i="3"/>
  <c r="BM100" i="3" s="1"/>
  <c r="BE100" i="3"/>
  <c r="BR100" i="3" s="1"/>
  <c r="S159" i="4"/>
  <c r="AE159" i="4" s="1"/>
  <c r="CX100" i="3"/>
  <c r="CF100" i="3"/>
  <c r="P99" i="3"/>
  <c r="AD99" i="3" l="1"/>
  <c r="L99" i="3"/>
  <c r="CH100" i="3"/>
  <c r="CI100" i="3"/>
  <c r="J160" i="4"/>
  <c r="K160" i="4" s="1"/>
  <c r="AT101" i="3"/>
  <c r="AW101" i="3" s="1"/>
  <c r="AS101" i="3"/>
  <c r="AI159" i="4"/>
  <c r="Z159" i="4"/>
  <c r="E160" i="4" s="1"/>
  <c r="G160" i="4" s="1"/>
  <c r="I160" i="4" s="1"/>
  <c r="T159" i="4"/>
  <c r="AU101" i="3" l="1"/>
  <c r="BN101" i="3" s="1"/>
  <c r="N99" i="3"/>
  <c r="O99" i="3"/>
  <c r="Q99" i="3" s="1"/>
  <c r="R99" i="3" s="1"/>
  <c r="AZ101" i="3"/>
  <c r="L160" i="4"/>
  <c r="AD160" i="4"/>
  <c r="M160" i="4"/>
  <c r="P160" i="4" s="1"/>
  <c r="AV101" i="3"/>
  <c r="X99" i="3"/>
  <c r="AA99" i="3" s="1"/>
  <c r="F100" i="3" s="1"/>
  <c r="W99" i="3"/>
  <c r="V99" i="3"/>
  <c r="AF99" i="3" s="1"/>
  <c r="CK100" i="3"/>
  <c r="CL100" i="3" s="1"/>
  <c r="S99" i="3"/>
  <c r="AE99" i="3" s="1"/>
  <c r="AB159" i="4"/>
  <c r="AC159" i="4" s="1"/>
  <c r="U159" i="4"/>
  <c r="AH159" i="4" s="1"/>
  <c r="T99" i="3" l="1"/>
  <c r="Q160" i="4"/>
  <c r="R160" i="4" s="1"/>
  <c r="AB99" i="3"/>
  <c r="AC99" i="3" s="1"/>
  <c r="U99" i="3"/>
  <c r="AH99" i="3" s="1"/>
  <c r="Z99" i="3"/>
  <c r="E100" i="3" s="1"/>
  <c r="G100" i="3" s="1"/>
  <c r="AI99" i="3"/>
  <c r="AX101" i="3"/>
  <c r="AY101" i="3"/>
  <c r="CR100" i="3"/>
  <c r="CU100" i="3" s="1"/>
  <c r="BZ101" i="3" s="1"/>
  <c r="CP100" i="3"/>
  <c r="CZ100" i="3" s="1"/>
  <c r="CQ100" i="3"/>
  <c r="CM100" i="3"/>
  <c r="CY100" i="3" s="1"/>
  <c r="BA101" i="3" l="1"/>
  <c r="BB101" i="3" s="1"/>
  <c r="DC100" i="3"/>
  <c r="CT100" i="3"/>
  <c r="BY101" i="3" s="1"/>
  <c r="CA101" i="3" s="1"/>
  <c r="H100" i="3"/>
  <c r="X160" i="4"/>
  <c r="AA160" i="4" s="1"/>
  <c r="F161" i="4" s="1"/>
  <c r="V160" i="4"/>
  <c r="AF160" i="4" s="1"/>
  <c r="W160" i="4"/>
  <c r="CN100" i="3"/>
  <c r="S160" i="4"/>
  <c r="AE160" i="4" s="1"/>
  <c r="T160" i="4" l="1"/>
  <c r="J161" i="4"/>
  <c r="K161" i="4" s="1"/>
  <c r="BH101" i="3"/>
  <c r="BK101" i="3" s="1"/>
  <c r="AP102" i="3" s="1"/>
  <c r="BG101" i="3"/>
  <c r="BF101" i="3"/>
  <c r="BP101" i="3" s="1"/>
  <c r="BC101" i="3"/>
  <c r="BO101" i="3" s="1"/>
  <c r="CV100" i="3"/>
  <c r="CW100" i="3" s="1"/>
  <c r="CO100" i="3"/>
  <c r="DB100" i="3" s="1"/>
  <c r="AI160" i="4"/>
  <c r="Z160" i="4"/>
  <c r="E161" i="4" s="1"/>
  <c r="G161" i="4" s="1"/>
  <c r="I161" i="4" s="1"/>
  <c r="U160" i="4"/>
  <c r="AH160" i="4" s="1"/>
  <c r="AB160" i="4"/>
  <c r="AC160" i="4" s="1"/>
  <c r="J100" i="3"/>
  <c r="M100" i="3" s="1"/>
  <c r="I100" i="3"/>
  <c r="CB101" i="3"/>
  <c r="K100" i="3" l="1"/>
  <c r="AD100" i="3" s="1"/>
  <c r="L100" i="3"/>
  <c r="BD101" i="3"/>
  <c r="BJ101" i="3"/>
  <c r="AO102" i="3" s="1"/>
  <c r="AQ102" i="3" s="1"/>
  <c r="BS101" i="3"/>
  <c r="L161" i="4"/>
  <c r="AD161" i="4"/>
  <c r="CD101" i="3"/>
  <c r="CG101" i="3" s="1"/>
  <c r="CC101" i="3"/>
  <c r="P100" i="3"/>
  <c r="M161" i="4"/>
  <c r="P161" i="4" s="1"/>
  <c r="Q161" i="4" s="1"/>
  <c r="R161" i="4" s="1"/>
  <c r="V161" i="4" s="1"/>
  <c r="AF161" i="4" s="1"/>
  <c r="X161" i="4" l="1"/>
  <c r="AA161" i="4" s="1"/>
  <c r="F162" i="4" s="1"/>
  <c r="W161" i="4"/>
  <c r="S161" i="4"/>
  <c r="AE161" i="4" s="1"/>
  <c r="AR102" i="3"/>
  <c r="CJ101" i="3"/>
  <c r="BL101" i="3"/>
  <c r="BM101" i="3" s="1"/>
  <c r="BE101" i="3"/>
  <c r="BR101" i="3" s="1"/>
  <c r="CE101" i="3"/>
  <c r="N100" i="3"/>
  <c r="O100" i="3"/>
  <c r="AT102" i="3" l="1"/>
  <c r="AW102" i="3" s="1"/>
  <c r="AS102" i="3"/>
  <c r="Z161" i="4"/>
  <c r="E162" i="4" s="1"/>
  <c r="G162" i="4" s="1"/>
  <c r="I162" i="4" s="1"/>
  <c r="AI161" i="4"/>
  <c r="T161" i="4"/>
  <c r="CX101" i="3"/>
  <c r="CF101" i="3"/>
  <c r="J162" i="4"/>
  <c r="K162" i="4" s="1"/>
  <c r="Q100" i="3"/>
  <c r="R100" i="3" s="1"/>
  <c r="L162" i="4" l="1"/>
  <c r="AD162" i="4"/>
  <c r="CH101" i="3"/>
  <c r="CI101" i="3"/>
  <c r="AB161" i="4"/>
  <c r="AC161" i="4" s="1"/>
  <c r="U161" i="4"/>
  <c r="AH161" i="4" s="1"/>
  <c r="AZ102" i="3"/>
  <c r="X100" i="3"/>
  <c r="AA100" i="3" s="1"/>
  <c r="F101" i="3" s="1"/>
  <c r="W100" i="3"/>
  <c r="V100" i="3"/>
  <c r="AF100" i="3" s="1"/>
  <c r="S100" i="3"/>
  <c r="AE100" i="3" s="1"/>
  <c r="M162" i="4"/>
  <c r="P162" i="4"/>
  <c r="Q162" i="4"/>
  <c r="R162" i="4" s="1"/>
  <c r="V162" i="4" s="1"/>
  <c r="AF162" i="4" s="1"/>
  <c r="AU102" i="3"/>
  <c r="AI100" i="3" l="1"/>
  <c r="Z100" i="3"/>
  <c r="E101" i="3" s="1"/>
  <c r="G101" i="3" s="1"/>
  <c r="T100" i="3"/>
  <c r="CK101" i="3"/>
  <c r="CL101" i="3" s="1"/>
  <c r="BN102" i="3"/>
  <c r="AV102" i="3"/>
  <c r="S162" i="4"/>
  <c r="AE162" i="4" s="1"/>
  <c r="X162" i="4"/>
  <c r="AA162" i="4" s="1"/>
  <c r="F163" i="4" s="1"/>
  <c r="W162" i="4"/>
  <c r="AY102" i="3" l="1"/>
  <c r="AX102" i="3"/>
  <c r="CR101" i="3"/>
  <c r="CU101" i="3" s="1"/>
  <c r="BZ102" i="3" s="1"/>
  <c r="CQ101" i="3"/>
  <c r="CP101" i="3"/>
  <c r="CZ101" i="3" s="1"/>
  <c r="CM101" i="3"/>
  <c r="CY101" i="3" s="1"/>
  <c r="AB100" i="3"/>
  <c r="AC100" i="3" s="1"/>
  <c r="U100" i="3"/>
  <c r="AH100" i="3" s="1"/>
  <c r="Z162" i="4"/>
  <c r="E163" i="4" s="1"/>
  <c r="G163" i="4" s="1"/>
  <c r="I163" i="4" s="1"/>
  <c r="AI162" i="4"/>
  <c r="T162" i="4"/>
  <c r="H101" i="3"/>
  <c r="I101" i="3" s="1"/>
  <c r="J163" i="4"/>
  <c r="K163" i="4" s="1"/>
  <c r="CT101" i="3" l="1"/>
  <c r="BY102" i="3" s="1"/>
  <c r="CA102" i="3" s="1"/>
  <c r="DC101" i="3"/>
  <c r="AB162" i="4"/>
  <c r="AC162" i="4" s="1"/>
  <c r="U162" i="4"/>
  <c r="AH162" i="4" s="1"/>
  <c r="BA102" i="3"/>
  <c r="BB102" i="3" s="1"/>
  <c r="CN101" i="3"/>
  <c r="L163" i="4"/>
  <c r="AD163" i="4"/>
  <c r="M163" i="4"/>
  <c r="P163" i="4" s="1"/>
  <c r="Q163" i="4" s="1"/>
  <c r="R163" i="4" s="1"/>
  <c r="J101" i="3"/>
  <c r="M101" i="3" s="1"/>
  <c r="P101" i="3" s="1"/>
  <c r="S163" i="4" l="1"/>
  <c r="AE163" i="4" s="1"/>
  <c r="K101" i="3"/>
  <c r="BH102" i="3"/>
  <c r="BK102" i="3" s="1"/>
  <c r="AP103" i="3" s="1"/>
  <c r="BG102" i="3"/>
  <c r="BF102" i="3"/>
  <c r="BP102" i="3" s="1"/>
  <c r="BC102" i="3"/>
  <c r="BO102" i="3" s="1"/>
  <c r="I26" i="5"/>
  <c r="I11" i="5"/>
  <c r="X163" i="4"/>
  <c r="AA163" i="4" s="1"/>
  <c r="T163" i="4"/>
  <c r="W163" i="4"/>
  <c r="V163" i="4"/>
  <c r="AF163" i="4" s="1"/>
  <c r="CB102" i="3"/>
  <c r="CV101" i="3"/>
  <c r="CW101" i="3" s="1"/>
  <c r="CO101" i="3"/>
  <c r="DB101" i="3" s="1"/>
  <c r="J15" i="4" l="1"/>
  <c r="AB163" i="4"/>
  <c r="AC163" i="4" s="1"/>
  <c r="U163" i="4"/>
  <c r="AH163" i="4" s="1"/>
  <c r="BS102" i="3"/>
  <c r="BJ102" i="3"/>
  <c r="AO103" i="3" s="1"/>
  <c r="AQ103" i="3" s="1"/>
  <c r="BD102" i="3"/>
  <c r="F164" i="4"/>
  <c r="C15" i="4"/>
  <c r="CD102" i="3"/>
  <c r="CG102" i="3" s="1"/>
  <c r="CC102" i="3"/>
  <c r="Y163" i="4"/>
  <c r="Z163" i="4" s="1"/>
  <c r="AI163" i="4"/>
  <c r="AD101" i="3"/>
  <c r="L101" i="3"/>
  <c r="E26" i="5" l="1"/>
  <c r="H11" i="5"/>
  <c r="E164" i="4"/>
  <c r="G164" i="4" s="1"/>
  <c r="I164" i="4" s="1"/>
  <c r="B15" i="4"/>
  <c r="D15" i="4" s="1"/>
  <c r="N101" i="3"/>
  <c r="O101" i="3"/>
  <c r="BL102" i="3"/>
  <c r="BM102" i="3" s="1"/>
  <c r="BE102" i="3"/>
  <c r="BR102" i="3" s="1"/>
  <c r="CJ102" i="3"/>
  <c r="CE102" i="3"/>
  <c r="J164" i="4"/>
  <c r="K164" i="4" s="1"/>
  <c r="AR103" i="3"/>
  <c r="I15" i="4"/>
  <c r="AG163" i="4"/>
  <c r="AG164" i="4" s="1"/>
  <c r="AG165" i="4" s="1"/>
  <c r="AG166" i="4" s="1"/>
  <c r="AG167" i="4" s="1"/>
  <c r="AG168" i="4" s="1"/>
  <c r="AG169" i="4" s="1"/>
  <c r="AG170" i="4" s="1"/>
  <c r="AG171" i="4" s="1"/>
  <c r="AG172" i="4" s="1"/>
  <c r="AG173" i="4" s="1"/>
  <c r="AG174" i="4" s="1"/>
  <c r="M164" i="4" l="1"/>
  <c r="L164" i="4"/>
  <c r="AD164" i="4"/>
  <c r="CX102" i="3"/>
  <c r="CF102" i="3"/>
  <c r="Q101" i="3"/>
  <c r="R101" i="3" s="1"/>
  <c r="AT103" i="3"/>
  <c r="AW103" i="3" s="1"/>
  <c r="P164" i="4"/>
  <c r="AS103" i="3"/>
  <c r="AU103" i="3" l="1"/>
  <c r="X101" i="3"/>
  <c r="AA101" i="3" s="1"/>
  <c r="F102" i="3" s="1"/>
  <c r="W101" i="3"/>
  <c r="V101" i="3"/>
  <c r="AF101" i="3" s="1"/>
  <c r="S101" i="3"/>
  <c r="AE101" i="3" s="1"/>
  <c r="CH102" i="3"/>
  <c r="CI102" i="3"/>
  <c r="AZ103" i="3"/>
  <c r="Q164" i="4"/>
  <c r="R164" i="4" s="1"/>
  <c r="S164" i="4" s="1"/>
  <c r="AE164" i="4" l="1"/>
  <c r="CK102" i="3"/>
  <c r="CL102" i="3" s="1"/>
  <c r="Z101" i="3"/>
  <c r="E102" i="3" s="1"/>
  <c r="G102" i="3" s="1"/>
  <c r="AI101" i="3"/>
  <c r="T101" i="3"/>
  <c r="X164" i="4"/>
  <c r="AA164" i="4" s="1"/>
  <c r="F165" i="4" s="1"/>
  <c r="T164" i="4"/>
  <c r="V164" i="4"/>
  <c r="AF164" i="4" s="1"/>
  <c r="W164" i="4"/>
  <c r="BN103" i="3"/>
  <c r="AV103" i="3"/>
  <c r="AI164" i="4" l="1"/>
  <c r="Z164" i="4"/>
  <c r="E165" i="4" s="1"/>
  <c r="G165" i="4" s="1"/>
  <c r="I165" i="4" s="1"/>
  <c r="AB164" i="4"/>
  <c r="U164" i="4"/>
  <c r="AH164" i="4" s="1"/>
  <c r="J165" i="4"/>
  <c r="K165" i="4" s="1"/>
  <c r="AB101" i="3"/>
  <c r="AC101" i="3" s="1"/>
  <c r="U101" i="3"/>
  <c r="AH101" i="3" s="1"/>
  <c r="H102" i="3"/>
  <c r="I102" i="3" s="1"/>
  <c r="CR102" i="3"/>
  <c r="CU102" i="3" s="1"/>
  <c r="BZ103" i="3" s="1"/>
  <c r="CQ102" i="3"/>
  <c r="CP102" i="3"/>
  <c r="CZ102" i="3" s="1"/>
  <c r="CM102" i="3"/>
  <c r="CY102" i="3" s="1"/>
  <c r="AX103" i="3"/>
  <c r="AY103" i="3"/>
  <c r="CN102" i="3" l="1"/>
  <c r="DC102" i="3"/>
  <c r="CT102" i="3"/>
  <c r="BY103" i="3" s="1"/>
  <c r="CA103" i="3" s="1"/>
  <c r="BA103" i="3"/>
  <c r="BB103" i="3" s="1"/>
  <c r="AC164" i="4"/>
  <c r="J102" i="3"/>
  <c r="M102" i="3" s="1"/>
  <c r="P102" i="3" s="1"/>
  <c r="L165" i="4"/>
  <c r="AD165" i="4"/>
  <c r="M165" i="4"/>
  <c r="CV102" i="3"/>
  <c r="CW102" i="3" s="1"/>
  <c r="CO102" i="3"/>
  <c r="DB102" i="3" s="1"/>
  <c r="P165" i="4"/>
  <c r="Q165" i="4"/>
  <c r="R165" i="4" s="1"/>
  <c r="K102" i="3" l="1"/>
  <c r="BH103" i="3"/>
  <c r="BK103" i="3" s="1"/>
  <c r="BG103" i="3"/>
  <c r="BF103" i="3"/>
  <c r="BP103" i="3" s="1"/>
  <c r="BC103" i="3"/>
  <c r="BO103" i="3" s="1"/>
  <c r="X165" i="4"/>
  <c r="AA165" i="4" s="1"/>
  <c r="F166" i="4" s="1"/>
  <c r="S165" i="4"/>
  <c r="W165" i="4"/>
  <c r="V165" i="4"/>
  <c r="AF165" i="4" s="1"/>
  <c r="CB103" i="3"/>
  <c r="CD103" i="3" l="1"/>
  <c r="CG103" i="3" s="1"/>
  <c r="AE165" i="4"/>
  <c r="G21" i="5"/>
  <c r="CC103" i="3"/>
  <c r="Z165" i="4"/>
  <c r="E166" i="4" s="1"/>
  <c r="G166" i="4" s="1"/>
  <c r="I166" i="4" s="1"/>
  <c r="AI165" i="4"/>
  <c r="J166" i="4"/>
  <c r="K166" i="4" s="1"/>
  <c r="T165" i="4"/>
  <c r="W10" i="3"/>
  <c r="BI103" i="3"/>
  <c r="BJ103" i="3" s="1"/>
  <c r="BS103" i="3"/>
  <c r="BD103" i="3"/>
  <c r="AP104" i="3"/>
  <c r="P10" i="3"/>
  <c r="AD102" i="3"/>
  <c r="L102" i="3"/>
  <c r="AB165" i="4" l="1"/>
  <c r="U165" i="4"/>
  <c r="AH165" i="4" s="1"/>
  <c r="L166" i="4"/>
  <c r="AD166" i="4"/>
  <c r="CJ103" i="3"/>
  <c r="N102" i="3"/>
  <c r="O102" i="3"/>
  <c r="M166" i="4"/>
  <c r="P166" i="4" s="1"/>
  <c r="C21" i="5"/>
  <c r="AO104" i="3"/>
  <c r="AQ104" i="3" s="1"/>
  <c r="O10" i="3"/>
  <c r="Q10" i="3" s="1"/>
  <c r="CE103" i="3"/>
  <c r="BL103" i="3"/>
  <c r="BM103" i="3" s="1"/>
  <c r="BE103" i="3"/>
  <c r="BR103" i="3" s="1"/>
  <c r="V10" i="3"/>
  <c r="BQ103" i="3"/>
  <c r="BQ104" i="3" s="1"/>
  <c r="BQ105" i="3" s="1"/>
  <c r="BQ106" i="3" s="1"/>
  <c r="BQ107" i="3" s="1"/>
  <c r="BQ108" i="3" s="1"/>
  <c r="BQ109" i="3" s="1"/>
  <c r="BQ110" i="3" s="1"/>
  <c r="BQ111" i="3" s="1"/>
  <c r="BQ112" i="3" s="1"/>
  <c r="BQ113" i="3" s="1"/>
  <c r="BQ114" i="3" s="1"/>
  <c r="Q166" i="4" l="1"/>
  <c r="R166" i="4" s="1"/>
  <c r="CX103" i="3"/>
  <c r="CF103" i="3"/>
  <c r="AC165" i="4"/>
  <c r="AR104" i="3"/>
  <c r="Q102" i="3"/>
  <c r="R102" i="3" s="1"/>
  <c r="AT104" i="3" l="1"/>
  <c r="AW104" i="3" s="1"/>
  <c r="X102" i="3"/>
  <c r="AA102" i="3" s="1"/>
  <c r="F103" i="3" s="1"/>
  <c r="V102" i="3"/>
  <c r="AF102" i="3" s="1"/>
  <c r="W102" i="3"/>
  <c r="S102" i="3"/>
  <c r="AE102" i="3" s="1"/>
  <c r="AS104" i="3"/>
  <c r="CH103" i="3"/>
  <c r="CI103" i="3"/>
  <c r="X166" i="4"/>
  <c r="AA166" i="4" s="1"/>
  <c r="F167" i="4" s="1"/>
  <c r="V166" i="4"/>
  <c r="AF166" i="4" s="1"/>
  <c r="W166" i="4"/>
  <c r="S166" i="4"/>
  <c r="AI102" i="3" l="1"/>
  <c r="Z102" i="3"/>
  <c r="E103" i="3" s="1"/>
  <c r="G103" i="3" s="1"/>
  <c r="AZ104" i="3"/>
  <c r="AI166" i="4"/>
  <c r="Z166" i="4"/>
  <c r="E167" i="4" s="1"/>
  <c r="G167" i="4" s="1"/>
  <c r="I167" i="4" s="1"/>
  <c r="CK103" i="3"/>
  <c r="CL103" i="3" s="1"/>
  <c r="AE166" i="4"/>
  <c r="T102" i="3"/>
  <c r="J167" i="4"/>
  <c r="K167" i="4" s="1"/>
  <c r="AU104" i="3"/>
  <c r="T166" i="4"/>
  <c r="BN104" i="3" l="1"/>
  <c r="AV104" i="3"/>
  <c r="CR103" i="3"/>
  <c r="CU103" i="3" s="1"/>
  <c r="CQ103" i="3"/>
  <c r="CP103" i="3"/>
  <c r="CZ103" i="3" s="1"/>
  <c r="CM103" i="3"/>
  <c r="CY103" i="3" s="1"/>
  <c r="AB166" i="4"/>
  <c r="U166" i="4"/>
  <c r="AH166" i="4" s="1"/>
  <c r="H103" i="3"/>
  <c r="I103" i="3" s="1"/>
  <c r="AB102" i="3"/>
  <c r="AC102" i="3" s="1"/>
  <c r="U102" i="3"/>
  <c r="AH102" i="3" s="1"/>
  <c r="L167" i="4"/>
  <c r="AD167" i="4"/>
  <c r="M167" i="4"/>
  <c r="P167" i="4" s="1"/>
  <c r="Q167" i="4" s="1"/>
  <c r="R167" i="4" s="1"/>
  <c r="X167" i="4" l="1"/>
  <c r="AA167" i="4" s="1"/>
  <c r="F168" i="4" s="1"/>
  <c r="V167" i="4"/>
  <c r="AF167" i="4" s="1"/>
  <c r="W167" i="4"/>
  <c r="H21" i="5"/>
  <c r="CS103" i="3"/>
  <c r="DC103" i="3"/>
  <c r="CN103" i="3"/>
  <c r="AX104" i="3"/>
  <c r="AY104" i="3"/>
  <c r="S167" i="4"/>
  <c r="J103" i="3"/>
  <c r="M103" i="3" s="1"/>
  <c r="P103" i="3" s="1"/>
  <c r="AC166" i="4"/>
  <c r="AJ10" i="3"/>
  <c r="BZ104" i="3"/>
  <c r="AC10" i="3"/>
  <c r="AI10" i="3" l="1"/>
  <c r="DA103" i="3"/>
  <c r="DA104" i="3" s="1"/>
  <c r="DA105" i="3" s="1"/>
  <c r="DA106" i="3" s="1"/>
  <c r="DA107" i="3" s="1"/>
  <c r="DA108" i="3" s="1"/>
  <c r="DA109" i="3" s="1"/>
  <c r="DA110" i="3" s="1"/>
  <c r="DA111" i="3" s="1"/>
  <c r="DA112" i="3" s="1"/>
  <c r="DA113" i="3" s="1"/>
  <c r="DA114" i="3" s="1"/>
  <c r="J168" i="4"/>
  <c r="K168" i="4" s="1"/>
  <c r="CT103" i="3"/>
  <c r="K103" i="3"/>
  <c r="AE167" i="4"/>
  <c r="BA104" i="3"/>
  <c r="BB104" i="3" s="1"/>
  <c r="AI167" i="4"/>
  <c r="Z167" i="4"/>
  <c r="E168" i="4" s="1"/>
  <c r="G168" i="4" s="1"/>
  <c r="I168" i="4" s="1"/>
  <c r="CV103" i="3"/>
  <c r="CW103" i="3" s="1"/>
  <c r="CO103" i="3"/>
  <c r="DB103" i="3" s="1"/>
  <c r="T167" i="4"/>
  <c r="BH104" i="3" l="1"/>
  <c r="BK104" i="3" s="1"/>
  <c r="AP105" i="3" s="1"/>
  <c r="BG104" i="3"/>
  <c r="BF104" i="3"/>
  <c r="BP104" i="3" s="1"/>
  <c r="BC104" i="3"/>
  <c r="D21" i="5"/>
  <c r="BY104" i="3"/>
  <c r="CA104" i="3" s="1"/>
  <c r="AB10" i="3"/>
  <c r="AD10" i="3" s="1"/>
  <c r="AD103" i="3"/>
  <c r="L103" i="3"/>
  <c r="L168" i="4"/>
  <c r="AD168" i="4"/>
  <c r="M168" i="4"/>
  <c r="P168" i="4" s="1"/>
  <c r="AB167" i="4"/>
  <c r="U167" i="4"/>
  <c r="AH167" i="4" s="1"/>
  <c r="Q168" i="4" l="1"/>
  <c r="R168" i="4" s="1"/>
  <c r="N103" i="3"/>
  <c r="O103" i="3"/>
  <c r="BO104" i="3"/>
  <c r="BD104" i="3"/>
  <c r="AC167" i="4"/>
  <c r="CB104" i="3"/>
  <c r="BS104" i="3"/>
  <c r="BJ104" i="3"/>
  <c r="AO105" i="3" s="1"/>
  <c r="AQ105" i="3" s="1"/>
  <c r="CD104" i="3" l="1"/>
  <c r="CG104" i="3" s="1"/>
  <c r="CC104" i="3"/>
  <c r="Q103" i="3"/>
  <c r="R103" i="3" s="1"/>
  <c r="BL104" i="3"/>
  <c r="BE104" i="3"/>
  <c r="BR104" i="3" s="1"/>
  <c r="AR105" i="3"/>
  <c r="X168" i="4"/>
  <c r="AA168" i="4" s="1"/>
  <c r="F169" i="4" s="1"/>
  <c r="V168" i="4"/>
  <c r="AF168" i="4" s="1"/>
  <c r="W168" i="4"/>
  <c r="S168" i="4"/>
  <c r="AE168" i="4" s="1"/>
  <c r="T168" i="4" l="1"/>
  <c r="AT105" i="3"/>
  <c r="AW105" i="3" s="1"/>
  <c r="AU105" i="3"/>
  <c r="J169" i="4"/>
  <c r="K169" i="4" s="1"/>
  <c r="X103" i="3"/>
  <c r="AA103" i="3" s="1"/>
  <c r="W103" i="3"/>
  <c r="V103" i="3"/>
  <c r="AF103" i="3" s="1"/>
  <c r="S103" i="3"/>
  <c r="AE103" i="3" s="1"/>
  <c r="CJ104" i="3"/>
  <c r="AS105" i="3"/>
  <c r="BM104" i="3"/>
  <c r="CE104" i="3"/>
  <c r="AB168" i="4"/>
  <c r="AC168" i="4" s="1"/>
  <c r="U168" i="4"/>
  <c r="AH168" i="4" s="1"/>
  <c r="AI168" i="4"/>
  <c r="Z168" i="4"/>
  <c r="E169" i="4" s="1"/>
  <c r="G169" i="4" s="1"/>
  <c r="I169" i="4" s="1"/>
  <c r="Y103" i="3" l="1"/>
  <c r="AI103" i="3"/>
  <c r="T103" i="3"/>
  <c r="M169" i="4"/>
  <c r="P169" i="4" s="1"/>
  <c r="CX104" i="3"/>
  <c r="CF104" i="3"/>
  <c r="AZ105" i="3"/>
  <c r="J10" i="3"/>
  <c r="L169" i="4"/>
  <c r="AD169" i="4"/>
  <c r="F21" i="5"/>
  <c r="F104" i="3"/>
  <c r="C10" i="3"/>
  <c r="BN105" i="3"/>
  <c r="AV105" i="3"/>
  <c r="Q169" i="4" l="1"/>
  <c r="R169" i="4" s="1"/>
  <c r="AX105" i="3"/>
  <c r="AY105" i="3"/>
  <c r="CH104" i="3"/>
  <c r="CI104" i="3"/>
  <c r="AB103" i="3"/>
  <c r="AC103" i="3" s="1"/>
  <c r="U103" i="3"/>
  <c r="AH103" i="3" s="1"/>
  <c r="I10" i="3"/>
  <c r="AG103" i="3"/>
  <c r="AG104" i="3" s="1"/>
  <c r="AG105" i="3" s="1"/>
  <c r="AG106" i="3" s="1"/>
  <c r="AG107" i="3" s="1"/>
  <c r="AG108" i="3" s="1"/>
  <c r="AG109" i="3" s="1"/>
  <c r="AG110" i="3" s="1"/>
  <c r="AG111" i="3" s="1"/>
  <c r="AG112" i="3" s="1"/>
  <c r="AG113" i="3" s="1"/>
  <c r="AG114" i="3" s="1"/>
  <c r="Z103" i="3"/>
  <c r="BA105" i="3" l="1"/>
  <c r="BB105" i="3" s="1"/>
  <c r="B21" i="5"/>
  <c r="E104" i="3"/>
  <c r="G104" i="3" s="1"/>
  <c r="B10" i="3"/>
  <c r="D10" i="3" s="1"/>
  <c r="CK104" i="3"/>
  <c r="CL104" i="3" s="1"/>
  <c r="X169" i="4"/>
  <c r="AA169" i="4" s="1"/>
  <c r="F170" i="4" s="1"/>
  <c r="V169" i="4"/>
  <c r="AF169" i="4" s="1"/>
  <c r="W169" i="4"/>
  <c r="S169" i="4"/>
  <c r="AE169" i="4" s="1"/>
  <c r="J170" i="4" l="1"/>
  <c r="K170" i="4" s="1"/>
  <c r="CR104" i="3"/>
  <c r="CU104" i="3" s="1"/>
  <c r="BZ105" i="3" s="1"/>
  <c r="CQ104" i="3"/>
  <c r="CP104" i="3"/>
  <c r="CZ104" i="3" s="1"/>
  <c r="CM104" i="3"/>
  <c r="Z169" i="4"/>
  <c r="E170" i="4" s="1"/>
  <c r="G170" i="4" s="1"/>
  <c r="I170" i="4" s="1"/>
  <c r="AI169" i="4"/>
  <c r="T169" i="4"/>
  <c r="H104" i="3"/>
  <c r="BH105" i="3"/>
  <c r="BK105" i="3" s="1"/>
  <c r="AP106" i="3" s="1"/>
  <c r="BG105" i="3"/>
  <c r="BF105" i="3"/>
  <c r="BP105" i="3" s="1"/>
  <c r="BC105" i="3"/>
  <c r="BD105" i="3" s="1"/>
  <c r="BL105" i="3" l="1"/>
  <c r="BE105" i="3"/>
  <c r="BR105" i="3" s="1"/>
  <c r="AB169" i="4"/>
  <c r="AC169" i="4" s="1"/>
  <c r="U169" i="4"/>
  <c r="AH169" i="4" s="1"/>
  <c r="J104" i="3"/>
  <c r="M104" i="3" s="1"/>
  <c r="CY104" i="3"/>
  <c r="DC104" i="3"/>
  <c r="CT104" i="3"/>
  <c r="BY105" i="3" s="1"/>
  <c r="CA105" i="3" s="1"/>
  <c r="CN104" i="3"/>
  <c r="BO105" i="3"/>
  <c r="M170" i="4"/>
  <c r="P170" i="4" s="1"/>
  <c r="Q170" i="4" s="1"/>
  <c r="R170" i="4" s="1"/>
  <c r="V170" i="4" s="1"/>
  <c r="AF170" i="4" s="1"/>
  <c r="I104" i="3"/>
  <c r="L170" i="4"/>
  <c r="AD170" i="4"/>
  <c r="BS105" i="3"/>
  <c r="BJ105" i="3"/>
  <c r="AO106" i="3" s="1"/>
  <c r="AQ106" i="3" s="1"/>
  <c r="AR106" i="3" l="1"/>
  <c r="S170" i="4"/>
  <c r="AE170" i="4" s="1"/>
  <c r="X170" i="4"/>
  <c r="AA170" i="4" s="1"/>
  <c r="F171" i="4" s="1"/>
  <c r="W170" i="4"/>
  <c r="K104" i="3"/>
  <c r="P104" i="3"/>
  <c r="CV104" i="3"/>
  <c r="CO104" i="3"/>
  <c r="DB104" i="3" s="1"/>
  <c r="CB105" i="3"/>
  <c r="BM105" i="3"/>
  <c r="T170" i="4" l="1"/>
  <c r="AD104" i="3"/>
  <c r="L104" i="3"/>
  <c r="AB170" i="4"/>
  <c r="AC170" i="4" s="1"/>
  <c r="U170" i="4"/>
  <c r="AH170" i="4" s="1"/>
  <c r="CD105" i="3"/>
  <c r="CG105" i="3" s="1"/>
  <c r="Z170" i="4"/>
  <c r="E171" i="4" s="1"/>
  <c r="G171" i="4" s="1"/>
  <c r="I171" i="4" s="1"/>
  <c r="AI170" i="4"/>
  <c r="J171" i="4"/>
  <c r="K171" i="4" s="1"/>
  <c r="CW104" i="3"/>
  <c r="CC105" i="3"/>
  <c r="AT106" i="3"/>
  <c r="AW106" i="3" s="1"/>
  <c r="AS106" i="3"/>
  <c r="M171" i="4" l="1"/>
  <c r="AZ106" i="3"/>
  <c r="CE105" i="3"/>
  <c r="L171" i="4"/>
  <c r="AD171" i="4"/>
  <c r="P171" i="4"/>
  <c r="Q171" i="4"/>
  <c r="R171" i="4" s="1"/>
  <c r="AU106" i="3"/>
  <c r="N104" i="3"/>
  <c r="O104" i="3"/>
  <c r="CJ105" i="3"/>
  <c r="X171" i="4" l="1"/>
  <c r="AA171" i="4" s="1"/>
  <c r="F172" i="4" s="1"/>
  <c r="S171" i="4"/>
  <c r="AE171" i="4" s="1"/>
  <c r="CX105" i="3"/>
  <c r="CF105" i="3"/>
  <c r="W171" i="4"/>
  <c r="V171" i="4"/>
  <c r="AF171" i="4" s="1"/>
  <c r="Q104" i="3"/>
  <c r="R104" i="3" s="1"/>
  <c r="BN106" i="3"/>
  <c r="AV106" i="3"/>
  <c r="AX106" i="3" l="1"/>
  <c r="AY106" i="3"/>
  <c r="X104" i="3"/>
  <c r="AA104" i="3" s="1"/>
  <c r="F105" i="3" s="1"/>
  <c r="W104" i="3"/>
  <c r="V104" i="3"/>
  <c r="AF104" i="3" s="1"/>
  <c r="S104" i="3"/>
  <c r="T171" i="4"/>
  <c r="Z171" i="4"/>
  <c r="E172" i="4" s="1"/>
  <c r="G172" i="4" s="1"/>
  <c r="I172" i="4" s="1"/>
  <c r="AI171" i="4"/>
  <c r="CH105" i="3"/>
  <c r="CI105" i="3"/>
  <c r="J172" i="4"/>
  <c r="K172" i="4" s="1"/>
  <c r="AB171" i="4" l="1"/>
  <c r="AC171" i="4" s="1"/>
  <c r="U171" i="4"/>
  <c r="AH171" i="4" s="1"/>
  <c r="AI104" i="3"/>
  <c r="Z104" i="3"/>
  <c r="E105" i="3" s="1"/>
  <c r="G105" i="3" s="1"/>
  <c r="AE104" i="3"/>
  <c r="BA106" i="3"/>
  <c r="BB106" i="3" s="1"/>
  <c r="L172" i="4"/>
  <c r="AD172" i="4"/>
  <c r="T104" i="3"/>
  <c r="M172" i="4"/>
  <c r="P172" i="4" s="1"/>
  <c r="CK105" i="3"/>
  <c r="CL105" i="3" s="1"/>
  <c r="Q172" i="4" l="1"/>
  <c r="R172" i="4" s="1"/>
  <c r="BH106" i="3"/>
  <c r="BK106" i="3" s="1"/>
  <c r="AP107" i="3" s="1"/>
  <c r="BG106" i="3"/>
  <c r="BF106" i="3"/>
  <c r="BP106" i="3" s="1"/>
  <c r="BC106" i="3"/>
  <c r="CR105" i="3"/>
  <c r="CU105" i="3" s="1"/>
  <c r="BZ106" i="3" s="1"/>
  <c r="CQ105" i="3"/>
  <c r="CP105" i="3"/>
  <c r="CZ105" i="3" s="1"/>
  <c r="CM105" i="3"/>
  <c r="H105" i="3"/>
  <c r="I105" i="3" s="1"/>
  <c r="AB104" i="3"/>
  <c r="U104" i="3"/>
  <c r="AH104" i="3" s="1"/>
  <c r="CY105" i="3" l="1"/>
  <c r="BJ106" i="3"/>
  <c r="AO107" i="3" s="1"/>
  <c r="AQ107" i="3" s="1"/>
  <c r="BS106" i="3"/>
  <c r="CN105" i="3"/>
  <c r="BO106" i="3"/>
  <c r="BD106" i="3"/>
  <c r="X172" i="4"/>
  <c r="AA172" i="4" s="1"/>
  <c r="F173" i="4" s="1"/>
  <c r="W172" i="4"/>
  <c r="V172" i="4"/>
  <c r="AF172" i="4" s="1"/>
  <c r="CT105" i="3"/>
  <c r="BY106" i="3" s="1"/>
  <c r="CA106" i="3" s="1"/>
  <c r="DC105" i="3"/>
  <c r="AC104" i="3"/>
  <c r="J105" i="3"/>
  <c r="M105" i="3" s="1"/>
  <c r="P105" i="3" s="1"/>
  <c r="S172" i="4"/>
  <c r="AE172" i="4" s="1"/>
  <c r="J173" i="4" l="1"/>
  <c r="K173" i="4" s="1"/>
  <c r="BL106" i="3"/>
  <c r="BE106" i="3"/>
  <c r="BR106" i="3" s="1"/>
  <c r="T172" i="4"/>
  <c r="K105" i="3"/>
  <c r="CV105" i="3"/>
  <c r="CO105" i="3"/>
  <c r="DB105" i="3" s="1"/>
  <c r="AR107" i="3"/>
  <c r="CB106" i="3"/>
  <c r="CC106" i="3" s="1"/>
  <c r="Z172" i="4"/>
  <c r="E173" i="4" s="1"/>
  <c r="G173" i="4" s="1"/>
  <c r="I173" i="4" s="1"/>
  <c r="AI172" i="4"/>
  <c r="AT107" i="3" l="1"/>
  <c r="AW107" i="3" s="1"/>
  <c r="AU107" i="3"/>
  <c r="AS107" i="3"/>
  <c r="AD105" i="3"/>
  <c r="L105" i="3"/>
  <c r="M173" i="4"/>
  <c r="P173" i="4" s="1"/>
  <c r="CW105" i="3"/>
  <c r="AB172" i="4"/>
  <c r="AC172" i="4" s="1"/>
  <c r="U172" i="4"/>
  <c r="AH172" i="4" s="1"/>
  <c r="BM106" i="3"/>
  <c r="L173" i="4"/>
  <c r="AD173" i="4"/>
  <c r="CD106" i="3"/>
  <c r="CG106" i="3" s="1"/>
  <c r="CJ106" i="3" s="1"/>
  <c r="N105" i="3" l="1"/>
  <c r="O105" i="3"/>
  <c r="CE106" i="3"/>
  <c r="AZ107" i="3"/>
  <c r="BN107" i="3"/>
  <c r="Q173" i="4"/>
  <c r="R173" i="4" s="1"/>
  <c r="S173" i="4" s="1"/>
  <c r="AE173" i="4" s="1"/>
  <c r="AV107" i="3"/>
  <c r="CX106" i="3" l="1"/>
  <c r="CF106" i="3"/>
  <c r="T173" i="4"/>
  <c r="X173" i="4"/>
  <c r="AA173" i="4" s="1"/>
  <c r="F174" i="4" s="1"/>
  <c r="V173" i="4"/>
  <c r="AF173" i="4" s="1"/>
  <c r="W173" i="4"/>
  <c r="Q105" i="3"/>
  <c r="R105" i="3" s="1"/>
  <c r="AX107" i="3"/>
  <c r="AY107" i="3"/>
  <c r="BA107" i="3" l="1"/>
  <c r="BB107" i="3" s="1"/>
  <c r="X105" i="3"/>
  <c r="AA105" i="3" s="1"/>
  <c r="F106" i="3" s="1"/>
  <c r="V105" i="3"/>
  <c r="AF105" i="3" s="1"/>
  <c r="W105" i="3"/>
  <c r="S105" i="3"/>
  <c r="T105" i="3" s="1"/>
  <c r="J174" i="4"/>
  <c r="K174" i="4" s="1"/>
  <c r="AB173" i="4"/>
  <c r="AC173" i="4" s="1"/>
  <c r="U173" i="4"/>
  <c r="AH173" i="4" s="1"/>
  <c r="CH106" i="3"/>
  <c r="CI106" i="3"/>
  <c r="AI173" i="4"/>
  <c r="Z173" i="4"/>
  <c r="E174" i="4" s="1"/>
  <c r="G174" i="4" s="1"/>
  <c r="I174" i="4" s="1"/>
  <c r="AB105" i="3" l="1"/>
  <c r="U105" i="3"/>
  <c r="AH105" i="3" s="1"/>
  <c r="CK106" i="3"/>
  <c r="CL106" i="3" s="1"/>
  <c r="AI105" i="3"/>
  <c r="Z105" i="3"/>
  <c r="E106" i="3" s="1"/>
  <c r="G106" i="3" s="1"/>
  <c r="AE105" i="3"/>
  <c r="L174" i="4"/>
  <c r="AD174" i="4"/>
  <c r="M174" i="4"/>
  <c r="P174" i="4" s="1"/>
  <c r="BH107" i="3"/>
  <c r="BK107" i="3" s="1"/>
  <c r="AP108" i="3" s="1"/>
  <c r="BF107" i="3"/>
  <c r="BP107" i="3" s="1"/>
  <c r="BG107" i="3"/>
  <c r="BC107" i="3"/>
  <c r="BD107" i="3" s="1"/>
  <c r="BL107" i="3" l="1"/>
  <c r="BE107" i="3"/>
  <c r="BR107" i="3" s="1"/>
  <c r="Q174" i="4"/>
  <c r="R174" i="4" s="1"/>
  <c r="H106" i="3"/>
  <c r="I106" i="3" s="1"/>
  <c r="BO107" i="3"/>
  <c r="BS107" i="3"/>
  <c r="BJ107" i="3"/>
  <c r="AO108" i="3" s="1"/>
  <c r="AQ108" i="3" s="1"/>
  <c r="CR106" i="3"/>
  <c r="CU106" i="3" s="1"/>
  <c r="BZ107" i="3" s="1"/>
  <c r="CP106" i="3"/>
  <c r="CZ106" i="3" s="1"/>
  <c r="CQ106" i="3"/>
  <c r="CM106" i="3"/>
  <c r="AC105" i="3"/>
  <c r="AR108" i="3" l="1"/>
  <c r="J106" i="3"/>
  <c r="M106" i="3" s="1"/>
  <c r="P106" i="3" s="1"/>
  <c r="X174" i="4"/>
  <c r="AA174" i="4" s="1"/>
  <c r="F175" i="4" s="1"/>
  <c r="V174" i="4"/>
  <c r="AF174" i="4" s="1"/>
  <c r="W174" i="4"/>
  <c r="CY106" i="3"/>
  <c r="DC106" i="3"/>
  <c r="CT106" i="3"/>
  <c r="BY107" i="3" s="1"/>
  <c r="CA107" i="3" s="1"/>
  <c r="S174" i="4"/>
  <c r="AE174" i="4" s="1"/>
  <c r="CN106" i="3"/>
  <c r="BM107" i="3"/>
  <c r="T174" i="4" l="1"/>
  <c r="AB174" i="4" s="1"/>
  <c r="AC174" i="4" s="1"/>
  <c r="J175" i="4"/>
  <c r="K175" i="4" s="1"/>
  <c r="CV106" i="3"/>
  <c r="CO106" i="3"/>
  <c r="DB106" i="3" s="1"/>
  <c r="AI174" i="4"/>
  <c r="Z174" i="4"/>
  <c r="E175" i="4" s="1"/>
  <c r="G175" i="4" s="1"/>
  <c r="I175" i="4" s="1"/>
  <c r="K106" i="3"/>
  <c r="CB107" i="3"/>
  <c r="CC107" i="3" s="1"/>
  <c r="AT108" i="3"/>
  <c r="AW108" i="3" s="1"/>
  <c r="AS108" i="3"/>
  <c r="U174" i="4" l="1"/>
  <c r="AH174" i="4" s="1"/>
  <c r="CW106" i="3"/>
  <c r="AZ108" i="3"/>
  <c r="M175" i="4"/>
  <c r="P175" i="4" s="1"/>
  <c r="CD107" i="3"/>
  <c r="CG107" i="3" s="1"/>
  <c r="CJ107" i="3" s="1"/>
  <c r="AD106" i="3"/>
  <c r="L106" i="3"/>
  <c r="L175" i="4"/>
  <c r="AD175" i="4"/>
  <c r="AU108" i="3"/>
  <c r="CE107" i="3" l="1"/>
  <c r="Q175" i="4"/>
  <c r="R175" i="4" s="1"/>
  <c r="BN108" i="3"/>
  <c r="AV108" i="3"/>
  <c r="N106" i="3"/>
  <c r="O106" i="3"/>
  <c r="CX107" i="3"/>
  <c r="CF107" i="3"/>
  <c r="CH107" i="3" l="1"/>
  <c r="CI107" i="3"/>
  <c r="Q106" i="3"/>
  <c r="R106" i="3" s="1"/>
  <c r="AX108" i="3"/>
  <c r="AY108" i="3"/>
  <c r="X175" i="4"/>
  <c r="AA175" i="4" s="1"/>
  <c r="V175" i="4"/>
  <c r="AF175" i="4" s="1"/>
  <c r="W175" i="4"/>
  <c r="S175" i="4"/>
  <c r="AE175" i="4" s="1"/>
  <c r="T175" i="4" l="1"/>
  <c r="J16" i="4"/>
  <c r="Y175" i="4"/>
  <c r="AI175" i="4"/>
  <c r="AB175" i="4"/>
  <c r="AC175" i="4" s="1"/>
  <c r="U175" i="4"/>
  <c r="AH175" i="4" s="1"/>
  <c r="BA108" i="3"/>
  <c r="BB108" i="3" s="1"/>
  <c r="X106" i="3"/>
  <c r="AA106" i="3" s="1"/>
  <c r="F107" i="3" s="1"/>
  <c r="W106" i="3"/>
  <c r="V106" i="3"/>
  <c r="AF106" i="3" s="1"/>
  <c r="S106" i="3"/>
  <c r="F176" i="4"/>
  <c r="C16" i="4"/>
  <c r="CK107" i="3"/>
  <c r="CL107" i="3" s="1"/>
  <c r="I27" i="5"/>
  <c r="J176" i="4" l="1"/>
  <c r="K176" i="4" s="1"/>
  <c r="AE106" i="3"/>
  <c r="AI106" i="3"/>
  <c r="Z106" i="3"/>
  <c r="E107" i="3" s="1"/>
  <c r="G107" i="3" s="1"/>
  <c r="T106" i="3"/>
  <c r="BH108" i="3"/>
  <c r="BK108" i="3" s="1"/>
  <c r="AP109" i="3" s="1"/>
  <c r="BG108" i="3"/>
  <c r="BF108" i="3"/>
  <c r="BP108" i="3" s="1"/>
  <c r="BC108" i="3"/>
  <c r="BD108" i="3" s="1"/>
  <c r="I16" i="4"/>
  <c r="AG175" i="4"/>
  <c r="AG176" i="4" s="1"/>
  <c r="AG177" i="4" s="1"/>
  <c r="AG178" i="4" s="1"/>
  <c r="AG179" i="4" s="1"/>
  <c r="AG180" i="4" s="1"/>
  <c r="AG181" i="4" s="1"/>
  <c r="AG182" i="4" s="1"/>
  <c r="AG183" i="4" s="1"/>
  <c r="AG184" i="4" s="1"/>
  <c r="AG185" i="4" s="1"/>
  <c r="AG186" i="4" s="1"/>
  <c r="Z175" i="4"/>
  <c r="CR107" i="3"/>
  <c r="CU107" i="3" s="1"/>
  <c r="BZ108" i="3" s="1"/>
  <c r="CQ107" i="3"/>
  <c r="CP107" i="3"/>
  <c r="CZ107" i="3" s="1"/>
  <c r="CM107" i="3"/>
  <c r="BL108" i="3" l="1"/>
  <c r="BM108" i="3" s="1"/>
  <c r="BE108" i="3"/>
  <c r="BR108" i="3" s="1"/>
  <c r="BJ108" i="3"/>
  <c r="AO109" i="3" s="1"/>
  <c r="AQ109" i="3" s="1"/>
  <c r="BS108" i="3"/>
  <c r="AB106" i="3"/>
  <c r="U106" i="3"/>
  <c r="AH106" i="3" s="1"/>
  <c r="H107" i="3"/>
  <c r="I107" i="3" s="1"/>
  <c r="CY107" i="3"/>
  <c r="DC107" i="3"/>
  <c r="CT107" i="3"/>
  <c r="BY108" i="3" s="1"/>
  <c r="CA108" i="3" s="1"/>
  <c r="CN107" i="3"/>
  <c r="BO108" i="3"/>
  <c r="E27" i="5"/>
  <c r="E176" i="4"/>
  <c r="G176" i="4" s="1"/>
  <c r="I176" i="4" s="1"/>
  <c r="B16" i="4"/>
  <c r="D16" i="4" s="1"/>
  <c r="L176" i="4"/>
  <c r="AD176" i="4"/>
  <c r="M176" i="4"/>
  <c r="CB108" i="3" l="1"/>
  <c r="J107" i="3"/>
  <c r="M107" i="3" s="1"/>
  <c r="P107" i="3" s="1"/>
  <c r="AR109" i="3"/>
  <c r="P176" i="4"/>
  <c r="AC106" i="3"/>
  <c r="CV107" i="3"/>
  <c r="CO107" i="3"/>
  <c r="DB107" i="3" s="1"/>
  <c r="CW107" i="3" l="1"/>
  <c r="CD108" i="3"/>
  <c r="CG108" i="3" s="1"/>
  <c r="AT109" i="3"/>
  <c r="AW109" i="3" s="1"/>
  <c r="AS109" i="3"/>
  <c r="K107" i="3"/>
  <c r="Q176" i="4"/>
  <c r="R176" i="4" s="1"/>
  <c r="CC108" i="3"/>
  <c r="CJ108" i="3" l="1"/>
  <c r="AU109" i="3"/>
  <c r="AD107" i="3"/>
  <c r="L107" i="3"/>
  <c r="CE108" i="3"/>
  <c r="X176" i="4"/>
  <c r="AA176" i="4" s="1"/>
  <c r="F177" i="4" s="1"/>
  <c r="V176" i="4"/>
  <c r="AF176" i="4" s="1"/>
  <c r="W176" i="4"/>
  <c r="AZ109" i="3"/>
  <c r="S176" i="4"/>
  <c r="T176" i="4" s="1"/>
  <c r="Z176" i="4" l="1"/>
  <c r="E177" i="4" s="1"/>
  <c r="G177" i="4" s="1"/>
  <c r="I177" i="4" s="1"/>
  <c r="AI176" i="4"/>
  <c r="AB176" i="4"/>
  <c r="U176" i="4"/>
  <c r="AH176" i="4" s="1"/>
  <c r="N107" i="3"/>
  <c r="O107" i="3"/>
  <c r="J177" i="4"/>
  <c r="K177" i="4" s="1"/>
  <c r="CX108" i="3"/>
  <c r="CF108" i="3"/>
  <c r="BN109" i="3"/>
  <c r="AV109" i="3"/>
  <c r="AE176" i="4"/>
  <c r="CH108" i="3" l="1"/>
  <c r="CI108" i="3"/>
  <c r="L177" i="4"/>
  <c r="AD177" i="4"/>
  <c r="M177" i="4"/>
  <c r="P177" i="4" s="1"/>
  <c r="AC176" i="4"/>
  <c r="Q107" i="3"/>
  <c r="R107" i="3" s="1"/>
  <c r="AX109" i="3"/>
  <c r="AY109" i="3"/>
  <c r="Q177" i="4" l="1"/>
  <c r="R177" i="4" s="1"/>
  <c r="X107" i="3"/>
  <c r="AA107" i="3" s="1"/>
  <c r="F108" i="3" s="1"/>
  <c r="W107" i="3"/>
  <c r="V107" i="3"/>
  <c r="AF107" i="3" s="1"/>
  <c r="S107" i="3"/>
  <c r="CK108" i="3"/>
  <c r="CL108" i="3" s="1"/>
  <c r="BA109" i="3"/>
  <c r="BB109" i="3" s="1"/>
  <c r="BH109" i="3" l="1"/>
  <c r="BK109" i="3" s="1"/>
  <c r="AP110" i="3" s="1"/>
  <c r="BF109" i="3"/>
  <c r="BP109" i="3" s="1"/>
  <c r="BG109" i="3"/>
  <c r="BC109" i="3"/>
  <c r="BO109" i="3" s="1"/>
  <c r="AE107" i="3"/>
  <c r="CR108" i="3"/>
  <c r="CU108" i="3" s="1"/>
  <c r="BZ109" i="3" s="1"/>
  <c r="CQ108" i="3"/>
  <c r="CP108" i="3"/>
  <c r="CZ108" i="3" s="1"/>
  <c r="CM108" i="3"/>
  <c r="CY108" i="3" s="1"/>
  <c r="AI107" i="3"/>
  <c r="Z107" i="3"/>
  <c r="E108" i="3" s="1"/>
  <c r="G108" i="3" s="1"/>
  <c r="T107" i="3"/>
  <c r="X177" i="4"/>
  <c r="AA177" i="4" s="1"/>
  <c r="F178" i="4" s="1"/>
  <c r="V177" i="4"/>
  <c r="AF177" i="4" s="1"/>
  <c r="W177" i="4"/>
  <c r="S177" i="4"/>
  <c r="DC108" i="3" l="1"/>
  <c r="CT108" i="3"/>
  <c r="BY109" i="3" s="1"/>
  <c r="CA109" i="3" s="1"/>
  <c r="CN108" i="3"/>
  <c r="H108" i="3"/>
  <c r="AE177" i="4"/>
  <c r="AI177" i="4"/>
  <c r="Z177" i="4"/>
  <c r="E178" i="4" s="1"/>
  <c r="G178" i="4" s="1"/>
  <c r="I178" i="4" s="1"/>
  <c r="J178" i="4"/>
  <c r="K178" i="4" s="1"/>
  <c r="T177" i="4"/>
  <c r="BD109" i="3"/>
  <c r="BS109" i="3"/>
  <c r="BJ109" i="3"/>
  <c r="AO110" i="3" s="1"/>
  <c r="AQ110" i="3" s="1"/>
  <c r="AB107" i="3"/>
  <c r="U107" i="3"/>
  <c r="AH107" i="3" s="1"/>
  <c r="M178" i="4" l="1"/>
  <c r="AR110" i="3"/>
  <c r="AS110" i="3" s="1"/>
  <c r="P178" i="4"/>
  <c r="Q178" i="4"/>
  <c r="R178" i="4" s="1"/>
  <c r="J108" i="3"/>
  <c r="M108" i="3" s="1"/>
  <c r="AC107" i="3"/>
  <c r="CV108" i="3"/>
  <c r="CW108" i="3" s="1"/>
  <c r="CO108" i="3"/>
  <c r="DB108" i="3" s="1"/>
  <c r="L178" i="4"/>
  <c r="AD178" i="4"/>
  <c r="I108" i="3"/>
  <c r="CB109" i="3"/>
  <c r="CC109" i="3" s="1"/>
  <c r="BL109" i="3"/>
  <c r="BM109" i="3" s="1"/>
  <c r="BE109" i="3"/>
  <c r="BR109" i="3" s="1"/>
  <c r="AB177" i="4"/>
  <c r="U177" i="4"/>
  <c r="AH177" i="4" s="1"/>
  <c r="K108" i="3" l="1"/>
  <c r="X178" i="4"/>
  <c r="AA178" i="4" s="1"/>
  <c r="F179" i="4" s="1"/>
  <c r="V178" i="4"/>
  <c r="AF178" i="4" s="1"/>
  <c r="W178" i="4"/>
  <c r="P108" i="3"/>
  <c r="AC177" i="4"/>
  <c r="CD109" i="3"/>
  <c r="CG109" i="3" s="1"/>
  <c r="CJ109" i="3" s="1"/>
  <c r="S178" i="4"/>
  <c r="AT110" i="3"/>
  <c r="AW110" i="3" s="1"/>
  <c r="AZ110" i="3" s="1"/>
  <c r="AU110" i="3" l="1"/>
  <c r="BN110" i="3" s="1"/>
  <c r="CE109" i="3"/>
  <c r="CX109" i="3" s="1"/>
  <c r="AE178" i="4"/>
  <c r="Z178" i="4"/>
  <c r="E179" i="4" s="1"/>
  <c r="G179" i="4" s="1"/>
  <c r="I179" i="4" s="1"/>
  <c r="AI178" i="4"/>
  <c r="AV110" i="3"/>
  <c r="AD108" i="3"/>
  <c r="L108" i="3"/>
  <c r="CF109" i="3"/>
  <c r="J179" i="4"/>
  <c r="K179" i="4" s="1"/>
  <c r="T178" i="4"/>
  <c r="M179" i="4" l="1"/>
  <c r="L179" i="4"/>
  <c r="AD179" i="4"/>
  <c r="CH109" i="3"/>
  <c r="CI109" i="3"/>
  <c r="N108" i="3"/>
  <c r="O108" i="3"/>
  <c r="AX110" i="3"/>
  <c r="AY110" i="3"/>
  <c r="P179" i="4"/>
  <c r="AB178" i="4"/>
  <c r="U178" i="4"/>
  <c r="AH178" i="4" s="1"/>
  <c r="Q108" i="3" l="1"/>
  <c r="R108" i="3" s="1"/>
  <c r="BA110" i="3"/>
  <c r="BB110" i="3" s="1"/>
  <c r="CK109" i="3"/>
  <c r="CL109" i="3" s="1"/>
  <c r="AC178" i="4"/>
  <c r="Q179" i="4"/>
  <c r="R179" i="4" s="1"/>
  <c r="X179" i="4" l="1"/>
  <c r="AA179" i="4" s="1"/>
  <c r="F180" i="4" s="1"/>
  <c r="W179" i="4"/>
  <c r="V179" i="4"/>
  <c r="AF179" i="4" s="1"/>
  <c r="CR109" i="3"/>
  <c r="CU109" i="3" s="1"/>
  <c r="BZ110" i="3" s="1"/>
  <c r="CQ109" i="3"/>
  <c r="CP109" i="3"/>
  <c r="CZ109" i="3" s="1"/>
  <c r="CM109" i="3"/>
  <c r="CY109" i="3" s="1"/>
  <c r="BH110" i="3"/>
  <c r="BK110" i="3" s="1"/>
  <c r="AP111" i="3" s="1"/>
  <c r="BF110" i="3"/>
  <c r="BP110" i="3" s="1"/>
  <c r="BG110" i="3"/>
  <c r="BC110" i="3"/>
  <c r="BO110" i="3" s="1"/>
  <c r="X108" i="3"/>
  <c r="AA108" i="3" s="1"/>
  <c r="F109" i="3" s="1"/>
  <c r="V108" i="3"/>
  <c r="AF108" i="3" s="1"/>
  <c r="W108" i="3"/>
  <c r="S108" i="3"/>
  <c r="AE108" i="3" s="1"/>
  <c r="S179" i="4"/>
  <c r="BD110" i="3" l="1"/>
  <c r="DC109" i="3"/>
  <c r="CT109" i="3"/>
  <c r="BY110" i="3" s="1"/>
  <c r="CA110" i="3" s="1"/>
  <c r="AE179" i="4"/>
  <c r="BS110" i="3"/>
  <c r="BJ110" i="3"/>
  <c r="AO111" i="3" s="1"/>
  <c r="AQ111" i="3" s="1"/>
  <c r="CN109" i="3"/>
  <c r="Z179" i="4"/>
  <c r="E180" i="4" s="1"/>
  <c r="G180" i="4" s="1"/>
  <c r="I180" i="4" s="1"/>
  <c r="AI179" i="4"/>
  <c r="Z108" i="3"/>
  <c r="E109" i="3" s="1"/>
  <c r="G109" i="3" s="1"/>
  <c r="AI108" i="3"/>
  <c r="T179" i="4"/>
  <c r="J180" i="4"/>
  <c r="K180" i="4" s="1"/>
  <c r="T108" i="3"/>
  <c r="AB108" i="3" l="1"/>
  <c r="AC108" i="3" s="1"/>
  <c r="U108" i="3"/>
  <c r="AH108" i="3" s="1"/>
  <c r="AR111" i="3"/>
  <c r="L180" i="4"/>
  <c r="AD180" i="4"/>
  <c r="M180" i="4"/>
  <c r="P180" i="4" s="1"/>
  <c r="AB179" i="4"/>
  <c r="U179" i="4"/>
  <c r="AH179" i="4" s="1"/>
  <c r="BL110" i="3"/>
  <c r="BM110" i="3" s="1"/>
  <c r="BE110" i="3"/>
  <c r="BR110" i="3" s="1"/>
  <c r="CB110" i="3"/>
  <c r="H109" i="3"/>
  <c r="I109" i="3" s="1"/>
  <c r="CV109" i="3"/>
  <c r="CW109" i="3" s="1"/>
  <c r="CO109" i="3"/>
  <c r="DB109" i="3" s="1"/>
  <c r="Q180" i="4" l="1"/>
  <c r="R180" i="4" s="1"/>
  <c r="AC179" i="4"/>
  <c r="J109" i="3"/>
  <c r="M109" i="3" s="1"/>
  <c r="P109" i="3" s="1"/>
  <c r="CD110" i="3"/>
  <c r="CG110" i="3" s="1"/>
  <c r="CC110" i="3"/>
  <c r="AT111" i="3"/>
  <c r="AW111" i="3" s="1"/>
  <c r="AS111" i="3"/>
  <c r="CE110" i="3" l="1"/>
  <c r="CX110" i="3" s="1"/>
  <c r="CF110" i="3"/>
  <c r="K109" i="3"/>
  <c r="AZ111" i="3"/>
  <c r="AU111" i="3"/>
  <c r="CJ110" i="3"/>
  <c r="X180" i="4"/>
  <c r="AA180" i="4" s="1"/>
  <c r="F181" i="4" s="1"/>
  <c r="W180" i="4"/>
  <c r="V180" i="4"/>
  <c r="AF180" i="4" s="1"/>
  <c r="S180" i="4"/>
  <c r="AE180" i="4" s="1"/>
  <c r="T180" i="4" l="1"/>
  <c r="AI180" i="4"/>
  <c r="Z180" i="4"/>
  <c r="E181" i="4" s="1"/>
  <c r="G181" i="4" s="1"/>
  <c r="I181" i="4" s="1"/>
  <c r="AB180" i="4"/>
  <c r="AC180" i="4" s="1"/>
  <c r="U180" i="4"/>
  <c r="AH180" i="4" s="1"/>
  <c r="CH110" i="3"/>
  <c r="CI110" i="3"/>
  <c r="J181" i="4"/>
  <c r="K181" i="4" s="1"/>
  <c r="BN111" i="3"/>
  <c r="AV111" i="3"/>
  <c r="AD109" i="3"/>
  <c r="L109" i="3"/>
  <c r="N109" i="3" l="1"/>
  <c r="O109" i="3"/>
  <c r="CK110" i="3"/>
  <c r="CL110" i="3" s="1"/>
  <c r="AX111" i="3"/>
  <c r="AY111" i="3"/>
  <c r="L181" i="4"/>
  <c r="AD181" i="4"/>
  <c r="M181" i="4"/>
  <c r="P181" i="4" s="1"/>
  <c r="Q181" i="4" s="1"/>
  <c r="R181" i="4" s="1"/>
  <c r="X181" i="4" l="1"/>
  <c r="AA181" i="4" s="1"/>
  <c r="F182" i="4" s="1"/>
  <c r="V181" i="4"/>
  <c r="AF181" i="4" s="1"/>
  <c r="W181" i="4"/>
  <c r="CR110" i="3"/>
  <c r="CU110" i="3" s="1"/>
  <c r="BZ111" i="3" s="1"/>
  <c r="CP110" i="3"/>
  <c r="CZ110" i="3" s="1"/>
  <c r="CQ110" i="3"/>
  <c r="CM110" i="3"/>
  <c r="CY110" i="3" s="1"/>
  <c r="S181" i="4"/>
  <c r="AE181" i="4" s="1"/>
  <c r="BA111" i="3"/>
  <c r="BB111" i="3" s="1"/>
  <c r="Q109" i="3"/>
  <c r="R109" i="3" s="1"/>
  <c r="BH111" i="3" l="1"/>
  <c r="BK111" i="3" s="1"/>
  <c r="AP112" i="3" s="1"/>
  <c r="BG111" i="3"/>
  <c r="BF111" i="3"/>
  <c r="BP111" i="3" s="1"/>
  <c r="BC111" i="3"/>
  <c r="BO111" i="3" s="1"/>
  <c r="CN110" i="3"/>
  <c r="X109" i="3"/>
  <c r="AA109" i="3" s="1"/>
  <c r="F110" i="3" s="1"/>
  <c r="W109" i="3"/>
  <c r="V109" i="3"/>
  <c r="AF109" i="3" s="1"/>
  <c r="S109" i="3"/>
  <c r="AE109" i="3" s="1"/>
  <c r="DC110" i="3"/>
  <c r="CT110" i="3"/>
  <c r="BY111" i="3" s="1"/>
  <c r="CA111" i="3" s="1"/>
  <c r="Z181" i="4"/>
  <c r="E182" i="4" s="1"/>
  <c r="G182" i="4" s="1"/>
  <c r="I182" i="4" s="1"/>
  <c r="AI181" i="4"/>
  <c r="J182" i="4"/>
  <c r="K182" i="4" s="1"/>
  <c r="T181" i="4"/>
  <c r="L182" i="4" l="1"/>
  <c r="AD182" i="4"/>
  <c r="M182" i="4"/>
  <c r="CV110" i="3"/>
  <c r="CW110" i="3" s="1"/>
  <c r="CO110" i="3"/>
  <c r="DB110" i="3" s="1"/>
  <c r="Z109" i="3"/>
  <c r="E110" i="3" s="1"/>
  <c r="G110" i="3" s="1"/>
  <c r="AI109" i="3"/>
  <c r="T109" i="3"/>
  <c r="AB181" i="4"/>
  <c r="AC181" i="4" s="1"/>
  <c r="U181" i="4"/>
  <c r="AH181" i="4" s="1"/>
  <c r="BS111" i="3"/>
  <c r="BJ111" i="3"/>
  <c r="AO112" i="3" s="1"/>
  <c r="AQ112" i="3" s="1"/>
  <c r="P182" i="4"/>
  <c r="Q182" i="4"/>
  <c r="R182" i="4" s="1"/>
  <c r="BD111" i="3"/>
  <c r="CB111" i="3"/>
  <c r="CC111" i="3" s="1"/>
  <c r="H110" i="3" l="1"/>
  <c r="BL111" i="3"/>
  <c r="BM111" i="3" s="1"/>
  <c r="BE111" i="3"/>
  <c r="BR111" i="3" s="1"/>
  <c r="AB109" i="3"/>
  <c r="AC109" i="3" s="1"/>
  <c r="U109" i="3"/>
  <c r="AH109" i="3" s="1"/>
  <c r="X182" i="4"/>
  <c r="AA182" i="4" s="1"/>
  <c r="F183" i="4" s="1"/>
  <c r="W182" i="4"/>
  <c r="CD111" i="3"/>
  <c r="CG111" i="3" s="1"/>
  <c r="CJ111" i="3" s="1"/>
  <c r="S182" i="4"/>
  <c r="AE182" i="4" s="1"/>
  <c r="V182" i="4"/>
  <c r="AF182" i="4" s="1"/>
  <c r="AR112" i="3"/>
  <c r="AS112" i="3" s="1"/>
  <c r="T182" i="4" l="1"/>
  <c r="AI182" i="4"/>
  <c r="Z182" i="4"/>
  <c r="E183" i="4" s="1"/>
  <c r="G183" i="4" s="1"/>
  <c r="I183" i="4" s="1"/>
  <c r="J183" i="4"/>
  <c r="K183" i="4" s="1"/>
  <c r="AB182" i="4"/>
  <c r="AC182" i="4" s="1"/>
  <c r="U182" i="4"/>
  <c r="AH182" i="4" s="1"/>
  <c r="J110" i="3"/>
  <c r="M110" i="3" s="1"/>
  <c r="I110" i="3"/>
  <c r="AT112" i="3"/>
  <c r="AW112" i="3" s="1"/>
  <c r="AZ112" i="3" s="1"/>
  <c r="AU112" i="3"/>
  <c r="BN112" i="3" s="1"/>
  <c r="CE111" i="3"/>
  <c r="L183" i="4" l="1"/>
  <c r="AD183" i="4"/>
  <c r="M183" i="4"/>
  <c r="P183" i="4"/>
  <c r="Q183" i="4"/>
  <c r="R183" i="4" s="1"/>
  <c r="K110" i="3"/>
  <c r="CX111" i="3"/>
  <c r="CF111" i="3"/>
  <c r="AV112" i="3"/>
  <c r="P110" i="3"/>
  <c r="CH111" i="3" l="1"/>
  <c r="CI111" i="3"/>
  <c r="X183" i="4"/>
  <c r="AA183" i="4" s="1"/>
  <c r="F184" i="4" s="1"/>
  <c r="W183" i="4"/>
  <c r="V183" i="4"/>
  <c r="AF183" i="4" s="1"/>
  <c r="AX112" i="3"/>
  <c r="AY112" i="3"/>
  <c r="AD110" i="3"/>
  <c r="L110" i="3"/>
  <c r="S183" i="4"/>
  <c r="AE183" i="4" s="1"/>
  <c r="N110" i="3" l="1"/>
  <c r="O110" i="3"/>
  <c r="BA112" i="3"/>
  <c r="BB112" i="3" s="1"/>
  <c r="AI183" i="4"/>
  <c r="Z183" i="4"/>
  <c r="E184" i="4" s="1"/>
  <c r="G184" i="4" s="1"/>
  <c r="I184" i="4" s="1"/>
  <c r="J184" i="4"/>
  <c r="K184" i="4" s="1"/>
  <c r="T183" i="4"/>
  <c r="CK111" i="3"/>
  <c r="CL111" i="3" s="1"/>
  <c r="CR111" i="3" l="1"/>
  <c r="CU111" i="3" s="1"/>
  <c r="BZ112" i="3" s="1"/>
  <c r="CQ111" i="3"/>
  <c r="CP111" i="3"/>
  <c r="CZ111" i="3" s="1"/>
  <c r="CM111" i="3"/>
  <c r="CY111" i="3" s="1"/>
  <c r="L184" i="4"/>
  <c r="AD184" i="4"/>
  <c r="M184" i="4"/>
  <c r="P184" i="4" s="1"/>
  <c r="BH112" i="3"/>
  <c r="BK112" i="3" s="1"/>
  <c r="AP113" i="3" s="1"/>
  <c r="BG112" i="3"/>
  <c r="BF112" i="3"/>
  <c r="BP112" i="3" s="1"/>
  <c r="BC112" i="3"/>
  <c r="BO112" i="3" s="1"/>
  <c r="AB183" i="4"/>
  <c r="AC183" i="4" s="1"/>
  <c r="U183" i="4"/>
  <c r="AH183" i="4" s="1"/>
  <c r="Q110" i="3"/>
  <c r="R110" i="3" s="1"/>
  <c r="BD112" i="3" l="1"/>
  <c r="Q184" i="4"/>
  <c r="R184" i="4" s="1"/>
  <c r="BS112" i="3"/>
  <c r="BJ112" i="3"/>
  <c r="AO113" i="3" s="1"/>
  <c r="AQ113" i="3" s="1"/>
  <c r="X110" i="3"/>
  <c r="AA110" i="3" s="1"/>
  <c r="F111" i="3" s="1"/>
  <c r="W110" i="3"/>
  <c r="V110" i="3"/>
  <c r="AF110" i="3" s="1"/>
  <c r="S110" i="3"/>
  <c r="AE110" i="3" s="1"/>
  <c r="CN111" i="3"/>
  <c r="BL112" i="3"/>
  <c r="BM112" i="3" s="1"/>
  <c r="BE112" i="3"/>
  <c r="BR112" i="3" s="1"/>
  <c r="CT111" i="3"/>
  <c r="BY112" i="3" s="1"/>
  <c r="CA112" i="3" s="1"/>
  <c r="DC111" i="3"/>
  <c r="T110" i="3" l="1"/>
  <c r="CV111" i="3"/>
  <c r="CW111" i="3" s="1"/>
  <c r="CO111" i="3"/>
  <c r="DB111" i="3" s="1"/>
  <c r="X184" i="4"/>
  <c r="AA184" i="4" s="1"/>
  <c r="F185" i="4" s="1"/>
  <c r="V184" i="4"/>
  <c r="AF184" i="4" s="1"/>
  <c r="W184" i="4"/>
  <c r="AI110" i="3"/>
  <c r="Z110" i="3"/>
  <c r="E111" i="3" s="1"/>
  <c r="G111" i="3" s="1"/>
  <c r="AR113" i="3"/>
  <c r="AS113" i="3" s="1"/>
  <c r="CB112" i="3"/>
  <c r="CC112" i="3" s="1"/>
  <c r="S184" i="4"/>
  <c r="AE184" i="4" s="1"/>
  <c r="T184" i="4" l="1"/>
  <c r="AI184" i="4"/>
  <c r="Z184" i="4"/>
  <c r="E185" i="4" s="1"/>
  <c r="G185" i="4" s="1"/>
  <c r="I185" i="4" s="1"/>
  <c r="AB184" i="4"/>
  <c r="AC184" i="4" s="1"/>
  <c r="U184" i="4"/>
  <c r="AH184" i="4" s="1"/>
  <c r="H111" i="3"/>
  <c r="AT113" i="3"/>
  <c r="AW113" i="3" s="1"/>
  <c r="AZ113" i="3" s="1"/>
  <c r="J185" i="4"/>
  <c r="K185" i="4" s="1"/>
  <c r="AB110" i="3"/>
  <c r="AC110" i="3" s="1"/>
  <c r="U110" i="3"/>
  <c r="AH110" i="3" s="1"/>
  <c r="CD112" i="3"/>
  <c r="CG112" i="3" s="1"/>
  <c r="CJ112" i="3" s="1"/>
  <c r="M185" i="4" l="1"/>
  <c r="AU113" i="3"/>
  <c r="BN113" i="3" s="1"/>
  <c r="J111" i="3"/>
  <c r="M111" i="3" s="1"/>
  <c r="AV113" i="3"/>
  <c r="CE112" i="3"/>
  <c r="I111" i="3"/>
  <c r="P185" i="4"/>
  <c r="L185" i="4"/>
  <c r="AD185" i="4"/>
  <c r="P111" i="3" l="1"/>
  <c r="AX113" i="3"/>
  <c r="AY113" i="3"/>
  <c r="Q185" i="4"/>
  <c r="R185" i="4" s="1"/>
  <c r="CX112" i="3"/>
  <c r="CF112" i="3"/>
  <c r="K111" i="3"/>
  <c r="CH112" i="3" l="1"/>
  <c r="CI112" i="3"/>
  <c r="AD111" i="3"/>
  <c r="L111" i="3"/>
  <c r="X185" i="4"/>
  <c r="AA185" i="4" s="1"/>
  <c r="F186" i="4" s="1"/>
  <c r="V185" i="4"/>
  <c r="AF185" i="4" s="1"/>
  <c r="W185" i="4"/>
  <c r="BA113" i="3"/>
  <c r="BB113" i="3" s="1"/>
  <c r="S185" i="4"/>
  <c r="AE185" i="4" s="1"/>
  <c r="BH113" i="3" l="1"/>
  <c r="BK113" i="3" s="1"/>
  <c r="AP114" i="3" s="1"/>
  <c r="BG113" i="3"/>
  <c r="BF113" i="3"/>
  <c r="BP113" i="3" s="1"/>
  <c r="BC113" i="3"/>
  <c r="BO113" i="3" s="1"/>
  <c r="Z185" i="4"/>
  <c r="E186" i="4" s="1"/>
  <c r="G186" i="4" s="1"/>
  <c r="I186" i="4" s="1"/>
  <c r="AI185" i="4"/>
  <c r="T185" i="4"/>
  <c r="CK112" i="3"/>
  <c r="CL112" i="3" s="1"/>
  <c r="J186" i="4"/>
  <c r="K186" i="4" s="1"/>
  <c r="N111" i="3"/>
  <c r="O111" i="3"/>
  <c r="CR112" i="3" l="1"/>
  <c r="CU112" i="3" s="1"/>
  <c r="BZ113" i="3" s="1"/>
  <c r="CP112" i="3"/>
  <c r="CZ112" i="3" s="1"/>
  <c r="CQ112" i="3"/>
  <c r="CM112" i="3"/>
  <c r="CY112" i="3" s="1"/>
  <c r="AB185" i="4"/>
  <c r="AC185" i="4" s="1"/>
  <c r="U185" i="4"/>
  <c r="AH185" i="4" s="1"/>
  <c r="L186" i="4"/>
  <c r="AD186" i="4"/>
  <c r="M186" i="4"/>
  <c r="P186" i="4" s="1"/>
  <c r="BS113" i="3"/>
  <c r="BJ113" i="3"/>
  <c r="AO114" i="3" s="1"/>
  <c r="AQ114" i="3" s="1"/>
  <c r="BD113" i="3"/>
  <c r="Q111" i="3"/>
  <c r="R111" i="3" s="1"/>
  <c r="Q186" i="4" l="1"/>
  <c r="R186" i="4" s="1"/>
  <c r="X111" i="3"/>
  <c r="AA111" i="3" s="1"/>
  <c r="F112" i="3" s="1"/>
  <c r="V111" i="3"/>
  <c r="AF111" i="3" s="1"/>
  <c r="W111" i="3"/>
  <c r="S111" i="3"/>
  <c r="AE111" i="3" s="1"/>
  <c r="DC112" i="3"/>
  <c r="CT112" i="3"/>
  <c r="BY113" i="3" s="1"/>
  <c r="CA113" i="3" s="1"/>
  <c r="BL113" i="3"/>
  <c r="BM113" i="3" s="1"/>
  <c r="BE113" i="3"/>
  <c r="BR113" i="3" s="1"/>
  <c r="AR114" i="3"/>
  <c r="CN112" i="3"/>
  <c r="AT114" i="3" l="1"/>
  <c r="AW114" i="3" s="1"/>
  <c r="AU114" i="3"/>
  <c r="BN114" i="3" s="1"/>
  <c r="AS114" i="3"/>
  <c r="T111" i="3"/>
  <c r="CB113" i="3"/>
  <c r="CC113" i="3" s="1"/>
  <c r="Z111" i="3"/>
  <c r="E112" i="3" s="1"/>
  <c r="G112" i="3" s="1"/>
  <c r="AI111" i="3"/>
  <c r="CV112" i="3"/>
  <c r="CW112" i="3" s="1"/>
  <c r="CO112" i="3"/>
  <c r="DB112" i="3" s="1"/>
  <c r="X186" i="4"/>
  <c r="AA186" i="4" s="1"/>
  <c r="F187" i="4" s="1"/>
  <c r="W186" i="4"/>
  <c r="V186" i="4"/>
  <c r="AF186" i="4" s="1"/>
  <c r="S186" i="4"/>
  <c r="AE186" i="4" s="1"/>
  <c r="CD113" i="3" l="1"/>
  <c r="CG113" i="3" s="1"/>
  <c r="CJ113" i="3" s="1"/>
  <c r="CE113" i="3"/>
  <c r="CX113" i="3" s="1"/>
  <c r="J187" i="4"/>
  <c r="K187" i="4" s="1"/>
  <c r="H112" i="3"/>
  <c r="AB111" i="3"/>
  <c r="AC111" i="3" s="1"/>
  <c r="U111" i="3"/>
  <c r="AH111" i="3" s="1"/>
  <c r="AZ114" i="3"/>
  <c r="AI186" i="4"/>
  <c r="Z186" i="4"/>
  <c r="E187" i="4" s="1"/>
  <c r="G187" i="4" s="1"/>
  <c r="I187" i="4" s="1"/>
  <c r="T186" i="4"/>
  <c r="AV114" i="3"/>
  <c r="M187" i="4" l="1"/>
  <c r="L187" i="4"/>
  <c r="AD187" i="4"/>
  <c r="AX114" i="3"/>
  <c r="AY114" i="3"/>
  <c r="CF113" i="3"/>
  <c r="AB186" i="4"/>
  <c r="AC186" i="4" s="1"/>
  <c r="U186" i="4"/>
  <c r="AH186" i="4" s="1"/>
  <c r="J112" i="3"/>
  <c r="M112" i="3" s="1"/>
  <c r="I112" i="3"/>
  <c r="P187" i="4"/>
  <c r="K112" i="3" l="1"/>
  <c r="BA114" i="3"/>
  <c r="BB114" i="3" s="1"/>
  <c r="CH113" i="3"/>
  <c r="CI113" i="3"/>
  <c r="Q187" i="4"/>
  <c r="R187" i="4" s="1"/>
  <c r="P112" i="3"/>
  <c r="X187" i="4" l="1"/>
  <c r="AA187" i="4" s="1"/>
  <c r="V187" i="4"/>
  <c r="AF187" i="4" s="1"/>
  <c r="W187" i="4"/>
  <c r="CK113" i="3"/>
  <c r="CL113" i="3" s="1"/>
  <c r="S187" i="4"/>
  <c r="AE187" i="4" s="1"/>
  <c r="BH114" i="3"/>
  <c r="BK114" i="3" s="1"/>
  <c r="AP115" i="3" s="1"/>
  <c r="BG114" i="3"/>
  <c r="BF114" i="3"/>
  <c r="BP114" i="3" s="1"/>
  <c r="BC114" i="3"/>
  <c r="BO114" i="3" s="1"/>
  <c r="AD112" i="3"/>
  <c r="L112" i="3"/>
  <c r="N112" i="3" l="1"/>
  <c r="O112" i="3"/>
  <c r="CR113" i="3"/>
  <c r="CU113" i="3" s="1"/>
  <c r="BZ114" i="3" s="1"/>
  <c r="CP113" i="3"/>
  <c r="CZ113" i="3" s="1"/>
  <c r="CQ113" i="3"/>
  <c r="CM113" i="3"/>
  <c r="CY113" i="3" s="1"/>
  <c r="BJ114" i="3"/>
  <c r="AO115" i="3" s="1"/>
  <c r="AQ115" i="3" s="1"/>
  <c r="BS114" i="3"/>
  <c r="BD114" i="3"/>
  <c r="I28" i="5"/>
  <c r="J17" i="4"/>
  <c r="T187" i="4"/>
  <c r="AI187" i="4"/>
  <c r="Y187" i="4"/>
  <c r="Z187" i="4" s="1"/>
  <c r="F188" i="4"/>
  <c r="C17" i="4"/>
  <c r="AR115" i="3" l="1"/>
  <c r="CT113" i="3"/>
  <c r="BY114" i="3" s="1"/>
  <c r="CA114" i="3" s="1"/>
  <c r="DC113" i="3"/>
  <c r="Q112" i="3"/>
  <c r="R112" i="3" s="1"/>
  <c r="J188" i="4"/>
  <c r="K188" i="4" s="1"/>
  <c r="CN113" i="3"/>
  <c r="AB187" i="4"/>
  <c r="AC187" i="4" s="1"/>
  <c r="U187" i="4"/>
  <c r="AH187" i="4" s="1"/>
  <c r="BL114" i="3"/>
  <c r="BM114" i="3" s="1"/>
  <c r="BE114" i="3"/>
  <c r="BR114" i="3" s="1"/>
  <c r="E28" i="5"/>
  <c r="E188" i="4"/>
  <c r="G188" i="4" s="1"/>
  <c r="I188" i="4" s="1"/>
  <c r="B17" i="4"/>
  <c r="D17" i="4" s="1"/>
  <c r="I17" i="4"/>
  <c r="AG187" i="4"/>
  <c r="AG188" i="4" s="1"/>
  <c r="AG189" i="4" s="1"/>
  <c r="AG190" i="4" s="1"/>
  <c r="AG191" i="4" s="1"/>
  <c r="AG192" i="4" s="1"/>
  <c r="AG193" i="4" s="1"/>
  <c r="AG194" i="4" s="1"/>
  <c r="AG195" i="4" s="1"/>
  <c r="AG196" i="4" s="1"/>
  <c r="AG197" i="4" s="1"/>
  <c r="AG198" i="4" s="1"/>
  <c r="L188" i="4" l="1"/>
  <c r="AD188" i="4"/>
  <c r="M188" i="4"/>
  <c r="CV113" i="3"/>
  <c r="CW113" i="3" s="1"/>
  <c r="CO113" i="3"/>
  <c r="DB113" i="3" s="1"/>
  <c r="X112" i="3"/>
  <c r="AA112" i="3" s="1"/>
  <c r="F113" i="3" s="1"/>
  <c r="W112" i="3"/>
  <c r="V112" i="3"/>
  <c r="AF112" i="3" s="1"/>
  <c r="S112" i="3"/>
  <c r="AE112" i="3" s="1"/>
  <c r="AT115" i="3"/>
  <c r="AW115" i="3" s="1"/>
  <c r="CB114" i="3"/>
  <c r="P188" i="4"/>
  <c r="AS115" i="3"/>
  <c r="AZ115" i="3" l="1"/>
  <c r="AI112" i="3"/>
  <c r="Z112" i="3"/>
  <c r="E113" i="3" s="1"/>
  <c r="G113" i="3" s="1"/>
  <c r="T112" i="3"/>
  <c r="Q188" i="4"/>
  <c r="R188" i="4" s="1"/>
  <c r="CD114" i="3"/>
  <c r="CG114" i="3" s="1"/>
  <c r="CE114" i="3"/>
  <c r="CX114" i="3" s="1"/>
  <c r="CC114" i="3"/>
  <c r="AU115" i="3"/>
  <c r="CF114" i="3" l="1"/>
  <c r="AB112" i="3"/>
  <c r="AC112" i="3" s="1"/>
  <c r="U112" i="3"/>
  <c r="AH112" i="3" s="1"/>
  <c r="CJ114" i="3"/>
  <c r="X188" i="4"/>
  <c r="AA188" i="4" s="1"/>
  <c r="F189" i="4" s="1"/>
  <c r="V188" i="4"/>
  <c r="AF188" i="4" s="1"/>
  <c r="W188" i="4"/>
  <c r="H113" i="3"/>
  <c r="S188" i="4"/>
  <c r="BN115" i="3"/>
  <c r="AV115" i="3"/>
  <c r="AI188" i="4" l="1"/>
  <c r="Z188" i="4"/>
  <c r="E189" i="4" s="1"/>
  <c r="G189" i="4" s="1"/>
  <c r="I189" i="4" s="1"/>
  <c r="J189" i="4"/>
  <c r="K189" i="4" s="1"/>
  <c r="AE188" i="4"/>
  <c r="J113" i="3"/>
  <c r="M113" i="3" s="1"/>
  <c r="I113" i="3"/>
  <c r="T188" i="4"/>
  <c r="CH114" i="3"/>
  <c r="CI114" i="3"/>
  <c r="AX115" i="3"/>
  <c r="AY115" i="3"/>
  <c r="P113" i="3" l="1"/>
  <c r="AB188" i="4"/>
  <c r="U188" i="4"/>
  <c r="AH188" i="4" s="1"/>
  <c r="K113" i="3"/>
  <c r="BA115" i="3"/>
  <c r="BB115" i="3" s="1"/>
  <c r="CK114" i="3"/>
  <c r="CL114" i="3" s="1"/>
  <c r="M189" i="4"/>
  <c r="P189" i="4" s="1"/>
  <c r="L189" i="4"/>
  <c r="AD189" i="4"/>
  <c r="Q189" i="4" l="1"/>
  <c r="R189" i="4" s="1"/>
  <c r="BH115" i="3"/>
  <c r="BK115" i="3" s="1"/>
  <c r="BG115" i="3"/>
  <c r="BF115" i="3"/>
  <c r="BP115" i="3" s="1"/>
  <c r="BC115" i="3"/>
  <c r="BO115" i="3" s="1"/>
  <c r="AD113" i="3"/>
  <c r="L113" i="3"/>
  <c r="CR114" i="3"/>
  <c r="CU114" i="3" s="1"/>
  <c r="BZ115" i="3" s="1"/>
  <c r="CQ114" i="3"/>
  <c r="CP114" i="3"/>
  <c r="CZ114" i="3" s="1"/>
  <c r="CM114" i="3"/>
  <c r="CY114" i="3" s="1"/>
  <c r="AC188" i="4"/>
  <c r="DC114" i="3" l="1"/>
  <c r="CT114" i="3"/>
  <c r="BY115" i="3" s="1"/>
  <c r="CA115" i="3" s="1"/>
  <c r="CN114" i="3"/>
  <c r="N113" i="3"/>
  <c r="O113" i="3"/>
  <c r="AP116" i="3"/>
  <c r="P11" i="3"/>
  <c r="G22" i="5"/>
  <c r="W11" i="3"/>
  <c r="BS115" i="3"/>
  <c r="BI115" i="3"/>
  <c r="BD115" i="3"/>
  <c r="X189" i="4"/>
  <c r="AA189" i="4" s="1"/>
  <c r="F190" i="4" s="1"/>
  <c r="W189" i="4"/>
  <c r="V189" i="4"/>
  <c r="AF189" i="4" s="1"/>
  <c r="S189" i="4"/>
  <c r="AE189" i="4" l="1"/>
  <c r="J190" i="4"/>
  <c r="K190" i="4" s="1"/>
  <c r="CB115" i="3"/>
  <c r="CC115" i="3" s="1"/>
  <c r="AI189" i="4"/>
  <c r="Z189" i="4"/>
  <c r="E190" i="4" s="1"/>
  <c r="G190" i="4" s="1"/>
  <c r="I190" i="4" s="1"/>
  <c r="T189" i="4"/>
  <c r="Q113" i="3"/>
  <c r="R113" i="3" s="1"/>
  <c r="BL115" i="3"/>
  <c r="BM115" i="3" s="1"/>
  <c r="BE115" i="3"/>
  <c r="BR115" i="3" s="1"/>
  <c r="V11" i="3"/>
  <c r="BQ115" i="3"/>
  <c r="BQ116" i="3" s="1"/>
  <c r="BQ117" i="3" s="1"/>
  <c r="BQ118" i="3" s="1"/>
  <c r="BQ119" i="3" s="1"/>
  <c r="BQ120" i="3" s="1"/>
  <c r="BQ121" i="3" s="1"/>
  <c r="BQ122" i="3" s="1"/>
  <c r="BQ123" i="3" s="1"/>
  <c r="BQ124" i="3" s="1"/>
  <c r="BQ125" i="3" s="1"/>
  <c r="BQ126" i="3" s="1"/>
  <c r="CV114" i="3"/>
  <c r="CW114" i="3" s="1"/>
  <c r="CO114" i="3"/>
  <c r="DB114" i="3" s="1"/>
  <c r="BJ115" i="3"/>
  <c r="X113" i="3" l="1"/>
  <c r="AA113" i="3" s="1"/>
  <c r="F114" i="3" s="1"/>
  <c r="V113" i="3"/>
  <c r="AF113" i="3" s="1"/>
  <c r="W113" i="3"/>
  <c r="S113" i="3"/>
  <c r="AE113" i="3" s="1"/>
  <c r="M190" i="4"/>
  <c r="P190" i="4" s="1"/>
  <c r="L190" i="4"/>
  <c r="AD190" i="4"/>
  <c r="C22" i="5"/>
  <c r="AO116" i="3"/>
  <c r="AQ116" i="3" s="1"/>
  <c r="O11" i="3"/>
  <c r="Q11" i="3" s="1"/>
  <c r="AB189" i="4"/>
  <c r="U189" i="4"/>
  <c r="AH189" i="4" s="1"/>
  <c r="CD115" i="3"/>
  <c r="CG115" i="3" s="1"/>
  <c r="CJ115" i="3" s="1"/>
  <c r="Q190" i="4" l="1"/>
  <c r="R190" i="4" s="1"/>
  <c r="CE115" i="3"/>
  <c r="AI113" i="3"/>
  <c r="Z113" i="3"/>
  <c r="E114" i="3" s="1"/>
  <c r="G114" i="3" s="1"/>
  <c r="AC189" i="4"/>
  <c r="T113" i="3"/>
  <c r="AR116" i="3"/>
  <c r="CX115" i="3" l="1"/>
  <c r="CF115" i="3"/>
  <c r="AT116" i="3"/>
  <c r="AW116" i="3" s="1"/>
  <c r="AS116" i="3"/>
  <c r="AB113" i="3"/>
  <c r="AC113" i="3" s="1"/>
  <c r="U113" i="3"/>
  <c r="AH113" i="3" s="1"/>
  <c r="H114" i="3"/>
  <c r="X190" i="4"/>
  <c r="AA190" i="4" s="1"/>
  <c r="F191" i="4" s="1"/>
  <c r="V190" i="4"/>
  <c r="AF190" i="4" s="1"/>
  <c r="W190" i="4"/>
  <c r="S190" i="4"/>
  <c r="T190" i="4" s="1"/>
  <c r="AU116" i="3" l="1"/>
  <c r="Z190" i="4"/>
  <c r="E191" i="4" s="1"/>
  <c r="G191" i="4" s="1"/>
  <c r="I191" i="4" s="1"/>
  <c r="AI190" i="4"/>
  <c r="AB190" i="4"/>
  <c r="U190" i="4"/>
  <c r="AH190" i="4" s="1"/>
  <c r="J191" i="4"/>
  <c r="K191" i="4" s="1"/>
  <c r="J114" i="3"/>
  <c r="M114" i="3" s="1"/>
  <c r="I114" i="3"/>
  <c r="AZ116" i="3"/>
  <c r="BN116" i="3"/>
  <c r="AV116" i="3"/>
  <c r="CH115" i="3"/>
  <c r="CI115" i="3"/>
  <c r="AE190" i="4"/>
  <c r="CK115" i="3" l="1"/>
  <c r="CL115" i="3" s="1"/>
  <c r="P114" i="3"/>
  <c r="K114" i="3"/>
  <c r="M191" i="4"/>
  <c r="P191" i="4" s="1"/>
  <c r="L191" i="4"/>
  <c r="AD191" i="4"/>
  <c r="AX116" i="3"/>
  <c r="AY116" i="3"/>
  <c r="AC190" i="4"/>
  <c r="Q191" i="4" l="1"/>
  <c r="R191" i="4" s="1"/>
  <c r="BA116" i="3"/>
  <c r="BB116" i="3" s="1"/>
  <c r="AD114" i="3"/>
  <c r="L114" i="3"/>
  <c r="CR115" i="3"/>
  <c r="CU115" i="3" s="1"/>
  <c r="CP115" i="3"/>
  <c r="CZ115" i="3" s="1"/>
  <c r="CQ115" i="3"/>
  <c r="CM115" i="3"/>
  <c r="CY115" i="3" s="1"/>
  <c r="DC115" i="3" l="1"/>
  <c r="CS115" i="3"/>
  <c r="CT115" i="3" s="1"/>
  <c r="CN115" i="3"/>
  <c r="AJ11" i="3"/>
  <c r="H22" i="5"/>
  <c r="BZ116" i="3"/>
  <c r="AC11" i="3"/>
  <c r="O114" i="3"/>
  <c r="N114" i="3"/>
  <c r="BH116" i="3"/>
  <c r="BK116" i="3" s="1"/>
  <c r="AP117" i="3" s="1"/>
  <c r="BG116" i="3"/>
  <c r="BF116" i="3"/>
  <c r="BP116" i="3" s="1"/>
  <c r="BC116" i="3"/>
  <c r="BD116" i="3" s="1"/>
  <c r="X191" i="4"/>
  <c r="AA191" i="4" s="1"/>
  <c r="F192" i="4" s="1"/>
  <c r="W191" i="4"/>
  <c r="V191" i="4"/>
  <c r="AF191" i="4" s="1"/>
  <c r="S191" i="4"/>
  <c r="T191" i="4" s="1"/>
  <c r="AB191" i="4" l="1"/>
  <c r="U191" i="4"/>
  <c r="AH191" i="4" s="1"/>
  <c r="D22" i="5"/>
  <c r="BY116" i="3"/>
  <c r="CA116" i="3" s="1"/>
  <c r="AB11" i="3"/>
  <c r="AD11" i="3" s="1"/>
  <c r="Q114" i="3"/>
  <c r="R114" i="3" s="1"/>
  <c r="AI191" i="4"/>
  <c r="Z191" i="4"/>
  <c r="E192" i="4" s="1"/>
  <c r="G192" i="4" s="1"/>
  <c r="I192" i="4" s="1"/>
  <c r="BL116" i="3"/>
  <c r="BE116" i="3"/>
  <c r="BR116" i="3" s="1"/>
  <c r="AE191" i="4"/>
  <c r="J192" i="4"/>
  <c r="K192" i="4" s="1"/>
  <c r="CV115" i="3"/>
  <c r="CW115" i="3" s="1"/>
  <c r="CO115" i="3"/>
  <c r="DB115" i="3" s="1"/>
  <c r="BO116" i="3"/>
  <c r="AI11" i="3"/>
  <c r="DA115" i="3"/>
  <c r="DA116" i="3" s="1"/>
  <c r="DA117" i="3" s="1"/>
  <c r="DA118" i="3" s="1"/>
  <c r="DA119" i="3" s="1"/>
  <c r="DA120" i="3" s="1"/>
  <c r="DA121" i="3" s="1"/>
  <c r="DA122" i="3" s="1"/>
  <c r="DA123" i="3" s="1"/>
  <c r="DA124" i="3" s="1"/>
  <c r="DA125" i="3" s="1"/>
  <c r="DA126" i="3" s="1"/>
  <c r="BJ116" i="3"/>
  <c r="AO117" i="3" s="1"/>
  <c r="AQ117" i="3" s="1"/>
  <c r="BS116" i="3"/>
  <c r="BM116" i="3" l="1"/>
  <c r="AR117" i="3"/>
  <c r="AS117" i="3" s="1"/>
  <c r="X114" i="3"/>
  <c r="AA114" i="3" s="1"/>
  <c r="F115" i="3" s="1"/>
  <c r="W114" i="3"/>
  <c r="V114" i="3"/>
  <c r="AF114" i="3" s="1"/>
  <c r="S114" i="3"/>
  <c r="AE114" i="3" s="1"/>
  <c r="CB116" i="3"/>
  <c r="L192" i="4"/>
  <c r="AD192" i="4"/>
  <c r="M192" i="4"/>
  <c r="P192" i="4" s="1"/>
  <c r="AC191" i="4"/>
  <c r="Q192" i="4" l="1"/>
  <c r="R192" i="4" s="1"/>
  <c r="CD116" i="3"/>
  <c r="CG116" i="3" s="1"/>
  <c r="AI114" i="3"/>
  <c r="Z114" i="3"/>
  <c r="E115" i="3" s="1"/>
  <c r="G115" i="3" s="1"/>
  <c r="T114" i="3"/>
  <c r="CC116" i="3"/>
  <c r="AT117" i="3"/>
  <c r="AW117" i="3" s="1"/>
  <c r="AZ117" i="3" s="1"/>
  <c r="CE116" i="3" l="1"/>
  <c r="AU117" i="3"/>
  <c r="AB114" i="3"/>
  <c r="AC114" i="3" s="1"/>
  <c r="U114" i="3"/>
  <c r="AH114" i="3" s="1"/>
  <c r="CX116" i="3"/>
  <c r="H115" i="3"/>
  <c r="I115" i="3" s="1"/>
  <c r="BN117" i="3"/>
  <c r="CF116" i="3"/>
  <c r="AV117" i="3"/>
  <c r="X192" i="4"/>
  <c r="AA192" i="4" s="1"/>
  <c r="F193" i="4" s="1"/>
  <c r="V192" i="4"/>
  <c r="AF192" i="4" s="1"/>
  <c r="W192" i="4"/>
  <c r="CJ116" i="3"/>
  <c r="S192" i="4"/>
  <c r="AE192" i="4" s="1"/>
  <c r="T192" i="4" l="1"/>
  <c r="Z192" i="4"/>
  <c r="E193" i="4" s="1"/>
  <c r="G193" i="4" s="1"/>
  <c r="I193" i="4" s="1"/>
  <c r="AI192" i="4"/>
  <c r="J193" i="4"/>
  <c r="K193" i="4" s="1"/>
  <c r="AB192" i="4"/>
  <c r="AC192" i="4" s="1"/>
  <c r="U192" i="4"/>
  <c r="AH192" i="4" s="1"/>
  <c r="AX117" i="3"/>
  <c r="AY117" i="3"/>
  <c r="CI116" i="3"/>
  <c r="CH116" i="3"/>
  <c r="J115" i="3"/>
  <c r="M115" i="3" s="1"/>
  <c r="P115" i="3" s="1"/>
  <c r="BA117" i="3" l="1"/>
  <c r="BB117" i="3" s="1"/>
  <c r="L193" i="4"/>
  <c r="AD193" i="4"/>
  <c r="M193" i="4"/>
  <c r="K115" i="3"/>
  <c r="P193" i="4"/>
  <c r="Q193" i="4" s="1"/>
  <c r="R193" i="4" s="1"/>
  <c r="W193" i="4" s="1"/>
  <c r="CK116" i="3"/>
  <c r="CL116" i="3" s="1"/>
  <c r="Z193" i="4" l="1"/>
  <c r="E194" i="4" s="1"/>
  <c r="G194" i="4" s="1"/>
  <c r="I194" i="4" s="1"/>
  <c r="AI193" i="4"/>
  <c r="CR116" i="3"/>
  <c r="CU116" i="3" s="1"/>
  <c r="BZ117" i="3" s="1"/>
  <c r="CP116" i="3"/>
  <c r="CZ116" i="3" s="1"/>
  <c r="CQ116" i="3"/>
  <c r="CM116" i="3"/>
  <c r="X193" i="4"/>
  <c r="AA193" i="4" s="1"/>
  <c r="F194" i="4" s="1"/>
  <c r="V193" i="4"/>
  <c r="AF193" i="4" s="1"/>
  <c r="S193" i="4"/>
  <c r="AE193" i="4" s="1"/>
  <c r="AD115" i="3"/>
  <c r="L115" i="3"/>
  <c r="BH117" i="3"/>
  <c r="BK117" i="3" s="1"/>
  <c r="AP118" i="3" s="1"/>
  <c r="BG117" i="3"/>
  <c r="BF117" i="3"/>
  <c r="BP117" i="3" s="1"/>
  <c r="BC117" i="3"/>
  <c r="BD117" i="3" s="1"/>
  <c r="BL117" i="3" l="1"/>
  <c r="BE117" i="3"/>
  <c r="BR117" i="3" s="1"/>
  <c r="N115" i="3"/>
  <c r="O115" i="3"/>
  <c r="DC116" i="3"/>
  <c r="CT116" i="3"/>
  <c r="BY117" i="3" s="1"/>
  <c r="CA117" i="3" s="1"/>
  <c r="T193" i="4"/>
  <c r="CY116" i="3"/>
  <c r="BO117" i="3"/>
  <c r="J194" i="4"/>
  <c r="K194" i="4" s="1"/>
  <c r="CN116" i="3"/>
  <c r="BS117" i="3"/>
  <c r="BJ117" i="3"/>
  <c r="AO118" i="3" s="1"/>
  <c r="AQ118" i="3" s="1"/>
  <c r="AR118" i="3" l="1"/>
  <c r="CV116" i="3"/>
  <c r="CO116" i="3"/>
  <c r="DB116" i="3" s="1"/>
  <c r="CB117" i="3"/>
  <c r="CC117" i="3" s="1"/>
  <c r="Q115" i="3"/>
  <c r="R115" i="3" s="1"/>
  <c r="L194" i="4"/>
  <c r="AD194" i="4"/>
  <c r="M194" i="4"/>
  <c r="P194" i="4" s="1"/>
  <c r="AB193" i="4"/>
  <c r="AC193" i="4" s="1"/>
  <c r="U193" i="4"/>
  <c r="AH193" i="4" s="1"/>
  <c r="BM117" i="3"/>
  <c r="X115" i="3" l="1"/>
  <c r="AA115" i="3" s="1"/>
  <c r="W115" i="3"/>
  <c r="V115" i="3"/>
  <c r="AF115" i="3" s="1"/>
  <c r="S115" i="3"/>
  <c r="AE115" i="3" s="1"/>
  <c r="CW116" i="3"/>
  <c r="Q194" i="4"/>
  <c r="R194" i="4" s="1"/>
  <c r="S194" i="4" s="1"/>
  <c r="AE194" i="4" s="1"/>
  <c r="AT118" i="3"/>
  <c r="AW118" i="3" s="1"/>
  <c r="CD117" i="3"/>
  <c r="CG117" i="3" s="1"/>
  <c r="CJ117" i="3" s="1"/>
  <c r="AS118" i="3"/>
  <c r="F22" i="5" l="1"/>
  <c r="AZ118" i="3"/>
  <c r="J11" i="3"/>
  <c r="CE117" i="3"/>
  <c r="AI115" i="3"/>
  <c r="Y115" i="3"/>
  <c r="T115" i="3"/>
  <c r="X194" i="4"/>
  <c r="AA194" i="4" s="1"/>
  <c r="F195" i="4" s="1"/>
  <c r="T194" i="4"/>
  <c r="W194" i="4"/>
  <c r="V194" i="4"/>
  <c r="AF194" i="4" s="1"/>
  <c r="F116" i="3"/>
  <c r="C11" i="3"/>
  <c r="AU118" i="3"/>
  <c r="I11" i="3" l="1"/>
  <c r="AG115" i="3"/>
  <c r="AG116" i="3" s="1"/>
  <c r="AG117" i="3" s="1"/>
  <c r="AG118" i="3" s="1"/>
  <c r="AG119" i="3" s="1"/>
  <c r="AG120" i="3" s="1"/>
  <c r="AG121" i="3" s="1"/>
  <c r="AG122" i="3" s="1"/>
  <c r="AG123" i="3" s="1"/>
  <c r="AG124" i="3" s="1"/>
  <c r="AG125" i="3" s="1"/>
  <c r="AG126" i="3" s="1"/>
  <c r="Z115" i="3"/>
  <c r="AB115" i="3"/>
  <c r="AC115" i="3" s="1"/>
  <c r="U115" i="3"/>
  <c r="AH115" i="3" s="1"/>
  <c r="CX117" i="3"/>
  <c r="CF117" i="3"/>
  <c r="J195" i="4"/>
  <c r="K195" i="4" s="1"/>
  <c r="BN118" i="3"/>
  <c r="AV118" i="3"/>
  <c r="AI194" i="4"/>
  <c r="Z194" i="4"/>
  <c r="E195" i="4" s="1"/>
  <c r="G195" i="4" s="1"/>
  <c r="I195" i="4" s="1"/>
  <c r="AB194" i="4"/>
  <c r="AC194" i="4" s="1"/>
  <c r="U194" i="4"/>
  <c r="AH194" i="4" s="1"/>
  <c r="CH117" i="3" l="1"/>
  <c r="CI117" i="3"/>
  <c r="B22" i="5"/>
  <c r="E116" i="3"/>
  <c r="G116" i="3" s="1"/>
  <c r="B11" i="3"/>
  <c r="D11" i="3" s="1"/>
  <c r="AX118" i="3"/>
  <c r="AY118" i="3"/>
  <c r="L195" i="4"/>
  <c r="AD195" i="4"/>
  <c r="M195" i="4"/>
  <c r="P195" i="4"/>
  <c r="Q195" i="4" s="1"/>
  <c r="R195" i="4" s="1"/>
  <c r="BA118" i="3" l="1"/>
  <c r="BB118" i="3" s="1"/>
  <c r="X195" i="4"/>
  <c r="AA195" i="4" s="1"/>
  <c r="F196" i="4" s="1"/>
  <c r="CK117" i="3"/>
  <c r="CL117" i="3" s="1"/>
  <c r="H116" i="3"/>
  <c r="I116" i="3" s="1"/>
  <c r="S195" i="4"/>
  <c r="AE195" i="4" s="1"/>
  <c r="V195" i="4"/>
  <c r="AF195" i="4" s="1"/>
  <c r="W195" i="4"/>
  <c r="AI195" i="4" l="1"/>
  <c r="Z195" i="4"/>
  <c r="E196" i="4" s="1"/>
  <c r="G196" i="4" s="1"/>
  <c r="I196" i="4" s="1"/>
  <c r="CR117" i="3"/>
  <c r="CU117" i="3" s="1"/>
  <c r="BZ118" i="3" s="1"/>
  <c r="CQ117" i="3"/>
  <c r="CP117" i="3"/>
  <c r="CZ117" i="3" s="1"/>
  <c r="CM117" i="3"/>
  <c r="T195" i="4"/>
  <c r="J116" i="3"/>
  <c r="M116" i="3" s="1"/>
  <c r="P116" i="3" s="1"/>
  <c r="J196" i="4"/>
  <c r="K196" i="4" s="1"/>
  <c r="BH118" i="3"/>
  <c r="BK118" i="3" s="1"/>
  <c r="AP119" i="3" s="1"/>
  <c r="BG118" i="3"/>
  <c r="BF118" i="3"/>
  <c r="BP118" i="3" s="1"/>
  <c r="BC118" i="3"/>
  <c r="K116" i="3" l="1"/>
  <c r="AD116" i="3"/>
  <c r="L116" i="3"/>
  <c r="CY117" i="3"/>
  <c r="AB195" i="4"/>
  <c r="AC195" i="4" s="1"/>
  <c r="U195" i="4"/>
  <c r="AH195" i="4" s="1"/>
  <c r="BS118" i="3"/>
  <c r="BJ118" i="3"/>
  <c r="AO119" i="3" s="1"/>
  <c r="AQ119" i="3" s="1"/>
  <c r="CN117" i="3"/>
  <c r="L196" i="4"/>
  <c r="AD196" i="4"/>
  <c r="BO118" i="3"/>
  <c r="DC117" i="3"/>
  <c r="CT117" i="3"/>
  <c r="BY118" i="3" s="1"/>
  <c r="CA118" i="3" s="1"/>
  <c r="BD118" i="3"/>
  <c r="M196" i="4"/>
  <c r="P196" i="4" s="1"/>
  <c r="Q196" i="4" l="1"/>
  <c r="R196" i="4" s="1"/>
  <c r="CB118" i="3"/>
  <c r="CC118" i="3" s="1"/>
  <c r="CV117" i="3"/>
  <c r="CO117" i="3"/>
  <c r="DB117" i="3" s="1"/>
  <c r="BL118" i="3"/>
  <c r="BE118" i="3"/>
  <c r="BR118" i="3" s="1"/>
  <c r="N116" i="3"/>
  <c r="O116" i="3"/>
  <c r="AR119" i="3"/>
  <c r="Q116" i="3" l="1"/>
  <c r="R116" i="3" s="1"/>
  <c r="BM118" i="3"/>
  <c r="AT119" i="3"/>
  <c r="AW119" i="3" s="1"/>
  <c r="AU119" i="3"/>
  <c r="CW117" i="3"/>
  <c r="CD118" i="3"/>
  <c r="CG118" i="3" s="1"/>
  <c r="CJ118" i="3" s="1"/>
  <c r="X196" i="4"/>
  <c r="AA196" i="4" s="1"/>
  <c r="F197" i="4" s="1"/>
  <c r="V196" i="4"/>
  <c r="AF196" i="4" s="1"/>
  <c r="W196" i="4"/>
  <c r="AS119" i="3"/>
  <c r="S196" i="4"/>
  <c r="AE196" i="4" s="1"/>
  <c r="CE118" i="3" l="1"/>
  <c r="CF118" i="3" s="1"/>
  <c r="BN119" i="3"/>
  <c r="AZ119" i="3"/>
  <c r="J197" i="4"/>
  <c r="K197" i="4" s="1"/>
  <c r="AV119" i="3"/>
  <c r="T196" i="4"/>
  <c r="X116" i="3"/>
  <c r="AA116" i="3" s="1"/>
  <c r="F117" i="3" s="1"/>
  <c r="V116" i="3"/>
  <c r="AF116" i="3" s="1"/>
  <c r="W116" i="3"/>
  <c r="S116" i="3"/>
  <c r="T116" i="3" s="1"/>
  <c r="CH118" i="3"/>
  <c r="CI118" i="3"/>
  <c r="AI196" i="4"/>
  <c r="Z196" i="4"/>
  <c r="E197" i="4" s="1"/>
  <c r="G197" i="4" s="1"/>
  <c r="I197" i="4" s="1"/>
  <c r="CX118" i="3"/>
  <c r="AB196" i="4" l="1"/>
  <c r="AC196" i="4" s="1"/>
  <c r="U196" i="4"/>
  <c r="AH196" i="4" s="1"/>
  <c r="L197" i="4"/>
  <c r="AD197" i="4"/>
  <c r="CK118" i="3"/>
  <c r="CL118" i="3" s="1"/>
  <c r="AB116" i="3"/>
  <c r="U116" i="3"/>
  <c r="AH116" i="3" s="1"/>
  <c r="AI116" i="3"/>
  <c r="Z116" i="3"/>
  <c r="E117" i="3" s="1"/>
  <c r="G117" i="3" s="1"/>
  <c r="AY119" i="3"/>
  <c r="AX119" i="3"/>
  <c r="M197" i="4"/>
  <c r="P197" i="4" s="1"/>
  <c r="Q197" i="4" s="1"/>
  <c r="R197" i="4" s="1"/>
  <c r="AE116" i="3"/>
  <c r="X197" i="4" l="1"/>
  <c r="AA197" i="4" s="1"/>
  <c r="F198" i="4" s="1"/>
  <c r="W197" i="4"/>
  <c r="V197" i="4"/>
  <c r="AF197" i="4" s="1"/>
  <c r="AC116" i="3"/>
  <c r="BA119" i="3"/>
  <c r="BB119" i="3" s="1"/>
  <c r="S197" i="4"/>
  <c r="AE197" i="4" s="1"/>
  <c r="CR118" i="3"/>
  <c r="CU118" i="3" s="1"/>
  <c r="BZ119" i="3" s="1"/>
  <c r="CQ118" i="3"/>
  <c r="CP118" i="3"/>
  <c r="CZ118" i="3" s="1"/>
  <c r="CM118" i="3"/>
  <c r="CN118" i="3" s="1"/>
  <c r="H117" i="3"/>
  <c r="I117" i="3" s="1"/>
  <c r="BH119" i="3" l="1"/>
  <c r="BK119" i="3" s="1"/>
  <c r="AP120" i="3" s="1"/>
  <c r="BG119" i="3"/>
  <c r="BF119" i="3"/>
  <c r="BP119" i="3" s="1"/>
  <c r="BC119" i="3"/>
  <c r="BD119" i="3" s="1"/>
  <c r="AI197" i="4"/>
  <c r="Z197" i="4"/>
  <c r="E198" i="4" s="1"/>
  <c r="G198" i="4" s="1"/>
  <c r="I198" i="4" s="1"/>
  <c r="T197" i="4"/>
  <c r="DC118" i="3"/>
  <c r="CT118" i="3"/>
  <c r="BY119" i="3" s="1"/>
  <c r="CA119" i="3" s="1"/>
  <c r="CV118" i="3"/>
  <c r="CO118" i="3"/>
  <c r="DB118" i="3" s="1"/>
  <c r="J117" i="3"/>
  <c r="M117" i="3" s="1"/>
  <c r="P117" i="3" s="1"/>
  <c r="CY118" i="3"/>
  <c r="J198" i="4"/>
  <c r="K198" i="4" s="1"/>
  <c r="BL119" i="3" l="1"/>
  <c r="BE119" i="3"/>
  <c r="BR119" i="3" s="1"/>
  <c r="AB197" i="4"/>
  <c r="AC197" i="4" s="1"/>
  <c r="U197" i="4"/>
  <c r="AH197" i="4" s="1"/>
  <c r="CW118" i="3"/>
  <c r="L198" i="4"/>
  <c r="AD198" i="4"/>
  <c r="M198" i="4"/>
  <c r="BO119" i="3"/>
  <c r="CB119" i="3"/>
  <c r="P198" i="4"/>
  <c r="BS119" i="3"/>
  <c r="BJ119" i="3"/>
  <c r="AO120" i="3" s="1"/>
  <c r="AQ120" i="3" s="1"/>
  <c r="K117" i="3"/>
  <c r="CD119" i="3" l="1"/>
  <c r="CG119" i="3" s="1"/>
  <c r="CE119" i="3"/>
  <c r="AR120" i="3"/>
  <c r="Q198" i="4"/>
  <c r="R198" i="4" s="1"/>
  <c r="CC119" i="3"/>
  <c r="AD117" i="3"/>
  <c r="L117" i="3"/>
  <c r="BM119" i="3"/>
  <c r="N117" i="3" l="1"/>
  <c r="O117" i="3"/>
  <c r="X198" i="4"/>
  <c r="AA198" i="4" s="1"/>
  <c r="F199" i="4" s="1"/>
  <c r="W198" i="4"/>
  <c r="V198" i="4"/>
  <c r="AF198" i="4" s="1"/>
  <c r="CJ119" i="3"/>
  <c r="AT120" i="3"/>
  <c r="AW120" i="3" s="1"/>
  <c r="AS120" i="3"/>
  <c r="CX119" i="3"/>
  <c r="CF119" i="3"/>
  <c r="S198" i="4"/>
  <c r="AE198" i="4" s="1"/>
  <c r="Z198" i="4" l="1"/>
  <c r="E199" i="4" s="1"/>
  <c r="G199" i="4" s="1"/>
  <c r="I199" i="4" s="1"/>
  <c r="AI198" i="4"/>
  <c r="CI119" i="3"/>
  <c r="CH119" i="3"/>
  <c r="AU120" i="3"/>
  <c r="T198" i="4"/>
  <c r="AZ120" i="3"/>
  <c r="Q117" i="3"/>
  <c r="R117" i="3" s="1"/>
  <c r="J199" i="4"/>
  <c r="K199" i="4" s="1"/>
  <c r="AB198" i="4" l="1"/>
  <c r="AC198" i="4" s="1"/>
  <c r="U198" i="4"/>
  <c r="AH198" i="4" s="1"/>
  <c r="BN120" i="3"/>
  <c r="AV120" i="3"/>
  <c r="CK119" i="3"/>
  <c r="CL119" i="3" s="1"/>
  <c r="L199" i="4"/>
  <c r="AD199" i="4"/>
  <c r="M199" i="4"/>
  <c r="P199" i="4" s="1"/>
  <c r="X117" i="3"/>
  <c r="AA117" i="3" s="1"/>
  <c r="F118" i="3" s="1"/>
  <c r="W117" i="3"/>
  <c r="V117" i="3"/>
  <c r="AF117" i="3" s="1"/>
  <c r="S117" i="3"/>
  <c r="T117" i="3" s="1"/>
  <c r="Q199" i="4" l="1"/>
  <c r="R199" i="4" s="1"/>
  <c r="AB117" i="3"/>
  <c r="U117" i="3"/>
  <c r="AH117" i="3" s="1"/>
  <c r="CR119" i="3"/>
  <c r="CU119" i="3" s="1"/>
  <c r="BZ120" i="3" s="1"/>
  <c r="CQ119" i="3"/>
  <c r="CP119" i="3"/>
  <c r="CZ119" i="3" s="1"/>
  <c r="CM119" i="3"/>
  <c r="AX120" i="3"/>
  <c r="AY120" i="3"/>
  <c r="AE117" i="3"/>
  <c r="Z117" i="3"/>
  <c r="E118" i="3" s="1"/>
  <c r="G118" i="3" s="1"/>
  <c r="AI117" i="3"/>
  <c r="CY119" i="3" l="1"/>
  <c r="CT119" i="3"/>
  <c r="BY120" i="3" s="1"/>
  <c r="CA120" i="3" s="1"/>
  <c r="DC119" i="3"/>
  <c r="H118" i="3"/>
  <c r="AC117" i="3"/>
  <c r="CN119" i="3"/>
  <c r="X199" i="4"/>
  <c r="AA199" i="4" s="1"/>
  <c r="V199" i="4"/>
  <c r="AF199" i="4" s="1"/>
  <c r="W199" i="4"/>
  <c r="BA120" i="3"/>
  <c r="BB120" i="3" s="1"/>
  <c r="S199" i="4"/>
  <c r="AE199" i="4" s="1"/>
  <c r="T199" i="4" l="1"/>
  <c r="F200" i="4"/>
  <c r="C18" i="4"/>
  <c r="J118" i="3"/>
  <c r="M118" i="3" s="1"/>
  <c r="AB199" i="4"/>
  <c r="AC199" i="4" s="1"/>
  <c r="U199" i="4"/>
  <c r="AH199" i="4" s="1"/>
  <c r="BH120" i="3"/>
  <c r="BK120" i="3" s="1"/>
  <c r="AP121" i="3" s="1"/>
  <c r="BF120" i="3"/>
  <c r="BP120" i="3" s="1"/>
  <c r="BG120" i="3"/>
  <c r="BC120" i="3"/>
  <c r="BO120" i="3" s="1"/>
  <c r="J18" i="4"/>
  <c r="CV119" i="3"/>
  <c r="CO119" i="3"/>
  <c r="DB119" i="3" s="1"/>
  <c r="I118" i="3"/>
  <c r="I29" i="5"/>
  <c r="CB120" i="3"/>
  <c r="Y199" i="4"/>
  <c r="AI199" i="4"/>
  <c r="Z199" i="4"/>
  <c r="CW119" i="3" l="1"/>
  <c r="BS120" i="3"/>
  <c r="BJ120" i="3"/>
  <c r="AO121" i="3" s="1"/>
  <c r="AQ121" i="3" s="1"/>
  <c r="E29" i="5"/>
  <c r="E200" i="4"/>
  <c r="G200" i="4" s="1"/>
  <c r="I200" i="4" s="1"/>
  <c r="B18" i="4"/>
  <c r="D18" i="4" s="1"/>
  <c r="I18" i="4"/>
  <c r="AG199" i="4"/>
  <c r="AG200" i="4" s="1"/>
  <c r="AG201" i="4" s="1"/>
  <c r="AG202" i="4" s="1"/>
  <c r="AG203" i="4" s="1"/>
  <c r="AG204" i="4" s="1"/>
  <c r="AG205" i="4" s="1"/>
  <c r="AG206" i="4" s="1"/>
  <c r="AG207" i="4" s="1"/>
  <c r="AG208" i="4" s="1"/>
  <c r="AG209" i="4" s="1"/>
  <c r="AG210" i="4" s="1"/>
  <c r="K118" i="3"/>
  <c r="BD120" i="3"/>
  <c r="CD120" i="3"/>
  <c r="CG120" i="3" s="1"/>
  <c r="CE120" i="3"/>
  <c r="CF120" i="3" s="1"/>
  <c r="CC120" i="3"/>
  <c r="P118" i="3"/>
  <c r="J200" i="4"/>
  <c r="K200" i="4" s="1"/>
  <c r="BL120" i="3" l="1"/>
  <c r="BM120" i="3" s="1"/>
  <c r="BE120" i="3"/>
  <c r="BR120" i="3" s="1"/>
  <c r="AD118" i="3"/>
  <c r="L118" i="3"/>
  <c r="CJ120" i="3"/>
  <c r="AR121" i="3"/>
  <c r="AS121" i="3" s="1"/>
  <c r="CX120" i="3"/>
  <c r="L200" i="4"/>
  <c r="AD200" i="4"/>
  <c r="M200" i="4"/>
  <c r="P200" i="4" s="1"/>
  <c r="CH120" i="3"/>
  <c r="CI120" i="3"/>
  <c r="Q200" i="4" l="1"/>
  <c r="R200" i="4" s="1"/>
  <c r="AT121" i="3"/>
  <c r="AW121" i="3" s="1"/>
  <c r="AZ121" i="3" s="1"/>
  <c r="CK120" i="3"/>
  <c r="CL120" i="3" s="1"/>
  <c r="N118" i="3"/>
  <c r="O118" i="3"/>
  <c r="CR120" i="3" l="1"/>
  <c r="CU120" i="3" s="1"/>
  <c r="BZ121" i="3" s="1"/>
  <c r="CP120" i="3"/>
  <c r="CZ120" i="3" s="1"/>
  <c r="CQ120" i="3"/>
  <c r="AU121" i="3"/>
  <c r="CM120" i="3"/>
  <c r="X200" i="4"/>
  <c r="AA200" i="4" s="1"/>
  <c r="F201" i="4" s="1"/>
  <c r="W200" i="4"/>
  <c r="V200" i="4"/>
  <c r="AF200" i="4" s="1"/>
  <c r="Q118" i="3"/>
  <c r="R118" i="3" s="1"/>
  <c r="S200" i="4"/>
  <c r="T200" i="4" s="1"/>
  <c r="AB200" i="4" l="1"/>
  <c r="U200" i="4"/>
  <c r="AH200" i="4" s="1"/>
  <c r="X118" i="3"/>
  <c r="AA118" i="3" s="1"/>
  <c r="F119" i="3" s="1"/>
  <c r="V118" i="3"/>
  <c r="AF118" i="3" s="1"/>
  <c r="W118" i="3"/>
  <c r="S118" i="3"/>
  <c r="AI200" i="4"/>
  <c r="Z200" i="4"/>
  <c r="E201" i="4" s="1"/>
  <c r="G201" i="4" s="1"/>
  <c r="I201" i="4" s="1"/>
  <c r="CY120" i="3"/>
  <c r="AE200" i="4"/>
  <c r="J201" i="4"/>
  <c r="K201" i="4" s="1"/>
  <c r="BN121" i="3"/>
  <c r="AV121" i="3"/>
  <c r="DC120" i="3"/>
  <c r="CT120" i="3"/>
  <c r="BY121" i="3" s="1"/>
  <c r="CA121" i="3" s="1"/>
  <c r="CN120" i="3"/>
  <c r="CV120" i="3" l="1"/>
  <c r="CW120" i="3" s="1"/>
  <c r="CO120" i="3"/>
  <c r="DB120" i="3" s="1"/>
  <c r="M201" i="4"/>
  <c r="P201" i="4"/>
  <c r="Q201" i="4"/>
  <c r="R201" i="4" s="1"/>
  <c r="L201" i="4"/>
  <c r="AD201" i="4"/>
  <c r="AE118" i="3"/>
  <c r="AI118" i="3"/>
  <c r="Z118" i="3"/>
  <c r="E119" i="3" s="1"/>
  <c r="G119" i="3" s="1"/>
  <c r="CB121" i="3"/>
  <c r="CC121" i="3" s="1"/>
  <c r="T118" i="3"/>
  <c r="AX121" i="3"/>
  <c r="AY121" i="3"/>
  <c r="AC200" i="4"/>
  <c r="X201" i="4" l="1"/>
  <c r="AA201" i="4" s="1"/>
  <c r="F202" i="4" s="1"/>
  <c r="AB118" i="3"/>
  <c r="U118" i="3"/>
  <c r="AH118" i="3" s="1"/>
  <c r="BA121" i="3"/>
  <c r="BB121" i="3" s="1"/>
  <c r="S201" i="4"/>
  <c r="V201" i="4"/>
  <c r="AF201" i="4" s="1"/>
  <c r="W201" i="4"/>
  <c r="CD121" i="3"/>
  <c r="CG121" i="3" s="1"/>
  <c r="CJ121" i="3" s="1"/>
  <c r="H119" i="3"/>
  <c r="BH121" i="3" l="1"/>
  <c r="BK121" i="3" s="1"/>
  <c r="AP122" i="3" s="1"/>
  <c r="BF121" i="3"/>
  <c r="BP121" i="3" s="1"/>
  <c r="BG121" i="3"/>
  <c r="BC121" i="3"/>
  <c r="BO121" i="3" s="1"/>
  <c r="J202" i="4"/>
  <c r="K202" i="4" s="1"/>
  <c r="Z201" i="4"/>
  <c r="E202" i="4" s="1"/>
  <c r="G202" i="4" s="1"/>
  <c r="I202" i="4" s="1"/>
  <c r="AI201" i="4"/>
  <c r="AE201" i="4"/>
  <c r="AC118" i="3"/>
  <c r="T201" i="4"/>
  <c r="J119" i="3"/>
  <c r="M119" i="3" s="1"/>
  <c r="I119" i="3"/>
  <c r="CE121" i="3"/>
  <c r="L202" i="4" l="1"/>
  <c r="AD202" i="4"/>
  <c r="M202" i="4"/>
  <c r="P202" i="4" s="1"/>
  <c r="CX121" i="3"/>
  <c r="CF121" i="3"/>
  <c r="BS121" i="3"/>
  <c r="BJ121" i="3"/>
  <c r="AO122" i="3" s="1"/>
  <c r="AQ122" i="3" s="1"/>
  <c r="P119" i="3"/>
  <c r="BD121" i="3"/>
  <c r="K119" i="3"/>
  <c r="AB201" i="4"/>
  <c r="U201" i="4"/>
  <c r="AH201" i="4" s="1"/>
  <c r="Q202" i="4" l="1"/>
  <c r="R202" i="4" s="1"/>
  <c r="AR122" i="3"/>
  <c r="CH121" i="3"/>
  <c r="CI121" i="3"/>
  <c r="AC201" i="4"/>
  <c r="AD119" i="3"/>
  <c r="L119" i="3"/>
  <c r="BL121" i="3"/>
  <c r="BM121" i="3" s="1"/>
  <c r="BE121" i="3"/>
  <c r="BR121" i="3" s="1"/>
  <c r="N119" i="3" l="1"/>
  <c r="O119" i="3"/>
  <c r="AT122" i="3"/>
  <c r="AW122" i="3" s="1"/>
  <c r="AS122" i="3"/>
  <c r="CK121" i="3"/>
  <c r="CL121" i="3" s="1"/>
  <c r="X202" i="4"/>
  <c r="AA202" i="4" s="1"/>
  <c r="F203" i="4" s="1"/>
  <c r="W202" i="4"/>
  <c r="V202" i="4"/>
  <c r="AF202" i="4" s="1"/>
  <c r="S202" i="4"/>
  <c r="T202" i="4" s="1"/>
  <c r="AI202" i="4" l="1"/>
  <c r="Z202" i="4"/>
  <c r="E203" i="4" s="1"/>
  <c r="G203" i="4" s="1"/>
  <c r="I203" i="4" s="1"/>
  <c r="J203" i="4"/>
  <c r="K203" i="4" s="1"/>
  <c r="AB202" i="4"/>
  <c r="U202" i="4"/>
  <c r="AH202" i="4" s="1"/>
  <c r="CR121" i="3"/>
  <c r="CU121" i="3" s="1"/>
  <c r="BZ122" i="3" s="1"/>
  <c r="CP121" i="3"/>
  <c r="CZ121" i="3" s="1"/>
  <c r="CQ121" i="3"/>
  <c r="CM121" i="3"/>
  <c r="CY121" i="3" s="1"/>
  <c r="AZ122" i="3"/>
  <c r="AU122" i="3"/>
  <c r="AE202" i="4"/>
  <c r="Q119" i="3"/>
  <c r="R119" i="3" s="1"/>
  <c r="BN122" i="3" l="1"/>
  <c r="AV122" i="3"/>
  <c r="CT121" i="3"/>
  <c r="BY122" i="3" s="1"/>
  <c r="CA122" i="3" s="1"/>
  <c r="DC121" i="3"/>
  <c r="L203" i="4"/>
  <c r="AD203" i="4"/>
  <c r="CN121" i="3"/>
  <c r="AC202" i="4"/>
  <c r="X119" i="3"/>
  <c r="AA119" i="3" s="1"/>
  <c r="F120" i="3" s="1"/>
  <c r="W119" i="3"/>
  <c r="V119" i="3"/>
  <c r="AF119" i="3" s="1"/>
  <c r="S119" i="3"/>
  <c r="T119" i="3" s="1"/>
  <c r="M203" i="4"/>
  <c r="P203" i="4" s="1"/>
  <c r="Q203" i="4" s="1"/>
  <c r="R203" i="4" s="1"/>
  <c r="V203" i="4" s="1"/>
  <c r="AF203" i="4" s="1"/>
  <c r="AB119" i="3" l="1"/>
  <c r="U119" i="3"/>
  <c r="AH119" i="3" s="1"/>
  <c r="X203" i="4"/>
  <c r="AA203" i="4" s="1"/>
  <c r="F204" i="4" s="1"/>
  <c r="AE119" i="3"/>
  <c r="Z119" i="3"/>
  <c r="E120" i="3" s="1"/>
  <c r="G120" i="3" s="1"/>
  <c r="AI119" i="3"/>
  <c r="CB122" i="3"/>
  <c r="AY122" i="3"/>
  <c r="AX122" i="3"/>
  <c r="S203" i="4"/>
  <c r="T203" i="4" s="1"/>
  <c r="W203" i="4"/>
  <c r="CV121" i="3"/>
  <c r="CW121" i="3" s="1"/>
  <c r="CO121" i="3"/>
  <c r="DB121" i="3" s="1"/>
  <c r="H120" i="3" l="1"/>
  <c r="CD122" i="3"/>
  <c r="CG122" i="3" s="1"/>
  <c r="CC122" i="3"/>
  <c r="J204" i="4"/>
  <c r="K204" i="4" s="1"/>
  <c r="AB203" i="4"/>
  <c r="U203" i="4"/>
  <c r="AH203" i="4" s="1"/>
  <c r="AI203" i="4"/>
  <c r="Z203" i="4"/>
  <c r="E204" i="4" s="1"/>
  <c r="G204" i="4" s="1"/>
  <c r="I204" i="4" s="1"/>
  <c r="AE203" i="4"/>
  <c r="BA122" i="3"/>
  <c r="BB122" i="3" s="1"/>
  <c r="AC119" i="3"/>
  <c r="AC203" i="4" l="1"/>
  <c r="CJ122" i="3"/>
  <c r="L204" i="4"/>
  <c r="AD204" i="4"/>
  <c r="M204" i="4"/>
  <c r="P204" i="4" s="1"/>
  <c r="BH122" i="3"/>
  <c r="BK122" i="3" s="1"/>
  <c r="AP123" i="3" s="1"/>
  <c r="BG122" i="3"/>
  <c r="BF122" i="3"/>
  <c r="BP122" i="3" s="1"/>
  <c r="BC122" i="3"/>
  <c r="BO122" i="3" s="1"/>
  <c r="CE122" i="3"/>
  <c r="J120" i="3"/>
  <c r="M120" i="3" s="1"/>
  <c r="I120" i="3"/>
  <c r="Q204" i="4" l="1"/>
  <c r="R204" i="4" s="1"/>
  <c r="BD122" i="3"/>
  <c r="CX122" i="3"/>
  <c r="CF122" i="3"/>
  <c r="BJ122" i="3"/>
  <c r="AO123" i="3" s="1"/>
  <c r="AQ123" i="3" s="1"/>
  <c r="BS122" i="3"/>
  <c r="P120" i="3"/>
  <c r="K120" i="3"/>
  <c r="AD120" i="3" l="1"/>
  <c r="L120" i="3"/>
  <c r="CH122" i="3"/>
  <c r="CI122" i="3"/>
  <c r="BL122" i="3"/>
  <c r="BM122" i="3" s="1"/>
  <c r="BE122" i="3"/>
  <c r="BR122" i="3" s="1"/>
  <c r="AR123" i="3"/>
  <c r="X204" i="4"/>
  <c r="AA204" i="4" s="1"/>
  <c r="F205" i="4" s="1"/>
  <c r="V204" i="4"/>
  <c r="AF204" i="4" s="1"/>
  <c r="W204" i="4"/>
  <c r="S204" i="4"/>
  <c r="AE204" i="4" s="1"/>
  <c r="J205" i="4" l="1"/>
  <c r="K205" i="4" s="1"/>
  <c r="CK122" i="3"/>
  <c r="CL122" i="3" s="1"/>
  <c r="AT123" i="3"/>
  <c r="AW123" i="3" s="1"/>
  <c r="AS123" i="3"/>
  <c r="N120" i="3"/>
  <c r="O120" i="3"/>
  <c r="AI204" i="4"/>
  <c r="Z204" i="4"/>
  <c r="E205" i="4" s="1"/>
  <c r="G205" i="4" s="1"/>
  <c r="I205" i="4" s="1"/>
  <c r="T204" i="4"/>
  <c r="Q120" i="3" l="1"/>
  <c r="R120" i="3" s="1"/>
  <c r="CR122" i="3"/>
  <c r="CU122" i="3" s="1"/>
  <c r="BZ123" i="3" s="1"/>
  <c r="CQ122" i="3"/>
  <c r="CP122" i="3"/>
  <c r="CZ122" i="3" s="1"/>
  <c r="CM122" i="3"/>
  <c r="CY122" i="3" s="1"/>
  <c r="M205" i="4"/>
  <c r="P205" i="4" s="1"/>
  <c r="AZ123" i="3"/>
  <c r="AU123" i="3"/>
  <c r="L205" i="4"/>
  <c r="AD205" i="4"/>
  <c r="AB204" i="4"/>
  <c r="AC204" i="4" s="1"/>
  <c r="U204" i="4"/>
  <c r="AH204" i="4" s="1"/>
  <c r="Q205" i="4" l="1"/>
  <c r="R205" i="4" s="1"/>
  <c r="CN122" i="3"/>
  <c r="X120" i="3"/>
  <c r="AA120" i="3" s="1"/>
  <c r="F121" i="3" s="1"/>
  <c r="W120" i="3"/>
  <c r="V120" i="3"/>
  <c r="AF120" i="3" s="1"/>
  <c r="S120" i="3"/>
  <c r="AE120" i="3" s="1"/>
  <c r="BN123" i="3"/>
  <c r="AV123" i="3"/>
  <c r="DC122" i="3"/>
  <c r="CT122" i="3"/>
  <c r="BY123" i="3" s="1"/>
  <c r="CA123" i="3" s="1"/>
  <c r="T120" i="3" l="1"/>
  <c r="AX123" i="3"/>
  <c r="AY123" i="3"/>
  <c r="AI120" i="3"/>
  <c r="Z120" i="3"/>
  <c r="E121" i="3" s="1"/>
  <c r="G121" i="3" s="1"/>
  <c r="CV122" i="3"/>
  <c r="CW122" i="3" s="1"/>
  <c r="CO122" i="3"/>
  <c r="DB122" i="3" s="1"/>
  <c r="X205" i="4"/>
  <c r="AA205" i="4" s="1"/>
  <c r="F206" i="4" s="1"/>
  <c r="W205" i="4"/>
  <c r="V205" i="4"/>
  <c r="AF205" i="4" s="1"/>
  <c r="CB123" i="3"/>
  <c r="S205" i="4"/>
  <c r="AE205" i="4" s="1"/>
  <c r="T205" i="4" l="1"/>
  <c r="AB205" i="4"/>
  <c r="AC205" i="4" s="1"/>
  <c r="U205" i="4"/>
  <c r="AH205" i="4" s="1"/>
  <c r="AI205" i="4"/>
  <c r="Z205" i="4"/>
  <c r="E206" i="4" s="1"/>
  <c r="G206" i="4" s="1"/>
  <c r="I206" i="4" s="1"/>
  <c r="H121" i="3"/>
  <c r="BA123" i="3"/>
  <c r="BB123" i="3" s="1"/>
  <c r="CD123" i="3"/>
  <c r="CG123" i="3" s="1"/>
  <c r="J206" i="4"/>
  <c r="K206" i="4" s="1"/>
  <c r="AB120" i="3"/>
  <c r="AC120" i="3" s="1"/>
  <c r="U120" i="3"/>
  <c r="AH120" i="3" s="1"/>
  <c r="CC123" i="3"/>
  <c r="BH123" i="3" l="1"/>
  <c r="BK123" i="3" s="1"/>
  <c r="AP124" i="3" s="1"/>
  <c r="BG123" i="3"/>
  <c r="BF123" i="3"/>
  <c r="BP123" i="3" s="1"/>
  <c r="BC123" i="3"/>
  <c r="BO123" i="3" s="1"/>
  <c r="L206" i="4"/>
  <c r="AD206" i="4"/>
  <c r="M206" i="4"/>
  <c r="CE123" i="3"/>
  <c r="P206" i="4"/>
  <c r="Q206" i="4"/>
  <c r="R206" i="4" s="1"/>
  <c r="V206" i="4" s="1"/>
  <c r="AF206" i="4" s="1"/>
  <c r="J121" i="3"/>
  <c r="M121" i="3" s="1"/>
  <c r="I121" i="3"/>
  <c r="CJ123" i="3"/>
  <c r="K121" i="3" l="1"/>
  <c r="AD121" i="3" s="1"/>
  <c r="L121" i="3"/>
  <c r="S206" i="4"/>
  <c r="AE206" i="4" s="1"/>
  <c r="W206" i="4"/>
  <c r="T206" i="4"/>
  <c r="X206" i="4"/>
  <c r="AA206" i="4" s="1"/>
  <c r="F207" i="4" s="1"/>
  <c r="CX123" i="3"/>
  <c r="CF123" i="3"/>
  <c r="BS123" i="3"/>
  <c r="BJ123" i="3"/>
  <c r="AO124" i="3" s="1"/>
  <c r="AQ124" i="3" s="1"/>
  <c r="P121" i="3"/>
  <c r="BD123" i="3"/>
  <c r="AR124" i="3" l="1"/>
  <c r="CH123" i="3"/>
  <c r="CI123" i="3"/>
  <c r="AB206" i="4"/>
  <c r="AC206" i="4" s="1"/>
  <c r="U206" i="4"/>
  <c r="AH206" i="4" s="1"/>
  <c r="J207" i="4"/>
  <c r="K207" i="4" s="1"/>
  <c r="AI206" i="4"/>
  <c r="Z206" i="4"/>
  <c r="E207" i="4" s="1"/>
  <c r="G207" i="4" s="1"/>
  <c r="I207" i="4" s="1"/>
  <c r="BL123" i="3"/>
  <c r="BM123" i="3" s="1"/>
  <c r="BE123" i="3"/>
  <c r="BR123" i="3" s="1"/>
  <c r="N121" i="3"/>
  <c r="O121" i="3"/>
  <c r="AT124" i="3" l="1"/>
  <c r="AW124" i="3" s="1"/>
  <c r="L207" i="4"/>
  <c r="AD207" i="4"/>
  <c r="M207" i="4"/>
  <c r="P207" i="4" s="1"/>
  <c r="CK123" i="3"/>
  <c r="CL123" i="3" s="1"/>
  <c r="Q121" i="3"/>
  <c r="R121" i="3" s="1"/>
  <c r="AS124" i="3"/>
  <c r="AU124" i="3" l="1"/>
  <c r="BN124" i="3" s="1"/>
  <c r="Q207" i="4"/>
  <c r="R207" i="4" s="1"/>
  <c r="CR123" i="3"/>
  <c r="CU123" i="3" s="1"/>
  <c r="BZ124" i="3" s="1"/>
  <c r="CQ123" i="3"/>
  <c r="CP123" i="3"/>
  <c r="CZ123" i="3" s="1"/>
  <c r="CM123" i="3"/>
  <c r="CY123" i="3" s="1"/>
  <c r="AV124" i="3"/>
  <c r="AZ124" i="3"/>
  <c r="X121" i="3"/>
  <c r="AA121" i="3" s="1"/>
  <c r="F122" i="3" s="1"/>
  <c r="W121" i="3"/>
  <c r="V121" i="3"/>
  <c r="AF121" i="3" s="1"/>
  <c r="S121" i="3"/>
  <c r="AE121" i="3" s="1"/>
  <c r="T121" i="3" l="1"/>
  <c r="AB121" i="3"/>
  <c r="AC121" i="3" s="1"/>
  <c r="U121" i="3"/>
  <c r="AH121" i="3" s="1"/>
  <c r="CN123" i="3"/>
  <c r="AI121" i="3"/>
  <c r="Z121" i="3"/>
  <c r="E122" i="3" s="1"/>
  <c r="G122" i="3" s="1"/>
  <c r="AX124" i="3"/>
  <c r="AY124" i="3"/>
  <c r="DC123" i="3"/>
  <c r="CT123" i="3"/>
  <c r="BY124" i="3" s="1"/>
  <c r="CA124" i="3" s="1"/>
  <c r="X207" i="4"/>
  <c r="AA207" i="4" s="1"/>
  <c r="F208" i="4" s="1"/>
  <c r="W207" i="4"/>
  <c r="V207" i="4"/>
  <c r="AF207" i="4" s="1"/>
  <c r="S207" i="4"/>
  <c r="AE207" i="4" s="1"/>
  <c r="T207" i="4" l="1"/>
  <c r="CB124" i="3"/>
  <c r="CC124" i="3" s="1"/>
  <c r="AI207" i="4"/>
  <c r="Z207" i="4"/>
  <c r="E208" i="4" s="1"/>
  <c r="G208" i="4" s="1"/>
  <c r="I208" i="4" s="1"/>
  <c r="AB207" i="4"/>
  <c r="AC207" i="4" s="1"/>
  <c r="U207" i="4"/>
  <c r="AH207" i="4" s="1"/>
  <c r="BA124" i="3"/>
  <c r="BB124" i="3" s="1"/>
  <c r="J208" i="4"/>
  <c r="K208" i="4" s="1"/>
  <c r="H122" i="3"/>
  <c r="CV123" i="3"/>
  <c r="CW123" i="3" s="1"/>
  <c r="CO123" i="3"/>
  <c r="DB123" i="3" s="1"/>
  <c r="J122" i="3" l="1"/>
  <c r="M122" i="3" s="1"/>
  <c r="I122" i="3"/>
  <c r="BH124" i="3"/>
  <c r="BK124" i="3" s="1"/>
  <c r="AP125" i="3" s="1"/>
  <c r="BF124" i="3"/>
  <c r="BP124" i="3" s="1"/>
  <c r="BG124" i="3"/>
  <c r="BC124" i="3"/>
  <c r="BO124" i="3" s="1"/>
  <c r="L208" i="4"/>
  <c r="AD208" i="4"/>
  <c r="M208" i="4"/>
  <c r="P208" i="4"/>
  <c r="Q208" i="4"/>
  <c r="R208" i="4" s="1"/>
  <c r="V208" i="4" s="1"/>
  <c r="AF208" i="4" s="1"/>
  <c r="CD124" i="3"/>
  <c r="CG124" i="3" s="1"/>
  <c r="CJ124" i="3" s="1"/>
  <c r="BD124" i="3" l="1"/>
  <c r="BJ124" i="3"/>
  <c r="AO125" i="3" s="1"/>
  <c r="AQ125" i="3" s="1"/>
  <c r="BS124" i="3"/>
  <c r="CE124" i="3"/>
  <c r="P122" i="3"/>
  <c r="X208" i="4"/>
  <c r="AA208" i="4" s="1"/>
  <c r="F209" i="4" s="1"/>
  <c r="K122" i="3"/>
  <c r="S208" i="4"/>
  <c r="AE208" i="4" s="1"/>
  <c r="W208" i="4"/>
  <c r="CX124" i="3" l="1"/>
  <c r="CF124" i="3"/>
  <c r="J209" i="4"/>
  <c r="K209" i="4" s="1"/>
  <c r="T208" i="4"/>
  <c r="AD122" i="3"/>
  <c r="L122" i="3"/>
  <c r="AR125" i="3"/>
  <c r="BL124" i="3"/>
  <c r="BM124" i="3" s="1"/>
  <c r="BE124" i="3"/>
  <c r="BR124" i="3" s="1"/>
  <c r="Z208" i="4"/>
  <c r="E209" i="4" s="1"/>
  <c r="G209" i="4" s="1"/>
  <c r="I209" i="4" s="1"/>
  <c r="AI208" i="4"/>
  <c r="N122" i="3" l="1"/>
  <c r="O122" i="3"/>
  <c r="AB208" i="4"/>
  <c r="AC208" i="4" s="1"/>
  <c r="U208" i="4"/>
  <c r="AH208" i="4" s="1"/>
  <c r="M209" i="4"/>
  <c r="P209" i="4"/>
  <c r="Q209" i="4"/>
  <c r="R209" i="4" s="1"/>
  <c r="AT125" i="3"/>
  <c r="AW125" i="3" s="1"/>
  <c r="AS125" i="3"/>
  <c r="L209" i="4"/>
  <c r="AD209" i="4"/>
  <c r="CI124" i="3"/>
  <c r="CH124" i="3"/>
  <c r="AZ125" i="3" l="1"/>
  <c r="X209" i="4"/>
  <c r="AA209" i="4" s="1"/>
  <c r="F210" i="4" s="1"/>
  <c r="AU125" i="3"/>
  <c r="W209" i="4"/>
  <c r="V209" i="4"/>
  <c r="AF209" i="4" s="1"/>
  <c r="Q122" i="3"/>
  <c r="R122" i="3" s="1"/>
  <c r="S209" i="4"/>
  <c r="AE209" i="4" s="1"/>
  <c r="CK124" i="3"/>
  <c r="CL124" i="3" s="1"/>
  <c r="CR124" i="3" l="1"/>
  <c r="CU124" i="3" s="1"/>
  <c r="BZ125" i="3" s="1"/>
  <c r="CQ124" i="3"/>
  <c r="CP124" i="3"/>
  <c r="CZ124" i="3" s="1"/>
  <c r="CM124" i="3"/>
  <c r="CY124" i="3" s="1"/>
  <c r="X122" i="3"/>
  <c r="AA122" i="3" s="1"/>
  <c r="F123" i="3" s="1"/>
  <c r="W122" i="3"/>
  <c r="V122" i="3"/>
  <c r="AF122" i="3" s="1"/>
  <c r="S122" i="3"/>
  <c r="AE122" i="3" s="1"/>
  <c r="BN125" i="3"/>
  <c r="AV125" i="3"/>
  <c r="T209" i="4"/>
  <c r="Z209" i="4"/>
  <c r="E210" i="4" s="1"/>
  <c r="G210" i="4" s="1"/>
  <c r="I210" i="4" s="1"/>
  <c r="AI209" i="4"/>
  <c r="J210" i="4"/>
  <c r="K210" i="4" s="1"/>
  <c r="AX125" i="3" l="1"/>
  <c r="AY125" i="3"/>
  <c r="AI122" i="3"/>
  <c r="Z122" i="3"/>
  <c r="E123" i="3" s="1"/>
  <c r="G123" i="3" s="1"/>
  <c r="T122" i="3"/>
  <c r="AB209" i="4"/>
  <c r="AC209" i="4" s="1"/>
  <c r="U209" i="4"/>
  <c r="AH209" i="4" s="1"/>
  <c r="L210" i="4"/>
  <c r="AD210" i="4"/>
  <c r="M210" i="4"/>
  <c r="P210" i="4" s="1"/>
  <c r="Q210" i="4" s="1"/>
  <c r="R210" i="4" s="1"/>
  <c r="W210" i="4" s="1"/>
  <c r="CN124" i="3"/>
  <c r="CT124" i="3"/>
  <c r="BY125" i="3" s="1"/>
  <c r="CA125" i="3" s="1"/>
  <c r="DC124" i="3"/>
  <c r="AI210" i="4" l="1"/>
  <c r="Z210" i="4"/>
  <c r="E211" i="4" s="1"/>
  <c r="G211" i="4" s="1"/>
  <c r="I211" i="4" s="1"/>
  <c r="S210" i="4"/>
  <c r="AE210" i="4" s="1"/>
  <c r="X210" i="4"/>
  <c r="AA210" i="4" s="1"/>
  <c r="F211" i="4" s="1"/>
  <c r="T210" i="4"/>
  <c r="AB122" i="3"/>
  <c r="AC122" i="3" s="1"/>
  <c r="U122" i="3"/>
  <c r="AH122" i="3" s="1"/>
  <c r="V210" i="4"/>
  <c r="AF210" i="4" s="1"/>
  <c r="CB125" i="3"/>
  <c r="H123" i="3"/>
  <c r="BA125" i="3"/>
  <c r="BB125" i="3" s="1"/>
  <c r="CV124" i="3"/>
  <c r="CW124" i="3" s="1"/>
  <c r="CO124" i="3"/>
  <c r="DB124" i="3" s="1"/>
  <c r="J123" i="3" l="1"/>
  <c r="M123" i="3" s="1"/>
  <c r="I123" i="3"/>
  <c r="AB210" i="4"/>
  <c r="AC210" i="4" s="1"/>
  <c r="U210" i="4"/>
  <c r="AH210" i="4" s="1"/>
  <c r="CD125" i="3"/>
  <c r="CG125" i="3" s="1"/>
  <c r="CE125" i="3"/>
  <c r="CX125" i="3" s="1"/>
  <c r="CC125" i="3"/>
  <c r="J211" i="4"/>
  <c r="K211" i="4" s="1"/>
  <c r="BH125" i="3"/>
  <c r="BK125" i="3" s="1"/>
  <c r="AP126" i="3" s="1"/>
  <c r="BG125" i="3"/>
  <c r="BF125" i="3"/>
  <c r="BP125" i="3" s="1"/>
  <c r="BC125" i="3"/>
  <c r="BO125" i="3" s="1"/>
  <c r="CJ125" i="3" l="1"/>
  <c r="BS125" i="3"/>
  <c r="BJ125" i="3"/>
  <c r="AO126" i="3" s="1"/>
  <c r="AQ126" i="3" s="1"/>
  <c r="L211" i="4"/>
  <c r="AD211" i="4"/>
  <c r="M211" i="4"/>
  <c r="P211" i="4" s="1"/>
  <c r="K123" i="3"/>
  <c r="BD125" i="3"/>
  <c r="CF125" i="3"/>
  <c r="P123" i="3"/>
  <c r="AR126" i="3" l="1"/>
  <c r="CH125" i="3"/>
  <c r="CI125" i="3"/>
  <c r="AD123" i="3"/>
  <c r="L123" i="3"/>
  <c r="BL125" i="3"/>
  <c r="BM125" i="3" s="1"/>
  <c r="BE125" i="3"/>
  <c r="BR125" i="3" s="1"/>
  <c r="Q211" i="4"/>
  <c r="R211" i="4" s="1"/>
  <c r="S211" i="4" s="1"/>
  <c r="AE211" i="4" s="1"/>
  <c r="I30" i="5" l="1"/>
  <c r="N123" i="3"/>
  <c r="O123" i="3"/>
  <c r="T211" i="4"/>
  <c r="X211" i="4"/>
  <c r="AA211" i="4" s="1"/>
  <c r="V211" i="4"/>
  <c r="AF211" i="4" s="1"/>
  <c r="W211" i="4"/>
  <c r="CK125" i="3"/>
  <c r="CL125" i="3" s="1"/>
  <c r="AT126" i="3"/>
  <c r="AW126" i="3" s="1"/>
  <c r="AS126" i="3"/>
  <c r="J19" i="4" l="1"/>
  <c r="F212" i="4"/>
  <c r="C19" i="4"/>
  <c r="AZ126" i="3"/>
  <c r="CR125" i="3"/>
  <c r="CU125" i="3" s="1"/>
  <c r="BZ126" i="3" s="1"/>
  <c r="CQ125" i="3"/>
  <c r="CP125" i="3"/>
  <c r="CZ125" i="3" s="1"/>
  <c r="CM125" i="3"/>
  <c r="CY125" i="3" s="1"/>
  <c r="AI211" i="4"/>
  <c r="Y211" i="4"/>
  <c r="AB211" i="4"/>
  <c r="AC211" i="4" s="1"/>
  <c r="U211" i="4"/>
  <c r="AH211" i="4" s="1"/>
  <c r="Q123" i="3"/>
  <c r="R123" i="3" s="1"/>
  <c r="AU126" i="3"/>
  <c r="I19" i="4" l="1"/>
  <c r="AG211" i="4"/>
  <c r="AG212" i="4" s="1"/>
  <c r="AG213" i="4" s="1"/>
  <c r="AG214" i="4" s="1"/>
  <c r="AG215" i="4" s="1"/>
  <c r="AG216" i="4" s="1"/>
  <c r="AG217" i="4" s="1"/>
  <c r="AG218" i="4" s="1"/>
  <c r="AG219" i="4" s="1"/>
  <c r="AG220" i="4" s="1"/>
  <c r="AG221" i="4" s="1"/>
  <c r="AG222" i="4" s="1"/>
  <c r="DC125" i="3"/>
  <c r="CT125" i="3"/>
  <c r="BY126" i="3" s="1"/>
  <c r="CA126" i="3" s="1"/>
  <c r="Z211" i="4"/>
  <c r="CN125" i="3"/>
  <c r="BN126" i="3"/>
  <c r="AV126" i="3"/>
  <c r="X123" i="3"/>
  <c r="AA123" i="3" s="1"/>
  <c r="F124" i="3" s="1"/>
  <c r="W123" i="3"/>
  <c r="V123" i="3"/>
  <c r="AF123" i="3" s="1"/>
  <c r="S123" i="3"/>
  <c r="AE123" i="3" s="1"/>
  <c r="J212" i="4"/>
  <c r="K212" i="4" s="1"/>
  <c r="T123" i="3" l="1"/>
  <c r="AI123" i="3"/>
  <c r="Z123" i="3"/>
  <c r="E124" i="3" s="1"/>
  <c r="G124" i="3" s="1"/>
  <c r="AB123" i="3"/>
  <c r="AC123" i="3" s="1"/>
  <c r="U123" i="3"/>
  <c r="AH123" i="3" s="1"/>
  <c r="AX126" i="3"/>
  <c r="AY126" i="3"/>
  <c r="CV125" i="3"/>
  <c r="CW125" i="3" s="1"/>
  <c r="CO125" i="3"/>
  <c r="DB125" i="3" s="1"/>
  <c r="E30" i="5"/>
  <c r="E212" i="4"/>
  <c r="G212" i="4" s="1"/>
  <c r="I212" i="4" s="1"/>
  <c r="B19" i="4"/>
  <c r="D19" i="4" s="1"/>
  <c r="CB126" i="3"/>
  <c r="L212" i="4"/>
  <c r="AD212" i="4"/>
  <c r="M212" i="4"/>
  <c r="CD126" i="3" l="1"/>
  <c r="CG126" i="3" s="1"/>
  <c r="CC126" i="3"/>
  <c r="P212" i="4"/>
  <c r="Q212" i="4"/>
  <c r="R212" i="4" s="1"/>
  <c r="W212" i="4" s="1"/>
  <c r="BA126" i="3"/>
  <c r="BB126" i="3" s="1"/>
  <c r="H124" i="3"/>
  <c r="AI212" i="4" l="1"/>
  <c r="Z212" i="4"/>
  <c r="E213" i="4" s="1"/>
  <c r="G213" i="4" s="1"/>
  <c r="I213" i="4" s="1"/>
  <c r="BH126" i="3"/>
  <c r="BK126" i="3" s="1"/>
  <c r="AP127" i="3" s="1"/>
  <c r="BG126" i="3"/>
  <c r="BF126" i="3"/>
  <c r="BP126" i="3" s="1"/>
  <c r="BC126" i="3"/>
  <c r="BO126" i="3" s="1"/>
  <c r="V212" i="4"/>
  <c r="AF212" i="4" s="1"/>
  <c r="J124" i="3"/>
  <c r="M124" i="3" s="1"/>
  <c r="X212" i="4"/>
  <c r="AA212" i="4" s="1"/>
  <c r="F213" i="4" s="1"/>
  <c r="S212" i="4"/>
  <c r="CJ126" i="3"/>
  <c r="CE126" i="3"/>
  <c r="I124" i="3"/>
  <c r="BS126" i="3" l="1"/>
  <c r="BJ126" i="3"/>
  <c r="AO127" i="3" s="1"/>
  <c r="AQ127" i="3" s="1"/>
  <c r="AE212" i="4"/>
  <c r="P124" i="3"/>
  <c r="J213" i="4"/>
  <c r="K213" i="4" s="1"/>
  <c r="T212" i="4"/>
  <c r="K124" i="3"/>
  <c r="BD126" i="3"/>
  <c r="CX126" i="3"/>
  <c r="CF126" i="3"/>
  <c r="L213" i="4" l="1"/>
  <c r="AD213" i="4"/>
  <c r="M213" i="4"/>
  <c r="P213" i="4" s="1"/>
  <c r="CH126" i="3"/>
  <c r="CI126" i="3"/>
  <c r="BL126" i="3"/>
  <c r="BM126" i="3" s="1"/>
  <c r="BE126" i="3"/>
  <c r="BR126" i="3" s="1"/>
  <c r="AR127" i="3"/>
  <c r="AD124" i="3"/>
  <c r="L124" i="3"/>
  <c r="AB212" i="4"/>
  <c r="U212" i="4"/>
  <c r="AH212" i="4" s="1"/>
  <c r="AT127" i="3" l="1"/>
  <c r="AW127" i="3" s="1"/>
  <c r="AU127" i="3"/>
  <c r="BN127" i="3" s="1"/>
  <c r="CK126" i="3"/>
  <c r="CL126" i="3" s="1"/>
  <c r="Q213" i="4"/>
  <c r="R213" i="4" s="1"/>
  <c r="AS127" i="3"/>
  <c r="N124" i="3"/>
  <c r="O124" i="3"/>
  <c r="AC212" i="4"/>
  <c r="X213" i="4" l="1"/>
  <c r="AA213" i="4" s="1"/>
  <c r="F214" i="4" s="1"/>
  <c r="W213" i="4"/>
  <c r="V213" i="4"/>
  <c r="AF213" i="4" s="1"/>
  <c r="AZ127" i="3"/>
  <c r="S213" i="4"/>
  <c r="T213" i="4" s="1"/>
  <c r="CR126" i="3"/>
  <c r="CU126" i="3" s="1"/>
  <c r="BZ127" i="3" s="1"/>
  <c r="CP126" i="3"/>
  <c r="CZ126" i="3" s="1"/>
  <c r="CQ126" i="3"/>
  <c r="CM126" i="3"/>
  <c r="CY126" i="3" s="1"/>
  <c r="Q124" i="3"/>
  <c r="R124" i="3" s="1"/>
  <c r="AV127" i="3"/>
  <c r="AB213" i="4" l="1"/>
  <c r="U213" i="4"/>
  <c r="AH213" i="4" s="1"/>
  <c r="CT126" i="3"/>
  <c r="BY127" i="3" s="1"/>
  <c r="CA127" i="3" s="1"/>
  <c r="DC126" i="3"/>
  <c r="CN126" i="3"/>
  <c r="AI213" i="4"/>
  <c r="Z213" i="4"/>
  <c r="E214" i="4" s="1"/>
  <c r="G214" i="4" s="1"/>
  <c r="I214" i="4" s="1"/>
  <c r="AE213" i="4"/>
  <c r="AX127" i="3"/>
  <c r="AY127" i="3"/>
  <c r="X124" i="3"/>
  <c r="AA124" i="3" s="1"/>
  <c r="F125" i="3" s="1"/>
  <c r="W124" i="3"/>
  <c r="V124" i="3"/>
  <c r="AF124" i="3" s="1"/>
  <c r="S124" i="3"/>
  <c r="AE124" i="3" s="1"/>
  <c r="J214" i="4"/>
  <c r="K214" i="4" s="1"/>
  <c r="M214" i="4" l="1"/>
  <c r="Z124" i="3"/>
  <c r="E125" i="3" s="1"/>
  <c r="G125" i="3" s="1"/>
  <c r="AI124" i="3"/>
  <c r="L214" i="4"/>
  <c r="AD214" i="4"/>
  <c r="CB127" i="3"/>
  <c r="P214" i="4"/>
  <c r="CV126" i="3"/>
  <c r="CW126" i="3" s="1"/>
  <c r="CO126" i="3"/>
  <c r="DB126" i="3" s="1"/>
  <c r="T124" i="3"/>
  <c r="BA127" i="3"/>
  <c r="BB127" i="3" s="1"/>
  <c r="AC213" i="4"/>
  <c r="Q214" i="4" l="1"/>
  <c r="R214" i="4" s="1"/>
  <c r="S214" i="4" s="1"/>
  <c r="CD127" i="3"/>
  <c r="CG127" i="3" s="1"/>
  <c r="CC127" i="3"/>
  <c r="BH127" i="3"/>
  <c r="BK127" i="3" s="1"/>
  <c r="BG127" i="3"/>
  <c r="BF127" i="3"/>
  <c r="BP127" i="3" s="1"/>
  <c r="BC127" i="3"/>
  <c r="BO127" i="3" s="1"/>
  <c r="H125" i="3"/>
  <c r="I125" i="3" s="1"/>
  <c r="AB124" i="3"/>
  <c r="AC124" i="3" s="1"/>
  <c r="U124" i="3"/>
  <c r="AH124" i="3" s="1"/>
  <c r="AE214" i="4" l="1"/>
  <c r="W12" i="3"/>
  <c r="BD127" i="3"/>
  <c r="AP128" i="3"/>
  <c r="P12" i="3"/>
  <c r="CJ127" i="3"/>
  <c r="CE127" i="3"/>
  <c r="J125" i="3"/>
  <c r="M125" i="3" s="1"/>
  <c r="P125" i="3" s="1"/>
  <c r="G23" i="5"/>
  <c r="BI127" i="3"/>
  <c r="BS127" i="3"/>
  <c r="T214" i="4"/>
  <c r="X214" i="4"/>
  <c r="AA214" i="4" s="1"/>
  <c r="F215" i="4" s="1"/>
  <c r="W214" i="4"/>
  <c r="V214" i="4"/>
  <c r="AF214" i="4" s="1"/>
  <c r="AI214" i="4" l="1"/>
  <c r="Z214" i="4"/>
  <c r="E215" i="4" s="1"/>
  <c r="G215" i="4" s="1"/>
  <c r="I215" i="4" s="1"/>
  <c r="BL127" i="3"/>
  <c r="BM127" i="3" s="1"/>
  <c r="BE127" i="3"/>
  <c r="BR127" i="3" s="1"/>
  <c r="CX127" i="3"/>
  <c r="CF127" i="3"/>
  <c r="J215" i="4"/>
  <c r="K215" i="4" s="1"/>
  <c r="AB214" i="4"/>
  <c r="U214" i="4"/>
  <c r="AH214" i="4" s="1"/>
  <c r="V12" i="3"/>
  <c r="BQ127" i="3"/>
  <c r="BQ128" i="3" s="1"/>
  <c r="BQ129" i="3" s="1"/>
  <c r="BQ130" i="3" s="1"/>
  <c r="BQ131" i="3" s="1"/>
  <c r="BQ132" i="3" s="1"/>
  <c r="BQ133" i="3" s="1"/>
  <c r="BQ134" i="3" s="1"/>
  <c r="BQ135" i="3" s="1"/>
  <c r="BQ136" i="3" s="1"/>
  <c r="BQ137" i="3" s="1"/>
  <c r="BQ138" i="3" s="1"/>
  <c r="BJ127" i="3"/>
  <c r="K125" i="3"/>
  <c r="M215" i="4" l="1"/>
  <c r="AC214" i="4"/>
  <c r="CI127" i="3"/>
  <c r="CH127" i="3"/>
  <c r="P215" i="4"/>
  <c r="Q215" i="4" s="1"/>
  <c r="R215" i="4" s="1"/>
  <c r="L215" i="4"/>
  <c r="AD215" i="4"/>
  <c r="AD125" i="3"/>
  <c r="L125" i="3"/>
  <c r="C23" i="5"/>
  <c r="AO128" i="3"/>
  <c r="AQ128" i="3" s="1"/>
  <c r="O12" i="3"/>
  <c r="Q12" i="3" s="1"/>
  <c r="X215" i="4" l="1"/>
  <c r="AA215" i="4" s="1"/>
  <c r="F216" i="4" s="1"/>
  <c r="W215" i="4"/>
  <c r="V215" i="4"/>
  <c r="AF215" i="4" s="1"/>
  <c r="S215" i="4"/>
  <c r="CK127" i="3"/>
  <c r="CL127" i="3" s="1"/>
  <c r="AR128" i="3"/>
  <c r="AS128" i="3" s="1"/>
  <c r="N125" i="3"/>
  <c r="O125" i="3"/>
  <c r="CR127" i="3" l="1"/>
  <c r="CU127" i="3" s="1"/>
  <c r="CP127" i="3"/>
  <c r="CZ127" i="3" s="1"/>
  <c r="CQ127" i="3"/>
  <c r="CM127" i="3"/>
  <c r="CY127" i="3" s="1"/>
  <c r="Q125" i="3"/>
  <c r="R125" i="3" s="1"/>
  <c r="AI215" i="4"/>
  <c r="Z215" i="4"/>
  <c r="E216" i="4" s="1"/>
  <c r="G216" i="4" s="1"/>
  <c r="I216" i="4" s="1"/>
  <c r="AT128" i="3"/>
  <c r="AW128" i="3" s="1"/>
  <c r="AZ128" i="3" s="1"/>
  <c r="AE215" i="4"/>
  <c r="J216" i="4"/>
  <c r="K216" i="4" s="1"/>
  <c r="T215" i="4"/>
  <c r="AU128" i="3" l="1"/>
  <c r="H23" i="5"/>
  <c r="X125" i="3"/>
  <c r="AA125" i="3" s="1"/>
  <c r="F126" i="3" s="1"/>
  <c r="W125" i="3"/>
  <c r="V125" i="3"/>
  <c r="AF125" i="3" s="1"/>
  <c r="S125" i="3"/>
  <c r="AE125" i="3" s="1"/>
  <c r="AJ12" i="3"/>
  <c r="CN127" i="3"/>
  <c r="M216" i="4"/>
  <c r="P216" i="4" s="1"/>
  <c r="CS127" i="3"/>
  <c r="DC127" i="3"/>
  <c r="AB215" i="4"/>
  <c r="U215" i="4"/>
  <c r="AH215" i="4" s="1"/>
  <c r="L216" i="4"/>
  <c r="AD216" i="4"/>
  <c r="BZ128" i="3"/>
  <c r="AC12" i="3"/>
  <c r="CV127" i="3" l="1"/>
  <c r="CW127" i="3" s="1"/>
  <c r="CO127" i="3"/>
  <c r="DB127" i="3" s="1"/>
  <c r="Z125" i="3"/>
  <c r="E126" i="3" s="1"/>
  <c r="G126" i="3" s="1"/>
  <c r="AI125" i="3"/>
  <c r="T125" i="3"/>
  <c r="BN128" i="3"/>
  <c r="AV128" i="3"/>
  <c r="AC215" i="4"/>
  <c r="AI12" i="3"/>
  <c r="DA127" i="3"/>
  <c r="DA128" i="3" s="1"/>
  <c r="DA129" i="3" s="1"/>
  <c r="DA130" i="3" s="1"/>
  <c r="DA131" i="3" s="1"/>
  <c r="DA132" i="3" s="1"/>
  <c r="DA133" i="3" s="1"/>
  <c r="DA134" i="3" s="1"/>
  <c r="DA135" i="3" s="1"/>
  <c r="DA136" i="3" s="1"/>
  <c r="DA137" i="3" s="1"/>
  <c r="DA138" i="3" s="1"/>
  <c r="CT127" i="3"/>
  <c r="Q216" i="4"/>
  <c r="R216" i="4" s="1"/>
  <c r="S216" i="4" s="1"/>
  <c r="AE216" i="4" s="1"/>
  <c r="AB125" i="3" l="1"/>
  <c r="AC125" i="3" s="1"/>
  <c r="U125" i="3"/>
  <c r="AH125" i="3" s="1"/>
  <c r="H126" i="3"/>
  <c r="X216" i="4"/>
  <c r="AA216" i="4" s="1"/>
  <c r="F217" i="4" s="1"/>
  <c r="T216" i="4"/>
  <c r="W216" i="4"/>
  <c r="V216" i="4"/>
  <c r="AF216" i="4" s="1"/>
  <c r="D23" i="5"/>
  <c r="BY128" i="3"/>
  <c r="CA128" i="3" s="1"/>
  <c r="AB12" i="3"/>
  <c r="AD12" i="3" s="1"/>
  <c r="AY128" i="3"/>
  <c r="AX128" i="3"/>
  <c r="AB216" i="4" l="1"/>
  <c r="U216" i="4"/>
  <c r="AH216" i="4" s="1"/>
  <c r="BA128" i="3"/>
  <c r="BB128" i="3" s="1"/>
  <c r="J217" i="4"/>
  <c r="K217" i="4" s="1"/>
  <c r="CB128" i="3"/>
  <c r="J126" i="3"/>
  <c r="M126" i="3" s="1"/>
  <c r="I126" i="3"/>
  <c r="AI216" i="4"/>
  <c r="Z216" i="4"/>
  <c r="E217" i="4" s="1"/>
  <c r="G217" i="4" s="1"/>
  <c r="I217" i="4" s="1"/>
  <c r="K126" i="3" l="1"/>
  <c r="P126" i="3"/>
  <c r="CD128" i="3"/>
  <c r="CG128" i="3" s="1"/>
  <c r="CE128" i="3"/>
  <c r="CC128" i="3"/>
  <c r="M217" i="4"/>
  <c r="P217" i="4" s="1"/>
  <c r="L217" i="4"/>
  <c r="AD217" i="4"/>
  <c r="BH128" i="3"/>
  <c r="BK128" i="3" s="1"/>
  <c r="AP129" i="3" s="1"/>
  <c r="BG128" i="3"/>
  <c r="BF128" i="3"/>
  <c r="BP128" i="3" s="1"/>
  <c r="BC128" i="3"/>
  <c r="BD128" i="3" s="1"/>
  <c r="AC216" i="4"/>
  <c r="Q217" i="4" l="1"/>
  <c r="R217" i="4" s="1"/>
  <c r="BS128" i="3"/>
  <c r="BJ128" i="3"/>
  <c r="AO129" i="3" s="1"/>
  <c r="AQ129" i="3" s="1"/>
  <c r="BL128" i="3"/>
  <c r="BE128" i="3"/>
  <c r="BR128" i="3" s="1"/>
  <c r="CJ128" i="3"/>
  <c r="CX128" i="3"/>
  <c r="CF128" i="3"/>
  <c r="BO128" i="3"/>
  <c r="AD126" i="3"/>
  <c r="L126" i="3"/>
  <c r="CH128" i="3" l="1"/>
  <c r="CI128" i="3"/>
  <c r="BM128" i="3"/>
  <c r="N126" i="3"/>
  <c r="O126" i="3"/>
  <c r="X217" i="4"/>
  <c r="AA217" i="4" s="1"/>
  <c r="F218" i="4" s="1"/>
  <c r="W217" i="4"/>
  <c r="V217" i="4"/>
  <c r="AF217" i="4" s="1"/>
  <c r="AR129" i="3"/>
  <c r="AS129" i="3" s="1"/>
  <c r="S217" i="4"/>
  <c r="AE217" i="4" s="1"/>
  <c r="T217" i="4" l="1"/>
  <c r="J218" i="4"/>
  <c r="K218" i="4" s="1"/>
  <c r="AB217" i="4"/>
  <c r="AC217" i="4" s="1"/>
  <c r="U217" i="4"/>
  <c r="AH217" i="4" s="1"/>
  <c r="Q126" i="3"/>
  <c r="R126" i="3" s="1"/>
  <c r="CK128" i="3"/>
  <c r="CL128" i="3" s="1"/>
  <c r="AT129" i="3"/>
  <c r="AW129" i="3" s="1"/>
  <c r="AZ129" i="3" s="1"/>
  <c r="Z217" i="4"/>
  <c r="E218" i="4" s="1"/>
  <c r="G218" i="4" s="1"/>
  <c r="I218" i="4" s="1"/>
  <c r="AI217" i="4"/>
  <c r="CR128" i="3" l="1"/>
  <c r="CU128" i="3" s="1"/>
  <c r="BZ129" i="3" s="1"/>
  <c r="CQ128" i="3"/>
  <c r="CP128" i="3"/>
  <c r="CZ128" i="3" s="1"/>
  <c r="CM128" i="3"/>
  <c r="M218" i="4"/>
  <c r="P218" i="4" s="1"/>
  <c r="AU129" i="3"/>
  <c r="X126" i="3"/>
  <c r="AA126" i="3" s="1"/>
  <c r="F127" i="3" s="1"/>
  <c r="W126" i="3"/>
  <c r="V126" i="3"/>
  <c r="AF126" i="3" s="1"/>
  <c r="S126" i="3"/>
  <c r="AE126" i="3" s="1"/>
  <c r="L218" i="4"/>
  <c r="AD218" i="4"/>
  <c r="Q218" i="4" l="1"/>
  <c r="R218" i="4" s="1"/>
  <c r="AI126" i="3"/>
  <c r="Z126" i="3"/>
  <c r="E127" i="3" s="1"/>
  <c r="G127" i="3" s="1"/>
  <c r="BN129" i="3"/>
  <c r="AV129" i="3"/>
  <c r="T126" i="3"/>
  <c r="CY128" i="3"/>
  <c r="DC128" i="3"/>
  <c r="CT128" i="3"/>
  <c r="BY129" i="3" s="1"/>
  <c r="CA129" i="3" s="1"/>
  <c r="CN128" i="3"/>
  <c r="AB126" i="3" l="1"/>
  <c r="AC126" i="3" s="1"/>
  <c r="U126" i="3"/>
  <c r="AH126" i="3" s="1"/>
  <c r="AX129" i="3"/>
  <c r="AY129" i="3"/>
  <c r="X218" i="4"/>
  <c r="AA218" i="4" s="1"/>
  <c r="F219" i="4" s="1"/>
  <c r="W218" i="4"/>
  <c r="V218" i="4"/>
  <c r="AF218" i="4" s="1"/>
  <c r="H127" i="3"/>
  <c r="CV128" i="3"/>
  <c r="CO128" i="3"/>
  <c r="DB128" i="3" s="1"/>
  <c r="CB129" i="3"/>
  <c r="S218" i="4"/>
  <c r="AE218" i="4" s="1"/>
  <c r="T218" i="4" l="1"/>
  <c r="J127" i="3"/>
  <c r="M127" i="3" s="1"/>
  <c r="I127" i="3"/>
  <c r="J219" i="4"/>
  <c r="K219" i="4" s="1"/>
  <c r="BA129" i="3"/>
  <c r="BB129" i="3" s="1"/>
  <c r="CW128" i="3"/>
  <c r="AI218" i="4"/>
  <c r="Z218" i="4"/>
  <c r="E219" i="4" s="1"/>
  <c r="G219" i="4" s="1"/>
  <c r="I219" i="4" s="1"/>
  <c r="AB218" i="4"/>
  <c r="AC218" i="4" s="1"/>
  <c r="U218" i="4"/>
  <c r="AH218" i="4" s="1"/>
  <c r="CD129" i="3"/>
  <c r="CG129" i="3" s="1"/>
  <c r="CC129" i="3"/>
  <c r="BH129" i="3" l="1"/>
  <c r="BK129" i="3" s="1"/>
  <c r="AP130" i="3" s="1"/>
  <c r="BG129" i="3"/>
  <c r="BF129" i="3"/>
  <c r="BP129" i="3" s="1"/>
  <c r="BC129" i="3"/>
  <c r="CJ129" i="3"/>
  <c r="M219" i="4"/>
  <c r="P219" i="4" s="1"/>
  <c r="L219" i="4"/>
  <c r="AD219" i="4"/>
  <c r="P127" i="3"/>
  <c r="CE129" i="3"/>
  <c r="K127" i="3"/>
  <c r="Q219" i="4" l="1"/>
  <c r="R219" i="4" s="1"/>
  <c r="CX129" i="3"/>
  <c r="CF129" i="3"/>
  <c r="BO129" i="3"/>
  <c r="AD127" i="3"/>
  <c r="L127" i="3"/>
  <c r="BD129" i="3"/>
  <c r="BJ129" i="3"/>
  <c r="AO130" i="3" s="1"/>
  <c r="AQ130" i="3" s="1"/>
  <c r="BS129" i="3"/>
  <c r="AR130" i="3" l="1"/>
  <c r="BL129" i="3"/>
  <c r="BE129" i="3"/>
  <c r="BR129" i="3" s="1"/>
  <c r="N127" i="3"/>
  <c r="O127" i="3"/>
  <c r="CH129" i="3"/>
  <c r="CI129" i="3"/>
  <c r="X219" i="4"/>
  <c r="AA219" i="4" s="1"/>
  <c r="F220" i="4" s="1"/>
  <c r="W219" i="4"/>
  <c r="V219" i="4"/>
  <c r="AF219" i="4" s="1"/>
  <c r="S219" i="4"/>
  <c r="AE219" i="4" s="1"/>
  <c r="T219" i="4" l="1"/>
  <c r="AB219" i="4"/>
  <c r="AC219" i="4" s="1"/>
  <c r="U219" i="4"/>
  <c r="AH219" i="4" s="1"/>
  <c r="AT130" i="3"/>
  <c r="AW130" i="3" s="1"/>
  <c r="CK129" i="3"/>
  <c r="CL129" i="3" s="1"/>
  <c r="Q127" i="3"/>
  <c r="R127" i="3" s="1"/>
  <c r="BM129" i="3"/>
  <c r="AI219" i="4"/>
  <c r="Z219" i="4"/>
  <c r="E220" i="4" s="1"/>
  <c r="G220" i="4" s="1"/>
  <c r="I220" i="4" s="1"/>
  <c r="J220" i="4"/>
  <c r="K220" i="4" s="1"/>
  <c r="AS130" i="3"/>
  <c r="AU130" i="3" l="1"/>
  <c r="X127" i="3"/>
  <c r="AA127" i="3" s="1"/>
  <c r="W127" i="3"/>
  <c r="V127" i="3"/>
  <c r="AF127" i="3" s="1"/>
  <c r="S127" i="3"/>
  <c r="AE127" i="3" s="1"/>
  <c r="BN130" i="3"/>
  <c r="AZ130" i="3"/>
  <c r="M220" i="4"/>
  <c r="P220" i="4" s="1"/>
  <c r="CR129" i="3"/>
  <c r="CU129" i="3" s="1"/>
  <c r="BZ130" i="3" s="1"/>
  <c r="CQ129" i="3"/>
  <c r="CP129" i="3"/>
  <c r="CZ129" i="3" s="1"/>
  <c r="CM129" i="3"/>
  <c r="CN129" i="3" s="1"/>
  <c r="AV130" i="3"/>
  <c r="L220" i="4"/>
  <c r="AD220" i="4"/>
  <c r="Q220" i="4" l="1"/>
  <c r="R220" i="4" s="1"/>
  <c r="CT129" i="3"/>
  <c r="BY130" i="3" s="1"/>
  <c r="CA130" i="3" s="1"/>
  <c r="DC129" i="3"/>
  <c r="CV129" i="3"/>
  <c r="CO129" i="3"/>
  <c r="DB129" i="3" s="1"/>
  <c r="F23" i="5"/>
  <c r="J12" i="3"/>
  <c r="AY130" i="3"/>
  <c r="AX130" i="3"/>
  <c r="T127" i="3"/>
  <c r="Y127" i="3"/>
  <c r="AI127" i="3"/>
  <c r="CY129" i="3"/>
  <c r="F128" i="3"/>
  <c r="C12" i="3"/>
  <c r="BA130" i="3" l="1"/>
  <c r="BB130" i="3" s="1"/>
  <c r="I12" i="3"/>
  <c r="AG127" i="3"/>
  <c r="AG128" i="3" s="1"/>
  <c r="AG129" i="3" s="1"/>
  <c r="AG130" i="3" s="1"/>
  <c r="AG131" i="3" s="1"/>
  <c r="AG132" i="3" s="1"/>
  <c r="AG133" i="3" s="1"/>
  <c r="AG134" i="3" s="1"/>
  <c r="AG135" i="3" s="1"/>
  <c r="AG136" i="3" s="1"/>
  <c r="AG137" i="3" s="1"/>
  <c r="AG138" i="3" s="1"/>
  <c r="Z127" i="3"/>
  <c r="CB130" i="3"/>
  <c r="CC130" i="3" s="1"/>
  <c r="CW129" i="3"/>
  <c r="AB127" i="3"/>
  <c r="AC127" i="3" s="1"/>
  <c r="U127" i="3"/>
  <c r="AH127" i="3" s="1"/>
  <c r="X220" i="4"/>
  <c r="AA220" i="4" s="1"/>
  <c r="F221" i="4" s="1"/>
  <c r="W220" i="4"/>
  <c r="V220" i="4"/>
  <c r="AF220" i="4" s="1"/>
  <c r="S220" i="4"/>
  <c r="AE220" i="4" s="1"/>
  <c r="T220" i="4" l="1"/>
  <c r="AB220" i="4"/>
  <c r="AC220" i="4" s="1"/>
  <c r="U220" i="4"/>
  <c r="AH220" i="4" s="1"/>
  <c r="Z220" i="4"/>
  <c r="E221" i="4" s="1"/>
  <c r="G221" i="4" s="1"/>
  <c r="I221" i="4" s="1"/>
  <c r="AI220" i="4"/>
  <c r="J221" i="4"/>
  <c r="K221" i="4" s="1"/>
  <c r="CD130" i="3"/>
  <c r="CG130" i="3" s="1"/>
  <c r="CJ130" i="3" s="1"/>
  <c r="B23" i="5"/>
  <c r="E128" i="3"/>
  <c r="G128" i="3" s="1"/>
  <c r="B12" i="3"/>
  <c r="D12" i="3" s="1"/>
  <c r="BH130" i="3"/>
  <c r="BK130" i="3" s="1"/>
  <c r="AP131" i="3" s="1"/>
  <c r="BG130" i="3"/>
  <c r="BF130" i="3"/>
  <c r="BP130" i="3" s="1"/>
  <c r="BC130" i="3"/>
  <c r="BD130" i="3" s="1"/>
  <c r="BL130" i="3" l="1"/>
  <c r="BE130" i="3"/>
  <c r="BR130" i="3" s="1"/>
  <c r="M221" i="4"/>
  <c r="BO130" i="3"/>
  <c r="L221" i="4"/>
  <c r="AD221" i="4"/>
  <c r="BJ130" i="3"/>
  <c r="AO131" i="3" s="1"/>
  <c r="AQ131" i="3" s="1"/>
  <c r="BS130" i="3"/>
  <c r="P221" i="4"/>
  <c r="Q221" i="4"/>
  <c r="R221" i="4" s="1"/>
  <c r="H128" i="3"/>
  <c r="CE130" i="3"/>
  <c r="X221" i="4" l="1"/>
  <c r="AA221" i="4" s="1"/>
  <c r="F222" i="4" s="1"/>
  <c r="AR131" i="3"/>
  <c r="V221" i="4"/>
  <c r="AF221" i="4" s="1"/>
  <c r="S221" i="4"/>
  <c r="AE221" i="4" s="1"/>
  <c r="W221" i="4"/>
  <c r="CX130" i="3"/>
  <c r="CF130" i="3"/>
  <c r="J128" i="3"/>
  <c r="M128" i="3" s="1"/>
  <c r="I128" i="3"/>
  <c r="BM130" i="3"/>
  <c r="K128" i="3" l="1"/>
  <c r="L128" i="3" s="1"/>
  <c r="N128" i="3"/>
  <c r="O128" i="3"/>
  <c r="CH130" i="3"/>
  <c r="CI130" i="3"/>
  <c r="Z221" i="4"/>
  <c r="E222" i="4" s="1"/>
  <c r="G222" i="4" s="1"/>
  <c r="I222" i="4" s="1"/>
  <c r="AI221" i="4"/>
  <c r="AT131" i="3"/>
  <c r="AW131" i="3" s="1"/>
  <c r="AS131" i="3"/>
  <c r="P128" i="3"/>
  <c r="T221" i="4"/>
  <c r="AD128" i="3"/>
  <c r="J222" i="4"/>
  <c r="K222" i="4" s="1"/>
  <c r="AU131" i="3" l="1"/>
  <c r="BN131" i="3" s="1"/>
  <c r="CK130" i="3"/>
  <c r="CL130" i="3" s="1"/>
  <c r="AB221" i="4"/>
  <c r="AC221" i="4" s="1"/>
  <c r="U221" i="4"/>
  <c r="AH221" i="4" s="1"/>
  <c r="Q128" i="3"/>
  <c r="R128" i="3" s="1"/>
  <c r="S128" i="3" s="1"/>
  <c r="AZ131" i="3"/>
  <c r="L222" i="4"/>
  <c r="AD222" i="4"/>
  <c r="M222" i="4"/>
  <c r="P222" i="4" s="1"/>
  <c r="AV131" i="3" l="1"/>
  <c r="AE128" i="3"/>
  <c r="CR130" i="3"/>
  <c r="CU130" i="3" s="1"/>
  <c r="BZ131" i="3" s="1"/>
  <c r="CQ130" i="3"/>
  <c r="CP130" i="3"/>
  <c r="CZ130" i="3" s="1"/>
  <c r="CM130" i="3"/>
  <c r="X128" i="3"/>
  <c r="AA128" i="3" s="1"/>
  <c r="F129" i="3" s="1"/>
  <c r="T128" i="3"/>
  <c r="W128" i="3"/>
  <c r="V128" i="3"/>
  <c r="AF128" i="3" s="1"/>
  <c r="Q222" i="4"/>
  <c r="R222" i="4" s="1"/>
  <c r="S222" i="4" s="1"/>
  <c r="AE222" i="4" s="1"/>
  <c r="AX131" i="3"/>
  <c r="AY131" i="3"/>
  <c r="AB128" i="3" l="1"/>
  <c r="U128" i="3"/>
  <c r="AH128" i="3" s="1"/>
  <c r="BA131" i="3"/>
  <c r="BB131" i="3" s="1"/>
  <c r="CY130" i="3"/>
  <c r="DC130" i="3"/>
  <c r="CT130" i="3"/>
  <c r="BY131" i="3" s="1"/>
  <c r="CA131" i="3" s="1"/>
  <c r="CN130" i="3"/>
  <c r="AI128" i="3"/>
  <c r="Z128" i="3"/>
  <c r="E129" i="3" s="1"/>
  <c r="G129" i="3" s="1"/>
  <c r="X222" i="4"/>
  <c r="AA222" i="4" s="1"/>
  <c r="F223" i="4" s="1"/>
  <c r="T222" i="4"/>
  <c r="W222" i="4"/>
  <c r="V222" i="4"/>
  <c r="AF222" i="4" s="1"/>
  <c r="AI222" i="4" l="1"/>
  <c r="Z222" i="4"/>
  <c r="E223" i="4" s="1"/>
  <c r="G223" i="4" s="1"/>
  <c r="I223" i="4" s="1"/>
  <c r="CV130" i="3"/>
  <c r="CO130" i="3"/>
  <c r="DB130" i="3" s="1"/>
  <c r="BH131" i="3"/>
  <c r="BK131" i="3" s="1"/>
  <c r="AP132" i="3" s="1"/>
  <c r="BF131" i="3"/>
  <c r="BP131" i="3" s="1"/>
  <c r="BG131" i="3"/>
  <c r="BC131" i="3"/>
  <c r="AC128" i="3"/>
  <c r="CB131" i="3"/>
  <c r="AB222" i="4"/>
  <c r="AC222" i="4" s="1"/>
  <c r="U222" i="4"/>
  <c r="AH222" i="4" s="1"/>
  <c r="J223" i="4"/>
  <c r="K223" i="4" s="1"/>
  <c r="H129" i="3"/>
  <c r="CD131" i="3" l="1"/>
  <c r="CG131" i="3" s="1"/>
  <c r="BO131" i="3"/>
  <c r="L223" i="4"/>
  <c r="AD223" i="4"/>
  <c r="J129" i="3"/>
  <c r="M129" i="3" s="1"/>
  <c r="I129" i="3"/>
  <c r="CC131" i="3"/>
  <c r="BS131" i="3"/>
  <c r="BJ131" i="3"/>
  <c r="AO132" i="3" s="1"/>
  <c r="AQ132" i="3" s="1"/>
  <c r="BD131" i="3"/>
  <c r="M223" i="4"/>
  <c r="CW130" i="3"/>
  <c r="P223" i="4"/>
  <c r="Q223" i="4"/>
  <c r="R223" i="4" s="1"/>
  <c r="W223" i="4" s="1"/>
  <c r="AI223" i="4" l="1"/>
  <c r="Y223" i="4"/>
  <c r="Z223" i="4" s="1"/>
  <c r="P129" i="3"/>
  <c r="BL131" i="3"/>
  <c r="BE131" i="3"/>
  <c r="BR131" i="3" s="1"/>
  <c r="X223" i="4"/>
  <c r="AA223" i="4" s="1"/>
  <c r="K129" i="3"/>
  <c r="V223" i="4"/>
  <c r="AF223" i="4" s="1"/>
  <c r="S223" i="4"/>
  <c r="AE223" i="4" s="1"/>
  <c r="K11" i="5" s="1"/>
  <c r="AR132" i="3"/>
  <c r="CE131" i="3"/>
  <c r="CJ131" i="3"/>
  <c r="I31" i="5" l="1"/>
  <c r="T223" i="4"/>
  <c r="E31" i="5"/>
  <c r="J11" i="5"/>
  <c r="E224" i="4"/>
  <c r="G224" i="4" s="1"/>
  <c r="I224" i="4" s="1"/>
  <c r="B20" i="4"/>
  <c r="D20" i="4" s="1"/>
  <c r="F224" i="4"/>
  <c r="C20" i="4"/>
  <c r="BM131" i="3"/>
  <c r="J20" i="4"/>
  <c r="AT132" i="3"/>
  <c r="AW132" i="3" s="1"/>
  <c r="AS132" i="3"/>
  <c r="AD129" i="3"/>
  <c r="L129" i="3"/>
  <c r="AB223" i="4"/>
  <c r="AC223" i="4" s="1"/>
  <c r="U223" i="4"/>
  <c r="AH223" i="4" s="1"/>
  <c r="CX131" i="3"/>
  <c r="CF131" i="3"/>
  <c r="I20" i="4"/>
  <c r="AG223" i="4"/>
  <c r="AG224" i="4" s="1"/>
  <c r="AG225" i="4" s="1"/>
  <c r="AG226" i="4" s="1"/>
  <c r="AG227" i="4" s="1"/>
  <c r="AG228" i="4" s="1"/>
  <c r="AG229" i="4" s="1"/>
  <c r="AG230" i="4" s="1"/>
  <c r="AG231" i="4" s="1"/>
  <c r="AG232" i="4" s="1"/>
  <c r="AG233" i="4" s="1"/>
  <c r="AG234" i="4" s="1"/>
  <c r="AZ132" i="3" l="1"/>
  <c r="AU132" i="3"/>
  <c r="CH131" i="3"/>
  <c r="CI131" i="3"/>
  <c r="N129" i="3"/>
  <c r="O129" i="3"/>
  <c r="J224" i="4"/>
  <c r="K224" i="4" s="1"/>
  <c r="BN132" i="3" l="1"/>
  <c r="AV132" i="3"/>
  <c r="L224" i="4"/>
  <c r="AD224" i="4"/>
  <c r="M224" i="4"/>
  <c r="P224" i="4" s="1"/>
  <c r="CK131" i="3"/>
  <c r="CL131" i="3" s="1"/>
  <c r="Q129" i="3"/>
  <c r="R129" i="3" s="1"/>
  <c r="X129" i="3" l="1"/>
  <c r="AA129" i="3" s="1"/>
  <c r="F130" i="3" s="1"/>
  <c r="W129" i="3"/>
  <c r="V129" i="3"/>
  <c r="AF129" i="3" s="1"/>
  <c r="S129" i="3"/>
  <c r="CR131" i="3"/>
  <c r="CU131" i="3" s="1"/>
  <c r="BZ132" i="3" s="1"/>
  <c r="CQ131" i="3"/>
  <c r="CP131" i="3"/>
  <c r="CZ131" i="3" s="1"/>
  <c r="CM131" i="3"/>
  <c r="CN131" i="3" s="1"/>
  <c r="Q224" i="4"/>
  <c r="R224" i="4" s="1"/>
  <c r="S224" i="4" s="1"/>
  <c r="AX132" i="3"/>
  <c r="AY132" i="3"/>
  <c r="AE224" i="4" l="1"/>
  <c r="CV131" i="3"/>
  <c r="CO131" i="3"/>
  <c r="DB131" i="3" s="1"/>
  <c r="AE129" i="3"/>
  <c r="T129" i="3"/>
  <c r="X224" i="4"/>
  <c r="AA224" i="4" s="1"/>
  <c r="F225" i="4" s="1"/>
  <c r="T224" i="4"/>
  <c r="V224" i="4"/>
  <c r="AF224" i="4" s="1"/>
  <c r="W224" i="4"/>
  <c r="CY131" i="3"/>
  <c r="DC131" i="3"/>
  <c r="CT131" i="3"/>
  <c r="BY132" i="3" s="1"/>
  <c r="CA132" i="3" s="1"/>
  <c r="AI129" i="3"/>
  <c r="Z129" i="3"/>
  <c r="E130" i="3" s="1"/>
  <c r="G130" i="3" s="1"/>
  <c r="BA132" i="3"/>
  <c r="BB132" i="3" s="1"/>
  <c r="AI224" i="4" l="1"/>
  <c r="Z224" i="4"/>
  <c r="E225" i="4" s="1"/>
  <c r="G225" i="4" s="1"/>
  <c r="I225" i="4" s="1"/>
  <c r="AB224" i="4"/>
  <c r="U224" i="4"/>
  <c r="AH224" i="4" s="1"/>
  <c r="CB132" i="3"/>
  <c r="CW131" i="3"/>
  <c r="J225" i="4"/>
  <c r="K225" i="4" s="1"/>
  <c r="BH132" i="3"/>
  <c r="BK132" i="3" s="1"/>
  <c r="AP133" i="3" s="1"/>
  <c r="BG132" i="3"/>
  <c r="BF132" i="3"/>
  <c r="BP132" i="3" s="1"/>
  <c r="BC132" i="3"/>
  <c r="BO132" i="3" s="1"/>
  <c r="H130" i="3"/>
  <c r="AB129" i="3"/>
  <c r="U129" i="3"/>
  <c r="AH129" i="3" s="1"/>
  <c r="BD132" i="3" l="1"/>
  <c r="BJ132" i="3"/>
  <c r="AO133" i="3" s="1"/>
  <c r="AQ133" i="3" s="1"/>
  <c r="BS132" i="3"/>
  <c r="BL132" i="3"/>
  <c r="BM132" i="3" s="1"/>
  <c r="BE132" i="3"/>
  <c r="BR132" i="3" s="1"/>
  <c r="M225" i="4"/>
  <c r="P225" i="4" s="1"/>
  <c r="CD132" i="3"/>
  <c r="CG132" i="3" s="1"/>
  <c r="L225" i="4"/>
  <c r="AD225" i="4"/>
  <c r="AC129" i="3"/>
  <c r="CC132" i="3"/>
  <c r="AC224" i="4"/>
  <c r="J130" i="3"/>
  <c r="M130" i="3" s="1"/>
  <c r="I130" i="3"/>
  <c r="CE132" i="3" l="1"/>
  <c r="CX132" i="3" s="1"/>
  <c r="Q225" i="4"/>
  <c r="R225" i="4" s="1"/>
  <c r="P130" i="3"/>
  <c r="K130" i="3"/>
  <c r="CF132" i="3"/>
  <c r="CJ132" i="3"/>
  <c r="AR133" i="3"/>
  <c r="CH132" i="3" l="1"/>
  <c r="CI132" i="3"/>
  <c r="AD130" i="3"/>
  <c r="L130" i="3"/>
  <c r="AT133" i="3"/>
  <c r="AW133" i="3" s="1"/>
  <c r="AU133" i="3"/>
  <c r="BN133" i="3" s="1"/>
  <c r="AS133" i="3"/>
  <c r="X225" i="4"/>
  <c r="AA225" i="4" s="1"/>
  <c r="F226" i="4" s="1"/>
  <c r="W225" i="4"/>
  <c r="V225" i="4"/>
  <c r="AF225" i="4" s="1"/>
  <c r="S225" i="4"/>
  <c r="T225" i="4" s="1"/>
  <c r="AB225" i="4" l="1"/>
  <c r="U225" i="4"/>
  <c r="AH225" i="4" s="1"/>
  <c r="N130" i="3"/>
  <c r="O130" i="3"/>
  <c r="J226" i="4"/>
  <c r="K226" i="4" s="1"/>
  <c r="AZ133" i="3"/>
  <c r="AV133" i="3"/>
  <c r="Z225" i="4"/>
  <c r="E226" i="4" s="1"/>
  <c r="G226" i="4" s="1"/>
  <c r="I226" i="4" s="1"/>
  <c r="AI225" i="4"/>
  <c r="CK132" i="3"/>
  <c r="CL132" i="3" s="1"/>
  <c r="AE225" i="4"/>
  <c r="AC225" i="4" l="1"/>
  <c r="AX133" i="3"/>
  <c r="AY133" i="3"/>
  <c r="L226" i="4"/>
  <c r="AD226" i="4"/>
  <c r="M226" i="4"/>
  <c r="P226" i="4" s="1"/>
  <c r="Q130" i="3"/>
  <c r="R130" i="3" s="1"/>
  <c r="CR132" i="3"/>
  <c r="CU132" i="3" s="1"/>
  <c r="BZ133" i="3" s="1"/>
  <c r="CQ132" i="3"/>
  <c r="CP132" i="3"/>
  <c r="CZ132" i="3" s="1"/>
  <c r="CM132" i="3"/>
  <c r="CY132" i="3" s="1"/>
  <c r="Q226" i="4" l="1"/>
  <c r="R226" i="4" s="1"/>
  <c r="BA133" i="3"/>
  <c r="BB133" i="3" s="1"/>
  <c r="X130" i="3"/>
  <c r="AA130" i="3" s="1"/>
  <c r="F131" i="3" s="1"/>
  <c r="W130" i="3"/>
  <c r="V130" i="3"/>
  <c r="AF130" i="3" s="1"/>
  <c r="S130" i="3"/>
  <c r="CT132" i="3"/>
  <c r="BY133" i="3" s="1"/>
  <c r="CA133" i="3" s="1"/>
  <c r="DC132" i="3"/>
  <c r="CN132" i="3"/>
  <c r="CV132" i="3" l="1"/>
  <c r="CW132" i="3" s="1"/>
  <c r="CO132" i="3"/>
  <c r="DB132" i="3" s="1"/>
  <c r="CB133" i="3"/>
  <c r="AE130" i="3"/>
  <c r="Z130" i="3"/>
  <c r="E131" i="3" s="1"/>
  <c r="G131" i="3" s="1"/>
  <c r="AI130" i="3"/>
  <c r="T130" i="3"/>
  <c r="BH133" i="3"/>
  <c r="BK133" i="3" s="1"/>
  <c r="AP134" i="3" s="1"/>
  <c r="BG133" i="3"/>
  <c r="BF133" i="3"/>
  <c r="BP133" i="3" s="1"/>
  <c r="BC133" i="3"/>
  <c r="BO133" i="3" s="1"/>
  <c r="X226" i="4"/>
  <c r="AA226" i="4" s="1"/>
  <c r="F227" i="4" s="1"/>
  <c r="W226" i="4"/>
  <c r="V226" i="4"/>
  <c r="AF226" i="4" s="1"/>
  <c r="S226" i="4"/>
  <c r="BS133" i="3" l="1"/>
  <c r="BJ133" i="3"/>
  <c r="AO134" i="3" s="1"/>
  <c r="AQ134" i="3" s="1"/>
  <c r="AB130" i="3"/>
  <c r="U130" i="3"/>
  <c r="AH130" i="3" s="1"/>
  <c r="CD133" i="3"/>
  <c r="CG133" i="3" s="1"/>
  <c r="CE133" i="3"/>
  <c r="CX133" i="3" s="1"/>
  <c r="AI226" i="4"/>
  <c r="Z226" i="4"/>
  <c r="E227" i="4" s="1"/>
  <c r="G227" i="4" s="1"/>
  <c r="I227" i="4" s="1"/>
  <c r="BD133" i="3"/>
  <c r="H131" i="3"/>
  <c r="I131" i="3" s="1"/>
  <c r="AE226" i="4"/>
  <c r="CC133" i="3"/>
  <c r="J227" i="4"/>
  <c r="K227" i="4" s="1"/>
  <c r="T226" i="4"/>
  <c r="AB226" i="4" l="1"/>
  <c r="U226" i="4"/>
  <c r="AH226" i="4" s="1"/>
  <c r="CF133" i="3"/>
  <c r="CJ133" i="3"/>
  <c r="BL133" i="3"/>
  <c r="BM133" i="3" s="1"/>
  <c r="BE133" i="3"/>
  <c r="BR133" i="3" s="1"/>
  <c r="L227" i="4"/>
  <c r="AD227" i="4"/>
  <c r="M227" i="4"/>
  <c r="P227" i="4" s="1"/>
  <c r="Q227" i="4" s="1"/>
  <c r="R227" i="4" s="1"/>
  <c r="AC130" i="3"/>
  <c r="AR134" i="3"/>
  <c r="J131" i="3"/>
  <c r="M131" i="3" s="1"/>
  <c r="P131" i="3" s="1"/>
  <c r="AT134" i="3" l="1"/>
  <c r="AW134" i="3" s="1"/>
  <c r="X227" i="4"/>
  <c r="AA227" i="4" s="1"/>
  <c r="F228" i="4" s="1"/>
  <c r="K131" i="3"/>
  <c r="CI133" i="3"/>
  <c r="CH133" i="3"/>
  <c r="AS134" i="3"/>
  <c r="S227" i="4"/>
  <c r="W227" i="4"/>
  <c r="V227" i="4"/>
  <c r="AF227" i="4" s="1"/>
  <c r="AC226" i="4"/>
  <c r="AE227" i="4" l="1"/>
  <c r="CK133" i="3"/>
  <c r="CL133" i="3" s="1"/>
  <c r="T227" i="4"/>
  <c r="AZ134" i="3"/>
  <c r="AD131" i="3"/>
  <c r="L131" i="3"/>
  <c r="J228" i="4"/>
  <c r="K228" i="4" s="1"/>
  <c r="AU134" i="3"/>
  <c r="AI227" i="4"/>
  <c r="Z227" i="4"/>
  <c r="E228" i="4" s="1"/>
  <c r="G228" i="4" s="1"/>
  <c r="I228" i="4" s="1"/>
  <c r="M228" i="4" l="1"/>
  <c r="O131" i="3"/>
  <c r="N131" i="3"/>
  <c r="L228" i="4"/>
  <c r="AD228" i="4"/>
  <c r="AB227" i="4"/>
  <c r="U227" i="4"/>
  <c r="AH227" i="4" s="1"/>
  <c r="CR133" i="3"/>
  <c r="CU133" i="3" s="1"/>
  <c r="BZ134" i="3" s="1"/>
  <c r="CQ133" i="3"/>
  <c r="CP133" i="3"/>
  <c r="CZ133" i="3" s="1"/>
  <c r="CM133" i="3"/>
  <c r="CY133" i="3" s="1"/>
  <c r="P228" i="4"/>
  <c r="Q228" i="4"/>
  <c r="R228" i="4" s="1"/>
  <c r="BN134" i="3"/>
  <c r="AV134" i="3"/>
  <c r="DC133" i="3" l="1"/>
  <c r="CT133" i="3"/>
  <c r="BY134" i="3" s="1"/>
  <c r="CA134" i="3" s="1"/>
  <c r="CN133" i="3"/>
  <c r="AC227" i="4"/>
  <c r="Q131" i="3"/>
  <c r="R131" i="3" s="1"/>
  <c r="AX134" i="3"/>
  <c r="AY134" i="3"/>
  <c r="X228" i="4"/>
  <c r="AA228" i="4" s="1"/>
  <c r="F229" i="4" s="1"/>
  <c r="S228" i="4"/>
  <c r="AE228" i="4" s="1"/>
  <c r="V228" i="4"/>
  <c r="AF228" i="4" s="1"/>
  <c r="W228" i="4"/>
  <c r="X131" i="3" l="1"/>
  <c r="AA131" i="3" s="1"/>
  <c r="F132" i="3" s="1"/>
  <c r="W131" i="3"/>
  <c r="V131" i="3"/>
  <c r="AF131" i="3" s="1"/>
  <c r="S131" i="3"/>
  <c r="CV133" i="3"/>
  <c r="CW133" i="3" s="1"/>
  <c r="CO133" i="3"/>
  <c r="DB133" i="3" s="1"/>
  <c r="BA134" i="3"/>
  <c r="BB134" i="3" s="1"/>
  <c r="Z228" i="4"/>
  <c r="E229" i="4" s="1"/>
  <c r="G229" i="4" s="1"/>
  <c r="I229" i="4" s="1"/>
  <c r="AI228" i="4"/>
  <c r="CB134" i="3"/>
  <c r="CC134" i="3" s="1"/>
  <c r="T228" i="4"/>
  <c r="J229" i="4"/>
  <c r="K229" i="4" s="1"/>
  <c r="BH134" i="3" l="1"/>
  <c r="BK134" i="3" s="1"/>
  <c r="AP135" i="3" s="1"/>
  <c r="BF134" i="3"/>
  <c r="BP134" i="3" s="1"/>
  <c r="BG134" i="3"/>
  <c r="BC134" i="3"/>
  <c r="BO134" i="3" s="1"/>
  <c r="AE131" i="3"/>
  <c r="CD134" i="3"/>
  <c r="CG134" i="3" s="1"/>
  <c r="CJ134" i="3" s="1"/>
  <c r="L229" i="4"/>
  <c r="AD229" i="4"/>
  <c r="AI131" i="3"/>
  <c r="Z131" i="3"/>
  <c r="E132" i="3" s="1"/>
  <c r="G132" i="3" s="1"/>
  <c r="M229" i="4"/>
  <c r="P229" i="4" s="1"/>
  <c r="AB228" i="4"/>
  <c r="AC228" i="4" s="1"/>
  <c r="U228" i="4"/>
  <c r="AH228" i="4" s="1"/>
  <c r="T131" i="3"/>
  <c r="Q229" i="4" l="1"/>
  <c r="R229" i="4" s="1"/>
  <c r="AB131" i="3"/>
  <c r="U131" i="3"/>
  <c r="AH131" i="3" s="1"/>
  <c r="H132" i="3"/>
  <c r="I132" i="3" s="1"/>
  <c r="CE134" i="3"/>
  <c r="BS134" i="3"/>
  <c r="BJ134" i="3"/>
  <c r="AO135" i="3" s="1"/>
  <c r="AQ135" i="3" s="1"/>
  <c r="BD134" i="3"/>
  <c r="CX134" i="3" l="1"/>
  <c r="CF134" i="3"/>
  <c r="X229" i="4"/>
  <c r="AA229" i="4" s="1"/>
  <c r="F230" i="4" s="1"/>
  <c r="V229" i="4"/>
  <c r="AF229" i="4" s="1"/>
  <c r="W229" i="4"/>
  <c r="J132" i="3"/>
  <c r="M132" i="3" s="1"/>
  <c r="P132" i="3" s="1"/>
  <c r="AC131" i="3"/>
  <c r="BL134" i="3"/>
  <c r="BM134" i="3" s="1"/>
  <c r="BE134" i="3"/>
  <c r="BR134" i="3" s="1"/>
  <c r="AR135" i="3"/>
  <c r="AS135" i="3" s="1"/>
  <c r="S229" i="4"/>
  <c r="AE229" i="4" s="1"/>
  <c r="T229" i="4" l="1"/>
  <c r="CH134" i="3"/>
  <c r="CI134" i="3"/>
  <c r="J230" i="4"/>
  <c r="K230" i="4" s="1"/>
  <c r="K132" i="3"/>
  <c r="Z229" i="4"/>
  <c r="E230" i="4" s="1"/>
  <c r="G230" i="4" s="1"/>
  <c r="I230" i="4" s="1"/>
  <c r="AI229" i="4"/>
  <c r="AB229" i="4"/>
  <c r="AC229" i="4" s="1"/>
  <c r="U229" i="4"/>
  <c r="AH229" i="4" s="1"/>
  <c r="AT135" i="3"/>
  <c r="AW135" i="3" s="1"/>
  <c r="AZ135" i="3" s="1"/>
  <c r="AU135" i="3"/>
  <c r="BN135" i="3" s="1"/>
  <c r="L230" i="4" l="1"/>
  <c r="AD230" i="4"/>
  <c r="AD132" i="3"/>
  <c r="L132" i="3"/>
  <c r="CK134" i="3"/>
  <c r="CL134" i="3" s="1"/>
  <c r="AV135" i="3"/>
  <c r="M230" i="4"/>
  <c r="P230" i="4" s="1"/>
  <c r="Q230" i="4" l="1"/>
  <c r="R230" i="4" s="1"/>
  <c r="AX135" i="3"/>
  <c r="AY135" i="3"/>
  <c r="CR134" i="3"/>
  <c r="CU134" i="3" s="1"/>
  <c r="BZ135" i="3" s="1"/>
  <c r="CP134" i="3"/>
  <c r="CZ134" i="3" s="1"/>
  <c r="CQ134" i="3"/>
  <c r="CM134" i="3"/>
  <c r="CY134" i="3" s="1"/>
  <c r="N132" i="3"/>
  <c r="O132" i="3"/>
  <c r="CT134" i="3" l="1"/>
  <c r="BY135" i="3" s="1"/>
  <c r="CA135" i="3" s="1"/>
  <c r="DC134" i="3"/>
  <c r="Q132" i="3"/>
  <c r="R132" i="3" s="1"/>
  <c r="CN134" i="3"/>
  <c r="BA135" i="3"/>
  <c r="BB135" i="3" s="1"/>
  <c r="X230" i="4"/>
  <c r="AA230" i="4" s="1"/>
  <c r="F231" i="4" s="1"/>
  <c r="W230" i="4"/>
  <c r="V230" i="4"/>
  <c r="AF230" i="4" s="1"/>
  <c r="S230" i="4"/>
  <c r="AE230" i="4" s="1"/>
  <c r="BH135" i="3" l="1"/>
  <c r="BK135" i="3" s="1"/>
  <c r="AP136" i="3" s="1"/>
  <c r="BG135" i="3"/>
  <c r="BF135" i="3"/>
  <c r="BP135" i="3" s="1"/>
  <c r="BC135" i="3"/>
  <c r="BO135" i="3" s="1"/>
  <c r="J231" i="4"/>
  <c r="K231" i="4" s="1"/>
  <c r="CV134" i="3"/>
  <c r="CW134" i="3" s="1"/>
  <c r="CO134" i="3"/>
  <c r="DB134" i="3" s="1"/>
  <c r="AI230" i="4"/>
  <c r="Z230" i="4"/>
  <c r="E231" i="4" s="1"/>
  <c r="G231" i="4" s="1"/>
  <c r="I231" i="4" s="1"/>
  <c r="T230" i="4"/>
  <c r="X132" i="3"/>
  <c r="AA132" i="3" s="1"/>
  <c r="F133" i="3" s="1"/>
  <c r="W132" i="3"/>
  <c r="V132" i="3"/>
  <c r="AF132" i="3" s="1"/>
  <c r="S132" i="3"/>
  <c r="AE132" i="3" s="1"/>
  <c r="CB135" i="3"/>
  <c r="T132" i="3" l="1"/>
  <c r="AB132" i="3"/>
  <c r="AC132" i="3" s="1"/>
  <c r="U132" i="3"/>
  <c r="AH132" i="3" s="1"/>
  <c r="AB230" i="4"/>
  <c r="AC230" i="4" s="1"/>
  <c r="U230" i="4"/>
  <c r="AH230" i="4" s="1"/>
  <c r="M231" i="4"/>
  <c r="CD135" i="3"/>
  <c r="CG135" i="3" s="1"/>
  <c r="CC135" i="3"/>
  <c r="BD135" i="3"/>
  <c r="P231" i="4"/>
  <c r="L231" i="4"/>
  <c r="AD231" i="4"/>
  <c r="BJ135" i="3"/>
  <c r="AO136" i="3" s="1"/>
  <c r="AQ136" i="3" s="1"/>
  <c r="BS135" i="3"/>
  <c r="Z132" i="3"/>
  <c r="E133" i="3" s="1"/>
  <c r="G133" i="3" s="1"/>
  <c r="AI132" i="3"/>
  <c r="CJ135" i="3" l="1"/>
  <c r="AR136" i="3"/>
  <c r="CE135" i="3"/>
  <c r="BL135" i="3"/>
  <c r="BM135" i="3" s="1"/>
  <c r="BE135" i="3"/>
  <c r="BR135" i="3" s="1"/>
  <c r="H133" i="3"/>
  <c r="I133" i="3" s="1"/>
  <c r="Q231" i="4"/>
  <c r="R231" i="4" s="1"/>
  <c r="X231" i="4" l="1"/>
  <c r="AA231" i="4" s="1"/>
  <c r="F232" i="4" s="1"/>
  <c r="W231" i="4"/>
  <c r="V231" i="4"/>
  <c r="AF231" i="4" s="1"/>
  <c r="CX135" i="3"/>
  <c r="CF135" i="3"/>
  <c r="J133" i="3"/>
  <c r="M133" i="3" s="1"/>
  <c r="P133" i="3" s="1"/>
  <c r="AT136" i="3"/>
  <c r="AW136" i="3" s="1"/>
  <c r="AS136" i="3"/>
  <c r="S231" i="4"/>
  <c r="AE231" i="4" s="1"/>
  <c r="J232" i="4" l="1"/>
  <c r="K232" i="4" s="1"/>
  <c r="K133" i="3"/>
  <c r="CI135" i="3"/>
  <c r="CH135" i="3"/>
  <c r="AI231" i="4"/>
  <c r="Z231" i="4"/>
  <c r="E232" i="4" s="1"/>
  <c r="G232" i="4" s="1"/>
  <c r="I232" i="4" s="1"/>
  <c r="T231" i="4"/>
  <c r="AZ136" i="3"/>
  <c r="AU136" i="3"/>
  <c r="AB231" i="4" l="1"/>
  <c r="AC231" i="4" s="1"/>
  <c r="U231" i="4"/>
  <c r="AH231" i="4" s="1"/>
  <c r="CK135" i="3"/>
  <c r="CL135" i="3" s="1"/>
  <c r="AD133" i="3"/>
  <c r="L133" i="3"/>
  <c r="L232" i="4"/>
  <c r="AD232" i="4"/>
  <c r="M232" i="4"/>
  <c r="P232" i="4" s="1"/>
  <c r="BN136" i="3"/>
  <c r="AV136" i="3"/>
  <c r="Q232" i="4" l="1"/>
  <c r="R232" i="4" s="1"/>
  <c r="O133" i="3"/>
  <c r="N133" i="3"/>
  <c r="CR135" i="3"/>
  <c r="CU135" i="3" s="1"/>
  <c r="BZ136" i="3" s="1"/>
  <c r="CQ135" i="3"/>
  <c r="CP135" i="3"/>
  <c r="CZ135" i="3" s="1"/>
  <c r="CM135" i="3"/>
  <c r="CY135" i="3" s="1"/>
  <c r="AY136" i="3"/>
  <c r="AX136" i="3"/>
  <c r="BA136" i="3" l="1"/>
  <c r="BB136" i="3" s="1"/>
  <c r="CT135" i="3"/>
  <c r="BY136" i="3" s="1"/>
  <c r="CA136" i="3" s="1"/>
  <c r="DC135" i="3"/>
  <c r="CN135" i="3"/>
  <c r="Q133" i="3"/>
  <c r="R133" i="3" s="1"/>
  <c r="X232" i="4"/>
  <c r="AA232" i="4" s="1"/>
  <c r="F233" i="4" s="1"/>
  <c r="V232" i="4"/>
  <c r="AF232" i="4" s="1"/>
  <c r="W232" i="4"/>
  <c r="S232" i="4"/>
  <c r="AE232" i="4" s="1"/>
  <c r="J233" i="4" l="1"/>
  <c r="K233" i="4" s="1"/>
  <c r="AI232" i="4"/>
  <c r="Z232" i="4"/>
  <c r="E233" i="4" s="1"/>
  <c r="G233" i="4" s="1"/>
  <c r="I233" i="4" s="1"/>
  <c r="X133" i="3"/>
  <c r="AA133" i="3" s="1"/>
  <c r="F134" i="3" s="1"/>
  <c r="W133" i="3"/>
  <c r="V133" i="3"/>
  <c r="AF133" i="3" s="1"/>
  <c r="S133" i="3"/>
  <c r="AE133" i="3" s="1"/>
  <c r="CV135" i="3"/>
  <c r="CW135" i="3" s="1"/>
  <c r="CO135" i="3"/>
  <c r="DB135" i="3" s="1"/>
  <c r="CB136" i="3"/>
  <c r="CC136" i="3" s="1"/>
  <c r="T232" i="4"/>
  <c r="BH136" i="3"/>
  <c r="BK136" i="3" s="1"/>
  <c r="AP137" i="3" s="1"/>
  <c r="BG136" i="3"/>
  <c r="BF136" i="3"/>
  <c r="BP136" i="3" s="1"/>
  <c r="BC136" i="3"/>
  <c r="BO136" i="3" s="1"/>
  <c r="AB232" i="4" l="1"/>
  <c r="AC232" i="4" s="1"/>
  <c r="U232" i="4"/>
  <c r="AH232" i="4" s="1"/>
  <c r="Z133" i="3"/>
  <c r="E134" i="3" s="1"/>
  <c r="G134" i="3" s="1"/>
  <c r="AI133" i="3"/>
  <c r="T133" i="3"/>
  <c r="CD136" i="3"/>
  <c r="CG136" i="3" s="1"/>
  <c r="CJ136" i="3" s="1"/>
  <c r="BS136" i="3"/>
  <c r="BJ136" i="3"/>
  <c r="AO137" i="3" s="1"/>
  <c r="AQ137" i="3" s="1"/>
  <c r="L233" i="4"/>
  <c r="AD233" i="4"/>
  <c r="BD136" i="3"/>
  <c r="M233" i="4"/>
  <c r="P233" i="4" s="1"/>
  <c r="CE136" i="3" l="1"/>
  <c r="CX136" i="3" s="1"/>
  <c r="Q233" i="4"/>
  <c r="R233" i="4" s="1"/>
  <c r="BL136" i="3"/>
  <c r="BM136" i="3" s="1"/>
  <c r="BE136" i="3"/>
  <c r="BR136" i="3" s="1"/>
  <c r="CF136" i="3"/>
  <c r="AB133" i="3"/>
  <c r="AC133" i="3" s="1"/>
  <c r="U133" i="3"/>
  <c r="AH133" i="3" s="1"/>
  <c r="AR137" i="3"/>
  <c r="H134" i="3"/>
  <c r="AT137" i="3" l="1"/>
  <c r="AW137" i="3" s="1"/>
  <c r="J134" i="3"/>
  <c r="M134" i="3" s="1"/>
  <c r="I134" i="3"/>
  <c r="AS137" i="3"/>
  <c r="CH136" i="3"/>
  <c r="CI136" i="3"/>
  <c r="X233" i="4"/>
  <c r="AA233" i="4" s="1"/>
  <c r="F234" i="4" s="1"/>
  <c r="V233" i="4"/>
  <c r="AF233" i="4" s="1"/>
  <c r="W233" i="4"/>
  <c r="S233" i="4"/>
  <c r="AE233" i="4" s="1"/>
  <c r="J234" i="4" l="1"/>
  <c r="K234" i="4" s="1"/>
  <c r="AZ137" i="3"/>
  <c r="K134" i="3"/>
  <c r="CK136" i="3"/>
  <c r="CL136" i="3" s="1"/>
  <c r="AU137" i="3"/>
  <c r="P134" i="3"/>
  <c r="Z233" i="4"/>
  <c r="E234" i="4" s="1"/>
  <c r="G234" i="4" s="1"/>
  <c r="I234" i="4" s="1"/>
  <c r="AI233" i="4"/>
  <c r="T233" i="4"/>
  <c r="CR136" i="3" l="1"/>
  <c r="CU136" i="3" s="1"/>
  <c r="BZ137" i="3" s="1"/>
  <c r="CP136" i="3"/>
  <c r="CZ136" i="3" s="1"/>
  <c r="CQ136" i="3"/>
  <c r="CM136" i="3"/>
  <c r="CY136" i="3" s="1"/>
  <c r="L234" i="4"/>
  <c r="AD234" i="4"/>
  <c r="BN137" i="3"/>
  <c r="AV137" i="3"/>
  <c r="AD134" i="3"/>
  <c r="L134" i="3"/>
  <c r="AB233" i="4"/>
  <c r="AC233" i="4" s="1"/>
  <c r="U233" i="4"/>
  <c r="AH233" i="4" s="1"/>
  <c r="M234" i="4"/>
  <c r="P234" i="4" s="1"/>
  <c r="Q234" i="4" l="1"/>
  <c r="R234" i="4" s="1"/>
  <c r="AX137" i="3"/>
  <c r="AY137" i="3"/>
  <c r="N134" i="3"/>
  <c r="O134" i="3"/>
  <c r="DC136" i="3"/>
  <c r="CT136" i="3"/>
  <c r="BY137" i="3" s="1"/>
  <c r="CA137" i="3" s="1"/>
  <c r="CN136" i="3"/>
  <c r="Q134" i="3" l="1"/>
  <c r="R134" i="3" s="1"/>
  <c r="CB137" i="3"/>
  <c r="CC137" i="3" s="1"/>
  <c r="X234" i="4"/>
  <c r="AA234" i="4" s="1"/>
  <c r="F235" i="4" s="1"/>
  <c r="W234" i="4"/>
  <c r="V234" i="4"/>
  <c r="AF234" i="4" s="1"/>
  <c r="BA137" i="3"/>
  <c r="BB137" i="3" s="1"/>
  <c r="CV136" i="3"/>
  <c r="CW136" i="3" s="1"/>
  <c r="CO136" i="3"/>
  <c r="DB136" i="3" s="1"/>
  <c r="S234" i="4"/>
  <c r="AE234" i="4" s="1"/>
  <c r="Z234" i="4" l="1"/>
  <c r="E235" i="4" s="1"/>
  <c r="G235" i="4" s="1"/>
  <c r="I235" i="4" s="1"/>
  <c r="AI234" i="4"/>
  <c r="T234" i="4"/>
  <c r="BH137" i="3"/>
  <c r="BK137" i="3" s="1"/>
  <c r="AP138" i="3" s="1"/>
  <c r="BG137" i="3"/>
  <c r="BF137" i="3"/>
  <c r="BP137" i="3" s="1"/>
  <c r="BC137" i="3"/>
  <c r="BO137" i="3" s="1"/>
  <c r="J235" i="4"/>
  <c r="K235" i="4" s="1"/>
  <c r="CD137" i="3"/>
  <c r="CG137" i="3" s="1"/>
  <c r="CJ137" i="3" s="1"/>
  <c r="CE137" i="3"/>
  <c r="CX137" i="3" s="1"/>
  <c r="X134" i="3"/>
  <c r="AA134" i="3" s="1"/>
  <c r="F135" i="3" s="1"/>
  <c r="W134" i="3"/>
  <c r="V134" i="3"/>
  <c r="AF134" i="3" s="1"/>
  <c r="S134" i="3"/>
  <c r="AE134" i="3" s="1"/>
  <c r="M235" i="4" l="1"/>
  <c r="BJ137" i="3"/>
  <c r="AO138" i="3" s="1"/>
  <c r="AQ138" i="3" s="1"/>
  <c r="BS137" i="3"/>
  <c r="P235" i="4"/>
  <c r="Q235" i="4"/>
  <c r="R235" i="4" s="1"/>
  <c r="T134" i="3"/>
  <c r="BD137" i="3"/>
  <c r="AB234" i="4"/>
  <c r="AC234" i="4" s="1"/>
  <c r="U234" i="4"/>
  <c r="AH234" i="4" s="1"/>
  <c r="AI134" i="3"/>
  <c r="Z134" i="3"/>
  <c r="E135" i="3" s="1"/>
  <c r="G135" i="3" s="1"/>
  <c r="CF137" i="3"/>
  <c r="L235" i="4"/>
  <c r="AD235" i="4"/>
  <c r="AB134" i="3" l="1"/>
  <c r="AC134" i="3" s="1"/>
  <c r="U134" i="3"/>
  <c r="AH134" i="3" s="1"/>
  <c r="BL137" i="3"/>
  <c r="BM137" i="3" s="1"/>
  <c r="BE137" i="3"/>
  <c r="BR137" i="3" s="1"/>
  <c r="S235" i="4"/>
  <c r="AE235" i="4" s="1"/>
  <c r="AR138" i="3"/>
  <c r="T235" i="4"/>
  <c r="X235" i="4"/>
  <c r="AA235" i="4" s="1"/>
  <c r="W235" i="4"/>
  <c r="V235" i="4"/>
  <c r="AF235" i="4" s="1"/>
  <c r="CH137" i="3"/>
  <c r="CI137" i="3"/>
  <c r="H135" i="3"/>
  <c r="J21" i="4" l="1"/>
  <c r="F236" i="4"/>
  <c r="C21" i="4"/>
  <c r="AT138" i="3"/>
  <c r="AW138" i="3" s="1"/>
  <c r="AS138" i="3"/>
  <c r="J135" i="3"/>
  <c r="M135" i="3" s="1"/>
  <c r="CK137" i="3"/>
  <c r="CL137" i="3" s="1"/>
  <c r="AI235" i="4"/>
  <c r="Y235" i="4"/>
  <c r="AB235" i="4"/>
  <c r="AC235" i="4" s="1"/>
  <c r="U235" i="4"/>
  <c r="AH235" i="4" s="1"/>
  <c r="I32" i="5"/>
  <c r="I135" i="3"/>
  <c r="CR137" i="3" l="1"/>
  <c r="CU137" i="3" s="1"/>
  <c r="BZ138" i="3" s="1"/>
  <c r="CQ137" i="3"/>
  <c r="CP137" i="3"/>
  <c r="CZ137" i="3" s="1"/>
  <c r="CM137" i="3"/>
  <c r="CY137" i="3" s="1"/>
  <c r="K135" i="3"/>
  <c r="P135" i="3"/>
  <c r="AU138" i="3"/>
  <c r="I21" i="4"/>
  <c r="AG235" i="4"/>
  <c r="AG236" i="4" s="1"/>
  <c r="AG237" i="4" s="1"/>
  <c r="AG238" i="4" s="1"/>
  <c r="AG239" i="4" s="1"/>
  <c r="AG240" i="4" s="1"/>
  <c r="AG241" i="4" s="1"/>
  <c r="AG242" i="4" s="1"/>
  <c r="AG243" i="4" s="1"/>
  <c r="AG244" i="4" s="1"/>
  <c r="AG245" i="4" s="1"/>
  <c r="AG246" i="4" s="1"/>
  <c r="AZ138" i="3"/>
  <c r="J236" i="4"/>
  <c r="K236" i="4" s="1"/>
  <c r="Z235" i="4"/>
  <c r="E32" i="5" l="1"/>
  <c r="E236" i="4"/>
  <c r="G236" i="4" s="1"/>
  <c r="I236" i="4" s="1"/>
  <c r="B21" i="4"/>
  <c r="D21" i="4" s="1"/>
  <c r="BN138" i="3"/>
  <c r="AV138" i="3"/>
  <c r="L236" i="4"/>
  <c r="AD236" i="4"/>
  <c r="CN137" i="3"/>
  <c r="AD135" i="3"/>
  <c r="L135" i="3"/>
  <c r="CT137" i="3"/>
  <c r="BY138" i="3" s="1"/>
  <c r="CA138" i="3" s="1"/>
  <c r="DC137" i="3"/>
  <c r="M236" i="4"/>
  <c r="N135" i="3" l="1"/>
  <c r="O135" i="3"/>
  <c r="CV137" i="3"/>
  <c r="CW137" i="3" s="1"/>
  <c r="CO137" i="3"/>
  <c r="DB137" i="3" s="1"/>
  <c r="AX138" i="3"/>
  <c r="AY138" i="3"/>
  <c r="P236" i="4"/>
  <c r="CB138" i="3"/>
  <c r="CD138" i="3" l="1"/>
  <c r="CG138" i="3" s="1"/>
  <c r="Q236" i="4"/>
  <c r="R236" i="4" s="1"/>
  <c r="BA138" i="3"/>
  <c r="BB138" i="3" s="1"/>
  <c r="Q135" i="3"/>
  <c r="R135" i="3" s="1"/>
  <c r="CC138" i="3"/>
  <c r="CJ138" i="3" l="1"/>
  <c r="X135" i="3"/>
  <c r="AA135" i="3" s="1"/>
  <c r="F136" i="3" s="1"/>
  <c r="V135" i="3"/>
  <c r="AF135" i="3" s="1"/>
  <c r="W135" i="3"/>
  <c r="S135" i="3"/>
  <c r="AE135" i="3" s="1"/>
  <c r="X236" i="4"/>
  <c r="AA236" i="4" s="1"/>
  <c r="F237" i="4" s="1"/>
  <c r="W236" i="4"/>
  <c r="V236" i="4"/>
  <c r="AF236" i="4" s="1"/>
  <c r="BH138" i="3"/>
  <c r="BK138" i="3" s="1"/>
  <c r="AP139" i="3" s="1"/>
  <c r="BF138" i="3"/>
  <c r="BP138" i="3" s="1"/>
  <c r="BG138" i="3"/>
  <c r="BC138" i="3"/>
  <c r="BO138" i="3" s="1"/>
  <c r="CE138" i="3"/>
  <c r="S236" i="4"/>
  <c r="T236" i="4" s="1"/>
  <c r="BD138" i="3" l="1"/>
  <c r="BS138" i="3"/>
  <c r="BJ138" i="3"/>
  <c r="AO139" i="3" s="1"/>
  <c r="AQ139" i="3" s="1"/>
  <c r="BL138" i="3"/>
  <c r="BM138" i="3" s="1"/>
  <c r="BE138" i="3"/>
  <c r="BR138" i="3" s="1"/>
  <c r="J237" i="4"/>
  <c r="K237" i="4" s="1"/>
  <c r="Z135" i="3"/>
  <c r="E136" i="3" s="1"/>
  <c r="G136" i="3" s="1"/>
  <c r="AI135" i="3"/>
  <c r="Z236" i="4"/>
  <c r="E237" i="4" s="1"/>
  <c r="G237" i="4" s="1"/>
  <c r="I237" i="4" s="1"/>
  <c r="AI236" i="4"/>
  <c r="AB236" i="4"/>
  <c r="U236" i="4"/>
  <c r="AH236" i="4" s="1"/>
  <c r="T135" i="3"/>
  <c r="AE236" i="4"/>
  <c r="CX138" i="3"/>
  <c r="CF138" i="3"/>
  <c r="AB135" i="3" l="1"/>
  <c r="AC135" i="3" s="1"/>
  <c r="U135" i="3"/>
  <c r="AH135" i="3" s="1"/>
  <c r="AC236" i="4"/>
  <c r="CH138" i="3"/>
  <c r="CI138" i="3"/>
  <c r="H136" i="3"/>
  <c r="I136" i="3" s="1"/>
  <c r="L237" i="4"/>
  <c r="AD237" i="4"/>
  <c r="M237" i="4"/>
  <c r="P237" i="4" s="1"/>
  <c r="AR139" i="3"/>
  <c r="Q237" i="4" l="1"/>
  <c r="R237" i="4" s="1"/>
  <c r="AT139" i="3"/>
  <c r="AW139" i="3" s="1"/>
  <c r="AS139" i="3"/>
  <c r="J136" i="3"/>
  <c r="M136" i="3" s="1"/>
  <c r="P136" i="3" s="1"/>
  <c r="CK138" i="3"/>
  <c r="CL138" i="3" s="1"/>
  <c r="CR138" i="3" l="1"/>
  <c r="CU138" i="3" s="1"/>
  <c r="BZ139" i="3" s="1"/>
  <c r="CQ138" i="3"/>
  <c r="CP138" i="3"/>
  <c r="CZ138" i="3" s="1"/>
  <c r="CM138" i="3"/>
  <c r="CY138" i="3" s="1"/>
  <c r="AU139" i="3"/>
  <c r="K136" i="3"/>
  <c r="AZ139" i="3"/>
  <c r="X237" i="4"/>
  <c r="AA237" i="4" s="1"/>
  <c r="F238" i="4" s="1"/>
  <c r="W237" i="4"/>
  <c r="V237" i="4"/>
  <c r="AF237" i="4" s="1"/>
  <c r="S237" i="4"/>
  <c r="AE237" i="4" l="1"/>
  <c r="Z237" i="4"/>
  <c r="E238" i="4" s="1"/>
  <c r="G238" i="4" s="1"/>
  <c r="I238" i="4" s="1"/>
  <c r="AI237" i="4"/>
  <c r="T237" i="4"/>
  <c r="BN139" i="3"/>
  <c r="AV139" i="3"/>
  <c r="CT138" i="3"/>
  <c r="BY139" i="3" s="1"/>
  <c r="CA139" i="3" s="1"/>
  <c r="DC138" i="3"/>
  <c r="J238" i="4"/>
  <c r="K238" i="4" s="1"/>
  <c r="AD136" i="3"/>
  <c r="L136" i="3"/>
  <c r="CN138" i="3"/>
  <c r="M238" i="4" l="1"/>
  <c r="P238" i="4"/>
  <c r="Q238" i="4"/>
  <c r="R238" i="4" s="1"/>
  <c r="V238" i="4" s="1"/>
  <c r="AF238" i="4" s="1"/>
  <c r="N136" i="3"/>
  <c r="O136" i="3"/>
  <c r="CB139" i="3"/>
  <c r="CC139" i="3" s="1"/>
  <c r="AX139" i="3"/>
  <c r="AY139" i="3"/>
  <c r="AB237" i="4"/>
  <c r="U237" i="4"/>
  <c r="AH237" i="4" s="1"/>
  <c r="CV138" i="3"/>
  <c r="CW138" i="3" s="1"/>
  <c r="CO138" i="3"/>
  <c r="DB138" i="3" s="1"/>
  <c r="L238" i="4"/>
  <c r="AD238" i="4"/>
  <c r="BA139" i="3" l="1"/>
  <c r="BB139" i="3" s="1"/>
  <c r="Q136" i="3"/>
  <c r="R136" i="3" s="1"/>
  <c r="CD139" i="3"/>
  <c r="CG139" i="3" s="1"/>
  <c r="CJ139" i="3" s="1"/>
  <c r="X238" i="4"/>
  <c r="AA238" i="4" s="1"/>
  <c r="F239" i="4" s="1"/>
  <c r="W238" i="4"/>
  <c r="S238" i="4"/>
  <c r="T238" i="4" s="1"/>
  <c r="AC237" i="4"/>
  <c r="CE139" i="3" l="1"/>
  <c r="CX139" i="3" s="1"/>
  <c r="J239" i="4"/>
  <c r="K239" i="4" s="1"/>
  <c r="X136" i="3"/>
  <c r="AA136" i="3" s="1"/>
  <c r="F137" i="3" s="1"/>
  <c r="W136" i="3"/>
  <c r="V136" i="3"/>
  <c r="AF136" i="3" s="1"/>
  <c r="S136" i="3"/>
  <c r="AE136" i="3" s="1"/>
  <c r="AB238" i="4"/>
  <c r="U238" i="4"/>
  <c r="AH238" i="4" s="1"/>
  <c r="CF139" i="3"/>
  <c r="BH139" i="3"/>
  <c r="BK139" i="3" s="1"/>
  <c r="BF139" i="3"/>
  <c r="BP139" i="3" s="1"/>
  <c r="BG139" i="3"/>
  <c r="BC139" i="3"/>
  <c r="BO139" i="3" s="1"/>
  <c r="AE238" i="4"/>
  <c r="Z238" i="4"/>
  <c r="E239" i="4" s="1"/>
  <c r="G239" i="4" s="1"/>
  <c r="I239" i="4" s="1"/>
  <c r="AI238" i="4"/>
  <c r="BD139" i="3" l="1"/>
  <c r="BL139" i="3"/>
  <c r="BM139" i="3" s="1"/>
  <c r="BE139" i="3"/>
  <c r="BR139" i="3" s="1"/>
  <c r="CH139" i="3"/>
  <c r="CI139" i="3"/>
  <c r="AI136" i="3"/>
  <c r="Z136" i="3"/>
  <c r="E137" i="3" s="1"/>
  <c r="G137" i="3" s="1"/>
  <c r="AP140" i="3"/>
  <c r="P13" i="3"/>
  <c r="T136" i="3"/>
  <c r="AC238" i="4"/>
  <c r="M239" i="4"/>
  <c r="P239" i="4" s="1"/>
  <c r="Q239" i="4" s="1"/>
  <c r="R239" i="4" s="1"/>
  <c r="W13" i="3"/>
  <c r="L239" i="4"/>
  <c r="AD239" i="4"/>
  <c r="G24" i="5"/>
  <c r="BS139" i="3"/>
  <c r="BI139" i="3"/>
  <c r="X239" i="4" l="1"/>
  <c r="AA239" i="4" s="1"/>
  <c r="F240" i="4" s="1"/>
  <c r="V239" i="4"/>
  <c r="AF239" i="4" s="1"/>
  <c r="W239" i="4"/>
  <c r="S239" i="4"/>
  <c r="CK139" i="3"/>
  <c r="CL139" i="3" s="1"/>
  <c r="AB136" i="3"/>
  <c r="AC136" i="3" s="1"/>
  <c r="U136" i="3"/>
  <c r="AH136" i="3" s="1"/>
  <c r="V13" i="3"/>
  <c r="BQ139" i="3"/>
  <c r="BQ140" i="3" s="1"/>
  <c r="BQ141" i="3" s="1"/>
  <c r="BQ142" i="3" s="1"/>
  <c r="BQ143" i="3" s="1"/>
  <c r="BQ144" i="3" s="1"/>
  <c r="BQ145" i="3" s="1"/>
  <c r="BQ146" i="3" s="1"/>
  <c r="BQ147" i="3" s="1"/>
  <c r="BQ148" i="3" s="1"/>
  <c r="BQ149" i="3" s="1"/>
  <c r="BQ150" i="3" s="1"/>
  <c r="BJ139" i="3"/>
  <c r="H137" i="3"/>
  <c r="Z239" i="4" l="1"/>
  <c r="E240" i="4" s="1"/>
  <c r="G240" i="4" s="1"/>
  <c r="I240" i="4" s="1"/>
  <c r="AI239" i="4"/>
  <c r="AE239" i="4"/>
  <c r="J137" i="3"/>
  <c r="M137" i="3" s="1"/>
  <c r="I137" i="3"/>
  <c r="T239" i="4"/>
  <c r="CR139" i="3"/>
  <c r="CU139" i="3" s="1"/>
  <c r="CP139" i="3"/>
  <c r="CZ139" i="3" s="1"/>
  <c r="CQ139" i="3"/>
  <c r="CM139" i="3"/>
  <c r="CY139" i="3" s="1"/>
  <c r="C24" i="5"/>
  <c r="AO140" i="3"/>
  <c r="AQ140" i="3" s="1"/>
  <c r="O13" i="3"/>
  <c r="Q13" i="3" s="1"/>
  <c r="J240" i="4"/>
  <c r="K240" i="4" s="1"/>
  <c r="CN139" i="3" l="1"/>
  <c r="CV139" i="3"/>
  <c r="CW139" i="3" s="1"/>
  <c r="CO139" i="3"/>
  <c r="DB139" i="3" s="1"/>
  <c r="DC139" i="3"/>
  <c r="CS139" i="3"/>
  <c r="AB239" i="4"/>
  <c r="AC239" i="4" s="1"/>
  <c r="U239" i="4"/>
  <c r="AH239" i="4" s="1"/>
  <c r="K137" i="3"/>
  <c r="AJ13" i="3"/>
  <c r="M240" i="4"/>
  <c r="P240" i="4" s="1"/>
  <c r="AR140" i="3"/>
  <c r="AS140" i="3" s="1"/>
  <c r="BZ140" i="3"/>
  <c r="AC13" i="3"/>
  <c r="P137" i="3"/>
  <c r="L240" i="4"/>
  <c r="AD240" i="4"/>
  <c r="H24" i="5"/>
  <c r="Q240" i="4" l="1"/>
  <c r="R240" i="4" s="1"/>
  <c r="AD137" i="3"/>
  <c r="L137" i="3"/>
  <c r="AI13" i="3"/>
  <c r="DA139" i="3"/>
  <c r="DA140" i="3" s="1"/>
  <c r="DA141" i="3" s="1"/>
  <c r="DA142" i="3" s="1"/>
  <c r="DA143" i="3" s="1"/>
  <c r="DA144" i="3" s="1"/>
  <c r="DA145" i="3" s="1"/>
  <c r="DA146" i="3" s="1"/>
  <c r="DA147" i="3" s="1"/>
  <c r="DA148" i="3" s="1"/>
  <c r="DA149" i="3" s="1"/>
  <c r="DA150" i="3" s="1"/>
  <c r="AT140" i="3"/>
  <c r="AW140" i="3" s="1"/>
  <c r="AZ140" i="3" s="1"/>
  <c r="CT139" i="3"/>
  <c r="AU140" i="3" l="1"/>
  <c r="BN140" i="3"/>
  <c r="AV140" i="3"/>
  <c r="X240" i="4"/>
  <c r="AA240" i="4" s="1"/>
  <c r="F241" i="4" s="1"/>
  <c r="V240" i="4"/>
  <c r="AF240" i="4" s="1"/>
  <c r="W240" i="4"/>
  <c r="N137" i="3"/>
  <c r="O137" i="3"/>
  <c r="S240" i="4"/>
  <c r="AE240" i="4" s="1"/>
  <c r="D24" i="5"/>
  <c r="BY140" i="3"/>
  <c r="CA140" i="3" s="1"/>
  <c r="AB13" i="3"/>
  <c r="AD13" i="3" s="1"/>
  <c r="CB140" i="3" l="1"/>
  <c r="CC140" i="3"/>
  <c r="Q137" i="3"/>
  <c r="R137" i="3" s="1"/>
  <c r="T240" i="4"/>
  <c r="Z240" i="4"/>
  <c r="E241" i="4" s="1"/>
  <c r="G241" i="4" s="1"/>
  <c r="I241" i="4" s="1"/>
  <c r="AI240" i="4"/>
  <c r="J241" i="4"/>
  <c r="K241" i="4" s="1"/>
  <c r="AX140" i="3"/>
  <c r="AY140" i="3"/>
  <c r="M241" i="4" l="1"/>
  <c r="AB240" i="4"/>
  <c r="AC240" i="4" s="1"/>
  <c r="U240" i="4"/>
  <c r="AH240" i="4" s="1"/>
  <c r="BA140" i="3"/>
  <c r="BB140" i="3" s="1"/>
  <c r="L241" i="4"/>
  <c r="AD241" i="4"/>
  <c r="P241" i="4"/>
  <c r="X137" i="3"/>
  <c r="AA137" i="3" s="1"/>
  <c r="F138" i="3" s="1"/>
  <c r="W137" i="3"/>
  <c r="V137" i="3"/>
  <c r="AF137" i="3" s="1"/>
  <c r="S137" i="3"/>
  <c r="AE137" i="3" s="1"/>
  <c r="CD140" i="3"/>
  <c r="CG140" i="3" s="1"/>
  <c r="CJ140" i="3" s="1"/>
  <c r="T137" i="3" l="1"/>
  <c r="CE140" i="3"/>
  <c r="AB137" i="3"/>
  <c r="AC137" i="3" s="1"/>
  <c r="U137" i="3"/>
  <c r="AH137" i="3" s="1"/>
  <c r="BH140" i="3"/>
  <c r="BK140" i="3" s="1"/>
  <c r="AP141" i="3" s="1"/>
  <c r="BG140" i="3"/>
  <c r="BF140" i="3"/>
  <c r="BP140" i="3" s="1"/>
  <c r="BC140" i="3"/>
  <c r="BD140" i="3" s="1"/>
  <c r="Q241" i="4"/>
  <c r="R241" i="4" s="1"/>
  <c r="CX140" i="3"/>
  <c r="CF140" i="3"/>
  <c r="AI137" i="3"/>
  <c r="Z137" i="3"/>
  <c r="E138" i="3" s="1"/>
  <c r="G138" i="3" s="1"/>
  <c r="BL140" i="3" l="1"/>
  <c r="BE140" i="3"/>
  <c r="BR140" i="3" s="1"/>
  <c r="X241" i="4"/>
  <c r="AA241" i="4" s="1"/>
  <c r="F242" i="4" s="1"/>
  <c r="W241" i="4"/>
  <c r="V241" i="4"/>
  <c r="AF241" i="4" s="1"/>
  <c r="BO140" i="3"/>
  <c r="BJ140" i="3"/>
  <c r="AO141" i="3" s="1"/>
  <c r="AQ141" i="3" s="1"/>
  <c r="BS140" i="3"/>
  <c r="H138" i="3"/>
  <c r="S241" i="4"/>
  <c r="AE241" i="4" s="1"/>
  <c r="CH140" i="3"/>
  <c r="CI140" i="3"/>
  <c r="AR141" i="3" l="1"/>
  <c r="CK140" i="3"/>
  <c r="CL140" i="3" s="1"/>
  <c r="T241" i="4"/>
  <c r="J138" i="3"/>
  <c r="M138" i="3" s="1"/>
  <c r="I138" i="3"/>
  <c r="Z241" i="4"/>
  <c r="E242" i="4" s="1"/>
  <c r="G242" i="4" s="1"/>
  <c r="I242" i="4" s="1"/>
  <c r="AI241" i="4"/>
  <c r="J242" i="4"/>
  <c r="K242" i="4" s="1"/>
  <c r="BM140" i="3"/>
  <c r="L242" i="4" l="1"/>
  <c r="AD242" i="4"/>
  <c r="M242" i="4"/>
  <c r="P242" i="4" s="1"/>
  <c r="P138" i="3"/>
  <c r="K138" i="3"/>
  <c r="AB241" i="4"/>
  <c r="AC241" i="4" s="1"/>
  <c r="U241" i="4"/>
  <c r="AH241" i="4" s="1"/>
  <c r="CR140" i="3"/>
  <c r="CU140" i="3" s="1"/>
  <c r="BZ141" i="3" s="1"/>
  <c r="CQ140" i="3"/>
  <c r="CP140" i="3"/>
  <c r="CZ140" i="3" s="1"/>
  <c r="CM140" i="3"/>
  <c r="CN140" i="3" s="1"/>
  <c r="AT141" i="3"/>
  <c r="AW141" i="3" s="1"/>
  <c r="AU141" i="3"/>
  <c r="AS141" i="3"/>
  <c r="Q242" i="4" l="1"/>
  <c r="R242" i="4" s="1"/>
  <c r="CV140" i="3"/>
  <c r="CO140" i="3"/>
  <c r="DB140" i="3" s="1"/>
  <c r="AD138" i="3"/>
  <c r="L138" i="3"/>
  <c r="AZ141" i="3"/>
  <c r="BN141" i="3"/>
  <c r="AV141" i="3"/>
  <c r="CY140" i="3"/>
  <c r="CT140" i="3"/>
  <c r="BY141" i="3" s="1"/>
  <c r="CA141" i="3" s="1"/>
  <c r="DC140" i="3"/>
  <c r="CB141" i="3" l="1"/>
  <c r="CW140" i="3"/>
  <c r="X242" i="4"/>
  <c r="AA242" i="4" s="1"/>
  <c r="F243" i="4" s="1"/>
  <c r="W242" i="4"/>
  <c r="V242" i="4"/>
  <c r="AF242" i="4" s="1"/>
  <c r="N138" i="3"/>
  <c r="O138" i="3"/>
  <c r="AX141" i="3"/>
  <c r="AY141" i="3"/>
  <c r="S242" i="4"/>
  <c r="AE242" i="4" s="1"/>
  <c r="T242" i="4" l="1"/>
  <c r="AB242" i="4"/>
  <c r="AC242" i="4" s="1"/>
  <c r="U242" i="4"/>
  <c r="AH242" i="4" s="1"/>
  <c r="Q138" i="3"/>
  <c r="R138" i="3" s="1"/>
  <c r="AI242" i="4"/>
  <c r="Z242" i="4"/>
  <c r="E243" i="4" s="1"/>
  <c r="G243" i="4" s="1"/>
  <c r="I243" i="4" s="1"/>
  <c r="J243" i="4"/>
  <c r="K243" i="4" s="1"/>
  <c r="CD141" i="3"/>
  <c r="CG141" i="3" s="1"/>
  <c r="BA141" i="3"/>
  <c r="BB141" i="3" s="1"/>
  <c r="CC141" i="3"/>
  <c r="CE141" i="3" l="1"/>
  <c r="M243" i="4"/>
  <c r="P243" i="4" s="1"/>
  <c r="Q243" i="4" s="1"/>
  <c r="R243" i="4" s="1"/>
  <c r="L243" i="4"/>
  <c r="AD243" i="4"/>
  <c r="X138" i="3"/>
  <c r="AA138" i="3" s="1"/>
  <c r="F139" i="3" s="1"/>
  <c r="W138" i="3"/>
  <c r="V138" i="3"/>
  <c r="AF138" i="3" s="1"/>
  <c r="S138" i="3"/>
  <c r="AE138" i="3" s="1"/>
  <c r="CJ141" i="3"/>
  <c r="BH141" i="3"/>
  <c r="BK141" i="3" s="1"/>
  <c r="AP142" i="3" s="1"/>
  <c r="BG141" i="3"/>
  <c r="BF141" i="3"/>
  <c r="BP141" i="3" s="1"/>
  <c r="BC141" i="3"/>
  <c r="BD141" i="3" s="1"/>
  <c r="BL141" i="3" l="1"/>
  <c r="BE141" i="3"/>
  <c r="BR141" i="3" s="1"/>
  <c r="Z138" i="3"/>
  <c r="E139" i="3" s="1"/>
  <c r="G139" i="3" s="1"/>
  <c r="AI138" i="3"/>
  <c r="X243" i="4"/>
  <c r="AA243" i="4" s="1"/>
  <c r="F244" i="4" s="1"/>
  <c r="T138" i="3"/>
  <c r="BO141" i="3"/>
  <c r="BJ141" i="3"/>
  <c r="AO142" i="3" s="1"/>
  <c r="AQ142" i="3" s="1"/>
  <c r="BS141" i="3"/>
  <c r="S243" i="4"/>
  <c r="AE243" i="4" s="1"/>
  <c r="W243" i="4"/>
  <c r="V243" i="4"/>
  <c r="AF243" i="4" s="1"/>
  <c r="CX141" i="3"/>
  <c r="CF141" i="3"/>
  <c r="T243" i="4" l="1"/>
  <c r="AB243" i="4"/>
  <c r="AC243" i="4" s="1"/>
  <c r="U243" i="4"/>
  <c r="AH243" i="4" s="1"/>
  <c r="H139" i="3"/>
  <c r="I139" i="3"/>
  <c r="AR142" i="3"/>
  <c r="AS142" i="3" s="1"/>
  <c r="AB138" i="3"/>
  <c r="AC138" i="3" s="1"/>
  <c r="U138" i="3"/>
  <c r="AH138" i="3" s="1"/>
  <c r="Z243" i="4"/>
  <c r="E244" i="4" s="1"/>
  <c r="G244" i="4" s="1"/>
  <c r="I244" i="4" s="1"/>
  <c r="AI243" i="4"/>
  <c r="CI141" i="3"/>
  <c r="CH141" i="3"/>
  <c r="J244" i="4"/>
  <c r="K244" i="4" s="1"/>
  <c r="BM141" i="3"/>
  <c r="CK141" i="3" l="1"/>
  <c r="CL141" i="3" s="1"/>
  <c r="J139" i="3"/>
  <c r="M139" i="3" s="1"/>
  <c r="P139" i="3" s="1"/>
  <c r="L244" i="4"/>
  <c r="AD244" i="4"/>
  <c r="M244" i="4"/>
  <c r="P244" i="4"/>
  <c r="Q244" i="4"/>
  <c r="R244" i="4" s="1"/>
  <c r="AT142" i="3"/>
  <c r="AW142" i="3" s="1"/>
  <c r="AZ142" i="3" s="1"/>
  <c r="AU142" i="3"/>
  <c r="X244" i="4" l="1"/>
  <c r="AA244" i="4" s="1"/>
  <c r="F245" i="4" s="1"/>
  <c r="K139" i="3"/>
  <c r="BN142" i="3"/>
  <c r="CR141" i="3"/>
  <c r="CU141" i="3" s="1"/>
  <c r="BZ142" i="3" s="1"/>
  <c r="CP141" i="3"/>
  <c r="CZ141" i="3" s="1"/>
  <c r="CQ141" i="3"/>
  <c r="CM141" i="3"/>
  <c r="AV142" i="3"/>
  <c r="S244" i="4"/>
  <c r="AE244" i="4" s="1"/>
  <c r="W244" i="4"/>
  <c r="V244" i="4"/>
  <c r="AF244" i="4" s="1"/>
  <c r="Z244" i="4" l="1"/>
  <c r="E245" i="4" s="1"/>
  <c r="G245" i="4" s="1"/>
  <c r="I245" i="4" s="1"/>
  <c r="AI244" i="4"/>
  <c r="AX142" i="3"/>
  <c r="AY142" i="3"/>
  <c r="CY141" i="3"/>
  <c r="DC141" i="3"/>
  <c r="CT141" i="3"/>
  <c r="BY142" i="3" s="1"/>
  <c r="CA142" i="3" s="1"/>
  <c r="CN141" i="3"/>
  <c r="AD139" i="3"/>
  <c r="L139" i="3"/>
  <c r="J245" i="4"/>
  <c r="K245" i="4" s="1"/>
  <c r="T244" i="4"/>
  <c r="AB244" i="4" l="1"/>
  <c r="AC244" i="4" s="1"/>
  <c r="U244" i="4"/>
  <c r="AH244" i="4" s="1"/>
  <c r="L245" i="4"/>
  <c r="AD245" i="4"/>
  <c r="CV141" i="3"/>
  <c r="CO141" i="3"/>
  <c r="DB141" i="3" s="1"/>
  <c r="CB142" i="3"/>
  <c r="BA142" i="3"/>
  <c r="BB142" i="3" s="1"/>
  <c r="M245" i="4"/>
  <c r="P245" i="4" s="1"/>
  <c r="O139" i="3"/>
  <c r="N139" i="3"/>
  <c r="Q245" i="4" l="1"/>
  <c r="R245" i="4" s="1"/>
  <c r="BH142" i="3"/>
  <c r="BK142" i="3" s="1"/>
  <c r="AP143" i="3" s="1"/>
  <c r="BF142" i="3"/>
  <c r="BP142" i="3" s="1"/>
  <c r="BG142" i="3"/>
  <c r="BC142" i="3"/>
  <c r="BD142" i="3" s="1"/>
  <c r="Q139" i="3"/>
  <c r="R139" i="3" s="1"/>
  <c r="CD142" i="3"/>
  <c r="CG142" i="3" s="1"/>
  <c r="CC142" i="3"/>
  <c r="CW141" i="3"/>
  <c r="BL142" i="3" l="1"/>
  <c r="BE142" i="3"/>
  <c r="BR142" i="3" s="1"/>
  <c r="X139" i="3"/>
  <c r="AA139" i="3" s="1"/>
  <c r="V139" i="3"/>
  <c r="AF139" i="3" s="1"/>
  <c r="W139" i="3"/>
  <c r="S139" i="3"/>
  <c r="AE139" i="3" s="1"/>
  <c r="CJ142" i="3"/>
  <c r="BO142" i="3"/>
  <c r="X245" i="4"/>
  <c r="AA245" i="4" s="1"/>
  <c r="F246" i="4" s="1"/>
  <c r="W245" i="4"/>
  <c r="V245" i="4"/>
  <c r="AF245" i="4" s="1"/>
  <c r="CE142" i="3"/>
  <c r="BS142" i="3"/>
  <c r="BJ142" i="3"/>
  <c r="AO143" i="3" s="1"/>
  <c r="AQ143" i="3" s="1"/>
  <c r="S245" i="4"/>
  <c r="AE245" i="4" s="1"/>
  <c r="T139" i="3" l="1"/>
  <c r="F24" i="5"/>
  <c r="Y139" i="3"/>
  <c r="AI139" i="3"/>
  <c r="CX142" i="3"/>
  <c r="CF142" i="3"/>
  <c r="Z245" i="4"/>
  <c r="E246" i="4" s="1"/>
  <c r="G246" i="4" s="1"/>
  <c r="I246" i="4" s="1"/>
  <c r="AI245" i="4"/>
  <c r="J246" i="4"/>
  <c r="K246" i="4" s="1"/>
  <c r="AR143" i="3"/>
  <c r="AS143" i="3" s="1"/>
  <c r="J13" i="3"/>
  <c r="F140" i="3"/>
  <c r="C13" i="3"/>
  <c r="T245" i="4"/>
  <c r="BM142" i="3"/>
  <c r="L246" i="4" l="1"/>
  <c r="AD246" i="4"/>
  <c r="I13" i="3"/>
  <c r="AG139" i="3"/>
  <c r="AG140" i="3" s="1"/>
  <c r="AG141" i="3" s="1"/>
  <c r="AG142" i="3" s="1"/>
  <c r="AG143" i="3" s="1"/>
  <c r="AG144" i="3" s="1"/>
  <c r="AG145" i="3" s="1"/>
  <c r="AG146" i="3" s="1"/>
  <c r="AG147" i="3" s="1"/>
  <c r="AG148" i="3" s="1"/>
  <c r="AG149" i="3" s="1"/>
  <c r="AG150" i="3" s="1"/>
  <c r="M246" i="4"/>
  <c r="P246" i="4"/>
  <c r="Q246" i="4"/>
  <c r="R246" i="4" s="1"/>
  <c r="CH142" i="3"/>
  <c r="CI142" i="3"/>
  <c r="AB245" i="4"/>
  <c r="AC245" i="4" s="1"/>
  <c r="U245" i="4"/>
  <c r="AH245" i="4" s="1"/>
  <c r="Z139" i="3"/>
  <c r="AB139" i="3"/>
  <c r="AC139" i="3" s="1"/>
  <c r="U139" i="3"/>
  <c r="AH139" i="3" s="1"/>
  <c r="AT143" i="3"/>
  <c r="AW143" i="3" s="1"/>
  <c r="AZ143" i="3" s="1"/>
  <c r="AU143" i="3" l="1"/>
  <c r="CK142" i="3"/>
  <c r="CL142" i="3" s="1"/>
  <c r="X246" i="4"/>
  <c r="AA246" i="4" s="1"/>
  <c r="F247" i="4" s="1"/>
  <c r="V246" i="4"/>
  <c r="AF246" i="4" s="1"/>
  <c r="W246" i="4"/>
  <c r="S246" i="4"/>
  <c r="AE246" i="4" s="1"/>
  <c r="B24" i="5"/>
  <c r="E140" i="3"/>
  <c r="G140" i="3" s="1"/>
  <c r="B13" i="3"/>
  <c r="D13" i="3" s="1"/>
  <c r="H140" i="3" l="1"/>
  <c r="CR142" i="3"/>
  <c r="CU142" i="3" s="1"/>
  <c r="BZ143" i="3" s="1"/>
  <c r="CQ142" i="3"/>
  <c r="CP142" i="3"/>
  <c r="CZ142" i="3" s="1"/>
  <c r="CM142" i="3"/>
  <c r="Z246" i="4"/>
  <c r="E247" i="4" s="1"/>
  <c r="G247" i="4" s="1"/>
  <c r="I247" i="4" s="1"/>
  <c r="AI246" i="4"/>
  <c r="T246" i="4"/>
  <c r="BN143" i="3"/>
  <c r="AV143" i="3"/>
  <c r="J247" i="4"/>
  <c r="K247" i="4" s="1"/>
  <c r="M247" i="4" l="1"/>
  <c r="AX143" i="3"/>
  <c r="AY143" i="3"/>
  <c r="AB246" i="4"/>
  <c r="AC246" i="4" s="1"/>
  <c r="U246" i="4"/>
  <c r="AH246" i="4" s="1"/>
  <c r="CY142" i="3"/>
  <c r="J140" i="3"/>
  <c r="M140" i="3" s="1"/>
  <c r="P247" i="4"/>
  <c r="Q247" i="4"/>
  <c r="R247" i="4" s="1"/>
  <c r="W247" i="4" s="1"/>
  <c r="DC142" i="3"/>
  <c r="CT142" i="3"/>
  <c r="BY143" i="3" s="1"/>
  <c r="CA143" i="3" s="1"/>
  <c r="CN142" i="3"/>
  <c r="L247" i="4"/>
  <c r="AD247" i="4"/>
  <c r="I140" i="3"/>
  <c r="V247" i="4" l="1"/>
  <c r="AF247" i="4" s="1"/>
  <c r="Y247" i="4"/>
  <c r="AI247" i="4"/>
  <c r="K140" i="3"/>
  <c r="CV142" i="3"/>
  <c r="CO142" i="3"/>
  <c r="DB142" i="3" s="1"/>
  <c r="BA143" i="3"/>
  <c r="BB143" i="3" s="1"/>
  <c r="J22" i="4"/>
  <c r="P140" i="3"/>
  <c r="CB143" i="3"/>
  <c r="X247" i="4"/>
  <c r="AA247" i="4" s="1"/>
  <c r="S247" i="4"/>
  <c r="AE247" i="4" s="1"/>
  <c r="I33" i="5" s="1"/>
  <c r="BH143" i="3" l="1"/>
  <c r="BK143" i="3" s="1"/>
  <c r="AP144" i="3" s="1"/>
  <c r="BG143" i="3"/>
  <c r="BF143" i="3"/>
  <c r="BP143" i="3" s="1"/>
  <c r="BC143" i="3"/>
  <c r="T247" i="4"/>
  <c r="CD143" i="3"/>
  <c r="CG143" i="3" s="1"/>
  <c r="CE143" i="3"/>
  <c r="CF143" i="3" s="1"/>
  <c r="CC143" i="3"/>
  <c r="CW142" i="3"/>
  <c r="F248" i="4"/>
  <c r="C22" i="4"/>
  <c r="AD140" i="3"/>
  <c r="L140" i="3"/>
  <c r="I22" i="4"/>
  <c r="AG247" i="4"/>
  <c r="AG248" i="4" s="1"/>
  <c r="AG249" i="4" s="1"/>
  <c r="AG250" i="4" s="1"/>
  <c r="AG251" i="4" s="1"/>
  <c r="AG252" i="4" s="1"/>
  <c r="AG253" i="4" s="1"/>
  <c r="AG254" i="4" s="1"/>
  <c r="AG255" i="4" s="1"/>
  <c r="AG256" i="4" s="1"/>
  <c r="AG257" i="4" s="1"/>
  <c r="AG258" i="4" s="1"/>
  <c r="Z247" i="4"/>
  <c r="CH143" i="3" l="1"/>
  <c r="CI143" i="3"/>
  <c r="CX143" i="3"/>
  <c r="E33" i="5"/>
  <c r="E248" i="4"/>
  <c r="G248" i="4" s="1"/>
  <c r="I248" i="4" s="1"/>
  <c r="B22" i="4"/>
  <c r="D22" i="4" s="1"/>
  <c r="N140" i="3"/>
  <c r="O140" i="3"/>
  <c r="BJ143" i="3"/>
  <c r="AO144" i="3" s="1"/>
  <c r="AQ144" i="3" s="1"/>
  <c r="BS143" i="3"/>
  <c r="BO143" i="3"/>
  <c r="CJ143" i="3"/>
  <c r="AB247" i="4"/>
  <c r="AC247" i="4" s="1"/>
  <c r="U247" i="4"/>
  <c r="AH247" i="4" s="1"/>
  <c r="BD143" i="3"/>
  <c r="J248" i="4"/>
  <c r="K248" i="4" s="1"/>
  <c r="AR144" i="3" l="1"/>
  <c r="M248" i="4"/>
  <c r="CK143" i="3"/>
  <c r="CL143" i="3" s="1"/>
  <c r="L248" i="4"/>
  <c r="AD248" i="4"/>
  <c r="Q140" i="3"/>
  <c r="R140" i="3" s="1"/>
  <c r="BL143" i="3"/>
  <c r="BE143" i="3"/>
  <c r="BR143" i="3" s="1"/>
  <c r="CM143" i="3"/>
  <c r="P248" i="4"/>
  <c r="Q248" i="4" s="1"/>
  <c r="R248" i="4" s="1"/>
  <c r="X140" i="3" l="1"/>
  <c r="AA140" i="3" s="1"/>
  <c r="F141" i="3" s="1"/>
  <c r="W140" i="3"/>
  <c r="V140" i="3"/>
  <c r="AF140" i="3" s="1"/>
  <c r="S140" i="3"/>
  <c r="CY143" i="3"/>
  <c r="BM143" i="3"/>
  <c r="CR143" i="3"/>
  <c r="CU143" i="3" s="1"/>
  <c r="BZ144" i="3" s="1"/>
  <c r="CN143" i="3"/>
  <c r="CQ143" i="3"/>
  <c r="CP143" i="3"/>
  <c r="CZ143" i="3" s="1"/>
  <c r="S248" i="4"/>
  <c r="X248" i="4"/>
  <c r="AA248" i="4" s="1"/>
  <c r="F249" i="4" s="1"/>
  <c r="T248" i="4"/>
  <c r="V248" i="4"/>
  <c r="AF248" i="4" s="1"/>
  <c r="AT144" i="3"/>
  <c r="AW144" i="3" s="1"/>
  <c r="W248" i="4"/>
  <c r="AS144" i="3"/>
  <c r="AU144" i="3" l="1"/>
  <c r="BN144" i="3" s="1"/>
  <c r="DC143" i="3"/>
  <c r="CT143" i="3"/>
  <c r="BY144" i="3" s="1"/>
  <c r="CA144" i="3" s="1"/>
  <c r="AZ144" i="3"/>
  <c r="AE140" i="3"/>
  <c r="T140" i="3"/>
  <c r="CV143" i="3"/>
  <c r="CO143" i="3"/>
  <c r="DB143" i="3" s="1"/>
  <c r="AI248" i="4"/>
  <c r="Z248" i="4"/>
  <c r="E249" i="4" s="1"/>
  <c r="G249" i="4" s="1"/>
  <c r="I249" i="4" s="1"/>
  <c r="AV144" i="3"/>
  <c r="AI140" i="3"/>
  <c r="Z140" i="3"/>
  <c r="E141" i="3" s="1"/>
  <c r="G141" i="3" s="1"/>
  <c r="AB248" i="4"/>
  <c r="U248" i="4"/>
  <c r="AH248" i="4" s="1"/>
  <c r="J249" i="4"/>
  <c r="K249" i="4" s="1"/>
  <c r="AE248" i="4"/>
  <c r="L249" i="4" l="1"/>
  <c r="AD249" i="4"/>
  <c r="CW143" i="3"/>
  <c r="AB140" i="3"/>
  <c r="U140" i="3"/>
  <c r="AH140" i="3" s="1"/>
  <c r="M249" i="4"/>
  <c r="P249" i="4" s="1"/>
  <c r="AC248" i="4"/>
  <c r="CB144" i="3"/>
  <c r="CC144" i="3" s="1"/>
  <c r="H141" i="3"/>
  <c r="AY144" i="3"/>
  <c r="AX144" i="3"/>
  <c r="Q249" i="4" l="1"/>
  <c r="R249" i="4" s="1"/>
  <c r="AC140" i="3"/>
  <c r="BA144" i="3"/>
  <c r="BB144" i="3" s="1"/>
  <c r="J141" i="3"/>
  <c r="M141" i="3" s="1"/>
  <c r="I141" i="3"/>
  <c r="CD144" i="3"/>
  <c r="CG144" i="3" s="1"/>
  <c r="CJ144" i="3" s="1"/>
  <c r="BH144" i="3" l="1"/>
  <c r="BK144" i="3" s="1"/>
  <c r="AP145" i="3" s="1"/>
  <c r="BG144" i="3"/>
  <c r="BF144" i="3"/>
  <c r="BP144" i="3" s="1"/>
  <c r="BC144" i="3"/>
  <c r="BO144" i="3" s="1"/>
  <c r="CE144" i="3"/>
  <c r="P141" i="3"/>
  <c r="X249" i="4"/>
  <c r="AA249" i="4" s="1"/>
  <c r="F250" i="4" s="1"/>
  <c r="W249" i="4"/>
  <c r="V249" i="4"/>
  <c r="AF249" i="4" s="1"/>
  <c r="K141" i="3"/>
  <c r="S249" i="4"/>
  <c r="T249" i="4" s="1"/>
  <c r="AD141" i="3" l="1"/>
  <c r="L141" i="3"/>
  <c r="AB249" i="4"/>
  <c r="U249" i="4"/>
  <c r="AH249" i="4" s="1"/>
  <c r="CX144" i="3"/>
  <c r="CF144" i="3"/>
  <c r="AI249" i="4"/>
  <c r="Z249" i="4"/>
  <c r="E250" i="4" s="1"/>
  <c r="G250" i="4" s="1"/>
  <c r="I250" i="4" s="1"/>
  <c r="J250" i="4"/>
  <c r="K250" i="4" s="1"/>
  <c r="BS144" i="3"/>
  <c r="BJ144" i="3"/>
  <c r="AO145" i="3" s="1"/>
  <c r="AQ145" i="3" s="1"/>
  <c r="BD144" i="3"/>
  <c r="AE249" i="4"/>
  <c r="M250" i="4" l="1"/>
  <c r="CI144" i="3"/>
  <c r="CH144" i="3"/>
  <c r="N141" i="3"/>
  <c r="O141" i="3"/>
  <c r="L250" i="4"/>
  <c r="AD250" i="4"/>
  <c r="AC249" i="4"/>
  <c r="BL144" i="3"/>
  <c r="BM144" i="3" s="1"/>
  <c r="BE144" i="3"/>
  <c r="BR144" i="3" s="1"/>
  <c r="AR145" i="3"/>
  <c r="P250" i="4"/>
  <c r="Q250" i="4"/>
  <c r="R250" i="4" s="1"/>
  <c r="X250" i="4" l="1"/>
  <c r="AA250" i="4" s="1"/>
  <c r="F251" i="4" s="1"/>
  <c r="W250" i="4"/>
  <c r="AT145" i="3"/>
  <c r="AW145" i="3" s="1"/>
  <c r="Q141" i="3"/>
  <c r="R141" i="3" s="1"/>
  <c r="V250" i="4"/>
  <c r="AF250" i="4" s="1"/>
  <c r="S250" i="4"/>
  <c r="CK144" i="3"/>
  <c r="CL144" i="3" s="1"/>
  <c r="AS145" i="3"/>
  <c r="AE250" i="4" l="1"/>
  <c r="CR144" i="3"/>
  <c r="CU144" i="3" s="1"/>
  <c r="BZ145" i="3" s="1"/>
  <c r="CP144" i="3"/>
  <c r="CZ144" i="3" s="1"/>
  <c r="CQ144" i="3"/>
  <c r="CM144" i="3"/>
  <c r="CY144" i="3" s="1"/>
  <c r="J251" i="4"/>
  <c r="K251" i="4" s="1"/>
  <c r="AZ145" i="3"/>
  <c r="X141" i="3"/>
  <c r="AA141" i="3" s="1"/>
  <c r="F142" i="3" s="1"/>
  <c r="W141" i="3"/>
  <c r="V141" i="3"/>
  <c r="AF141" i="3" s="1"/>
  <c r="S141" i="3"/>
  <c r="T141" i="3" s="1"/>
  <c r="AU145" i="3"/>
  <c r="AI250" i="4"/>
  <c r="Z250" i="4"/>
  <c r="E251" i="4" s="1"/>
  <c r="G251" i="4" s="1"/>
  <c r="I251" i="4" s="1"/>
  <c r="T250" i="4"/>
  <c r="AB141" i="3" l="1"/>
  <c r="U141" i="3"/>
  <c r="AH141" i="3" s="1"/>
  <c r="Z141" i="3"/>
  <c r="E142" i="3" s="1"/>
  <c r="G142" i="3" s="1"/>
  <c r="AI141" i="3"/>
  <c r="L251" i="4"/>
  <c r="AD251" i="4"/>
  <c r="AB250" i="4"/>
  <c r="U250" i="4"/>
  <c r="AH250" i="4" s="1"/>
  <c r="BN145" i="3"/>
  <c r="AV145" i="3"/>
  <c r="M251" i="4"/>
  <c r="P251" i="4" s="1"/>
  <c r="Q251" i="4" s="1"/>
  <c r="R251" i="4" s="1"/>
  <c r="DC144" i="3"/>
  <c r="CT144" i="3"/>
  <c r="BY145" i="3" s="1"/>
  <c r="CA145" i="3" s="1"/>
  <c r="CN144" i="3"/>
  <c r="AE141" i="3"/>
  <c r="X251" i="4" l="1"/>
  <c r="AA251" i="4" s="1"/>
  <c r="F252" i="4" s="1"/>
  <c r="W251" i="4"/>
  <c r="S251" i="4"/>
  <c r="AC250" i="4"/>
  <c r="V251" i="4"/>
  <c r="AF251" i="4" s="1"/>
  <c r="CV144" i="3"/>
  <c r="CW144" i="3" s="1"/>
  <c r="CO144" i="3"/>
  <c r="DB144" i="3" s="1"/>
  <c r="CB145" i="3"/>
  <c r="H142" i="3"/>
  <c r="I142" i="3" s="1"/>
  <c r="AX145" i="3"/>
  <c r="AY145" i="3"/>
  <c r="AC141" i="3"/>
  <c r="CD145" i="3" l="1"/>
  <c r="CG145" i="3" s="1"/>
  <c r="CC145" i="3"/>
  <c r="BA145" i="3"/>
  <c r="BB145" i="3" s="1"/>
  <c r="J252" i="4"/>
  <c r="K252" i="4" s="1"/>
  <c r="AE251" i="4"/>
  <c r="Z251" i="4"/>
  <c r="E252" i="4" s="1"/>
  <c r="G252" i="4" s="1"/>
  <c r="I252" i="4" s="1"/>
  <c r="AI251" i="4"/>
  <c r="J142" i="3"/>
  <c r="M142" i="3" s="1"/>
  <c r="P142" i="3" s="1"/>
  <c r="T251" i="4"/>
  <c r="AB251" i="4" l="1"/>
  <c r="U251" i="4"/>
  <c r="AH251" i="4" s="1"/>
  <c r="K142" i="3"/>
  <c r="L252" i="4"/>
  <c r="AD252" i="4"/>
  <c r="M252" i="4"/>
  <c r="CJ145" i="3"/>
  <c r="P252" i="4"/>
  <c r="Q252" i="4"/>
  <c r="R252" i="4" s="1"/>
  <c r="V252" i="4" s="1"/>
  <c r="AF252" i="4" s="1"/>
  <c r="CE145" i="3"/>
  <c r="BH145" i="3"/>
  <c r="BK145" i="3" s="1"/>
  <c r="AP146" i="3" s="1"/>
  <c r="BG145" i="3"/>
  <c r="BF145" i="3"/>
  <c r="BP145" i="3" s="1"/>
  <c r="BC145" i="3"/>
  <c r="BO145" i="3" s="1"/>
  <c r="W252" i="4" l="1"/>
  <c r="Z252" i="4" s="1"/>
  <c r="E253" i="4" s="1"/>
  <c r="G253" i="4" s="1"/>
  <c r="I253" i="4" s="1"/>
  <c r="X252" i="4"/>
  <c r="AA252" i="4" s="1"/>
  <c r="F253" i="4" s="1"/>
  <c r="AD142" i="3"/>
  <c r="L142" i="3"/>
  <c r="BS145" i="3"/>
  <c r="BJ145" i="3"/>
  <c r="AO146" i="3" s="1"/>
  <c r="AQ146" i="3" s="1"/>
  <c r="BD145" i="3"/>
  <c r="AC251" i="4"/>
  <c r="CX145" i="3"/>
  <c r="CF145" i="3"/>
  <c r="S252" i="4"/>
  <c r="AE252" i="4" s="1"/>
  <c r="AI252" i="4" l="1"/>
  <c r="T252" i="4"/>
  <c r="BL145" i="3"/>
  <c r="BM145" i="3" s="1"/>
  <c r="BE145" i="3"/>
  <c r="BR145" i="3" s="1"/>
  <c r="AR146" i="3"/>
  <c r="O142" i="3"/>
  <c r="N142" i="3"/>
  <c r="J253" i="4"/>
  <c r="K253" i="4" s="1"/>
  <c r="AB252" i="4"/>
  <c r="AC252" i="4" s="1"/>
  <c r="U252" i="4"/>
  <c r="AH252" i="4" s="1"/>
  <c r="CH145" i="3"/>
  <c r="CI145" i="3"/>
  <c r="L253" i="4" l="1"/>
  <c r="AD253" i="4"/>
  <c r="Q142" i="3"/>
  <c r="R142" i="3" s="1"/>
  <c r="M253" i="4"/>
  <c r="P253" i="4" s="1"/>
  <c r="AT146" i="3"/>
  <c r="AW146" i="3" s="1"/>
  <c r="AS146" i="3"/>
  <c r="CK145" i="3"/>
  <c r="CL145" i="3" s="1"/>
  <c r="X142" i="3" l="1"/>
  <c r="AA142" i="3" s="1"/>
  <c r="F143" i="3" s="1"/>
  <c r="W142" i="3"/>
  <c r="V142" i="3"/>
  <c r="AF142" i="3" s="1"/>
  <c r="S142" i="3"/>
  <c r="CR145" i="3"/>
  <c r="CU145" i="3" s="1"/>
  <c r="BZ146" i="3" s="1"/>
  <c r="CP145" i="3"/>
  <c r="CZ145" i="3" s="1"/>
  <c r="CQ145" i="3"/>
  <c r="CM145" i="3"/>
  <c r="CY145" i="3" s="1"/>
  <c r="AZ146" i="3"/>
  <c r="AU146" i="3"/>
  <c r="Q253" i="4"/>
  <c r="R253" i="4" s="1"/>
  <c r="BN146" i="3" l="1"/>
  <c r="AV146" i="3"/>
  <c r="X253" i="4"/>
  <c r="AA253" i="4" s="1"/>
  <c r="F254" i="4" s="1"/>
  <c r="W253" i="4"/>
  <c r="V253" i="4"/>
  <c r="AF253" i="4" s="1"/>
  <c r="S253" i="4"/>
  <c r="AE253" i="4" s="1"/>
  <c r="CT145" i="3"/>
  <c r="BY146" i="3" s="1"/>
  <c r="CA146" i="3" s="1"/>
  <c r="DC145" i="3"/>
  <c r="AE142" i="3"/>
  <c r="CN145" i="3"/>
  <c r="AI142" i="3"/>
  <c r="Z142" i="3"/>
  <c r="E143" i="3" s="1"/>
  <c r="G143" i="3" s="1"/>
  <c r="T142" i="3"/>
  <c r="AI253" i="4" l="1"/>
  <c r="Z253" i="4"/>
  <c r="E254" i="4" s="1"/>
  <c r="G254" i="4" s="1"/>
  <c r="I254" i="4" s="1"/>
  <c r="CV145" i="3"/>
  <c r="CW145" i="3" s="1"/>
  <c r="CO145" i="3"/>
  <c r="DB145" i="3" s="1"/>
  <c r="CB146" i="3"/>
  <c r="H143" i="3"/>
  <c r="I143" i="3" s="1"/>
  <c r="J254" i="4"/>
  <c r="K254" i="4" s="1"/>
  <c r="AB142" i="3"/>
  <c r="U142" i="3"/>
  <c r="AH142" i="3" s="1"/>
  <c r="T253" i="4"/>
  <c r="AX146" i="3"/>
  <c r="AY146" i="3"/>
  <c r="AB253" i="4" l="1"/>
  <c r="AC253" i="4" s="1"/>
  <c r="U253" i="4"/>
  <c r="AH253" i="4" s="1"/>
  <c r="BA146" i="3"/>
  <c r="BB146" i="3" s="1"/>
  <c r="L254" i="4"/>
  <c r="AD254" i="4"/>
  <c r="M254" i="4"/>
  <c r="P254" i="4"/>
  <c r="Q254" i="4"/>
  <c r="R254" i="4" s="1"/>
  <c r="AC142" i="3"/>
  <c r="J143" i="3"/>
  <c r="M143" i="3" s="1"/>
  <c r="P143" i="3" s="1"/>
  <c r="CD146" i="3"/>
  <c r="CG146" i="3" s="1"/>
  <c r="CC146" i="3"/>
  <c r="X254" i="4" l="1"/>
  <c r="AA254" i="4" s="1"/>
  <c r="F255" i="4" s="1"/>
  <c r="W254" i="4"/>
  <c r="S254" i="4"/>
  <c r="AE254" i="4" s="1"/>
  <c r="BH146" i="3"/>
  <c r="BK146" i="3" s="1"/>
  <c r="AP147" i="3" s="1"/>
  <c r="BG146" i="3"/>
  <c r="BF146" i="3"/>
  <c r="BP146" i="3" s="1"/>
  <c r="BC146" i="3"/>
  <c r="BO146" i="3" s="1"/>
  <c r="K143" i="3"/>
  <c r="V254" i="4"/>
  <c r="AF254" i="4" s="1"/>
  <c r="CJ146" i="3"/>
  <c r="CE146" i="3"/>
  <c r="AD143" i="3" l="1"/>
  <c r="L143" i="3"/>
  <c r="BJ146" i="3"/>
  <c r="AO147" i="3" s="1"/>
  <c r="AQ147" i="3" s="1"/>
  <c r="BS146" i="3"/>
  <c r="BD146" i="3"/>
  <c r="CX146" i="3"/>
  <c r="CF146" i="3"/>
  <c r="Z254" i="4"/>
  <c r="E255" i="4" s="1"/>
  <c r="G255" i="4" s="1"/>
  <c r="I255" i="4" s="1"/>
  <c r="AI254" i="4"/>
  <c r="T254" i="4"/>
  <c r="J255" i="4"/>
  <c r="K255" i="4" s="1"/>
  <c r="BL146" i="3" l="1"/>
  <c r="BM146" i="3" s="1"/>
  <c r="BE146" i="3"/>
  <c r="BR146" i="3" s="1"/>
  <c r="L255" i="4"/>
  <c r="AD255" i="4"/>
  <c r="AR147" i="3"/>
  <c r="N143" i="3"/>
  <c r="O143" i="3"/>
  <c r="M255" i="4"/>
  <c r="P255" i="4" s="1"/>
  <c r="Q255" i="4" s="1"/>
  <c r="R255" i="4" s="1"/>
  <c r="CH146" i="3"/>
  <c r="CI146" i="3"/>
  <c r="AB254" i="4"/>
  <c r="AC254" i="4" s="1"/>
  <c r="U254" i="4"/>
  <c r="AH254" i="4" s="1"/>
  <c r="AT147" i="3" l="1"/>
  <c r="AW147" i="3" s="1"/>
  <c r="X255" i="4"/>
  <c r="AA255" i="4" s="1"/>
  <c r="F256" i="4" s="1"/>
  <c r="W255" i="4"/>
  <c r="CK146" i="3"/>
  <c r="CL146" i="3" s="1"/>
  <c r="Q143" i="3"/>
  <c r="R143" i="3" s="1"/>
  <c r="V255" i="4"/>
  <c r="AF255" i="4" s="1"/>
  <c r="AS147" i="3"/>
  <c r="S255" i="4"/>
  <c r="AE255" i="4" s="1"/>
  <c r="T255" i="4" l="1"/>
  <c r="X143" i="3"/>
  <c r="AA143" i="3" s="1"/>
  <c r="F144" i="3" s="1"/>
  <c r="W143" i="3"/>
  <c r="V143" i="3"/>
  <c r="AF143" i="3" s="1"/>
  <c r="S143" i="3"/>
  <c r="Z255" i="4"/>
  <c r="E256" i="4" s="1"/>
  <c r="G256" i="4" s="1"/>
  <c r="I256" i="4" s="1"/>
  <c r="AI255" i="4"/>
  <c r="AZ147" i="3"/>
  <c r="J256" i="4"/>
  <c r="K256" i="4" s="1"/>
  <c r="AU147" i="3"/>
  <c r="CR146" i="3"/>
  <c r="CU146" i="3" s="1"/>
  <c r="BZ147" i="3" s="1"/>
  <c r="CQ146" i="3"/>
  <c r="CP146" i="3"/>
  <c r="CZ146" i="3" s="1"/>
  <c r="CM146" i="3"/>
  <c r="CY146" i="3" s="1"/>
  <c r="AB255" i="4"/>
  <c r="AC255" i="4" s="1"/>
  <c r="U255" i="4"/>
  <c r="AH255" i="4" s="1"/>
  <c r="CN146" i="3" l="1"/>
  <c r="CV146" i="3"/>
  <c r="CW146" i="3" s="1"/>
  <c r="CO146" i="3"/>
  <c r="DB146" i="3" s="1"/>
  <c r="L256" i="4"/>
  <c r="AD256" i="4"/>
  <c r="V256" i="4"/>
  <c r="AF256" i="4" s="1"/>
  <c r="Q256" i="4"/>
  <c r="R256" i="4" s="1"/>
  <c r="P256" i="4"/>
  <c r="BN147" i="3"/>
  <c r="AV147" i="3"/>
  <c r="M256" i="4"/>
  <c r="AE143" i="3"/>
  <c r="Z143" i="3"/>
  <c r="E144" i="3" s="1"/>
  <c r="G144" i="3" s="1"/>
  <c r="AI143" i="3"/>
  <c r="CT146" i="3"/>
  <c r="BY147" i="3" s="1"/>
  <c r="CA147" i="3" s="1"/>
  <c r="DC146" i="3"/>
  <c r="T143" i="3"/>
  <c r="X256" i="4" l="1"/>
  <c r="AA256" i="4" s="1"/>
  <c r="F257" i="4" s="1"/>
  <c r="W256" i="4"/>
  <c r="H144" i="3"/>
  <c r="AB143" i="3"/>
  <c r="U143" i="3"/>
  <c r="AH143" i="3" s="1"/>
  <c r="AX147" i="3"/>
  <c r="AY147" i="3"/>
  <c r="S256" i="4"/>
  <c r="AE256" i="4" s="1"/>
  <c r="CB147" i="3"/>
  <c r="BA147" i="3" l="1"/>
  <c r="BB147" i="3" s="1"/>
  <c r="J144" i="3"/>
  <c r="M144" i="3" s="1"/>
  <c r="AC143" i="3"/>
  <c r="J257" i="4"/>
  <c r="K257" i="4" s="1"/>
  <c r="I144" i="3"/>
  <c r="Z256" i="4"/>
  <c r="E257" i="4" s="1"/>
  <c r="G257" i="4" s="1"/>
  <c r="I257" i="4" s="1"/>
  <c r="AI256" i="4"/>
  <c r="CD147" i="3"/>
  <c r="CG147" i="3" s="1"/>
  <c r="CC147" i="3"/>
  <c r="T256" i="4"/>
  <c r="P144" i="3" l="1"/>
  <c r="V257" i="4"/>
  <c r="AF257" i="4" s="1"/>
  <c r="P257" i="4"/>
  <c r="Q257" i="4"/>
  <c r="R257" i="4" s="1"/>
  <c r="M257" i="4"/>
  <c r="K144" i="3"/>
  <c r="AB256" i="4"/>
  <c r="AC256" i="4" s="1"/>
  <c r="U256" i="4"/>
  <c r="AH256" i="4" s="1"/>
  <c r="CJ147" i="3"/>
  <c r="L257" i="4"/>
  <c r="AD257" i="4"/>
  <c r="BH147" i="3"/>
  <c r="BK147" i="3" s="1"/>
  <c r="AP148" i="3" s="1"/>
  <c r="BG147" i="3"/>
  <c r="BF147" i="3"/>
  <c r="BP147" i="3" s="1"/>
  <c r="BC147" i="3"/>
  <c r="BO147" i="3" s="1"/>
  <c r="CE147" i="3"/>
  <c r="CX147" i="3" l="1"/>
  <c r="CF147" i="3"/>
  <c r="BS147" i="3"/>
  <c r="BJ147" i="3"/>
  <c r="AO148" i="3" s="1"/>
  <c r="AQ148" i="3" s="1"/>
  <c r="X257" i="4"/>
  <c r="AA257" i="4" s="1"/>
  <c r="F258" i="4" s="1"/>
  <c r="W257" i="4"/>
  <c r="BD147" i="3"/>
  <c r="AD144" i="3"/>
  <c r="L144" i="3"/>
  <c r="S257" i="4"/>
  <c r="AE257" i="4" s="1"/>
  <c r="T257" i="4" l="1"/>
  <c r="AR148" i="3"/>
  <c r="N144" i="3"/>
  <c r="O144" i="3"/>
  <c r="BL147" i="3"/>
  <c r="BM147" i="3" s="1"/>
  <c r="BE147" i="3"/>
  <c r="BR147" i="3" s="1"/>
  <c r="Z257" i="4"/>
  <c r="E258" i="4" s="1"/>
  <c r="G258" i="4" s="1"/>
  <c r="I258" i="4" s="1"/>
  <c r="AI257" i="4"/>
  <c r="AB257" i="4"/>
  <c r="AC257" i="4" s="1"/>
  <c r="U257" i="4"/>
  <c r="AH257" i="4" s="1"/>
  <c r="J258" i="4"/>
  <c r="K258" i="4" s="1"/>
  <c r="CH147" i="3"/>
  <c r="CI147" i="3"/>
  <c r="M258" i="4" l="1"/>
  <c r="Q144" i="3"/>
  <c r="R144" i="3" s="1"/>
  <c r="CK147" i="3"/>
  <c r="CL147" i="3" s="1"/>
  <c r="L258" i="4"/>
  <c r="AD258" i="4"/>
  <c r="V258" i="4"/>
  <c r="AF258" i="4" s="1"/>
  <c r="P258" i="4"/>
  <c r="Q258" i="4"/>
  <c r="R258" i="4" s="1"/>
  <c r="AT148" i="3"/>
  <c r="AW148" i="3" s="1"/>
  <c r="AU148" i="3"/>
  <c r="BN148" i="3" s="1"/>
  <c r="AS148" i="3"/>
  <c r="AV148" i="3" l="1"/>
  <c r="S258" i="4"/>
  <c r="AE258" i="4" s="1"/>
  <c r="AX148" i="3"/>
  <c r="AY148" i="3"/>
  <c r="X258" i="4"/>
  <c r="AA258" i="4" s="1"/>
  <c r="F259" i="4" s="1"/>
  <c r="T258" i="4"/>
  <c r="CR147" i="3"/>
  <c r="CU147" i="3" s="1"/>
  <c r="BZ148" i="3" s="1"/>
  <c r="CQ147" i="3"/>
  <c r="CP147" i="3"/>
  <c r="CZ147" i="3" s="1"/>
  <c r="CM147" i="3"/>
  <c r="CY147" i="3" s="1"/>
  <c r="AZ148" i="3"/>
  <c r="W258" i="4"/>
  <c r="X144" i="3"/>
  <c r="AA144" i="3" s="1"/>
  <c r="F145" i="3" s="1"/>
  <c r="W144" i="3"/>
  <c r="V144" i="3"/>
  <c r="AF144" i="3" s="1"/>
  <c r="S144" i="3"/>
  <c r="AB258" i="4" l="1"/>
  <c r="AC258" i="4" s="1"/>
  <c r="U258" i="4"/>
  <c r="AH258" i="4" s="1"/>
  <c r="DC147" i="3"/>
  <c r="CT147" i="3"/>
  <c r="BY148" i="3" s="1"/>
  <c r="CA148" i="3" s="1"/>
  <c r="AE144" i="3"/>
  <c r="Z144" i="3"/>
  <c r="E145" i="3" s="1"/>
  <c r="G145" i="3" s="1"/>
  <c r="AI144" i="3"/>
  <c r="J259" i="4"/>
  <c r="K259" i="4" s="1"/>
  <c r="BA148" i="3"/>
  <c r="BB148" i="3" s="1"/>
  <c r="CN147" i="3"/>
  <c r="T144" i="3"/>
  <c r="Z258" i="4"/>
  <c r="E259" i="4" s="1"/>
  <c r="G259" i="4" s="1"/>
  <c r="I259" i="4" s="1"/>
  <c r="AI258" i="4"/>
  <c r="L259" i="4" l="1"/>
  <c r="AD259" i="4"/>
  <c r="BH148" i="3"/>
  <c r="BK148" i="3" s="1"/>
  <c r="AP149" i="3" s="1"/>
  <c r="BG148" i="3"/>
  <c r="BF148" i="3"/>
  <c r="BP148" i="3" s="1"/>
  <c r="CB148" i="3"/>
  <c r="AB144" i="3"/>
  <c r="AC144" i="3" s="1"/>
  <c r="U144" i="3"/>
  <c r="AH144" i="3" s="1"/>
  <c r="M259" i="4"/>
  <c r="H145" i="3"/>
  <c r="P259" i="4"/>
  <c r="V259" i="4"/>
  <c r="AF259" i="4" s="1"/>
  <c r="Q259" i="4"/>
  <c r="R259" i="4" s="1"/>
  <c r="BC148" i="3"/>
  <c r="BO148" i="3" s="1"/>
  <c r="CV147" i="3"/>
  <c r="CW147" i="3" s="1"/>
  <c r="CO147" i="3"/>
  <c r="DB147" i="3" s="1"/>
  <c r="S259" i="4" l="1"/>
  <c r="AE259" i="4" s="1"/>
  <c r="BD148" i="3"/>
  <c r="J145" i="3"/>
  <c r="M145" i="3" s="1"/>
  <c r="BL148" i="3"/>
  <c r="BM148" i="3" s="1"/>
  <c r="BE148" i="3"/>
  <c r="BR148" i="3" s="1"/>
  <c r="J23" i="4"/>
  <c r="I145" i="3"/>
  <c r="CD148" i="3"/>
  <c r="CG148" i="3" s="1"/>
  <c r="CC148" i="3"/>
  <c r="BJ148" i="3"/>
  <c r="AO149" i="3" s="1"/>
  <c r="AQ149" i="3" s="1"/>
  <c r="BS148" i="3"/>
  <c r="X259" i="4"/>
  <c r="AA259" i="4" s="1"/>
  <c r="T259" i="4"/>
  <c r="I34" i="5"/>
  <c r="W259" i="4"/>
  <c r="P145" i="3" l="1"/>
  <c r="CE148" i="3"/>
  <c r="Y259" i="4"/>
  <c r="AI259" i="4"/>
  <c r="F260" i="4"/>
  <c r="C23" i="4"/>
  <c r="AB259" i="4"/>
  <c r="AC259" i="4" s="1"/>
  <c r="U259" i="4"/>
  <c r="AH259" i="4" s="1"/>
  <c r="AR149" i="3"/>
  <c r="AS149" i="3" s="1"/>
  <c r="K145" i="3"/>
  <c r="CJ148" i="3"/>
  <c r="AT149" i="3" l="1"/>
  <c r="AW149" i="3" s="1"/>
  <c r="AZ149" i="3" s="1"/>
  <c r="AU149" i="3"/>
  <c r="BN149" i="3" s="1"/>
  <c r="AD145" i="3"/>
  <c r="L145" i="3"/>
  <c r="J260" i="4"/>
  <c r="K260" i="4" s="1"/>
  <c r="CX148" i="3"/>
  <c r="CF148" i="3"/>
  <c r="I23" i="4"/>
  <c r="AG259" i="4"/>
  <c r="AG260" i="4" s="1"/>
  <c r="AG261" i="4" s="1"/>
  <c r="AG262" i="4" s="1"/>
  <c r="AG263" i="4" s="1"/>
  <c r="AG264" i="4" s="1"/>
  <c r="AG265" i="4" s="1"/>
  <c r="AG266" i="4" s="1"/>
  <c r="AG267" i="4" s="1"/>
  <c r="AG268" i="4" s="1"/>
  <c r="AG269" i="4" s="1"/>
  <c r="AG270" i="4" s="1"/>
  <c r="Z259" i="4"/>
  <c r="CH148" i="3" l="1"/>
  <c r="CI148" i="3"/>
  <c r="L260" i="4"/>
  <c r="AD260" i="4"/>
  <c r="M260" i="4"/>
  <c r="N145" i="3"/>
  <c r="O145" i="3"/>
  <c r="AV149" i="3"/>
  <c r="E34" i="5"/>
  <c r="E260" i="4"/>
  <c r="G260" i="4" s="1"/>
  <c r="I260" i="4" s="1"/>
  <c r="B23" i="4"/>
  <c r="D23" i="4" s="1"/>
  <c r="AX149" i="3" l="1"/>
  <c r="AY149" i="3"/>
  <c r="Q145" i="3"/>
  <c r="R145" i="3" s="1"/>
  <c r="CK148" i="3"/>
  <c r="CL148" i="3" s="1"/>
  <c r="V260" i="4"/>
  <c r="AF260" i="4" s="1"/>
  <c r="P260" i="4"/>
  <c r="Q260" i="4"/>
  <c r="R260" i="4" s="1"/>
  <c r="W260" i="4" s="1"/>
  <c r="AI260" i="4" l="1"/>
  <c r="Z260" i="4"/>
  <c r="E261" i="4" s="1"/>
  <c r="G261" i="4" s="1"/>
  <c r="I261" i="4" s="1"/>
  <c r="S260" i="4"/>
  <c r="X260" i="4"/>
  <c r="AA260" i="4" s="1"/>
  <c r="F261" i="4" s="1"/>
  <c r="X145" i="3"/>
  <c r="AA145" i="3" s="1"/>
  <c r="F146" i="3" s="1"/>
  <c r="V145" i="3"/>
  <c r="AF145" i="3" s="1"/>
  <c r="W145" i="3"/>
  <c r="S145" i="3"/>
  <c r="AE145" i="3" s="1"/>
  <c r="CR148" i="3"/>
  <c r="CU148" i="3" s="1"/>
  <c r="BZ149" i="3" s="1"/>
  <c r="CQ148" i="3"/>
  <c r="CP148" i="3"/>
  <c r="CZ148" i="3" s="1"/>
  <c r="CM148" i="3"/>
  <c r="CY148" i="3" s="1"/>
  <c r="BA149" i="3"/>
  <c r="BB149" i="3" s="1"/>
  <c r="AE260" i="4" l="1"/>
  <c r="CN148" i="3"/>
  <c r="T145" i="3"/>
  <c r="T260" i="4"/>
  <c r="V261" i="4"/>
  <c r="AF261" i="4" s="1"/>
  <c r="P261" i="4"/>
  <c r="Q261" i="4"/>
  <c r="R261" i="4" s="1"/>
  <c r="W261" i="4" s="1"/>
  <c r="CT148" i="3"/>
  <c r="BY149" i="3" s="1"/>
  <c r="CA149" i="3" s="1"/>
  <c r="DC148" i="3"/>
  <c r="AI145" i="3"/>
  <c r="Z145" i="3"/>
  <c r="E146" i="3" s="1"/>
  <c r="G146" i="3" s="1"/>
  <c r="J261" i="4"/>
  <c r="K261" i="4" s="1"/>
  <c r="BH149" i="3"/>
  <c r="BK149" i="3" s="1"/>
  <c r="AP150" i="3" s="1"/>
  <c r="BG149" i="3"/>
  <c r="BF149" i="3"/>
  <c r="BP149" i="3" s="1"/>
  <c r="BC149" i="3"/>
  <c r="BO149" i="3" s="1"/>
  <c r="Z261" i="4" l="1"/>
  <c r="E262" i="4" s="1"/>
  <c r="G262" i="4" s="1"/>
  <c r="I262" i="4" s="1"/>
  <c r="AI261" i="4"/>
  <c r="S261" i="4"/>
  <c r="BJ149" i="3"/>
  <c r="AO150" i="3" s="1"/>
  <c r="AQ150" i="3" s="1"/>
  <c r="BS149" i="3"/>
  <c r="CB149" i="3"/>
  <c r="AB260" i="4"/>
  <c r="U260" i="4"/>
  <c r="AH260" i="4" s="1"/>
  <c r="AB145" i="3"/>
  <c r="AC145" i="3" s="1"/>
  <c r="U145" i="3"/>
  <c r="AH145" i="3" s="1"/>
  <c r="L261" i="4"/>
  <c r="AD261" i="4"/>
  <c r="CV148" i="3"/>
  <c r="CW148" i="3" s="1"/>
  <c r="CO148" i="3"/>
  <c r="DB148" i="3" s="1"/>
  <c r="BD149" i="3"/>
  <c r="AE261" i="4"/>
  <c r="M261" i="4"/>
  <c r="X261" i="4" s="1"/>
  <c r="AA261" i="4" s="1"/>
  <c r="F262" i="4" s="1"/>
  <c r="H146" i="3"/>
  <c r="I146" i="3" s="1"/>
  <c r="J262" i="4" l="1"/>
  <c r="K262" i="4" s="1"/>
  <c r="AD262" i="4" s="1"/>
  <c r="AC260" i="4"/>
  <c r="BL149" i="3"/>
  <c r="BM149" i="3" s="1"/>
  <c r="BE149" i="3"/>
  <c r="BR149" i="3" s="1"/>
  <c r="J146" i="3"/>
  <c r="M146" i="3" s="1"/>
  <c r="P146" i="3" s="1"/>
  <c r="CD149" i="3"/>
  <c r="CG149" i="3" s="1"/>
  <c r="CC149" i="3"/>
  <c r="AR150" i="3"/>
  <c r="AS150" i="3" s="1"/>
  <c r="T261" i="4"/>
  <c r="V262" i="4"/>
  <c r="AF262" i="4" s="1"/>
  <c r="Q262" i="4"/>
  <c r="R262" i="4" s="1"/>
  <c r="P262" i="4"/>
  <c r="S262" i="4" l="1"/>
  <c r="AE262" i="4" s="1"/>
  <c r="T262" i="4"/>
  <c r="W262" i="4"/>
  <c r="AB261" i="4"/>
  <c r="U261" i="4"/>
  <c r="AH261" i="4" s="1"/>
  <c r="AT150" i="3"/>
  <c r="AW150" i="3" s="1"/>
  <c r="AZ150" i="3" s="1"/>
  <c r="CJ149" i="3"/>
  <c r="CE149" i="3"/>
  <c r="M262" i="4"/>
  <c r="X262" i="4" s="1"/>
  <c r="AA262" i="4" s="1"/>
  <c r="F263" i="4" s="1"/>
  <c r="K146" i="3"/>
  <c r="L262" i="4"/>
  <c r="J263" i="4" l="1"/>
  <c r="K263" i="4" s="1"/>
  <c r="CX149" i="3"/>
  <c r="CF149" i="3"/>
  <c r="Z262" i="4"/>
  <c r="E263" i="4" s="1"/>
  <c r="G263" i="4" s="1"/>
  <c r="I263" i="4" s="1"/>
  <c r="AI262" i="4"/>
  <c r="AD146" i="3"/>
  <c r="L146" i="3"/>
  <c r="AB262" i="4"/>
  <c r="U262" i="4"/>
  <c r="AH262" i="4" s="1"/>
  <c r="AC261" i="4"/>
  <c r="AC262" i="4" s="1"/>
  <c r="AU150" i="3"/>
  <c r="BN150" i="3" l="1"/>
  <c r="AV150" i="3"/>
  <c r="CI149" i="3"/>
  <c r="CH149" i="3"/>
  <c r="N146" i="3"/>
  <c r="O146" i="3"/>
  <c r="V263" i="4"/>
  <c r="AF263" i="4" s="1"/>
  <c r="P263" i="4"/>
  <c r="Q263" i="4"/>
  <c r="R263" i="4" s="1"/>
  <c r="L263" i="4"/>
  <c r="AD263" i="4"/>
  <c r="M263" i="4"/>
  <c r="Q146" i="3" l="1"/>
  <c r="R146" i="3" s="1"/>
  <c r="X263" i="4"/>
  <c r="AA263" i="4" s="1"/>
  <c r="F264" i="4" s="1"/>
  <c r="S263" i="4"/>
  <c r="W263" i="4"/>
  <c r="CK149" i="3"/>
  <c r="CL149" i="3" s="1"/>
  <c r="AX150" i="3"/>
  <c r="AY150" i="3"/>
  <c r="Z263" i="4" l="1"/>
  <c r="E264" i="4" s="1"/>
  <c r="G264" i="4" s="1"/>
  <c r="I264" i="4" s="1"/>
  <c r="AI263" i="4"/>
  <c r="J264" i="4"/>
  <c r="K264" i="4" s="1"/>
  <c r="BA150" i="3"/>
  <c r="BB150" i="3" s="1"/>
  <c r="CR149" i="3"/>
  <c r="CU149" i="3" s="1"/>
  <c r="BZ150" i="3" s="1"/>
  <c r="CQ149" i="3"/>
  <c r="CP149" i="3"/>
  <c r="CZ149" i="3" s="1"/>
  <c r="CM149" i="3"/>
  <c r="CY149" i="3" s="1"/>
  <c r="AE263" i="4"/>
  <c r="T263" i="4"/>
  <c r="X146" i="3"/>
  <c r="AA146" i="3" s="1"/>
  <c r="F147" i="3" s="1"/>
  <c r="W146" i="3"/>
  <c r="V146" i="3"/>
  <c r="AF146" i="3" s="1"/>
  <c r="S146" i="3"/>
  <c r="AE146" i="3" s="1"/>
  <c r="T146" i="3" l="1"/>
  <c r="AB146" i="3"/>
  <c r="AC146" i="3" s="1"/>
  <c r="U146" i="3"/>
  <c r="AH146" i="3" s="1"/>
  <c r="AB263" i="4"/>
  <c r="U263" i="4"/>
  <c r="AH263" i="4" s="1"/>
  <c r="L264" i="4"/>
  <c r="AD264" i="4"/>
  <c r="DC149" i="3"/>
  <c r="CT149" i="3"/>
  <c r="BY150" i="3" s="1"/>
  <c r="CA150" i="3" s="1"/>
  <c r="CN149" i="3"/>
  <c r="BH150" i="3"/>
  <c r="BK150" i="3" s="1"/>
  <c r="AP151" i="3" s="1"/>
  <c r="BG150" i="3"/>
  <c r="BF150" i="3"/>
  <c r="BP150" i="3" s="1"/>
  <c r="BC150" i="3"/>
  <c r="BO150" i="3" s="1"/>
  <c r="M264" i="4"/>
  <c r="Z146" i="3"/>
  <c r="E147" i="3" s="1"/>
  <c r="G147" i="3" s="1"/>
  <c r="AI146" i="3"/>
  <c r="V264" i="4"/>
  <c r="AF264" i="4" s="1"/>
  <c r="P264" i="4"/>
  <c r="Q264" i="4"/>
  <c r="R264" i="4" s="1"/>
  <c r="W264" i="4" s="1"/>
  <c r="BD150" i="3" l="1"/>
  <c r="Z264" i="4"/>
  <c r="E265" i="4" s="1"/>
  <c r="G265" i="4" s="1"/>
  <c r="I265" i="4" s="1"/>
  <c r="AI264" i="4"/>
  <c r="BL150" i="3"/>
  <c r="BM150" i="3" s="1"/>
  <c r="BE150" i="3"/>
  <c r="BR150" i="3" s="1"/>
  <c r="CV149" i="3"/>
  <c r="CW149" i="3" s="1"/>
  <c r="CO149" i="3"/>
  <c r="DB149" i="3" s="1"/>
  <c r="S264" i="4"/>
  <c r="AE264" i="4" s="1"/>
  <c r="CB150" i="3"/>
  <c r="H147" i="3"/>
  <c r="X264" i="4"/>
  <c r="AA264" i="4" s="1"/>
  <c r="F265" i="4" s="1"/>
  <c r="AC263" i="4"/>
  <c r="BS150" i="3"/>
  <c r="BJ150" i="3"/>
  <c r="AO151" i="3" s="1"/>
  <c r="AQ151" i="3" s="1"/>
  <c r="J265" i="4" l="1"/>
  <c r="K265" i="4" s="1"/>
  <c r="CD150" i="3"/>
  <c r="CG150" i="3" s="1"/>
  <c r="CE150" i="3"/>
  <c r="CX150" i="3" s="1"/>
  <c r="AR151" i="3"/>
  <c r="J147" i="3"/>
  <c r="M147" i="3" s="1"/>
  <c r="I147" i="3"/>
  <c r="CC150" i="3"/>
  <c r="T264" i="4"/>
  <c r="P265" i="4"/>
  <c r="V265" i="4"/>
  <c r="AF265" i="4" s="1"/>
  <c r="Q265" i="4"/>
  <c r="R265" i="4" s="1"/>
  <c r="AT151" i="3" l="1"/>
  <c r="AW151" i="3" s="1"/>
  <c r="CJ150" i="3"/>
  <c r="K147" i="3"/>
  <c r="AB264" i="4"/>
  <c r="AC264" i="4" s="1"/>
  <c r="U264" i="4"/>
  <c r="AH264" i="4" s="1"/>
  <c r="P147" i="3"/>
  <c r="AS151" i="3"/>
  <c r="S265" i="4"/>
  <c r="AE265" i="4" s="1"/>
  <c r="W265" i="4"/>
  <c r="CF150" i="3"/>
  <c r="L265" i="4"/>
  <c r="AD265" i="4"/>
  <c r="M265" i="4"/>
  <c r="X265" i="4" s="1"/>
  <c r="AA265" i="4" s="1"/>
  <c r="F266" i="4" s="1"/>
  <c r="T265" i="4" l="1"/>
  <c r="AB265" i="4"/>
  <c r="U265" i="4"/>
  <c r="AC265" i="4"/>
  <c r="CH150" i="3"/>
  <c r="CI150" i="3"/>
  <c r="J266" i="4"/>
  <c r="K266" i="4" s="1"/>
  <c r="L266" i="4" s="1"/>
  <c r="AH265" i="4"/>
  <c r="AD147" i="3"/>
  <c r="L147" i="3"/>
  <c r="Z265" i="4"/>
  <c r="E266" i="4" s="1"/>
  <c r="G266" i="4" s="1"/>
  <c r="I266" i="4" s="1"/>
  <c r="AI265" i="4"/>
  <c r="AU151" i="3"/>
  <c r="AZ151" i="3"/>
  <c r="BN151" i="3" l="1"/>
  <c r="AV151" i="3"/>
  <c r="V266" i="4"/>
  <c r="AF266" i="4" s="1"/>
  <c r="P266" i="4"/>
  <c r="Q266" i="4"/>
  <c r="R266" i="4" s="1"/>
  <c r="O147" i="3"/>
  <c r="N147" i="3"/>
  <c r="M266" i="4"/>
  <c r="AD266" i="4"/>
  <c r="CK150" i="3"/>
  <c r="CL150" i="3" s="1"/>
  <c r="Q147" i="3" l="1"/>
  <c r="R147" i="3" s="1"/>
  <c r="S266" i="4"/>
  <c r="AE266" i="4" s="1"/>
  <c r="CR150" i="3"/>
  <c r="CU150" i="3" s="1"/>
  <c r="BZ151" i="3" s="1"/>
  <c r="CQ150" i="3"/>
  <c r="CP150" i="3"/>
  <c r="CZ150" i="3" s="1"/>
  <c r="CM150" i="3"/>
  <c r="CY150" i="3" s="1"/>
  <c r="X266" i="4"/>
  <c r="AA266" i="4" s="1"/>
  <c r="F267" i="4" s="1"/>
  <c r="T266" i="4"/>
  <c r="W266" i="4"/>
  <c r="AX151" i="3"/>
  <c r="AY151" i="3"/>
  <c r="AI266" i="4" l="1"/>
  <c r="Z266" i="4"/>
  <c r="E267" i="4" s="1"/>
  <c r="G267" i="4" s="1"/>
  <c r="I267" i="4" s="1"/>
  <c r="AB266" i="4"/>
  <c r="AC266" i="4" s="1"/>
  <c r="U266" i="4"/>
  <c r="AH266" i="4" s="1"/>
  <c r="CN150" i="3"/>
  <c r="BA151" i="3"/>
  <c r="BB151" i="3" s="1"/>
  <c r="J267" i="4"/>
  <c r="K267" i="4" s="1"/>
  <c r="DC150" i="3"/>
  <c r="CT150" i="3"/>
  <c r="BY151" i="3" s="1"/>
  <c r="CA151" i="3" s="1"/>
  <c r="X147" i="3"/>
  <c r="AA147" i="3" s="1"/>
  <c r="F148" i="3" s="1"/>
  <c r="W147" i="3"/>
  <c r="V147" i="3"/>
  <c r="AF147" i="3" s="1"/>
  <c r="S147" i="3"/>
  <c r="AE147" i="3" s="1"/>
  <c r="L267" i="4" l="1"/>
  <c r="AD267" i="4"/>
  <c r="M267" i="4"/>
  <c r="AI147" i="3"/>
  <c r="Z147" i="3"/>
  <c r="E148" i="3" s="1"/>
  <c r="G148" i="3" s="1"/>
  <c r="CB151" i="3"/>
  <c r="CC151" i="3" s="1"/>
  <c r="BH151" i="3"/>
  <c r="BK151" i="3" s="1"/>
  <c r="BF151" i="3"/>
  <c r="BP151" i="3" s="1"/>
  <c r="BG151" i="3"/>
  <c r="BC151" i="3"/>
  <c r="BO151" i="3" s="1"/>
  <c r="CV150" i="3"/>
  <c r="CW150" i="3" s="1"/>
  <c r="CO150" i="3"/>
  <c r="DB150" i="3" s="1"/>
  <c r="P267" i="4"/>
  <c r="V267" i="4"/>
  <c r="AF267" i="4" s="1"/>
  <c r="Q267" i="4"/>
  <c r="R267" i="4" s="1"/>
  <c r="W267" i="4" s="1"/>
  <c r="T147" i="3"/>
  <c r="Z267" i="4" l="1"/>
  <c r="E268" i="4" s="1"/>
  <c r="G268" i="4" s="1"/>
  <c r="I268" i="4" s="1"/>
  <c r="AI267" i="4"/>
  <c r="AP152" i="3"/>
  <c r="P14" i="3"/>
  <c r="G25" i="5"/>
  <c r="BI151" i="3"/>
  <c r="BS151" i="3"/>
  <c r="CD151" i="3"/>
  <c r="CG151" i="3" s="1"/>
  <c r="CJ151" i="3" s="1"/>
  <c r="AB147" i="3"/>
  <c r="AC147" i="3" s="1"/>
  <c r="U147" i="3"/>
  <c r="AH147" i="3" s="1"/>
  <c r="W14" i="3"/>
  <c r="BD151" i="3"/>
  <c r="H148" i="3"/>
  <c r="X267" i="4"/>
  <c r="AA267" i="4" s="1"/>
  <c r="F268" i="4" s="1"/>
  <c r="S267" i="4"/>
  <c r="AE267" i="4" s="1"/>
  <c r="CE151" i="3" l="1"/>
  <c r="V14" i="3"/>
  <c r="BQ151" i="3"/>
  <c r="BQ152" i="3" s="1"/>
  <c r="BQ153" i="3" s="1"/>
  <c r="BQ154" i="3" s="1"/>
  <c r="BQ155" i="3" s="1"/>
  <c r="BQ156" i="3" s="1"/>
  <c r="BQ157" i="3" s="1"/>
  <c r="BQ158" i="3" s="1"/>
  <c r="BQ159" i="3" s="1"/>
  <c r="BQ160" i="3" s="1"/>
  <c r="BQ161" i="3" s="1"/>
  <c r="BQ162" i="3" s="1"/>
  <c r="T267" i="4"/>
  <c r="BJ151" i="3"/>
  <c r="J148" i="3"/>
  <c r="M148" i="3" s="1"/>
  <c r="J268" i="4"/>
  <c r="K268" i="4" s="1"/>
  <c r="I148" i="3"/>
  <c r="BL151" i="3"/>
  <c r="BM151" i="3" s="1"/>
  <c r="BE151" i="3"/>
  <c r="BR151" i="3" s="1"/>
  <c r="V268" i="4"/>
  <c r="AF268" i="4" s="1"/>
  <c r="P268" i="4"/>
  <c r="Q268" i="4"/>
  <c r="R268" i="4" s="1"/>
  <c r="P148" i="3" l="1"/>
  <c r="C25" i="5"/>
  <c r="AO152" i="3"/>
  <c r="AQ152" i="3" s="1"/>
  <c r="O14" i="3"/>
  <c r="Q14" i="3" s="1"/>
  <c r="CX151" i="3"/>
  <c r="CF151" i="3"/>
  <c r="L268" i="4"/>
  <c r="AD268" i="4"/>
  <c r="M268" i="4"/>
  <c r="X268" i="4" s="1"/>
  <c r="AA268" i="4" s="1"/>
  <c r="F269" i="4" s="1"/>
  <c r="K148" i="3"/>
  <c r="AB267" i="4"/>
  <c r="AC267" i="4" s="1"/>
  <c r="U267" i="4"/>
  <c r="AH267" i="4" s="1"/>
  <c r="S268" i="4"/>
  <c r="AE268" i="4" s="1"/>
  <c r="W268" i="4"/>
  <c r="J269" i="4" l="1"/>
  <c r="K269" i="4" s="1"/>
  <c r="L269" i="4" s="1"/>
  <c r="AD148" i="3"/>
  <c r="L148" i="3"/>
  <c r="AD269" i="4"/>
  <c r="CH151" i="3"/>
  <c r="CI151" i="3"/>
  <c r="AR152" i="3"/>
  <c r="AS152" i="3" s="1"/>
  <c r="Z268" i="4"/>
  <c r="E269" i="4" s="1"/>
  <c r="G269" i="4" s="1"/>
  <c r="I269" i="4" s="1"/>
  <c r="AI268" i="4"/>
  <c r="T268" i="4"/>
  <c r="CK151" i="3" l="1"/>
  <c r="CL151" i="3" s="1"/>
  <c r="V269" i="4"/>
  <c r="AF269" i="4" s="1"/>
  <c r="P269" i="4"/>
  <c r="Q269" i="4"/>
  <c r="R269" i="4" s="1"/>
  <c r="AB268" i="4"/>
  <c r="AC268" i="4" s="1"/>
  <c r="U268" i="4"/>
  <c r="AH268" i="4" s="1"/>
  <c r="AT152" i="3"/>
  <c r="AW152" i="3" s="1"/>
  <c r="AZ152" i="3" s="1"/>
  <c r="N148" i="3"/>
  <c r="O148" i="3"/>
  <c r="M269" i="4"/>
  <c r="AU152" i="3" l="1"/>
  <c r="AV152" i="3" s="1"/>
  <c r="AY152" i="3"/>
  <c r="AX152" i="3"/>
  <c r="CR151" i="3"/>
  <c r="CU151" i="3" s="1"/>
  <c r="CP151" i="3"/>
  <c r="CZ151" i="3" s="1"/>
  <c r="CQ151" i="3"/>
  <c r="CM151" i="3"/>
  <c r="CY151" i="3" s="1"/>
  <c r="X269" i="4"/>
  <c r="AA269" i="4" s="1"/>
  <c r="F270" i="4" s="1"/>
  <c r="W269" i="4"/>
  <c r="S269" i="4"/>
  <c r="AE269" i="4" s="1"/>
  <c r="Q148" i="3"/>
  <c r="R148" i="3" s="1"/>
  <c r="BN152" i="3"/>
  <c r="X148" i="3" l="1"/>
  <c r="AA148" i="3" s="1"/>
  <c r="F149" i="3" s="1"/>
  <c r="W148" i="3"/>
  <c r="V148" i="3"/>
  <c r="AF148" i="3" s="1"/>
  <c r="S148" i="3"/>
  <c r="AE148" i="3" s="1"/>
  <c r="T269" i="4"/>
  <c r="AJ14" i="3"/>
  <c r="CN151" i="3"/>
  <c r="Z269" i="4"/>
  <c r="E270" i="4" s="1"/>
  <c r="G270" i="4" s="1"/>
  <c r="I270" i="4" s="1"/>
  <c r="AI269" i="4"/>
  <c r="H25" i="5"/>
  <c r="BZ152" i="3"/>
  <c r="AC14" i="3"/>
  <c r="J270" i="4"/>
  <c r="K270" i="4" s="1"/>
  <c r="CS151" i="3"/>
  <c r="CT151" i="3"/>
  <c r="DC151" i="3"/>
  <c r="BA152" i="3"/>
  <c r="BB152" i="3" s="1"/>
  <c r="CV151" i="3" l="1"/>
  <c r="CW151" i="3" s="1"/>
  <c r="CO151" i="3"/>
  <c r="DB151" i="3" s="1"/>
  <c r="V270" i="4"/>
  <c r="AF270" i="4" s="1"/>
  <c r="P270" i="4"/>
  <c r="Q270" i="4"/>
  <c r="R270" i="4" s="1"/>
  <c r="L270" i="4"/>
  <c r="AD270" i="4"/>
  <c r="BH152" i="3"/>
  <c r="BK152" i="3" s="1"/>
  <c r="AP153" i="3" s="1"/>
  <c r="BG152" i="3"/>
  <c r="BF152" i="3"/>
  <c r="BP152" i="3" s="1"/>
  <c r="BC152" i="3"/>
  <c r="BD152" i="3" s="1"/>
  <c r="AB269" i="4"/>
  <c r="AC269" i="4" s="1"/>
  <c r="U269" i="4"/>
  <c r="AH269" i="4" s="1"/>
  <c r="AI148" i="3"/>
  <c r="Z148" i="3"/>
  <c r="E149" i="3" s="1"/>
  <c r="G149" i="3" s="1"/>
  <c r="T148" i="3"/>
  <c r="M270" i="4"/>
  <c r="D25" i="5"/>
  <c r="BY152" i="3"/>
  <c r="CA152" i="3" s="1"/>
  <c r="AB14" i="3"/>
  <c r="AD14" i="3" s="1"/>
  <c r="AI14" i="3"/>
  <c r="DA151" i="3"/>
  <c r="DA152" i="3" s="1"/>
  <c r="DA153" i="3" s="1"/>
  <c r="DA154" i="3" s="1"/>
  <c r="DA155" i="3" s="1"/>
  <c r="DA156" i="3" s="1"/>
  <c r="DA157" i="3" s="1"/>
  <c r="DA158" i="3" s="1"/>
  <c r="DA159" i="3" s="1"/>
  <c r="DA160" i="3" s="1"/>
  <c r="DA161" i="3" s="1"/>
  <c r="DA162" i="3" s="1"/>
  <c r="BL152" i="3" l="1"/>
  <c r="BE152" i="3"/>
  <c r="BR152" i="3" s="1"/>
  <c r="X270" i="4"/>
  <c r="AA270" i="4" s="1"/>
  <c r="F271" i="4" s="1"/>
  <c r="AB148" i="3"/>
  <c r="AC148" i="3" s="1"/>
  <c r="U148" i="3"/>
  <c r="AH148" i="3" s="1"/>
  <c r="CB152" i="3"/>
  <c r="S270" i="4"/>
  <c r="AE270" i="4" s="1"/>
  <c r="H149" i="3"/>
  <c r="BO152" i="3"/>
  <c r="BS152" i="3"/>
  <c r="BJ152" i="3"/>
  <c r="AO153" i="3" s="1"/>
  <c r="AQ153" i="3" s="1"/>
  <c r="W270" i="4"/>
  <c r="J149" i="3" l="1"/>
  <c r="M149" i="3" s="1"/>
  <c r="I149" i="3"/>
  <c r="CD152" i="3"/>
  <c r="CG152" i="3" s="1"/>
  <c r="CE152" i="3"/>
  <c r="CC152" i="3"/>
  <c r="Z270" i="4"/>
  <c r="E271" i="4" s="1"/>
  <c r="G271" i="4" s="1"/>
  <c r="I271" i="4" s="1"/>
  <c r="AI270" i="4"/>
  <c r="T270" i="4"/>
  <c r="J271" i="4"/>
  <c r="K271" i="4" s="1"/>
  <c r="AR153" i="3"/>
  <c r="BM152" i="3"/>
  <c r="M271" i="4" l="1"/>
  <c r="V271" i="4"/>
  <c r="AF271" i="4" s="1"/>
  <c r="P271" i="4"/>
  <c r="Q271" i="4"/>
  <c r="R271" i="4" s="1"/>
  <c r="AB270" i="4"/>
  <c r="AC270" i="4" s="1"/>
  <c r="U270" i="4"/>
  <c r="AH270" i="4" s="1"/>
  <c r="CJ152" i="3"/>
  <c r="CX152" i="3"/>
  <c r="P149" i="3"/>
  <c r="AT153" i="3"/>
  <c r="AW153" i="3" s="1"/>
  <c r="AS153" i="3"/>
  <c r="CF152" i="3"/>
  <c r="K149" i="3"/>
  <c r="L271" i="4"/>
  <c r="AD271" i="4"/>
  <c r="S271" i="4" l="1"/>
  <c r="AE271" i="4" s="1"/>
  <c r="I35" i="5"/>
  <c r="AD149" i="3"/>
  <c r="L149" i="3"/>
  <c r="CH152" i="3"/>
  <c r="CI152" i="3"/>
  <c r="X271" i="4"/>
  <c r="AA271" i="4" s="1"/>
  <c r="T271" i="4"/>
  <c r="AZ153" i="3"/>
  <c r="J24" i="4"/>
  <c r="AU153" i="3"/>
  <c r="W271" i="4"/>
  <c r="AB271" i="4" l="1"/>
  <c r="AC271" i="4" s="1"/>
  <c r="U271" i="4"/>
  <c r="AH271" i="4" s="1"/>
  <c r="CK152" i="3"/>
  <c r="CL152" i="3" s="1"/>
  <c r="BN153" i="3"/>
  <c r="AV153" i="3"/>
  <c r="F272" i="4"/>
  <c r="C24" i="4"/>
  <c r="AI271" i="4"/>
  <c r="Y271" i="4"/>
  <c r="Z271" i="4" s="1"/>
  <c r="N149" i="3"/>
  <c r="O149" i="3"/>
  <c r="E35" i="5" l="1"/>
  <c r="E272" i="4"/>
  <c r="G272" i="4" s="1"/>
  <c r="I272" i="4" s="1"/>
  <c r="B24" i="4"/>
  <c r="D24" i="4" s="1"/>
  <c r="Q149" i="3"/>
  <c r="R149" i="3" s="1"/>
  <c r="I24" i="4"/>
  <c r="AG271" i="4"/>
  <c r="AG272" i="4" s="1"/>
  <c r="AG273" i="4" s="1"/>
  <c r="AG274" i="4" s="1"/>
  <c r="AG275" i="4" s="1"/>
  <c r="AG276" i="4" s="1"/>
  <c r="AG277" i="4" s="1"/>
  <c r="AG278" i="4" s="1"/>
  <c r="AG279" i="4" s="1"/>
  <c r="AG280" i="4" s="1"/>
  <c r="AG281" i="4" s="1"/>
  <c r="AG282" i="4" s="1"/>
  <c r="J272" i="4"/>
  <c r="K272" i="4" s="1"/>
  <c r="AX153" i="3"/>
  <c r="AY153" i="3"/>
  <c r="CR152" i="3"/>
  <c r="CU152" i="3" s="1"/>
  <c r="BZ153" i="3" s="1"/>
  <c r="CP152" i="3"/>
  <c r="CZ152" i="3" s="1"/>
  <c r="CQ152" i="3"/>
  <c r="CM152" i="3"/>
  <c r="DC152" i="3" l="1"/>
  <c r="CT152" i="3"/>
  <c r="BY153" i="3" s="1"/>
  <c r="CA153" i="3" s="1"/>
  <c r="CY152" i="3"/>
  <c r="V272" i="4"/>
  <c r="AF272" i="4" s="1"/>
  <c r="P272" i="4"/>
  <c r="Q272" i="4"/>
  <c r="R272" i="4" s="1"/>
  <c r="BA153" i="3"/>
  <c r="BB153" i="3" s="1"/>
  <c r="L272" i="4"/>
  <c r="AD272" i="4"/>
  <c r="M272" i="4"/>
  <c r="X149" i="3"/>
  <c r="AA149" i="3" s="1"/>
  <c r="F150" i="3" s="1"/>
  <c r="W149" i="3"/>
  <c r="V149" i="3"/>
  <c r="AF149" i="3" s="1"/>
  <c r="S149" i="3"/>
  <c r="AE149" i="3" s="1"/>
  <c r="CN152" i="3"/>
  <c r="BH153" i="3" l="1"/>
  <c r="BK153" i="3" s="1"/>
  <c r="AP154" i="3" s="1"/>
  <c r="BF153" i="3"/>
  <c r="BP153" i="3" s="1"/>
  <c r="BG153" i="3"/>
  <c r="BC153" i="3"/>
  <c r="X272" i="4"/>
  <c r="AA272" i="4" s="1"/>
  <c r="F273" i="4" s="1"/>
  <c r="CV152" i="3"/>
  <c r="CO152" i="3"/>
  <c r="DB152" i="3" s="1"/>
  <c r="Z149" i="3"/>
  <c r="E150" i="3" s="1"/>
  <c r="G150" i="3" s="1"/>
  <c r="AI149" i="3"/>
  <c r="T149" i="3"/>
  <c r="S272" i="4"/>
  <c r="T272" i="4" s="1"/>
  <c r="W272" i="4"/>
  <c r="CB153" i="3"/>
  <c r="AB149" i="3" l="1"/>
  <c r="AC149" i="3" s="1"/>
  <c r="U149" i="3"/>
  <c r="AH149" i="3" s="1"/>
  <c r="H150" i="3"/>
  <c r="CW152" i="3"/>
  <c r="CD153" i="3"/>
  <c r="CG153" i="3" s="1"/>
  <c r="CC153" i="3"/>
  <c r="J273" i="4"/>
  <c r="K273" i="4" s="1"/>
  <c r="BS153" i="3"/>
  <c r="BJ153" i="3"/>
  <c r="AO154" i="3" s="1"/>
  <c r="AQ154" i="3" s="1"/>
  <c r="AI272" i="4"/>
  <c r="Z272" i="4"/>
  <c r="E273" i="4" s="1"/>
  <c r="G273" i="4" s="1"/>
  <c r="I273" i="4" s="1"/>
  <c r="AB272" i="4"/>
  <c r="U272" i="4"/>
  <c r="AH272" i="4" s="1"/>
  <c r="BO153" i="3"/>
  <c r="AE272" i="4"/>
  <c r="BD153" i="3"/>
  <c r="AR154" i="3" l="1"/>
  <c r="M273" i="4"/>
  <c r="BL153" i="3"/>
  <c r="BE153" i="3"/>
  <c r="BR153" i="3" s="1"/>
  <c r="CJ153" i="3"/>
  <c r="CE153" i="3"/>
  <c r="AC272" i="4"/>
  <c r="L273" i="4"/>
  <c r="AD273" i="4"/>
  <c r="J150" i="3"/>
  <c r="M150" i="3" s="1"/>
  <c r="I150" i="3"/>
  <c r="V273" i="4"/>
  <c r="AF273" i="4" s="1"/>
  <c r="P273" i="4"/>
  <c r="Q273" i="4"/>
  <c r="R273" i="4" s="1"/>
  <c r="X273" i="4" l="1"/>
  <c r="AA273" i="4" s="1"/>
  <c r="F274" i="4" s="1"/>
  <c r="K150" i="3"/>
  <c r="CX153" i="3"/>
  <c r="CF153" i="3"/>
  <c r="W273" i="4"/>
  <c r="P150" i="3"/>
  <c r="BM153" i="3"/>
  <c r="AT154" i="3"/>
  <c r="AW154" i="3" s="1"/>
  <c r="S273" i="4"/>
  <c r="AS154" i="3"/>
  <c r="AZ154" i="3" l="1"/>
  <c r="Z273" i="4"/>
  <c r="E274" i="4" s="1"/>
  <c r="G274" i="4" s="1"/>
  <c r="I274" i="4" s="1"/>
  <c r="AI273" i="4"/>
  <c r="AE273" i="4"/>
  <c r="CH153" i="3"/>
  <c r="CI153" i="3"/>
  <c r="T273" i="4"/>
  <c r="AU154" i="3"/>
  <c r="AD150" i="3"/>
  <c r="L150" i="3"/>
  <c r="J274" i="4"/>
  <c r="K274" i="4" s="1"/>
  <c r="P274" i="4" l="1"/>
  <c r="V274" i="4"/>
  <c r="AF274" i="4" s="1"/>
  <c r="Q274" i="4"/>
  <c r="R274" i="4" s="1"/>
  <c r="BN154" i="3"/>
  <c r="AV154" i="3"/>
  <c r="AB273" i="4"/>
  <c r="U273" i="4"/>
  <c r="AH273" i="4" s="1"/>
  <c r="CK153" i="3"/>
  <c r="CL153" i="3" s="1"/>
  <c r="L274" i="4"/>
  <c r="AD274" i="4"/>
  <c r="M274" i="4"/>
  <c r="N150" i="3"/>
  <c r="O150" i="3"/>
  <c r="AC273" i="4" l="1"/>
  <c r="CR153" i="3"/>
  <c r="CU153" i="3" s="1"/>
  <c r="BZ154" i="3" s="1"/>
  <c r="CQ153" i="3"/>
  <c r="CP153" i="3"/>
  <c r="CZ153" i="3" s="1"/>
  <c r="CM153" i="3"/>
  <c r="AX154" i="3"/>
  <c r="AY154" i="3"/>
  <c r="X274" i="4"/>
  <c r="AA274" i="4" s="1"/>
  <c r="F275" i="4" s="1"/>
  <c r="Q150" i="3"/>
  <c r="R150" i="3" s="1"/>
  <c r="W274" i="4"/>
  <c r="S274" i="4"/>
  <c r="T274" i="4" s="1"/>
  <c r="AB274" i="4" l="1"/>
  <c r="U274" i="4"/>
  <c r="AH274" i="4" s="1"/>
  <c r="AE274" i="4"/>
  <c r="J275" i="4"/>
  <c r="K275" i="4" s="1"/>
  <c r="BA154" i="3"/>
  <c r="BB154" i="3" s="1"/>
  <c r="CY153" i="3"/>
  <c r="CT153" i="3"/>
  <c r="BY154" i="3" s="1"/>
  <c r="CA154" i="3" s="1"/>
  <c r="DC153" i="3"/>
  <c r="CN153" i="3"/>
  <c r="AC274" i="4"/>
  <c r="Z274" i="4"/>
  <c r="E275" i="4" s="1"/>
  <c r="G275" i="4" s="1"/>
  <c r="I275" i="4" s="1"/>
  <c r="AI274" i="4"/>
  <c r="X150" i="3"/>
  <c r="AA150" i="3" s="1"/>
  <c r="F151" i="3" s="1"/>
  <c r="W150" i="3"/>
  <c r="V150" i="3"/>
  <c r="AF150" i="3" s="1"/>
  <c r="S150" i="3"/>
  <c r="AE150" i="3" s="1"/>
  <c r="CV153" i="3" l="1"/>
  <c r="CO153" i="3"/>
  <c r="DB153" i="3" s="1"/>
  <c r="CB154" i="3"/>
  <c r="BH154" i="3"/>
  <c r="BK154" i="3" s="1"/>
  <c r="AP155" i="3" s="1"/>
  <c r="BG154" i="3"/>
  <c r="BF154" i="3"/>
  <c r="BP154" i="3" s="1"/>
  <c r="BC154" i="3"/>
  <c r="BD154" i="3" s="1"/>
  <c r="L275" i="4"/>
  <c r="AD275" i="4"/>
  <c r="AI150" i="3"/>
  <c r="Z150" i="3"/>
  <c r="E151" i="3" s="1"/>
  <c r="G151" i="3" s="1"/>
  <c r="T150" i="3"/>
  <c r="M275" i="4"/>
  <c r="V275" i="4"/>
  <c r="AF275" i="4" s="1"/>
  <c r="P275" i="4"/>
  <c r="Q275" i="4"/>
  <c r="R275" i="4" s="1"/>
  <c r="BL154" i="3" l="1"/>
  <c r="BE154" i="3"/>
  <c r="BR154" i="3" s="1"/>
  <c r="AB150" i="3"/>
  <c r="AC150" i="3" s="1"/>
  <c r="U150" i="3"/>
  <c r="AH150" i="3" s="1"/>
  <c r="X275" i="4"/>
  <c r="AA275" i="4" s="1"/>
  <c r="F276" i="4" s="1"/>
  <c r="H151" i="3"/>
  <c r="I151" i="3" s="1"/>
  <c r="W275" i="4"/>
  <c r="BS154" i="3"/>
  <c r="BJ154" i="3"/>
  <c r="AO155" i="3" s="1"/>
  <c r="AQ155" i="3" s="1"/>
  <c r="S275" i="4"/>
  <c r="T275" i="4" s="1"/>
  <c r="BO154" i="3"/>
  <c r="CD154" i="3"/>
  <c r="CG154" i="3" s="1"/>
  <c r="CC154" i="3"/>
  <c r="CW153" i="3"/>
  <c r="AB275" i="4" l="1"/>
  <c r="AC275" i="4" s="1"/>
  <c r="U275" i="4"/>
  <c r="AH275" i="4" s="1"/>
  <c r="AR155" i="3"/>
  <c r="Z275" i="4"/>
  <c r="E276" i="4" s="1"/>
  <c r="G276" i="4" s="1"/>
  <c r="I276" i="4" s="1"/>
  <c r="AI275" i="4"/>
  <c r="CJ154" i="3"/>
  <c r="CE154" i="3"/>
  <c r="J276" i="4"/>
  <c r="K276" i="4" s="1"/>
  <c r="AE275" i="4"/>
  <c r="J151" i="3"/>
  <c r="M151" i="3" s="1"/>
  <c r="P151" i="3" s="1"/>
  <c r="BM154" i="3"/>
  <c r="L276" i="4" l="1"/>
  <c r="AD276" i="4"/>
  <c r="CX154" i="3"/>
  <c r="CF154" i="3"/>
  <c r="M276" i="4"/>
  <c r="K151" i="3"/>
  <c r="V276" i="4"/>
  <c r="AF276" i="4" s="1"/>
  <c r="P276" i="4"/>
  <c r="Q276" i="4"/>
  <c r="R276" i="4" s="1"/>
  <c r="AT155" i="3"/>
  <c r="AW155" i="3" s="1"/>
  <c r="AS155" i="3"/>
  <c r="X276" i="4" l="1"/>
  <c r="AA276" i="4" s="1"/>
  <c r="F277" i="4" s="1"/>
  <c r="S276" i="4"/>
  <c r="AE276" i="4" s="1"/>
  <c r="W276" i="4"/>
  <c r="AD151" i="3"/>
  <c r="L151" i="3"/>
  <c r="CH154" i="3"/>
  <c r="CI154" i="3"/>
  <c r="AZ155" i="3"/>
  <c r="AU155" i="3"/>
  <c r="Z276" i="4" l="1"/>
  <c r="E277" i="4" s="1"/>
  <c r="G277" i="4" s="1"/>
  <c r="I277" i="4" s="1"/>
  <c r="AI276" i="4"/>
  <c r="T276" i="4"/>
  <c r="CK154" i="3"/>
  <c r="CL154" i="3" s="1"/>
  <c r="N151" i="3"/>
  <c r="O151" i="3"/>
  <c r="J277" i="4"/>
  <c r="K277" i="4" s="1"/>
  <c r="BN155" i="3"/>
  <c r="AV155" i="3"/>
  <c r="Q151" i="3" l="1"/>
  <c r="R151" i="3" s="1"/>
  <c r="L277" i="4"/>
  <c r="AD277" i="4"/>
  <c r="AB276" i="4"/>
  <c r="AC276" i="4" s="1"/>
  <c r="U276" i="4"/>
  <c r="AH276" i="4" s="1"/>
  <c r="M277" i="4"/>
  <c r="CR154" i="3"/>
  <c r="CU154" i="3" s="1"/>
  <c r="BZ155" i="3" s="1"/>
  <c r="CQ154" i="3"/>
  <c r="CP154" i="3"/>
  <c r="CZ154" i="3" s="1"/>
  <c r="CM154" i="3"/>
  <c r="V277" i="4"/>
  <c r="AF277" i="4" s="1"/>
  <c r="P277" i="4"/>
  <c r="Q277" i="4"/>
  <c r="R277" i="4" s="1"/>
  <c r="W277" i="4" s="1"/>
  <c r="AX155" i="3"/>
  <c r="AY155" i="3"/>
  <c r="S277" i="4" l="1"/>
  <c r="AE277" i="4" s="1"/>
  <c r="CY154" i="3"/>
  <c r="CN154" i="3"/>
  <c r="AI277" i="4"/>
  <c r="Z277" i="4"/>
  <c r="E278" i="4" s="1"/>
  <c r="G278" i="4" s="1"/>
  <c r="I278" i="4" s="1"/>
  <c r="CT154" i="3"/>
  <c r="BY155" i="3" s="1"/>
  <c r="CA155" i="3" s="1"/>
  <c r="DC154" i="3"/>
  <c r="BA155" i="3"/>
  <c r="BB155" i="3" s="1"/>
  <c r="X151" i="3"/>
  <c r="AA151" i="3" s="1"/>
  <c r="W151" i="3"/>
  <c r="V151" i="3"/>
  <c r="AF151" i="3" s="1"/>
  <c r="S151" i="3"/>
  <c r="AE151" i="3" s="1"/>
  <c r="T277" i="4"/>
  <c r="X277" i="4"/>
  <c r="AA277" i="4" s="1"/>
  <c r="F278" i="4" s="1"/>
  <c r="CB155" i="3" l="1"/>
  <c r="BH155" i="3"/>
  <c r="BK155" i="3" s="1"/>
  <c r="AP156" i="3" s="1"/>
  <c r="BG155" i="3"/>
  <c r="BF155" i="3"/>
  <c r="BP155" i="3" s="1"/>
  <c r="BC155" i="3"/>
  <c r="V278" i="4"/>
  <c r="AF278" i="4" s="1"/>
  <c r="P278" i="4"/>
  <c r="Q278" i="4"/>
  <c r="R278" i="4" s="1"/>
  <c r="AB277" i="4"/>
  <c r="AC277" i="4" s="1"/>
  <c r="U277" i="4"/>
  <c r="AH277" i="4" s="1"/>
  <c r="J278" i="4"/>
  <c r="K278" i="4" s="1"/>
  <c r="F25" i="5"/>
  <c r="J14" i="3"/>
  <c r="CV154" i="3"/>
  <c r="CO154" i="3"/>
  <c r="DB154" i="3" s="1"/>
  <c r="Y151" i="3"/>
  <c r="AI151" i="3"/>
  <c r="T151" i="3"/>
  <c r="F152" i="3"/>
  <c r="C14" i="3"/>
  <c r="AB151" i="3" l="1"/>
  <c r="AC151" i="3" s="1"/>
  <c r="U151" i="3"/>
  <c r="AH151" i="3" s="1"/>
  <c r="L278" i="4"/>
  <c r="AD278" i="4"/>
  <c r="I14" i="3"/>
  <c r="AG151" i="3"/>
  <c r="AG152" i="3" s="1"/>
  <c r="AG153" i="3" s="1"/>
  <c r="AG154" i="3" s="1"/>
  <c r="AG155" i="3" s="1"/>
  <c r="AG156" i="3" s="1"/>
  <c r="AG157" i="3" s="1"/>
  <c r="AG158" i="3" s="1"/>
  <c r="AG159" i="3" s="1"/>
  <c r="AG160" i="3" s="1"/>
  <c r="AG161" i="3" s="1"/>
  <c r="AG162" i="3" s="1"/>
  <c r="BO155" i="3"/>
  <c r="Z151" i="3"/>
  <c r="BS155" i="3"/>
  <c r="BJ155" i="3"/>
  <c r="AO156" i="3" s="1"/>
  <c r="AQ156" i="3" s="1"/>
  <c r="BD155" i="3"/>
  <c r="CD155" i="3"/>
  <c r="CG155" i="3" s="1"/>
  <c r="M278" i="4"/>
  <c r="X278" i="4" s="1"/>
  <c r="AA278" i="4" s="1"/>
  <c r="F279" i="4" s="1"/>
  <c r="S278" i="4"/>
  <c r="AE278" i="4" s="1"/>
  <c r="W278" i="4"/>
  <c r="CW154" i="3"/>
  <c r="CC155" i="3"/>
  <c r="J279" i="4" l="1"/>
  <c r="K279" i="4" s="1"/>
  <c r="L279" i="4" s="1"/>
  <c r="AI278" i="4"/>
  <c r="Z278" i="4"/>
  <c r="E279" i="4" s="1"/>
  <c r="G279" i="4" s="1"/>
  <c r="I279" i="4" s="1"/>
  <c r="B25" i="5"/>
  <c r="E152" i="3"/>
  <c r="G152" i="3" s="1"/>
  <c r="B14" i="3"/>
  <c r="D14" i="3" s="1"/>
  <c r="CJ155" i="3"/>
  <c r="T278" i="4"/>
  <c r="CE155" i="3"/>
  <c r="BL155" i="3"/>
  <c r="BE155" i="3"/>
  <c r="BR155" i="3" s="1"/>
  <c r="AR156" i="3"/>
  <c r="AS156" i="3" s="1"/>
  <c r="H152" i="3" l="1"/>
  <c r="AB278" i="4"/>
  <c r="AC278" i="4" s="1"/>
  <c r="U278" i="4"/>
  <c r="AH278" i="4" s="1"/>
  <c r="AT156" i="3"/>
  <c r="AW156" i="3" s="1"/>
  <c r="AZ156" i="3" s="1"/>
  <c r="BM155" i="3"/>
  <c r="CX155" i="3"/>
  <c r="CF155" i="3"/>
  <c r="P279" i="4"/>
  <c r="V279" i="4"/>
  <c r="AF279" i="4" s="1"/>
  <c r="Q279" i="4"/>
  <c r="R279" i="4" s="1"/>
  <c r="AD279" i="4"/>
  <c r="M279" i="4"/>
  <c r="AU156" i="3" l="1"/>
  <c r="J152" i="3"/>
  <c r="M152" i="3" s="1"/>
  <c r="I152" i="3"/>
  <c r="X279" i="4"/>
  <c r="AA279" i="4" s="1"/>
  <c r="F280" i="4" s="1"/>
  <c r="W279" i="4"/>
  <c r="S279" i="4"/>
  <c r="AE279" i="4" s="1"/>
  <c r="CH155" i="3"/>
  <c r="CI155" i="3"/>
  <c r="T279" i="4" l="1"/>
  <c r="J280" i="4"/>
  <c r="K280" i="4" s="1"/>
  <c r="P152" i="3"/>
  <c r="K152" i="3"/>
  <c r="CK155" i="3"/>
  <c r="CL155" i="3" s="1"/>
  <c r="AI279" i="4"/>
  <c r="Z279" i="4"/>
  <c r="E280" i="4" s="1"/>
  <c r="G280" i="4" s="1"/>
  <c r="I280" i="4" s="1"/>
  <c r="AB279" i="4"/>
  <c r="AC279" i="4" s="1"/>
  <c r="U279" i="4"/>
  <c r="AH279" i="4" s="1"/>
  <c r="BN156" i="3"/>
  <c r="AV156" i="3"/>
  <c r="P280" i="4" l="1"/>
  <c r="V280" i="4"/>
  <c r="AF280" i="4" s="1"/>
  <c r="Q280" i="4"/>
  <c r="R280" i="4" s="1"/>
  <c r="AX156" i="3"/>
  <c r="AY156" i="3"/>
  <c r="CR155" i="3"/>
  <c r="CU155" i="3" s="1"/>
  <c r="BZ156" i="3" s="1"/>
  <c r="CQ155" i="3"/>
  <c r="CP155" i="3"/>
  <c r="CZ155" i="3" s="1"/>
  <c r="CM155" i="3"/>
  <c r="AD152" i="3"/>
  <c r="L152" i="3"/>
  <c r="L280" i="4"/>
  <c r="AD280" i="4"/>
  <c r="M280" i="4"/>
  <c r="CY155" i="3" l="1"/>
  <c r="DC155" i="3"/>
  <c r="CT155" i="3"/>
  <c r="BY156" i="3" s="1"/>
  <c r="CA156" i="3" s="1"/>
  <c r="CN155" i="3"/>
  <c r="BA156" i="3"/>
  <c r="BB156" i="3" s="1"/>
  <c r="X280" i="4"/>
  <c r="AA280" i="4" s="1"/>
  <c r="F281" i="4" s="1"/>
  <c r="W280" i="4"/>
  <c r="S280" i="4"/>
  <c r="AE280" i="4" s="1"/>
  <c r="N152" i="3"/>
  <c r="O152" i="3"/>
  <c r="AI280" i="4" l="1"/>
  <c r="Z280" i="4"/>
  <c r="E281" i="4" s="1"/>
  <c r="G281" i="4" s="1"/>
  <c r="I281" i="4" s="1"/>
  <c r="BH156" i="3"/>
  <c r="BK156" i="3" s="1"/>
  <c r="AP157" i="3" s="1"/>
  <c r="BF156" i="3"/>
  <c r="BP156" i="3" s="1"/>
  <c r="BG156" i="3"/>
  <c r="BC156" i="3"/>
  <c r="BO156" i="3" s="1"/>
  <c r="J281" i="4"/>
  <c r="K281" i="4" s="1"/>
  <c r="CB156" i="3"/>
  <c r="Q152" i="3"/>
  <c r="R152" i="3" s="1"/>
  <c r="T280" i="4"/>
  <c r="CV155" i="3"/>
  <c r="CO155" i="3"/>
  <c r="DB155" i="3" s="1"/>
  <c r="AB280" i="4" l="1"/>
  <c r="AC280" i="4" s="1"/>
  <c r="U280" i="4"/>
  <c r="AH280" i="4" s="1"/>
  <c r="L281" i="4"/>
  <c r="AD281" i="4"/>
  <c r="M281" i="4"/>
  <c r="BD156" i="3"/>
  <c r="CD156" i="3"/>
  <c r="CG156" i="3" s="1"/>
  <c r="P281" i="4"/>
  <c r="V281" i="4"/>
  <c r="AF281" i="4" s="1"/>
  <c r="Q281" i="4"/>
  <c r="R281" i="4" s="1"/>
  <c r="W281" i="4" s="1"/>
  <c r="X152" i="3"/>
  <c r="AA152" i="3" s="1"/>
  <c r="F153" i="3" s="1"/>
  <c r="W152" i="3"/>
  <c r="V152" i="3"/>
  <c r="AF152" i="3" s="1"/>
  <c r="S152" i="3"/>
  <c r="T152" i="3" s="1"/>
  <c r="CC156" i="3"/>
  <c r="BJ156" i="3"/>
  <c r="AO157" i="3" s="1"/>
  <c r="AQ157" i="3" s="1"/>
  <c r="BS156" i="3"/>
  <c r="CW155" i="3"/>
  <c r="AI281" i="4" l="1"/>
  <c r="Z281" i="4"/>
  <c r="E282" i="4" s="1"/>
  <c r="G282" i="4" s="1"/>
  <c r="I282" i="4" s="1"/>
  <c r="AB152" i="3"/>
  <c r="U152" i="3"/>
  <c r="AH152" i="3" s="1"/>
  <c r="X281" i="4"/>
  <c r="AA281" i="4" s="1"/>
  <c r="F282" i="4" s="1"/>
  <c r="S281" i="4"/>
  <c r="AE281" i="4" s="1"/>
  <c r="AE152" i="3"/>
  <c r="AR157" i="3"/>
  <c r="CE156" i="3"/>
  <c r="BL156" i="3"/>
  <c r="BM156" i="3" s="1"/>
  <c r="BE156" i="3"/>
  <c r="BR156" i="3" s="1"/>
  <c r="CJ156" i="3"/>
  <c r="Z152" i="3"/>
  <c r="E153" i="3" s="1"/>
  <c r="G153" i="3" s="1"/>
  <c r="AI152" i="3"/>
  <c r="AT157" i="3" l="1"/>
  <c r="AW157" i="3" s="1"/>
  <c r="AS157" i="3"/>
  <c r="H153" i="3"/>
  <c r="J282" i="4"/>
  <c r="K282" i="4" s="1"/>
  <c r="T281" i="4"/>
  <c r="AC152" i="3"/>
  <c r="V282" i="4"/>
  <c r="AF282" i="4" s="1"/>
  <c r="P282" i="4"/>
  <c r="Q282" i="4"/>
  <c r="R282" i="4" s="1"/>
  <c r="W282" i="4" s="1"/>
  <c r="CX156" i="3"/>
  <c r="CF156" i="3"/>
  <c r="Z282" i="4" l="1"/>
  <c r="E283" i="4" s="1"/>
  <c r="G283" i="4" s="1"/>
  <c r="I283" i="4" s="1"/>
  <c r="AI282" i="4"/>
  <c r="M282" i="4"/>
  <c r="X282" i="4" s="1"/>
  <c r="AA282" i="4" s="1"/>
  <c r="F283" i="4" s="1"/>
  <c r="AB281" i="4"/>
  <c r="AC281" i="4" s="1"/>
  <c r="U281" i="4"/>
  <c r="AH281" i="4" s="1"/>
  <c r="CH156" i="3"/>
  <c r="CI156" i="3"/>
  <c r="L282" i="4"/>
  <c r="AD282" i="4"/>
  <c r="J153" i="3"/>
  <c r="M153" i="3" s="1"/>
  <c r="I153" i="3"/>
  <c r="S282" i="4"/>
  <c r="AE282" i="4" s="1"/>
  <c r="AZ157" i="3"/>
  <c r="AU157" i="3"/>
  <c r="J283" i="4" l="1"/>
  <c r="K283" i="4" s="1"/>
  <c r="L283" i="4" s="1"/>
  <c r="BN157" i="3"/>
  <c r="AV157" i="3"/>
  <c r="AD283" i="4"/>
  <c r="K153" i="3"/>
  <c r="CK156" i="3"/>
  <c r="CL156" i="3" s="1"/>
  <c r="T282" i="4"/>
  <c r="P153" i="3"/>
  <c r="V283" i="4"/>
  <c r="AF283" i="4" s="1"/>
  <c r="Q283" i="4"/>
  <c r="R283" i="4" s="1"/>
  <c r="P283" i="4"/>
  <c r="S283" i="4" l="1"/>
  <c r="AE283" i="4" s="1"/>
  <c r="CR156" i="3"/>
  <c r="CU156" i="3" s="1"/>
  <c r="BZ157" i="3" s="1"/>
  <c r="CQ156" i="3"/>
  <c r="CP156" i="3"/>
  <c r="CZ156" i="3" s="1"/>
  <c r="CM156" i="3"/>
  <c r="CY156" i="3" s="1"/>
  <c r="AX157" i="3"/>
  <c r="AY157" i="3"/>
  <c r="J25" i="4"/>
  <c r="AB282" i="4"/>
  <c r="AC282" i="4" s="1"/>
  <c r="U282" i="4"/>
  <c r="AH282" i="4" s="1"/>
  <c r="AD153" i="3"/>
  <c r="L153" i="3"/>
  <c r="I36" i="5"/>
  <c r="T283" i="4"/>
  <c r="W283" i="4"/>
  <c r="M283" i="4"/>
  <c r="X283" i="4" s="1"/>
  <c r="AA283" i="4" s="1"/>
  <c r="F284" i="4" l="1"/>
  <c r="C25" i="4"/>
  <c r="BA157" i="3"/>
  <c r="BB157" i="3" s="1"/>
  <c r="Y283" i="4"/>
  <c r="AI283" i="4"/>
  <c r="Z283" i="4"/>
  <c r="AB283" i="4"/>
  <c r="AC283" i="4" s="1"/>
  <c r="U283" i="4"/>
  <c r="AH283" i="4" s="1"/>
  <c r="CT156" i="3"/>
  <c r="BY157" i="3" s="1"/>
  <c r="CA157" i="3" s="1"/>
  <c r="DC156" i="3"/>
  <c r="CN156" i="3"/>
  <c r="N153" i="3"/>
  <c r="O153" i="3"/>
  <c r="E36" i="5" l="1"/>
  <c r="E284" i="4"/>
  <c r="G284" i="4" s="1"/>
  <c r="I284" i="4" s="1"/>
  <c r="B25" i="4"/>
  <c r="D25" i="4" s="1"/>
  <c r="I25" i="4"/>
  <c r="AG283" i="4"/>
  <c r="AG284" i="4" s="1"/>
  <c r="AG285" i="4" s="1"/>
  <c r="AG286" i="4" s="1"/>
  <c r="AG287" i="4" s="1"/>
  <c r="AG288" i="4" s="1"/>
  <c r="AG289" i="4" s="1"/>
  <c r="AG290" i="4" s="1"/>
  <c r="AG291" i="4" s="1"/>
  <c r="AG292" i="4" s="1"/>
  <c r="AG293" i="4" s="1"/>
  <c r="AG294" i="4" s="1"/>
  <c r="CB157" i="3"/>
  <c r="CC157" i="3" s="1"/>
  <c r="BH157" i="3"/>
  <c r="BK157" i="3" s="1"/>
  <c r="AP158" i="3" s="1"/>
  <c r="BF157" i="3"/>
  <c r="BP157" i="3" s="1"/>
  <c r="BG157" i="3"/>
  <c r="BC157" i="3"/>
  <c r="BO157" i="3" s="1"/>
  <c r="Q153" i="3"/>
  <c r="R153" i="3" s="1"/>
  <c r="CV156" i="3"/>
  <c r="CW156" i="3" s="1"/>
  <c r="CO156" i="3"/>
  <c r="DB156" i="3" s="1"/>
  <c r="J284" i="4"/>
  <c r="K284" i="4" s="1"/>
  <c r="X153" i="3" l="1"/>
  <c r="AA153" i="3" s="1"/>
  <c r="F154" i="3" s="1"/>
  <c r="W153" i="3"/>
  <c r="V153" i="3"/>
  <c r="AF153" i="3" s="1"/>
  <c r="S153" i="3"/>
  <c r="CD157" i="3"/>
  <c r="CG157" i="3" s="1"/>
  <c r="CJ157" i="3" s="1"/>
  <c r="BJ157" i="3"/>
  <c r="AO158" i="3" s="1"/>
  <c r="AQ158" i="3" s="1"/>
  <c r="BS157" i="3"/>
  <c r="BD157" i="3"/>
  <c r="V284" i="4"/>
  <c r="AF284" i="4" s="1"/>
  <c r="P284" i="4"/>
  <c r="Q284" i="4"/>
  <c r="R284" i="4" s="1"/>
  <c r="M284" i="4"/>
  <c r="L284" i="4"/>
  <c r="AD284" i="4"/>
  <c r="AR158" i="3" l="1"/>
  <c r="CE157" i="3"/>
  <c r="AE153" i="3"/>
  <c r="X284" i="4"/>
  <c r="AA284" i="4" s="1"/>
  <c r="F285" i="4" s="1"/>
  <c r="AI153" i="3"/>
  <c r="Z153" i="3"/>
  <c r="E154" i="3" s="1"/>
  <c r="G154" i="3" s="1"/>
  <c r="S284" i="4"/>
  <c r="T284" i="4" s="1"/>
  <c r="T153" i="3"/>
  <c r="W284" i="4"/>
  <c r="BL157" i="3"/>
  <c r="BM157" i="3" s="1"/>
  <c r="BE157" i="3"/>
  <c r="BR157" i="3" s="1"/>
  <c r="AB284" i="4" l="1"/>
  <c r="U284" i="4"/>
  <c r="AH284" i="4" s="1"/>
  <c r="AB153" i="3"/>
  <c r="U153" i="3"/>
  <c r="AH153" i="3" s="1"/>
  <c r="H154" i="3"/>
  <c r="I154" i="3" s="1"/>
  <c r="CX157" i="3"/>
  <c r="CF157" i="3"/>
  <c r="Z284" i="4"/>
  <c r="E285" i="4" s="1"/>
  <c r="G285" i="4" s="1"/>
  <c r="I285" i="4" s="1"/>
  <c r="AI284" i="4"/>
  <c r="AE284" i="4"/>
  <c r="J285" i="4"/>
  <c r="K285" i="4" s="1"/>
  <c r="AT158" i="3"/>
  <c r="AW158" i="3" s="1"/>
  <c r="AS158" i="3"/>
  <c r="M285" i="4" l="1"/>
  <c r="V285" i="4"/>
  <c r="AF285" i="4" s="1"/>
  <c r="P285" i="4"/>
  <c r="Q285" i="4"/>
  <c r="R285" i="4" s="1"/>
  <c r="J154" i="3"/>
  <c r="M154" i="3" s="1"/>
  <c r="P154" i="3" s="1"/>
  <c r="L285" i="4"/>
  <c r="AD285" i="4"/>
  <c r="CI157" i="3"/>
  <c r="CH157" i="3"/>
  <c r="AZ158" i="3"/>
  <c r="AU158" i="3"/>
  <c r="AC153" i="3"/>
  <c r="AC284" i="4"/>
  <c r="K154" i="3" l="1"/>
  <c r="S285" i="4"/>
  <c r="T285" i="4"/>
  <c r="X285" i="4"/>
  <c r="AA285" i="4" s="1"/>
  <c r="F286" i="4" s="1"/>
  <c r="BN158" i="3"/>
  <c r="AV158" i="3"/>
  <c r="W285" i="4"/>
  <c r="CK157" i="3"/>
  <c r="CL157" i="3" s="1"/>
  <c r="CR157" i="3" l="1"/>
  <c r="CU157" i="3" s="1"/>
  <c r="BZ158" i="3" s="1"/>
  <c r="CQ157" i="3"/>
  <c r="CP157" i="3"/>
  <c r="CZ157" i="3" s="1"/>
  <c r="CM157" i="3"/>
  <c r="CY157" i="3" s="1"/>
  <c r="AB285" i="4"/>
  <c r="U285" i="4"/>
  <c r="AH285" i="4" s="1"/>
  <c r="AI285" i="4"/>
  <c r="Z285" i="4"/>
  <c r="E286" i="4" s="1"/>
  <c r="G286" i="4" s="1"/>
  <c r="I286" i="4" s="1"/>
  <c r="AX158" i="3"/>
  <c r="AY158" i="3"/>
  <c r="J286" i="4"/>
  <c r="K286" i="4" s="1"/>
  <c r="AE285" i="4"/>
  <c r="AD154" i="3"/>
  <c r="L154" i="3"/>
  <c r="P286" i="4" l="1"/>
  <c r="V286" i="4"/>
  <c r="AF286" i="4" s="1"/>
  <c r="Q286" i="4"/>
  <c r="R286" i="4" s="1"/>
  <c r="W286" i="4" s="1"/>
  <c r="L286" i="4"/>
  <c r="AD286" i="4"/>
  <c r="AC285" i="4"/>
  <c r="CN157" i="3"/>
  <c r="M286" i="4"/>
  <c r="BA158" i="3"/>
  <c r="BB158" i="3" s="1"/>
  <c r="N154" i="3"/>
  <c r="O154" i="3"/>
  <c r="DC157" i="3"/>
  <c r="CT157" i="3"/>
  <c r="BY158" i="3" s="1"/>
  <c r="CA158" i="3" s="1"/>
  <c r="AI286" i="4" l="1"/>
  <c r="Z286" i="4"/>
  <c r="E287" i="4" s="1"/>
  <c r="G287" i="4" s="1"/>
  <c r="I287" i="4" s="1"/>
  <c r="BH158" i="3"/>
  <c r="BK158" i="3" s="1"/>
  <c r="AP159" i="3" s="1"/>
  <c r="BG158" i="3"/>
  <c r="BF158" i="3"/>
  <c r="BP158" i="3" s="1"/>
  <c r="BC158" i="3"/>
  <c r="BO158" i="3" s="1"/>
  <c r="CV157" i="3"/>
  <c r="CW157" i="3" s="1"/>
  <c r="CO157" i="3"/>
  <c r="DB157" i="3" s="1"/>
  <c r="CB158" i="3"/>
  <c r="CC158" i="3" s="1"/>
  <c r="X286" i="4"/>
  <c r="AA286" i="4" s="1"/>
  <c r="F287" i="4" s="1"/>
  <c r="Q154" i="3"/>
  <c r="R154" i="3" s="1"/>
  <c r="S286" i="4"/>
  <c r="T286" i="4" s="1"/>
  <c r="J287" i="4" l="1"/>
  <c r="K287" i="4" s="1"/>
  <c r="AB286" i="4"/>
  <c r="U286" i="4"/>
  <c r="AH286" i="4" s="1"/>
  <c r="BS158" i="3"/>
  <c r="BJ158" i="3"/>
  <c r="AO159" i="3" s="1"/>
  <c r="AQ159" i="3" s="1"/>
  <c r="P287" i="4"/>
  <c r="V287" i="4"/>
  <c r="AF287" i="4" s="1"/>
  <c r="Q287" i="4"/>
  <c r="R287" i="4" s="1"/>
  <c r="CD158" i="3"/>
  <c r="CG158" i="3" s="1"/>
  <c r="CJ158" i="3" s="1"/>
  <c r="AE286" i="4"/>
  <c r="BD158" i="3"/>
  <c r="X154" i="3"/>
  <c r="AA154" i="3" s="1"/>
  <c r="F155" i="3" s="1"/>
  <c r="W154" i="3"/>
  <c r="V154" i="3"/>
  <c r="AF154" i="3" s="1"/>
  <c r="S154" i="3"/>
  <c r="AE154" i="3" l="1"/>
  <c r="Z154" i="3"/>
  <c r="E155" i="3" s="1"/>
  <c r="G155" i="3" s="1"/>
  <c r="AI154" i="3"/>
  <c r="BL158" i="3"/>
  <c r="BM158" i="3" s="1"/>
  <c r="BE158" i="3"/>
  <c r="BR158" i="3" s="1"/>
  <c r="M287" i="4"/>
  <c r="X287" i="4" s="1"/>
  <c r="AA287" i="4" s="1"/>
  <c r="F288" i="4" s="1"/>
  <c r="CE158" i="3"/>
  <c r="W287" i="4"/>
  <c r="S287" i="4"/>
  <c r="T287" i="4" s="1"/>
  <c r="AR159" i="3"/>
  <c r="AS159" i="3" s="1"/>
  <c r="T154" i="3"/>
  <c r="AC286" i="4"/>
  <c r="L287" i="4"/>
  <c r="AD287" i="4"/>
  <c r="AE287" i="4" l="1"/>
  <c r="J288" i="4"/>
  <c r="K288" i="4" s="1"/>
  <c r="L288" i="4" s="1"/>
  <c r="H155" i="3"/>
  <c r="CX158" i="3"/>
  <c r="CF158" i="3"/>
  <c r="AD288" i="4"/>
  <c r="AB154" i="3"/>
  <c r="U154" i="3"/>
  <c r="AH154" i="3" s="1"/>
  <c r="AT159" i="3"/>
  <c r="AW159" i="3" s="1"/>
  <c r="AZ159" i="3" s="1"/>
  <c r="AB287" i="4"/>
  <c r="AC287" i="4" s="1"/>
  <c r="U287" i="4"/>
  <c r="AH287" i="4" s="1"/>
  <c r="Z287" i="4"/>
  <c r="E288" i="4" s="1"/>
  <c r="G288" i="4" s="1"/>
  <c r="I288" i="4" s="1"/>
  <c r="AI287" i="4"/>
  <c r="P288" i="4" l="1"/>
  <c r="V288" i="4"/>
  <c r="AF288" i="4" s="1"/>
  <c r="Q288" i="4"/>
  <c r="R288" i="4" s="1"/>
  <c r="W288" i="4" s="1"/>
  <c r="CH158" i="3"/>
  <c r="CI158" i="3"/>
  <c r="J155" i="3"/>
  <c r="M155" i="3" s="1"/>
  <c r="I155" i="3"/>
  <c r="AU159" i="3"/>
  <c r="AC154" i="3"/>
  <c r="M288" i="4"/>
  <c r="AI288" i="4" l="1"/>
  <c r="Z288" i="4"/>
  <c r="E289" i="4" s="1"/>
  <c r="G289" i="4" s="1"/>
  <c r="I289" i="4" s="1"/>
  <c r="CK158" i="3"/>
  <c r="CL158" i="3" s="1"/>
  <c r="S288" i="4"/>
  <c r="AE288" i="4" s="1"/>
  <c r="BN159" i="3"/>
  <c r="AV159" i="3"/>
  <c r="P155" i="3"/>
  <c r="K155" i="3"/>
  <c r="X288" i="4"/>
  <c r="AA288" i="4" s="1"/>
  <c r="F289" i="4" s="1"/>
  <c r="J289" i="4" l="1"/>
  <c r="K289" i="4" s="1"/>
  <c r="T288" i="4"/>
  <c r="AD155" i="3"/>
  <c r="L155" i="3"/>
  <c r="AX159" i="3"/>
  <c r="AY159" i="3"/>
  <c r="V289" i="4"/>
  <c r="AF289" i="4" s="1"/>
  <c r="P289" i="4"/>
  <c r="Q289" i="4"/>
  <c r="R289" i="4" s="1"/>
  <c r="CR158" i="3"/>
  <c r="CU158" i="3" s="1"/>
  <c r="BZ159" i="3" s="1"/>
  <c r="CQ158" i="3"/>
  <c r="CP158" i="3"/>
  <c r="CZ158" i="3" s="1"/>
  <c r="CM158" i="3"/>
  <c r="CY158" i="3" s="1"/>
  <c r="S289" i="4" l="1"/>
  <c r="AE289" i="4" s="1"/>
  <c r="W289" i="4"/>
  <c r="O155" i="3"/>
  <c r="N155" i="3"/>
  <c r="BA159" i="3"/>
  <c r="BB159" i="3" s="1"/>
  <c r="L289" i="4"/>
  <c r="AD289" i="4"/>
  <c r="DC158" i="3"/>
  <c r="CT158" i="3"/>
  <c r="BY159" i="3" s="1"/>
  <c r="CA159" i="3" s="1"/>
  <c r="AB288" i="4"/>
  <c r="AC288" i="4" s="1"/>
  <c r="U288" i="4"/>
  <c r="AH288" i="4" s="1"/>
  <c r="CN158" i="3"/>
  <c r="M289" i="4"/>
  <c r="X289" i="4" s="1"/>
  <c r="AA289" i="4" s="1"/>
  <c r="F290" i="4" s="1"/>
  <c r="J290" i="4" l="1"/>
  <c r="K290" i="4" s="1"/>
  <c r="L290" i="4" s="1"/>
  <c r="AD290" i="4"/>
  <c r="BH159" i="3"/>
  <c r="BK159" i="3" s="1"/>
  <c r="AP160" i="3" s="1"/>
  <c r="BF159" i="3"/>
  <c r="BP159" i="3" s="1"/>
  <c r="BG159" i="3"/>
  <c r="BC159" i="3"/>
  <c r="BO159" i="3" s="1"/>
  <c r="CV158" i="3"/>
  <c r="CW158" i="3" s="1"/>
  <c r="CO158" i="3"/>
  <c r="DB158" i="3" s="1"/>
  <c r="Q155" i="3"/>
  <c r="R155" i="3" s="1"/>
  <c r="Z289" i="4"/>
  <c r="E290" i="4" s="1"/>
  <c r="G290" i="4" s="1"/>
  <c r="I290" i="4" s="1"/>
  <c r="AI289" i="4"/>
  <c r="CB159" i="3"/>
  <c r="CC159" i="3" s="1"/>
  <c r="T289" i="4"/>
  <c r="P290" i="4" l="1"/>
  <c r="V290" i="4"/>
  <c r="AF290" i="4" s="1"/>
  <c r="Q290" i="4"/>
  <c r="R290" i="4" s="1"/>
  <c r="X155" i="3"/>
  <c r="AA155" i="3" s="1"/>
  <c r="F156" i="3" s="1"/>
  <c r="W155" i="3"/>
  <c r="V155" i="3"/>
  <c r="AF155" i="3" s="1"/>
  <c r="S155" i="3"/>
  <c r="BJ159" i="3"/>
  <c r="AO160" i="3" s="1"/>
  <c r="AQ160" i="3" s="1"/>
  <c r="BS159" i="3"/>
  <c r="BD159" i="3"/>
  <c r="AB289" i="4"/>
  <c r="AC289" i="4" s="1"/>
  <c r="U289" i="4"/>
  <c r="AH289" i="4" s="1"/>
  <c r="CD159" i="3"/>
  <c r="CG159" i="3" s="1"/>
  <c r="CJ159" i="3" s="1"/>
  <c r="M290" i="4"/>
  <c r="AE155" i="3" l="1"/>
  <c r="AI155" i="3"/>
  <c r="Z155" i="3"/>
  <c r="E156" i="3" s="1"/>
  <c r="G156" i="3" s="1"/>
  <c r="X290" i="4"/>
  <c r="AA290" i="4" s="1"/>
  <c r="F291" i="4" s="1"/>
  <c r="T155" i="3"/>
  <c r="BL159" i="3"/>
  <c r="BM159" i="3" s="1"/>
  <c r="BE159" i="3"/>
  <c r="BR159" i="3" s="1"/>
  <c r="AR160" i="3"/>
  <c r="CE159" i="3"/>
  <c r="S290" i="4"/>
  <c r="AE290" i="4" s="1"/>
  <c r="W290" i="4"/>
  <c r="T290" i="4" l="1"/>
  <c r="AT160" i="3"/>
  <c r="AW160" i="3" s="1"/>
  <c r="J291" i="4"/>
  <c r="K291" i="4" s="1"/>
  <c r="Z290" i="4"/>
  <c r="E291" i="4" s="1"/>
  <c r="G291" i="4" s="1"/>
  <c r="I291" i="4" s="1"/>
  <c r="AI290" i="4"/>
  <c r="CX159" i="3"/>
  <c r="CF159" i="3"/>
  <c r="AS160" i="3"/>
  <c r="AB155" i="3"/>
  <c r="U155" i="3"/>
  <c r="AH155" i="3" s="1"/>
  <c r="AB290" i="4"/>
  <c r="AC290" i="4" s="1"/>
  <c r="U290" i="4"/>
  <c r="AH290" i="4" s="1"/>
  <c r="H156" i="3"/>
  <c r="I156" i="3" s="1"/>
  <c r="AZ160" i="3" l="1"/>
  <c r="L291" i="4"/>
  <c r="AD291" i="4"/>
  <c r="M291" i="4"/>
  <c r="AC155" i="3"/>
  <c r="CH159" i="3"/>
  <c r="CI159" i="3"/>
  <c r="P291" i="4"/>
  <c r="V291" i="4"/>
  <c r="AF291" i="4" s="1"/>
  <c r="Q291" i="4"/>
  <c r="R291" i="4" s="1"/>
  <c r="AU160" i="3"/>
  <c r="J156" i="3"/>
  <c r="M156" i="3" s="1"/>
  <c r="P156" i="3" s="1"/>
  <c r="K156" i="3" l="1"/>
  <c r="BN160" i="3"/>
  <c r="AV160" i="3"/>
  <c r="CK159" i="3"/>
  <c r="CL159" i="3" s="1"/>
  <c r="X291" i="4"/>
  <c r="AA291" i="4" s="1"/>
  <c r="F292" i="4" s="1"/>
  <c r="S291" i="4"/>
  <c r="AE291" i="4" s="1"/>
  <c r="W291" i="4"/>
  <c r="AI291" i="4" l="1"/>
  <c r="Z291" i="4"/>
  <c r="E292" i="4" s="1"/>
  <c r="G292" i="4" s="1"/>
  <c r="I292" i="4" s="1"/>
  <c r="J292" i="4"/>
  <c r="K292" i="4" s="1"/>
  <c r="T291" i="4"/>
  <c r="CR159" i="3"/>
  <c r="CU159" i="3" s="1"/>
  <c r="BZ160" i="3" s="1"/>
  <c r="CQ159" i="3"/>
  <c r="CP159" i="3"/>
  <c r="CZ159" i="3" s="1"/>
  <c r="CM159" i="3"/>
  <c r="CY159" i="3" s="1"/>
  <c r="AX160" i="3"/>
  <c r="AY160" i="3"/>
  <c r="AD156" i="3"/>
  <c r="L156" i="3"/>
  <c r="CT159" i="3" l="1"/>
  <c r="BY160" i="3" s="1"/>
  <c r="CA160" i="3" s="1"/>
  <c r="DC159" i="3"/>
  <c r="CN159" i="3"/>
  <c r="AB291" i="4"/>
  <c r="AC291" i="4" s="1"/>
  <c r="U291" i="4"/>
  <c r="AH291" i="4" s="1"/>
  <c r="V292" i="4"/>
  <c r="AF292" i="4" s="1"/>
  <c r="P292" i="4"/>
  <c r="Q292" i="4"/>
  <c r="R292" i="4" s="1"/>
  <c r="BA160" i="3"/>
  <c r="BB160" i="3" s="1"/>
  <c r="L292" i="4"/>
  <c r="AD292" i="4"/>
  <c r="M292" i="4"/>
  <c r="N156" i="3"/>
  <c r="O156" i="3"/>
  <c r="X292" i="4" l="1"/>
  <c r="AA292" i="4" s="1"/>
  <c r="F293" i="4" s="1"/>
  <c r="S292" i="4"/>
  <c r="AE292" i="4" s="1"/>
  <c r="CV159" i="3"/>
  <c r="CW159" i="3" s="1"/>
  <c r="CO159" i="3"/>
  <c r="DB159" i="3" s="1"/>
  <c r="CB160" i="3"/>
  <c r="BH160" i="3"/>
  <c r="BK160" i="3" s="1"/>
  <c r="AP161" i="3" s="1"/>
  <c r="BG160" i="3"/>
  <c r="BF160" i="3"/>
  <c r="BP160" i="3" s="1"/>
  <c r="BC160" i="3"/>
  <c r="BO160" i="3" s="1"/>
  <c r="W292" i="4"/>
  <c r="Q156" i="3"/>
  <c r="R156" i="3" s="1"/>
  <c r="CD160" i="3" l="1"/>
  <c r="CG160" i="3" s="1"/>
  <c r="CE160" i="3"/>
  <c r="CX160" i="3" s="1"/>
  <c r="CC160" i="3"/>
  <c r="BS160" i="3"/>
  <c r="BJ160" i="3"/>
  <c r="AO161" i="3" s="1"/>
  <c r="AQ161" i="3" s="1"/>
  <c r="BD160" i="3"/>
  <c r="J293" i="4"/>
  <c r="K293" i="4" s="1"/>
  <c r="Z292" i="4"/>
  <c r="E293" i="4" s="1"/>
  <c r="G293" i="4" s="1"/>
  <c r="I293" i="4" s="1"/>
  <c r="AI292" i="4"/>
  <c r="T292" i="4"/>
  <c r="X156" i="3"/>
  <c r="AA156" i="3" s="1"/>
  <c r="F157" i="3" s="1"/>
  <c r="W156" i="3"/>
  <c r="V156" i="3"/>
  <c r="AF156" i="3" s="1"/>
  <c r="S156" i="3"/>
  <c r="AE156" i="3" s="1"/>
  <c r="P293" i="4" l="1"/>
  <c r="V293" i="4"/>
  <c r="AF293" i="4" s="1"/>
  <c r="Q293" i="4"/>
  <c r="R293" i="4" s="1"/>
  <c r="T156" i="3"/>
  <c r="L293" i="4"/>
  <c r="AD293" i="4"/>
  <c r="AR161" i="3"/>
  <c r="AS161" i="3" s="1"/>
  <c r="AI156" i="3"/>
  <c r="Z156" i="3"/>
  <c r="E157" i="3" s="1"/>
  <c r="G157" i="3" s="1"/>
  <c r="CJ160" i="3"/>
  <c r="M293" i="4"/>
  <c r="BL160" i="3"/>
  <c r="BM160" i="3" s="1"/>
  <c r="BE160" i="3"/>
  <c r="BR160" i="3" s="1"/>
  <c r="AB292" i="4"/>
  <c r="AC292" i="4" s="1"/>
  <c r="U292" i="4"/>
  <c r="AH292" i="4" s="1"/>
  <c r="CF160" i="3"/>
  <c r="AT161" i="3" l="1"/>
  <c r="AW161" i="3" s="1"/>
  <c r="AZ161" i="3" s="1"/>
  <c r="CH160" i="3"/>
  <c r="CI160" i="3"/>
  <c r="X293" i="4"/>
  <c r="AA293" i="4" s="1"/>
  <c r="F294" i="4" s="1"/>
  <c r="W293" i="4"/>
  <c r="H157" i="3"/>
  <c r="AB156" i="3"/>
  <c r="AC156" i="3" s="1"/>
  <c r="U156" i="3"/>
  <c r="AH156" i="3" s="1"/>
  <c r="S293" i="4"/>
  <c r="AE293" i="4" s="1"/>
  <c r="T293" i="4" l="1"/>
  <c r="J294" i="4"/>
  <c r="K294" i="4" s="1"/>
  <c r="J157" i="3"/>
  <c r="M157" i="3" s="1"/>
  <c r="I157" i="3"/>
  <c r="CK160" i="3"/>
  <c r="CL160" i="3" s="1"/>
  <c r="AI293" i="4"/>
  <c r="Z293" i="4"/>
  <c r="E294" i="4" s="1"/>
  <c r="G294" i="4" s="1"/>
  <c r="I294" i="4" s="1"/>
  <c r="AB293" i="4"/>
  <c r="AC293" i="4" s="1"/>
  <c r="U293" i="4"/>
  <c r="AH293" i="4" s="1"/>
  <c r="AU161" i="3"/>
  <c r="V294" i="4" l="1"/>
  <c r="AF294" i="4" s="1"/>
  <c r="P294" i="4"/>
  <c r="Q294" i="4"/>
  <c r="R294" i="4" s="1"/>
  <c r="P157" i="3"/>
  <c r="K157" i="3"/>
  <c r="BN161" i="3"/>
  <c r="AV161" i="3"/>
  <c r="CR160" i="3"/>
  <c r="CU160" i="3" s="1"/>
  <c r="BZ161" i="3" s="1"/>
  <c r="CP160" i="3"/>
  <c r="CZ160" i="3" s="1"/>
  <c r="CQ160" i="3"/>
  <c r="CM160" i="3"/>
  <c r="CY160" i="3" s="1"/>
  <c r="L294" i="4"/>
  <c r="AD294" i="4"/>
  <c r="M294" i="4"/>
  <c r="CN160" i="3" l="1"/>
  <c r="DC160" i="3"/>
  <c r="CT160" i="3"/>
  <c r="BY161" i="3" s="1"/>
  <c r="CA161" i="3" s="1"/>
  <c r="AD157" i="3"/>
  <c r="L157" i="3"/>
  <c r="S294" i="4"/>
  <c r="AE294" i="4" s="1"/>
  <c r="CV160" i="3"/>
  <c r="CW160" i="3" s="1"/>
  <c r="CO160" i="3"/>
  <c r="DB160" i="3" s="1"/>
  <c r="AX161" i="3"/>
  <c r="AY161" i="3"/>
  <c r="X294" i="4"/>
  <c r="AA294" i="4" s="1"/>
  <c r="F295" i="4" s="1"/>
  <c r="T294" i="4"/>
  <c r="W294" i="4"/>
  <c r="BA161" i="3" l="1"/>
  <c r="BB161" i="3" s="1"/>
  <c r="AB294" i="4"/>
  <c r="AC294" i="4" s="1"/>
  <c r="U294" i="4"/>
  <c r="AH294" i="4" s="1"/>
  <c r="N157" i="3"/>
  <c r="O157" i="3"/>
  <c r="AI294" i="4"/>
  <c r="Z294" i="4"/>
  <c r="E295" i="4" s="1"/>
  <c r="G295" i="4" s="1"/>
  <c r="I295" i="4" s="1"/>
  <c r="J295" i="4"/>
  <c r="K295" i="4" s="1"/>
  <c r="CB161" i="3"/>
  <c r="CC161" i="3" s="1"/>
  <c r="L295" i="4" l="1"/>
  <c r="AD295" i="4"/>
  <c r="M295" i="4"/>
  <c r="Q157" i="3"/>
  <c r="R157" i="3" s="1"/>
  <c r="P295" i="4"/>
  <c r="V295" i="4"/>
  <c r="AF295" i="4" s="1"/>
  <c r="Q295" i="4"/>
  <c r="R295" i="4" s="1"/>
  <c r="CD161" i="3"/>
  <c r="CG161" i="3" s="1"/>
  <c r="CJ161" i="3" s="1"/>
  <c r="BH161" i="3"/>
  <c r="BK161" i="3" s="1"/>
  <c r="AP162" i="3" s="1"/>
  <c r="BG161" i="3"/>
  <c r="BF161" i="3"/>
  <c r="BP161" i="3" s="1"/>
  <c r="BC161" i="3"/>
  <c r="BO161" i="3" s="1"/>
  <c r="CE161" i="3" l="1"/>
  <c r="CX161" i="3" s="1"/>
  <c r="CF161" i="3"/>
  <c r="X295" i="4"/>
  <c r="AA295" i="4" s="1"/>
  <c r="W295" i="4"/>
  <c r="X157" i="3"/>
  <c r="AA157" i="3" s="1"/>
  <c r="F158" i="3" s="1"/>
  <c r="W157" i="3"/>
  <c r="V157" i="3"/>
  <c r="AF157" i="3" s="1"/>
  <c r="S157" i="3"/>
  <c r="AE157" i="3" s="1"/>
  <c r="BS161" i="3"/>
  <c r="BJ161" i="3"/>
  <c r="AO162" i="3" s="1"/>
  <c r="AQ162" i="3" s="1"/>
  <c r="J26" i="4"/>
  <c r="S295" i="4"/>
  <c r="AE295" i="4" s="1"/>
  <c r="I37" i="5" s="1"/>
  <c r="BD161" i="3"/>
  <c r="T295" i="4" l="1"/>
  <c r="AI295" i="4"/>
  <c r="Y295" i="4"/>
  <c r="Z295" i="4" s="1"/>
  <c r="Z157" i="3"/>
  <c r="E158" i="3" s="1"/>
  <c r="G158" i="3" s="1"/>
  <c r="AI157" i="3"/>
  <c r="T157" i="3"/>
  <c r="F296" i="4"/>
  <c r="C26" i="4"/>
  <c r="CH161" i="3"/>
  <c r="CI161" i="3"/>
  <c r="AR162" i="3"/>
  <c r="BL161" i="3"/>
  <c r="BM161" i="3" s="1"/>
  <c r="BE161" i="3"/>
  <c r="BR161" i="3" s="1"/>
  <c r="AB295" i="4"/>
  <c r="AC295" i="4" s="1"/>
  <c r="U295" i="4"/>
  <c r="AH295" i="4" s="1"/>
  <c r="E37" i="5" l="1"/>
  <c r="E296" i="4"/>
  <c r="G296" i="4" s="1"/>
  <c r="I296" i="4" s="1"/>
  <c r="B26" i="4"/>
  <c r="D26" i="4" s="1"/>
  <c r="AB157" i="3"/>
  <c r="AC157" i="3" s="1"/>
  <c r="U157" i="3"/>
  <c r="AH157" i="3" s="1"/>
  <c r="AT162" i="3"/>
  <c r="AW162" i="3" s="1"/>
  <c r="AS162" i="3"/>
  <c r="J296" i="4"/>
  <c r="K296" i="4" s="1"/>
  <c r="CK161" i="3"/>
  <c r="CL161" i="3" s="1"/>
  <c r="H158" i="3"/>
  <c r="I158" i="3" s="1"/>
  <c r="I26" i="4"/>
  <c r="AG295" i="4"/>
  <c r="AG296" i="4" s="1"/>
  <c r="AG297" i="4" s="1"/>
  <c r="AG298" i="4" s="1"/>
  <c r="AG299" i="4" s="1"/>
  <c r="AG300" i="4" s="1"/>
  <c r="AG301" i="4" s="1"/>
  <c r="AG302" i="4" s="1"/>
  <c r="AG303" i="4" s="1"/>
  <c r="AG304" i="4" s="1"/>
  <c r="AG305" i="4" s="1"/>
  <c r="AG306" i="4" s="1"/>
  <c r="L296" i="4" l="1"/>
  <c r="AD296" i="4"/>
  <c r="M296" i="4"/>
  <c r="CR161" i="3"/>
  <c r="CU161" i="3" s="1"/>
  <c r="BZ162" i="3" s="1"/>
  <c r="CQ161" i="3"/>
  <c r="CP161" i="3"/>
  <c r="CZ161" i="3" s="1"/>
  <c r="CM161" i="3"/>
  <c r="CY161" i="3" s="1"/>
  <c r="AZ162" i="3"/>
  <c r="AU162" i="3"/>
  <c r="P296" i="4"/>
  <c r="V296" i="4"/>
  <c r="AF296" i="4" s="1"/>
  <c r="Q296" i="4"/>
  <c r="R296" i="4" s="1"/>
  <c r="J158" i="3"/>
  <c r="M158" i="3" s="1"/>
  <c r="P158" i="3" s="1"/>
  <c r="S296" i="4" l="1"/>
  <c r="BN162" i="3"/>
  <c r="AV162" i="3"/>
  <c r="CN161" i="3"/>
  <c r="K158" i="3"/>
  <c r="X296" i="4"/>
  <c r="AA296" i="4" s="1"/>
  <c r="F297" i="4" s="1"/>
  <c r="T296" i="4"/>
  <c r="CT161" i="3"/>
  <c r="BY162" i="3" s="1"/>
  <c r="CA162" i="3" s="1"/>
  <c r="DC161" i="3"/>
  <c r="W296" i="4"/>
  <c r="Z296" i="4" l="1"/>
  <c r="E297" i="4" s="1"/>
  <c r="G297" i="4" s="1"/>
  <c r="I297" i="4" s="1"/>
  <c r="AI296" i="4"/>
  <c r="CB162" i="3"/>
  <c r="AB296" i="4"/>
  <c r="U296" i="4"/>
  <c r="AH296" i="4" s="1"/>
  <c r="J297" i="4"/>
  <c r="K297" i="4" s="1"/>
  <c r="AD158" i="3"/>
  <c r="L158" i="3"/>
  <c r="CV161" i="3"/>
  <c r="CW161" i="3" s="1"/>
  <c r="CO161" i="3"/>
  <c r="DB161" i="3" s="1"/>
  <c r="AX162" i="3"/>
  <c r="AY162" i="3"/>
  <c r="AE296" i="4"/>
  <c r="BA162" i="3" l="1"/>
  <c r="BB162" i="3" s="1"/>
  <c r="N158" i="3"/>
  <c r="O158" i="3"/>
  <c r="M297" i="4"/>
  <c r="L297" i="4"/>
  <c r="AD297" i="4"/>
  <c r="AC296" i="4"/>
  <c r="CD162" i="3"/>
  <c r="CG162" i="3" s="1"/>
  <c r="CC162" i="3"/>
  <c r="P297" i="4"/>
  <c r="V297" i="4"/>
  <c r="AF297" i="4" s="1"/>
  <c r="Q297" i="4"/>
  <c r="R297" i="4" s="1"/>
  <c r="CE162" i="3" l="1"/>
  <c r="CX162" i="3" s="1"/>
  <c r="CF162" i="3"/>
  <c r="Q158" i="3"/>
  <c r="R158" i="3" s="1"/>
  <c r="X297" i="4"/>
  <c r="AA297" i="4" s="1"/>
  <c r="F298" i="4" s="1"/>
  <c r="W297" i="4"/>
  <c r="S297" i="4"/>
  <c r="BH162" i="3"/>
  <c r="BK162" i="3" s="1"/>
  <c r="AP163" i="3" s="1"/>
  <c r="BG162" i="3"/>
  <c r="BF162" i="3"/>
  <c r="BP162" i="3" s="1"/>
  <c r="BC162" i="3"/>
  <c r="BO162" i="3" s="1"/>
  <c r="CJ162" i="3"/>
  <c r="BD162" i="3" l="1"/>
  <c r="BL162" i="3"/>
  <c r="BM162" i="3" s="1"/>
  <c r="BE162" i="3"/>
  <c r="BR162" i="3" s="1"/>
  <c r="BJ162" i="3"/>
  <c r="AO163" i="3" s="1"/>
  <c r="AQ163" i="3" s="1"/>
  <c r="BS162" i="3"/>
  <c r="AE297" i="4"/>
  <c r="Z297" i="4"/>
  <c r="E298" i="4" s="1"/>
  <c r="G298" i="4" s="1"/>
  <c r="I298" i="4" s="1"/>
  <c r="AI297" i="4"/>
  <c r="T297" i="4"/>
  <c r="X158" i="3"/>
  <c r="AA158" i="3" s="1"/>
  <c r="F159" i="3" s="1"/>
  <c r="V158" i="3"/>
  <c r="AF158" i="3" s="1"/>
  <c r="W158" i="3"/>
  <c r="S158" i="3"/>
  <c r="AE158" i="3" s="1"/>
  <c r="CH162" i="3"/>
  <c r="CI162" i="3"/>
  <c r="J298" i="4"/>
  <c r="K298" i="4" s="1"/>
  <c r="AI158" i="3" l="1"/>
  <c r="Z158" i="3"/>
  <c r="E159" i="3" s="1"/>
  <c r="G159" i="3" s="1"/>
  <c r="T158" i="3"/>
  <c r="AB297" i="4"/>
  <c r="U297" i="4"/>
  <c r="AH297" i="4" s="1"/>
  <c r="V298" i="4"/>
  <c r="AF298" i="4" s="1"/>
  <c r="P298" i="4"/>
  <c r="Q298" i="4"/>
  <c r="R298" i="4" s="1"/>
  <c r="L298" i="4"/>
  <c r="AD298" i="4"/>
  <c r="M298" i="4"/>
  <c r="AR163" i="3"/>
  <c r="CK162" i="3"/>
  <c r="CL162" i="3" s="1"/>
  <c r="S298" i="4" l="1"/>
  <c r="T298" i="4" s="1"/>
  <c r="X298" i="4"/>
  <c r="AA298" i="4" s="1"/>
  <c r="F299" i="4" s="1"/>
  <c r="AT163" i="3"/>
  <c r="AW163" i="3" s="1"/>
  <c r="W298" i="4"/>
  <c r="CR162" i="3"/>
  <c r="CU162" i="3" s="1"/>
  <c r="BZ163" i="3" s="1"/>
  <c r="CQ162" i="3"/>
  <c r="CP162" i="3"/>
  <c r="CZ162" i="3" s="1"/>
  <c r="CM162" i="3"/>
  <c r="CY162" i="3" s="1"/>
  <c r="AC297" i="4"/>
  <c r="AB158" i="3"/>
  <c r="AC158" i="3" s="1"/>
  <c r="U158" i="3"/>
  <c r="AH158" i="3" s="1"/>
  <c r="AS163" i="3"/>
  <c r="H159" i="3"/>
  <c r="J299" i="4" l="1"/>
  <c r="K299" i="4" s="1"/>
  <c r="CT162" i="3"/>
  <c r="BY163" i="3" s="1"/>
  <c r="CA163" i="3" s="1"/>
  <c r="DC162" i="3"/>
  <c r="CN162" i="3"/>
  <c r="J159" i="3"/>
  <c r="M159" i="3" s="1"/>
  <c r="Z298" i="4"/>
  <c r="E299" i="4" s="1"/>
  <c r="G299" i="4" s="1"/>
  <c r="I299" i="4" s="1"/>
  <c r="AI298" i="4"/>
  <c r="AU163" i="3"/>
  <c r="I159" i="3"/>
  <c r="AZ163" i="3"/>
  <c r="AB298" i="4"/>
  <c r="U298" i="4"/>
  <c r="AH298" i="4" s="1"/>
  <c r="AE298" i="4"/>
  <c r="AC298" i="4"/>
  <c r="BN163" i="3" l="1"/>
  <c r="AV163" i="3"/>
  <c r="P159" i="3"/>
  <c r="P299" i="4"/>
  <c r="V299" i="4"/>
  <c r="AF299" i="4" s="1"/>
  <c r="Q299" i="4"/>
  <c r="R299" i="4" s="1"/>
  <c r="K159" i="3"/>
  <c r="CV162" i="3"/>
  <c r="CW162" i="3" s="1"/>
  <c r="CO162" i="3"/>
  <c r="DB162" i="3" s="1"/>
  <c r="CB163" i="3"/>
  <c r="CC163" i="3" s="1"/>
  <c r="L299" i="4"/>
  <c r="AD299" i="4"/>
  <c r="M299" i="4"/>
  <c r="AD159" i="3" l="1"/>
  <c r="L159" i="3"/>
  <c r="X299" i="4"/>
  <c r="AA299" i="4" s="1"/>
  <c r="F300" i="4" s="1"/>
  <c r="S299" i="4"/>
  <c r="W299" i="4"/>
  <c r="AX163" i="3"/>
  <c r="AY163" i="3"/>
  <c r="CD163" i="3"/>
  <c r="CG163" i="3" s="1"/>
  <c r="CJ163" i="3" s="1"/>
  <c r="AE299" i="4" l="1"/>
  <c r="AI299" i="4"/>
  <c r="Z299" i="4"/>
  <c r="E300" i="4" s="1"/>
  <c r="G300" i="4" s="1"/>
  <c r="I300" i="4" s="1"/>
  <c r="T299" i="4"/>
  <c r="J300" i="4"/>
  <c r="K300" i="4" s="1"/>
  <c r="N159" i="3"/>
  <c r="O159" i="3"/>
  <c r="CE163" i="3"/>
  <c r="BA163" i="3"/>
  <c r="BB163" i="3" s="1"/>
  <c r="BH163" i="3" l="1"/>
  <c r="BK163" i="3" s="1"/>
  <c r="BG163" i="3"/>
  <c r="BF163" i="3"/>
  <c r="BP163" i="3" s="1"/>
  <c r="BC163" i="3"/>
  <c r="BO163" i="3" s="1"/>
  <c r="Q159" i="3"/>
  <c r="R159" i="3" s="1"/>
  <c r="AB299" i="4"/>
  <c r="AC299" i="4" s="1"/>
  <c r="U299" i="4"/>
  <c r="AH299" i="4" s="1"/>
  <c r="CX163" i="3"/>
  <c r="CF163" i="3"/>
  <c r="L300" i="4"/>
  <c r="AD300" i="4"/>
  <c r="M300" i="4"/>
  <c r="V300" i="4"/>
  <c r="AF300" i="4" s="1"/>
  <c r="P300" i="4"/>
  <c r="Q300" i="4"/>
  <c r="R300" i="4" s="1"/>
  <c r="W300" i="4" s="1"/>
  <c r="G26" i="5" l="1"/>
  <c r="I9" i="5"/>
  <c r="Z300" i="4"/>
  <c r="E301" i="4" s="1"/>
  <c r="G301" i="4" s="1"/>
  <c r="I301" i="4" s="1"/>
  <c r="AI300" i="4"/>
  <c r="CH163" i="3"/>
  <c r="CI163" i="3"/>
  <c r="X300" i="4"/>
  <c r="AA300" i="4" s="1"/>
  <c r="F301" i="4" s="1"/>
  <c r="T300" i="4"/>
  <c r="X159" i="3"/>
  <c r="AA159" i="3" s="1"/>
  <c r="F160" i="3" s="1"/>
  <c r="W159" i="3"/>
  <c r="V159" i="3"/>
  <c r="AF159" i="3" s="1"/>
  <c r="S159" i="3"/>
  <c r="AE159" i="3" s="1"/>
  <c r="W15" i="3"/>
  <c r="BS163" i="3"/>
  <c r="BI163" i="3"/>
  <c r="BJ163" i="3" s="1"/>
  <c r="AP164" i="3"/>
  <c r="P15" i="3"/>
  <c r="S300" i="4"/>
  <c r="AE300" i="4" s="1"/>
  <c r="BD163" i="3"/>
  <c r="H9" i="5" l="1"/>
  <c r="C26" i="5"/>
  <c r="AO164" i="3"/>
  <c r="AQ164" i="3" s="1"/>
  <c r="O15" i="3"/>
  <c r="Q15" i="3" s="1"/>
  <c r="AB300" i="4"/>
  <c r="AC300" i="4" s="1"/>
  <c r="U300" i="4"/>
  <c r="AH300" i="4" s="1"/>
  <c r="J301" i="4"/>
  <c r="K301" i="4" s="1"/>
  <c r="P301" i="4"/>
  <c r="V301" i="4"/>
  <c r="AF301" i="4" s="1"/>
  <c r="Q301" i="4"/>
  <c r="R301" i="4" s="1"/>
  <c r="Z159" i="3"/>
  <c r="E160" i="3" s="1"/>
  <c r="G160" i="3" s="1"/>
  <c r="AI159" i="3"/>
  <c r="CK163" i="3"/>
  <c r="CL163" i="3" s="1"/>
  <c r="V15" i="3"/>
  <c r="BQ163" i="3"/>
  <c r="BQ164" i="3" s="1"/>
  <c r="BQ165" i="3" s="1"/>
  <c r="BQ166" i="3" s="1"/>
  <c r="BQ167" i="3" s="1"/>
  <c r="BQ168" i="3" s="1"/>
  <c r="BQ169" i="3" s="1"/>
  <c r="BQ170" i="3" s="1"/>
  <c r="BQ171" i="3" s="1"/>
  <c r="BQ172" i="3" s="1"/>
  <c r="BQ173" i="3" s="1"/>
  <c r="BQ174" i="3" s="1"/>
  <c r="BL163" i="3"/>
  <c r="BM163" i="3" s="1"/>
  <c r="BE163" i="3"/>
  <c r="BR163" i="3" s="1"/>
  <c r="T159" i="3"/>
  <c r="W301" i="4" l="1"/>
  <c r="S301" i="4"/>
  <c r="AE301" i="4" s="1"/>
  <c r="L301" i="4"/>
  <c r="AD301" i="4"/>
  <c r="H160" i="3"/>
  <c r="AB159" i="3"/>
  <c r="AC159" i="3" s="1"/>
  <c r="U159" i="3"/>
  <c r="AH159" i="3" s="1"/>
  <c r="M301" i="4"/>
  <c r="X301" i="4" s="1"/>
  <c r="AA301" i="4" s="1"/>
  <c r="F302" i="4" s="1"/>
  <c r="AR164" i="3"/>
  <c r="CR163" i="3"/>
  <c r="CU163" i="3" s="1"/>
  <c r="CP163" i="3"/>
  <c r="CZ163" i="3" s="1"/>
  <c r="CQ163" i="3"/>
  <c r="CM163" i="3"/>
  <c r="CY163" i="3" s="1"/>
  <c r="J302" i="4" l="1"/>
  <c r="K302" i="4" s="1"/>
  <c r="L302" i="4" s="1"/>
  <c r="AJ15" i="3"/>
  <c r="J160" i="3"/>
  <c r="M160" i="3" s="1"/>
  <c r="I160" i="3"/>
  <c r="AD302" i="4"/>
  <c r="AT164" i="3"/>
  <c r="AW164" i="3" s="1"/>
  <c r="H26" i="5"/>
  <c r="I10" i="5"/>
  <c r="DC163" i="3"/>
  <c r="CS163" i="3"/>
  <c r="BZ164" i="3"/>
  <c r="AC15" i="3"/>
  <c r="CN163" i="3"/>
  <c r="AI301" i="4"/>
  <c r="Z301" i="4"/>
  <c r="E302" i="4" s="1"/>
  <c r="G302" i="4" s="1"/>
  <c r="I302" i="4" s="1"/>
  <c r="AS164" i="3"/>
  <c r="T301" i="4"/>
  <c r="V302" i="4" l="1"/>
  <c r="AF302" i="4" s="1"/>
  <c r="P302" i="4"/>
  <c r="Q302" i="4"/>
  <c r="R302" i="4" s="1"/>
  <c r="AB301" i="4"/>
  <c r="AC301" i="4" s="1"/>
  <c r="U301" i="4"/>
  <c r="AH301" i="4" s="1"/>
  <c r="AU164" i="3"/>
  <c r="CV163" i="3"/>
  <c r="CW163" i="3" s="1"/>
  <c r="CO163" i="3"/>
  <c r="DB163" i="3" s="1"/>
  <c r="AI15" i="3"/>
  <c r="DA163" i="3"/>
  <c r="DA164" i="3" s="1"/>
  <c r="DA165" i="3" s="1"/>
  <c r="DA166" i="3" s="1"/>
  <c r="DA167" i="3" s="1"/>
  <c r="DA168" i="3" s="1"/>
  <c r="DA169" i="3" s="1"/>
  <c r="DA170" i="3" s="1"/>
  <c r="DA171" i="3" s="1"/>
  <c r="DA172" i="3" s="1"/>
  <c r="DA173" i="3" s="1"/>
  <c r="DA174" i="3" s="1"/>
  <c r="AZ164" i="3"/>
  <c r="K160" i="3"/>
  <c r="P160" i="3"/>
  <c r="CT163" i="3"/>
  <c r="M302" i="4"/>
  <c r="AD160" i="3" l="1"/>
  <c r="L160" i="3"/>
  <c r="H10" i="5"/>
  <c r="D26" i="5"/>
  <c r="BY164" i="3"/>
  <c r="CA164" i="3" s="1"/>
  <c r="AB15" i="3"/>
  <c r="AD15" i="3" s="1"/>
  <c r="BN164" i="3"/>
  <c r="AV164" i="3"/>
  <c r="X302" i="4"/>
  <c r="AA302" i="4" s="1"/>
  <c r="F303" i="4" s="1"/>
  <c r="S302" i="4"/>
  <c r="AE302" i="4" s="1"/>
  <c r="W302" i="4"/>
  <c r="AX164" i="3" l="1"/>
  <c r="AY164" i="3"/>
  <c r="CB164" i="3"/>
  <c r="N160" i="3"/>
  <c r="O160" i="3"/>
  <c r="AI302" i="4"/>
  <c r="Z302" i="4"/>
  <c r="E303" i="4" s="1"/>
  <c r="G303" i="4" s="1"/>
  <c r="I303" i="4" s="1"/>
  <c r="J303" i="4"/>
  <c r="K303" i="4" s="1"/>
  <c r="T302" i="4"/>
  <c r="AB302" i="4" l="1"/>
  <c r="AC302" i="4" s="1"/>
  <c r="U302" i="4"/>
  <c r="AH302" i="4" s="1"/>
  <c r="M303" i="4"/>
  <c r="L303" i="4"/>
  <c r="AD303" i="4"/>
  <c r="P303" i="4"/>
  <c r="V303" i="4"/>
  <c r="AF303" i="4" s="1"/>
  <c r="Q303" i="4"/>
  <c r="R303" i="4" s="1"/>
  <c r="Q160" i="3"/>
  <c r="R160" i="3" s="1"/>
  <c r="CD164" i="3"/>
  <c r="CG164" i="3" s="1"/>
  <c r="CC164" i="3"/>
  <c r="BA164" i="3"/>
  <c r="BB164" i="3" s="1"/>
  <c r="CE164" i="3" l="1"/>
  <c r="CX164" i="3"/>
  <c r="X303" i="4"/>
  <c r="AA303" i="4" s="1"/>
  <c r="F304" i="4" s="1"/>
  <c r="W303" i="4"/>
  <c r="CJ164" i="3"/>
  <c r="CF164" i="3"/>
  <c r="X160" i="3"/>
  <c r="AA160" i="3" s="1"/>
  <c r="F161" i="3" s="1"/>
  <c r="W160" i="3"/>
  <c r="V160" i="3"/>
  <c r="AF160" i="3" s="1"/>
  <c r="S160" i="3"/>
  <c r="AE160" i="3" s="1"/>
  <c r="S303" i="4"/>
  <c r="AE303" i="4" s="1"/>
  <c r="BH164" i="3"/>
  <c r="BK164" i="3" s="1"/>
  <c r="AP165" i="3" s="1"/>
  <c r="BG164" i="3"/>
  <c r="BF164" i="3"/>
  <c r="BP164" i="3" s="1"/>
  <c r="BC164" i="3"/>
  <c r="T160" i="3" l="1"/>
  <c r="T303" i="4"/>
  <c r="U303" i="4" s="1"/>
  <c r="AH303" i="4" s="1"/>
  <c r="BO164" i="3"/>
  <c r="Z160" i="3"/>
  <c r="E161" i="3" s="1"/>
  <c r="G161" i="3" s="1"/>
  <c r="AI160" i="3"/>
  <c r="BD164" i="3"/>
  <c r="AB160" i="3"/>
  <c r="AC160" i="3" s="1"/>
  <c r="U160" i="3"/>
  <c r="AH160" i="3" s="1"/>
  <c r="Z303" i="4"/>
  <c r="E304" i="4" s="1"/>
  <c r="G304" i="4" s="1"/>
  <c r="I304" i="4" s="1"/>
  <c r="AI303" i="4"/>
  <c r="J304" i="4"/>
  <c r="K304" i="4" s="1"/>
  <c r="CH164" i="3"/>
  <c r="CI164" i="3"/>
  <c r="BJ164" i="3"/>
  <c r="AO165" i="3" s="1"/>
  <c r="AQ165" i="3" s="1"/>
  <c r="BS164" i="3"/>
  <c r="AB303" i="4"/>
  <c r="AC303" i="4" s="1"/>
  <c r="L304" i="4" l="1"/>
  <c r="AD304" i="4"/>
  <c r="H161" i="3"/>
  <c r="P304" i="4"/>
  <c r="V304" i="4"/>
  <c r="AF304" i="4" s="1"/>
  <c r="Q304" i="4"/>
  <c r="R304" i="4" s="1"/>
  <c r="W304" i="4" s="1"/>
  <c r="BL164" i="3"/>
  <c r="BE164" i="3"/>
  <c r="BR164" i="3" s="1"/>
  <c r="AR165" i="3"/>
  <c r="M304" i="4"/>
  <c r="CK164" i="3"/>
  <c r="CL164" i="3" s="1"/>
  <c r="AI304" i="4" l="1"/>
  <c r="Z304" i="4"/>
  <c r="E305" i="4" s="1"/>
  <c r="G305" i="4" s="1"/>
  <c r="I305" i="4" s="1"/>
  <c r="S304" i="4"/>
  <c r="AE304" i="4" s="1"/>
  <c r="AT165" i="3"/>
  <c r="AW165" i="3" s="1"/>
  <c r="AS165" i="3"/>
  <c r="J161" i="3"/>
  <c r="M161" i="3" s="1"/>
  <c r="BM164" i="3"/>
  <c r="X304" i="4"/>
  <c r="AA304" i="4" s="1"/>
  <c r="F305" i="4" s="1"/>
  <c r="CR164" i="3"/>
  <c r="CU164" i="3" s="1"/>
  <c r="BZ165" i="3" s="1"/>
  <c r="CP164" i="3"/>
  <c r="CZ164" i="3" s="1"/>
  <c r="CQ164" i="3"/>
  <c r="CM164" i="3"/>
  <c r="I161" i="3"/>
  <c r="J305" i="4" l="1"/>
  <c r="K305" i="4" s="1"/>
  <c r="CY164" i="3"/>
  <c r="CN164" i="3"/>
  <c r="K161" i="3"/>
  <c r="AZ165" i="3"/>
  <c r="V305" i="4"/>
  <c r="AF305" i="4" s="1"/>
  <c r="P305" i="4"/>
  <c r="Q305" i="4"/>
  <c r="R305" i="4" s="1"/>
  <c r="P161" i="3"/>
  <c r="AU165" i="3"/>
  <c r="CT164" i="3"/>
  <c r="BY165" i="3" s="1"/>
  <c r="CA165" i="3" s="1"/>
  <c r="DC164" i="3"/>
  <c r="T304" i="4"/>
  <c r="S305" i="4" l="1"/>
  <c r="AE305" i="4" s="1"/>
  <c r="T305" i="4"/>
  <c r="W305" i="4"/>
  <c r="AD161" i="3"/>
  <c r="L161" i="3"/>
  <c r="CB165" i="3"/>
  <c r="CC165" i="3" s="1"/>
  <c r="AB304" i="4"/>
  <c r="AC304" i="4" s="1"/>
  <c r="U304" i="4"/>
  <c r="AH304" i="4" s="1"/>
  <c r="CV164" i="3"/>
  <c r="CO164" i="3"/>
  <c r="DB164" i="3" s="1"/>
  <c r="BN165" i="3"/>
  <c r="AV165" i="3"/>
  <c r="L305" i="4"/>
  <c r="AD305" i="4"/>
  <c r="M305" i="4"/>
  <c r="X305" i="4" s="1"/>
  <c r="AA305" i="4" s="1"/>
  <c r="F306" i="4" s="1"/>
  <c r="J306" i="4" l="1"/>
  <c r="K306" i="4" s="1"/>
  <c r="L306" i="4" s="1"/>
  <c r="CW164" i="3"/>
  <c r="N161" i="3"/>
  <c r="O161" i="3"/>
  <c r="AD306" i="4"/>
  <c r="AB305" i="4"/>
  <c r="AC305" i="4" s="1"/>
  <c r="U305" i="4"/>
  <c r="AH305" i="4"/>
  <c r="CD165" i="3"/>
  <c r="CG165" i="3" s="1"/>
  <c r="CJ165" i="3" s="1"/>
  <c r="Z305" i="4"/>
  <c r="E306" i="4" s="1"/>
  <c r="G306" i="4" s="1"/>
  <c r="I306" i="4" s="1"/>
  <c r="AI305" i="4"/>
  <c r="AX165" i="3"/>
  <c r="AY165" i="3"/>
  <c r="BA165" i="3" l="1"/>
  <c r="BB165" i="3" s="1"/>
  <c r="Q161" i="3"/>
  <c r="R161" i="3" s="1"/>
  <c r="P306" i="4"/>
  <c r="V306" i="4"/>
  <c r="AF306" i="4" s="1"/>
  <c r="Q306" i="4"/>
  <c r="R306" i="4" s="1"/>
  <c r="CE165" i="3"/>
  <c r="M306" i="4"/>
  <c r="X306" i="4" l="1"/>
  <c r="AA306" i="4" s="1"/>
  <c r="F307" i="4" s="1"/>
  <c r="W306" i="4"/>
  <c r="CX165" i="3"/>
  <c r="CF165" i="3"/>
  <c r="X161" i="3"/>
  <c r="AA161" i="3" s="1"/>
  <c r="F162" i="3" s="1"/>
  <c r="W161" i="3"/>
  <c r="V161" i="3"/>
  <c r="AF161" i="3" s="1"/>
  <c r="S161" i="3"/>
  <c r="AE161" i="3" s="1"/>
  <c r="S306" i="4"/>
  <c r="AE306" i="4" s="1"/>
  <c r="BH165" i="3"/>
  <c r="BK165" i="3" s="1"/>
  <c r="AP166" i="3" s="1"/>
  <c r="BG165" i="3"/>
  <c r="BF165" i="3"/>
  <c r="BP165" i="3" s="1"/>
  <c r="BC165" i="3"/>
  <c r="BD165" i="3" s="1"/>
  <c r="BL165" i="3" l="1"/>
  <c r="BE165" i="3"/>
  <c r="BR165" i="3" s="1"/>
  <c r="BJ165" i="3"/>
  <c r="AO166" i="3" s="1"/>
  <c r="AQ166" i="3" s="1"/>
  <c r="BS165" i="3"/>
  <c r="AI161" i="3"/>
  <c r="Z161" i="3"/>
  <c r="E162" i="3" s="1"/>
  <c r="G162" i="3" s="1"/>
  <c r="CH165" i="3"/>
  <c r="CI165" i="3"/>
  <c r="T161" i="3"/>
  <c r="BO165" i="3"/>
  <c r="T306" i="4"/>
  <c r="Z306" i="4"/>
  <c r="E307" i="4" s="1"/>
  <c r="G307" i="4" s="1"/>
  <c r="I307" i="4" s="1"/>
  <c r="AI306" i="4"/>
  <c r="J307" i="4"/>
  <c r="K307" i="4" s="1"/>
  <c r="AB161" i="3" l="1"/>
  <c r="AC161" i="3" s="1"/>
  <c r="U161" i="3"/>
  <c r="AH161" i="3" s="1"/>
  <c r="H162" i="3"/>
  <c r="M307" i="4"/>
  <c r="P307" i="4"/>
  <c r="V307" i="4"/>
  <c r="AF307" i="4" s="1"/>
  <c r="Q307" i="4"/>
  <c r="R307" i="4" s="1"/>
  <c r="AB306" i="4"/>
  <c r="AC306" i="4" s="1"/>
  <c r="U306" i="4"/>
  <c r="AH306" i="4" s="1"/>
  <c r="L307" i="4"/>
  <c r="AD307" i="4"/>
  <c r="AR166" i="3"/>
  <c r="CK165" i="3"/>
  <c r="CL165" i="3" s="1"/>
  <c r="BM165" i="3"/>
  <c r="AT166" i="3" l="1"/>
  <c r="AW166" i="3" s="1"/>
  <c r="AU166" i="3"/>
  <c r="AS166" i="3"/>
  <c r="J27" i="4"/>
  <c r="J162" i="3"/>
  <c r="M162" i="3" s="1"/>
  <c r="X307" i="4"/>
  <c r="AA307" i="4" s="1"/>
  <c r="S307" i="4"/>
  <c r="AE307" i="4" s="1"/>
  <c r="I38" i="5" s="1"/>
  <c r="W307" i="4"/>
  <c r="CR165" i="3"/>
  <c r="CU165" i="3" s="1"/>
  <c r="BZ166" i="3" s="1"/>
  <c r="CQ165" i="3"/>
  <c r="CP165" i="3"/>
  <c r="CZ165" i="3" s="1"/>
  <c r="CM165" i="3"/>
  <c r="CN165" i="3" s="1"/>
  <c r="I162" i="3"/>
  <c r="CV165" i="3" l="1"/>
  <c r="CO165" i="3"/>
  <c r="DB165" i="3" s="1"/>
  <c r="F308" i="4"/>
  <c r="C27" i="4"/>
  <c r="P162" i="3"/>
  <c r="DC165" i="3"/>
  <c r="CT165" i="3"/>
  <c r="BY166" i="3" s="1"/>
  <c r="CA166" i="3" s="1"/>
  <c r="K162" i="3"/>
  <c r="AZ166" i="3"/>
  <c r="CY165" i="3"/>
  <c r="Y307" i="4"/>
  <c r="Z307" i="4" s="1"/>
  <c r="AI307" i="4"/>
  <c r="BN166" i="3"/>
  <c r="T307" i="4"/>
  <c r="AV166" i="3"/>
  <c r="AD162" i="3" l="1"/>
  <c r="L162" i="3"/>
  <c r="AX166" i="3"/>
  <c r="AY166" i="3"/>
  <c r="AB307" i="4"/>
  <c r="AC307" i="4" s="1"/>
  <c r="U307" i="4"/>
  <c r="AH307" i="4" s="1"/>
  <c r="CB166" i="3"/>
  <c r="E38" i="5"/>
  <c r="E308" i="4"/>
  <c r="G308" i="4" s="1"/>
  <c r="I308" i="4" s="1"/>
  <c r="B27" i="4"/>
  <c r="D27" i="4" s="1"/>
  <c r="I27" i="4"/>
  <c r="AG307" i="4"/>
  <c r="AG308" i="4" s="1"/>
  <c r="AG309" i="4" s="1"/>
  <c r="AG310" i="4" s="1"/>
  <c r="AG311" i="4" s="1"/>
  <c r="AG312" i="4" s="1"/>
  <c r="AG313" i="4" s="1"/>
  <c r="AG314" i="4" s="1"/>
  <c r="AG315" i="4" s="1"/>
  <c r="AG316" i="4" s="1"/>
  <c r="AG317" i="4" s="1"/>
  <c r="AG318" i="4" s="1"/>
  <c r="J308" i="4"/>
  <c r="K308" i="4" s="1"/>
  <c r="CW165" i="3"/>
  <c r="CD166" i="3" l="1"/>
  <c r="CG166" i="3" s="1"/>
  <c r="BA166" i="3"/>
  <c r="BB166" i="3" s="1"/>
  <c r="L308" i="4"/>
  <c r="AD308" i="4"/>
  <c r="M308" i="4"/>
  <c r="CC166" i="3"/>
  <c r="N162" i="3"/>
  <c r="O162" i="3"/>
  <c r="V308" i="4"/>
  <c r="AF308" i="4" s="1"/>
  <c r="P308" i="4"/>
  <c r="Q308" i="4"/>
  <c r="R308" i="4" s="1"/>
  <c r="CJ166" i="3" l="1"/>
  <c r="BH166" i="3"/>
  <c r="BK166" i="3" s="1"/>
  <c r="AP167" i="3" s="1"/>
  <c r="BG166" i="3"/>
  <c r="BF166" i="3"/>
  <c r="BP166" i="3" s="1"/>
  <c r="BC166" i="3"/>
  <c r="BD166" i="3" s="1"/>
  <c r="Q162" i="3"/>
  <c r="R162" i="3" s="1"/>
  <c r="X308" i="4"/>
  <c r="AA308" i="4" s="1"/>
  <c r="F309" i="4" s="1"/>
  <c r="S308" i="4"/>
  <c r="W308" i="4"/>
  <c r="CE166" i="3"/>
  <c r="BL166" i="3" l="1"/>
  <c r="BE166" i="3"/>
  <c r="BR166" i="3" s="1"/>
  <c r="AE308" i="4"/>
  <c r="Z308" i="4"/>
  <c r="E309" i="4" s="1"/>
  <c r="G309" i="4" s="1"/>
  <c r="I309" i="4" s="1"/>
  <c r="AI308" i="4"/>
  <c r="T308" i="4"/>
  <c r="X162" i="3"/>
  <c r="AA162" i="3" s="1"/>
  <c r="F163" i="3" s="1"/>
  <c r="W162" i="3"/>
  <c r="V162" i="3"/>
  <c r="AF162" i="3" s="1"/>
  <c r="S162" i="3"/>
  <c r="AE162" i="3" s="1"/>
  <c r="BS166" i="3"/>
  <c r="BJ166" i="3"/>
  <c r="AO167" i="3" s="1"/>
  <c r="AQ167" i="3" s="1"/>
  <c r="J309" i="4"/>
  <c r="K309" i="4" s="1"/>
  <c r="BO166" i="3"/>
  <c r="CX166" i="3"/>
  <c r="CF166" i="3"/>
  <c r="M309" i="4" l="1"/>
  <c r="AR167" i="3"/>
  <c r="Z162" i="3"/>
  <c r="E163" i="3" s="1"/>
  <c r="G163" i="3" s="1"/>
  <c r="AI162" i="3"/>
  <c r="AB308" i="4"/>
  <c r="U308" i="4"/>
  <c r="AH308" i="4" s="1"/>
  <c r="P309" i="4"/>
  <c r="V309" i="4"/>
  <c r="AF309" i="4" s="1"/>
  <c r="Q309" i="4"/>
  <c r="R309" i="4" s="1"/>
  <c r="T162" i="3"/>
  <c r="CH166" i="3"/>
  <c r="CI166" i="3"/>
  <c r="L309" i="4"/>
  <c r="AD309" i="4"/>
  <c r="BM166" i="3"/>
  <c r="X309" i="4" l="1"/>
  <c r="AA309" i="4" s="1"/>
  <c r="F310" i="4" s="1"/>
  <c r="W309" i="4"/>
  <c r="S309" i="4"/>
  <c r="AC308" i="4"/>
  <c r="AB162" i="3"/>
  <c r="AC162" i="3" s="1"/>
  <c r="U162" i="3"/>
  <c r="AH162" i="3" s="1"/>
  <c r="CK166" i="3"/>
  <c r="CL166" i="3" s="1"/>
  <c r="H163" i="3"/>
  <c r="I163" i="3" s="1"/>
  <c r="AT167" i="3"/>
  <c r="AW167" i="3" s="1"/>
  <c r="AS167" i="3"/>
  <c r="AU167" i="3" l="1"/>
  <c r="CR166" i="3"/>
  <c r="CU166" i="3" s="1"/>
  <c r="BZ167" i="3" s="1"/>
  <c r="CP166" i="3"/>
  <c r="CZ166" i="3" s="1"/>
  <c r="CQ166" i="3"/>
  <c r="CM166" i="3"/>
  <c r="AZ167" i="3"/>
  <c r="J310" i="4"/>
  <c r="K310" i="4" s="1"/>
  <c r="AE309" i="4"/>
  <c r="AI309" i="4"/>
  <c r="Z309" i="4"/>
  <c r="E310" i="4" s="1"/>
  <c r="G310" i="4" s="1"/>
  <c r="I310" i="4" s="1"/>
  <c r="BN167" i="3"/>
  <c r="AV167" i="3"/>
  <c r="J163" i="3"/>
  <c r="M163" i="3" s="1"/>
  <c r="P163" i="3" s="1"/>
  <c r="T309" i="4"/>
  <c r="AB309" i="4" l="1"/>
  <c r="U309" i="4"/>
  <c r="AH309" i="4" s="1"/>
  <c r="L310" i="4"/>
  <c r="AD310" i="4"/>
  <c r="M310" i="4"/>
  <c r="K163" i="3"/>
  <c r="CY166" i="3"/>
  <c r="DC166" i="3"/>
  <c r="CT166" i="3"/>
  <c r="BY167" i="3" s="1"/>
  <c r="CA167" i="3" s="1"/>
  <c r="AX167" i="3"/>
  <c r="AY167" i="3"/>
  <c r="CN166" i="3"/>
  <c r="P310" i="4"/>
  <c r="V310" i="4"/>
  <c r="AF310" i="4" s="1"/>
  <c r="Q310" i="4"/>
  <c r="R310" i="4" s="1"/>
  <c r="X310" i="4" l="1"/>
  <c r="AA310" i="4" s="1"/>
  <c r="F311" i="4" s="1"/>
  <c r="BA167" i="3"/>
  <c r="BB167" i="3" s="1"/>
  <c r="AD163" i="3"/>
  <c r="L163" i="3"/>
  <c r="W310" i="4"/>
  <c r="S310" i="4"/>
  <c r="CV166" i="3"/>
  <c r="CO166" i="3"/>
  <c r="DB166" i="3" s="1"/>
  <c r="AC309" i="4"/>
  <c r="CB167" i="3"/>
  <c r="CC167" i="3" s="1"/>
  <c r="AE310" i="4" l="1"/>
  <c r="N163" i="3"/>
  <c r="O163" i="3"/>
  <c r="T310" i="4"/>
  <c r="CW166" i="3"/>
  <c r="AI310" i="4"/>
  <c r="Z310" i="4"/>
  <c r="E311" i="4" s="1"/>
  <c r="G311" i="4" s="1"/>
  <c r="I311" i="4" s="1"/>
  <c r="BH167" i="3"/>
  <c r="BK167" i="3" s="1"/>
  <c r="AP168" i="3" s="1"/>
  <c r="BG167" i="3"/>
  <c r="BF167" i="3"/>
  <c r="BP167" i="3" s="1"/>
  <c r="BC167" i="3"/>
  <c r="BD167" i="3" s="1"/>
  <c r="CD167" i="3"/>
  <c r="CG167" i="3" s="1"/>
  <c r="CJ167" i="3" s="1"/>
  <c r="J311" i="4"/>
  <c r="K311" i="4" s="1"/>
  <c r="BL167" i="3" l="1"/>
  <c r="BE167" i="3"/>
  <c r="BR167" i="3" s="1"/>
  <c r="AB310" i="4"/>
  <c r="U310" i="4"/>
  <c r="AH310" i="4" s="1"/>
  <c r="M311" i="4"/>
  <c r="Q163" i="3"/>
  <c r="R163" i="3" s="1"/>
  <c r="P311" i="4"/>
  <c r="V311" i="4"/>
  <c r="AF311" i="4" s="1"/>
  <c r="Q311" i="4"/>
  <c r="R311" i="4" s="1"/>
  <c r="W311" i="4" s="1"/>
  <c r="L311" i="4"/>
  <c r="AD311" i="4"/>
  <c r="CE167" i="3"/>
  <c r="BO167" i="3"/>
  <c r="BJ167" i="3"/>
  <c r="AO168" i="3" s="1"/>
  <c r="AQ168" i="3" s="1"/>
  <c r="BS167" i="3"/>
  <c r="Z311" i="4" l="1"/>
  <c r="E312" i="4" s="1"/>
  <c r="G312" i="4" s="1"/>
  <c r="I312" i="4" s="1"/>
  <c r="AI311" i="4"/>
  <c r="X311" i="4"/>
  <c r="AA311" i="4" s="1"/>
  <c r="F312" i="4" s="1"/>
  <c r="X163" i="3"/>
  <c r="AA163" i="3" s="1"/>
  <c r="W163" i="3"/>
  <c r="V163" i="3"/>
  <c r="AF163" i="3" s="1"/>
  <c r="S163" i="3"/>
  <c r="AE163" i="3" s="1"/>
  <c r="AR168" i="3"/>
  <c r="AS168" i="3" s="1"/>
  <c r="AC310" i="4"/>
  <c r="S311" i="4"/>
  <c r="BM167" i="3"/>
  <c r="CX167" i="3"/>
  <c r="CF167" i="3"/>
  <c r="AE311" i="4" l="1"/>
  <c r="AT168" i="3"/>
  <c r="AW168" i="3" s="1"/>
  <c r="AZ168" i="3" s="1"/>
  <c r="AU168" i="3"/>
  <c r="BN168" i="3" s="1"/>
  <c r="Y163" i="3"/>
  <c r="Z163" i="3" s="1"/>
  <c r="AI163" i="3"/>
  <c r="J15" i="3"/>
  <c r="CH167" i="3"/>
  <c r="CI167" i="3"/>
  <c r="T163" i="3"/>
  <c r="F164" i="3"/>
  <c r="C15" i="3"/>
  <c r="J312" i="4"/>
  <c r="K312" i="4" s="1"/>
  <c r="T311" i="4"/>
  <c r="F26" i="5"/>
  <c r="I8" i="5"/>
  <c r="V312" i="4"/>
  <c r="AF312" i="4" s="1"/>
  <c r="P312" i="4"/>
  <c r="Q312" i="4"/>
  <c r="R312" i="4" s="1"/>
  <c r="W312" i="4" s="1"/>
  <c r="S312" i="4" l="1"/>
  <c r="CK167" i="3"/>
  <c r="CL167" i="3" s="1"/>
  <c r="L312" i="4"/>
  <c r="AD312" i="4"/>
  <c r="AV168" i="3"/>
  <c r="Z312" i="4"/>
  <c r="E313" i="4" s="1"/>
  <c r="G313" i="4" s="1"/>
  <c r="I313" i="4" s="1"/>
  <c r="AI312" i="4"/>
  <c r="I15" i="3"/>
  <c r="AG163" i="3"/>
  <c r="AG164" i="3" s="1"/>
  <c r="AG165" i="3" s="1"/>
  <c r="AG166" i="3" s="1"/>
  <c r="AG167" i="3" s="1"/>
  <c r="AG168" i="3" s="1"/>
  <c r="AG169" i="3" s="1"/>
  <c r="AG170" i="3" s="1"/>
  <c r="AG171" i="3" s="1"/>
  <c r="AG172" i="3" s="1"/>
  <c r="AG173" i="3" s="1"/>
  <c r="AG174" i="3" s="1"/>
  <c r="M312" i="4"/>
  <c r="X312" i="4" s="1"/>
  <c r="AA312" i="4" s="1"/>
  <c r="F313" i="4" s="1"/>
  <c r="AE312" i="4"/>
  <c r="AB163" i="3"/>
  <c r="AC163" i="3" s="1"/>
  <c r="U163" i="3"/>
  <c r="AH163" i="3" s="1"/>
  <c r="B26" i="5"/>
  <c r="H8" i="5"/>
  <c r="E164" i="3"/>
  <c r="G164" i="3" s="1"/>
  <c r="B15" i="3"/>
  <c r="D15" i="3" s="1"/>
  <c r="AB311" i="4"/>
  <c r="U311" i="4"/>
  <c r="AH311" i="4" s="1"/>
  <c r="T312" i="4"/>
  <c r="J313" i="4" l="1"/>
  <c r="K313" i="4" s="1"/>
  <c r="L313" i="4" s="1"/>
  <c r="V313" i="4"/>
  <c r="AF313" i="4" s="1"/>
  <c r="P313" i="4"/>
  <c r="Q313" i="4"/>
  <c r="R313" i="4" s="1"/>
  <c r="AB312" i="4"/>
  <c r="U312" i="4"/>
  <c r="AD313" i="4"/>
  <c r="AH312" i="4"/>
  <c r="AX168" i="3"/>
  <c r="AY168" i="3"/>
  <c r="AC311" i="4"/>
  <c r="H164" i="3"/>
  <c r="CR167" i="3"/>
  <c r="CU167" i="3" s="1"/>
  <c r="BZ168" i="3" s="1"/>
  <c r="CQ167" i="3"/>
  <c r="CP167" i="3"/>
  <c r="CZ167" i="3" s="1"/>
  <c r="CM167" i="3"/>
  <c r="CY167" i="3" l="1"/>
  <c r="CT167" i="3"/>
  <c r="BY168" i="3" s="1"/>
  <c r="CA168" i="3" s="1"/>
  <c r="DC167" i="3"/>
  <c r="CN167" i="3"/>
  <c r="W313" i="4"/>
  <c r="J164" i="3"/>
  <c r="M164" i="3" s="1"/>
  <c r="I164" i="3"/>
  <c r="S313" i="4"/>
  <c r="AE313" i="4" s="1"/>
  <c r="AC312" i="4"/>
  <c r="BA168" i="3"/>
  <c r="BB168" i="3" s="1"/>
  <c r="M313" i="4"/>
  <c r="X313" i="4" s="1"/>
  <c r="AA313" i="4" s="1"/>
  <c r="F314" i="4" s="1"/>
  <c r="T313" i="4" l="1"/>
  <c r="P164" i="3"/>
  <c r="AB313" i="4"/>
  <c r="AC313" i="4" s="1"/>
  <c r="U313" i="4"/>
  <c r="AH313" i="4" s="1"/>
  <c r="K164" i="3"/>
  <c r="Z313" i="4"/>
  <c r="E314" i="4" s="1"/>
  <c r="G314" i="4" s="1"/>
  <c r="I314" i="4" s="1"/>
  <c r="AI313" i="4"/>
  <c r="BH168" i="3"/>
  <c r="BK168" i="3" s="1"/>
  <c r="AP169" i="3" s="1"/>
  <c r="BG168" i="3"/>
  <c r="BF168" i="3"/>
  <c r="BP168" i="3" s="1"/>
  <c r="BC168" i="3"/>
  <c r="BO168" i="3" s="1"/>
  <c r="J314" i="4"/>
  <c r="K314" i="4" s="1"/>
  <c r="CV167" i="3"/>
  <c r="CO167" i="3"/>
  <c r="DB167" i="3" s="1"/>
  <c r="CB168" i="3"/>
  <c r="P314" i="4" l="1"/>
  <c r="V314" i="4"/>
  <c r="AF314" i="4" s="1"/>
  <c r="Q314" i="4"/>
  <c r="R314" i="4" s="1"/>
  <c r="CW167" i="3"/>
  <c r="BJ168" i="3"/>
  <c r="AO169" i="3" s="1"/>
  <c r="AQ169" i="3" s="1"/>
  <c r="BS168" i="3"/>
  <c r="AD164" i="3"/>
  <c r="L164" i="3"/>
  <c r="L314" i="4"/>
  <c r="AD314" i="4"/>
  <c r="M314" i="4"/>
  <c r="BD168" i="3"/>
  <c r="CD168" i="3"/>
  <c r="CG168" i="3" s="1"/>
  <c r="CC168" i="3"/>
  <c r="N164" i="3" l="1"/>
  <c r="O164" i="3"/>
  <c r="CJ168" i="3"/>
  <c r="X314" i="4"/>
  <c r="AA314" i="4" s="1"/>
  <c r="F315" i="4" s="1"/>
  <c r="BL168" i="3"/>
  <c r="BM168" i="3" s="1"/>
  <c r="BE168" i="3"/>
  <c r="BR168" i="3" s="1"/>
  <c r="AR169" i="3"/>
  <c r="AS169" i="3" s="1"/>
  <c r="CE168" i="3"/>
  <c r="W314" i="4"/>
  <c r="S314" i="4"/>
  <c r="AE314" i="4" s="1"/>
  <c r="T314" i="4" l="1"/>
  <c r="AB314" i="4"/>
  <c r="AC314" i="4" s="1"/>
  <c r="U314" i="4"/>
  <c r="AH314" i="4" s="1"/>
  <c r="AT169" i="3"/>
  <c r="AW169" i="3" s="1"/>
  <c r="AZ169" i="3" s="1"/>
  <c r="AU169" i="3"/>
  <c r="BN169" i="3" s="1"/>
  <c r="J315" i="4"/>
  <c r="K315" i="4" s="1"/>
  <c r="Q164" i="3"/>
  <c r="R164" i="3" s="1"/>
  <c r="Z314" i="4"/>
  <c r="E315" i="4" s="1"/>
  <c r="G315" i="4" s="1"/>
  <c r="I315" i="4" s="1"/>
  <c r="AI314" i="4"/>
  <c r="CX168" i="3"/>
  <c r="CF168" i="3"/>
  <c r="AV169" i="3" l="1"/>
  <c r="L315" i="4"/>
  <c r="AD315" i="4"/>
  <c r="M315" i="4"/>
  <c r="X164" i="3"/>
  <c r="AA164" i="3" s="1"/>
  <c r="F165" i="3" s="1"/>
  <c r="V164" i="3"/>
  <c r="AF164" i="3" s="1"/>
  <c r="W164" i="3"/>
  <c r="S164" i="3"/>
  <c r="CH168" i="3"/>
  <c r="CI168" i="3"/>
  <c r="P315" i="4"/>
  <c r="V315" i="4"/>
  <c r="AF315" i="4" s="1"/>
  <c r="Q315" i="4"/>
  <c r="R315" i="4" s="1"/>
  <c r="AE164" i="3" l="1"/>
  <c r="AI164" i="3"/>
  <c r="Z164" i="3"/>
  <c r="E165" i="3" s="1"/>
  <c r="G165" i="3" s="1"/>
  <c r="T164" i="3"/>
  <c r="CK168" i="3"/>
  <c r="CL168" i="3" s="1"/>
  <c r="S315" i="4"/>
  <c r="AE315" i="4" s="1"/>
  <c r="X315" i="4"/>
  <c r="AA315" i="4" s="1"/>
  <c r="F316" i="4" s="1"/>
  <c r="T315" i="4"/>
  <c r="AX169" i="3"/>
  <c r="AY169" i="3"/>
  <c r="W315" i="4"/>
  <c r="AB315" i="4" l="1"/>
  <c r="AC315" i="4" s="1"/>
  <c r="U315" i="4"/>
  <c r="AH315" i="4" s="1"/>
  <c r="AB164" i="3"/>
  <c r="U164" i="3"/>
  <c r="AH164" i="3" s="1"/>
  <c r="J316" i="4"/>
  <c r="K316" i="4" s="1"/>
  <c r="CR168" i="3"/>
  <c r="CU168" i="3" s="1"/>
  <c r="BZ169" i="3" s="1"/>
  <c r="CQ168" i="3"/>
  <c r="CP168" i="3"/>
  <c r="CZ168" i="3" s="1"/>
  <c r="CM168" i="3"/>
  <c r="CY168" i="3" s="1"/>
  <c r="H165" i="3"/>
  <c r="I165" i="3" s="1"/>
  <c r="AI315" i="4"/>
  <c r="Z315" i="4"/>
  <c r="E316" i="4" s="1"/>
  <c r="G316" i="4" s="1"/>
  <c r="I316" i="4" s="1"/>
  <c r="BA169" i="3"/>
  <c r="BB169" i="3" s="1"/>
  <c r="V316" i="4" l="1"/>
  <c r="AF316" i="4" s="1"/>
  <c r="P316" i="4"/>
  <c r="Q316" i="4"/>
  <c r="R316" i="4" s="1"/>
  <c r="DC168" i="3"/>
  <c r="CT168" i="3"/>
  <c r="BY169" i="3" s="1"/>
  <c r="CA169" i="3" s="1"/>
  <c r="CN168" i="3"/>
  <c r="M316" i="4"/>
  <c r="AC164" i="3"/>
  <c r="J165" i="3"/>
  <c r="M165" i="3" s="1"/>
  <c r="P165" i="3" s="1"/>
  <c r="L316" i="4"/>
  <c r="AD316" i="4"/>
  <c r="BH169" i="3"/>
  <c r="BK169" i="3" s="1"/>
  <c r="AP170" i="3" s="1"/>
  <c r="BG169" i="3"/>
  <c r="BF169" i="3"/>
  <c r="BP169" i="3" s="1"/>
  <c r="BC169" i="3"/>
  <c r="BO169" i="3" s="1"/>
  <c r="BJ169" i="3" l="1"/>
  <c r="AO170" i="3" s="1"/>
  <c r="AQ170" i="3" s="1"/>
  <c r="BS169" i="3"/>
  <c r="CV168" i="3"/>
  <c r="CW168" i="3" s="1"/>
  <c r="CO168" i="3"/>
  <c r="DB168" i="3" s="1"/>
  <c r="CB169" i="3"/>
  <c r="BD169" i="3"/>
  <c r="X316" i="4"/>
  <c r="AA316" i="4" s="1"/>
  <c r="F317" i="4" s="1"/>
  <c r="S316" i="4"/>
  <c r="AE316" i="4" s="1"/>
  <c r="W316" i="4"/>
  <c r="K165" i="3"/>
  <c r="CD169" i="3" l="1"/>
  <c r="CG169" i="3" s="1"/>
  <c r="CE169" i="3"/>
  <c r="CX169" i="3" s="1"/>
  <c r="Z316" i="4"/>
  <c r="E317" i="4" s="1"/>
  <c r="G317" i="4" s="1"/>
  <c r="I317" i="4" s="1"/>
  <c r="AI316" i="4"/>
  <c r="T316" i="4"/>
  <c r="J317" i="4"/>
  <c r="K317" i="4" s="1"/>
  <c r="BL169" i="3"/>
  <c r="BM169" i="3" s="1"/>
  <c r="BE169" i="3"/>
  <c r="BR169" i="3" s="1"/>
  <c r="CC169" i="3"/>
  <c r="AD165" i="3"/>
  <c r="L165" i="3"/>
  <c r="AR170" i="3"/>
  <c r="M317" i="4" l="1"/>
  <c r="CJ169" i="3"/>
  <c r="L317" i="4"/>
  <c r="AD317" i="4"/>
  <c r="CF169" i="3"/>
  <c r="AB316" i="4"/>
  <c r="AC316" i="4" s="1"/>
  <c r="U316" i="4"/>
  <c r="AH316" i="4" s="1"/>
  <c r="V317" i="4"/>
  <c r="AF317" i="4" s="1"/>
  <c r="P317" i="4"/>
  <c r="Q317" i="4"/>
  <c r="R317" i="4" s="1"/>
  <c r="W317" i="4" s="1"/>
  <c r="AT170" i="3"/>
  <c r="AW170" i="3" s="1"/>
  <c r="AU170" i="3"/>
  <c r="BN170" i="3" s="1"/>
  <c r="AS170" i="3"/>
  <c r="N165" i="3"/>
  <c r="O165" i="3"/>
  <c r="S317" i="4" l="1"/>
  <c r="AE317" i="4" s="1"/>
  <c r="AI317" i="4"/>
  <c r="Z317" i="4"/>
  <c r="E318" i="4" s="1"/>
  <c r="G318" i="4" s="1"/>
  <c r="I318" i="4" s="1"/>
  <c r="CH169" i="3"/>
  <c r="CI169" i="3"/>
  <c r="AZ170" i="3"/>
  <c r="Q165" i="3"/>
  <c r="R165" i="3" s="1"/>
  <c r="AV170" i="3"/>
  <c r="T317" i="4"/>
  <c r="X317" i="4"/>
  <c r="AA317" i="4" s="1"/>
  <c r="F318" i="4" s="1"/>
  <c r="V318" i="4" l="1"/>
  <c r="AF318" i="4" s="1"/>
  <c r="P318" i="4"/>
  <c r="Q318" i="4"/>
  <c r="R318" i="4" s="1"/>
  <c r="X165" i="3"/>
  <c r="AA165" i="3" s="1"/>
  <c r="F166" i="3" s="1"/>
  <c r="W165" i="3"/>
  <c r="V165" i="3"/>
  <c r="AF165" i="3" s="1"/>
  <c r="S165" i="3"/>
  <c r="CK169" i="3"/>
  <c r="CL169" i="3" s="1"/>
  <c r="J318" i="4"/>
  <c r="K318" i="4" s="1"/>
  <c r="AB317" i="4"/>
  <c r="AC317" i="4" s="1"/>
  <c r="U317" i="4"/>
  <c r="AH317" i="4" s="1"/>
  <c r="AX170" i="3"/>
  <c r="AY170" i="3"/>
  <c r="M318" i="4" l="1"/>
  <c r="X318" i="4"/>
  <c r="AA318" i="4" s="1"/>
  <c r="F319" i="4" s="1"/>
  <c r="L318" i="4"/>
  <c r="AD318" i="4"/>
  <c r="CR169" i="3"/>
  <c r="CU169" i="3" s="1"/>
  <c r="BZ170" i="3" s="1"/>
  <c r="CP169" i="3"/>
  <c r="CZ169" i="3" s="1"/>
  <c r="CQ169" i="3"/>
  <c r="CM169" i="3"/>
  <c r="CY169" i="3" s="1"/>
  <c r="AE165" i="3"/>
  <c r="Z165" i="3"/>
  <c r="E166" i="3" s="1"/>
  <c r="G166" i="3" s="1"/>
  <c r="AI165" i="3"/>
  <c r="T165" i="3"/>
  <c r="BA170" i="3"/>
  <c r="BB170" i="3" s="1"/>
  <c r="S318" i="4"/>
  <c r="AE318" i="4" s="1"/>
  <c r="W318" i="4"/>
  <c r="DC169" i="3" l="1"/>
  <c r="CT169" i="3"/>
  <c r="BY170" i="3" s="1"/>
  <c r="CA170" i="3" s="1"/>
  <c r="BH170" i="3"/>
  <c r="BK170" i="3" s="1"/>
  <c r="AP171" i="3" s="1"/>
  <c r="BF170" i="3"/>
  <c r="BP170" i="3" s="1"/>
  <c r="BG170" i="3"/>
  <c r="BC170" i="3"/>
  <c r="BO170" i="3" s="1"/>
  <c r="CN169" i="3"/>
  <c r="T318" i="4"/>
  <c r="AI318" i="4"/>
  <c r="Z318" i="4"/>
  <c r="E319" i="4" s="1"/>
  <c r="G319" i="4" s="1"/>
  <c r="I319" i="4" s="1"/>
  <c r="J319" i="4"/>
  <c r="K319" i="4" s="1"/>
  <c r="L319" i="4" s="1"/>
  <c r="AB165" i="3"/>
  <c r="U165" i="3"/>
  <c r="AH165" i="3" s="1"/>
  <c r="H166" i="3"/>
  <c r="AD319" i="4" l="1"/>
  <c r="P319" i="4"/>
  <c r="V319" i="4"/>
  <c r="AF319" i="4" s="1"/>
  <c r="Q319" i="4"/>
  <c r="R319" i="4" s="1"/>
  <c r="CV169" i="3"/>
  <c r="CW169" i="3" s="1"/>
  <c r="CO169" i="3"/>
  <c r="DB169" i="3" s="1"/>
  <c r="AC165" i="3"/>
  <c r="J166" i="3"/>
  <c r="M166" i="3" s="1"/>
  <c r="AB318" i="4"/>
  <c r="AC318" i="4" s="1"/>
  <c r="U318" i="4"/>
  <c r="AH318" i="4" s="1"/>
  <c r="BS170" i="3"/>
  <c r="BJ170" i="3"/>
  <c r="AO171" i="3" s="1"/>
  <c r="AQ171" i="3" s="1"/>
  <c r="I166" i="3"/>
  <c r="BD170" i="3"/>
  <c r="CB170" i="3"/>
  <c r="CC170" i="3" s="1"/>
  <c r="M319" i="4"/>
  <c r="K166" i="3" l="1"/>
  <c r="CD170" i="3"/>
  <c r="CG170" i="3" s="1"/>
  <c r="CJ170" i="3" s="1"/>
  <c r="BL170" i="3"/>
  <c r="BM170" i="3" s="1"/>
  <c r="BE170" i="3"/>
  <c r="BR170" i="3" s="1"/>
  <c r="P166" i="3"/>
  <c r="S319" i="4"/>
  <c r="AE319" i="4" s="1"/>
  <c r="T319" i="4"/>
  <c r="X319" i="4"/>
  <c r="AA319" i="4" s="1"/>
  <c r="J28" i="4"/>
  <c r="AR171" i="3"/>
  <c r="W319" i="4"/>
  <c r="Y319" i="4" l="1"/>
  <c r="Z319" i="4" s="1"/>
  <c r="AI319" i="4"/>
  <c r="AD166" i="3"/>
  <c r="L166" i="3"/>
  <c r="CE170" i="3"/>
  <c r="AT171" i="3"/>
  <c r="AW171" i="3" s="1"/>
  <c r="AS171" i="3"/>
  <c r="F320" i="4"/>
  <c r="C28" i="4"/>
  <c r="AB319" i="4"/>
  <c r="AC319" i="4" s="1"/>
  <c r="U319" i="4"/>
  <c r="AH319" i="4" s="1"/>
  <c r="I39" i="5"/>
  <c r="J320" i="4" l="1"/>
  <c r="K320" i="4" s="1"/>
  <c r="AU171" i="3"/>
  <c r="AZ171" i="3"/>
  <c r="CX170" i="3"/>
  <c r="CF170" i="3"/>
  <c r="N166" i="3"/>
  <c r="O166" i="3"/>
  <c r="E39" i="5"/>
  <c r="E320" i="4"/>
  <c r="G320" i="4" s="1"/>
  <c r="I320" i="4" s="1"/>
  <c r="B28" i="4"/>
  <c r="D28" i="4" s="1"/>
  <c r="I28" i="4"/>
  <c r="AG319" i="4"/>
  <c r="AG320" i="4" s="1"/>
  <c r="AG321" i="4" s="1"/>
  <c r="AG322" i="4" s="1"/>
  <c r="AG323" i="4" s="1"/>
  <c r="AG324" i="4" s="1"/>
  <c r="AG325" i="4" s="1"/>
  <c r="AG326" i="4" s="1"/>
  <c r="AG327" i="4" s="1"/>
  <c r="AG328" i="4" s="1"/>
  <c r="AG329" i="4" s="1"/>
  <c r="AG330" i="4" s="1"/>
  <c r="V320" i="4" l="1"/>
  <c r="AF320" i="4" s="1"/>
  <c r="P320" i="4"/>
  <c r="Q320" i="4"/>
  <c r="R320" i="4" s="1"/>
  <c r="Q166" i="3"/>
  <c r="R166" i="3" s="1"/>
  <c r="CH170" i="3"/>
  <c r="CI170" i="3"/>
  <c r="BN171" i="3"/>
  <c r="AV171" i="3"/>
  <c r="L320" i="4"/>
  <c r="AD320" i="4"/>
  <c r="M320" i="4"/>
  <c r="X166" i="3" l="1"/>
  <c r="AA166" i="3" s="1"/>
  <c r="F167" i="3" s="1"/>
  <c r="W166" i="3"/>
  <c r="V166" i="3"/>
  <c r="AF166" i="3" s="1"/>
  <c r="S166" i="3"/>
  <c r="AX171" i="3"/>
  <c r="AY171" i="3"/>
  <c r="CK170" i="3"/>
  <c r="CL170" i="3" s="1"/>
  <c r="X320" i="4"/>
  <c r="AA320" i="4" s="1"/>
  <c r="F321" i="4" s="1"/>
  <c r="S320" i="4"/>
  <c r="W320" i="4"/>
  <c r="AE320" i="4" l="1"/>
  <c r="J321" i="4"/>
  <c r="K321" i="4" s="1"/>
  <c r="T320" i="4"/>
  <c r="AE166" i="3"/>
  <c r="AI166" i="3"/>
  <c r="Z166" i="3"/>
  <c r="E167" i="3" s="1"/>
  <c r="G167" i="3" s="1"/>
  <c r="AI320" i="4"/>
  <c r="Z320" i="4"/>
  <c r="E321" i="4" s="1"/>
  <c r="G321" i="4" s="1"/>
  <c r="I321" i="4" s="1"/>
  <c r="CR170" i="3"/>
  <c r="CU170" i="3" s="1"/>
  <c r="BZ171" i="3" s="1"/>
  <c r="CP170" i="3"/>
  <c r="CZ170" i="3" s="1"/>
  <c r="CQ170" i="3"/>
  <c r="CM170" i="3"/>
  <c r="CY170" i="3" s="1"/>
  <c r="BA171" i="3"/>
  <c r="BB171" i="3" s="1"/>
  <c r="T166" i="3"/>
  <c r="DC170" i="3" l="1"/>
  <c r="CT170" i="3"/>
  <c r="BY171" i="3" s="1"/>
  <c r="CA171" i="3" s="1"/>
  <c r="V321" i="4"/>
  <c r="AF321" i="4" s="1"/>
  <c r="P321" i="4"/>
  <c r="Q321" i="4"/>
  <c r="R321" i="4" s="1"/>
  <c r="CN170" i="3"/>
  <c r="H167" i="3"/>
  <c r="L321" i="4"/>
  <c r="AD321" i="4"/>
  <c r="M321" i="4"/>
  <c r="AB166" i="3"/>
  <c r="U166" i="3"/>
  <c r="AH166" i="3" s="1"/>
  <c r="AB320" i="4"/>
  <c r="U320" i="4"/>
  <c r="AH320" i="4" s="1"/>
  <c r="BH171" i="3"/>
  <c r="BK171" i="3" s="1"/>
  <c r="AP172" i="3" s="1"/>
  <c r="BG171" i="3"/>
  <c r="BF171" i="3"/>
  <c r="BP171" i="3" s="1"/>
  <c r="BC171" i="3"/>
  <c r="BO171" i="3" s="1"/>
  <c r="CV170" i="3" l="1"/>
  <c r="CW170" i="3" s="1"/>
  <c r="CO170" i="3"/>
  <c r="DB170" i="3" s="1"/>
  <c r="BS171" i="3"/>
  <c r="BJ171" i="3"/>
  <c r="AO172" i="3" s="1"/>
  <c r="AQ172" i="3" s="1"/>
  <c r="BD171" i="3"/>
  <c r="J167" i="3"/>
  <c r="M167" i="3" s="1"/>
  <c r="I167" i="3"/>
  <c r="X321" i="4"/>
  <c r="AA321" i="4" s="1"/>
  <c r="F322" i="4" s="1"/>
  <c r="AC320" i="4"/>
  <c r="CB171" i="3"/>
  <c r="W321" i="4"/>
  <c r="S321" i="4"/>
  <c r="T321" i="4" s="1"/>
  <c r="AC166" i="3"/>
  <c r="P167" i="3" l="1"/>
  <c r="K167" i="3"/>
  <c r="AE321" i="4"/>
  <c r="AB321" i="4"/>
  <c r="U321" i="4"/>
  <c r="AH321" i="4" s="1"/>
  <c r="CD171" i="3"/>
  <c r="CG171" i="3" s="1"/>
  <c r="J322" i="4"/>
  <c r="K322" i="4" s="1"/>
  <c r="CC171" i="3"/>
  <c r="BL171" i="3"/>
  <c r="BM171" i="3" s="1"/>
  <c r="BE171" i="3"/>
  <c r="BR171" i="3" s="1"/>
  <c r="AI321" i="4"/>
  <c r="Z321" i="4"/>
  <c r="E322" i="4" s="1"/>
  <c r="G322" i="4" s="1"/>
  <c r="I322" i="4" s="1"/>
  <c r="AR172" i="3"/>
  <c r="L322" i="4" l="1"/>
  <c r="AD322" i="4"/>
  <c r="CJ171" i="3"/>
  <c r="M322" i="4"/>
  <c r="AT172" i="3"/>
  <c r="AW172" i="3" s="1"/>
  <c r="CE171" i="3"/>
  <c r="AS172" i="3"/>
  <c r="P322" i="4"/>
  <c r="V322" i="4"/>
  <c r="AF322" i="4" s="1"/>
  <c r="Q322" i="4"/>
  <c r="R322" i="4" s="1"/>
  <c r="W322" i="4" s="1"/>
  <c r="AD167" i="3"/>
  <c r="L167" i="3"/>
  <c r="AC321" i="4"/>
  <c r="S322" i="4" l="1"/>
  <c r="CX171" i="3"/>
  <c r="CF171" i="3"/>
  <c r="AI322" i="4"/>
  <c r="Z322" i="4"/>
  <c r="E323" i="4" s="1"/>
  <c r="G323" i="4" s="1"/>
  <c r="I323" i="4" s="1"/>
  <c r="AZ172" i="3"/>
  <c r="AU172" i="3"/>
  <c r="N167" i="3"/>
  <c r="O167" i="3"/>
  <c r="AE322" i="4"/>
  <c r="T322" i="4"/>
  <c r="X322" i="4"/>
  <c r="AA322" i="4" s="1"/>
  <c r="F323" i="4" s="1"/>
  <c r="J323" i="4" l="1"/>
  <c r="K323" i="4" s="1"/>
  <c r="Q167" i="3"/>
  <c r="R167" i="3" s="1"/>
  <c r="BN172" i="3"/>
  <c r="AV172" i="3"/>
  <c r="V323" i="4"/>
  <c r="AF323" i="4" s="1"/>
  <c r="P323" i="4"/>
  <c r="Q323" i="4"/>
  <c r="R323" i="4" s="1"/>
  <c r="AB322" i="4"/>
  <c r="U322" i="4"/>
  <c r="AH322" i="4" s="1"/>
  <c r="CI171" i="3"/>
  <c r="CH171" i="3"/>
  <c r="S323" i="4" l="1"/>
  <c r="AE323" i="4" s="1"/>
  <c r="W323" i="4"/>
  <c r="AX172" i="3"/>
  <c r="AY172" i="3"/>
  <c r="L323" i="4"/>
  <c r="AD323" i="4"/>
  <c r="CK171" i="3"/>
  <c r="CL171" i="3" s="1"/>
  <c r="AC322" i="4"/>
  <c r="X167" i="3"/>
  <c r="AA167" i="3" s="1"/>
  <c r="F168" i="3" s="1"/>
  <c r="V167" i="3"/>
  <c r="AF167" i="3" s="1"/>
  <c r="W167" i="3"/>
  <c r="S167" i="3"/>
  <c r="M323" i="4"/>
  <c r="X323" i="4" s="1"/>
  <c r="AA323" i="4" s="1"/>
  <c r="F324" i="4" s="1"/>
  <c r="J324" i="4" l="1"/>
  <c r="K324" i="4" s="1"/>
  <c r="L324" i="4" s="1"/>
  <c r="Z323" i="4"/>
  <c r="E324" i="4" s="1"/>
  <c r="G324" i="4" s="1"/>
  <c r="I324" i="4" s="1"/>
  <c r="AI323" i="4"/>
  <c r="CR171" i="3"/>
  <c r="CU171" i="3" s="1"/>
  <c r="BZ172" i="3" s="1"/>
  <c r="CQ171" i="3"/>
  <c r="CP171" i="3"/>
  <c r="CZ171" i="3" s="1"/>
  <c r="CM171" i="3"/>
  <c r="CY171" i="3" s="1"/>
  <c r="BA172" i="3"/>
  <c r="BB172" i="3" s="1"/>
  <c r="AE167" i="3"/>
  <c r="T167" i="3"/>
  <c r="Z167" i="3"/>
  <c r="E168" i="3" s="1"/>
  <c r="G168" i="3" s="1"/>
  <c r="AI167" i="3"/>
  <c r="T323" i="4"/>
  <c r="AB323" i="4" l="1"/>
  <c r="AC323" i="4" s="1"/>
  <c r="U323" i="4"/>
  <c r="AH323" i="4" s="1"/>
  <c r="BH172" i="3"/>
  <c r="BK172" i="3" s="1"/>
  <c r="AP173" i="3" s="1"/>
  <c r="BF172" i="3"/>
  <c r="BP172" i="3" s="1"/>
  <c r="BG172" i="3"/>
  <c r="BC172" i="3"/>
  <c r="BO172" i="3" s="1"/>
  <c r="CT171" i="3"/>
  <c r="BY172" i="3" s="1"/>
  <c r="CA172" i="3" s="1"/>
  <c r="DC171" i="3"/>
  <c r="CN171" i="3"/>
  <c r="P324" i="4"/>
  <c r="V324" i="4"/>
  <c r="AF324" i="4" s="1"/>
  <c r="Q324" i="4"/>
  <c r="R324" i="4" s="1"/>
  <c r="W324" i="4" s="1"/>
  <c r="AD324" i="4"/>
  <c r="H168" i="3"/>
  <c r="I168" i="3" s="1"/>
  <c r="AB167" i="3"/>
  <c r="U167" i="3"/>
  <c r="AH167" i="3" s="1"/>
  <c r="M324" i="4"/>
  <c r="S324" i="4" l="1"/>
  <c r="AE324" i="4" s="1"/>
  <c r="BS172" i="3"/>
  <c r="BJ172" i="3"/>
  <c r="AO173" i="3" s="1"/>
  <c r="AQ173" i="3" s="1"/>
  <c r="CB172" i="3"/>
  <c r="AC167" i="3"/>
  <c r="AI324" i="4"/>
  <c r="Z324" i="4"/>
  <c r="E325" i="4" s="1"/>
  <c r="G325" i="4" s="1"/>
  <c r="I325" i="4" s="1"/>
  <c r="CV171" i="3"/>
  <c r="CW171" i="3" s="1"/>
  <c r="CO171" i="3"/>
  <c r="DB171" i="3" s="1"/>
  <c r="BD172" i="3"/>
  <c r="J168" i="3"/>
  <c r="M168" i="3" s="1"/>
  <c r="P168" i="3" s="1"/>
  <c r="X324" i="4"/>
  <c r="AA324" i="4" s="1"/>
  <c r="F325" i="4" s="1"/>
  <c r="T324" i="4"/>
  <c r="P325" i="4" l="1"/>
  <c r="V325" i="4"/>
  <c r="AF325" i="4" s="1"/>
  <c r="Q325" i="4"/>
  <c r="R325" i="4" s="1"/>
  <c r="CD172" i="3"/>
  <c r="CG172" i="3" s="1"/>
  <c r="AB324" i="4"/>
  <c r="AC324" i="4" s="1"/>
  <c r="U324" i="4"/>
  <c r="AH324" i="4" s="1"/>
  <c r="K168" i="3"/>
  <c r="CC172" i="3"/>
  <c r="J325" i="4"/>
  <c r="K325" i="4" s="1"/>
  <c r="AR173" i="3"/>
  <c r="BL172" i="3"/>
  <c r="BM172" i="3" s="1"/>
  <c r="BE172" i="3"/>
  <c r="BR172" i="3" s="1"/>
  <c r="M325" i="4" l="1"/>
  <c r="CJ172" i="3"/>
  <c r="AT173" i="3"/>
  <c r="AW173" i="3" s="1"/>
  <c r="X325" i="4"/>
  <c r="AA325" i="4" s="1"/>
  <c r="F326" i="4" s="1"/>
  <c r="L325" i="4"/>
  <c r="AD325" i="4"/>
  <c r="AD168" i="3"/>
  <c r="L168" i="3"/>
  <c r="CE172" i="3"/>
  <c r="W325" i="4"/>
  <c r="S325" i="4"/>
  <c r="AE325" i="4" s="1"/>
  <c r="AS173" i="3"/>
  <c r="T325" i="4" l="1"/>
  <c r="O168" i="3"/>
  <c r="N168" i="3"/>
  <c r="J326" i="4"/>
  <c r="K326" i="4" s="1"/>
  <c r="L326" i="4" s="1"/>
  <c r="AZ173" i="3"/>
  <c r="Z325" i="4"/>
  <c r="E326" i="4" s="1"/>
  <c r="G326" i="4" s="1"/>
  <c r="I326" i="4" s="1"/>
  <c r="AI325" i="4"/>
  <c r="AB325" i="4"/>
  <c r="AC325" i="4" s="1"/>
  <c r="U325" i="4"/>
  <c r="AH325" i="4" s="1"/>
  <c r="AU173" i="3"/>
  <c r="CX172" i="3"/>
  <c r="CF172" i="3"/>
  <c r="M326" i="4" l="1"/>
  <c r="CH172" i="3"/>
  <c r="CI172" i="3"/>
  <c r="BN173" i="3"/>
  <c r="AV173" i="3"/>
  <c r="P326" i="4"/>
  <c r="V326" i="4"/>
  <c r="AF326" i="4" s="1"/>
  <c r="Q326" i="4"/>
  <c r="R326" i="4" s="1"/>
  <c r="Q168" i="3"/>
  <c r="R168" i="3" s="1"/>
  <c r="AD326" i="4"/>
  <c r="S326" i="4" l="1"/>
  <c r="AE326" i="4" s="1"/>
  <c r="T326" i="4"/>
  <c r="X326" i="4"/>
  <c r="AA326" i="4" s="1"/>
  <c r="F327" i="4" s="1"/>
  <c r="W326" i="4"/>
  <c r="AX173" i="3"/>
  <c r="AY173" i="3"/>
  <c r="X168" i="3"/>
  <c r="AA168" i="3" s="1"/>
  <c r="F169" i="3" s="1"/>
  <c r="W168" i="3"/>
  <c r="V168" i="3"/>
  <c r="AF168" i="3" s="1"/>
  <c r="S168" i="3"/>
  <c r="AE168" i="3" s="1"/>
  <c r="CK172" i="3"/>
  <c r="CL172" i="3" s="1"/>
  <c r="BA173" i="3" l="1"/>
  <c r="BB173" i="3" s="1"/>
  <c r="CR172" i="3"/>
  <c r="CU172" i="3" s="1"/>
  <c r="BZ173" i="3" s="1"/>
  <c r="CP172" i="3"/>
  <c r="CZ172" i="3" s="1"/>
  <c r="CQ172" i="3"/>
  <c r="CM172" i="3"/>
  <c r="CY172" i="3" s="1"/>
  <c r="Z326" i="4"/>
  <c r="E327" i="4" s="1"/>
  <c r="G327" i="4" s="1"/>
  <c r="I327" i="4" s="1"/>
  <c r="AI326" i="4"/>
  <c r="AB326" i="4"/>
  <c r="AC326" i="4" s="1"/>
  <c r="U326" i="4"/>
  <c r="AH326" i="4" s="1"/>
  <c r="Z168" i="3"/>
  <c r="E169" i="3" s="1"/>
  <c r="G169" i="3" s="1"/>
  <c r="AI168" i="3"/>
  <c r="T168" i="3"/>
  <c r="J327" i="4"/>
  <c r="K327" i="4" s="1"/>
  <c r="P327" i="4" l="1"/>
  <c r="V327" i="4"/>
  <c r="AF327" i="4" s="1"/>
  <c r="Q327" i="4"/>
  <c r="R327" i="4" s="1"/>
  <c r="DC172" i="3"/>
  <c r="CT172" i="3"/>
  <c r="BY173" i="3" s="1"/>
  <c r="CA173" i="3" s="1"/>
  <c r="CN172" i="3"/>
  <c r="M327" i="4"/>
  <c r="H169" i="3"/>
  <c r="I169" i="3" s="1"/>
  <c r="L327" i="4"/>
  <c r="AD327" i="4"/>
  <c r="BH173" i="3"/>
  <c r="BK173" i="3" s="1"/>
  <c r="AP174" i="3" s="1"/>
  <c r="BG173" i="3"/>
  <c r="BF173" i="3"/>
  <c r="BP173" i="3" s="1"/>
  <c r="BC173" i="3"/>
  <c r="BO173" i="3" s="1"/>
  <c r="AB168" i="3"/>
  <c r="AC168" i="3" s="1"/>
  <c r="U168" i="3"/>
  <c r="AH168" i="3" s="1"/>
  <c r="CV172" i="3" l="1"/>
  <c r="CW172" i="3" s="1"/>
  <c r="CO172" i="3"/>
  <c r="DB172" i="3" s="1"/>
  <c r="BD173" i="3"/>
  <c r="J169" i="3"/>
  <c r="M169" i="3" s="1"/>
  <c r="P169" i="3" s="1"/>
  <c r="CB173" i="3"/>
  <c r="CC173" i="3" s="1"/>
  <c r="BS173" i="3"/>
  <c r="BJ173" i="3"/>
  <c r="AO174" i="3" s="1"/>
  <c r="AQ174" i="3" s="1"/>
  <c r="X327" i="4"/>
  <c r="AA327" i="4" s="1"/>
  <c r="F328" i="4" s="1"/>
  <c r="S327" i="4"/>
  <c r="AE327" i="4" s="1"/>
  <c r="W327" i="4"/>
  <c r="Z327" i="4" l="1"/>
  <c r="E328" i="4" s="1"/>
  <c r="G328" i="4" s="1"/>
  <c r="I328" i="4" s="1"/>
  <c r="AI327" i="4"/>
  <c r="BL173" i="3"/>
  <c r="BM173" i="3" s="1"/>
  <c r="BE173" i="3"/>
  <c r="BR173" i="3" s="1"/>
  <c r="T327" i="4"/>
  <c r="CD173" i="3"/>
  <c r="CG173" i="3" s="1"/>
  <c r="CJ173" i="3" s="1"/>
  <c r="K169" i="3"/>
  <c r="J328" i="4"/>
  <c r="K328" i="4" s="1"/>
  <c r="AR174" i="3"/>
  <c r="AB327" i="4" l="1"/>
  <c r="AC327" i="4" s="1"/>
  <c r="U327" i="4"/>
  <c r="AH327" i="4" s="1"/>
  <c r="V328" i="4"/>
  <c r="AF328" i="4" s="1"/>
  <c r="P328" i="4"/>
  <c r="Q328" i="4"/>
  <c r="R328" i="4" s="1"/>
  <c r="AD169" i="3"/>
  <c r="L169" i="3"/>
  <c r="AT174" i="3"/>
  <c r="AW174" i="3" s="1"/>
  <c r="AS174" i="3"/>
  <c r="CE173" i="3"/>
  <c r="L328" i="4"/>
  <c r="AD328" i="4"/>
  <c r="M328" i="4"/>
  <c r="AZ174" i="3" l="1"/>
  <c r="CX173" i="3"/>
  <c r="CF173" i="3"/>
  <c r="AU174" i="3"/>
  <c r="N169" i="3"/>
  <c r="O169" i="3"/>
  <c r="S328" i="4"/>
  <c r="AE328" i="4" s="1"/>
  <c r="X328" i="4"/>
  <c r="AA328" i="4" s="1"/>
  <c r="F329" i="4" s="1"/>
  <c r="T328" i="4"/>
  <c r="W328" i="4"/>
  <c r="Z328" i="4" l="1"/>
  <c r="E329" i="4" s="1"/>
  <c r="G329" i="4" s="1"/>
  <c r="I329" i="4" s="1"/>
  <c r="AI328" i="4"/>
  <c r="AB328" i="4"/>
  <c r="AC328" i="4" s="1"/>
  <c r="U328" i="4"/>
  <c r="AH328" i="4" s="1"/>
  <c r="Q169" i="3"/>
  <c r="R169" i="3" s="1"/>
  <c r="CH173" i="3"/>
  <c r="CI173" i="3"/>
  <c r="J329" i="4"/>
  <c r="K329" i="4" s="1"/>
  <c r="BN174" i="3"/>
  <c r="AV174" i="3"/>
  <c r="AY174" i="3" l="1"/>
  <c r="AX174" i="3"/>
  <c r="CK173" i="3"/>
  <c r="CL173" i="3" s="1"/>
  <c r="L329" i="4"/>
  <c r="AD329" i="4"/>
  <c r="M329" i="4"/>
  <c r="X169" i="3"/>
  <c r="AA169" i="3" s="1"/>
  <c r="F170" i="3" s="1"/>
  <c r="W169" i="3"/>
  <c r="V169" i="3"/>
  <c r="AF169" i="3" s="1"/>
  <c r="S169" i="3"/>
  <c r="AE169" i="3" s="1"/>
  <c r="V329" i="4"/>
  <c r="AF329" i="4" s="1"/>
  <c r="P329" i="4"/>
  <c r="Q329" i="4"/>
  <c r="R329" i="4" s="1"/>
  <c r="AI169" i="3" l="1"/>
  <c r="Z169" i="3"/>
  <c r="E170" i="3" s="1"/>
  <c r="G170" i="3" s="1"/>
  <c r="T169" i="3"/>
  <c r="X329" i="4"/>
  <c r="AA329" i="4" s="1"/>
  <c r="F330" i="4" s="1"/>
  <c r="CR173" i="3"/>
  <c r="CU173" i="3" s="1"/>
  <c r="BZ174" i="3" s="1"/>
  <c r="CP173" i="3"/>
  <c r="CZ173" i="3" s="1"/>
  <c r="CQ173" i="3"/>
  <c r="CM173" i="3"/>
  <c r="CY173" i="3" s="1"/>
  <c r="S329" i="4"/>
  <c r="AE329" i="4" s="1"/>
  <c r="BA174" i="3"/>
  <c r="BB174" i="3" s="1"/>
  <c r="W329" i="4"/>
  <c r="T329" i="4" l="1"/>
  <c r="CN173" i="3"/>
  <c r="AB169" i="3"/>
  <c r="AC169" i="3" s="1"/>
  <c r="U169" i="3"/>
  <c r="AH169" i="3" s="1"/>
  <c r="AI329" i="4"/>
  <c r="Z329" i="4"/>
  <c r="E330" i="4" s="1"/>
  <c r="G330" i="4" s="1"/>
  <c r="I330" i="4" s="1"/>
  <c r="CT173" i="3"/>
  <c r="BY174" i="3" s="1"/>
  <c r="CA174" i="3" s="1"/>
  <c r="DC173" i="3"/>
  <c r="J330" i="4"/>
  <c r="K330" i="4" s="1"/>
  <c r="H170" i="3"/>
  <c r="BH174" i="3"/>
  <c r="BK174" i="3" s="1"/>
  <c r="AP175" i="3" s="1"/>
  <c r="BG174" i="3"/>
  <c r="BF174" i="3"/>
  <c r="BP174" i="3" s="1"/>
  <c r="BC174" i="3"/>
  <c r="BO174" i="3" s="1"/>
  <c r="J170" i="3" l="1"/>
  <c r="M170" i="3" s="1"/>
  <c r="M330" i="4"/>
  <c r="I170" i="3"/>
  <c r="CB174" i="3"/>
  <c r="CC174" i="3"/>
  <c r="CV173" i="3"/>
  <c r="CW173" i="3" s="1"/>
  <c r="CO173" i="3"/>
  <c r="DB173" i="3" s="1"/>
  <c r="AB329" i="4"/>
  <c r="AC329" i="4" s="1"/>
  <c r="U329" i="4"/>
  <c r="AH329" i="4" s="1"/>
  <c r="BD174" i="3"/>
  <c r="L330" i="4"/>
  <c r="AD330" i="4"/>
  <c r="P330" i="4"/>
  <c r="V330" i="4"/>
  <c r="AF330" i="4" s="1"/>
  <c r="Q330" i="4"/>
  <c r="R330" i="4" s="1"/>
  <c r="BJ174" i="3"/>
  <c r="AO175" i="3" s="1"/>
  <c r="AQ175" i="3" s="1"/>
  <c r="BS174" i="3"/>
  <c r="P170" i="3" l="1"/>
  <c r="CD174" i="3"/>
  <c r="CG174" i="3" s="1"/>
  <c r="CJ174" i="3" s="1"/>
  <c r="K170" i="3"/>
  <c r="BL174" i="3"/>
  <c r="BM174" i="3" s="1"/>
  <c r="BE174" i="3"/>
  <c r="BR174" i="3" s="1"/>
  <c r="AR175" i="3"/>
  <c r="X330" i="4"/>
  <c r="AA330" i="4" s="1"/>
  <c r="F331" i="4" s="1"/>
  <c r="W330" i="4"/>
  <c r="S330" i="4"/>
  <c r="AE330" i="4" s="1"/>
  <c r="AD170" i="3" l="1"/>
  <c r="L170" i="3"/>
  <c r="CE174" i="3"/>
  <c r="AI330" i="4"/>
  <c r="Z330" i="4"/>
  <c r="E331" i="4" s="1"/>
  <c r="G331" i="4" s="1"/>
  <c r="I331" i="4" s="1"/>
  <c r="T330" i="4"/>
  <c r="J331" i="4"/>
  <c r="K331" i="4" s="1"/>
  <c r="AT175" i="3"/>
  <c r="AW175" i="3" s="1"/>
  <c r="AS175" i="3"/>
  <c r="AZ175" i="3" l="1"/>
  <c r="AB330" i="4"/>
  <c r="AC330" i="4" s="1"/>
  <c r="U330" i="4"/>
  <c r="AH330" i="4" s="1"/>
  <c r="L331" i="4"/>
  <c r="AD331" i="4"/>
  <c r="N170" i="3"/>
  <c r="O170" i="3"/>
  <c r="AU175" i="3"/>
  <c r="M331" i="4"/>
  <c r="P331" i="4"/>
  <c r="V331" i="4"/>
  <c r="AF331" i="4" s="1"/>
  <c r="Q331" i="4"/>
  <c r="R331" i="4" s="1"/>
  <c r="W331" i="4" s="1"/>
  <c r="CX174" i="3"/>
  <c r="CF174" i="3"/>
  <c r="AI331" i="4" l="1"/>
  <c r="Y331" i="4"/>
  <c r="S331" i="4"/>
  <c r="AE331" i="4" s="1"/>
  <c r="J29" i="4"/>
  <c r="BN175" i="3"/>
  <c r="AV175" i="3"/>
  <c r="X331" i="4"/>
  <c r="AA331" i="4" s="1"/>
  <c r="T331" i="4"/>
  <c r="Q170" i="3"/>
  <c r="R170" i="3" s="1"/>
  <c r="I40" i="5"/>
  <c r="CH174" i="3"/>
  <c r="CI174" i="3"/>
  <c r="F332" i="4" l="1"/>
  <c r="C29" i="4"/>
  <c r="CK174" i="3"/>
  <c r="CL174" i="3" s="1"/>
  <c r="X170" i="3"/>
  <c r="AA170" i="3" s="1"/>
  <c r="F171" i="3" s="1"/>
  <c r="V170" i="3"/>
  <c r="AF170" i="3" s="1"/>
  <c r="W170" i="3"/>
  <c r="S170" i="3"/>
  <c r="AE170" i="3" s="1"/>
  <c r="I29" i="4"/>
  <c r="AG331" i="4"/>
  <c r="AG332" i="4" s="1"/>
  <c r="AG333" i="4" s="1"/>
  <c r="AG334" i="4" s="1"/>
  <c r="AG335" i="4" s="1"/>
  <c r="AG336" i="4" s="1"/>
  <c r="AG337" i="4" s="1"/>
  <c r="AG338" i="4" s="1"/>
  <c r="AG339" i="4" s="1"/>
  <c r="AG340" i="4" s="1"/>
  <c r="AG341" i="4" s="1"/>
  <c r="AG342" i="4" s="1"/>
  <c r="Z331" i="4"/>
  <c r="AB331" i="4"/>
  <c r="AC331" i="4" s="1"/>
  <c r="U331" i="4"/>
  <c r="AH331" i="4" s="1"/>
  <c r="AX175" i="3"/>
  <c r="AY175" i="3"/>
  <c r="E40" i="5" l="1"/>
  <c r="E332" i="4"/>
  <c r="G332" i="4" s="1"/>
  <c r="I332" i="4" s="1"/>
  <c r="B29" i="4"/>
  <c r="D29" i="4" s="1"/>
  <c r="AI170" i="3"/>
  <c r="Z170" i="3"/>
  <c r="E171" i="3" s="1"/>
  <c r="G171" i="3" s="1"/>
  <c r="T170" i="3"/>
  <c r="CR174" i="3"/>
  <c r="CU174" i="3" s="1"/>
  <c r="BZ175" i="3" s="1"/>
  <c r="CQ174" i="3"/>
  <c r="CP174" i="3"/>
  <c r="CZ174" i="3" s="1"/>
  <c r="CM174" i="3"/>
  <c r="CY174" i="3" s="1"/>
  <c r="BA175" i="3"/>
  <c r="BB175" i="3" s="1"/>
  <c r="J332" i="4"/>
  <c r="K332" i="4" s="1"/>
  <c r="CN174" i="3" l="1"/>
  <c r="H171" i="3"/>
  <c r="AB170" i="3"/>
  <c r="AC170" i="3" s="1"/>
  <c r="U170" i="3"/>
  <c r="AH170" i="3" s="1"/>
  <c r="CT174" i="3"/>
  <c r="BY175" i="3" s="1"/>
  <c r="CA175" i="3" s="1"/>
  <c r="DC174" i="3"/>
  <c r="CV174" i="3"/>
  <c r="CW174" i="3" s="1"/>
  <c r="CO174" i="3"/>
  <c r="DB174" i="3" s="1"/>
  <c r="L332" i="4"/>
  <c r="AD332" i="4"/>
  <c r="M332" i="4"/>
  <c r="P332" i="4"/>
  <c r="V332" i="4"/>
  <c r="AF332" i="4" s="1"/>
  <c r="Q332" i="4"/>
  <c r="R332" i="4" s="1"/>
  <c r="W332" i="4" s="1"/>
  <c r="BH175" i="3"/>
  <c r="BK175" i="3" s="1"/>
  <c r="BF175" i="3"/>
  <c r="BP175" i="3" s="1"/>
  <c r="BG175" i="3"/>
  <c r="BC175" i="3"/>
  <c r="BO175" i="3" s="1"/>
  <c r="S332" i="4" l="1"/>
  <c r="AI332" i="4"/>
  <c r="Z332" i="4"/>
  <c r="E333" i="4" s="1"/>
  <c r="G333" i="4" s="1"/>
  <c r="I333" i="4" s="1"/>
  <c r="BS175" i="3"/>
  <c r="BI175" i="3"/>
  <c r="G27" i="5"/>
  <c r="AE332" i="4"/>
  <c r="W16" i="3"/>
  <c r="J171" i="3"/>
  <c r="M171" i="3" s="1"/>
  <c r="CB175" i="3"/>
  <c r="AP176" i="3"/>
  <c r="P16" i="3"/>
  <c r="BD175" i="3"/>
  <c r="T332" i="4"/>
  <c r="X332" i="4"/>
  <c r="AA332" i="4" s="1"/>
  <c r="F333" i="4" s="1"/>
  <c r="I171" i="3"/>
  <c r="P171" i="3" l="1"/>
  <c r="BL175" i="3"/>
  <c r="BM175" i="3" s="1"/>
  <c r="BE175" i="3"/>
  <c r="BR175" i="3" s="1"/>
  <c r="CD175" i="3"/>
  <c r="CG175" i="3" s="1"/>
  <c r="CC175" i="3"/>
  <c r="K171" i="3"/>
  <c r="J333" i="4"/>
  <c r="K333" i="4" s="1"/>
  <c r="AB332" i="4"/>
  <c r="U332" i="4"/>
  <c r="AH332" i="4" s="1"/>
  <c r="V16" i="3"/>
  <c r="BQ175" i="3"/>
  <c r="BQ176" i="3" s="1"/>
  <c r="BQ177" i="3" s="1"/>
  <c r="BQ178" i="3" s="1"/>
  <c r="BQ179" i="3" s="1"/>
  <c r="BQ180" i="3" s="1"/>
  <c r="BQ181" i="3" s="1"/>
  <c r="BQ182" i="3" s="1"/>
  <c r="BQ183" i="3" s="1"/>
  <c r="BQ184" i="3" s="1"/>
  <c r="BQ185" i="3" s="1"/>
  <c r="BQ186" i="3" s="1"/>
  <c r="BJ175" i="3"/>
  <c r="V333" i="4"/>
  <c r="AF333" i="4" s="1"/>
  <c r="P333" i="4"/>
  <c r="Q333" i="4"/>
  <c r="R333" i="4" s="1"/>
  <c r="S333" i="4" l="1"/>
  <c r="L333" i="4"/>
  <c r="AD333" i="4"/>
  <c r="AD171" i="3"/>
  <c r="L171" i="3"/>
  <c r="CJ175" i="3"/>
  <c r="CE175" i="3"/>
  <c r="M333" i="4"/>
  <c r="T333" i="4"/>
  <c r="X333" i="4"/>
  <c r="AA333" i="4" s="1"/>
  <c r="F334" i="4" s="1"/>
  <c r="AE333" i="4"/>
  <c r="W333" i="4"/>
  <c r="C27" i="5"/>
  <c r="AO176" i="3"/>
  <c r="AQ176" i="3" s="1"/>
  <c r="O16" i="3"/>
  <c r="Q16" i="3" s="1"/>
  <c r="AC332" i="4"/>
  <c r="AB333" i="4" l="1"/>
  <c r="U333" i="4"/>
  <c r="AH333" i="4" s="1"/>
  <c r="AR176" i="3"/>
  <c r="J334" i="4"/>
  <c r="K334" i="4" s="1"/>
  <c r="CX175" i="3"/>
  <c r="CF175" i="3"/>
  <c r="AC333" i="4"/>
  <c r="N171" i="3"/>
  <c r="O171" i="3"/>
  <c r="AD334" i="4"/>
  <c r="Z333" i="4"/>
  <c r="E334" i="4" s="1"/>
  <c r="G334" i="4" s="1"/>
  <c r="I334" i="4" s="1"/>
  <c r="AI333" i="4"/>
  <c r="M334" i="4" l="1"/>
  <c r="Q171" i="3"/>
  <c r="R171" i="3" s="1"/>
  <c r="L334" i="4"/>
  <c r="CH175" i="3"/>
  <c r="CI175" i="3"/>
  <c r="AT176" i="3"/>
  <c r="AW176" i="3" s="1"/>
  <c r="AU176" i="3"/>
  <c r="AS176" i="3"/>
  <c r="V334" i="4"/>
  <c r="AF334" i="4" s="1"/>
  <c r="P334" i="4"/>
  <c r="Q334" i="4"/>
  <c r="R334" i="4" s="1"/>
  <c r="W334" i="4" s="1"/>
  <c r="AI334" i="4" l="1"/>
  <c r="Z334" i="4"/>
  <c r="E335" i="4" s="1"/>
  <c r="G335" i="4" s="1"/>
  <c r="I335" i="4" s="1"/>
  <c r="BN176" i="3"/>
  <c r="AV176" i="3"/>
  <c r="CK175" i="3"/>
  <c r="CL175" i="3" s="1"/>
  <c r="X171" i="3"/>
  <c r="AA171" i="3" s="1"/>
  <c r="F172" i="3" s="1"/>
  <c r="W171" i="3"/>
  <c r="V171" i="3"/>
  <c r="AF171" i="3" s="1"/>
  <c r="S171" i="3"/>
  <c r="AE171" i="3" s="1"/>
  <c r="X334" i="4"/>
  <c r="AA334" i="4" s="1"/>
  <c r="F335" i="4" s="1"/>
  <c r="S334" i="4"/>
  <c r="AZ176" i="3"/>
  <c r="J335" i="4" l="1"/>
  <c r="K335" i="4" s="1"/>
  <c r="Z171" i="3"/>
  <c r="E172" i="3" s="1"/>
  <c r="G172" i="3" s="1"/>
  <c r="AI171" i="3"/>
  <c r="T171" i="3"/>
  <c r="CR175" i="3"/>
  <c r="CU175" i="3" s="1"/>
  <c r="CQ175" i="3"/>
  <c r="CP175" i="3"/>
  <c r="CZ175" i="3" s="1"/>
  <c r="CM175" i="3"/>
  <c r="CY175" i="3" s="1"/>
  <c r="AX176" i="3"/>
  <c r="AY176" i="3"/>
  <c r="P335" i="4"/>
  <c r="V335" i="4"/>
  <c r="AF335" i="4" s="1"/>
  <c r="Q335" i="4"/>
  <c r="R335" i="4" s="1"/>
  <c r="AE334" i="4"/>
  <c r="T334" i="4"/>
  <c r="AJ16" i="3" l="1"/>
  <c r="BZ176" i="3"/>
  <c r="AC16" i="3"/>
  <c r="CN175" i="3"/>
  <c r="AB171" i="3"/>
  <c r="AC171" i="3" s="1"/>
  <c r="U171" i="3"/>
  <c r="AH171" i="3" s="1"/>
  <c r="H172" i="3"/>
  <c r="I172" i="3" s="1"/>
  <c r="S335" i="4"/>
  <c r="T335" i="4" s="1"/>
  <c r="BA176" i="3"/>
  <c r="BB176" i="3" s="1"/>
  <c r="H27" i="5"/>
  <c r="DC175" i="3"/>
  <c r="CS175" i="3"/>
  <c r="AB334" i="4"/>
  <c r="U334" i="4"/>
  <c r="AH334" i="4" s="1"/>
  <c r="W335" i="4"/>
  <c r="L335" i="4"/>
  <c r="AD335" i="4"/>
  <c r="M335" i="4"/>
  <c r="X335" i="4" s="1"/>
  <c r="AA335" i="4" s="1"/>
  <c r="F336" i="4" s="1"/>
  <c r="AB335" i="4" l="1"/>
  <c r="U335" i="4"/>
  <c r="J336" i="4"/>
  <c r="K336" i="4" s="1"/>
  <c r="L336" i="4" s="1"/>
  <c r="AH335" i="4"/>
  <c r="CV175" i="3"/>
  <c r="CW175" i="3" s="1"/>
  <c r="CO175" i="3"/>
  <c r="DB175" i="3" s="1"/>
  <c r="J172" i="3"/>
  <c r="M172" i="3" s="1"/>
  <c r="P172" i="3" s="1"/>
  <c r="AI335" i="4"/>
  <c r="Z335" i="4"/>
  <c r="E336" i="4" s="1"/>
  <c r="G336" i="4" s="1"/>
  <c r="I336" i="4" s="1"/>
  <c r="AC334" i="4"/>
  <c r="BH176" i="3"/>
  <c r="BK176" i="3" s="1"/>
  <c r="AP177" i="3" s="1"/>
  <c r="BF176" i="3"/>
  <c r="BP176" i="3" s="1"/>
  <c r="BG176" i="3"/>
  <c r="BC176" i="3"/>
  <c r="AE335" i="4"/>
  <c r="AI16" i="3"/>
  <c r="DA175" i="3"/>
  <c r="DA176" i="3" s="1"/>
  <c r="DA177" i="3" s="1"/>
  <c r="DA178" i="3" s="1"/>
  <c r="DA179" i="3" s="1"/>
  <c r="DA180" i="3" s="1"/>
  <c r="DA181" i="3" s="1"/>
  <c r="DA182" i="3" s="1"/>
  <c r="DA183" i="3" s="1"/>
  <c r="DA184" i="3" s="1"/>
  <c r="DA185" i="3" s="1"/>
  <c r="DA186" i="3" s="1"/>
  <c r="CT175" i="3"/>
  <c r="V336" i="4" l="1"/>
  <c r="AF336" i="4" s="1"/>
  <c r="P336" i="4"/>
  <c r="Q336" i="4"/>
  <c r="R336" i="4" s="1"/>
  <c r="D27" i="5"/>
  <c r="BY176" i="3"/>
  <c r="CA176" i="3" s="1"/>
  <c r="AB16" i="3"/>
  <c r="AD16" i="3" s="1"/>
  <c r="M336" i="4"/>
  <c r="K172" i="3"/>
  <c r="BJ176" i="3"/>
  <c r="AO177" i="3" s="1"/>
  <c r="AQ177" i="3" s="1"/>
  <c r="BS176" i="3"/>
  <c r="AD336" i="4"/>
  <c r="BO176" i="3"/>
  <c r="BD176" i="3"/>
  <c r="AC335" i="4"/>
  <c r="AR177" i="3" l="1"/>
  <c r="AS177" i="3"/>
  <c r="CB176" i="3"/>
  <c r="BL176" i="3"/>
  <c r="BE176" i="3"/>
  <c r="BR176" i="3" s="1"/>
  <c r="AD172" i="3"/>
  <c r="L172" i="3"/>
  <c r="X336" i="4"/>
  <c r="AA336" i="4" s="1"/>
  <c r="F337" i="4" s="1"/>
  <c r="S336" i="4"/>
  <c r="AE336" i="4" s="1"/>
  <c r="W336" i="4"/>
  <c r="Z336" i="4" l="1"/>
  <c r="E337" i="4" s="1"/>
  <c r="G337" i="4" s="1"/>
  <c r="I337" i="4" s="1"/>
  <c r="AI336" i="4"/>
  <c r="N172" i="3"/>
  <c r="O172" i="3"/>
  <c r="J337" i="4"/>
  <c r="K337" i="4" s="1"/>
  <c r="T336" i="4"/>
  <c r="BM176" i="3"/>
  <c r="CD176" i="3"/>
  <c r="CG176" i="3" s="1"/>
  <c r="CE176" i="3"/>
  <c r="CC176" i="3"/>
  <c r="AT177" i="3"/>
  <c r="AW177" i="3" s="1"/>
  <c r="AZ177" i="3" s="1"/>
  <c r="AU177" i="3" l="1"/>
  <c r="CJ176" i="3"/>
  <c r="CX176" i="3"/>
  <c r="AB336" i="4"/>
  <c r="AC336" i="4" s="1"/>
  <c r="U336" i="4"/>
  <c r="AH336" i="4" s="1"/>
  <c r="L337" i="4"/>
  <c r="AD337" i="4"/>
  <c r="M337" i="4"/>
  <c r="Q172" i="3"/>
  <c r="R172" i="3" s="1"/>
  <c r="CF176" i="3"/>
  <c r="V337" i="4"/>
  <c r="AF337" i="4" s="1"/>
  <c r="Q337" i="4"/>
  <c r="R337" i="4" s="1"/>
  <c r="P337" i="4"/>
  <c r="S337" i="4" l="1"/>
  <c r="AE337" i="4" s="1"/>
  <c r="CH176" i="3"/>
  <c r="CI176" i="3"/>
  <c r="X172" i="3"/>
  <c r="AA172" i="3" s="1"/>
  <c r="F173" i="3" s="1"/>
  <c r="V172" i="3"/>
  <c r="AF172" i="3" s="1"/>
  <c r="W172" i="3"/>
  <c r="S172" i="3"/>
  <c r="AE172" i="3" s="1"/>
  <c r="X337" i="4"/>
  <c r="AA337" i="4" s="1"/>
  <c r="F338" i="4" s="1"/>
  <c r="T337" i="4"/>
  <c r="BN177" i="3"/>
  <c r="AV177" i="3"/>
  <c r="W337" i="4"/>
  <c r="Z172" i="3" l="1"/>
  <c r="E173" i="3" s="1"/>
  <c r="G173" i="3" s="1"/>
  <c r="AI172" i="3"/>
  <c r="T172" i="3"/>
  <c r="AI337" i="4"/>
  <c r="Z337" i="4"/>
  <c r="E338" i="4" s="1"/>
  <c r="G338" i="4" s="1"/>
  <c r="I338" i="4" s="1"/>
  <c r="AX177" i="3"/>
  <c r="AY177" i="3"/>
  <c r="CK176" i="3"/>
  <c r="CL176" i="3" s="1"/>
  <c r="AB337" i="4"/>
  <c r="AC337" i="4" s="1"/>
  <c r="U337" i="4"/>
  <c r="AH337" i="4" s="1"/>
  <c r="J338" i="4"/>
  <c r="K338" i="4" s="1"/>
  <c r="AB172" i="3" l="1"/>
  <c r="AC172" i="3" s="1"/>
  <c r="U172" i="3"/>
  <c r="AH172" i="3" s="1"/>
  <c r="BA177" i="3"/>
  <c r="BB177" i="3" s="1"/>
  <c r="P338" i="4"/>
  <c r="V338" i="4"/>
  <c r="AF338" i="4" s="1"/>
  <c r="Q338" i="4"/>
  <c r="R338" i="4" s="1"/>
  <c r="CR176" i="3"/>
  <c r="CU176" i="3" s="1"/>
  <c r="BZ177" i="3" s="1"/>
  <c r="CQ176" i="3"/>
  <c r="CP176" i="3"/>
  <c r="CZ176" i="3" s="1"/>
  <c r="CM176" i="3"/>
  <c r="CN176" i="3" s="1"/>
  <c r="L338" i="4"/>
  <c r="AD338" i="4"/>
  <c r="M338" i="4"/>
  <c r="H173" i="3"/>
  <c r="CV176" i="3" l="1"/>
  <c r="CO176" i="3"/>
  <c r="DB176" i="3" s="1"/>
  <c r="X338" i="4"/>
  <c r="AA338" i="4" s="1"/>
  <c r="F339" i="4" s="1"/>
  <c r="W338" i="4"/>
  <c r="CY176" i="3"/>
  <c r="DC176" i="3"/>
  <c r="CT176" i="3"/>
  <c r="BY177" i="3" s="1"/>
  <c r="CA177" i="3" s="1"/>
  <c r="BH177" i="3"/>
  <c r="BK177" i="3" s="1"/>
  <c r="AP178" i="3" s="1"/>
  <c r="BG177" i="3"/>
  <c r="BF177" i="3"/>
  <c r="BP177" i="3" s="1"/>
  <c r="BC177" i="3"/>
  <c r="S338" i="4"/>
  <c r="AE338" i="4" s="1"/>
  <c r="J173" i="3"/>
  <c r="M173" i="3" s="1"/>
  <c r="I173" i="3"/>
  <c r="T338" i="4" l="1"/>
  <c r="BO177" i="3"/>
  <c r="BJ177" i="3"/>
  <c r="AO178" i="3" s="1"/>
  <c r="AQ178" i="3" s="1"/>
  <c r="BS177" i="3"/>
  <c r="BD177" i="3"/>
  <c r="CB177" i="3"/>
  <c r="CC177" i="3" s="1"/>
  <c r="P173" i="3"/>
  <c r="K173" i="3"/>
  <c r="Z338" i="4"/>
  <c r="E339" i="4" s="1"/>
  <c r="G339" i="4" s="1"/>
  <c r="I339" i="4" s="1"/>
  <c r="AI338" i="4"/>
  <c r="AB338" i="4"/>
  <c r="AC338" i="4" s="1"/>
  <c r="U338" i="4"/>
  <c r="AH338" i="4" s="1"/>
  <c r="J339" i="4"/>
  <c r="K339" i="4" s="1"/>
  <c r="CW176" i="3"/>
  <c r="BL177" i="3" l="1"/>
  <c r="BE177" i="3"/>
  <c r="BR177" i="3" s="1"/>
  <c r="AD173" i="3"/>
  <c r="L173" i="3"/>
  <c r="M339" i="4"/>
  <c r="P339" i="4"/>
  <c r="V339" i="4"/>
  <c r="AF339" i="4" s="1"/>
  <c r="Q339" i="4"/>
  <c r="R339" i="4" s="1"/>
  <c r="CD177" i="3"/>
  <c r="CG177" i="3" s="1"/>
  <c r="CJ177" i="3" s="1"/>
  <c r="L339" i="4"/>
  <c r="AD339" i="4"/>
  <c r="AR178" i="3"/>
  <c r="X339" i="4" l="1"/>
  <c r="AA339" i="4" s="1"/>
  <c r="F340" i="4" s="1"/>
  <c r="W339" i="4"/>
  <c r="AT178" i="3"/>
  <c r="AW178" i="3" s="1"/>
  <c r="AS178" i="3"/>
  <c r="S339" i="4"/>
  <c r="AE339" i="4" s="1"/>
  <c r="N173" i="3"/>
  <c r="O173" i="3"/>
  <c r="BM177" i="3"/>
  <c r="CE177" i="3"/>
  <c r="AZ178" i="3" l="1"/>
  <c r="Q173" i="3"/>
  <c r="R173" i="3" s="1"/>
  <c r="AU178" i="3"/>
  <c r="CX177" i="3"/>
  <c r="CF177" i="3"/>
  <c r="AI339" i="4"/>
  <c r="Z339" i="4"/>
  <c r="E340" i="4" s="1"/>
  <c r="G340" i="4" s="1"/>
  <c r="I340" i="4" s="1"/>
  <c r="T339" i="4"/>
  <c r="J340" i="4"/>
  <c r="K340" i="4" s="1"/>
  <c r="M340" i="4" l="1"/>
  <c r="CH177" i="3"/>
  <c r="CI177" i="3"/>
  <c r="L340" i="4"/>
  <c r="AD340" i="4"/>
  <c r="AB339" i="4"/>
  <c r="AC339" i="4" s="1"/>
  <c r="U339" i="4"/>
  <c r="AH339" i="4" s="1"/>
  <c r="V340" i="4"/>
  <c r="AF340" i="4" s="1"/>
  <c r="P340" i="4"/>
  <c r="Q340" i="4"/>
  <c r="R340" i="4" s="1"/>
  <c r="BN178" i="3"/>
  <c r="AV178" i="3"/>
  <c r="X173" i="3"/>
  <c r="AA173" i="3" s="1"/>
  <c r="F174" i="3" s="1"/>
  <c r="W173" i="3"/>
  <c r="V173" i="3"/>
  <c r="AF173" i="3" s="1"/>
  <c r="S173" i="3"/>
  <c r="AE173" i="3" s="1"/>
  <c r="S340" i="4" l="1"/>
  <c r="AE340" i="4" s="1"/>
  <c r="T340" i="4"/>
  <c r="X340" i="4"/>
  <c r="AA340" i="4" s="1"/>
  <c r="F341" i="4" s="1"/>
  <c r="CK177" i="3"/>
  <c r="CL177" i="3" s="1"/>
  <c r="W340" i="4"/>
  <c r="Z173" i="3"/>
  <c r="E174" i="3" s="1"/>
  <c r="G174" i="3" s="1"/>
  <c r="AI173" i="3"/>
  <c r="T173" i="3"/>
  <c r="AX178" i="3"/>
  <c r="AY178" i="3"/>
  <c r="AI340" i="4" l="1"/>
  <c r="Z340" i="4"/>
  <c r="E341" i="4" s="1"/>
  <c r="G341" i="4" s="1"/>
  <c r="I341" i="4" s="1"/>
  <c r="J341" i="4"/>
  <c r="K341" i="4" s="1"/>
  <c r="H174" i="3"/>
  <c r="I174" i="3" s="1"/>
  <c r="CR177" i="3"/>
  <c r="CU177" i="3" s="1"/>
  <c r="BZ178" i="3" s="1"/>
  <c r="CP177" i="3"/>
  <c r="CZ177" i="3" s="1"/>
  <c r="CQ177" i="3"/>
  <c r="CM177" i="3"/>
  <c r="CN177" i="3" s="1"/>
  <c r="AB340" i="4"/>
  <c r="AC340" i="4" s="1"/>
  <c r="U340" i="4"/>
  <c r="AH340" i="4" s="1"/>
  <c r="BA178" i="3"/>
  <c r="BB178" i="3" s="1"/>
  <c r="AB173" i="3"/>
  <c r="AC173" i="3" s="1"/>
  <c r="U173" i="3"/>
  <c r="AH173" i="3" s="1"/>
  <c r="CV177" i="3" l="1"/>
  <c r="CO177" i="3"/>
  <c r="DB177" i="3" s="1"/>
  <c r="BH178" i="3"/>
  <c r="BK178" i="3" s="1"/>
  <c r="AP179" i="3" s="1"/>
  <c r="BG178" i="3"/>
  <c r="BF178" i="3"/>
  <c r="BP178" i="3" s="1"/>
  <c r="BC178" i="3"/>
  <c r="V341" i="4"/>
  <c r="AF341" i="4" s="1"/>
  <c r="P341" i="4"/>
  <c r="Q341" i="4"/>
  <c r="R341" i="4" s="1"/>
  <c r="W341" i="4" s="1"/>
  <c r="CY177" i="3"/>
  <c r="DC177" i="3"/>
  <c r="CT177" i="3"/>
  <c r="BY178" i="3" s="1"/>
  <c r="CA178" i="3" s="1"/>
  <c r="J174" i="3"/>
  <c r="M174" i="3" s="1"/>
  <c r="P174" i="3" s="1"/>
  <c r="L341" i="4"/>
  <c r="AD341" i="4"/>
  <c r="M341" i="4"/>
  <c r="BO178" i="3" l="1"/>
  <c r="BJ178" i="3"/>
  <c r="AO179" i="3" s="1"/>
  <c r="AQ179" i="3" s="1"/>
  <c r="BS178" i="3"/>
  <c r="K174" i="3"/>
  <c r="Z341" i="4"/>
  <c r="E342" i="4" s="1"/>
  <c r="G342" i="4" s="1"/>
  <c r="I342" i="4" s="1"/>
  <c r="AI341" i="4"/>
  <c r="BD178" i="3"/>
  <c r="CB178" i="3"/>
  <c r="X341" i="4"/>
  <c r="AA341" i="4" s="1"/>
  <c r="F342" i="4" s="1"/>
  <c r="S341" i="4"/>
  <c r="AE341" i="4" s="1"/>
  <c r="CW177" i="3"/>
  <c r="P342" i="4" l="1"/>
  <c r="V342" i="4"/>
  <c r="AF342" i="4" s="1"/>
  <c r="Q342" i="4"/>
  <c r="R342" i="4" s="1"/>
  <c r="CD178" i="3"/>
  <c r="CG178" i="3" s="1"/>
  <c r="AD174" i="3"/>
  <c r="L174" i="3"/>
  <c r="AR179" i="3"/>
  <c r="AS179" i="3" s="1"/>
  <c r="J342" i="4"/>
  <c r="K342" i="4" s="1"/>
  <c r="T341" i="4"/>
  <c r="BL178" i="3"/>
  <c r="BE178" i="3"/>
  <c r="BR178" i="3" s="1"/>
  <c r="CC178" i="3"/>
  <c r="M342" i="4" l="1"/>
  <c r="N174" i="3"/>
  <c r="O174" i="3"/>
  <c r="CJ178" i="3"/>
  <c r="AT179" i="3"/>
  <c r="AW179" i="3" s="1"/>
  <c r="AZ179" i="3" s="1"/>
  <c r="X342" i="4"/>
  <c r="AA342" i="4" s="1"/>
  <c r="F343" i="4" s="1"/>
  <c r="S342" i="4"/>
  <c r="AE342" i="4" s="1"/>
  <c r="CE178" i="3"/>
  <c r="BM178" i="3"/>
  <c r="AB341" i="4"/>
  <c r="AC341" i="4" s="1"/>
  <c r="U341" i="4"/>
  <c r="AH341" i="4" s="1"/>
  <c r="L342" i="4"/>
  <c r="AD342" i="4"/>
  <c r="W342" i="4"/>
  <c r="T342" i="4" l="1"/>
  <c r="AU179" i="3"/>
  <c r="BN179" i="3"/>
  <c r="AB342" i="4"/>
  <c r="U342" i="4"/>
  <c r="AI342" i="4"/>
  <c r="Z342" i="4"/>
  <c r="E343" i="4" s="1"/>
  <c r="G343" i="4" s="1"/>
  <c r="I343" i="4" s="1"/>
  <c r="AC342" i="4"/>
  <c r="CX178" i="3"/>
  <c r="CF178" i="3"/>
  <c r="J343" i="4"/>
  <c r="K343" i="4" s="1"/>
  <c r="L343" i="4" s="1"/>
  <c r="AV179" i="3"/>
  <c r="AH342" i="4"/>
  <c r="Q174" i="3"/>
  <c r="R174" i="3" s="1"/>
  <c r="AX179" i="3" l="1"/>
  <c r="AY179" i="3"/>
  <c r="M343" i="4"/>
  <c r="AD343" i="4"/>
  <c r="CH178" i="3"/>
  <c r="CI178" i="3"/>
  <c r="Q343" i="4"/>
  <c r="R343" i="4" s="1"/>
  <c r="P343" i="4"/>
  <c r="S343" i="4" s="1"/>
  <c r="AE343" i="4" s="1"/>
  <c r="V343" i="4"/>
  <c r="AF343" i="4" s="1"/>
  <c r="X174" i="3"/>
  <c r="AA174" i="3" s="1"/>
  <c r="F175" i="3" s="1"/>
  <c r="V174" i="3"/>
  <c r="AF174" i="3" s="1"/>
  <c r="W174" i="3"/>
  <c r="S174" i="3"/>
  <c r="AE174" i="3" s="1"/>
  <c r="I41" i="5" l="1"/>
  <c r="AI174" i="3"/>
  <c r="Z174" i="3"/>
  <c r="E175" i="3" s="1"/>
  <c r="G175" i="3" s="1"/>
  <c r="T343" i="4"/>
  <c r="X343" i="4"/>
  <c r="AA343" i="4" s="1"/>
  <c r="W343" i="4"/>
  <c r="CK178" i="3"/>
  <c r="CL178" i="3" s="1"/>
  <c r="BA179" i="3"/>
  <c r="BB179" i="3" s="1"/>
  <c r="T174" i="3"/>
  <c r="J30" i="4"/>
  <c r="BH179" i="3" l="1"/>
  <c r="BK179" i="3" s="1"/>
  <c r="AP180" i="3" s="1"/>
  <c r="BG179" i="3"/>
  <c r="BF179" i="3"/>
  <c r="BP179" i="3" s="1"/>
  <c r="BC179" i="3"/>
  <c r="AI343" i="4"/>
  <c r="Y343" i="4"/>
  <c r="Z343" i="4" s="1"/>
  <c r="CR178" i="3"/>
  <c r="CU178" i="3" s="1"/>
  <c r="BZ179" i="3" s="1"/>
  <c r="CP178" i="3"/>
  <c r="CZ178" i="3" s="1"/>
  <c r="CQ178" i="3"/>
  <c r="CM178" i="3"/>
  <c r="CN178" i="3" s="1"/>
  <c r="H175" i="3"/>
  <c r="AB174" i="3"/>
  <c r="AC174" i="3" s="1"/>
  <c r="U174" i="3"/>
  <c r="AH174" i="3" s="1"/>
  <c r="F344" i="4"/>
  <c r="C30" i="4"/>
  <c r="AB343" i="4"/>
  <c r="AC343" i="4" s="1"/>
  <c r="U343" i="4"/>
  <c r="AH343" i="4" s="1"/>
  <c r="CV178" i="3" l="1"/>
  <c r="CO178" i="3"/>
  <c r="DB178" i="3" s="1"/>
  <c r="E41" i="5"/>
  <c r="E344" i="4"/>
  <c r="G344" i="4" s="1"/>
  <c r="I344" i="4" s="1"/>
  <c r="B30" i="4"/>
  <c r="D30" i="4" s="1"/>
  <c r="DC178" i="3"/>
  <c r="CT178" i="3"/>
  <c r="BY179" i="3" s="1"/>
  <c r="CA179" i="3" s="1"/>
  <c r="J175" i="3"/>
  <c r="M175" i="3" s="1"/>
  <c r="CY178" i="3"/>
  <c r="I30" i="4"/>
  <c r="AG343" i="4"/>
  <c r="AG344" i="4" s="1"/>
  <c r="AG345" i="4" s="1"/>
  <c r="AG346" i="4" s="1"/>
  <c r="AG347" i="4" s="1"/>
  <c r="AG348" i="4" s="1"/>
  <c r="AG349" i="4" s="1"/>
  <c r="AG350" i="4" s="1"/>
  <c r="AG351" i="4" s="1"/>
  <c r="AG352" i="4" s="1"/>
  <c r="AG353" i="4" s="1"/>
  <c r="AG354" i="4" s="1"/>
  <c r="BO179" i="3"/>
  <c r="J344" i="4"/>
  <c r="K344" i="4" s="1"/>
  <c r="BD179" i="3"/>
  <c r="I175" i="3"/>
  <c r="BJ179" i="3"/>
  <c r="AO180" i="3" s="1"/>
  <c r="AQ180" i="3" s="1"/>
  <c r="BS179" i="3"/>
  <c r="M344" i="4" l="1"/>
  <c r="K175" i="3"/>
  <c r="P175" i="3"/>
  <c r="CB179" i="3"/>
  <c r="CC179" i="3" s="1"/>
  <c r="AR180" i="3"/>
  <c r="AS180" i="3" s="1"/>
  <c r="BL179" i="3"/>
  <c r="BE179" i="3"/>
  <c r="BR179" i="3" s="1"/>
  <c r="L344" i="4"/>
  <c r="AD344" i="4"/>
  <c r="P344" i="4"/>
  <c r="V344" i="4"/>
  <c r="AF344" i="4" s="1"/>
  <c r="Q344" i="4"/>
  <c r="R344" i="4" s="1"/>
  <c r="CW178" i="3"/>
  <c r="S344" i="4" l="1"/>
  <c r="AE344" i="4"/>
  <c r="BM179" i="3"/>
  <c r="AT180" i="3"/>
  <c r="AW180" i="3" s="1"/>
  <c r="AZ180" i="3" s="1"/>
  <c r="CD179" i="3"/>
  <c r="CG179" i="3" s="1"/>
  <c r="CJ179" i="3" s="1"/>
  <c r="T344" i="4"/>
  <c r="X344" i="4"/>
  <c r="AA344" i="4" s="1"/>
  <c r="F345" i="4" s="1"/>
  <c r="W344" i="4"/>
  <c r="AD175" i="3"/>
  <c r="L175" i="3"/>
  <c r="AU180" i="3" l="1"/>
  <c r="J345" i="4"/>
  <c r="K345" i="4" s="1"/>
  <c r="AB344" i="4"/>
  <c r="U344" i="4"/>
  <c r="AH344" i="4" s="1"/>
  <c r="N175" i="3"/>
  <c r="O175" i="3"/>
  <c r="AI344" i="4"/>
  <c r="Z344" i="4"/>
  <c r="E345" i="4" s="1"/>
  <c r="G345" i="4" s="1"/>
  <c r="I345" i="4" s="1"/>
  <c r="CE179" i="3"/>
  <c r="BN180" i="3" l="1"/>
  <c r="AV180" i="3"/>
  <c r="M345" i="4"/>
  <c r="Q175" i="3"/>
  <c r="R175" i="3" s="1"/>
  <c r="L345" i="4"/>
  <c r="AD345" i="4"/>
  <c r="AC344" i="4"/>
  <c r="CX179" i="3"/>
  <c r="CF179" i="3"/>
  <c r="V345" i="4"/>
  <c r="AF345" i="4" s="1"/>
  <c r="P345" i="4"/>
  <c r="Q345" i="4"/>
  <c r="R345" i="4" s="1"/>
  <c r="W345" i="4" s="1"/>
  <c r="AX180" i="3" l="1"/>
  <c r="AY180" i="3"/>
  <c r="BA180" i="3" s="1"/>
  <c r="BB180" i="3" s="1"/>
  <c r="BG180" i="3" s="1"/>
  <c r="AI345" i="4"/>
  <c r="Z345" i="4"/>
  <c r="E346" i="4" s="1"/>
  <c r="G346" i="4" s="1"/>
  <c r="I346" i="4" s="1"/>
  <c r="CH179" i="3"/>
  <c r="CI179" i="3"/>
  <c r="X175" i="3"/>
  <c r="AA175" i="3" s="1"/>
  <c r="V175" i="3"/>
  <c r="AF175" i="3" s="1"/>
  <c r="W175" i="3"/>
  <c r="S175" i="3"/>
  <c r="AE175" i="3" s="1"/>
  <c r="X345" i="4"/>
  <c r="AA345" i="4" s="1"/>
  <c r="F346" i="4" s="1"/>
  <c r="S345" i="4"/>
  <c r="BF180" i="3" l="1"/>
  <c r="BP180" i="3" s="1"/>
  <c r="BH180" i="3"/>
  <c r="BK180" i="3" s="1"/>
  <c r="AP181" i="3" s="1"/>
  <c r="BC180" i="3"/>
  <c r="BO180" i="3" s="1"/>
  <c r="BS180" i="3"/>
  <c r="BJ180" i="3"/>
  <c r="AO181" i="3" s="1"/>
  <c r="AQ181" i="3" s="1"/>
  <c r="AE345" i="4"/>
  <c r="F27" i="5"/>
  <c r="BD180" i="3"/>
  <c r="J346" i="4"/>
  <c r="K346" i="4" s="1"/>
  <c r="T345" i="4"/>
  <c r="J16" i="3"/>
  <c r="CK179" i="3"/>
  <c r="CL179" i="3" s="1"/>
  <c r="AI175" i="3"/>
  <c r="Y175" i="3"/>
  <c r="Z175" i="3" s="1"/>
  <c r="V346" i="4"/>
  <c r="AF346" i="4" s="1"/>
  <c r="P346" i="4"/>
  <c r="Q346" i="4"/>
  <c r="R346" i="4" s="1"/>
  <c r="T175" i="3"/>
  <c r="F176" i="3"/>
  <c r="C16" i="3"/>
  <c r="B27" i="5" l="1"/>
  <c r="E176" i="3"/>
  <c r="G176" i="3" s="1"/>
  <c r="B16" i="3"/>
  <c r="D16" i="3" s="1"/>
  <c r="M346" i="4"/>
  <c r="L346" i="4"/>
  <c r="AD346" i="4"/>
  <c r="AB175" i="3"/>
  <c r="AC175" i="3" s="1"/>
  <c r="U175" i="3"/>
  <c r="AH175" i="3" s="1"/>
  <c r="BL180" i="3"/>
  <c r="BM180" i="3" s="1"/>
  <c r="BE180" i="3"/>
  <c r="BR180" i="3" s="1"/>
  <c r="X346" i="4"/>
  <c r="AA346" i="4" s="1"/>
  <c r="F347" i="4" s="1"/>
  <c r="W346" i="4"/>
  <c r="AB345" i="4"/>
  <c r="U345" i="4"/>
  <c r="AH345" i="4" s="1"/>
  <c r="S346" i="4"/>
  <c r="T346" i="4" s="1"/>
  <c r="I16" i="3"/>
  <c r="AG175" i="3"/>
  <c r="AG176" i="3" s="1"/>
  <c r="AG177" i="3" s="1"/>
  <c r="AG178" i="3" s="1"/>
  <c r="AG179" i="3" s="1"/>
  <c r="AG180" i="3" s="1"/>
  <c r="AG181" i="3" s="1"/>
  <c r="AG182" i="3" s="1"/>
  <c r="AG183" i="3" s="1"/>
  <c r="AG184" i="3" s="1"/>
  <c r="AG185" i="3" s="1"/>
  <c r="AG186" i="3" s="1"/>
  <c r="AR181" i="3"/>
  <c r="AS181" i="3"/>
  <c r="CR179" i="3"/>
  <c r="CU179" i="3" s="1"/>
  <c r="BZ180" i="3" s="1"/>
  <c r="CQ179" i="3"/>
  <c r="CP179" i="3"/>
  <c r="CZ179" i="3" s="1"/>
  <c r="CM179" i="3"/>
  <c r="CY179" i="3" l="1"/>
  <c r="CT179" i="3"/>
  <c r="BY180" i="3" s="1"/>
  <c r="CA180" i="3" s="1"/>
  <c r="DC179" i="3"/>
  <c r="J347" i="4"/>
  <c r="K347" i="4" s="1"/>
  <c r="AD347" i="4" s="1"/>
  <c r="AB346" i="4"/>
  <c r="U346" i="4"/>
  <c r="AC345" i="4"/>
  <c r="AC346" i="4" s="1"/>
  <c r="Z346" i="4"/>
  <c r="E347" i="4" s="1"/>
  <c r="G347" i="4" s="1"/>
  <c r="I347" i="4" s="1"/>
  <c r="AI346" i="4"/>
  <c r="AT181" i="3"/>
  <c r="AW181" i="3" s="1"/>
  <c r="AZ181" i="3" s="1"/>
  <c r="CN179" i="3"/>
  <c r="AE346" i="4"/>
  <c r="H176" i="3"/>
  <c r="I176" i="3" s="1"/>
  <c r="AH346" i="4"/>
  <c r="P347" i="4" l="1"/>
  <c r="V347" i="4"/>
  <c r="AF347" i="4" s="1"/>
  <c r="Q347" i="4"/>
  <c r="R347" i="4" s="1"/>
  <c r="CV179" i="3"/>
  <c r="CO179" i="3"/>
  <c r="DB179" i="3" s="1"/>
  <c r="CB180" i="3"/>
  <c r="L347" i="4"/>
  <c r="M347" i="4"/>
  <c r="AU181" i="3"/>
  <c r="J176" i="3"/>
  <c r="M176" i="3" s="1"/>
  <c r="P176" i="3" s="1"/>
  <c r="CD180" i="3" l="1"/>
  <c r="CG180" i="3" s="1"/>
  <c r="X347" i="4"/>
  <c r="AA347" i="4" s="1"/>
  <c r="F348" i="4" s="1"/>
  <c r="W347" i="4"/>
  <c r="BN181" i="3"/>
  <c r="AV181" i="3"/>
  <c r="CC180" i="3"/>
  <c r="CW179" i="3"/>
  <c r="S347" i="4"/>
  <c r="AE347" i="4" s="1"/>
  <c r="K176" i="3"/>
  <c r="AD176" i="3" l="1"/>
  <c r="L176" i="3"/>
  <c r="AX181" i="3"/>
  <c r="AY181" i="3"/>
  <c r="AI347" i="4"/>
  <c r="Z347" i="4"/>
  <c r="E348" i="4" s="1"/>
  <c r="G348" i="4" s="1"/>
  <c r="I348" i="4" s="1"/>
  <c r="T347" i="4"/>
  <c r="CJ180" i="3"/>
  <c r="J348" i="4"/>
  <c r="K348" i="4" s="1"/>
  <c r="CE180" i="3"/>
  <c r="M348" i="4" l="1"/>
  <c r="V348" i="4"/>
  <c r="AF348" i="4" s="1"/>
  <c r="P348" i="4"/>
  <c r="Q348" i="4"/>
  <c r="R348" i="4" s="1"/>
  <c r="AB347" i="4"/>
  <c r="U347" i="4"/>
  <c r="AH347" i="4" s="1"/>
  <c r="BA181" i="3"/>
  <c r="BB181" i="3" s="1"/>
  <c r="N176" i="3"/>
  <c r="O176" i="3"/>
  <c r="CX180" i="3"/>
  <c r="CF180" i="3"/>
  <c r="L348" i="4"/>
  <c r="AD348" i="4"/>
  <c r="CH180" i="3" l="1"/>
  <c r="CI180" i="3"/>
  <c r="X348" i="4"/>
  <c r="AA348" i="4" s="1"/>
  <c r="F349" i="4" s="1"/>
  <c r="Q176" i="3"/>
  <c r="R176" i="3" s="1"/>
  <c r="BH181" i="3"/>
  <c r="BK181" i="3" s="1"/>
  <c r="AP182" i="3" s="1"/>
  <c r="BF181" i="3"/>
  <c r="BP181" i="3" s="1"/>
  <c r="BG181" i="3"/>
  <c r="BC181" i="3"/>
  <c r="BO181" i="3" s="1"/>
  <c r="AC347" i="4"/>
  <c r="S348" i="4"/>
  <c r="AE348" i="4" s="1"/>
  <c r="W348" i="4"/>
  <c r="T348" i="4" l="1"/>
  <c r="BS181" i="3"/>
  <c r="BJ181" i="3"/>
  <c r="AO182" i="3" s="1"/>
  <c r="AQ182" i="3" s="1"/>
  <c r="X176" i="3"/>
  <c r="AA176" i="3" s="1"/>
  <c r="F177" i="3" s="1"/>
  <c r="W176" i="3"/>
  <c r="V176" i="3"/>
  <c r="AF176" i="3" s="1"/>
  <c r="S176" i="3"/>
  <c r="AB348" i="4"/>
  <c r="U348" i="4"/>
  <c r="AH348" i="4" s="1"/>
  <c r="AC348" i="4"/>
  <c r="BD181" i="3"/>
  <c r="J349" i="4"/>
  <c r="K349" i="4" s="1"/>
  <c r="Z348" i="4"/>
  <c r="E349" i="4" s="1"/>
  <c r="G349" i="4" s="1"/>
  <c r="I349" i="4" s="1"/>
  <c r="AI348" i="4"/>
  <c r="CK180" i="3"/>
  <c r="CL180" i="3" s="1"/>
  <c r="L349" i="4" l="1"/>
  <c r="AD349" i="4"/>
  <c r="M349" i="4"/>
  <c r="BL181" i="3"/>
  <c r="BM181" i="3" s="1"/>
  <c r="BE181" i="3"/>
  <c r="BR181" i="3" s="1"/>
  <c r="AE176" i="3"/>
  <c r="AI176" i="3"/>
  <c r="Z176" i="3"/>
  <c r="E177" i="3" s="1"/>
  <c r="G177" i="3" s="1"/>
  <c r="AR182" i="3"/>
  <c r="T176" i="3"/>
  <c r="CR180" i="3"/>
  <c r="CU180" i="3" s="1"/>
  <c r="BZ181" i="3" s="1"/>
  <c r="CP180" i="3"/>
  <c r="CZ180" i="3" s="1"/>
  <c r="CQ180" i="3"/>
  <c r="CM180" i="3"/>
  <c r="V349" i="4"/>
  <c r="AF349" i="4" s="1"/>
  <c r="P349" i="4"/>
  <c r="Q349" i="4"/>
  <c r="R349" i="4" s="1"/>
  <c r="AT182" i="3" l="1"/>
  <c r="AW182" i="3" s="1"/>
  <c r="S349" i="4"/>
  <c r="AE349" i="4" s="1"/>
  <c r="DC180" i="3"/>
  <c r="CT180" i="3"/>
  <c r="BY181" i="3" s="1"/>
  <c r="CA181" i="3" s="1"/>
  <c r="AS182" i="3"/>
  <c r="T349" i="4"/>
  <c r="X349" i="4"/>
  <c r="AA349" i="4" s="1"/>
  <c r="F350" i="4" s="1"/>
  <c r="CY180" i="3"/>
  <c r="CN180" i="3"/>
  <c r="H177" i="3"/>
  <c r="I177" i="3" s="1"/>
  <c r="W349" i="4"/>
  <c r="AB176" i="3"/>
  <c r="U176" i="3"/>
  <c r="AH176" i="3" s="1"/>
  <c r="CV180" i="3" l="1"/>
  <c r="CW180" i="3" s="1"/>
  <c r="CO180" i="3"/>
  <c r="DB180" i="3" s="1"/>
  <c r="AC176" i="3"/>
  <c r="AB349" i="4"/>
  <c r="AC349" i="4" s="1"/>
  <c r="U349" i="4"/>
  <c r="AH349" i="4" s="1"/>
  <c r="CB181" i="3"/>
  <c r="CC181" i="3" s="1"/>
  <c r="AI349" i="4"/>
  <c r="Z349" i="4"/>
  <c r="E350" i="4" s="1"/>
  <c r="G350" i="4" s="1"/>
  <c r="I350" i="4" s="1"/>
  <c r="AU182" i="3"/>
  <c r="J350" i="4"/>
  <c r="K350" i="4" s="1"/>
  <c r="AZ182" i="3"/>
  <c r="J177" i="3"/>
  <c r="M177" i="3" s="1"/>
  <c r="P177" i="3" s="1"/>
  <c r="M350" i="4" l="1"/>
  <c r="V350" i="4"/>
  <c r="AF350" i="4" s="1"/>
  <c r="P350" i="4"/>
  <c r="Q350" i="4"/>
  <c r="R350" i="4" s="1"/>
  <c r="BN182" i="3"/>
  <c r="AV182" i="3"/>
  <c r="CD181" i="3"/>
  <c r="CG181" i="3" s="1"/>
  <c r="CJ181" i="3" s="1"/>
  <c r="K177" i="3"/>
  <c r="L350" i="4"/>
  <c r="AD350" i="4"/>
  <c r="X350" i="4" l="1"/>
  <c r="AA350" i="4" s="1"/>
  <c r="F351" i="4" s="1"/>
  <c r="CE181" i="3"/>
  <c r="AX182" i="3"/>
  <c r="AY182" i="3"/>
  <c r="W350" i="4"/>
  <c r="S350" i="4"/>
  <c r="AE350" i="4" s="1"/>
  <c r="AD177" i="3"/>
  <c r="L177" i="3"/>
  <c r="AI350" i="4" l="1"/>
  <c r="Z350" i="4"/>
  <c r="E351" i="4" s="1"/>
  <c r="G351" i="4" s="1"/>
  <c r="I351" i="4" s="1"/>
  <c r="CX181" i="3"/>
  <c r="CF181" i="3"/>
  <c r="N177" i="3"/>
  <c r="O177" i="3"/>
  <c r="BA182" i="3"/>
  <c r="BB182" i="3" s="1"/>
  <c r="J351" i="4"/>
  <c r="K351" i="4" s="1"/>
  <c r="T350" i="4"/>
  <c r="BH182" i="3" l="1"/>
  <c r="BK182" i="3" s="1"/>
  <c r="AP183" i="3" s="1"/>
  <c r="BG182" i="3"/>
  <c r="BF182" i="3"/>
  <c r="BP182" i="3" s="1"/>
  <c r="BC182" i="3"/>
  <c r="BO182" i="3" s="1"/>
  <c r="Q177" i="3"/>
  <c r="R177" i="3" s="1"/>
  <c r="CH181" i="3"/>
  <c r="CI181" i="3"/>
  <c r="AB350" i="4"/>
  <c r="AC350" i="4" s="1"/>
  <c r="U350" i="4"/>
  <c r="AH350" i="4" s="1"/>
  <c r="L351" i="4"/>
  <c r="AD351" i="4"/>
  <c r="M351" i="4"/>
  <c r="P351" i="4"/>
  <c r="V351" i="4"/>
  <c r="AF351" i="4" s="1"/>
  <c r="Q351" i="4"/>
  <c r="R351" i="4" s="1"/>
  <c r="CK181" i="3" l="1"/>
  <c r="CL181" i="3" s="1"/>
  <c r="X351" i="4"/>
  <c r="AA351" i="4" s="1"/>
  <c r="F352" i="4" s="1"/>
  <c r="BD182" i="3"/>
  <c r="X177" i="3"/>
  <c r="AA177" i="3" s="1"/>
  <c r="F178" i="3" s="1"/>
  <c r="W177" i="3"/>
  <c r="V177" i="3"/>
  <c r="AF177" i="3" s="1"/>
  <c r="S177" i="3"/>
  <c r="W351" i="4"/>
  <c r="BJ182" i="3"/>
  <c r="AO183" i="3" s="1"/>
  <c r="AQ183" i="3" s="1"/>
  <c r="BS182" i="3"/>
  <c r="S351" i="4"/>
  <c r="AE351" i="4" s="1"/>
  <c r="T351" i="4" l="1"/>
  <c r="AE177" i="3"/>
  <c r="J352" i="4"/>
  <c r="K352" i="4" s="1"/>
  <c r="Z177" i="3"/>
  <c r="E178" i="3" s="1"/>
  <c r="G178" i="3" s="1"/>
  <c r="AI177" i="3"/>
  <c r="T177" i="3"/>
  <c r="BL182" i="3"/>
  <c r="BM182" i="3" s="1"/>
  <c r="BE182" i="3"/>
  <c r="BR182" i="3" s="1"/>
  <c r="AB351" i="4"/>
  <c r="AC351" i="4" s="1"/>
  <c r="U351" i="4"/>
  <c r="AH351" i="4" s="1"/>
  <c r="AR183" i="3"/>
  <c r="CR181" i="3"/>
  <c r="CU181" i="3" s="1"/>
  <c r="BZ182" i="3" s="1"/>
  <c r="CP181" i="3"/>
  <c r="CZ181" i="3" s="1"/>
  <c r="CQ181" i="3"/>
  <c r="CM181" i="3"/>
  <c r="CY181" i="3" s="1"/>
  <c r="AI351" i="4"/>
  <c r="Z351" i="4"/>
  <c r="E352" i="4" s="1"/>
  <c r="G352" i="4" s="1"/>
  <c r="I352" i="4" s="1"/>
  <c r="CN181" i="3" l="1"/>
  <c r="AT183" i="3"/>
  <c r="AW183" i="3" s="1"/>
  <c r="V352" i="4"/>
  <c r="AF352" i="4" s="1"/>
  <c r="P352" i="4"/>
  <c r="Q352" i="4"/>
  <c r="R352" i="4" s="1"/>
  <c r="CT181" i="3"/>
  <c r="BY182" i="3" s="1"/>
  <c r="CA182" i="3" s="1"/>
  <c r="DC181" i="3"/>
  <c r="M352" i="4"/>
  <c r="AS183" i="3"/>
  <c r="AB177" i="3"/>
  <c r="U177" i="3"/>
  <c r="AH177" i="3" s="1"/>
  <c r="H178" i="3"/>
  <c r="L352" i="4"/>
  <c r="AD352" i="4"/>
  <c r="CV181" i="3"/>
  <c r="CW181" i="3" s="1"/>
  <c r="CO181" i="3"/>
  <c r="DB181" i="3" s="1"/>
  <c r="AZ183" i="3" l="1"/>
  <c r="X352" i="4"/>
  <c r="AA352" i="4" s="1"/>
  <c r="F353" i="4" s="1"/>
  <c r="CB182" i="3"/>
  <c r="W352" i="4"/>
  <c r="S352" i="4"/>
  <c r="AE352" i="4" s="1"/>
  <c r="J178" i="3"/>
  <c r="M178" i="3" s="1"/>
  <c r="AU183" i="3"/>
  <c r="I178" i="3"/>
  <c r="AC177" i="3"/>
  <c r="K178" i="3" l="1"/>
  <c r="BN183" i="3"/>
  <c r="AV183" i="3"/>
  <c r="CD182" i="3"/>
  <c r="CG182" i="3" s="1"/>
  <c r="CC182" i="3"/>
  <c r="T352" i="4"/>
  <c r="J353" i="4"/>
  <c r="K353" i="4" s="1"/>
  <c r="P178" i="3"/>
  <c r="AD178" i="3"/>
  <c r="L178" i="3"/>
  <c r="Z352" i="4"/>
  <c r="E353" i="4" s="1"/>
  <c r="G353" i="4" s="1"/>
  <c r="I353" i="4" s="1"/>
  <c r="AI352" i="4"/>
  <c r="L353" i="4" l="1"/>
  <c r="AD353" i="4"/>
  <c r="CE182" i="3"/>
  <c r="M353" i="4"/>
  <c r="AB352" i="4"/>
  <c r="AC352" i="4" s="1"/>
  <c r="U352" i="4"/>
  <c r="AH352" i="4" s="1"/>
  <c r="CJ182" i="3"/>
  <c r="N178" i="3"/>
  <c r="O178" i="3"/>
  <c r="P353" i="4"/>
  <c r="V353" i="4"/>
  <c r="AF353" i="4" s="1"/>
  <c r="Q353" i="4"/>
  <c r="R353" i="4" s="1"/>
  <c r="W353" i="4" s="1"/>
  <c r="AX183" i="3"/>
  <c r="AY183" i="3"/>
  <c r="S353" i="4" l="1"/>
  <c r="AE353" i="4" s="1"/>
  <c r="Q178" i="3"/>
  <c r="R178" i="3" s="1"/>
  <c r="Z353" i="4"/>
  <c r="E354" i="4" s="1"/>
  <c r="G354" i="4" s="1"/>
  <c r="I354" i="4" s="1"/>
  <c r="AI353" i="4"/>
  <c r="BA183" i="3"/>
  <c r="BB183" i="3" s="1"/>
  <c r="CX182" i="3"/>
  <c r="CF182" i="3"/>
  <c r="X353" i="4"/>
  <c r="AA353" i="4" s="1"/>
  <c r="F354" i="4" s="1"/>
  <c r="T353" i="4"/>
  <c r="CH182" i="3" l="1"/>
  <c r="CI182" i="3"/>
  <c r="J354" i="4"/>
  <c r="K354" i="4" s="1"/>
  <c r="AB353" i="4"/>
  <c r="AC353" i="4" s="1"/>
  <c r="U353" i="4"/>
  <c r="AH353" i="4" s="1"/>
  <c r="BH183" i="3"/>
  <c r="BK183" i="3" s="1"/>
  <c r="AP184" i="3" s="1"/>
  <c r="BF183" i="3"/>
  <c r="BP183" i="3" s="1"/>
  <c r="BG183" i="3"/>
  <c r="BC183" i="3"/>
  <c r="BO183" i="3" s="1"/>
  <c r="V354" i="4"/>
  <c r="AF354" i="4" s="1"/>
  <c r="P354" i="4"/>
  <c r="Q354" i="4"/>
  <c r="R354" i="4" s="1"/>
  <c r="W354" i="4" s="1"/>
  <c r="X178" i="3"/>
  <c r="AA178" i="3" s="1"/>
  <c r="F179" i="3" s="1"/>
  <c r="V178" i="3"/>
  <c r="AF178" i="3" s="1"/>
  <c r="W178" i="3"/>
  <c r="S178" i="3"/>
  <c r="S354" i="4" l="1"/>
  <c r="AE354" i="4" s="1"/>
  <c r="Z354" i="4"/>
  <c r="E355" i="4" s="1"/>
  <c r="G355" i="4" s="1"/>
  <c r="I355" i="4" s="1"/>
  <c r="AI354" i="4"/>
  <c r="BS183" i="3"/>
  <c r="BJ183" i="3"/>
  <c r="AO184" i="3" s="1"/>
  <c r="AQ184" i="3" s="1"/>
  <c r="BD183" i="3"/>
  <c r="AI178" i="3"/>
  <c r="Z178" i="3"/>
  <c r="E179" i="3" s="1"/>
  <c r="G179" i="3" s="1"/>
  <c r="L354" i="4"/>
  <c r="AD354" i="4"/>
  <c r="M354" i="4"/>
  <c r="X354" i="4" s="1"/>
  <c r="AA354" i="4" s="1"/>
  <c r="F355" i="4" s="1"/>
  <c r="AE178" i="3"/>
  <c r="CK182" i="3"/>
  <c r="CL182" i="3" s="1"/>
  <c r="T178" i="3"/>
  <c r="T354" i="4"/>
  <c r="J355" i="4" l="1"/>
  <c r="K355" i="4" s="1"/>
  <c r="L355" i="4" s="1"/>
  <c r="AD355" i="4"/>
  <c r="AB354" i="4"/>
  <c r="AC354" i="4" s="1"/>
  <c r="U354" i="4"/>
  <c r="AH354" i="4" s="1"/>
  <c r="AB178" i="3"/>
  <c r="U178" i="3"/>
  <c r="AH178" i="3" s="1"/>
  <c r="BL183" i="3"/>
  <c r="BM183" i="3" s="1"/>
  <c r="BE183" i="3"/>
  <c r="BR183" i="3" s="1"/>
  <c r="H179" i="3"/>
  <c r="CR182" i="3"/>
  <c r="CU182" i="3" s="1"/>
  <c r="BZ183" i="3" s="1"/>
  <c r="CQ182" i="3"/>
  <c r="CP182" i="3"/>
  <c r="CZ182" i="3" s="1"/>
  <c r="CM182" i="3"/>
  <c r="CY182" i="3" s="1"/>
  <c r="AR184" i="3"/>
  <c r="P355" i="4"/>
  <c r="V355" i="4"/>
  <c r="AF355" i="4" s="1"/>
  <c r="Q355" i="4"/>
  <c r="R355" i="4" s="1"/>
  <c r="CT182" i="3" l="1"/>
  <c r="BY183" i="3" s="1"/>
  <c r="CA183" i="3" s="1"/>
  <c r="DC182" i="3"/>
  <c r="J179" i="3"/>
  <c r="M179" i="3" s="1"/>
  <c r="K179" i="3"/>
  <c r="I179" i="3"/>
  <c r="AC178" i="3"/>
  <c r="S355" i="4"/>
  <c r="AE355" i="4" s="1"/>
  <c r="AT184" i="3"/>
  <c r="AW184" i="3" s="1"/>
  <c r="AU184" i="3"/>
  <c r="BN184" i="3" s="1"/>
  <c r="CN182" i="3"/>
  <c r="J31" i="4"/>
  <c r="W355" i="4"/>
  <c r="I42" i="5"/>
  <c r="AS184" i="3"/>
  <c r="M355" i="4"/>
  <c r="X355" i="4" s="1"/>
  <c r="AA355" i="4" s="1"/>
  <c r="T355" i="4" l="1"/>
  <c r="F356" i="4"/>
  <c r="C31" i="4"/>
  <c r="AZ184" i="3"/>
  <c r="CV182" i="3"/>
  <c r="CW182" i="3" s="1"/>
  <c r="CO182" i="3"/>
  <c r="DB182" i="3" s="1"/>
  <c r="Y355" i="4"/>
  <c r="Z355" i="4" s="1"/>
  <c r="AI355" i="4"/>
  <c r="AD179" i="3"/>
  <c r="L179" i="3"/>
  <c r="AB355" i="4"/>
  <c r="AC355" i="4" s="1"/>
  <c r="U355" i="4"/>
  <c r="AH355" i="4" s="1"/>
  <c r="P179" i="3"/>
  <c r="AV184" i="3"/>
  <c r="CB183" i="3"/>
  <c r="E42" i="5" l="1"/>
  <c r="E356" i="4"/>
  <c r="G356" i="4" s="1"/>
  <c r="I356" i="4" s="1"/>
  <c r="B31" i="4"/>
  <c r="D31" i="4" s="1"/>
  <c r="N179" i="3"/>
  <c r="O179" i="3"/>
  <c r="CD183" i="3"/>
  <c r="CG183" i="3" s="1"/>
  <c r="CC183" i="3"/>
  <c r="I31" i="4"/>
  <c r="AG355" i="4"/>
  <c r="AG356" i="4" s="1"/>
  <c r="AG357" i="4" s="1"/>
  <c r="AG358" i="4" s="1"/>
  <c r="AG359" i="4" s="1"/>
  <c r="AG360" i="4" s="1"/>
  <c r="AG361" i="4" s="1"/>
  <c r="AG362" i="4" s="1"/>
  <c r="AG363" i="4" s="1"/>
  <c r="AG364" i="4" s="1"/>
  <c r="AG365" i="4" s="1"/>
  <c r="AG366" i="4" s="1"/>
  <c r="AX184" i="3"/>
  <c r="AY184" i="3"/>
  <c r="J356" i="4"/>
  <c r="K356" i="4" s="1"/>
  <c r="Q179" i="3" l="1"/>
  <c r="R179" i="3" s="1"/>
  <c r="CJ183" i="3"/>
  <c r="CE183" i="3"/>
  <c r="BA184" i="3"/>
  <c r="BB184" i="3" s="1"/>
  <c r="V356" i="4"/>
  <c r="AF356" i="4" s="1"/>
  <c r="P356" i="4"/>
  <c r="Q356" i="4"/>
  <c r="R356" i="4" s="1"/>
  <c r="L356" i="4"/>
  <c r="AD356" i="4"/>
  <c r="M356" i="4"/>
  <c r="BH184" i="3" l="1"/>
  <c r="BK184" i="3" s="1"/>
  <c r="AP185" i="3" s="1"/>
  <c r="BF184" i="3"/>
  <c r="BP184" i="3" s="1"/>
  <c r="BG184" i="3"/>
  <c r="BC184" i="3"/>
  <c r="BO184" i="3" s="1"/>
  <c r="X179" i="3"/>
  <c r="AA179" i="3" s="1"/>
  <c r="F180" i="3" s="1"/>
  <c r="V179" i="3"/>
  <c r="AF179" i="3" s="1"/>
  <c r="W179" i="3"/>
  <c r="S179" i="3"/>
  <c r="T179" i="3" s="1"/>
  <c r="X356" i="4"/>
  <c r="AA356" i="4" s="1"/>
  <c r="F357" i="4" s="1"/>
  <c r="S356" i="4"/>
  <c r="W356" i="4"/>
  <c r="CX183" i="3"/>
  <c r="CF183" i="3"/>
  <c r="AB179" i="3" l="1"/>
  <c r="U179" i="3"/>
  <c r="AH179" i="3" s="1"/>
  <c r="Z179" i="3"/>
  <c r="E180" i="3" s="1"/>
  <c r="G180" i="3" s="1"/>
  <c r="AI179" i="3"/>
  <c r="J357" i="4"/>
  <c r="K357" i="4" s="1"/>
  <c r="AE356" i="4"/>
  <c r="T356" i="4"/>
  <c r="AE179" i="3"/>
  <c r="BJ184" i="3"/>
  <c r="AO185" i="3" s="1"/>
  <c r="AQ185" i="3" s="1"/>
  <c r="BS184" i="3"/>
  <c r="CH183" i="3"/>
  <c r="CI183" i="3"/>
  <c r="BD184" i="3"/>
  <c r="AI356" i="4"/>
  <c r="Z356" i="4"/>
  <c r="E357" i="4" s="1"/>
  <c r="G357" i="4" s="1"/>
  <c r="I357" i="4" s="1"/>
  <c r="AR185" i="3" l="1"/>
  <c r="AB356" i="4"/>
  <c r="U356" i="4"/>
  <c r="AH356" i="4" s="1"/>
  <c r="CK183" i="3"/>
  <c r="CL183" i="3" s="1"/>
  <c r="P357" i="4"/>
  <c r="V357" i="4"/>
  <c r="AF357" i="4" s="1"/>
  <c r="Q357" i="4"/>
  <c r="R357" i="4" s="1"/>
  <c r="L357" i="4"/>
  <c r="AD357" i="4"/>
  <c r="M357" i="4"/>
  <c r="BL184" i="3"/>
  <c r="BM184" i="3" s="1"/>
  <c r="BE184" i="3"/>
  <c r="BR184" i="3" s="1"/>
  <c r="H180" i="3"/>
  <c r="AC179" i="3"/>
  <c r="S357" i="4" l="1"/>
  <c r="J180" i="3"/>
  <c r="M180" i="3" s="1"/>
  <c r="I180" i="3"/>
  <c r="T357" i="4"/>
  <c r="X357" i="4"/>
  <c r="AA357" i="4" s="1"/>
  <c r="F358" i="4" s="1"/>
  <c r="W357" i="4"/>
  <c r="CR183" i="3"/>
  <c r="CU183" i="3" s="1"/>
  <c r="BZ184" i="3" s="1"/>
  <c r="CQ183" i="3"/>
  <c r="CP183" i="3"/>
  <c r="CZ183" i="3" s="1"/>
  <c r="CM183" i="3"/>
  <c r="CY183" i="3" s="1"/>
  <c r="AC356" i="4"/>
  <c r="AT185" i="3"/>
  <c r="AW185" i="3" s="1"/>
  <c r="AS185" i="3"/>
  <c r="CN183" i="3" l="1"/>
  <c r="CV183" i="3"/>
  <c r="CW183" i="3" s="1"/>
  <c r="CO183" i="3"/>
  <c r="DB183" i="3" s="1"/>
  <c r="AI357" i="4"/>
  <c r="Z357" i="4"/>
  <c r="E358" i="4" s="1"/>
  <c r="G358" i="4" s="1"/>
  <c r="I358" i="4" s="1"/>
  <c r="AZ185" i="3"/>
  <c r="AB357" i="4"/>
  <c r="AC357" i="4" s="1"/>
  <c r="U357" i="4"/>
  <c r="AH357" i="4" s="1"/>
  <c r="DC183" i="3"/>
  <c r="CT183" i="3"/>
  <c r="BY184" i="3" s="1"/>
  <c r="CA184" i="3" s="1"/>
  <c r="J358" i="4"/>
  <c r="K358" i="4" s="1"/>
  <c r="AU185" i="3"/>
  <c r="P180" i="3"/>
  <c r="K180" i="3"/>
  <c r="AE357" i="4"/>
  <c r="BN185" i="3" l="1"/>
  <c r="AV185" i="3"/>
  <c r="CB184" i="3"/>
  <c r="L358" i="4"/>
  <c r="AD358" i="4"/>
  <c r="M358" i="4"/>
  <c r="V358" i="4"/>
  <c r="AF358" i="4" s="1"/>
  <c r="P358" i="4"/>
  <c r="Q358" i="4"/>
  <c r="R358" i="4" s="1"/>
  <c r="W358" i="4" s="1"/>
  <c r="AD180" i="3"/>
  <c r="L180" i="3"/>
  <c r="S358" i="4" l="1"/>
  <c r="AI358" i="4"/>
  <c r="Z358" i="4"/>
  <c r="E359" i="4" s="1"/>
  <c r="G359" i="4" s="1"/>
  <c r="I359" i="4" s="1"/>
  <c r="AE358" i="4"/>
  <c r="CD184" i="3"/>
  <c r="CG184" i="3" s="1"/>
  <c r="N180" i="3"/>
  <c r="O180" i="3"/>
  <c r="CC184" i="3"/>
  <c r="AX185" i="3"/>
  <c r="AY185" i="3"/>
  <c r="T358" i="4"/>
  <c r="X358" i="4"/>
  <c r="AA358" i="4" s="1"/>
  <c r="F359" i="4" s="1"/>
  <c r="CJ184" i="3" l="1"/>
  <c r="CE184" i="3"/>
  <c r="P359" i="4"/>
  <c r="V359" i="4"/>
  <c r="AF359" i="4" s="1"/>
  <c r="Q359" i="4"/>
  <c r="R359" i="4" s="1"/>
  <c r="Q180" i="3"/>
  <c r="R180" i="3" s="1"/>
  <c r="J359" i="4"/>
  <c r="K359" i="4" s="1"/>
  <c r="AB358" i="4"/>
  <c r="U358" i="4"/>
  <c r="AH358" i="4" s="1"/>
  <c r="BA185" i="3"/>
  <c r="BB185" i="3" s="1"/>
  <c r="AC358" i="4" l="1"/>
  <c r="M359" i="4"/>
  <c r="X359" i="4" s="1"/>
  <c r="AA359" i="4" s="1"/>
  <c r="F360" i="4" s="1"/>
  <c r="CX184" i="3"/>
  <c r="CF184" i="3"/>
  <c r="L359" i="4"/>
  <c r="AD359" i="4"/>
  <c r="X180" i="3"/>
  <c r="AA180" i="3" s="1"/>
  <c r="F181" i="3" s="1"/>
  <c r="V180" i="3"/>
  <c r="AF180" i="3" s="1"/>
  <c r="W180" i="3"/>
  <c r="S180" i="3"/>
  <c r="AE180" i="3" s="1"/>
  <c r="W359" i="4"/>
  <c r="S359" i="4"/>
  <c r="AE359" i="4" s="1"/>
  <c r="BH185" i="3"/>
  <c r="BK185" i="3" s="1"/>
  <c r="AP186" i="3" s="1"/>
  <c r="BG185" i="3"/>
  <c r="BF185" i="3"/>
  <c r="BP185" i="3" s="1"/>
  <c r="BC185" i="3"/>
  <c r="BO185" i="3" s="1"/>
  <c r="T180" i="3" l="1"/>
  <c r="AB180" i="3" s="1"/>
  <c r="AC180" i="3" s="1"/>
  <c r="J360" i="4"/>
  <c r="K360" i="4" s="1"/>
  <c r="L360" i="4" s="1"/>
  <c r="Z180" i="3"/>
  <c r="E181" i="3" s="1"/>
  <c r="G181" i="3" s="1"/>
  <c r="AI180" i="3"/>
  <c r="BJ185" i="3"/>
  <c r="AO186" i="3" s="1"/>
  <c r="AQ186" i="3" s="1"/>
  <c r="BS185" i="3"/>
  <c r="BD185" i="3"/>
  <c r="CH184" i="3"/>
  <c r="CI184" i="3"/>
  <c r="AI359" i="4"/>
  <c r="Z359" i="4"/>
  <c r="E360" i="4" s="1"/>
  <c r="G360" i="4" s="1"/>
  <c r="I360" i="4" s="1"/>
  <c r="T359" i="4"/>
  <c r="U180" i="3" l="1"/>
  <c r="AH180" i="3" s="1"/>
  <c r="AD360" i="4"/>
  <c r="AR186" i="3"/>
  <c r="V360" i="4"/>
  <c r="AF360" i="4" s="1"/>
  <c r="P360" i="4"/>
  <c r="Q360" i="4"/>
  <c r="R360" i="4" s="1"/>
  <c r="BL185" i="3"/>
  <c r="BM185" i="3" s="1"/>
  <c r="BE185" i="3"/>
  <c r="BR185" i="3" s="1"/>
  <c r="AB359" i="4"/>
  <c r="AC359" i="4" s="1"/>
  <c r="U359" i="4"/>
  <c r="AH359" i="4" s="1"/>
  <c r="H181" i="3"/>
  <c r="I181" i="3" s="1"/>
  <c r="CK184" i="3"/>
  <c r="CL184" i="3" s="1"/>
  <c r="M360" i="4"/>
  <c r="J181" i="3" l="1"/>
  <c r="M181" i="3" s="1"/>
  <c r="P181" i="3" s="1"/>
  <c r="S360" i="4"/>
  <c r="AE360" i="4" s="1"/>
  <c r="T360" i="4"/>
  <c r="X360" i="4"/>
  <c r="AA360" i="4" s="1"/>
  <c r="F361" i="4" s="1"/>
  <c r="W360" i="4"/>
  <c r="AT186" i="3"/>
  <c r="AW186" i="3" s="1"/>
  <c r="AS186" i="3"/>
  <c r="CR184" i="3"/>
  <c r="CU184" i="3" s="1"/>
  <c r="BZ185" i="3" s="1"/>
  <c r="CQ184" i="3"/>
  <c r="CP184" i="3"/>
  <c r="CZ184" i="3" s="1"/>
  <c r="CM184" i="3"/>
  <c r="CY184" i="3" s="1"/>
  <c r="Z360" i="4" l="1"/>
  <c r="E361" i="4" s="1"/>
  <c r="G361" i="4" s="1"/>
  <c r="I361" i="4" s="1"/>
  <c r="AI360" i="4"/>
  <c r="AB360" i="4"/>
  <c r="AC360" i="4" s="1"/>
  <c r="U360" i="4"/>
  <c r="AH360" i="4" s="1"/>
  <c r="CN184" i="3"/>
  <c r="J361" i="4"/>
  <c r="K361" i="4" s="1"/>
  <c r="K181" i="3"/>
  <c r="CT184" i="3"/>
  <c r="BY185" i="3" s="1"/>
  <c r="CA185" i="3" s="1"/>
  <c r="DC184" i="3"/>
  <c r="AZ186" i="3"/>
  <c r="AU186" i="3"/>
  <c r="CV184" i="3" l="1"/>
  <c r="CW184" i="3" s="1"/>
  <c r="CO184" i="3"/>
  <c r="DB184" i="3" s="1"/>
  <c r="AD181" i="3"/>
  <c r="L181" i="3"/>
  <c r="M361" i="4"/>
  <c r="BN186" i="3"/>
  <c r="AV186" i="3"/>
  <c r="CB185" i="3"/>
  <c r="CC185" i="3" s="1"/>
  <c r="L361" i="4"/>
  <c r="AD361" i="4"/>
  <c r="V361" i="4"/>
  <c r="AF361" i="4" s="1"/>
  <c r="P361" i="4"/>
  <c r="Q361" i="4"/>
  <c r="R361" i="4" s="1"/>
  <c r="S361" i="4" l="1"/>
  <c r="AE361" i="4" s="1"/>
  <c r="AX186" i="3"/>
  <c r="AY186" i="3"/>
  <c r="N181" i="3"/>
  <c r="O181" i="3"/>
  <c r="CD185" i="3"/>
  <c r="CG185" i="3" s="1"/>
  <c r="CJ185" i="3" s="1"/>
  <c r="X361" i="4"/>
  <c r="AA361" i="4" s="1"/>
  <c r="F362" i="4" s="1"/>
  <c r="T361" i="4"/>
  <c r="W361" i="4"/>
  <c r="CE185" i="3" l="1"/>
  <c r="CX185" i="3" s="1"/>
  <c r="CF185" i="3"/>
  <c r="BA186" i="3"/>
  <c r="BB186" i="3" s="1"/>
  <c r="AI361" i="4"/>
  <c r="Z361" i="4"/>
  <c r="E362" i="4" s="1"/>
  <c r="G362" i="4" s="1"/>
  <c r="I362" i="4" s="1"/>
  <c r="AB361" i="4"/>
  <c r="AC361" i="4" s="1"/>
  <c r="U361" i="4"/>
  <c r="AH361" i="4" s="1"/>
  <c r="Q181" i="3"/>
  <c r="R181" i="3" s="1"/>
  <c r="J362" i="4"/>
  <c r="K362" i="4" s="1"/>
  <c r="L362" i="4" l="1"/>
  <c r="AD362" i="4"/>
  <c r="X181" i="3"/>
  <c r="AA181" i="3" s="1"/>
  <c r="F182" i="3" s="1"/>
  <c r="W181" i="3"/>
  <c r="V181" i="3"/>
  <c r="AF181" i="3" s="1"/>
  <c r="S181" i="3"/>
  <c r="AE181" i="3" s="1"/>
  <c r="M362" i="4"/>
  <c r="V362" i="4"/>
  <c r="AF362" i="4" s="1"/>
  <c r="P362" i="4"/>
  <c r="Q362" i="4"/>
  <c r="R362" i="4" s="1"/>
  <c r="W362" i="4" s="1"/>
  <c r="BH186" i="3"/>
  <c r="BK186" i="3" s="1"/>
  <c r="AP187" i="3" s="1"/>
  <c r="BG186" i="3"/>
  <c r="BF186" i="3"/>
  <c r="BP186" i="3" s="1"/>
  <c r="BC186" i="3"/>
  <c r="BO186" i="3" s="1"/>
  <c r="CI185" i="3"/>
  <c r="CH185" i="3"/>
  <c r="BD186" i="3" l="1"/>
  <c r="Z362" i="4"/>
  <c r="E363" i="4" s="1"/>
  <c r="G363" i="4" s="1"/>
  <c r="I363" i="4" s="1"/>
  <c r="AI362" i="4"/>
  <c r="BL186" i="3"/>
  <c r="BM186" i="3" s="1"/>
  <c r="BE186" i="3"/>
  <c r="BR186" i="3" s="1"/>
  <c r="X362" i="4"/>
  <c r="AA362" i="4" s="1"/>
  <c r="F363" i="4" s="1"/>
  <c r="AI181" i="3"/>
  <c r="Z181" i="3"/>
  <c r="E182" i="3" s="1"/>
  <c r="G182" i="3" s="1"/>
  <c r="CK185" i="3"/>
  <c r="CL185" i="3" s="1"/>
  <c r="S362" i="4"/>
  <c r="AE362" i="4" s="1"/>
  <c r="T181" i="3"/>
  <c r="BS186" i="3"/>
  <c r="BJ186" i="3"/>
  <c r="AO187" i="3" s="1"/>
  <c r="AQ187" i="3" s="1"/>
  <c r="CR185" i="3" l="1"/>
  <c r="CU185" i="3" s="1"/>
  <c r="BZ186" i="3" s="1"/>
  <c r="CQ185" i="3"/>
  <c r="CP185" i="3"/>
  <c r="CZ185" i="3" s="1"/>
  <c r="CM185" i="3"/>
  <c r="CY185" i="3" s="1"/>
  <c r="H182" i="3"/>
  <c r="J363" i="4"/>
  <c r="K363" i="4" s="1"/>
  <c r="AB181" i="3"/>
  <c r="AC181" i="3" s="1"/>
  <c r="U181" i="3"/>
  <c r="AH181" i="3" s="1"/>
  <c r="AR187" i="3"/>
  <c r="T362" i="4"/>
  <c r="P363" i="4"/>
  <c r="V363" i="4"/>
  <c r="AF363" i="4" s="1"/>
  <c r="Q363" i="4"/>
  <c r="R363" i="4" s="1"/>
  <c r="W363" i="4" s="1"/>
  <c r="AI363" i="4" l="1"/>
  <c r="Z363" i="4"/>
  <c r="E364" i="4" s="1"/>
  <c r="G364" i="4" s="1"/>
  <c r="I364" i="4" s="1"/>
  <c r="AT187" i="3"/>
  <c r="AW187" i="3" s="1"/>
  <c r="AU187" i="3"/>
  <c r="BN187" i="3" s="1"/>
  <c r="AS187" i="3"/>
  <c r="J182" i="3"/>
  <c r="M182" i="3" s="1"/>
  <c r="AB362" i="4"/>
  <c r="AC362" i="4" s="1"/>
  <c r="U362" i="4"/>
  <c r="AH362" i="4" s="1"/>
  <c r="M363" i="4"/>
  <c r="X363" i="4" s="1"/>
  <c r="AA363" i="4" s="1"/>
  <c r="F364" i="4" s="1"/>
  <c r="S363" i="4"/>
  <c r="AE363" i="4" s="1"/>
  <c r="CN185" i="3"/>
  <c r="L363" i="4"/>
  <c r="AD363" i="4"/>
  <c r="I182" i="3"/>
  <c r="T363" i="4"/>
  <c r="DC185" i="3"/>
  <c r="CT185" i="3"/>
  <c r="BY186" i="3" s="1"/>
  <c r="CA186" i="3" s="1"/>
  <c r="J364" i="4" l="1"/>
  <c r="K364" i="4" s="1"/>
  <c r="L364" i="4" s="1"/>
  <c r="CB186" i="3"/>
  <c r="CC186" i="3" s="1"/>
  <c r="AB363" i="4"/>
  <c r="AC363" i="4" s="1"/>
  <c r="U363" i="4"/>
  <c r="AH363" i="4" s="1"/>
  <c r="P182" i="3"/>
  <c r="V364" i="4"/>
  <c r="AF364" i="4" s="1"/>
  <c r="P364" i="4"/>
  <c r="Q364" i="4"/>
  <c r="R364" i="4" s="1"/>
  <c r="W364" i="4" s="1"/>
  <c r="K182" i="3"/>
  <c r="AZ187" i="3"/>
  <c r="AD364" i="4"/>
  <c r="AV187" i="3"/>
  <c r="CV185" i="3"/>
  <c r="CW185" i="3" s="1"/>
  <c r="CO185" i="3"/>
  <c r="DB185" i="3" s="1"/>
  <c r="S364" i="4" l="1"/>
  <c r="AE364" i="4" s="1"/>
  <c r="Z364" i="4"/>
  <c r="E365" i="4" s="1"/>
  <c r="G365" i="4" s="1"/>
  <c r="I365" i="4" s="1"/>
  <c r="AI364" i="4"/>
  <c r="CD186" i="3"/>
  <c r="CG186" i="3" s="1"/>
  <c r="CJ186" i="3" s="1"/>
  <c r="AX187" i="3"/>
  <c r="AY187" i="3"/>
  <c r="AD182" i="3"/>
  <c r="L182" i="3"/>
  <c r="T364" i="4"/>
  <c r="M364" i="4"/>
  <c r="X364" i="4" s="1"/>
  <c r="AA364" i="4" s="1"/>
  <c r="F365" i="4" s="1"/>
  <c r="J365" i="4" l="1"/>
  <c r="K365" i="4" s="1"/>
  <c r="CE186" i="3"/>
  <c r="N182" i="3"/>
  <c r="O182" i="3"/>
  <c r="AB364" i="4"/>
  <c r="AC364" i="4" s="1"/>
  <c r="U364" i="4"/>
  <c r="AH364" i="4" s="1"/>
  <c r="V365" i="4"/>
  <c r="AF365" i="4" s="1"/>
  <c r="P365" i="4"/>
  <c r="Q365" i="4"/>
  <c r="R365" i="4" s="1"/>
  <c r="BA187" i="3"/>
  <c r="BB187" i="3" s="1"/>
  <c r="BH187" i="3" l="1"/>
  <c r="BK187" i="3" s="1"/>
  <c r="BG187" i="3"/>
  <c r="BF187" i="3"/>
  <c r="BP187" i="3" s="1"/>
  <c r="BC187" i="3"/>
  <c r="BO187" i="3" s="1"/>
  <c r="CX186" i="3"/>
  <c r="CF186" i="3"/>
  <c r="S365" i="4"/>
  <c r="AE365" i="4" s="1"/>
  <c r="W365" i="4"/>
  <c r="Q182" i="3"/>
  <c r="R182" i="3" s="1"/>
  <c r="L365" i="4"/>
  <c r="AD365" i="4"/>
  <c r="M365" i="4"/>
  <c r="X365" i="4" s="1"/>
  <c r="AA365" i="4" s="1"/>
  <c r="F366" i="4" s="1"/>
  <c r="AI365" i="4" l="1"/>
  <c r="Z365" i="4"/>
  <c r="E366" i="4" s="1"/>
  <c r="G366" i="4" s="1"/>
  <c r="I366" i="4" s="1"/>
  <c r="CH186" i="3"/>
  <c r="CI186" i="3"/>
  <c r="X182" i="3"/>
  <c r="AA182" i="3" s="1"/>
  <c r="F183" i="3" s="1"/>
  <c r="W182" i="3"/>
  <c r="V182" i="3"/>
  <c r="AF182" i="3" s="1"/>
  <c r="S182" i="3"/>
  <c r="AE182" i="3" s="1"/>
  <c r="J366" i="4"/>
  <c r="K366" i="4" s="1"/>
  <c r="L366" i="4" s="1"/>
  <c r="W17" i="3"/>
  <c r="BD187" i="3"/>
  <c r="T365" i="4"/>
  <c r="G28" i="5"/>
  <c r="BI187" i="3"/>
  <c r="BS187" i="3"/>
  <c r="AP188" i="3"/>
  <c r="P17" i="3"/>
  <c r="AD366" i="4" l="1"/>
  <c r="BL187" i="3"/>
  <c r="BM187" i="3" s="1"/>
  <c r="BE187" i="3"/>
  <c r="BR187" i="3" s="1"/>
  <c r="V17" i="3"/>
  <c r="BQ187" i="3"/>
  <c r="BQ188" i="3" s="1"/>
  <c r="BQ189" i="3" s="1"/>
  <c r="BQ190" i="3" s="1"/>
  <c r="BQ191" i="3" s="1"/>
  <c r="BQ192" i="3" s="1"/>
  <c r="BQ193" i="3" s="1"/>
  <c r="BQ194" i="3" s="1"/>
  <c r="BQ195" i="3" s="1"/>
  <c r="BQ196" i="3" s="1"/>
  <c r="BQ197" i="3" s="1"/>
  <c r="BQ198" i="3" s="1"/>
  <c r="T182" i="3"/>
  <c r="BJ187" i="3"/>
  <c r="M366" i="4"/>
  <c r="Z182" i="3"/>
  <c r="E183" i="3" s="1"/>
  <c r="G183" i="3" s="1"/>
  <c r="AI182" i="3"/>
  <c r="AB365" i="4"/>
  <c r="AC365" i="4" s="1"/>
  <c r="U365" i="4"/>
  <c r="AH365" i="4" s="1"/>
  <c r="CK186" i="3"/>
  <c r="CL186" i="3" s="1"/>
  <c r="V366" i="4"/>
  <c r="AF366" i="4" s="1"/>
  <c r="P366" i="4"/>
  <c r="Q366" i="4"/>
  <c r="R366" i="4" s="1"/>
  <c r="H183" i="3" l="1"/>
  <c r="I183" i="3"/>
  <c r="C28" i="5"/>
  <c r="AO188" i="3"/>
  <c r="AQ188" i="3" s="1"/>
  <c r="O17" i="3"/>
  <c r="Q17" i="3" s="1"/>
  <c r="X366" i="4"/>
  <c r="AA366" i="4" s="1"/>
  <c r="F367" i="4" s="1"/>
  <c r="AB182" i="3"/>
  <c r="AC182" i="3" s="1"/>
  <c r="U182" i="3"/>
  <c r="AH182" i="3" s="1"/>
  <c r="S366" i="4"/>
  <c r="AE366" i="4" s="1"/>
  <c r="W366" i="4"/>
  <c r="CR186" i="3"/>
  <c r="CU186" i="3" s="1"/>
  <c r="BZ187" i="3" s="1"/>
  <c r="CQ186" i="3"/>
  <c r="CP186" i="3"/>
  <c r="CZ186" i="3" s="1"/>
  <c r="CM186" i="3"/>
  <c r="CY186" i="3" s="1"/>
  <c r="AI366" i="4" l="1"/>
  <c r="Z366" i="4"/>
  <c r="E367" i="4" s="1"/>
  <c r="G367" i="4" s="1"/>
  <c r="I367" i="4" s="1"/>
  <c r="J367" i="4"/>
  <c r="K367" i="4" s="1"/>
  <c r="DC186" i="3"/>
  <c r="CT186" i="3"/>
  <c r="BY187" i="3" s="1"/>
  <c r="CA187" i="3" s="1"/>
  <c r="CN186" i="3"/>
  <c r="T366" i="4"/>
  <c r="AR188" i="3"/>
  <c r="J183" i="3"/>
  <c r="M183" i="3" s="1"/>
  <c r="P183" i="3" s="1"/>
  <c r="AT188" i="3" l="1"/>
  <c r="AW188" i="3" s="1"/>
  <c r="AU188" i="3"/>
  <c r="CV186" i="3"/>
  <c r="CW186" i="3" s="1"/>
  <c r="CO186" i="3"/>
  <c r="DB186" i="3" s="1"/>
  <c r="AB366" i="4"/>
  <c r="AC366" i="4" s="1"/>
  <c r="U366" i="4"/>
  <c r="AH366" i="4" s="1"/>
  <c r="K183" i="3"/>
  <c r="CB187" i="3"/>
  <c r="L367" i="4"/>
  <c r="AD367" i="4"/>
  <c r="M367" i="4"/>
  <c r="P367" i="4"/>
  <c r="V367" i="4"/>
  <c r="AF367" i="4" s="1"/>
  <c r="Q367" i="4"/>
  <c r="R367" i="4" s="1"/>
  <c r="AS188" i="3"/>
  <c r="S367" i="4" l="1"/>
  <c r="AE367" i="4" s="1"/>
  <c r="I43" i="5"/>
  <c r="AD183" i="3"/>
  <c r="L183" i="3"/>
  <c r="BN188" i="3"/>
  <c r="J32" i="4"/>
  <c r="CD187" i="3"/>
  <c r="CG187" i="3" s="1"/>
  <c r="CC187" i="3"/>
  <c r="AZ188" i="3"/>
  <c r="X367" i="4"/>
  <c r="AA367" i="4" s="1"/>
  <c r="T367" i="4"/>
  <c r="AV188" i="3"/>
  <c r="W367" i="4"/>
  <c r="CE187" i="3" l="1"/>
  <c r="CX187" i="3" s="1"/>
  <c r="CJ187" i="3"/>
  <c r="AI367" i="4"/>
  <c r="Y367" i="4"/>
  <c r="AY188" i="3"/>
  <c r="AX188" i="3"/>
  <c r="CF187" i="3"/>
  <c r="F368" i="4"/>
  <c r="C32" i="4"/>
  <c r="AB367" i="4"/>
  <c r="AC367" i="4" s="1"/>
  <c r="U367" i="4"/>
  <c r="AH367" i="4" s="1"/>
  <c r="N183" i="3"/>
  <c r="O183" i="3"/>
  <c r="J368" i="4" l="1"/>
  <c r="K368" i="4" s="1"/>
  <c r="BA188" i="3"/>
  <c r="BB188" i="3" s="1"/>
  <c r="CH187" i="3"/>
  <c r="CI187" i="3"/>
  <c r="I32" i="4"/>
  <c r="AG367" i="4"/>
  <c r="AG368" i="4" s="1"/>
  <c r="AG369" i="4" s="1"/>
  <c r="AG370" i="4" s="1"/>
  <c r="AG371" i="4" s="1"/>
  <c r="AG372" i="4" s="1"/>
  <c r="AG373" i="4" s="1"/>
  <c r="AG374" i="4" s="1"/>
  <c r="AG375" i="4" s="1"/>
  <c r="AG376" i="4" s="1"/>
  <c r="AG377" i="4" s="1"/>
  <c r="AG378" i="4" s="1"/>
  <c r="Q183" i="3"/>
  <c r="R183" i="3" s="1"/>
  <c r="Z367" i="4"/>
  <c r="E43" i="5" l="1"/>
  <c r="E368" i="4"/>
  <c r="G368" i="4" s="1"/>
  <c r="I368" i="4" s="1"/>
  <c r="B32" i="4"/>
  <c r="D32" i="4" s="1"/>
  <c r="X183" i="3"/>
  <c r="AA183" i="3" s="1"/>
  <c r="F184" i="3" s="1"/>
  <c r="W183" i="3"/>
  <c r="V183" i="3"/>
  <c r="AF183" i="3" s="1"/>
  <c r="S183" i="3"/>
  <c r="AE183" i="3" s="1"/>
  <c r="CK187" i="3"/>
  <c r="CL187" i="3" s="1"/>
  <c r="BH188" i="3"/>
  <c r="BK188" i="3" s="1"/>
  <c r="AP189" i="3" s="1"/>
  <c r="BG188" i="3"/>
  <c r="BF188" i="3"/>
  <c r="BP188" i="3" s="1"/>
  <c r="BC188" i="3"/>
  <c r="L368" i="4"/>
  <c r="AD368" i="4"/>
  <c r="M368" i="4"/>
  <c r="BO188" i="3" l="1"/>
  <c r="BS188" i="3"/>
  <c r="BJ188" i="3"/>
  <c r="AO189" i="3" s="1"/>
  <c r="AQ189" i="3" s="1"/>
  <c r="BD188" i="3"/>
  <c r="CR187" i="3"/>
  <c r="CU187" i="3" s="1"/>
  <c r="CQ187" i="3"/>
  <c r="CP187" i="3"/>
  <c r="CZ187" i="3" s="1"/>
  <c r="CM187" i="3"/>
  <c r="CY187" i="3" s="1"/>
  <c r="AI183" i="3"/>
  <c r="Z183" i="3"/>
  <c r="E184" i="3" s="1"/>
  <c r="G184" i="3" s="1"/>
  <c r="T183" i="3"/>
  <c r="P368" i="4"/>
  <c r="Q368" i="4"/>
  <c r="R368" i="4" s="1"/>
  <c r="V368" i="4"/>
  <c r="AF368" i="4" s="1"/>
  <c r="H28" i="5" l="1"/>
  <c r="AJ17" i="3"/>
  <c r="CN187" i="3"/>
  <c r="CS187" i="3"/>
  <c r="DC187" i="3"/>
  <c r="X368" i="4"/>
  <c r="AA368" i="4" s="1"/>
  <c r="F369" i="4" s="1"/>
  <c r="BL188" i="3"/>
  <c r="BE188" i="3"/>
  <c r="BR188" i="3" s="1"/>
  <c r="BZ188" i="3"/>
  <c r="AC17" i="3"/>
  <c r="W368" i="4"/>
  <c r="S368" i="4"/>
  <c r="T368" i="4" s="1"/>
  <c r="AR189" i="3"/>
  <c r="AS189" i="3" s="1"/>
  <c r="AB183" i="3"/>
  <c r="AC183" i="3" s="1"/>
  <c r="U183" i="3"/>
  <c r="AH183" i="3" s="1"/>
  <c r="H184" i="3"/>
  <c r="J369" i="4" l="1"/>
  <c r="K369" i="4" s="1"/>
  <c r="CV187" i="3"/>
  <c r="CW187" i="3" s="1"/>
  <c r="CO187" i="3"/>
  <c r="DB187" i="3" s="1"/>
  <c r="AI368" i="4"/>
  <c r="Z368" i="4"/>
  <c r="E369" i="4" s="1"/>
  <c r="G369" i="4" s="1"/>
  <c r="I369" i="4" s="1"/>
  <c r="BM188" i="3"/>
  <c r="J184" i="3"/>
  <c r="M184" i="3" s="1"/>
  <c r="AB368" i="4"/>
  <c r="U368" i="4"/>
  <c r="AH368" i="4" s="1"/>
  <c r="I184" i="3"/>
  <c r="AI17" i="3"/>
  <c r="DA187" i="3"/>
  <c r="DA188" i="3" s="1"/>
  <c r="DA189" i="3" s="1"/>
  <c r="DA190" i="3" s="1"/>
  <c r="DA191" i="3" s="1"/>
  <c r="DA192" i="3" s="1"/>
  <c r="DA193" i="3" s="1"/>
  <c r="DA194" i="3" s="1"/>
  <c r="DA195" i="3" s="1"/>
  <c r="DA196" i="3" s="1"/>
  <c r="DA197" i="3" s="1"/>
  <c r="DA198" i="3" s="1"/>
  <c r="CT187" i="3"/>
  <c r="AT189" i="3"/>
  <c r="AW189" i="3" s="1"/>
  <c r="AZ189" i="3" s="1"/>
  <c r="AE368" i="4"/>
  <c r="K184" i="3" l="1"/>
  <c r="V369" i="4"/>
  <c r="AF369" i="4" s="1"/>
  <c r="P369" i="4"/>
  <c r="Q369" i="4"/>
  <c r="R369" i="4" s="1"/>
  <c r="D28" i="5"/>
  <c r="BY188" i="3"/>
  <c r="CA188" i="3" s="1"/>
  <c r="AB17" i="3"/>
  <c r="AD17" i="3" s="1"/>
  <c r="L369" i="4"/>
  <c r="AD369" i="4"/>
  <c r="P184" i="3"/>
  <c r="AC368" i="4"/>
  <c r="AU189" i="3"/>
  <c r="M369" i="4"/>
  <c r="CB188" i="3" l="1"/>
  <c r="BN189" i="3"/>
  <c r="AV189" i="3"/>
  <c r="X369" i="4"/>
  <c r="AA369" i="4" s="1"/>
  <c r="F370" i="4" s="1"/>
  <c r="S369" i="4"/>
  <c r="W369" i="4"/>
  <c r="AD184" i="3"/>
  <c r="L184" i="3"/>
  <c r="AE369" i="4" l="1"/>
  <c r="AX189" i="3"/>
  <c r="AY189" i="3"/>
  <c r="N184" i="3"/>
  <c r="O184" i="3"/>
  <c r="J370" i="4"/>
  <c r="K370" i="4" s="1"/>
  <c r="T369" i="4"/>
  <c r="AI369" i="4"/>
  <c r="Z369" i="4"/>
  <c r="E370" i="4" s="1"/>
  <c r="G370" i="4" s="1"/>
  <c r="I370" i="4" s="1"/>
  <c r="CD188" i="3"/>
  <c r="CG188" i="3" s="1"/>
  <c r="CC188" i="3"/>
  <c r="CE188" i="3" l="1"/>
  <c r="AB369" i="4"/>
  <c r="U369" i="4"/>
  <c r="AH369" i="4" s="1"/>
  <c r="M370" i="4"/>
  <c r="Q184" i="3"/>
  <c r="R184" i="3" s="1"/>
  <c r="BA189" i="3"/>
  <c r="BB189" i="3" s="1"/>
  <c r="CJ188" i="3"/>
  <c r="CX188" i="3"/>
  <c r="L370" i="4"/>
  <c r="AD370" i="4"/>
  <c r="P370" i="4"/>
  <c r="V370" i="4"/>
  <c r="AF370" i="4" s="1"/>
  <c r="Q370" i="4"/>
  <c r="R370" i="4" s="1"/>
  <c r="CF188" i="3"/>
  <c r="X370" i="4" l="1"/>
  <c r="AA370" i="4" s="1"/>
  <c r="F371" i="4" s="1"/>
  <c r="S370" i="4"/>
  <c r="BH189" i="3"/>
  <c r="BK189" i="3" s="1"/>
  <c r="AP190" i="3" s="1"/>
  <c r="BG189" i="3"/>
  <c r="BF189" i="3"/>
  <c r="BP189" i="3" s="1"/>
  <c r="BC189" i="3"/>
  <c r="CH188" i="3"/>
  <c r="CI188" i="3"/>
  <c r="X184" i="3"/>
  <c r="AA184" i="3" s="1"/>
  <c r="F185" i="3" s="1"/>
  <c r="W184" i="3"/>
  <c r="V184" i="3"/>
  <c r="AF184" i="3" s="1"/>
  <c r="S184" i="3"/>
  <c r="AE184" i="3" s="1"/>
  <c r="W370" i="4"/>
  <c r="AC369" i="4"/>
  <c r="BO189" i="3" l="1"/>
  <c r="BS189" i="3"/>
  <c r="BJ189" i="3"/>
  <c r="AO190" i="3" s="1"/>
  <c r="AQ190" i="3" s="1"/>
  <c r="BD189" i="3"/>
  <c r="AE370" i="4"/>
  <c r="Z370" i="4"/>
  <c r="E371" i="4" s="1"/>
  <c r="G371" i="4" s="1"/>
  <c r="I371" i="4" s="1"/>
  <c r="AI370" i="4"/>
  <c r="AI184" i="3"/>
  <c r="Z184" i="3"/>
  <c r="E185" i="3" s="1"/>
  <c r="G185" i="3" s="1"/>
  <c r="CK188" i="3"/>
  <c r="CL188" i="3" s="1"/>
  <c r="T370" i="4"/>
  <c r="J371" i="4"/>
  <c r="K371" i="4" s="1"/>
  <c r="T184" i="3"/>
  <c r="CR188" i="3" l="1"/>
  <c r="CU188" i="3" s="1"/>
  <c r="BZ189" i="3" s="1"/>
  <c r="CQ188" i="3"/>
  <c r="CP188" i="3"/>
  <c r="CZ188" i="3" s="1"/>
  <c r="CM188" i="3"/>
  <c r="BL189" i="3"/>
  <c r="BE189" i="3"/>
  <c r="BR189" i="3" s="1"/>
  <c r="H185" i="3"/>
  <c r="I185" i="3" s="1"/>
  <c r="P371" i="4"/>
  <c r="V371" i="4"/>
  <c r="AF371" i="4" s="1"/>
  <c r="Q371" i="4"/>
  <c r="R371" i="4" s="1"/>
  <c r="AB184" i="3"/>
  <c r="AC184" i="3" s="1"/>
  <c r="U184" i="3"/>
  <c r="AH184" i="3" s="1"/>
  <c r="L371" i="4"/>
  <c r="AD371" i="4"/>
  <c r="AR190" i="3"/>
  <c r="M371" i="4"/>
  <c r="AB370" i="4"/>
  <c r="U370" i="4"/>
  <c r="AH370" i="4" s="1"/>
  <c r="X371" i="4" l="1"/>
  <c r="AA371" i="4" s="1"/>
  <c r="F372" i="4" s="1"/>
  <c r="W371" i="4"/>
  <c r="AC370" i="4"/>
  <c r="J185" i="3"/>
  <c r="M185" i="3" s="1"/>
  <c r="P185" i="3" s="1"/>
  <c r="DC188" i="3"/>
  <c r="CT188" i="3"/>
  <c r="BY189" i="3" s="1"/>
  <c r="CA189" i="3" s="1"/>
  <c r="S371" i="4"/>
  <c r="T371" i="4" s="1"/>
  <c r="BM189" i="3"/>
  <c r="AT190" i="3"/>
  <c r="AW190" i="3" s="1"/>
  <c r="AU190" i="3"/>
  <c r="CY188" i="3"/>
  <c r="AS190" i="3"/>
  <c r="CN188" i="3"/>
  <c r="AB371" i="4" l="1"/>
  <c r="U371" i="4"/>
  <c r="AH371" i="4" s="1"/>
  <c r="K185" i="3"/>
  <c r="BN190" i="3"/>
  <c r="CV188" i="3"/>
  <c r="CO188" i="3"/>
  <c r="DB188" i="3" s="1"/>
  <c r="AZ190" i="3"/>
  <c r="AC371" i="4"/>
  <c r="AV190" i="3"/>
  <c r="AI371" i="4"/>
  <c r="Z371" i="4"/>
  <c r="E372" i="4" s="1"/>
  <c r="G372" i="4" s="1"/>
  <c r="I372" i="4" s="1"/>
  <c r="J372" i="4"/>
  <c r="K372" i="4" s="1"/>
  <c r="AE371" i="4"/>
  <c r="CB189" i="3"/>
  <c r="P372" i="4" l="1"/>
  <c r="V372" i="4"/>
  <c r="AF372" i="4" s="1"/>
  <c r="Q372" i="4"/>
  <c r="R372" i="4" s="1"/>
  <c r="AX190" i="3"/>
  <c r="AY190" i="3"/>
  <c r="CW188" i="3"/>
  <c r="CD189" i="3"/>
  <c r="CG189" i="3" s="1"/>
  <c r="CC189" i="3"/>
  <c r="AD185" i="3"/>
  <c r="L185" i="3"/>
  <c r="L372" i="4"/>
  <c r="AD372" i="4"/>
  <c r="M372" i="4"/>
  <c r="CE189" i="3" l="1"/>
  <c r="N185" i="3"/>
  <c r="O185" i="3"/>
  <c r="BA190" i="3"/>
  <c r="BB190" i="3" s="1"/>
  <c r="CJ189" i="3"/>
  <c r="X372" i="4"/>
  <c r="AA372" i="4" s="1"/>
  <c r="F373" i="4" s="1"/>
  <c r="W372" i="4"/>
  <c r="S372" i="4"/>
  <c r="AE372" i="4" s="1"/>
  <c r="T372" i="4" l="1"/>
  <c r="J373" i="4"/>
  <c r="K373" i="4" s="1"/>
  <c r="AI372" i="4"/>
  <c r="Z372" i="4"/>
  <c r="E373" i="4" s="1"/>
  <c r="G373" i="4" s="1"/>
  <c r="I373" i="4" s="1"/>
  <c r="AB372" i="4"/>
  <c r="AC372" i="4" s="1"/>
  <c r="U372" i="4"/>
  <c r="AH372" i="4" s="1"/>
  <c r="BH190" i="3"/>
  <c r="BK190" i="3" s="1"/>
  <c r="AP191" i="3" s="1"/>
  <c r="BF190" i="3"/>
  <c r="BP190" i="3" s="1"/>
  <c r="BG190" i="3"/>
  <c r="BC190" i="3"/>
  <c r="BD190" i="3" s="1"/>
  <c r="Q185" i="3"/>
  <c r="R185" i="3" s="1"/>
  <c r="CX189" i="3"/>
  <c r="CF189" i="3"/>
  <c r="BL190" i="3" l="1"/>
  <c r="BE190" i="3"/>
  <c r="BR190" i="3" s="1"/>
  <c r="X185" i="3"/>
  <c r="AA185" i="3" s="1"/>
  <c r="F186" i="3" s="1"/>
  <c r="W185" i="3"/>
  <c r="V185" i="3"/>
  <c r="AF185" i="3" s="1"/>
  <c r="S185" i="3"/>
  <c r="AE185" i="3" s="1"/>
  <c r="BJ190" i="3"/>
  <c r="AO191" i="3" s="1"/>
  <c r="AQ191" i="3" s="1"/>
  <c r="BS190" i="3"/>
  <c r="L373" i="4"/>
  <c r="AD373" i="4"/>
  <c r="BO190" i="3"/>
  <c r="P373" i="4"/>
  <c r="V373" i="4"/>
  <c r="AF373" i="4" s="1"/>
  <c r="Q373" i="4"/>
  <c r="R373" i="4" s="1"/>
  <c r="CH189" i="3"/>
  <c r="CI189" i="3"/>
  <c r="M373" i="4"/>
  <c r="AR191" i="3" l="1"/>
  <c r="CK189" i="3"/>
  <c r="CL189" i="3" s="1"/>
  <c r="S373" i="4"/>
  <c r="AE373" i="4" s="1"/>
  <c r="X373" i="4"/>
  <c r="AA373" i="4" s="1"/>
  <c r="F374" i="4" s="1"/>
  <c r="Z185" i="3"/>
  <c r="E186" i="3" s="1"/>
  <c r="G186" i="3" s="1"/>
  <c r="AI185" i="3"/>
  <c r="T185" i="3"/>
  <c r="W373" i="4"/>
  <c r="BM190" i="3"/>
  <c r="T373" i="4" l="1"/>
  <c r="J374" i="4"/>
  <c r="K374" i="4" s="1"/>
  <c r="H186" i="3"/>
  <c r="AB185" i="3"/>
  <c r="AC185" i="3" s="1"/>
  <c r="U185" i="3"/>
  <c r="AH185" i="3" s="1"/>
  <c r="AB373" i="4"/>
  <c r="AC373" i="4" s="1"/>
  <c r="U373" i="4"/>
  <c r="AH373" i="4" s="1"/>
  <c r="CR189" i="3"/>
  <c r="CU189" i="3" s="1"/>
  <c r="BZ190" i="3" s="1"/>
  <c r="CQ189" i="3"/>
  <c r="CP189" i="3"/>
  <c r="CZ189" i="3" s="1"/>
  <c r="CM189" i="3"/>
  <c r="CN189" i="3" s="1"/>
  <c r="AI373" i="4"/>
  <c r="Z373" i="4"/>
  <c r="E374" i="4" s="1"/>
  <c r="G374" i="4" s="1"/>
  <c r="I374" i="4" s="1"/>
  <c r="AT191" i="3"/>
  <c r="AW191" i="3" s="1"/>
  <c r="AS191" i="3"/>
  <c r="AU191" i="3" l="1"/>
  <c r="CV189" i="3"/>
  <c r="CO189" i="3"/>
  <c r="DB189" i="3" s="1"/>
  <c r="CY189" i="3"/>
  <c r="CT189" i="3"/>
  <c r="BY190" i="3" s="1"/>
  <c r="CA190" i="3" s="1"/>
  <c r="DC189" i="3"/>
  <c r="AZ191" i="3"/>
  <c r="BN191" i="3"/>
  <c r="L374" i="4"/>
  <c r="AD374" i="4"/>
  <c r="J186" i="3"/>
  <c r="M186" i="3" s="1"/>
  <c r="I186" i="3"/>
  <c r="AV191" i="3"/>
  <c r="V374" i="4"/>
  <c r="AF374" i="4" s="1"/>
  <c r="P374" i="4"/>
  <c r="Q374" i="4"/>
  <c r="R374" i="4" s="1"/>
  <c r="M374" i="4"/>
  <c r="X374" i="4" l="1"/>
  <c r="AA374" i="4" s="1"/>
  <c r="F375" i="4" s="1"/>
  <c r="AX191" i="3"/>
  <c r="AY191" i="3"/>
  <c r="K186" i="3"/>
  <c r="S374" i="4"/>
  <c r="AE374" i="4" s="1"/>
  <c r="W374" i="4"/>
  <c r="P186" i="3"/>
  <c r="CB190" i="3"/>
  <c r="CC190" i="3" s="1"/>
  <c r="CW189" i="3"/>
  <c r="Z374" i="4" l="1"/>
  <c r="E375" i="4" s="1"/>
  <c r="G375" i="4" s="1"/>
  <c r="I375" i="4" s="1"/>
  <c r="AI374" i="4"/>
  <c r="CD190" i="3"/>
  <c r="CG190" i="3" s="1"/>
  <c r="CJ190" i="3" s="1"/>
  <c r="CE190" i="3"/>
  <c r="AD186" i="3"/>
  <c r="L186" i="3"/>
  <c r="T374" i="4"/>
  <c r="BA191" i="3"/>
  <c r="BB191" i="3" s="1"/>
  <c r="J375" i="4"/>
  <c r="K375" i="4" s="1"/>
  <c r="N186" i="3" l="1"/>
  <c r="O186" i="3"/>
  <c r="AB374" i="4"/>
  <c r="AC374" i="4" s="1"/>
  <c r="U374" i="4"/>
  <c r="AH374" i="4" s="1"/>
  <c r="CX190" i="3"/>
  <c r="BH191" i="3"/>
  <c r="BK191" i="3" s="1"/>
  <c r="AP192" i="3" s="1"/>
  <c r="BF191" i="3"/>
  <c r="BP191" i="3" s="1"/>
  <c r="BG191" i="3"/>
  <c r="BC191" i="3"/>
  <c r="BD191" i="3" s="1"/>
  <c r="P375" i="4"/>
  <c r="V375" i="4"/>
  <c r="AF375" i="4" s="1"/>
  <c r="Q375" i="4"/>
  <c r="R375" i="4" s="1"/>
  <c r="W375" i="4" s="1"/>
  <c r="CF190" i="3"/>
  <c r="L375" i="4"/>
  <c r="AD375" i="4"/>
  <c r="M375" i="4"/>
  <c r="S375" i="4" l="1"/>
  <c r="AE375" i="4" s="1"/>
  <c r="BL191" i="3"/>
  <c r="BE191" i="3"/>
  <c r="BR191" i="3" s="1"/>
  <c r="AI375" i="4"/>
  <c r="Z375" i="4"/>
  <c r="E376" i="4" s="1"/>
  <c r="G376" i="4" s="1"/>
  <c r="I376" i="4" s="1"/>
  <c r="BS191" i="3"/>
  <c r="BJ191" i="3"/>
  <c r="AO192" i="3" s="1"/>
  <c r="AQ192" i="3" s="1"/>
  <c r="BO191" i="3"/>
  <c r="CH190" i="3"/>
  <c r="CI190" i="3"/>
  <c r="Q186" i="3"/>
  <c r="R186" i="3" s="1"/>
  <c r="T375" i="4"/>
  <c r="X375" i="4"/>
  <c r="AA375" i="4" s="1"/>
  <c r="F376" i="4" s="1"/>
  <c r="X186" i="3" l="1"/>
  <c r="AA186" i="3" s="1"/>
  <c r="F187" i="3" s="1"/>
  <c r="V186" i="3"/>
  <c r="AF186" i="3" s="1"/>
  <c r="W186" i="3"/>
  <c r="S186" i="3"/>
  <c r="AE186" i="3" s="1"/>
  <c r="J376" i="4"/>
  <c r="K376" i="4" s="1"/>
  <c r="AR192" i="3"/>
  <c r="AB375" i="4"/>
  <c r="AC375" i="4" s="1"/>
  <c r="U375" i="4"/>
  <c r="AH375" i="4" s="1"/>
  <c r="P376" i="4"/>
  <c r="V376" i="4"/>
  <c r="AF376" i="4" s="1"/>
  <c r="Q376" i="4"/>
  <c r="R376" i="4" s="1"/>
  <c r="CK190" i="3"/>
  <c r="CL190" i="3" s="1"/>
  <c r="BM191" i="3"/>
  <c r="S376" i="4" l="1"/>
  <c r="AE376" i="4" s="1"/>
  <c r="AT192" i="3"/>
  <c r="AW192" i="3" s="1"/>
  <c r="AS192" i="3"/>
  <c r="AI186" i="3"/>
  <c r="Z186" i="3"/>
  <c r="E187" i="3" s="1"/>
  <c r="G187" i="3" s="1"/>
  <c r="CR190" i="3"/>
  <c r="CU190" i="3" s="1"/>
  <c r="BZ191" i="3" s="1"/>
  <c r="CQ190" i="3"/>
  <c r="CP190" i="3"/>
  <c r="CZ190" i="3" s="1"/>
  <c r="CM190" i="3"/>
  <c r="CN190" i="3" s="1"/>
  <c r="W376" i="4"/>
  <c r="L376" i="4"/>
  <c r="AD376" i="4"/>
  <c r="M376" i="4"/>
  <c r="X376" i="4" s="1"/>
  <c r="AA376" i="4" s="1"/>
  <c r="F377" i="4" s="1"/>
  <c r="T186" i="3"/>
  <c r="J377" i="4" l="1"/>
  <c r="K377" i="4" s="1"/>
  <c r="L377" i="4" s="1"/>
  <c r="CV190" i="3"/>
  <c r="CO190" i="3"/>
  <c r="DB190" i="3" s="1"/>
  <c r="CT190" i="3"/>
  <c r="BY191" i="3" s="1"/>
  <c r="CA191" i="3" s="1"/>
  <c r="DC190" i="3"/>
  <c r="AZ192" i="3"/>
  <c r="AD377" i="4"/>
  <c r="CY190" i="3"/>
  <c r="H187" i="3"/>
  <c r="AB186" i="3"/>
  <c r="AC186" i="3" s="1"/>
  <c r="U186" i="3"/>
  <c r="AH186" i="3" s="1"/>
  <c r="AU192" i="3"/>
  <c r="AI376" i="4"/>
  <c r="Z376" i="4"/>
  <c r="E377" i="4" s="1"/>
  <c r="G377" i="4" s="1"/>
  <c r="I377" i="4" s="1"/>
  <c r="T376" i="4"/>
  <c r="J187" i="3" l="1"/>
  <c r="M187" i="3" s="1"/>
  <c r="V377" i="4"/>
  <c r="AF377" i="4" s="1"/>
  <c r="P377" i="4"/>
  <c r="Q377" i="4"/>
  <c r="R377" i="4" s="1"/>
  <c r="BN192" i="3"/>
  <c r="AV192" i="3"/>
  <c r="CB191" i="3"/>
  <c r="CC191" i="3" s="1"/>
  <c r="I187" i="3"/>
  <c r="AB376" i="4"/>
  <c r="AC376" i="4" s="1"/>
  <c r="U376" i="4"/>
  <c r="AH376" i="4" s="1"/>
  <c r="CW190" i="3"/>
  <c r="M377" i="4"/>
  <c r="P187" i="3" l="1"/>
  <c r="X377" i="4"/>
  <c r="AA377" i="4" s="1"/>
  <c r="F378" i="4" s="1"/>
  <c r="W377" i="4"/>
  <c r="K187" i="3"/>
  <c r="CD191" i="3"/>
  <c r="CG191" i="3" s="1"/>
  <c r="CJ191" i="3" s="1"/>
  <c r="AX192" i="3"/>
  <c r="AY192" i="3"/>
  <c r="S377" i="4"/>
  <c r="AE377" i="4" s="1"/>
  <c r="T377" i="4" l="1"/>
  <c r="AB377" i="4" s="1"/>
  <c r="AC377" i="4" s="1"/>
  <c r="AI377" i="4"/>
  <c r="Z377" i="4"/>
  <c r="E378" i="4" s="1"/>
  <c r="G378" i="4" s="1"/>
  <c r="I378" i="4" s="1"/>
  <c r="CE191" i="3"/>
  <c r="AD187" i="3"/>
  <c r="L187" i="3"/>
  <c r="J378" i="4"/>
  <c r="K378" i="4" s="1"/>
  <c r="BA192" i="3"/>
  <c r="BB192" i="3" s="1"/>
  <c r="U377" i="4" l="1"/>
  <c r="AH377" i="4" s="1"/>
  <c r="L378" i="4"/>
  <c r="AD378" i="4"/>
  <c r="BH192" i="3"/>
  <c r="BK192" i="3" s="1"/>
  <c r="AP193" i="3" s="1"/>
  <c r="BF192" i="3"/>
  <c r="BP192" i="3" s="1"/>
  <c r="BG192" i="3"/>
  <c r="BC192" i="3"/>
  <c r="BO192" i="3" s="1"/>
  <c r="M378" i="4"/>
  <c r="N187" i="3"/>
  <c r="O187" i="3"/>
  <c r="CX191" i="3"/>
  <c r="CF191" i="3"/>
  <c r="V378" i="4"/>
  <c r="AF378" i="4" s="1"/>
  <c r="P378" i="4"/>
  <c r="Q378" i="4"/>
  <c r="R378" i="4" s="1"/>
  <c r="Q187" i="3" l="1"/>
  <c r="R187" i="3" s="1"/>
  <c r="BD192" i="3"/>
  <c r="X378" i="4"/>
  <c r="AA378" i="4" s="1"/>
  <c r="F379" i="4" s="1"/>
  <c r="S378" i="4"/>
  <c r="AE378" i="4" s="1"/>
  <c r="BJ192" i="3"/>
  <c r="AO193" i="3" s="1"/>
  <c r="AQ193" i="3" s="1"/>
  <c r="BS192" i="3"/>
  <c r="W378" i="4"/>
  <c r="CH191" i="3"/>
  <c r="CI191" i="3"/>
  <c r="T378" i="4" l="1"/>
  <c r="BL192" i="3"/>
  <c r="BM192" i="3" s="1"/>
  <c r="BE192" i="3"/>
  <c r="BR192" i="3" s="1"/>
  <c r="AI378" i="4"/>
  <c r="Z378" i="4"/>
  <c r="E379" i="4" s="1"/>
  <c r="G379" i="4" s="1"/>
  <c r="I379" i="4" s="1"/>
  <c r="AR193" i="3"/>
  <c r="J379" i="4"/>
  <c r="K379" i="4" s="1"/>
  <c r="X187" i="3"/>
  <c r="AA187" i="3" s="1"/>
  <c r="W187" i="3"/>
  <c r="V187" i="3"/>
  <c r="AF187" i="3" s="1"/>
  <c r="S187" i="3"/>
  <c r="AE187" i="3" s="1"/>
  <c r="CK191" i="3"/>
  <c r="CL191" i="3" s="1"/>
  <c r="F188" i="3" l="1"/>
  <c r="C17" i="3"/>
  <c r="M379" i="4"/>
  <c r="CR191" i="3"/>
  <c r="CU191" i="3" s="1"/>
  <c r="BZ192" i="3" s="1"/>
  <c r="CQ191" i="3"/>
  <c r="CP191" i="3"/>
  <c r="CZ191" i="3" s="1"/>
  <c r="CM191" i="3"/>
  <c r="CN191" i="3" s="1"/>
  <c r="J17" i="3"/>
  <c r="T187" i="3"/>
  <c r="P379" i="4"/>
  <c r="V379" i="4"/>
  <c r="AF379" i="4" s="1"/>
  <c r="Q379" i="4"/>
  <c r="R379" i="4" s="1"/>
  <c r="F28" i="5"/>
  <c r="Y187" i="3"/>
  <c r="AI187" i="3"/>
  <c r="L379" i="4"/>
  <c r="AD379" i="4"/>
  <c r="AT193" i="3"/>
  <c r="AW193" i="3" s="1"/>
  <c r="AU193" i="3"/>
  <c r="BN193" i="3" s="1"/>
  <c r="AS193" i="3"/>
  <c r="AB378" i="4"/>
  <c r="AC378" i="4" s="1"/>
  <c r="U378" i="4"/>
  <c r="AH378" i="4" s="1"/>
  <c r="CV191" i="3" l="1"/>
  <c r="CO191" i="3"/>
  <c r="DB191" i="3" s="1"/>
  <c r="S379" i="4"/>
  <c r="AE379" i="4" s="1"/>
  <c r="X379" i="4"/>
  <c r="AA379" i="4" s="1"/>
  <c r="T379" i="4"/>
  <c r="J33" i="4"/>
  <c r="W379" i="4"/>
  <c r="AB187" i="3"/>
  <c r="AC187" i="3" s="1"/>
  <c r="U187" i="3"/>
  <c r="AH187" i="3" s="1"/>
  <c r="AZ193" i="3"/>
  <c r="AV193" i="3"/>
  <c r="CY191" i="3"/>
  <c r="DC191" i="3"/>
  <c r="CT191" i="3"/>
  <c r="BY192" i="3" s="1"/>
  <c r="CA192" i="3" s="1"/>
  <c r="I17" i="3"/>
  <c r="AG187" i="3"/>
  <c r="AG188" i="3" s="1"/>
  <c r="AG189" i="3" s="1"/>
  <c r="AG190" i="3" s="1"/>
  <c r="AG191" i="3" s="1"/>
  <c r="AG192" i="3" s="1"/>
  <c r="AG193" i="3" s="1"/>
  <c r="AG194" i="3" s="1"/>
  <c r="AG195" i="3" s="1"/>
  <c r="AG196" i="3" s="1"/>
  <c r="AG197" i="3" s="1"/>
  <c r="AG198" i="3" s="1"/>
  <c r="Z187" i="3"/>
  <c r="B28" i="5" l="1"/>
  <c r="E188" i="3"/>
  <c r="G188" i="3" s="1"/>
  <c r="B17" i="3"/>
  <c r="D17" i="3" s="1"/>
  <c r="AX193" i="3"/>
  <c r="AY193" i="3"/>
  <c r="CB192" i="3"/>
  <c r="CC192" i="3" s="1"/>
  <c r="Y379" i="4"/>
  <c r="Z379" i="4" s="1"/>
  <c r="AI379" i="4"/>
  <c r="AB379" i="4"/>
  <c r="AC379" i="4" s="1"/>
  <c r="U379" i="4"/>
  <c r="AH379" i="4" s="1"/>
  <c r="F380" i="4"/>
  <c r="C33" i="4"/>
  <c r="I44" i="5"/>
  <c r="CW191" i="3"/>
  <c r="E380" i="4" l="1"/>
  <c r="G380" i="4" s="1"/>
  <c r="I380" i="4" s="1"/>
  <c r="E44" i="5"/>
  <c r="B33" i="4"/>
  <c r="D33" i="4" s="1"/>
  <c r="CD192" i="3"/>
  <c r="CG192" i="3" s="1"/>
  <c r="CJ192" i="3" s="1"/>
  <c r="CE192" i="3"/>
  <c r="CX192" i="3" s="1"/>
  <c r="BA193" i="3"/>
  <c r="BB193" i="3" s="1"/>
  <c r="I33" i="4"/>
  <c r="AG379" i="4"/>
  <c r="AG380" i="4" s="1"/>
  <c r="AG381" i="4" s="1"/>
  <c r="AG382" i="4" s="1"/>
  <c r="AG383" i="4" s="1"/>
  <c r="AG384" i="4" s="1"/>
  <c r="AG385" i="4" s="1"/>
  <c r="AG386" i="4" s="1"/>
  <c r="AG387" i="4" s="1"/>
  <c r="AG388" i="4" s="1"/>
  <c r="AG389" i="4" s="1"/>
  <c r="AG390" i="4" s="1"/>
  <c r="J380" i="4"/>
  <c r="K380" i="4" s="1"/>
  <c r="H188" i="3"/>
  <c r="M380" i="4" l="1"/>
  <c r="CF192" i="3"/>
  <c r="P380" i="4"/>
  <c r="V380" i="4"/>
  <c r="AF380" i="4" s="1"/>
  <c r="Q380" i="4"/>
  <c r="R380" i="4" s="1"/>
  <c r="BH193" i="3"/>
  <c r="BK193" i="3" s="1"/>
  <c r="AP194" i="3" s="1"/>
  <c r="BG193" i="3"/>
  <c r="BF193" i="3"/>
  <c r="BP193" i="3" s="1"/>
  <c r="BC193" i="3"/>
  <c r="BO193" i="3" s="1"/>
  <c r="J188" i="3"/>
  <c r="M188" i="3" s="1"/>
  <c r="I188" i="3"/>
  <c r="L380" i="4"/>
  <c r="AD380" i="4"/>
  <c r="K188" i="3" l="1"/>
  <c r="BD193" i="3"/>
  <c r="AD188" i="3"/>
  <c r="L188" i="3"/>
  <c r="BJ193" i="3"/>
  <c r="AO194" i="3" s="1"/>
  <c r="AQ194" i="3" s="1"/>
  <c r="BS193" i="3"/>
  <c r="X380" i="4"/>
  <c r="AA380" i="4" s="1"/>
  <c r="F381" i="4" s="1"/>
  <c r="W380" i="4"/>
  <c r="S380" i="4"/>
  <c r="T380" i="4" s="1"/>
  <c r="CH192" i="3"/>
  <c r="CI192" i="3"/>
  <c r="P188" i="3"/>
  <c r="AB380" i="4" l="1"/>
  <c r="U380" i="4"/>
  <c r="AH380" i="4" s="1"/>
  <c r="AI380" i="4"/>
  <c r="Z380" i="4"/>
  <c r="E381" i="4" s="1"/>
  <c r="G381" i="4" s="1"/>
  <c r="I381" i="4" s="1"/>
  <c r="AE380" i="4"/>
  <c r="J381" i="4"/>
  <c r="K381" i="4" s="1"/>
  <c r="AR194" i="3"/>
  <c r="AS194" i="3" s="1"/>
  <c r="N188" i="3"/>
  <c r="O188" i="3"/>
  <c r="BL193" i="3"/>
  <c r="BM193" i="3" s="1"/>
  <c r="BE193" i="3"/>
  <c r="BR193" i="3" s="1"/>
  <c r="CK192" i="3"/>
  <c r="CL192" i="3" s="1"/>
  <c r="P381" i="4" l="1"/>
  <c r="V381" i="4"/>
  <c r="AF381" i="4" s="1"/>
  <c r="Q381" i="4"/>
  <c r="R381" i="4" s="1"/>
  <c r="Q188" i="3"/>
  <c r="R188" i="3" s="1"/>
  <c r="AT194" i="3"/>
  <c r="AW194" i="3" s="1"/>
  <c r="AZ194" i="3" s="1"/>
  <c r="AU194" i="3"/>
  <c r="BN194" i="3" s="1"/>
  <c r="L381" i="4"/>
  <c r="AD381" i="4"/>
  <c r="M381" i="4"/>
  <c r="CR192" i="3"/>
  <c r="CU192" i="3" s="1"/>
  <c r="BZ193" i="3" s="1"/>
  <c r="CQ192" i="3"/>
  <c r="CP192" i="3"/>
  <c r="CZ192" i="3" s="1"/>
  <c r="CM192" i="3"/>
  <c r="CY192" i="3" s="1"/>
  <c r="AC380" i="4"/>
  <c r="X381" i="4" l="1"/>
  <c r="AA381" i="4" s="1"/>
  <c r="F382" i="4" s="1"/>
  <c r="S381" i="4"/>
  <c r="AV194" i="3"/>
  <c r="CT192" i="3"/>
  <c r="BY193" i="3" s="1"/>
  <c r="CA193" i="3" s="1"/>
  <c r="DC192" i="3"/>
  <c r="X188" i="3"/>
  <c r="AA188" i="3" s="1"/>
  <c r="F189" i="3" s="1"/>
  <c r="W188" i="3"/>
  <c r="V188" i="3"/>
  <c r="AF188" i="3" s="1"/>
  <c r="S188" i="3"/>
  <c r="T188" i="3" s="1"/>
  <c r="W381" i="4"/>
  <c r="CN192" i="3"/>
  <c r="AB188" i="3" l="1"/>
  <c r="U188" i="3"/>
  <c r="AH188" i="3" s="1"/>
  <c r="AX194" i="3"/>
  <c r="AY194" i="3"/>
  <c r="CV192" i="3"/>
  <c r="CW192" i="3" s="1"/>
  <c r="CO192" i="3"/>
  <c r="DB192" i="3" s="1"/>
  <c r="AE188" i="3"/>
  <c r="Z188" i="3"/>
  <c r="E189" i="3" s="1"/>
  <c r="G189" i="3" s="1"/>
  <c r="AI188" i="3"/>
  <c r="CB193" i="3"/>
  <c r="CC193" i="3" s="1"/>
  <c r="AE381" i="4"/>
  <c r="J382" i="4"/>
  <c r="K382" i="4" s="1"/>
  <c r="AI381" i="4"/>
  <c r="Z381" i="4"/>
  <c r="E382" i="4" s="1"/>
  <c r="G382" i="4" s="1"/>
  <c r="I382" i="4" s="1"/>
  <c r="T381" i="4"/>
  <c r="H189" i="3" l="1"/>
  <c r="AB381" i="4"/>
  <c r="U381" i="4"/>
  <c r="AH381" i="4" s="1"/>
  <c r="CD193" i="3"/>
  <c r="CG193" i="3" s="1"/>
  <c r="CJ193" i="3" s="1"/>
  <c r="BA194" i="3"/>
  <c r="BB194" i="3" s="1"/>
  <c r="P382" i="4"/>
  <c r="V382" i="4"/>
  <c r="AF382" i="4" s="1"/>
  <c r="Q382" i="4"/>
  <c r="R382" i="4" s="1"/>
  <c r="L382" i="4"/>
  <c r="AD382" i="4"/>
  <c r="M382" i="4"/>
  <c r="AC188" i="3"/>
  <c r="BH194" i="3" l="1"/>
  <c r="BK194" i="3" s="1"/>
  <c r="AP195" i="3" s="1"/>
  <c r="BG194" i="3"/>
  <c r="BF194" i="3"/>
  <c r="BP194" i="3" s="1"/>
  <c r="BC194" i="3"/>
  <c r="BO194" i="3" s="1"/>
  <c r="CE193" i="3"/>
  <c r="AC381" i="4"/>
  <c r="J189" i="3"/>
  <c r="M189" i="3" s="1"/>
  <c r="S382" i="4"/>
  <c r="X382" i="4"/>
  <c r="AA382" i="4" s="1"/>
  <c r="F383" i="4" s="1"/>
  <c r="T382" i="4"/>
  <c r="I189" i="3"/>
  <c r="W382" i="4"/>
  <c r="K189" i="3" l="1"/>
  <c r="CX193" i="3"/>
  <c r="CF193" i="3"/>
  <c r="AI382" i="4"/>
  <c r="Z382" i="4"/>
  <c r="E383" i="4" s="1"/>
  <c r="G383" i="4" s="1"/>
  <c r="I383" i="4" s="1"/>
  <c r="BD194" i="3"/>
  <c r="P189" i="3"/>
  <c r="BS194" i="3"/>
  <c r="BJ194" i="3"/>
  <c r="AO195" i="3" s="1"/>
  <c r="AQ195" i="3" s="1"/>
  <c r="AB382" i="4"/>
  <c r="U382" i="4"/>
  <c r="AH382" i="4" s="1"/>
  <c r="J383" i="4"/>
  <c r="K383" i="4" s="1"/>
  <c r="AE382" i="4"/>
  <c r="V383" i="4" l="1"/>
  <c r="AF383" i="4" s="1"/>
  <c r="P383" i="4"/>
  <c r="Q383" i="4"/>
  <c r="R383" i="4" s="1"/>
  <c r="AR195" i="3"/>
  <c r="AC382" i="4"/>
  <c r="BL194" i="3"/>
  <c r="BM194" i="3" s="1"/>
  <c r="BE194" i="3"/>
  <c r="BR194" i="3" s="1"/>
  <c r="L383" i="4"/>
  <c r="AD383" i="4"/>
  <c r="CI193" i="3"/>
  <c r="CH193" i="3"/>
  <c r="M383" i="4"/>
  <c r="AD189" i="3"/>
  <c r="L189" i="3"/>
  <c r="CK193" i="3" l="1"/>
  <c r="CL193" i="3" s="1"/>
  <c r="AT195" i="3"/>
  <c r="AW195" i="3" s="1"/>
  <c r="N189" i="3"/>
  <c r="O189" i="3"/>
  <c r="AS195" i="3"/>
  <c r="X383" i="4"/>
  <c r="AA383" i="4" s="1"/>
  <c r="F384" i="4" s="1"/>
  <c r="S383" i="4"/>
  <c r="W383" i="4"/>
  <c r="AU195" i="3" l="1"/>
  <c r="AZ195" i="3"/>
  <c r="AE383" i="4"/>
  <c r="Q189" i="3"/>
  <c r="R189" i="3" s="1"/>
  <c r="AI383" i="4"/>
  <c r="Z383" i="4"/>
  <c r="E384" i="4" s="1"/>
  <c r="G384" i="4" s="1"/>
  <c r="I384" i="4" s="1"/>
  <c r="CR193" i="3"/>
  <c r="CU193" i="3" s="1"/>
  <c r="BZ194" i="3" s="1"/>
  <c r="CQ193" i="3"/>
  <c r="CP193" i="3"/>
  <c r="CZ193" i="3" s="1"/>
  <c r="CM193" i="3"/>
  <c r="CY193" i="3" s="1"/>
  <c r="J384" i="4"/>
  <c r="K384" i="4" s="1"/>
  <c r="T383" i="4"/>
  <c r="M384" i="4" l="1"/>
  <c r="DC193" i="3"/>
  <c r="CT193" i="3"/>
  <c r="BY194" i="3" s="1"/>
  <c r="CA194" i="3" s="1"/>
  <c r="CN193" i="3"/>
  <c r="X189" i="3"/>
  <c r="AA189" i="3" s="1"/>
  <c r="F190" i="3" s="1"/>
  <c r="V189" i="3"/>
  <c r="AF189" i="3" s="1"/>
  <c r="W189" i="3"/>
  <c r="S189" i="3"/>
  <c r="T189" i="3" s="1"/>
  <c r="P384" i="4"/>
  <c r="V384" i="4"/>
  <c r="AF384" i="4" s="1"/>
  <c r="Q384" i="4"/>
  <c r="R384" i="4" s="1"/>
  <c r="AB383" i="4"/>
  <c r="AC383" i="4" s="1"/>
  <c r="U383" i="4"/>
  <c r="AH383" i="4" s="1"/>
  <c r="L384" i="4"/>
  <c r="AD384" i="4"/>
  <c r="BN195" i="3"/>
  <c r="AV195" i="3"/>
  <c r="AB189" i="3" l="1"/>
  <c r="U189" i="3"/>
  <c r="AH189" i="3" s="1"/>
  <c r="AX195" i="3"/>
  <c r="AY195" i="3"/>
  <c r="S384" i="4"/>
  <c r="AE384" i="4" s="1"/>
  <c r="AI189" i="3"/>
  <c r="Z189" i="3"/>
  <c r="E190" i="3" s="1"/>
  <c r="G190" i="3" s="1"/>
  <c r="CV193" i="3"/>
  <c r="CW193" i="3" s="1"/>
  <c r="CO193" i="3"/>
  <c r="DB193" i="3" s="1"/>
  <c r="CB194" i="3"/>
  <c r="X384" i="4"/>
  <c r="AA384" i="4" s="1"/>
  <c r="F385" i="4" s="1"/>
  <c r="W384" i="4"/>
  <c r="AE189" i="3"/>
  <c r="H190" i="3" l="1"/>
  <c r="I190" i="3" s="1"/>
  <c r="J385" i="4"/>
  <c r="K385" i="4" s="1"/>
  <c r="AI384" i="4"/>
  <c r="Z384" i="4"/>
  <c r="E385" i="4" s="1"/>
  <c r="G385" i="4" s="1"/>
  <c r="I385" i="4" s="1"/>
  <c r="BA195" i="3"/>
  <c r="BB195" i="3" s="1"/>
  <c r="T384" i="4"/>
  <c r="CD194" i="3"/>
  <c r="CG194" i="3" s="1"/>
  <c r="CC194" i="3"/>
  <c r="AC189" i="3"/>
  <c r="AB384" i="4" l="1"/>
  <c r="AC384" i="4" s="1"/>
  <c r="U384" i="4"/>
  <c r="AH384" i="4" s="1"/>
  <c r="BH195" i="3"/>
  <c r="BK195" i="3" s="1"/>
  <c r="AP196" i="3" s="1"/>
  <c r="BG195" i="3"/>
  <c r="BF195" i="3"/>
  <c r="BP195" i="3" s="1"/>
  <c r="BC195" i="3"/>
  <c r="BO195" i="3" s="1"/>
  <c r="CJ194" i="3"/>
  <c r="V385" i="4"/>
  <c r="AF385" i="4" s="1"/>
  <c r="P385" i="4"/>
  <c r="Q385" i="4"/>
  <c r="R385" i="4" s="1"/>
  <c r="W385" i="4" s="1"/>
  <c r="L385" i="4"/>
  <c r="AD385" i="4"/>
  <c r="M385" i="4"/>
  <c r="J190" i="3"/>
  <c r="M190" i="3" s="1"/>
  <c r="P190" i="3" s="1"/>
  <c r="K190" i="3"/>
  <c r="CE194" i="3"/>
  <c r="S385" i="4" l="1"/>
  <c r="AE385" i="4" s="1"/>
  <c r="BJ195" i="3"/>
  <c r="AO196" i="3" s="1"/>
  <c r="AQ196" i="3" s="1"/>
  <c r="BS195" i="3"/>
  <c r="AI385" i="4"/>
  <c r="Z385" i="4"/>
  <c r="E386" i="4" s="1"/>
  <c r="G386" i="4" s="1"/>
  <c r="I386" i="4" s="1"/>
  <c r="CX194" i="3"/>
  <c r="CF194" i="3"/>
  <c r="AD190" i="3"/>
  <c r="BD195" i="3"/>
  <c r="L190" i="3"/>
  <c r="T385" i="4"/>
  <c r="X385" i="4"/>
  <c r="AA385" i="4" s="1"/>
  <c r="F386" i="4" s="1"/>
  <c r="BL195" i="3" l="1"/>
  <c r="BM195" i="3" s="1"/>
  <c r="BE195" i="3"/>
  <c r="BR195" i="3" s="1"/>
  <c r="CH194" i="3"/>
  <c r="CI194" i="3"/>
  <c r="J386" i="4"/>
  <c r="K386" i="4" s="1"/>
  <c r="AB385" i="4"/>
  <c r="AC385" i="4" s="1"/>
  <c r="U385" i="4"/>
  <c r="AH385" i="4" s="1"/>
  <c r="V386" i="4"/>
  <c r="AF386" i="4" s="1"/>
  <c r="P386" i="4"/>
  <c r="Q386" i="4"/>
  <c r="R386" i="4" s="1"/>
  <c r="AR196" i="3"/>
  <c r="AS196" i="3" s="1"/>
  <c r="N190" i="3"/>
  <c r="O190" i="3"/>
  <c r="S386" i="4" l="1"/>
  <c r="AE386" i="4" s="1"/>
  <c r="M386" i="4"/>
  <c r="X386" i="4"/>
  <c r="AA386" i="4" s="1"/>
  <c r="F387" i="4" s="1"/>
  <c r="T386" i="4"/>
  <c r="L386" i="4"/>
  <c r="AD386" i="4"/>
  <c r="Q190" i="3"/>
  <c r="R190" i="3" s="1"/>
  <c r="W386" i="4"/>
  <c r="CK194" i="3"/>
  <c r="CL194" i="3" s="1"/>
  <c r="AT196" i="3"/>
  <c r="AW196" i="3" s="1"/>
  <c r="AZ196" i="3" s="1"/>
  <c r="X190" i="3" l="1"/>
  <c r="AA190" i="3" s="1"/>
  <c r="F191" i="3" s="1"/>
  <c r="W190" i="3"/>
  <c r="V190" i="3"/>
  <c r="AF190" i="3" s="1"/>
  <c r="S190" i="3"/>
  <c r="AB386" i="4"/>
  <c r="AC386" i="4" s="1"/>
  <c r="U386" i="4"/>
  <c r="AH386" i="4" s="1"/>
  <c r="AI386" i="4"/>
  <c r="Z386" i="4"/>
  <c r="E387" i="4" s="1"/>
  <c r="G387" i="4" s="1"/>
  <c r="I387" i="4" s="1"/>
  <c r="AU196" i="3"/>
  <c r="J387" i="4"/>
  <c r="K387" i="4" s="1"/>
  <c r="L387" i="4" s="1"/>
  <c r="CR194" i="3"/>
  <c r="CU194" i="3" s="1"/>
  <c r="BZ195" i="3" s="1"/>
  <c r="CQ194" i="3"/>
  <c r="CP194" i="3"/>
  <c r="CZ194" i="3" s="1"/>
  <c r="CM194" i="3"/>
  <c r="CY194" i="3" s="1"/>
  <c r="CN194" i="3" l="1"/>
  <c r="CV194" i="3"/>
  <c r="CW194" i="3" s="1"/>
  <c r="CO194" i="3"/>
  <c r="DB194" i="3" s="1"/>
  <c r="BN196" i="3"/>
  <c r="AV196" i="3"/>
  <c r="M387" i="4"/>
  <c r="Z190" i="3"/>
  <c r="E191" i="3" s="1"/>
  <c r="G191" i="3" s="1"/>
  <c r="AI190" i="3"/>
  <c r="V387" i="4"/>
  <c r="AF387" i="4" s="1"/>
  <c r="Q387" i="4"/>
  <c r="R387" i="4" s="1"/>
  <c r="P387" i="4"/>
  <c r="AE190" i="3"/>
  <c r="T190" i="3"/>
  <c r="DC194" i="3"/>
  <c r="CT194" i="3"/>
  <c r="BY195" i="3" s="1"/>
  <c r="CA195" i="3" s="1"/>
  <c r="AD387" i="4"/>
  <c r="S387" i="4" l="1"/>
  <c r="AE387" i="4" s="1"/>
  <c r="H191" i="3"/>
  <c r="X387" i="4"/>
  <c r="AA387" i="4" s="1"/>
  <c r="F388" i="4" s="1"/>
  <c r="T387" i="4"/>
  <c r="W387" i="4"/>
  <c r="CB195" i="3"/>
  <c r="AB190" i="3"/>
  <c r="U190" i="3"/>
  <c r="AH190" i="3" s="1"/>
  <c r="AX196" i="3"/>
  <c r="AY196" i="3"/>
  <c r="CD195" i="3" l="1"/>
  <c r="CG195" i="3" s="1"/>
  <c r="BA196" i="3"/>
  <c r="BB196" i="3" s="1"/>
  <c r="AC190" i="3"/>
  <c r="Z387" i="4"/>
  <c r="E388" i="4" s="1"/>
  <c r="G388" i="4" s="1"/>
  <c r="I388" i="4" s="1"/>
  <c r="AI387" i="4"/>
  <c r="J191" i="3"/>
  <c r="M191" i="3" s="1"/>
  <c r="CC195" i="3"/>
  <c r="AB387" i="4"/>
  <c r="AC387" i="4" s="1"/>
  <c r="U387" i="4"/>
  <c r="AH387" i="4" s="1"/>
  <c r="J388" i="4"/>
  <c r="K388" i="4" s="1"/>
  <c r="I191" i="3"/>
  <c r="CJ195" i="3" l="1"/>
  <c r="V388" i="4"/>
  <c r="AF388" i="4" s="1"/>
  <c r="P388" i="4"/>
  <c r="Q388" i="4"/>
  <c r="R388" i="4" s="1"/>
  <c r="K191" i="3"/>
  <c r="BH196" i="3"/>
  <c r="BK196" i="3" s="1"/>
  <c r="AP197" i="3" s="1"/>
  <c r="BG196" i="3"/>
  <c r="BF196" i="3"/>
  <c r="BP196" i="3" s="1"/>
  <c r="BC196" i="3"/>
  <c r="BO196" i="3" s="1"/>
  <c r="P191" i="3"/>
  <c r="L388" i="4"/>
  <c r="AD388" i="4"/>
  <c r="CE195" i="3"/>
  <c r="M388" i="4"/>
  <c r="BD196" i="3" l="1"/>
  <c r="CX195" i="3"/>
  <c r="CF195" i="3"/>
  <c r="BJ196" i="3"/>
  <c r="AO197" i="3" s="1"/>
  <c r="AQ197" i="3" s="1"/>
  <c r="BS196" i="3"/>
  <c r="X388" i="4"/>
  <c r="AA388" i="4" s="1"/>
  <c r="F389" i="4" s="1"/>
  <c r="S388" i="4"/>
  <c r="AE388" i="4" s="1"/>
  <c r="AD191" i="3"/>
  <c r="L191" i="3"/>
  <c r="W388" i="4"/>
  <c r="O191" i="3" l="1"/>
  <c r="N191" i="3"/>
  <c r="AI388" i="4"/>
  <c r="Z388" i="4"/>
  <c r="E389" i="4" s="1"/>
  <c r="G389" i="4" s="1"/>
  <c r="I389" i="4" s="1"/>
  <c r="J389" i="4"/>
  <c r="K389" i="4" s="1"/>
  <c r="T388" i="4"/>
  <c r="CH195" i="3"/>
  <c r="CI195" i="3"/>
  <c r="AR197" i="3"/>
  <c r="BL196" i="3"/>
  <c r="BM196" i="3" s="1"/>
  <c r="BE196" i="3"/>
  <c r="BR196" i="3" s="1"/>
  <c r="AB388" i="4" l="1"/>
  <c r="AC388" i="4" s="1"/>
  <c r="U388" i="4"/>
  <c r="AH388" i="4" s="1"/>
  <c r="AT197" i="3"/>
  <c r="AW197" i="3" s="1"/>
  <c r="AS197" i="3"/>
  <c r="CK195" i="3"/>
  <c r="CL195" i="3" s="1"/>
  <c r="L389" i="4"/>
  <c r="AD389" i="4"/>
  <c r="M389" i="4"/>
  <c r="P389" i="4"/>
  <c r="V389" i="4"/>
  <c r="AF389" i="4" s="1"/>
  <c r="Q389" i="4"/>
  <c r="R389" i="4" s="1"/>
  <c r="Q191" i="3"/>
  <c r="R191" i="3" s="1"/>
  <c r="S389" i="4" l="1"/>
  <c r="AE389" i="4" s="1"/>
  <c r="CR195" i="3"/>
  <c r="CU195" i="3" s="1"/>
  <c r="BZ196" i="3" s="1"/>
  <c r="CP195" i="3"/>
  <c r="CZ195" i="3" s="1"/>
  <c r="CQ195" i="3"/>
  <c r="CM195" i="3"/>
  <c r="CY195" i="3" s="1"/>
  <c r="T389" i="4"/>
  <c r="X389" i="4"/>
  <c r="AA389" i="4" s="1"/>
  <c r="F390" i="4" s="1"/>
  <c r="W389" i="4"/>
  <c r="AZ197" i="3"/>
  <c r="AU197" i="3"/>
  <c r="X191" i="3"/>
  <c r="AA191" i="3" s="1"/>
  <c r="F192" i="3" s="1"/>
  <c r="V191" i="3"/>
  <c r="AF191" i="3" s="1"/>
  <c r="W191" i="3"/>
  <c r="S191" i="3"/>
  <c r="BN197" i="3" l="1"/>
  <c r="AV197" i="3"/>
  <c r="AI389" i="4"/>
  <c r="Z389" i="4"/>
  <c r="E390" i="4" s="1"/>
  <c r="G390" i="4" s="1"/>
  <c r="I390" i="4" s="1"/>
  <c r="J390" i="4"/>
  <c r="K390" i="4" s="1"/>
  <c r="AI191" i="3"/>
  <c r="Z191" i="3"/>
  <c r="E192" i="3" s="1"/>
  <c r="G192" i="3" s="1"/>
  <c r="AB389" i="4"/>
  <c r="AC389" i="4" s="1"/>
  <c r="U389" i="4"/>
  <c r="AH389" i="4" s="1"/>
  <c r="AE191" i="3"/>
  <c r="CT195" i="3"/>
  <c r="BY196" i="3" s="1"/>
  <c r="CA196" i="3" s="1"/>
  <c r="DC195" i="3"/>
  <c r="CN195" i="3"/>
  <c r="T191" i="3"/>
  <c r="H192" i="3" l="1"/>
  <c r="CB196" i="3"/>
  <c r="CC196" i="3" s="1"/>
  <c r="L390" i="4"/>
  <c r="AD390" i="4"/>
  <c r="M390" i="4"/>
  <c r="AX197" i="3"/>
  <c r="AY197" i="3"/>
  <c r="AB191" i="3"/>
  <c r="U191" i="3"/>
  <c r="AH191" i="3" s="1"/>
  <c r="CV195" i="3"/>
  <c r="CW195" i="3" s="1"/>
  <c r="CO195" i="3"/>
  <c r="DB195" i="3" s="1"/>
  <c r="V390" i="4"/>
  <c r="AF390" i="4" s="1"/>
  <c r="P390" i="4"/>
  <c r="Q390" i="4"/>
  <c r="R390" i="4" s="1"/>
  <c r="W390" i="4" s="1"/>
  <c r="AI390" i="4" l="1"/>
  <c r="Z390" i="4"/>
  <c r="E391" i="4" s="1"/>
  <c r="G391" i="4" s="1"/>
  <c r="I391" i="4" s="1"/>
  <c r="AC191" i="3"/>
  <c r="S390" i="4"/>
  <c r="AE390" i="4" s="1"/>
  <c r="BA197" i="3"/>
  <c r="BB197" i="3" s="1"/>
  <c r="X390" i="4"/>
  <c r="AA390" i="4" s="1"/>
  <c r="F391" i="4" s="1"/>
  <c r="T390" i="4"/>
  <c r="CD196" i="3"/>
  <c r="CG196" i="3" s="1"/>
  <c r="CJ196" i="3" s="1"/>
  <c r="CE196" i="3"/>
  <c r="CX196" i="3" s="1"/>
  <c r="J192" i="3"/>
  <c r="M192" i="3" s="1"/>
  <c r="I192" i="3"/>
  <c r="CF196" i="3" l="1"/>
  <c r="J391" i="4"/>
  <c r="K391" i="4" s="1"/>
  <c r="P192" i="3"/>
  <c r="BH197" i="3"/>
  <c r="BK197" i="3" s="1"/>
  <c r="AP198" i="3" s="1"/>
  <c r="BG197" i="3"/>
  <c r="BF197" i="3"/>
  <c r="BP197" i="3" s="1"/>
  <c r="BC197" i="3"/>
  <c r="BO197" i="3" s="1"/>
  <c r="P391" i="4"/>
  <c r="V391" i="4"/>
  <c r="AF391" i="4" s="1"/>
  <c r="Q391" i="4"/>
  <c r="R391" i="4" s="1"/>
  <c r="CH196" i="3"/>
  <c r="CI196" i="3"/>
  <c r="AB390" i="4"/>
  <c r="AC390" i="4" s="1"/>
  <c r="U390" i="4"/>
  <c r="AH390" i="4" s="1"/>
  <c r="K192" i="3"/>
  <c r="W391" i="4" l="1"/>
  <c r="J34" i="4"/>
  <c r="BJ197" i="3"/>
  <c r="AO198" i="3" s="1"/>
  <c r="AQ198" i="3" s="1"/>
  <c r="BS197" i="3"/>
  <c r="BD197" i="3"/>
  <c r="AD192" i="3"/>
  <c r="L192" i="3"/>
  <c r="CK196" i="3"/>
  <c r="CL196" i="3" s="1"/>
  <c r="S391" i="4"/>
  <c r="AE391" i="4" s="1"/>
  <c r="L391" i="4"/>
  <c r="AD391" i="4"/>
  <c r="M391" i="4"/>
  <c r="X391" i="4" s="1"/>
  <c r="AA391" i="4" s="1"/>
  <c r="F392" i="4" l="1"/>
  <c r="C34" i="4"/>
  <c r="N192" i="3"/>
  <c r="O192" i="3"/>
  <c r="CR196" i="3"/>
  <c r="CU196" i="3" s="1"/>
  <c r="BZ197" i="3" s="1"/>
  <c r="CQ196" i="3"/>
  <c r="CP196" i="3"/>
  <c r="CZ196" i="3" s="1"/>
  <c r="CM196" i="3"/>
  <c r="CY196" i="3" s="1"/>
  <c r="BL197" i="3"/>
  <c r="BM197" i="3" s="1"/>
  <c r="BE197" i="3"/>
  <c r="BR197" i="3" s="1"/>
  <c r="AR198" i="3"/>
  <c r="I45" i="5"/>
  <c r="AI391" i="4"/>
  <c r="Y391" i="4"/>
  <c r="Z391" i="4" s="1"/>
  <c r="T391" i="4"/>
  <c r="E45" i="5" l="1"/>
  <c r="E392" i="4"/>
  <c r="G392" i="4" s="1"/>
  <c r="I392" i="4" s="1"/>
  <c r="B34" i="4"/>
  <c r="D34" i="4" s="1"/>
  <c r="CT196" i="3"/>
  <c r="BY197" i="3" s="1"/>
  <c r="CA197" i="3" s="1"/>
  <c r="DC196" i="3"/>
  <c r="AT198" i="3"/>
  <c r="AW198" i="3" s="1"/>
  <c r="AU198" i="3"/>
  <c r="BN198" i="3" s="1"/>
  <c r="AB391" i="4"/>
  <c r="AC391" i="4" s="1"/>
  <c r="U391" i="4"/>
  <c r="AH391" i="4" s="1"/>
  <c r="AS198" i="3"/>
  <c r="CN196" i="3"/>
  <c r="Q192" i="3"/>
  <c r="R192" i="3" s="1"/>
  <c r="I34" i="4"/>
  <c r="AG391" i="4"/>
  <c r="AG392" i="4" s="1"/>
  <c r="AG393" i="4" s="1"/>
  <c r="AG394" i="4" s="1"/>
  <c r="AG395" i="4" s="1"/>
  <c r="AG396" i="4" s="1"/>
  <c r="AG397" i="4" s="1"/>
  <c r="AG398" i="4" s="1"/>
  <c r="AG399" i="4" s="1"/>
  <c r="AG400" i="4" s="1"/>
  <c r="AG401" i="4" s="1"/>
  <c r="AG402" i="4" s="1"/>
  <c r="J392" i="4"/>
  <c r="K392" i="4" s="1"/>
  <c r="AZ198" i="3" l="1"/>
  <c r="L392" i="4"/>
  <c r="AD392" i="4"/>
  <c r="M392" i="4"/>
  <c r="X192" i="3"/>
  <c r="AA192" i="3" s="1"/>
  <c r="F193" i="3" s="1"/>
  <c r="W192" i="3"/>
  <c r="V192" i="3"/>
  <c r="AF192" i="3" s="1"/>
  <c r="S192" i="3"/>
  <c r="AE192" i="3" s="1"/>
  <c r="CV196" i="3"/>
  <c r="CW196" i="3" s="1"/>
  <c r="CO196" i="3"/>
  <c r="DB196" i="3" s="1"/>
  <c r="AV198" i="3"/>
  <c r="CB197" i="3"/>
  <c r="P392" i="4"/>
  <c r="V392" i="4"/>
  <c r="AF392" i="4" s="1"/>
  <c r="Q392" i="4"/>
  <c r="R392" i="4" s="1"/>
  <c r="Z192" i="3" l="1"/>
  <c r="E193" i="3" s="1"/>
  <c r="G193" i="3" s="1"/>
  <c r="AI192" i="3"/>
  <c r="T192" i="3"/>
  <c r="X392" i="4"/>
  <c r="AA392" i="4" s="1"/>
  <c r="F393" i="4" s="1"/>
  <c r="W392" i="4"/>
  <c r="S392" i="4"/>
  <c r="CD197" i="3"/>
  <c r="CG197" i="3" s="1"/>
  <c r="CE197" i="3"/>
  <c r="CX197" i="3" s="1"/>
  <c r="CC197" i="3"/>
  <c r="AX198" i="3"/>
  <c r="AY198" i="3"/>
  <c r="CF197" i="3" l="1"/>
  <c r="J393" i="4"/>
  <c r="K393" i="4" s="1"/>
  <c r="CH197" i="3"/>
  <c r="CI197" i="3"/>
  <c r="BA198" i="3"/>
  <c r="BB198" i="3" s="1"/>
  <c r="CJ197" i="3"/>
  <c r="AE392" i="4"/>
  <c r="AI392" i="4"/>
  <c r="Z392" i="4"/>
  <c r="E393" i="4" s="1"/>
  <c r="G393" i="4" s="1"/>
  <c r="I393" i="4" s="1"/>
  <c r="T392" i="4"/>
  <c r="AB192" i="3"/>
  <c r="AC192" i="3" s="1"/>
  <c r="U192" i="3"/>
  <c r="AH192" i="3" s="1"/>
  <c r="H193" i="3"/>
  <c r="I193" i="3" s="1"/>
  <c r="P393" i="4" l="1"/>
  <c r="V393" i="4"/>
  <c r="AF393" i="4" s="1"/>
  <c r="Q393" i="4"/>
  <c r="R393" i="4" s="1"/>
  <c r="CK197" i="3"/>
  <c r="CL197" i="3" s="1"/>
  <c r="CM197" i="3" s="1"/>
  <c r="CY197" i="3" s="1"/>
  <c r="AB392" i="4"/>
  <c r="U392" i="4"/>
  <c r="AH392" i="4" s="1"/>
  <c r="BH198" i="3"/>
  <c r="BK198" i="3" s="1"/>
  <c r="AP199" i="3" s="1"/>
  <c r="BF198" i="3"/>
  <c r="BP198" i="3" s="1"/>
  <c r="BG198" i="3"/>
  <c r="BC198" i="3"/>
  <c r="BO198" i="3" s="1"/>
  <c r="J193" i="3"/>
  <c r="M193" i="3" s="1"/>
  <c r="P193" i="3" s="1"/>
  <c r="L393" i="4"/>
  <c r="AD393" i="4"/>
  <c r="M393" i="4"/>
  <c r="BD198" i="3" l="1"/>
  <c r="BL198" i="3"/>
  <c r="BM198" i="3" s="1"/>
  <c r="BE198" i="3"/>
  <c r="BR198" i="3" s="1"/>
  <c r="AC392" i="4"/>
  <c r="CR197" i="3"/>
  <c r="CU197" i="3" s="1"/>
  <c r="BZ198" i="3" s="1"/>
  <c r="CN197" i="3"/>
  <c r="CP197" i="3"/>
  <c r="CZ197" i="3" s="1"/>
  <c r="CQ197" i="3"/>
  <c r="X393" i="4"/>
  <c r="AA393" i="4" s="1"/>
  <c r="F394" i="4" s="1"/>
  <c r="W393" i="4"/>
  <c r="K193" i="3"/>
  <c r="S393" i="4"/>
  <c r="BJ198" i="3"/>
  <c r="AO199" i="3" s="1"/>
  <c r="AQ199" i="3" s="1"/>
  <c r="BS198" i="3"/>
  <c r="CT197" i="3" l="1"/>
  <c r="BY198" i="3" s="1"/>
  <c r="CA198" i="3" s="1"/>
  <c r="DC197" i="3"/>
  <c r="CV197" i="3"/>
  <c r="CW197" i="3" s="1"/>
  <c r="CO197" i="3"/>
  <c r="DB197" i="3" s="1"/>
  <c r="AR199" i="3"/>
  <c r="AS199" i="3" s="1"/>
  <c r="AE393" i="4"/>
  <c r="AD193" i="3"/>
  <c r="L193" i="3"/>
  <c r="J394" i="4"/>
  <c r="K394" i="4" s="1"/>
  <c r="AI393" i="4"/>
  <c r="Z393" i="4"/>
  <c r="E394" i="4" s="1"/>
  <c r="G394" i="4" s="1"/>
  <c r="I394" i="4" s="1"/>
  <c r="T393" i="4"/>
  <c r="N193" i="3" l="1"/>
  <c r="O193" i="3"/>
  <c r="AB393" i="4"/>
  <c r="U393" i="4"/>
  <c r="AH393" i="4" s="1"/>
  <c r="CB198" i="3"/>
  <c r="L394" i="4"/>
  <c r="AD394" i="4"/>
  <c r="M394" i="4"/>
  <c r="AT199" i="3"/>
  <c r="AW199" i="3" s="1"/>
  <c r="AZ199" i="3" s="1"/>
  <c r="V394" i="4"/>
  <c r="AF394" i="4" s="1"/>
  <c r="P394" i="4"/>
  <c r="Q394" i="4"/>
  <c r="R394" i="4" s="1"/>
  <c r="W394" i="4" s="1"/>
  <c r="Z394" i="4" l="1"/>
  <c r="E395" i="4" s="1"/>
  <c r="G395" i="4" s="1"/>
  <c r="I395" i="4" s="1"/>
  <c r="AI394" i="4"/>
  <c r="AC393" i="4"/>
  <c r="CD198" i="3"/>
  <c r="CG198" i="3" s="1"/>
  <c r="CC198" i="3"/>
  <c r="Q193" i="3"/>
  <c r="R193" i="3" s="1"/>
  <c r="X394" i="4"/>
  <c r="AA394" i="4" s="1"/>
  <c r="F395" i="4" s="1"/>
  <c r="S394" i="4"/>
  <c r="T394" i="4" s="1"/>
  <c r="AU199" i="3"/>
  <c r="CE198" i="3" l="1"/>
  <c r="CX198" i="3" s="1"/>
  <c r="CJ198" i="3"/>
  <c r="AB394" i="4"/>
  <c r="U394" i="4"/>
  <c r="AH394" i="4" s="1"/>
  <c r="J395" i="4"/>
  <c r="K395" i="4" s="1"/>
  <c r="X193" i="3"/>
  <c r="AA193" i="3" s="1"/>
  <c r="F194" i="3" s="1"/>
  <c r="W193" i="3"/>
  <c r="V193" i="3"/>
  <c r="AF193" i="3" s="1"/>
  <c r="S193" i="3"/>
  <c r="AE193" i="3" s="1"/>
  <c r="CF198" i="3"/>
  <c r="AC394" i="4"/>
  <c r="BN199" i="3"/>
  <c r="AV199" i="3"/>
  <c r="AE394" i="4"/>
  <c r="P395" i="4"/>
  <c r="V395" i="4"/>
  <c r="AF395" i="4" s="1"/>
  <c r="Q395" i="4"/>
  <c r="R395" i="4" s="1"/>
  <c r="M395" i="4" l="1"/>
  <c r="X395" i="4" s="1"/>
  <c r="AA395" i="4" s="1"/>
  <c r="F396" i="4" s="1"/>
  <c r="S395" i="4"/>
  <c r="CH198" i="3"/>
  <c r="CI198" i="3"/>
  <c r="Z193" i="3"/>
  <c r="E194" i="3" s="1"/>
  <c r="G194" i="3" s="1"/>
  <c r="AI193" i="3"/>
  <c r="T193" i="3"/>
  <c r="L395" i="4"/>
  <c r="AD395" i="4"/>
  <c r="W395" i="4"/>
  <c r="AE395" i="4"/>
  <c r="AX199" i="3"/>
  <c r="AY199" i="3"/>
  <c r="J396" i="4" l="1"/>
  <c r="K396" i="4" s="1"/>
  <c r="L396" i="4" s="1"/>
  <c r="AB193" i="3"/>
  <c r="AC193" i="3" s="1"/>
  <c r="U193" i="3"/>
  <c r="AH193" i="3" s="1"/>
  <c r="CK198" i="3"/>
  <c r="CL198" i="3" s="1"/>
  <c r="H194" i="3"/>
  <c r="BA199" i="3"/>
  <c r="BB199" i="3" s="1"/>
  <c r="Z395" i="4"/>
  <c r="E396" i="4" s="1"/>
  <c r="G396" i="4" s="1"/>
  <c r="I396" i="4" s="1"/>
  <c r="AI395" i="4"/>
  <c r="T395" i="4"/>
  <c r="AD396" i="4"/>
  <c r="V396" i="4" l="1"/>
  <c r="AF396" i="4" s="1"/>
  <c r="P396" i="4"/>
  <c r="Q396" i="4"/>
  <c r="R396" i="4" s="1"/>
  <c r="W396" i="4" s="1"/>
  <c r="J194" i="3"/>
  <c r="M194" i="3" s="1"/>
  <c r="K194" i="3"/>
  <c r="AD194" i="3" s="1"/>
  <c r="I194" i="3"/>
  <c r="AB395" i="4"/>
  <c r="AC395" i="4" s="1"/>
  <c r="U395" i="4"/>
  <c r="AH395" i="4" s="1"/>
  <c r="BH199" i="3"/>
  <c r="BK199" i="3" s="1"/>
  <c r="BG199" i="3"/>
  <c r="BF199" i="3"/>
  <c r="BP199" i="3" s="1"/>
  <c r="BC199" i="3"/>
  <c r="BO199" i="3" s="1"/>
  <c r="CR198" i="3"/>
  <c r="CU198" i="3" s="1"/>
  <c r="BZ199" i="3" s="1"/>
  <c r="CQ198" i="3"/>
  <c r="CP198" i="3"/>
  <c r="CZ198" i="3" s="1"/>
  <c r="CM198" i="3"/>
  <c r="CY198" i="3" s="1"/>
  <c r="M396" i="4"/>
  <c r="BD199" i="3" l="1"/>
  <c r="AI396" i="4"/>
  <c r="Z396" i="4"/>
  <c r="E397" i="4" s="1"/>
  <c r="G397" i="4" s="1"/>
  <c r="I397" i="4" s="1"/>
  <c r="BI199" i="3"/>
  <c r="BS199" i="3"/>
  <c r="BL199" i="3"/>
  <c r="BM199" i="3" s="1"/>
  <c r="BE199" i="3"/>
  <c r="BR199" i="3" s="1"/>
  <c r="AP200" i="3"/>
  <c r="P18" i="3"/>
  <c r="P194" i="3"/>
  <c r="L194" i="3"/>
  <c r="W18" i="3"/>
  <c r="CT198" i="3"/>
  <c r="BY199" i="3" s="1"/>
  <c r="CA199" i="3" s="1"/>
  <c r="DC198" i="3"/>
  <c r="X396" i="4"/>
  <c r="AA396" i="4" s="1"/>
  <c r="F397" i="4" s="1"/>
  <c r="CN198" i="3"/>
  <c r="S396" i="4"/>
  <c r="AE396" i="4" s="1"/>
  <c r="G29" i="5"/>
  <c r="N194" i="3" l="1"/>
  <c r="O194" i="3"/>
  <c r="CV198" i="3"/>
  <c r="CW198" i="3" s="1"/>
  <c r="CO198" i="3"/>
  <c r="DB198" i="3" s="1"/>
  <c r="T396" i="4"/>
  <c r="J397" i="4"/>
  <c r="K397" i="4" s="1"/>
  <c r="P397" i="4"/>
  <c r="V397" i="4"/>
  <c r="AF397" i="4" s="1"/>
  <c r="Q397" i="4"/>
  <c r="R397" i="4" s="1"/>
  <c r="W397" i="4" s="1"/>
  <c r="CB199" i="3"/>
  <c r="V18" i="3"/>
  <c r="BQ199" i="3"/>
  <c r="BQ200" i="3" s="1"/>
  <c r="BQ201" i="3" s="1"/>
  <c r="BQ202" i="3" s="1"/>
  <c r="BQ203" i="3" s="1"/>
  <c r="BQ204" i="3" s="1"/>
  <c r="BQ205" i="3" s="1"/>
  <c r="BQ206" i="3" s="1"/>
  <c r="BQ207" i="3" s="1"/>
  <c r="BQ208" i="3" s="1"/>
  <c r="BQ209" i="3" s="1"/>
  <c r="BQ210" i="3" s="1"/>
  <c r="BJ199" i="3"/>
  <c r="S397" i="4" l="1"/>
  <c r="AE397" i="4" s="1"/>
  <c r="AI397" i="4"/>
  <c r="Z397" i="4"/>
  <c r="E398" i="4" s="1"/>
  <c r="G398" i="4" s="1"/>
  <c r="I398" i="4" s="1"/>
  <c r="M397" i="4"/>
  <c r="AB396" i="4"/>
  <c r="AC396" i="4" s="1"/>
  <c r="U396" i="4"/>
  <c r="AH396" i="4" s="1"/>
  <c r="C29" i="5"/>
  <c r="AO200" i="3"/>
  <c r="AQ200" i="3" s="1"/>
  <c r="O18" i="3"/>
  <c r="Q18" i="3" s="1"/>
  <c r="L397" i="4"/>
  <c r="AD397" i="4"/>
  <c r="CD199" i="3"/>
  <c r="CG199" i="3" s="1"/>
  <c r="Q194" i="3"/>
  <c r="R194" i="3" s="1"/>
  <c r="CC199" i="3"/>
  <c r="X397" i="4"/>
  <c r="AA397" i="4" s="1"/>
  <c r="F398" i="4" s="1"/>
  <c r="T397" i="4"/>
  <c r="AB397" i="4" l="1"/>
  <c r="U397" i="4"/>
  <c r="CJ199" i="3"/>
  <c r="AR200" i="3"/>
  <c r="AH397" i="4"/>
  <c r="AC397" i="4"/>
  <c r="J398" i="4"/>
  <c r="K398" i="4" s="1"/>
  <c r="L398" i="4" s="1"/>
  <c r="X194" i="3"/>
  <c r="AA194" i="3" s="1"/>
  <c r="F195" i="3" s="1"/>
  <c r="V194" i="3"/>
  <c r="AF194" i="3" s="1"/>
  <c r="W194" i="3"/>
  <c r="S194" i="3"/>
  <c r="AE194" i="3" s="1"/>
  <c r="P398" i="4"/>
  <c r="V398" i="4"/>
  <c r="AF398" i="4" s="1"/>
  <c r="Q398" i="4"/>
  <c r="R398" i="4" s="1"/>
  <c r="CE199" i="3"/>
  <c r="T194" i="3" l="1"/>
  <c r="AI194" i="3"/>
  <c r="Z194" i="3"/>
  <c r="E195" i="3" s="1"/>
  <c r="G195" i="3" s="1"/>
  <c r="AB194" i="3"/>
  <c r="AC194" i="3" s="1"/>
  <c r="U194" i="3"/>
  <c r="AH194" i="3" s="1"/>
  <c r="M398" i="4"/>
  <c r="X398" i="4" s="1"/>
  <c r="AA398" i="4" s="1"/>
  <c r="F399" i="4" s="1"/>
  <c r="AT200" i="3"/>
  <c r="AW200" i="3" s="1"/>
  <c r="AS200" i="3"/>
  <c r="AD398" i="4"/>
  <c r="CX199" i="3"/>
  <c r="CF199" i="3"/>
  <c r="W398" i="4"/>
  <c r="S398" i="4"/>
  <c r="AE398" i="4" s="1"/>
  <c r="J399" i="4" l="1"/>
  <c r="K399" i="4" s="1"/>
  <c r="L399" i="4" s="1"/>
  <c r="AU200" i="3"/>
  <c r="AD399" i="4"/>
  <c r="Z398" i="4"/>
  <c r="E399" i="4" s="1"/>
  <c r="G399" i="4" s="1"/>
  <c r="I399" i="4" s="1"/>
  <c r="AI398" i="4"/>
  <c r="AZ200" i="3"/>
  <c r="H195" i="3"/>
  <c r="I195" i="3" s="1"/>
  <c r="T398" i="4"/>
  <c r="CH199" i="3"/>
  <c r="CI199" i="3"/>
  <c r="AB398" i="4" l="1"/>
  <c r="AC398" i="4" s="1"/>
  <c r="U398" i="4"/>
  <c r="AH398" i="4" s="1"/>
  <c r="J195" i="3"/>
  <c r="M195" i="3" s="1"/>
  <c r="P195" i="3" s="1"/>
  <c r="P399" i="4"/>
  <c r="V399" i="4"/>
  <c r="AF399" i="4" s="1"/>
  <c r="Q399" i="4"/>
  <c r="R399" i="4" s="1"/>
  <c r="BN200" i="3"/>
  <c r="AV200" i="3"/>
  <c r="CK199" i="3"/>
  <c r="CL199" i="3" s="1"/>
  <c r="M399" i="4"/>
  <c r="X399" i="4" l="1"/>
  <c r="AA399" i="4" s="1"/>
  <c r="F400" i="4" s="1"/>
  <c r="W399" i="4"/>
  <c r="K195" i="3"/>
  <c r="S399" i="4"/>
  <c r="AE399" i="4" s="1"/>
  <c r="CR199" i="3"/>
  <c r="CU199" i="3" s="1"/>
  <c r="CQ199" i="3"/>
  <c r="CP199" i="3"/>
  <c r="CZ199" i="3" s="1"/>
  <c r="CM199" i="3"/>
  <c r="CY199" i="3" s="1"/>
  <c r="AX200" i="3"/>
  <c r="AY200" i="3"/>
  <c r="H29" i="5" l="1"/>
  <c r="AJ18" i="3"/>
  <c r="DC199" i="3"/>
  <c r="CS199" i="3"/>
  <c r="CN199" i="3"/>
  <c r="AD195" i="3"/>
  <c r="L195" i="3"/>
  <c r="BZ200" i="3"/>
  <c r="AC18" i="3"/>
  <c r="AI399" i="4"/>
  <c r="Z399" i="4"/>
  <c r="E400" i="4" s="1"/>
  <c r="G400" i="4" s="1"/>
  <c r="I400" i="4" s="1"/>
  <c r="BA200" i="3"/>
  <c r="BB200" i="3" s="1"/>
  <c r="J400" i="4"/>
  <c r="K400" i="4" s="1"/>
  <c r="T399" i="4"/>
  <c r="P400" i="4" l="1"/>
  <c r="V400" i="4"/>
  <c r="AF400" i="4" s="1"/>
  <c r="Q400" i="4"/>
  <c r="R400" i="4" s="1"/>
  <c r="AI18" i="3"/>
  <c r="DA199" i="3"/>
  <c r="DA200" i="3" s="1"/>
  <c r="DA201" i="3" s="1"/>
  <c r="DA202" i="3" s="1"/>
  <c r="DA203" i="3" s="1"/>
  <c r="DA204" i="3" s="1"/>
  <c r="DA205" i="3" s="1"/>
  <c r="DA206" i="3" s="1"/>
  <c r="DA207" i="3" s="1"/>
  <c r="DA208" i="3" s="1"/>
  <c r="DA209" i="3" s="1"/>
  <c r="DA210" i="3" s="1"/>
  <c r="N195" i="3"/>
  <c r="O195" i="3"/>
  <c r="L400" i="4"/>
  <c r="AD400" i="4"/>
  <c r="M400" i="4"/>
  <c r="BH200" i="3"/>
  <c r="BK200" i="3" s="1"/>
  <c r="AP201" i="3" s="1"/>
  <c r="BF200" i="3"/>
  <c r="BP200" i="3" s="1"/>
  <c r="BG200" i="3"/>
  <c r="BC200" i="3"/>
  <c r="BD200" i="3" s="1"/>
  <c r="CV199" i="3"/>
  <c r="CW199" i="3" s="1"/>
  <c r="CO199" i="3"/>
  <c r="DB199" i="3" s="1"/>
  <c r="CT199" i="3"/>
  <c r="AB399" i="4"/>
  <c r="AC399" i="4" s="1"/>
  <c r="U399" i="4"/>
  <c r="AH399" i="4" s="1"/>
  <c r="D29" i="5" l="1"/>
  <c r="BY200" i="3"/>
  <c r="CA200" i="3" s="1"/>
  <c r="AB18" i="3"/>
  <c r="AD18" i="3" s="1"/>
  <c r="Q195" i="3"/>
  <c r="R195" i="3" s="1"/>
  <c r="BL200" i="3"/>
  <c r="BE200" i="3"/>
  <c r="BR200" i="3" s="1"/>
  <c r="BJ200" i="3"/>
  <c r="AO201" i="3" s="1"/>
  <c r="AQ201" i="3" s="1"/>
  <c r="BS200" i="3"/>
  <c r="X400" i="4"/>
  <c r="AA400" i="4" s="1"/>
  <c r="F401" i="4" s="1"/>
  <c r="W400" i="4"/>
  <c r="BO200" i="3"/>
  <c r="S400" i="4"/>
  <c r="AE400" i="4" s="1"/>
  <c r="AR201" i="3" l="1"/>
  <c r="BM200" i="3"/>
  <c r="CB200" i="3"/>
  <c r="CC200" i="3" s="1"/>
  <c r="X195" i="3"/>
  <c r="AA195" i="3" s="1"/>
  <c r="F196" i="3" s="1"/>
  <c r="V195" i="3"/>
  <c r="AF195" i="3" s="1"/>
  <c r="W195" i="3"/>
  <c r="S195" i="3"/>
  <c r="AE195" i="3" s="1"/>
  <c r="Z400" i="4"/>
  <c r="E401" i="4" s="1"/>
  <c r="G401" i="4" s="1"/>
  <c r="I401" i="4" s="1"/>
  <c r="AI400" i="4"/>
  <c r="J401" i="4"/>
  <c r="K401" i="4" s="1"/>
  <c r="T400" i="4"/>
  <c r="Z195" i="3" l="1"/>
  <c r="E196" i="3" s="1"/>
  <c r="G196" i="3" s="1"/>
  <c r="AI195" i="3"/>
  <c r="T195" i="3"/>
  <c r="CD200" i="3"/>
  <c r="CG200" i="3" s="1"/>
  <c r="CJ200" i="3" s="1"/>
  <c r="L401" i="4"/>
  <c r="AD401" i="4"/>
  <c r="P401" i="4"/>
  <c r="V401" i="4"/>
  <c r="AF401" i="4" s="1"/>
  <c r="Q401" i="4"/>
  <c r="R401" i="4" s="1"/>
  <c r="AB400" i="4"/>
  <c r="AC400" i="4" s="1"/>
  <c r="U400" i="4"/>
  <c r="AH400" i="4" s="1"/>
  <c r="AT201" i="3"/>
  <c r="AW201" i="3" s="1"/>
  <c r="M401" i="4"/>
  <c r="AS201" i="3"/>
  <c r="AZ201" i="3" l="1"/>
  <c r="H196" i="3"/>
  <c r="CE200" i="3"/>
  <c r="AB195" i="3"/>
  <c r="AC195" i="3" s="1"/>
  <c r="U195" i="3"/>
  <c r="AH195" i="3" s="1"/>
  <c r="AU201" i="3"/>
  <c r="X401" i="4"/>
  <c r="AA401" i="4" s="1"/>
  <c r="F402" i="4" s="1"/>
  <c r="S401" i="4"/>
  <c r="AE401" i="4" s="1"/>
  <c r="W401" i="4"/>
  <c r="T401" i="4" l="1"/>
  <c r="AB401" i="4"/>
  <c r="AC401" i="4" s="1"/>
  <c r="U401" i="4"/>
  <c r="AH401" i="4" s="1"/>
  <c r="J402" i="4"/>
  <c r="K402" i="4" s="1"/>
  <c r="BN201" i="3"/>
  <c r="AV201" i="3"/>
  <c r="CX200" i="3"/>
  <c r="CF200" i="3"/>
  <c r="J196" i="3"/>
  <c r="M196" i="3" s="1"/>
  <c r="I196" i="3"/>
  <c r="Z401" i="4"/>
  <c r="E402" i="4" s="1"/>
  <c r="G402" i="4" s="1"/>
  <c r="I402" i="4" s="1"/>
  <c r="AI401" i="4"/>
  <c r="K196" i="3" l="1"/>
  <c r="CH200" i="3"/>
  <c r="CI200" i="3"/>
  <c r="AX201" i="3"/>
  <c r="AY201" i="3"/>
  <c r="M402" i="4"/>
  <c r="L402" i="4"/>
  <c r="AD402" i="4"/>
  <c r="V402" i="4"/>
  <c r="AF402" i="4" s="1"/>
  <c r="P402" i="4"/>
  <c r="Q402" i="4"/>
  <c r="R402" i="4" s="1"/>
  <c r="P196" i="3"/>
  <c r="BA201" i="3" l="1"/>
  <c r="BB201" i="3" s="1"/>
  <c r="CK200" i="3"/>
  <c r="CL200" i="3" s="1"/>
  <c r="S402" i="4"/>
  <c r="AE402" i="4" s="1"/>
  <c r="X402" i="4"/>
  <c r="AA402" i="4" s="1"/>
  <c r="F403" i="4" s="1"/>
  <c r="T402" i="4"/>
  <c r="W402" i="4"/>
  <c r="AD196" i="3"/>
  <c r="L196" i="3"/>
  <c r="AB402" i="4" l="1"/>
  <c r="AC402" i="4" s="1"/>
  <c r="U402" i="4"/>
  <c r="AH402" i="4" s="1"/>
  <c r="Z402" i="4"/>
  <c r="E403" i="4" s="1"/>
  <c r="G403" i="4" s="1"/>
  <c r="I403" i="4" s="1"/>
  <c r="AI402" i="4"/>
  <c r="N196" i="3"/>
  <c r="O196" i="3"/>
  <c r="J403" i="4"/>
  <c r="K403" i="4" s="1"/>
  <c r="CR200" i="3"/>
  <c r="CU200" i="3" s="1"/>
  <c r="BZ201" i="3" s="1"/>
  <c r="CP200" i="3"/>
  <c r="CZ200" i="3" s="1"/>
  <c r="CQ200" i="3"/>
  <c r="CM200" i="3"/>
  <c r="BH201" i="3"/>
  <c r="BK201" i="3" s="1"/>
  <c r="AP202" i="3" s="1"/>
  <c r="BG201" i="3"/>
  <c r="BF201" i="3"/>
  <c r="BP201" i="3" s="1"/>
  <c r="BC201" i="3"/>
  <c r="CY200" i="3" l="1"/>
  <c r="L403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AD403" i="4"/>
  <c r="Q196" i="3"/>
  <c r="R196" i="3" s="1"/>
  <c r="BO201" i="3"/>
  <c r="BJ201" i="3"/>
  <c r="AO202" i="3" s="1"/>
  <c r="AQ202" i="3" s="1"/>
  <c r="BS201" i="3"/>
  <c r="CT200" i="3"/>
  <c r="BY201" i="3" s="1"/>
  <c r="CA201" i="3" s="1"/>
  <c r="DC200" i="3"/>
  <c r="CN200" i="3"/>
  <c r="V403" i="4"/>
  <c r="AF403" i="4" s="1"/>
  <c r="P403" i="4"/>
  <c r="Q403" i="4"/>
  <c r="R403" i="4" s="1"/>
  <c r="W403" i="4" s="1"/>
  <c r="BD201" i="3"/>
  <c r="M403" i="4"/>
  <c r="Y403" i="4" l="1"/>
  <c r="AI403" i="4"/>
  <c r="B11" i="5" s="1"/>
  <c r="C11" i="5" s="1"/>
  <c r="G11" i="5"/>
  <c r="J35" i="4"/>
  <c r="CB201" i="3"/>
  <c r="AR202" i="3"/>
  <c r="CV200" i="3"/>
  <c r="CO200" i="3"/>
  <c r="DB200" i="3" s="1"/>
  <c r="X403" i="4"/>
  <c r="AA403" i="4" s="1"/>
  <c r="C35" i="4" s="1"/>
  <c r="S403" i="4"/>
  <c r="T403" i="4" s="1"/>
  <c r="X196" i="3"/>
  <c r="AA196" i="3" s="1"/>
  <c r="F197" i="3" s="1"/>
  <c r="W196" i="3"/>
  <c r="V196" i="3"/>
  <c r="AF196" i="3" s="1"/>
  <c r="S196" i="3"/>
  <c r="AE196" i="3" s="1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E11" i="5"/>
  <c r="BL201" i="3"/>
  <c r="BE201" i="3"/>
  <c r="BR201" i="3" s="1"/>
  <c r="AB403" i="4" l="1"/>
  <c r="U403" i="4"/>
  <c r="AH403" i="4" s="1"/>
  <c r="CW200" i="3"/>
  <c r="AT202" i="3"/>
  <c r="AW202" i="3" s="1"/>
  <c r="AS202" i="3"/>
  <c r="CD201" i="3"/>
  <c r="CG201" i="3" s="1"/>
  <c r="CC201" i="3"/>
  <c r="BM201" i="3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AE403" i="4"/>
  <c r="Z196" i="3"/>
  <c r="E197" i="3" s="1"/>
  <c r="G197" i="3" s="1"/>
  <c r="AI196" i="3"/>
  <c r="I35" i="4"/>
  <c r="AG403" i="4"/>
  <c r="T196" i="3"/>
  <c r="Z403" i="4"/>
  <c r="CJ201" i="3" l="1"/>
  <c r="CE201" i="3"/>
  <c r="AZ202" i="3"/>
  <c r="L11" i="5"/>
  <c r="E46" i="5"/>
  <c r="B35" i="4"/>
  <c r="D35" i="4" s="1"/>
  <c r="AB196" i="3"/>
  <c r="AC196" i="3" s="1"/>
  <c r="U196" i="3"/>
  <c r="AH196" i="3" s="1"/>
  <c r="AU202" i="3"/>
  <c r="H197" i="3"/>
  <c r="I197" i="3" s="1"/>
  <c r="F11" i="5"/>
  <c r="D11" i="5"/>
  <c r="I46" i="5"/>
  <c r="K6" i="4"/>
  <c r="L6" i="4" s="1"/>
  <c r="K7" i="4"/>
  <c r="L7" i="4" s="1"/>
  <c r="K8" i="4"/>
  <c r="L8" i="4" s="1"/>
  <c r="K9" i="4"/>
  <c r="L9" i="4" s="1"/>
  <c r="K10" i="4"/>
  <c r="L10" i="4" s="1"/>
  <c r="K11" i="4"/>
  <c r="L11" i="4" s="1"/>
  <c r="K12" i="4"/>
  <c r="L12" i="4" s="1"/>
  <c r="K13" i="4"/>
  <c r="L13" i="4" s="1"/>
  <c r="K14" i="4"/>
  <c r="L14" i="4" s="1"/>
  <c r="K15" i="4"/>
  <c r="L15" i="4" s="1"/>
  <c r="K16" i="4"/>
  <c r="L16" i="4" s="1"/>
  <c r="K17" i="4"/>
  <c r="L17" i="4" s="1"/>
  <c r="K18" i="4"/>
  <c r="L18" i="4" s="1"/>
  <c r="K19" i="4"/>
  <c r="L19" i="4" s="1"/>
  <c r="K20" i="4"/>
  <c r="L20" i="4" s="1"/>
  <c r="K21" i="4"/>
  <c r="L21" i="4" s="1"/>
  <c r="K22" i="4"/>
  <c r="L22" i="4" s="1"/>
  <c r="K23" i="4"/>
  <c r="L23" i="4" s="1"/>
  <c r="K24" i="4"/>
  <c r="L24" i="4" s="1"/>
  <c r="K25" i="4"/>
  <c r="L25" i="4" s="1"/>
  <c r="K26" i="4"/>
  <c r="L26" i="4" s="1"/>
  <c r="K27" i="4"/>
  <c r="L27" i="4" s="1"/>
  <c r="K28" i="4"/>
  <c r="L28" i="4" s="1"/>
  <c r="K29" i="4"/>
  <c r="L29" i="4" s="1"/>
  <c r="K30" i="4"/>
  <c r="L30" i="4" s="1"/>
  <c r="K31" i="4"/>
  <c r="L31" i="4" s="1"/>
  <c r="K32" i="4"/>
  <c r="L32" i="4" s="1"/>
  <c r="K33" i="4"/>
  <c r="L33" i="4" s="1"/>
  <c r="K34" i="4"/>
  <c r="L34" i="4" s="1"/>
  <c r="K35" i="4"/>
  <c r="L35" i="4" s="1"/>
  <c r="AC403" i="4"/>
  <c r="BN202" i="3" l="1"/>
  <c r="AV202" i="3"/>
  <c r="CX201" i="3"/>
  <c r="CF201" i="3"/>
  <c r="J197" i="3"/>
  <c r="M197" i="3" s="1"/>
  <c r="P197" i="3" s="1"/>
  <c r="K197" i="3" l="1"/>
  <c r="CH201" i="3"/>
  <c r="CI201" i="3"/>
  <c r="AX202" i="3"/>
  <c r="AY202" i="3"/>
  <c r="BA202" i="3" l="1"/>
  <c r="BB202" i="3" s="1"/>
  <c r="CK201" i="3"/>
  <c r="CL201" i="3" s="1"/>
  <c r="AD197" i="3"/>
  <c r="L197" i="3"/>
  <c r="CR201" i="3" l="1"/>
  <c r="CU201" i="3" s="1"/>
  <c r="BZ202" i="3" s="1"/>
  <c r="CQ201" i="3"/>
  <c r="CP201" i="3"/>
  <c r="CZ201" i="3" s="1"/>
  <c r="CM201" i="3"/>
  <c r="CN201" i="3" s="1"/>
  <c r="N197" i="3"/>
  <c r="O197" i="3"/>
  <c r="BH202" i="3"/>
  <c r="BK202" i="3" s="1"/>
  <c r="AP203" i="3" s="1"/>
  <c r="BG202" i="3"/>
  <c r="BF202" i="3"/>
  <c r="BP202" i="3" s="1"/>
  <c r="BC202" i="3"/>
  <c r="CV201" i="3" l="1"/>
  <c r="CO201" i="3"/>
  <c r="DB201" i="3" s="1"/>
  <c r="BO202" i="3"/>
  <c r="Q197" i="3"/>
  <c r="R197" i="3" s="1"/>
  <c r="BS202" i="3"/>
  <c r="BJ202" i="3"/>
  <c r="AO203" i="3" s="1"/>
  <c r="AQ203" i="3" s="1"/>
  <c r="BD202" i="3"/>
  <c r="CY201" i="3"/>
  <c r="CT201" i="3"/>
  <c r="BY202" i="3" s="1"/>
  <c r="CA202" i="3" s="1"/>
  <c r="DC201" i="3"/>
  <c r="CB202" i="3" l="1"/>
  <c r="BL202" i="3"/>
  <c r="BE202" i="3"/>
  <c r="BR202" i="3" s="1"/>
  <c r="X197" i="3"/>
  <c r="AA197" i="3" s="1"/>
  <c r="F198" i="3" s="1"/>
  <c r="W197" i="3"/>
  <c r="V197" i="3"/>
  <c r="AF197" i="3" s="1"/>
  <c r="S197" i="3"/>
  <c r="AE197" i="3" s="1"/>
  <c r="AR203" i="3"/>
  <c r="CW201" i="3"/>
  <c r="AT203" i="3" l="1"/>
  <c r="AW203" i="3" s="1"/>
  <c r="AU203" i="3"/>
  <c r="AI197" i="3"/>
  <c r="Z197" i="3"/>
  <c r="E198" i="3" s="1"/>
  <c r="G198" i="3" s="1"/>
  <c r="T197" i="3"/>
  <c r="BM202" i="3"/>
  <c r="AS203" i="3"/>
  <c r="CD202" i="3"/>
  <c r="CG202" i="3" s="1"/>
  <c r="CC202" i="3"/>
  <c r="AZ203" i="3" l="1"/>
  <c r="AB197" i="3"/>
  <c r="AC197" i="3" s="1"/>
  <c r="U197" i="3"/>
  <c r="AH197" i="3" s="1"/>
  <c r="H198" i="3"/>
  <c r="CJ202" i="3"/>
  <c r="BN203" i="3"/>
  <c r="CE202" i="3"/>
  <c r="AV203" i="3"/>
  <c r="AX203" i="3" l="1"/>
  <c r="AY203" i="3"/>
  <c r="CX202" i="3"/>
  <c r="CF202" i="3"/>
  <c r="J198" i="3"/>
  <c r="M198" i="3" s="1"/>
  <c r="I198" i="3"/>
  <c r="P198" i="3" l="1"/>
  <c r="K198" i="3"/>
  <c r="CH202" i="3"/>
  <c r="CI202" i="3"/>
  <c r="BA203" i="3"/>
  <c r="BB203" i="3" s="1"/>
  <c r="BH203" i="3" l="1"/>
  <c r="BK203" i="3" s="1"/>
  <c r="AP204" i="3" s="1"/>
  <c r="BF203" i="3"/>
  <c r="BP203" i="3" s="1"/>
  <c r="BG203" i="3"/>
  <c r="BC203" i="3"/>
  <c r="BD203" i="3" s="1"/>
  <c r="CK202" i="3"/>
  <c r="CL202" i="3" s="1"/>
  <c r="AD198" i="3"/>
  <c r="L198" i="3"/>
  <c r="BL203" i="3" l="1"/>
  <c r="BE203" i="3"/>
  <c r="BR203" i="3" s="1"/>
  <c r="N198" i="3"/>
  <c r="O198" i="3"/>
  <c r="CR202" i="3"/>
  <c r="CU202" i="3" s="1"/>
  <c r="BZ203" i="3" s="1"/>
  <c r="CQ202" i="3"/>
  <c r="CP202" i="3"/>
  <c r="CZ202" i="3" s="1"/>
  <c r="CM202" i="3"/>
  <c r="BO203" i="3"/>
  <c r="BJ203" i="3"/>
  <c r="AO204" i="3" s="1"/>
  <c r="AQ204" i="3" s="1"/>
  <c r="BS203" i="3"/>
  <c r="AR204" i="3" l="1"/>
  <c r="AS204" i="3"/>
  <c r="CY202" i="3"/>
  <c r="CN202" i="3"/>
  <c r="CT202" i="3"/>
  <c r="BY203" i="3" s="1"/>
  <c r="CA203" i="3" s="1"/>
  <c r="DC202" i="3"/>
  <c r="Q198" i="3"/>
  <c r="R198" i="3" s="1"/>
  <c r="BM203" i="3"/>
  <c r="X198" i="3" l="1"/>
  <c r="AA198" i="3" s="1"/>
  <c r="F199" i="3" s="1"/>
  <c r="V198" i="3"/>
  <c r="AF198" i="3" s="1"/>
  <c r="W198" i="3"/>
  <c r="S198" i="3"/>
  <c r="AE198" i="3" s="1"/>
  <c r="CB203" i="3"/>
  <c r="CC203" i="3" s="1"/>
  <c r="CV202" i="3"/>
  <c r="CO202" i="3"/>
  <c r="DB202" i="3" s="1"/>
  <c r="AT204" i="3"/>
  <c r="AW204" i="3" s="1"/>
  <c r="AZ204" i="3" s="1"/>
  <c r="AU204" i="3" l="1"/>
  <c r="BN204" i="3" s="1"/>
  <c r="AV204" i="3"/>
  <c r="CW202" i="3"/>
  <c r="T198" i="3"/>
  <c r="CD203" i="3"/>
  <c r="CG203" i="3" s="1"/>
  <c r="CJ203" i="3" s="1"/>
  <c r="CE203" i="3"/>
  <c r="Z198" i="3"/>
  <c r="E199" i="3" s="1"/>
  <c r="G199" i="3" s="1"/>
  <c r="AI198" i="3"/>
  <c r="CX203" i="3" l="1"/>
  <c r="AB198" i="3"/>
  <c r="AC198" i="3" s="1"/>
  <c r="U198" i="3"/>
  <c r="AH198" i="3" s="1"/>
  <c r="CF203" i="3"/>
  <c r="AY204" i="3"/>
  <c r="AX204" i="3"/>
  <c r="H199" i="3"/>
  <c r="J199" i="3" l="1"/>
  <c r="M199" i="3" s="1"/>
  <c r="I199" i="3"/>
  <c r="BA204" i="3"/>
  <c r="BB204" i="3" s="1"/>
  <c r="CH203" i="3"/>
  <c r="CI203" i="3"/>
  <c r="CK203" i="3" l="1"/>
  <c r="CL203" i="3" s="1"/>
  <c r="P199" i="3"/>
  <c r="BH204" i="3"/>
  <c r="BK204" i="3" s="1"/>
  <c r="AP205" i="3" s="1"/>
  <c r="BG204" i="3"/>
  <c r="BF204" i="3"/>
  <c r="BP204" i="3" s="1"/>
  <c r="BC204" i="3"/>
  <c r="BO204" i="3" s="1"/>
  <c r="K199" i="3"/>
  <c r="BJ204" i="3" l="1"/>
  <c r="AO205" i="3" s="1"/>
  <c r="AQ205" i="3" s="1"/>
  <c r="BS204" i="3"/>
  <c r="BD204" i="3"/>
  <c r="AD199" i="3"/>
  <c r="L199" i="3"/>
  <c r="CR203" i="3"/>
  <c r="CU203" i="3" s="1"/>
  <c r="BZ204" i="3" s="1"/>
  <c r="CP203" i="3"/>
  <c r="CZ203" i="3" s="1"/>
  <c r="CQ203" i="3"/>
  <c r="CM203" i="3"/>
  <c r="CN203" i="3" s="1"/>
  <c r="CV203" i="3" l="1"/>
  <c r="CO203" i="3"/>
  <c r="DB203" i="3" s="1"/>
  <c r="DC203" i="3"/>
  <c r="CT203" i="3"/>
  <c r="BY204" i="3" s="1"/>
  <c r="CA204" i="3" s="1"/>
  <c r="CY203" i="3"/>
  <c r="N199" i="3"/>
  <c r="O199" i="3"/>
  <c r="BL204" i="3"/>
  <c r="BM204" i="3" s="1"/>
  <c r="BE204" i="3"/>
  <c r="BR204" i="3" s="1"/>
  <c r="AR205" i="3"/>
  <c r="AS205" i="3" s="1"/>
  <c r="Q199" i="3" l="1"/>
  <c r="R199" i="3" s="1"/>
  <c r="CB204" i="3"/>
  <c r="CC204" i="3" s="1"/>
  <c r="AT205" i="3"/>
  <c r="AW205" i="3" s="1"/>
  <c r="AZ205" i="3" s="1"/>
  <c r="CW203" i="3"/>
  <c r="AU205" i="3" l="1"/>
  <c r="CD204" i="3"/>
  <c r="CG204" i="3" s="1"/>
  <c r="CJ204" i="3" s="1"/>
  <c r="X199" i="3"/>
  <c r="AA199" i="3" s="1"/>
  <c r="W199" i="3"/>
  <c r="V199" i="3"/>
  <c r="AF199" i="3" s="1"/>
  <c r="S199" i="3"/>
  <c r="AE199" i="3" s="1"/>
  <c r="J18" i="3" l="1"/>
  <c r="T199" i="3"/>
  <c r="Y199" i="3"/>
  <c r="AI199" i="3"/>
  <c r="CE204" i="3"/>
  <c r="F29" i="5"/>
  <c r="F200" i="3"/>
  <c r="C18" i="3"/>
  <c r="BN205" i="3"/>
  <c r="AV205" i="3"/>
  <c r="AX205" i="3" l="1"/>
  <c r="AY205" i="3"/>
  <c r="AB199" i="3"/>
  <c r="AC199" i="3" s="1"/>
  <c r="U199" i="3"/>
  <c r="AH199" i="3" s="1"/>
  <c r="CX204" i="3"/>
  <c r="CF204" i="3"/>
  <c r="I18" i="3"/>
  <c r="AG199" i="3"/>
  <c r="AG200" i="3" s="1"/>
  <c r="AG201" i="3" s="1"/>
  <c r="AG202" i="3" s="1"/>
  <c r="AG203" i="3" s="1"/>
  <c r="AG204" i="3" s="1"/>
  <c r="AG205" i="3" s="1"/>
  <c r="AG206" i="3" s="1"/>
  <c r="AG207" i="3" s="1"/>
  <c r="AG208" i="3" s="1"/>
  <c r="AG209" i="3" s="1"/>
  <c r="AG210" i="3" s="1"/>
  <c r="Z199" i="3"/>
  <c r="B29" i="5" l="1"/>
  <c r="E200" i="3"/>
  <c r="G200" i="3" s="1"/>
  <c r="B18" i="3"/>
  <c r="D18" i="3" s="1"/>
  <c r="BA205" i="3"/>
  <c r="BB205" i="3" s="1"/>
  <c r="CH204" i="3"/>
  <c r="CI204" i="3"/>
  <c r="CK204" i="3" l="1"/>
  <c r="CL204" i="3" s="1"/>
  <c r="BH205" i="3"/>
  <c r="BK205" i="3" s="1"/>
  <c r="AP206" i="3" s="1"/>
  <c r="BG205" i="3"/>
  <c r="BF205" i="3"/>
  <c r="BP205" i="3" s="1"/>
  <c r="BC205" i="3"/>
  <c r="BO205" i="3" s="1"/>
  <c r="H200" i="3"/>
  <c r="J200" i="3" l="1"/>
  <c r="M200" i="3" s="1"/>
  <c r="I200" i="3"/>
  <c r="BJ205" i="3"/>
  <c r="AO206" i="3" s="1"/>
  <c r="AQ206" i="3" s="1"/>
  <c r="BS205" i="3"/>
  <c r="BD205" i="3"/>
  <c r="CR204" i="3"/>
  <c r="CU204" i="3" s="1"/>
  <c r="BZ205" i="3" s="1"/>
  <c r="CQ204" i="3"/>
  <c r="CP204" i="3"/>
  <c r="CZ204" i="3" s="1"/>
  <c r="CM204" i="3"/>
  <c r="CY204" i="3" l="1"/>
  <c r="AR206" i="3"/>
  <c r="CT204" i="3"/>
  <c r="BY205" i="3" s="1"/>
  <c r="CA205" i="3" s="1"/>
  <c r="DC204" i="3"/>
  <c r="CN204" i="3"/>
  <c r="BL205" i="3"/>
  <c r="BM205" i="3" s="1"/>
  <c r="BE205" i="3"/>
  <c r="BR205" i="3" s="1"/>
  <c r="P200" i="3"/>
  <c r="K200" i="3"/>
  <c r="AT206" i="3" l="1"/>
  <c r="AW206" i="3" s="1"/>
  <c r="AU206" i="3"/>
  <c r="BN206" i="3" s="1"/>
  <c r="CB205" i="3"/>
  <c r="CC205" i="3" s="1"/>
  <c r="AD200" i="3"/>
  <c r="L200" i="3"/>
  <c r="CV204" i="3"/>
  <c r="CW204" i="3" s="1"/>
  <c r="CO204" i="3"/>
  <c r="DB204" i="3" s="1"/>
  <c r="AS206" i="3"/>
  <c r="AZ206" i="3" l="1"/>
  <c r="N200" i="3"/>
  <c r="O200" i="3"/>
  <c r="CD205" i="3"/>
  <c r="CG205" i="3" s="1"/>
  <c r="CJ205" i="3" s="1"/>
  <c r="AV206" i="3"/>
  <c r="CE205" i="3" l="1"/>
  <c r="Q200" i="3"/>
  <c r="R200" i="3" s="1"/>
  <c r="AX206" i="3"/>
  <c r="AY206" i="3"/>
  <c r="BA206" i="3" l="1"/>
  <c r="BB206" i="3" s="1"/>
  <c r="X200" i="3"/>
  <c r="AA200" i="3" s="1"/>
  <c r="F201" i="3" s="1"/>
  <c r="W200" i="3"/>
  <c r="V200" i="3"/>
  <c r="AF200" i="3" s="1"/>
  <c r="S200" i="3"/>
  <c r="T200" i="3" s="1"/>
  <c r="CX205" i="3"/>
  <c r="CF205" i="3"/>
  <c r="AB200" i="3" l="1"/>
  <c r="U200" i="3"/>
  <c r="AH200" i="3" s="1"/>
  <c r="BH206" i="3"/>
  <c r="BK206" i="3" s="1"/>
  <c r="AP207" i="3" s="1"/>
  <c r="BF206" i="3"/>
  <c r="BP206" i="3" s="1"/>
  <c r="BG206" i="3"/>
  <c r="BC206" i="3"/>
  <c r="BO206" i="3" s="1"/>
  <c r="CH205" i="3"/>
  <c r="CI205" i="3"/>
  <c r="AE200" i="3"/>
  <c r="Z200" i="3"/>
  <c r="E201" i="3" s="1"/>
  <c r="G201" i="3" s="1"/>
  <c r="AI200" i="3"/>
  <c r="BJ206" i="3" l="1"/>
  <c r="AO207" i="3" s="1"/>
  <c r="AQ207" i="3" s="1"/>
  <c r="BS206" i="3"/>
  <c r="H201" i="3"/>
  <c r="CK205" i="3"/>
  <c r="CL205" i="3" s="1"/>
  <c r="BD206" i="3"/>
  <c r="AC200" i="3"/>
  <c r="J201" i="3" l="1"/>
  <c r="M201" i="3" s="1"/>
  <c r="BL206" i="3"/>
  <c r="BM206" i="3" s="1"/>
  <c r="BE206" i="3"/>
  <c r="BR206" i="3" s="1"/>
  <c r="CR205" i="3"/>
  <c r="CU205" i="3" s="1"/>
  <c r="BZ206" i="3" s="1"/>
  <c r="CQ205" i="3"/>
  <c r="CP205" i="3"/>
  <c r="CZ205" i="3" s="1"/>
  <c r="CM205" i="3"/>
  <c r="CY205" i="3" s="1"/>
  <c r="I201" i="3"/>
  <c r="AR207" i="3"/>
  <c r="CN205" i="3" l="1"/>
  <c r="AT207" i="3"/>
  <c r="AW207" i="3" s="1"/>
  <c r="AS207" i="3"/>
  <c r="P201" i="3"/>
  <c r="DC205" i="3"/>
  <c r="CT205" i="3"/>
  <c r="BY206" i="3" s="1"/>
  <c r="CA206" i="3" s="1"/>
  <c r="K201" i="3"/>
  <c r="AD201" i="3" l="1"/>
  <c r="L201" i="3"/>
  <c r="AZ207" i="3"/>
  <c r="CB206" i="3"/>
  <c r="AU207" i="3"/>
  <c r="CV205" i="3"/>
  <c r="CW205" i="3" s="1"/>
  <c r="CO205" i="3"/>
  <c r="DB205" i="3" s="1"/>
  <c r="BN207" i="3" l="1"/>
  <c r="AV207" i="3"/>
  <c r="CD206" i="3"/>
  <c r="CG206" i="3" s="1"/>
  <c r="CC206" i="3"/>
  <c r="N201" i="3"/>
  <c r="O201" i="3"/>
  <c r="CJ206" i="3" l="1"/>
  <c r="CE206" i="3"/>
  <c r="Q201" i="3"/>
  <c r="R201" i="3" s="1"/>
  <c r="AY207" i="3"/>
  <c r="AX207" i="3"/>
  <c r="X201" i="3" l="1"/>
  <c r="AA201" i="3" s="1"/>
  <c r="F202" i="3" s="1"/>
  <c r="W201" i="3"/>
  <c r="V201" i="3"/>
  <c r="AF201" i="3" s="1"/>
  <c r="S201" i="3"/>
  <c r="T201" i="3" s="1"/>
  <c r="BA207" i="3"/>
  <c r="BB207" i="3" s="1"/>
  <c r="CX206" i="3"/>
  <c r="CF206" i="3"/>
  <c r="AB201" i="3" l="1"/>
  <c r="U201" i="3"/>
  <c r="AH201" i="3" s="1"/>
  <c r="CH206" i="3"/>
  <c r="CI206" i="3"/>
  <c r="BH207" i="3"/>
  <c r="BK207" i="3" s="1"/>
  <c r="AP208" i="3" s="1"/>
  <c r="BG207" i="3"/>
  <c r="BF207" i="3"/>
  <c r="BP207" i="3" s="1"/>
  <c r="BC207" i="3"/>
  <c r="BO207" i="3" s="1"/>
  <c r="AE201" i="3"/>
  <c r="Z201" i="3"/>
  <c r="E202" i="3" s="1"/>
  <c r="G202" i="3" s="1"/>
  <c r="AI201" i="3"/>
  <c r="H202" i="3" l="1"/>
  <c r="BS207" i="3"/>
  <c r="BJ207" i="3"/>
  <c r="AO208" i="3" s="1"/>
  <c r="AQ208" i="3" s="1"/>
  <c r="BD207" i="3"/>
  <c r="CK206" i="3"/>
  <c r="CL206" i="3" s="1"/>
  <c r="AC201" i="3"/>
  <c r="BL207" i="3" l="1"/>
  <c r="BM207" i="3" s="1"/>
  <c r="BE207" i="3"/>
  <c r="BR207" i="3" s="1"/>
  <c r="AR208" i="3"/>
  <c r="AS208" i="3" s="1"/>
  <c r="CR206" i="3"/>
  <c r="CU206" i="3" s="1"/>
  <c r="BZ207" i="3" s="1"/>
  <c r="CP206" i="3"/>
  <c r="CZ206" i="3" s="1"/>
  <c r="CQ206" i="3"/>
  <c r="CM206" i="3"/>
  <c r="CY206" i="3" s="1"/>
  <c r="J202" i="3"/>
  <c r="M202" i="3" s="1"/>
  <c r="I202" i="3"/>
  <c r="P202" i="3" l="1"/>
  <c r="DC206" i="3"/>
  <c r="CT206" i="3"/>
  <c r="BY207" i="3" s="1"/>
  <c r="CA207" i="3" s="1"/>
  <c r="CN206" i="3"/>
  <c r="K202" i="3"/>
  <c r="AT208" i="3"/>
  <c r="AW208" i="3" s="1"/>
  <c r="AZ208" i="3" s="1"/>
  <c r="AU208" i="3" l="1"/>
  <c r="CV206" i="3"/>
  <c r="CW206" i="3" s="1"/>
  <c r="CO206" i="3"/>
  <c r="DB206" i="3" s="1"/>
  <c r="CB207" i="3"/>
  <c r="AD202" i="3"/>
  <c r="L202" i="3"/>
  <c r="N202" i="3" l="1"/>
  <c r="O202" i="3"/>
  <c r="CD207" i="3"/>
  <c r="CG207" i="3" s="1"/>
  <c r="CC207" i="3"/>
  <c r="BN208" i="3"/>
  <c r="AV208" i="3"/>
  <c r="CE207" i="3" l="1"/>
  <c r="AX208" i="3"/>
  <c r="AY208" i="3"/>
  <c r="CJ207" i="3"/>
  <c r="Q202" i="3"/>
  <c r="R202" i="3" s="1"/>
  <c r="X202" i="3" l="1"/>
  <c r="AA202" i="3" s="1"/>
  <c r="F203" i="3" s="1"/>
  <c r="W202" i="3"/>
  <c r="V202" i="3"/>
  <c r="AF202" i="3" s="1"/>
  <c r="S202" i="3"/>
  <c r="BA208" i="3"/>
  <c r="BB208" i="3" s="1"/>
  <c r="CX207" i="3"/>
  <c r="CF207" i="3"/>
  <c r="CH207" i="3" l="1"/>
  <c r="CI207" i="3"/>
  <c r="AE202" i="3"/>
  <c r="T202" i="3"/>
  <c r="BH208" i="3"/>
  <c r="BK208" i="3" s="1"/>
  <c r="AP209" i="3" s="1"/>
  <c r="BF208" i="3"/>
  <c r="BP208" i="3" s="1"/>
  <c r="BG208" i="3"/>
  <c r="BC208" i="3"/>
  <c r="BO208" i="3" s="1"/>
  <c r="Z202" i="3"/>
  <c r="E203" i="3" s="1"/>
  <c r="G203" i="3" s="1"/>
  <c r="AI202" i="3"/>
  <c r="H203" i="3" l="1"/>
  <c r="BD208" i="3"/>
  <c r="AB202" i="3"/>
  <c r="U202" i="3"/>
  <c r="AH202" i="3" s="1"/>
  <c r="BJ208" i="3"/>
  <c r="AO209" i="3" s="1"/>
  <c r="AQ209" i="3" s="1"/>
  <c r="BS208" i="3"/>
  <c r="CK207" i="3"/>
  <c r="CL207" i="3" s="1"/>
  <c r="CR207" i="3" l="1"/>
  <c r="CU207" i="3" s="1"/>
  <c r="BZ208" i="3" s="1"/>
  <c r="CQ207" i="3"/>
  <c r="CP207" i="3"/>
  <c r="CZ207" i="3" s="1"/>
  <c r="CM207" i="3"/>
  <c r="CY207" i="3" s="1"/>
  <c r="AR209" i="3"/>
  <c r="AC202" i="3"/>
  <c r="BL208" i="3"/>
  <c r="BM208" i="3" s="1"/>
  <c r="BE208" i="3"/>
  <c r="BR208" i="3" s="1"/>
  <c r="J203" i="3"/>
  <c r="M203" i="3" s="1"/>
  <c r="I203" i="3"/>
  <c r="K203" i="3" l="1"/>
  <c r="AD203" i="3"/>
  <c r="AT209" i="3"/>
  <c r="AW209" i="3" s="1"/>
  <c r="AU209" i="3"/>
  <c r="BN209" i="3" s="1"/>
  <c r="L203" i="3"/>
  <c r="DC207" i="3"/>
  <c r="CT207" i="3"/>
  <c r="BY208" i="3" s="1"/>
  <c r="CA208" i="3" s="1"/>
  <c r="AS209" i="3"/>
  <c r="CN207" i="3"/>
  <c r="P203" i="3"/>
  <c r="CB208" i="3" l="1"/>
  <c r="CV207" i="3"/>
  <c r="CW207" i="3" s="1"/>
  <c r="CO207" i="3"/>
  <c r="DB207" i="3" s="1"/>
  <c r="N203" i="3"/>
  <c r="O203" i="3"/>
  <c r="AZ209" i="3"/>
  <c r="AV209" i="3"/>
  <c r="AY209" i="3" l="1"/>
  <c r="AX209" i="3"/>
  <c r="Q203" i="3"/>
  <c r="R203" i="3" s="1"/>
  <c r="CD208" i="3"/>
  <c r="CG208" i="3" s="1"/>
  <c r="CC208" i="3"/>
  <c r="CJ208" i="3" l="1"/>
  <c r="CE208" i="3"/>
  <c r="X203" i="3"/>
  <c r="AA203" i="3" s="1"/>
  <c r="F204" i="3" s="1"/>
  <c r="W203" i="3"/>
  <c r="V203" i="3"/>
  <c r="AF203" i="3" s="1"/>
  <c r="S203" i="3"/>
  <c r="BA209" i="3"/>
  <c r="BB209" i="3" s="1"/>
  <c r="BH209" i="3" l="1"/>
  <c r="BK209" i="3" s="1"/>
  <c r="AP210" i="3" s="1"/>
  <c r="BF209" i="3"/>
  <c r="BP209" i="3" s="1"/>
  <c r="BG209" i="3"/>
  <c r="BC209" i="3"/>
  <c r="BO209" i="3" s="1"/>
  <c r="AE203" i="3"/>
  <c r="AI203" i="3"/>
  <c r="Z203" i="3"/>
  <c r="E204" i="3" s="1"/>
  <c r="G204" i="3" s="1"/>
  <c r="T203" i="3"/>
  <c r="CX208" i="3"/>
  <c r="CF208" i="3"/>
  <c r="CH208" i="3" l="1"/>
  <c r="CI208" i="3"/>
  <c r="AB203" i="3"/>
  <c r="U203" i="3"/>
  <c r="AH203" i="3" s="1"/>
  <c r="H204" i="3"/>
  <c r="BJ209" i="3"/>
  <c r="AO210" i="3" s="1"/>
  <c r="AQ210" i="3" s="1"/>
  <c r="BS209" i="3"/>
  <c r="BD209" i="3"/>
  <c r="BL209" i="3" l="1"/>
  <c r="BM209" i="3" s="1"/>
  <c r="BE209" i="3"/>
  <c r="BR209" i="3" s="1"/>
  <c r="AR210" i="3"/>
  <c r="AS210" i="3"/>
  <c r="J204" i="3"/>
  <c r="M204" i="3" s="1"/>
  <c r="I204" i="3"/>
  <c r="AC203" i="3"/>
  <c r="CK208" i="3"/>
  <c r="CL208" i="3" s="1"/>
  <c r="P204" i="3" l="1"/>
  <c r="CR208" i="3"/>
  <c r="CU208" i="3" s="1"/>
  <c r="BZ209" i="3" s="1"/>
  <c r="CQ208" i="3"/>
  <c r="CP208" i="3"/>
  <c r="CZ208" i="3" s="1"/>
  <c r="CM208" i="3"/>
  <c r="CY208" i="3" s="1"/>
  <c r="K204" i="3"/>
  <c r="AT210" i="3"/>
  <c r="AW210" i="3" s="1"/>
  <c r="AZ210" i="3" s="1"/>
  <c r="AU210" i="3" l="1"/>
  <c r="BN210" i="3" s="1"/>
  <c r="AD204" i="3"/>
  <c r="L204" i="3"/>
  <c r="CT208" i="3"/>
  <c r="BY209" i="3" s="1"/>
  <c r="CA209" i="3" s="1"/>
  <c r="DC208" i="3"/>
  <c r="CN208" i="3"/>
  <c r="AV210" i="3" l="1"/>
  <c r="CV208" i="3"/>
  <c r="CW208" i="3" s="1"/>
  <c r="CO208" i="3"/>
  <c r="DB208" i="3" s="1"/>
  <c r="CB209" i="3"/>
  <c r="CC209" i="3" s="1"/>
  <c r="N204" i="3"/>
  <c r="O204" i="3"/>
  <c r="AX210" i="3"/>
  <c r="AY210" i="3"/>
  <c r="BA210" i="3" l="1"/>
  <c r="BB210" i="3" s="1"/>
  <c r="Q204" i="3"/>
  <c r="R204" i="3" s="1"/>
  <c r="CD209" i="3"/>
  <c r="CG209" i="3" s="1"/>
  <c r="CJ209" i="3" s="1"/>
  <c r="CE209" i="3" l="1"/>
  <c r="CX209" i="3" s="1"/>
  <c r="X204" i="3"/>
  <c r="AA204" i="3" s="1"/>
  <c r="F205" i="3" s="1"/>
  <c r="V204" i="3"/>
  <c r="AF204" i="3" s="1"/>
  <c r="W204" i="3"/>
  <c r="S204" i="3"/>
  <c r="T204" i="3" s="1"/>
  <c r="CF209" i="3"/>
  <c r="BH210" i="3"/>
  <c r="BK210" i="3" s="1"/>
  <c r="AP211" i="3" s="1"/>
  <c r="BG210" i="3"/>
  <c r="BF210" i="3"/>
  <c r="BP210" i="3" s="1"/>
  <c r="BC210" i="3"/>
  <c r="BO210" i="3" s="1"/>
  <c r="AB204" i="3" l="1"/>
  <c r="U204" i="3"/>
  <c r="AH204" i="3" s="1"/>
  <c r="BS210" i="3"/>
  <c r="BJ210" i="3"/>
  <c r="AO211" i="3" s="1"/>
  <c r="AQ211" i="3" s="1"/>
  <c r="BD210" i="3"/>
  <c r="CH209" i="3"/>
  <c r="CI209" i="3"/>
  <c r="AE204" i="3"/>
  <c r="AI204" i="3"/>
  <c r="Z204" i="3"/>
  <c r="E205" i="3" s="1"/>
  <c r="G205" i="3" s="1"/>
  <c r="H205" i="3" l="1"/>
  <c r="CK209" i="3"/>
  <c r="CL209" i="3" s="1"/>
  <c r="BL210" i="3"/>
  <c r="BM210" i="3" s="1"/>
  <c r="BE210" i="3"/>
  <c r="BR210" i="3" s="1"/>
  <c r="AR211" i="3"/>
  <c r="AS211" i="3" s="1"/>
  <c r="AC204" i="3"/>
  <c r="AT211" i="3" l="1"/>
  <c r="AW211" i="3" s="1"/>
  <c r="AZ211" i="3" s="1"/>
  <c r="AU211" i="3"/>
  <c r="BN211" i="3" s="1"/>
  <c r="CR209" i="3"/>
  <c r="CU209" i="3" s="1"/>
  <c r="BZ210" i="3" s="1"/>
  <c r="CQ209" i="3"/>
  <c r="CP209" i="3"/>
  <c r="CZ209" i="3" s="1"/>
  <c r="CM209" i="3"/>
  <c r="CY209" i="3" s="1"/>
  <c r="J205" i="3"/>
  <c r="M205" i="3" s="1"/>
  <c r="I205" i="3"/>
  <c r="K205" i="3" l="1"/>
  <c r="AD205" i="3" s="1"/>
  <c r="L205" i="3"/>
  <c r="DC209" i="3"/>
  <c r="CT209" i="3"/>
  <c r="BY210" i="3" s="1"/>
  <c r="CA210" i="3" s="1"/>
  <c r="CN209" i="3"/>
  <c r="AV211" i="3"/>
  <c r="P205" i="3"/>
  <c r="AY211" i="3" l="1"/>
  <c r="AX211" i="3"/>
  <c r="CV209" i="3"/>
  <c r="CW209" i="3" s="1"/>
  <c r="CO209" i="3"/>
  <c r="DB209" i="3" s="1"/>
  <c r="CB210" i="3"/>
  <c r="N205" i="3"/>
  <c r="O205" i="3"/>
  <c r="Q205" i="3" l="1"/>
  <c r="R205" i="3" s="1"/>
  <c r="CD210" i="3"/>
  <c r="CG210" i="3" s="1"/>
  <c r="CE210" i="3"/>
  <c r="CX210" i="3" s="1"/>
  <c r="CC210" i="3"/>
  <c r="BA211" i="3"/>
  <c r="BB211" i="3" s="1"/>
  <c r="CF210" i="3" l="1"/>
  <c r="BH211" i="3"/>
  <c r="BK211" i="3" s="1"/>
  <c r="BG211" i="3"/>
  <c r="BF211" i="3"/>
  <c r="BP211" i="3" s="1"/>
  <c r="BC211" i="3"/>
  <c r="BO211" i="3" s="1"/>
  <c r="CJ210" i="3"/>
  <c r="X205" i="3"/>
  <c r="AA205" i="3" s="1"/>
  <c r="F206" i="3" s="1"/>
  <c r="W205" i="3"/>
  <c r="V205" i="3"/>
  <c r="AF205" i="3" s="1"/>
  <c r="S205" i="3"/>
  <c r="AE205" i="3" s="1"/>
  <c r="AI205" i="3" l="1"/>
  <c r="Z205" i="3"/>
  <c r="E206" i="3" s="1"/>
  <c r="G206" i="3" s="1"/>
  <c r="T205" i="3"/>
  <c r="G30" i="5"/>
  <c r="BS211" i="3"/>
  <c r="BI211" i="3"/>
  <c r="BJ211" i="3" s="1"/>
  <c r="BD211" i="3"/>
  <c r="W19" i="3"/>
  <c r="AP212" i="3"/>
  <c r="P19" i="3"/>
  <c r="CH210" i="3"/>
  <c r="CI210" i="3"/>
  <c r="C30" i="5" l="1"/>
  <c r="AO212" i="3"/>
  <c r="AQ212" i="3" s="1"/>
  <c r="O19" i="3"/>
  <c r="Q19" i="3" s="1"/>
  <c r="BL211" i="3"/>
  <c r="BM211" i="3" s="1"/>
  <c r="BE211" i="3"/>
  <c r="BR211" i="3" s="1"/>
  <c r="AB205" i="3"/>
  <c r="AC205" i="3" s="1"/>
  <c r="U205" i="3"/>
  <c r="AH205" i="3" s="1"/>
  <c r="V19" i="3"/>
  <c r="BQ211" i="3"/>
  <c r="BQ212" i="3" s="1"/>
  <c r="BQ213" i="3" s="1"/>
  <c r="BQ214" i="3" s="1"/>
  <c r="BQ215" i="3" s="1"/>
  <c r="BQ216" i="3" s="1"/>
  <c r="BQ217" i="3" s="1"/>
  <c r="BQ218" i="3" s="1"/>
  <c r="BQ219" i="3" s="1"/>
  <c r="BQ220" i="3" s="1"/>
  <c r="BQ221" i="3" s="1"/>
  <c r="BQ222" i="3" s="1"/>
  <c r="H206" i="3"/>
  <c r="CK210" i="3"/>
  <c r="CL210" i="3" s="1"/>
  <c r="CR210" i="3" l="1"/>
  <c r="CU210" i="3" s="1"/>
  <c r="BZ211" i="3" s="1"/>
  <c r="CQ210" i="3"/>
  <c r="CP210" i="3"/>
  <c r="CZ210" i="3" s="1"/>
  <c r="CM210" i="3"/>
  <c r="CY210" i="3" s="1"/>
  <c r="J206" i="3"/>
  <c r="M206" i="3" s="1"/>
  <c r="I206" i="3"/>
  <c r="AR212" i="3"/>
  <c r="P206" i="3" l="1"/>
  <c r="AT212" i="3"/>
  <c r="AW212" i="3" s="1"/>
  <c r="CN210" i="3"/>
  <c r="AS212" i="3"/>
  <c r="K206" i="3"/>
  <c r="DC210" i="3"/>
  <c r="CT210" i="3"/>
  <c r="BY211" i="3" s="1"/>
  <c r="CA211" i="3" s="1"/>
  <c r="CB211" i="3" l="1"/>
  <c r="CC211" i="3"/>
  <c r="CV210" i="3"/>
  <c r="CW210" i="3" s="1"/>
  <c r="CO210" i="3"/>
  <c r="DB210" i="3" s="1"/>
  <c r="AD206" i="3"/>
  <c r="L206" i="3"/>
  <c r="AZ212" i="3"/>
  <c r="AU212" i="3"/>
  <c r="N206" i="3" l="1"/>
  <c r="O206" i="3"/>
  <c r="BN212" i="3"/>
  <c r="AV212" i="3"/>
  <c r="CD211" i="3"/>
  <c r="CG211" i="3" s="1"/>
  <c r="CJ211" i="3" s="1"/>
  <c r="CE211" i="3"/>
  <c r="CX211" i="3" s="1"/>
  <c r="CF211" i="3" l="1"/>
  <c r="AX212" i="3"/>
  <c r="AY212" i="3"/>
  <c r="Q206" i="3"/>
  <c r="R206" i="3" s="1"/>
  <c r="X206" i="3" l="1"/>
  <c r="AA206" i="3" s="1"/>
  <c r="F207" i="3" s="1"/>
  <c r="V206" i="3"/>
  <c r="AF206" i="3" s="1"/>
  <c r="W206" i="3"/>
  <c r="S206" i="3"/>
  <c r="AE206" i="3" s="1"/>
  <c r="BA212" i="3"/>
  <c r="BB212" i="3" s="1"/>
  <c r="CH211" i="3"/>
  <c r="CI211" i="3"/>
  <c r="BH212" i="3" l="1"/>
  <c r="BK212" i="3" s="1"/>
  <c r="AP213" i="3" s="1"/>
  <c r="BF212" i="3"/>
  <c r="BP212" i="3" s="1"/>
  <c r="BG212" i="3"/>
  <c r="BC212" i="3"/>
  <c r="Z206" i="3"/>
  <c r="E207" i="3" s="1"/>
  <c r="G207" i="3" s="1"/>
  <c r="AI206" i="3"/>
  <c r="T206" i="3"/>
  <c r="CK211" i="3"/>
  <c r="CL211" i="3" s="1"/>
  <c r="CR211" i="3" l="1"/>
  <c r="CU211" i="3" s="1"/>
  <c r="CP211" i="3"/>
  <c r="CZ211" i="3" s="1"/>
  <c r="CQ211" i="3"/>
  <c r="CM211" i="3"/>
  <c r="CY211" i="3" s="1"/>
  <c r="AB206" i="3"/>
  <c r="AC206" i="3" s="1"/>
  <c r="U206" i="3"/>
  <c r="AH206" i="3" s="1"/>
  <c r="H207" i="3"/>
  <c r="BO212" i="3"/>
  <c r="BS212" i="3"/>
  <c r="BJ212" i="3"/>
  <c r="AO213" i="3" s="1"/>
  <c r="AQ213" i="3" s="1"/>
  <c r="BD212" i="3"/>
  <c r="BL212" i="3" l="1"/>
  <c r="BE212" i="3"/>
  <c r="BR212" i="3" s="1"/>
  <c r="AR213" i="3"/>
  <c r="CS211" i="3"/>
  <c r="DC211" i="3"/>
  <c r="CN211" i="3"/>
  <c r="J207" i="3"/>
  <c r="M207" i="3" s="1"/>
  <c r="I207" i="3"/>
  <c r="H30" i="5"/>
  <c r="AJ19" i="3"/>
  <c r="BZ212" i="3"/>
  <c r="AC19" i="3"/>
  <c r="P207" i="3" l="1"/>
  <c r="K207" i="3"/>
  <c r="CV211" i="3"/>
  <c r="CW211" i="3" s="1"/>
  <c r="CO211" i="3"/>
  <c r="DB211" i="3" s="1"/>
  <c r="AT213" i="3"/>
  <c r="AW213" i="3" s="1"/>
  <c r="AS213" i="3"/>
  <c r="AI19" i="3"/>
  <c r="DA211" i="3"/>
  <c r="DA212" i="3" s="1"/>
  <c r="DA213" i="3" s="1"/>
  <c r="DA214" i="3" s="1"/>
  <c r="DA215" i="3" s="1"/>
  <c r="DA216" i="3" s="1"/>
  <c r="DA217" i="3" s="1"/>
  <c r="DA218" i="3" s="1"/>
  <c r="DA219" i="3" s="1"/>
  <c r="DA220" i="3" s="1"/>
  <c r="DA221" i="3" s="1"/>
  <c r="DA222" i="3" s="1"/>
  <c r="CT211" i="3"/>
  <c r="BM212" i="3"/>
  <c r="D30" i="5" l="1"/>
  <c r="BY212" i="3"/>
  <c r="CA212" i="3" s="1"/>
  <c r="AB19" i="3"/>
  <c r="AD19" i="3" s="1"/>
  <c r="AZ213" i="3"/>
  <c r="AU213" i="3"/>
  <c r="AD207" i="3"/>
  <c r="L207" i="3"/>
  <c r="O207" i="3" l="1"/>
  <c r="N207" i="3"/>
  <c r="BN213" i="3"/>
  <c r="AV213" i="3"/>
  <c r="CB212" i="3"/>
  <c r="CD212" i="3" l="1"/>
  <c r="CG212" i="3" s="1"/>
  <c r="CC212" i="3"/>
  <c r="AX213" i="3"/>
  <c r="AY213" i="3"/>
  <c r="Q207" i="3"/>
  <c r="R207" i="3" s="1"/>
  <c r="X207" i="3" l="1"/>
  <c r="AA207" i="3" s="1"/>
  <c r="F208" i="3" s="1"/>
  <c r="W207" i="3"/>
  <c r="V207" i="3"/>
  <c r="AF207" i="3" s="1"/>
  <c r="S207" i="3"/>
  <c r="AE207" i="3" s="1"/>
  <c r="BA213" i="3"/>
  <c r="BB213" i="3" s="1"/>
  <c r="CJ212" i="3"/>
  <c r="CE212" i="3"/>
  <c r="CX212" i="3" l="1"/>
  <c r="CF212" i="3"/>
  <c r="BH213" i="3"/>
  <c r="BK213" i="3" s="1"/>
  <c r="AP214" i="3" s="1"/>
  <c r="BG213" i="3"/>
  <c r="BF213" i="3"/>
  <c r="BP213" i="3" s="1"/>
  <c r="BC213" i="3"/>
  <c r="Z207" i="3"/>
  <c r="E208" i="3" s="1"/>
  <c r="G208" i="3" s="1"/>
  <c r="AI207" i="3"/>
  <c r="T207" i="3"/>
  <c r="AB207" i="3" l="1"/>
  <c r="AC207" i="3" s="1"/>
  <c r="U207" i="3"/>
  <c r="AH207" i="3" s="1"/>
  <c r="H208" i="3"/>
  <c r="BJ213" i="3"/>
  <c r="AO214" i="3" s="1"/>
  <c r="AQ214" i="3" s="1"/>
  <c r="BS213" i="3"/>
  <c r="BO213" i="3"/>
  <c r="BD213" i="3"/>
  <c r="CH212" i="3"/>
  <c r="CI212" i="3"/>
  <c r="CK212" i="3" l="1"/>
  <c r="CL212" i="3" s="1"/>
  <c r="BL213" i="3"/>
  <c r="BE213" i="3"/>
  <c r="BR213" i="3" s="1"/>
  <c r="AR214" i="3"/>
  <c r="AS214" i="3" s="1"/>
  <c r="J208" i="3"/>
  <c r="M208" i="3" s="1"/>
  <c r="I208" i="3"/>
  <c r="K208" i="3" l="1"/>
  <c r="BM213" i="3"/>
  <c r="P208" i="3"/>
  <c r="AT214" i="3"/>
  <c r="AW214" i="3" s="1"/>
  <c r="AZ214" i="3" s="1"/>
  <c r="CR212" i="3"/>
  <c r="CU212" i="3" s="1"/>
  <c r="BZ213" i="3" s="1"/>
  <c r="CQ212" i="3"/>
  <c r="CP212" i="3"/>
  <c r="CZ212" i="3" s="1"/>
  <c r="CM212" i="3"/>
  <c r="CN212" i="3" s="1"/>
  <c r="CV212" i="3" l="1"/>
  <c r="CO212" i="3"/>
  <c r="DB212" i="3" s="1"/>
  <c r="AU214" i="3"/>
  <c r="AD208" i="3"/>
  <c r="L208" i="3"/>
  <c r="CY212" i="3"/>
  <c r="DC212" i="3"/>
  <c r="CT212" i="3"/>
  <c r="BY213" i="3" s="1"/>
  <c r="CA213" i="3" s="1"/>
  <c r="CB213" i="3" l="1"/>
  <c r="N208" i="3"/>
  <c r="O208" i="3"/>
  <c r="BN214" i="3"/>
  <c r="AV214" i="3"/>
  <c r="CW212" i="3"/>
  <c r="AY214" i="3" l="1"/>
  <c r="AX214" i="3"/>
  <c r="Q208" i="3"/>
  <c r="R208" i="3" s="1"/>
  <c r="CD213" i="3"/>
  <c r="CG213" i="3" s="1"/>
  <c r="CC213" i="3"/>
  <c r="CJ213" i="3" l="1"/>
  <c r="CE213" i="3"/>
  <c r="X208" i="3"/>
  <c r="AA208" i="3" s="1"/>
  <c r="F209" i="3" s="1"/>
  <c r="W208" i="3"/>
  <c r="V208" i="3"/>
  <c r="AF208" i="3" s="1"/>
  <c r="S208" i="3"/>
  <c r="AE208" i="3" s="1"/>
  <c r="BA214" i="3"/>
  <c r="BB214" i="3" s="1"/>
  <c r="BH214" i="3" l="1"/>
  <c r="BK214" i="3" s="1"/>
  <c r="AP215" i="3" s="1"/>
  <c r="BF214" i="3"/>
  <c r="BP214" i="3" s="1"/>
  <c r="BG214" i="3"/>
  <c r="BC214" i="3"/>
  <c r="AI208" i="3"/>
  <c r="Z208" i="3"/>
  <c r="E209" i="3" s="1"/>
  <c r="G209" i="3" s="1"/>
  <c r="T208" i="3"/>
  <c r="CX213" i="3"/>
  <c r="CF213" i="3"/>
  <c r="CH213" i="3" l="1"/>
  <c r="CI213" i="3"/>
  <c r="H209" i="3"/>
  <c r="I209" i="3"/>
  <c r="AB208" i="3"/>
  <c r="AC208" i="3" s="1"/>
  <c r="U208" i="3"/>
  <c r="AH208" i="3" s="1"/>
  <c r="BO214" i="3"/>
  <c r="BJ214" i="3"/>
  <c r="AO215" i="3" s="1"/>
  <c r="AQ215" i="3" s="1"/>
  <c r="BS214" i="3"/>
  <c r="BD214" i="3"/>
  <c r="AR215" i="3" l="1"/>
  <c r="BL214" i="3"/>
  <c r="BE214" i="3"/>
  <c r="BR214" i="3" s="1"/>
  <c r="J209" i="3"/>
  <c r="M209" i="3" s="1"/>
  <c r="P209" i="3" s="1"/>
  <c r="CK213" i="3"/>
  <c r="CL213" i="3" s="1"/>
  <c r="CR213" i="3" l="1"/>
  <c r="CU213" i="3" s="1"/>
  <c r="BZ214" i="3" s="1"/>
  <c r="CQ213" i="3"/>
  <c r="CP213" i="3"/>
  <c r="CZ213" i="3" s="1"/>
  <c r="CM213" i="3"/>
  <c r="CN213" i="3" s="1"/>
  <c r="BM214" i="3"/>
  <c r="K209" i="3"/>
  <c r="AT215" i="3"/>
  <c r="AW215" i="3" s="1"/>
  <c r="AS215" i="3"/>
  <c r="CV213" i="3" l="1"/>
  <c r="CO213" i="3"/>
  <c r="DB213" i="3" s="1"/>
  <c r="AZ215" i="3"/>
  <c r="AU215" i="3"/>
  <c r="AD209" i="3"/>
  <c r="L209" i="3"/>
  <c r="CY213" i="3"/>
  <c r="CT213" i="3"/>
  <c r="BY214" i="3" s="1"/>
  <c r="CA214" i="3" s="1"/>
  <c r="DC213" i="3"/>
  <c r="CB214" i="3" l="1"/>
  <c r="N209" i="3"/>
  <c r="O209" i="3"/>
  <c r="BN215" i="3"/>
  <c r="AV215" i="3"/>
  <c r="CW213" i="3"/>
  <c r="AX215" i="3" l="1"/>
  <c r="AY215" i="3"/>
  <c r="Q209" i="3"/>
  <c r="R209" i="3" s="1"/>
  <c r="CD214" i="3"/>
  <c r="CG214" i="3" s="1"/>
  <c r="CC214" i="3"/>
  <c r="CJ214" i="3" l="1"/>
  <c r="CE214" i="3"/>
  <c r="X209" i="3"/>
  <c r="AA209" i="3" s="1"/>
  <c r="F210" i="3" s="1"/>
  <c r="W209" i="3"/>
  <c r="V209" i="3"/>
  <c r="AF209" i="3" s="1"/>
  <c r="S209" i="3"/>
  <c r="AE209" i="3" s="1"/>
  <c r="BA215" i="3"/>
  <c r="BB215" i="3" s="1"/>
  <c r="BH215" i="3" l="1"/>
  <c r="BK215" i="3" s="1"/>
  <c r="AP216" i="3" s="1"/>
  <c r="BG215" i="3"/>
  <c r="BF215" i="3"/>
  <c r="BP215" i="3" s="1"/>
  <c r="BC215" i="3"/>
  <c r="AI209" i="3"/>
  <c r="Z209" i="3"/>
  <c r="E210" i="3" s="1"/>
  <c r="G210" i="3" s="1"/>
  <c r="T209" i="3"/>
  <c r="CX214" i="3"/>
  <c r="CF214" i="3"/>
  <c r="CI214" i="3" l="1"/>
  <c r="CH214" i="3"/>
  <c r="AB209" i="3"/>
  <c r="AC209" i="3" s="1"/>
  <c r="U209" i="3"/>
  <c r="AH209" i="3" s="1"/>
  <c r="H210" i="3"/>
  <c r="BO215" i="3"/>
  <c r="BS215" i="3"/>
  <c r="BJ215" i="3"/>
  <c r="AO216" i="3" s="1"/>
  <c r="AQ216" i="3" s="1"/>
  <c r="BD215" i="3"/>
  <c r="BL215" i="3" l="1"/>
  <c r="BE215" i="3"/>
  <c r="BR215" i="3" s="1"/>
  <c r="AR216" i="3"/>
  <c r="J210" i="3"/>
  <c r="M210" i="3" s="1"/>
  <c r="I210" i="3"/>
  <c r="CK214" i="3"/>
  <c r="CL214" i="3" s="1"/>
  <c r="CR214" i="3" l="1"/>
  <c r="CU214" i="3" s="1"/>
  <c r="BZ215" i="3" s="1"/>
  <c r="CQ214" i="3"/>
  <c r="CP214" i="3"/>
  <c r="CZ214" i="3" s="1"/>
  <c r="CM214" i="3"/>
  <c r="P210" i="3"/>
  <c r="K210" i="3"/>
  <c r="AT216" i="3"/>
  <c r="AW216" i="3" s="1"/>
  <c r="AS216" i="3"/>
  <c r="BM215" i="3"/>
  <c r="AZ216" i="3" l="1"/>
  <c r="CY214" i="3"/>
  <c r="DC214" i="3"/>
  <c r="CT214" i="3"/>
  <c r="BY215" i="3" s="1"/>
  <c r="CA215" i="3" s="1"/>
  <c r="AU216" i="3"/>
  <c r="AD210" i="3"/>
  <c r="L210" i="3"/>
  <c r="CN214" i="3"/>
  <c r="BN216" i="3" l="1"/>
  <c r="AV216" i="3"/>
  <c r="CV214" i="3"/>
  <c r="CO214" i="3"/>
  <c r="DB214" i="3" s="1"/>
  <c r="O210" i="3"/>
  <c r="N210" i="3"/>
  <c r="CB215" i="3"/>
  <c r="CC215" i="3"/>
  <c r="CD215" i="3" l="1"/>
  <c r="CG215" i="3" s="1"/>
  <c r="CJ215" i="3" s="1"/>
  <c r="Q210" i="3"/>
  <c r="R210" i="3" s="1"/>
  <c r="CW214" i="3"/>
  <c r="AX216" i="3"/>
  <c r="AY216" i="3"/>
  <c r="BA216" i="3" l="1"/>
  <c r="BB216" i="3" s="1"/>
  <c r="X210" i="3"/>
  <c r="AA210" i="3" s="1"/>
  <c r="F211" i="3" s="1"/>
  <c r="V210" i="3"/>
  <c r="AF210" i="3" s="1"/>
  <c r="W210" i="3"/>
  <c r="S210" i="3"/>
  <c r="AE210" i="3" s="1"/>
  <c r="CE215" i="3"/>
  <c r="CX215" i="3" l="1"/>
  <c r="CF215" i="3"/>
  <c r="T210" i="3"/>
  <c r="AI210" i="3"/>
  <c r="Z210" i="3"/>
  <c r="E211" i="3" s="1"/>
  <c r="G211" i="3" s="1"/>
  <c r="BH216" i="3"/>
  <c r="BK216" i="3" s="1"/>
  <c r="AP217" i="3" s="1"/>
  <c r="BF216" i="3"/>
  <c r="BP216" i="3" s="1"/>
  <c r="BG216" i="3"/>
  <c r="BC216" i="3"/>
  <c r="BD216" i="3" s="1"/>
  <c r="BL216" i="3" l="1"/>
  <c r="BE216" i="3"/>
  <c r="BR216" i="3" s="1"/>
  <c r="BJ216" i="3"/>
  <c r="AO217" i="3" s="1"/>
  <c r="AQ217" i="3" s="1"/>
  <c r="BS216" i="3"/>
  <c r="BO216" i="3"/>
  <c r="H211" i="3"/>
  <c r="AB210" i="3"/>
  <c r="AC210" i="3" s="1"/>
  <c r="U210" i="3"/>
  <c r="AH210" i="3" s="1"/>
  <c r="CH215" i="3"/>
  <c r="CI215" i="3"/>
  <c r="CK215" i="3" l="1"/>
  <c r="CL215" i="3" s="1"/>
  <c r="J211" i="3"/>
  <c r="M211" i="3" s="1"/>
  <c r="I211" i="3"/>
  <c r="AR217" i="3"/>
  <c r="BM216" i="3"/>
  <c r="AT217" i="3" l="1"/>
  <c r="AW217" i="3" s="1"/>
  <c r="AU217" i="3"/>
  <c r="BN217" i="3" s="1"/>
  <c r="K211" i="3"/>
  <c r="AS217" i="3"/>
  <c r="P211" i="3"/>
  <c r="CR215" i="3"/>
  <c r="CU215" i="3" s="1"/>
  <c r="BZ216" i="3" s="1"/>
  <c r="CQ215" i="3"/>
  <c r="CP215" i="3"/>
  <c r="CZ215" i="3" s="1"/>
  <c r="CM215" i="3"/>
  <c r="CN215" i="3" s="1"/>
  <c r="CV215" i="3" l="1"/>
  <c r="CO215" i="3"/>
  <c r="DB215" i="3" s="1"/>
  <c r="CT215" i="3"/>
  <c r="BY216" i="3" s="1"/>
  <c r="CA216" i="3" s="1"/>
  <c r="DC215" i="3"/>
  <c r="CY215" i="3"/>
  <c r="AZ217" i="3"/>
  <c r="AD211" i="3"/>
  <c r="L211" i="3"/>
  <c r="AV217" i="3"/>
  <c r="AY217" i="3" l="1"/>
  <c r="AX217" i="3"/>
  <c r="N211" i="3"/>
  <c r="O211" i="3"/>
  <c r="CB216" i="3"/>
  <c r="CW215" i="3"/>
  <c r="CD216" i="3" l="1"/>
  <c r="CG216" i="3" s="1"/>
  <c r="CE216" i="3"/>
  <c r="CX216" i="3" s="1"/>
  <c r="BA217" i="3"/>
  <c r="BB217" i="3" s="1"/>
  <c r="CC216" i="3"/>
  <c r="Q211" i="3"/>
  <c r="R211" i="3" s="1"/>
  <c r="CJ216" i="3" l="1"/>
  <c r="X211" i="3"/>
  <c r="AA211" i="3" s="1"/>
  <c r="W211" i="3"/>
  <c r="V211" i="3"/>
  <c r="AF211" i="3" s="1"/>
  <c r="S211" i="3"/>
  <c r="AE211" i="3" s="1"/>
  <c r="BH217" i="3"/>
  <c r="BK217" i="3" s="1"/>
  <c r="AP218" i="3" s="1"/>
  <c r="BG217" i="3"/>
  <c r="BF217" i="3"/>
  <c r="BP217" i="3" s="1"/>
  <c r="BC217" i="3"/>
  <c r="BO217" i="3" s="1"/>
  <c r="CF216" i="3"/>
  <c r="F30" i="5" l="1"/>
  <c r="J19" i="3"/>
  <c r="Y211" i="3"/>
  <c r="Z211" i="3" s="1"/>
  <c r="AI211" i="3"/>
  <c r="T211" i="3"/>
  <c r="CH216" i="3"/>
  <c r="CI216" i="3"/>
  <c r="BS217" i="3"/>
  <c r="BJ217" i="3"/>
  <c r="AO218" i="3" s="1"/>
  <c r="AQ218" i="3" s="1"/>
  <c r="BD217" i="3"/>
  <c r="F212" i="3"/>
  <c r="C19" i="3"/>
  <c r="B30" i="5" l="1"/>
  <c r="E212" i="3"/>
  <c r="G212" i="3" s="1"/>
  <c r="B19" i="3"/>
  <c r="D19" i="3" s="1"/>
  <c r="CK216" i="3"/>
  <c r="CL216" i="3" s="1"/>
  <c r="AB211" i="3"/>
  <c r="AC211" i="3" s="1"/>
  <c r="U211" i="3"/>
  <c r="AH211" i="3" s="1"/>
  <c r="AR218" i="3"/>
  <c r="I19" i="3"/>
  <c r="AG211" i="3"/>
  <c r="AG212" i="3" s="1"/>
  <c r="AG213" i="3" s="1"/>
  <c r="AG214" i="3" s="1"/>
  <c r="AG215" i="3" s="1"/>
  <c r="AG216" i="3" s="1"/>
  <c r="AG217" i="3" s="1"/>
  <c r="AG218" i="3" s="1"/>
  <c r="AG219" i="3" s="1"/>
  <c r="AG220" i="3" s="1"/>
  <c r="AG221" i="3" s="1"/>
  <c r="AG222" i="3" s="1"/>
  <c r="BL217" i="3"/>
  <c r="BM217" i="3" s="1"/>
  <c r="BE217" i="3"/>
  <c r="BR217" i="3" s="1"/>
  <c r="AT218" i="3" l="1"/>
  <c r="AW218" i="3" s="1"/>
  <c r="H212" i="3"/>
  <c r="AS218" i="3"/>
  <c r="CR216" i="3"/>
  <c r="CU216" i="3" s="1"/>
  <c r="BZ217" i="3" s="1"/>
  <c r="CQ216" i="3"/>
  <c r="CP216" i="3"/>
  <c r="CZ216" i="3" s="1"/>
  <c r="CM216" i="3"/>
  <c r="CY216" i="3" s="1"/>
  <c r="CN216" i="3" l="1"/>
  <c r="DC216" i="3"/>
  <c r="CT216" i="3"/>
  <c r="BY217" i="3" s="1"/>
  <c r="CA217" i="3" s="1"/>
  <c r="J212" i="3"/>
  <c r="M212" i="3" s="1"/>
  <c r="I212" i="3"/>
  <c r="AZ218" i="3"/>
  <c r="AU218" i="3"/>
  <c r="BN218" i="3" l="1"/>
  <c r="AV218" i="3"/>
  <c r="P212" i="3"/>
  <c r="K212" i="3"/>
  <c r="CB217" i="3"/>
  <c r="CC217" i="3"/>
  <c r="CV216" i="3"/>
  <c r="CW216" i="3" s="1"/>
  <c r="CO216" i="3"/>
  <c r="DB216" i="3" s="1"/>
  <c r="AD212" i="3" l="1"/>
  <c r="L212" i="3"/>
  <c r="CD217" i="3"/>
  <c r="CG217" i="3" s="1"/>
  <c r="CJ217" i="3" s="1"/>
  <c r="AX218" i="3"/>
  <c r="AY218" i="3"/>
  <c r="BA218" i="3" l="1"/>
  <c r="BB218" i="3" s="1"/>
  <c r="CE217" i="3"/>
  <c r="O212" i="3"/>
  <c r="N212" i="3"/>
  <c r="CX217" i="3" l="1"/>
  <c r="CF217" i="3"/>
  <c r="Q212" i="3"/>
  <c r="R212" i="3" s="1"/>
  <c r="BH218" i="3"/>
  <c r="BK218" i="3" s="1"/>
  <c r="AP219" i="3" s="1"/>
  <c r="BG218" i="3"/>
  <c r="BF218" i="3"/>
  <c r="BP218" i="3" s="1"/>
  <c r="BC218" i="3"/>
  <c r="BO218" i="3" s="1"/>
  <c r="BJ218" i="3" l="1"/>
  <c r="AO219" i="3" s="1"/>
  <c r="AQ219" i="3" s="1"/>
  <c r="BS218" i="3"/>
  <c r="BD218" i="3"/>
  <c r="X212" i="3"/>
  <c r="AA212" i="3" s="1"/>
  <c r="F213" i="3" s="1"/>
  <c r="W212" i="3"/>
  <c r="V212" i="3"/>
  <c r="AF212" i="3" s="1"/>
  <c r="S212" i="3"/>
  <c r="CH217" i="3"/>
  <c r="CI217" i="3"/>
  <c r="AE212" i="3" l="1"/>
  <c r="AI212" i="3"/>
  <c r="Z212" i="3"/>
  <c r="E213" i="3" s="1"/>
  <c r="G213" i="3" s="1"/>
  <c r="BL218" i="3"/>
  <c r="BM218" i="3" s="1"/>
  <c r="BE218" i="3"/>
  <c r="BR218" i="3" s="1"/>
  <c r="CK217" i="3"/>
  <c r="CL217" i="3" s="1"/>
  <c r="T212" i="3"/>
  <c r="AR219" i="3"/>
  <c r="AS219" i="3" s="1"/>
  <c r="AB212" i="3" l="1"/>
  <c r="U212" i="3"/>
  <c r="AH212" i="3" s="1"/>
  <c r="AT219" i="3"/>
  <c r="AW219" i="3" s="1"/>
  <c r="AZ219" i="3" s="1"/>
  <c r="CR217" i="3"/>
  <c r="CU217" i="3" s="1"/>
  <c r="BZ218" i="3" s="1"/>
  <c r="CQ217" i="3"/>
  <c r="CP217" i="3"/>
  <c r="CZ217" i="3" s="1"/>
  <c r="CM217" i="3"/>
  <c r="CY217" i="3" s="1"/>
  <c r="H213" i="3"/>
  <c r="J213" i="3" l="1"/>
  <c r="M213" i="3" s="1"/>
  <c r="DC217" i="3"/>
  <c r="CT217" i="3"/>
  <c r="BY218" i="3" s="1"/>
  <c r="CA218" i="3" s="1"/>
  <c r="CN217" i="3"/>
  <c r="AU219" i="3"/>
  <c r="AC212" i="3"/>
  <c r="I213" i="3"/>
  <c r="P213" i="3" l="1"/>
  <c r="CV217" i="3"/>
  <c r="CW217" i="3" s="1"/>
  <c r="CO217" i="3"/>
  <c r="DB217" i="3" s="1"/>
  <c r="BN219" i="3"/>
  <c r="AV219" i="3"/>
  <c r="CB218" i="3"/>
  <c r="K213" i="3"/>
  <c r="AD213" i="3" l="1"/>
  <c r="L213" i="3"/>
  <c r="CD218" i="3"/>
  <c r="CG218" i="3" s="1"/>
  <c r="CC218" i="3"/>
  <c r="AX219" i="3"/>
  <c r="AY219" i="3"/>
  <c r="CJ218" i="3" l="1"/>
  <c r="BA219" i="3"/>
  <c r="BB219" i="3" s="1"/>
  <c r="CE218" i="3"/>
  <c r="N213" i="3"/>
  <c r="O213" i="3"/>
  <c r="Q213" i="3" l="1"/>
  <c r="R213" i="3" s="1"/>
  <c r="CX218" i="3"/>
  <c r="CF218" i="3"/>
  <c r="BH219" i="3"/>
  <c r="BK219" i="3" s="1"/>
  <c r="AP220" i="3" s="1"/>
  <c r="BG219" i="3"/>
  <c r="BF219" i="3"/>
  <c r="BP219" i="3" s="1"/>
  <c r="BC219" i="3"/>
  <c r="BO219" i="3" s="1"/>
  <c r="BS219" i="3" l="1"/>
  <c r="BJ219" i="3"/>
  <c r="AO220" i="3" s="1"/>
  <c r="AQ220" i="3" s="1"/>
  <c r="BD219" i="3"/>
  <c r="CH218" i="3"/>
  <c r="CI218" i="3"/>
  <c r="X213" i="3"/>
  <c r="AA213" i="3" s="1"/>
  <c r="F214" i="3" s="1"/>
  <c r="W213" i="3"/>
  <c r="V213" i="3"/>
  <c r="AF213" i="3" s="1"/>
  <c r="S213" i="3"/>
  <c r="BL219" i="3" l="1"/>
  <c r="BM219" i="3" s="1"/>
  <c r="BE219" i="3"/>
  <c r="BR219" i="3" s="1"/>
  <c r="AE213" i="3"/>
  <c r="AI213" i="3"/>
  <c r="Z213" i="3"/>
  <c r="E214" i="3" s="1"/>
  <c r="G214" i="3" s="1"/>
  <c r="T213" i="3"/>
  <c r="CK218" i="3"/>
  <c r="CL218" i="3" s="1"/>
  <c r="AR220" i="3"/>
  <c r="AT220" i="3" l="1"/>
  <c r="AW220" i="3" s="1"/>
  <c r="AS220" i="3"/>
  <c r="CR218" i="3"/>
  <c r="CU218" i="3" s="1"/>
  <c r="BZ219" i="3" s="1"/>
  <c r="CQ218" i="3"/>
  <c r="CP218" i="3"/>
  <c r="CZ218" i="3" s="1"/>
  <c r="CM218" i="3"/>
  <c r="CY218" i="3" s="1"/>
  <c r="AB213" i="3"/>
  <c r="U213" i="3"/>
  <c r="AH213" i="3" s="1"/>
  <c r="H214" i="3"/>
  <c r="I214" i="3" s="1"/>
  <c r="J214" i="3" l="1"/>
  <c r="M214" i="3" s="1"/>
  <c r="P214" i="3" s="1"/>
  <c r="CT218" i="3"/>
  <c r="BY219" i="3" s="1"/>
  <c r="CA219" i="3" s="1"/>
  <c r="DC218" i="3"/>
  <c r="CN218" i="3"/>
  <c r="AZ220" i="3"/>
  <c r="AC213" i="3"/>
  <c r="AU220" i="3"/>
  <c r="CB219" i="3" l="1"/>
  <c r="K214" i="3"/>
  <c r="CV218" i="3"/>
  <c r="CW218" i="3" s="1"/>
  <c r="CO218" i="3"/>
  <c r="DB218" i="3" s="1"/>
  <c r="BN220" i="3"/>
  <c r="AV220" i="3"/>
  <c r="AD214" i="3" l="1"/>
  <c r="L214" i="3"/>
  <c r="AX220" i="3"/>
  <c r="AY220" i="3"/>
  <c r="CD219" i="3"/>
  <c r="CG219" i="3" s="1"/>
  <c r="CE219" i="3"/>
  <c r="CX219" i="3" s="1"/>
  <c r="CC219" i="3"/>
  <c r="CJ219" i="3" l="1"/>
  <c r="CF219" i="3"/>
  <c r="BA220" i="3"/>
  <c r="BB220" i="3" s="1"/>
  <c r="N214" i="3"/>
  <c r="O214" i="3"/>
  <c r="Q214" i="3" l="1"/>
  <c r="R214" i="3" s="1"/>
  <c r="CH219" i="3"/>
  <c r="CI219" i="3"/>
  <c r="BH220" i="3"/>
  <c r="BK220" i="3" s="1"/>
  <c r="AP221" i="3" s="1"/>
  <c r="BF220" i="3"/>
  <c r="BP220" i="3" s="1"/>
  <c r="BG220" i="3"/>
  <c r="BC220" i="3"/>
  <c r="BO220" i="3" s="1"/>
  <c r="BD220" i="3" l="1"/>
  <c r="BS220" i="3"/>
  <c r="BJ220" i="3"/>
  <c r="AO221" i="3" s="1"/>
  <c r="AQ221" i="3" s="1"/>
  <c r="CK219" i="3"/>
  <c r="CL219" i="3" s="1"/>
  <c r="X214" i="3"/>
  <c r="AA214" i="3" s="1"/>
  <c r="F215" i="3" s="1"/>
  <c r="W214" i="3"/>
  <c r="V214" i="3"/>
  <c r="AF214" i="3" s="1"/>
  <c r="S214" i="3"/>
  <c r="AE214" i="3" l="1"/>
  <c r="Z214" i="3"/>
  <c r="E215" i="3" s="1"/>
  <c r="G215" i="3" s="1"/>
  <c r="AI214" i="3"/>
  <c r="T214" i="3"/>
  <c r="CR219" i="3"/>
  <c r="CU219" i="3" s="1"/>
  <c r="BZ220" i="3" s="1"/>
  <c r="CP219" i="3"/>
  <c r="CZ219" i="3" s="1"/>
  <c r="CQ219" i="3"/>
  <c r="CM219" i="3"/>
  <c r="CY219" i="3" s="1"/>
  <c r="AR221" i="3"/>
  <c r="BL220" i="3"/>
  <c r="BM220" i="3" s="1"/>
  <c r="BE220" i="3"/>
  <c r="BR220" i="3" s="1"/>
  <c r="AT221" i="3" l="1"/>
  <c r="AW221" i="3" s="1"/>
  <c r="AS221" i="3"/>
  <c r="DC219" i="3"/>
  <c r="CT219" i="3"/>
  <c r="BY220" i="3" s="1"/>
  <c r="CA220" i="3" s="1"/>
  <c r="CN219" i="3"/>
  <c r="AB214" i="3"/>
  <c r="U214" i="3"/>
  <c r="AH214" i="3" s="1"/>
  <c r="H215" i="3"/>
  <c r="J215" i="3" l="1"/>
  <c r="M215" i="3" s="1"/>
  <c r="AC214" i="3"/>
  <c r="CB220" i="3"/>
  <c r="I215" i="3"/>
  <c r="CV219" i="3"/>
  <c r="CW219" i="3" s="1"/>
  <c r="CO219" i="3"/>
  <c r="DB219" i="3" s="1"/>
  <c r="AZ221" i="3"/>
  <c r="AU221" i="3"/>
  <c r="BN221" i="3" l="1"/>
  <c r="AV221" i="3"/>
  <c r="P215" i="3"/>
  <c r="CD220" i="3"/>
  <c r="CG220" i="3" s="1"/>
  <c r="CE220" i="3"/>
  <c r="CX220" i="3" s="1"/>
  <c r="CC220" i="3"/>
  <c r="K215" i="3"/>
  <c r="CJ220" i="3" l="1"/>
  <c r="AD215" i="3"/>
  <c r="L215" i="3"/>
  <c r="CF220" i="3"/>
  <c r="AX221" i="3"/>
  <c r="AY221" i="3"/>
  <c r="CH220" i="3" l="1"/>
  <c r="CI220" i="3"/>
  <c r="BA221" i="3"/>
  <c r="BB221" i="3" s="1"/>
  <c r="N215" i="3"/>
  <c r="O215" i="3"/>
  <c r="Q215" i="3" l="1"/>
  <c r="R215" i="3" s="1"/>
  <c r="BH221" i="3"/>
  <c r="BK221" i="3" s="1"/>
  <c r="AP222" i="3" s="1"/>
  <c r="BG221" i="3"/>
  <c r="BF221" i="3"/>
  <c r="BP221" i="3" s="1"/>
  <c r="BC221" i="3"/>
  <c r="BO221" i="3" s="1"/>
  <c r="CK220" i="3"/>
  <c r="CL220" i="3" s="1"/>
  <c r="CR220" i="3" l="1"/>
  <c r="CU220" i="3" s="1"/>
  <c r="BZ221" i="3" s="1"/>
  <c r="CQ220" i="3"/>
  <c r="CP220" i="3"/>
  <c r="CZ220" i="3" s="1"/>
  <c r="CM220" i="3"/>
  <c r="CY220" i="3" s="1"/>
  <c r="BJ221" i="3"/>
  <c r="AO222" i="3" s="1"/>
  <c r="AQ222" i="3" s="1"/>
  <c r="BS221" i="3"/>
  <c r="BD221" i="3"/>
  <c r="X215" i="3"/>
  <c r="AA215" i="3" s="1"/>
  <c r="F216" i="3" s="1"/>
  <c r="W215" i="3"/>
  <c r="V215" i="3"/>
  <c r="AF215" i="3" s="1"/>
  <c r="S215" i="3"/>
  <c r="DC220" i="3" l="1"/>
  <c r="CT220" i="3"/>
  <c r="BY221" i="3" s="1"/>
  <c r="CA221" i="3" s="1"/>
  <c r="AE215" i="3"/>
  <c r="AI215" i="3"/>
  <c r="Z215" i="3"/>
  <c r="E216" i="3" s="1"/>
  <c r="G216" i="3" s="1"/>
  <c r="T215" i="3"/>
  <c r="BL221" i="3"/>
  <c r="BM221" i="3" s="1"/>
  <c r="BE221" i="3"/>
  <c r="BR221" i="3" s="1"/>
  <c r="AR222" i="3"/>
  <c r="AS222" i="3" s="1"/>
  <c r="CN220" i="3"/>
  <c r="AT222" i="3" l="1"/>
  <c r="AW222" i="3" s="1"/>
  <c r="AZ222" i="3" s="1"/>
  <c r="AB215" i="3"/>
  <c r="U215" i="3"/>
  <c r="AH215" i="3" s="1"/>
  <c r="H216" i="3"/>
  <c r="CB221" i="3"/>
  <c r="CV220" i="3"/>
  <c r="CW220" i="3" s="1"/>
  <c r="CO220" i="3"/>
  <c r="DB220" i="3" s="1"/>
  <c r="AU222" i="3" l="1"/>
  <c r="BN222" i="3" s="1"/>
  <c r="CD221" i="3"/>
  <c r="CG221" i="3" s="1"/>
  <c r="CE221" i="3"/>
  <c r="CX221" i="3" s="1"/>
  <c r="AV222" i="3"/>
  <c r="CC221" i="3"/>
  <c r="J216" i="3"/>
  <c r="M216" i="3" s="1"/>
  <c r="I216" i="3"/>
  <c r="AC215" i="3"/>
  <c r="P216" i="3" l="1"/>
  <c r="K216" i="3"/>
  <c r="CJ221" i="3"/>
  <c r="AX222" i="3"/>
  <c r="AY222" i="3"/>
  <c r="CF221" i="3"/>
  <c r="BA222" i="3" l="1"/>
  <c r="BB222" i="3" s="1"/>
  <c r="AD216" i="3"/>
  <c r="L216" i="3"/>
  <c r="CI221" i="3"/>
  <c r="CH221" i="3"/>
  <c r="CK221" i="3" l="1"/>
  <c r="CL221" i="3" s="1"/>
  <c r="N216" i="3"/>
  <c r="O216" i="3"/>
  <c r="BH222" i="3"/>
  <c r="BK222" i="3" s="1"/>
  <c r="AP223" i="3" s="1"/>
  <c r="BF222" i="3"/>
  <c r="BP222" i="3" s="1"/>
  <c r="BG222" i="3"/>
  <c r="BC222" i="3"/>
  <c r="BO222" i="3" s="1"/>
  <c r="BS222" i="3" l="1"/>
  <c r="BJ222" i="3"/>
  <c r="AO223" i="3" s="1"/>
  <c r="AQ223" i="3" s="1"/>
  <c r="BD222" i="3"/>
  <c r="Q216" i="3"/>
  <c r="R216" i="3" s="1"/>
  <c r="CR221" i="3"/>
  <c r="CU221" i="3" s="1"/>
  <c r="BZ222" i="3" s="1"/>
  <c r="CQ221" i="3"/>
  <c r="CP221" i="3"/>
  <c r="CZ221" i="3" s="1"/>
  <c r="CM221" i="3"/>
  <c r="CY221" i="3" s="1"/>
  <c r="CT221" i="3" l="1"/>
  <c r="BY222" i="3" s="1"/>
  <c r="CA222" i="3" s="1"/>
  <c r="DC221" i="3"/>
  <c r="CN221" i="3"/>
  <c r="X216" i="3"/>
  <c r="AA216" i="3" s="1"/>
  <c r="F217" i="3" s="1"/>
  <c r="W216" i="3"/>
  <c r="V216" i="3"/>
  <c r="AF216" i="3" s="1"/>
  <c r="S216" i="3"/>
  <c r="AE216" i="3" s="1"/>
  <c r="BL222" i="3"/>
  <c r="BM222" i="3" s="1"/>
  <c r="BE222" i="3"/>
  <c r="BR222" i="3" s="1"/>
  <c r="AR223" i="3"/>
  <c r="Z216" i="3" l="1"/>
  <c r="E217" i="3" s="1"/>
  <c r="G217" i="3" s="1"/>
  <c r="AI216" i="3"/>
  <c r="CV221" i="3"/>
  <c r="CW221" i="3" s="1"/>
  <c r="CO221" i="3"/>
  <c r="DB221" i="3" s="1"/>
  <c r="AT223" i="3"/>
  <c r="AW223" i="3" s="1"/>
  <c r="AS223" i="3"/>
  <c r="T216" i="3"/>
  <c r="CB222" i="3"/>
  <c r="CD222" i="3" l="1"/>
  <c r="CG222" i="3" s="1"/>
  <c r="CC222" i="3"/>
  <c r="AZ223" i="3"/>
  <c r="AU223" i="3"/>
  <c r="AB216" i="3"/>
  <c r="AC216" i="3" s="1"/>
  <c r="U216" i="3"/>
  <c r="AH216" i="3" s="1"/>
  <c r="H217" i="3"/>
  <c r="I217" i="3" s="1"/>
  <c r="J217" i="3" l="1"/>
  <c r="M217" i="3" s="1"/>
  <c r="P217" i="3" s="1"/>
  <c r="BN223" i="3"/>
  <c r="AV223" i="3"/>
  <c r="CJ222" i="3"/>
  <c r="CE222" i="3"/>
  <c r="CX222" i="3" l="1"/>
  <c r="CF222" i="3"/>
  <c r="AX223" i="3"/>
  <c r="AY223" i="3"/>
  <c r="K217" i="3"/>
  <c r="AD217" i="3" l="1"/>
  <c r="L217" i="3"/>
  <c r="BA223" i="3"/>
  <c r="BB223" i="3" s="1"/>
  <c r="CH222" i="3"/>
  <c r="CI222" i="3"/>
  <c r="CK222" i="3" l="1"/>
  <c r="CL222" i="3" s="1"/>
  <c r="BH223" i="3"/>
  <c r="BK223" i="3" s="1"/>
  <c r="BG223" i="3"/>
  <c r="BF223" i="3"/>
  <c r="BP223" i="3" s="1"/>
  <c r="BC223" i="3"/>
  <c r="BO223" i="3" s="1"/>
  <c r="O217" i="3"/>
  <c r="N217" i="3"/>
  <c r="Q217" i="3" l="1"/>
  <c r="R217" i="3" s="1"/>
  <c r="AP224" i="3"/>
  <c r="P20" i="3"/>
  <c r="K9" i="5"/>
  <c r="G31" i="5"/>
  <c r="W20" i="3"/>
  <c r="BS223" i="3"/>
  <c r="BI223" i="3"/>
  <c r="BD223" i="3"/>
  <c r="CR222" i="3"/>
  <c r="CU222" i="3" s="1"/>
  <c r="BZ223" i="3" s="1"/>
  <c r="CP222" i="3"/>
  <c r="CZ222" i="3" s="1"/>
  <c r="CQ222" i="3"/>
  <c r="CM222" i="3"/>
  <c r="CY222" i="3" s="1"/>
  <c r="CN222" i="3" l="1"/>
  <c r="CV222" i="3"/>
  <c r="CW222" i="3" s="1"/>
  <c r="CO222" i="3"/>
  <c r="DB222" i="3" s="1"/>
  <c r="BL223" i="3"/>
  <c r="BM223" i="3" s="1"/>
  <c r="BE223" i="3"/>
  <c r="BR223" i="3" s="1"/>
  <c r="V20" i="3"/>
  <c r="BQ223" i="3"/>
  <c r="BQ224" i="3" s="1"/>
  <c r="BQ225" i="3" s="1"/>
  <c r="BQ226" i="3" s="1"/>
  <c r="BQ227" i="3" s="1"/>
  <c r="BQ228" i="3" s="1"/>
  <c r="BQ229" i="3" s="1"/>
  <c r="BQ230" i="3" s="1"/>
  <c r="BQ231" i="3" s="1"/>
  <c r="BQ232" i="3" s="1"/>
  <c r="BQ233" i="3" s="1"/>
  <c r="BQ234" i="3" s="1"/>
  <c r="BJ223" i="3"/>
  <c r="X217" i="3"/>
  <c r="AA217" i="3" s="1"/>
  <c r="F218" i="3" s="1"/>
  <c r="V217" i="3"/>
  <c r="AF217" i="3" s="1"/>
  <c r="W217" i="3"/>
  <c r="S217" i="3"/>
  <c r="AE217" i="3" s="1"/>
  <c r="DC222" i="3"/>
  <c r="CT222" i="3"/>
  <c r="BY223" i="3" s="1"/>
  <c r="CA223" i="3" s="1"/>
  <c r="Z217" i="3" l="1"/>
  <c r="E218" i="3" s="1"/>
  <c r="G218" i="3" s="1"/>
  <c r="AI217" i="3"/>
  <c r="T217" i="3"/>
  <c r="J9" i="5"/>
  <c r="C31" i="5"/>
  <c r="AO224" i="3"/>
  <c r="AQ224" i="3" s="1"/>
  <c r="O20" i="3"/>
  <c r="Q20" i="3" s="1"/>
  <c r="CB223" i="3"/>
  <c r="CC223" i="3" s="1"/>
  <c r="AR224" i="3" l="1"/>
  <c r="AB217" i="3"/>
  <c r="AC217" i="3" s="1"/>
  <c r="U217" i="3"/>
  <c r="AH217" i="3" s="1"/>
  <c r="H218" i="3"/>
  <c r="CD223" i="3"/>
  <c r="CG223" i="3" s="1"/>
  <c r="CJ223" i="3" s="1"/>
  <c r="CE223" i="3" l="1"/>
  <c r="J218" i="3"/>
  <c r="M218" i="3" s="1"/>
  <c r="I218" i="3"/>
  <c r="AT224" i="3"/>
  <c r="AW224" i="3" s="1"/>
  <c r="AU224" i="3"/>
  <c r="AS224" i="3"/>
  <c r="BN224" i="3" l="1"/>
  <c r="P218" i="3"/>
  <c r="AZ224" i="3"/>
  <c r="AV224" i="3"/>
  <c r="K218" i="3"/>
  <c r="CX223" i="3"/>
  <c r="CF223" i="3"/>
  <c r="AX224" i="3" l="1"/>
  <c r="AY224" i="3"/>
  <c r="CH223" i="3"/>
  <c r="CI223" i="3"/>
  <c r="AD218" i="3"/>
  <c r="L218" i="3"/>
  <c r="N218" i="3" l="1"/>
  <c r="O218" i="3"/>
  <c r="CK223" i="3"/>
  <c r="CL223" i="3" s="1"/>
  <c r="BA224" i="3"/>
  <c r="BB224" i="3" s="1"/>
  <c r="CR223" i="3" l="1"/>
  <c r="CU223" i="3" s="1"/>
  <c r="CQ223" i="3"/>
  <c r="CP223" i="3"/>
  <c r="CZ223" i="3" s="1"/>
  <c r="CM223" i="3"/>
  <c r="CY223" i="3" s="1"/>
  <c r="BH224" i="3"/>
  <c r="BK224" i="3" s="1"/>
  <c r="AP225" i="3" s="1"/>
  <c r="BG224" i="3"/>
  <c r="BF224" i="3"/>
  <c r="BP224" i="3" s="1"/>
  <c r="BC224" i="3"/>
  <c r="BD224" i="3" s="1"/>
  <c r="Q218" i="3"/>
  <c r="R218" i="3" s="1"/>
  <c r="BL224" i="3" l="1"/>
  <c r="BE224" i="3"/>
  <c r="BR224" i="3" s="1"/>
  <c r="BO224" i="3"/>
  <c r="BJ224" i="3"/>
  <c r="AO225" i="3" s="1"/>
  <c r="AQ225" i="3" s="1"/>
  <c r="BS224" i="3"/>
  <c r="AJ20" i="3"/>
  <c r="CN223" i="3"/>
  <c r="X218" i="3"/>
  <c r="AA218" i="3" s="1"/>
  <c r="F219" i="3" s="1"/>
  <c r="W218" i="3"/>
  <c r="V218" i="3"/>
  <c r="AF218" i="3" s="1"/>
  <c r="S218" i="3"/>
  <c r="AE218" i="3" s="1"/>
  <c r="H31" i="5"/>
  <c r="K10" i="5"/>
  <c r="CS223" i="3"/>
  <c r="CT223" i="3" s="1"/>
  <c r="DC223" i="3"/>
  <c r="BZ224" i="3"/>
  <c r="AC20" i="3"/>
  <c r="AI218" i="3" l="1"/>
  <c r="Z218" i="3"/>
  <c r="E219" i="3" s="1"/>
  <c r="G219" i="3" s="1"/>
  <c r="CV223" i="3"/>
  <c r="CW223" i="3" s="1"/>
  <c r="CO223" i="3"/>
  <c r="DB223" i="3" s="1"/>
  <c r="D31" i="5"/>
  <c r="J10" i="5"/>
  <c r="BY224" i="3"/>
  <c r="CA224" i="3" s="1"/>
  <c r="AB20" i="3"/>
  <c r="AD20" i="3" s="1"/>
  <c r="T218" i="3"/>
  <c r="AR225" i="3"/>
  <c r="AI20" i="3"/>
  <c r="DA223" i="3"/>
  <c r="DA224" i="3" s="1"/>
  <c r="DA225" i="3" s="1"/>
  <c r="DA226" i="3" s="1"/>
  <c r="DA227" i="3" s="1"/>
  <c r="DA228" i="3" s="1"/>
  <c r="DA229" i="3" s="1"/>
  <c r="DA230" i="3" s="1"/>
  <c r="DA231" i="3" s="1"/>
  <c r="DA232" i="3" s="1"/>
  <c r="DA233" i="3" s="1"/>
  <c r="DA234" i="3" s="1"/>
  <c r="BM224" i="3"/>
  <c r="AB218" i="3" l="1"/>
  <c r="AC218" i="3" s="1"/>
  <c r="U218" i="3"/>
  <c r="AH218" i="3" s="1"/>
  <c r="AT225" i="3"/>
  <c r="AW225" i="3" s="1"/>
  <c r="AS225" i="3"/>
  <c r="CB224" i="3"/>
  <c r="CC224" i="3" s="1"/>
  <c r="H219" i="3"/>
  <c r="J219" i="3" l="1"/>
  <c r="M219" i="3" s="1"/>
  <c r="I219" i="3"/>
  <c r="CD224" i="3"/>
  <c r="CG224" i="3" s="1"/>
  <c r="CJ224" i="3" s="1"/>
  <c r="AZ225" i="3"/>
  <c r="AU225" i="3"/>
  <c r="BN225" i="3" l="1"/>
  <c r="AV225" i="3"/>
  <c r="CE224" i="3"/>
  <c r="P219" i="3"/>
  <c r="K219" i="3"/>
  <c r="AD219" i="3" l="1"/>
  <c r="L219" i="3"/>
  <c r="CX224" i="3"/>
  <c r="CF224" i="3"/>
  <c r="AX225" i="3"/>
  <c r="AY225" i="3"/>
  <c r="BA225" i="3" l="1"/>
  <c r="BB225" i="3" s="1"/>
  <c r="CH224" i="3"/>
  <c r="CI224" i="3"/>
  <c r="N219" i="3"/>
  <c r="O219" i="3"/>
  <c r="Q219" i="3" l="1"/>
  <c r="R219" i="3" s="1"/>
  <c r="CK224" i="3"/>
  <c r="CL224" i="3" s="1"/>
  <c r="BH225" i="3"/>
  <c r="BK225" i="3" s="1"/>
  <c r="AP226" i="3" s="1"/>
  <c r="BG225" i="3"/>
  <c r="BF225" i="3"/>
  <c r="BP225" i="3" s="1"/>
  <c r="BC225" i="3"/>
  <c r="BS225" i="3" l="1"/>
  <c r="BJ225" i="3"/>
  <c r="AO226" i="3" s="1"/>
  <c r="AQ226" i="3" s="1"/>
  <c r="BO225" i="3"/>
  <c r="CR224" i="3"/>
  <c r="CU224" i="3" s="1"/>
  <c r="BZ225" i="3" s="1"/>
  <c r="CQ224" i="3"/>
  <c r="CP224" i="3"/>
  <c r="CZ224" i="3" s="1"/>
  <c r="CM224" i="3"/>
  <c r="BD225" i="3"/>
  <c r="X219" i="3"/>
  <c r="AA219" i="3" s="1"/>
  <c r="F220" i="3" s="1"/>
  <c r="W219" i="3"/>
  <c r="V219" i="3"/>
  <c r="AF219" i="3" s="1"/>
  <c r="S219" i="3"/>
  <c r="AE219" i="3" s="1"/>
  <c r="T219" i="3" l="1"/>
  <c r="Z219" i="3"/>
  <c r="E220" i="3" s="1"/>
  <c r="G220" i="3" s="1"/>
  <c r="AI219" i="3"/>
  <c r="AB219" i="3"/>
  <c r="AC219" i="3" s="1"/>
  <c r="U219" i="3"/>
  <c r="AH219" i="3" s="1"/>
  <c r="BL225" i="3"/>
  <c r="BE225" i="3"/>
  <c r="BR225" i="3" s="1"/>
  <c r="CY224" i="3"/>
  <c r="DC224" i="3"/>
  <c r="CT224" i="3"/>
  <c r="BY225" i="3" s="1"/>
  <c r="CA225" i="3" s="1"/>
  <c r="CN224" i="3"/>
  <c r="AR226" i="3"/>
  <c r="CB225" i="3" l="1"/>
  <c r="BM225" i="3"/>
  <c r="CV224" i="3"/>
  <c r="CO224" i="3"/>
  <c r="DB224" i="3" s="1"/>
  <c r="AT226" i="3"/>
  <c r="AW226" i="3" s="1"/>
  <c r="AS226" i="3"/>
  <c r="H220" i="3"/>
  <c r="AU226" i="3" l="1"/>
  <c r="J220" i="3"/>
  <c r="M220" i="3" s="1"/>
  <c r="AZ226" i="3"/>
  <c r="CW224" i="3"/>
  <c r="CD225" i="3"/>
  <c r="CG225" i="3" s="1"/>
  <c r="I220" i="3"/>
  <c r="CC225" i="3"/>
  <c r="P220" i="3" l="1"/>
  <c r="CE225" i="3"/>
  <c r="K220" i="3"/>
  <c r="CJ225" i="3"/>
  <c r="BN226" i="3"/>
  <c r="AV226" i="3"/>
  <c r="AX226" i="3" l="1"/>
  <c r="AY226" i="3"/>
  <c r="AD220" i="3"/>
  <c r="L220" i="3"/>
  <c r="CX225" i="3"/>
  <c r="CF225" i="3"/>
  <c r="CH225" i="3" l="1"/>
  <c r="CI225" i="3"/>
  <c r="N220" i="3"/>
  <c r="O220" i="3"/>
  <c r="BA226" i="3"/>
  <c r="BB226" i="3" s="1"/>
  <c r="BH226" i="3" l="1"/>
  <c r="BK226" i="3" s="1"/>
  <c r="AP227" i="3" s="1"/>
  <c r="BG226" i="3"/>
  <c r="BF226" i="3"/>
  <c r="BP226" i="3" s="1"/>
  <c r="BC226" i="3"/>
  <c r="Q220" i="3"/>
  <c r="R220" i="3" s="1"/>
  <c r="CK225" i="3"/>
  <c r="CL225" i="3" s="1"/>
  <c r="X220" i="3" l="1"/>
  <c r="AA220" i="3" s="1"/>
  <c r="F221" i="3" s="1"/>
  <c r="W220" i="3"/>
  <c r="V220" i="3"/>
  <c r="AF220" i="3" s="1"/>
  <c r="S220" i="3"/>
  <c r="AE220" i="3" s="1"/>
  <c r="CR225" i="3"/>
  <c r="CU225" i="3" s="1"/>
  <c r="BZ226" i="3" s="1"/>
  <c r="CQ225" i="3"/>
  <c r="CP225" i="3"/>
  <c r="CZ225" i="3" s="1"/>
  <c r="CM225" i="3"/>
  <c r="BO226" i="3"/>
  <c r="BS226" i="3"/>
  <c r="BJ226" i="3"/>
  <c r="AO227" i="3" s="1"/>
  <c r="AQ227" i="3" s="1"/>
  <c r="BD226" i="3"/>
  <c r="AR227" i="3" l="1"/>
  <c r="AS227" i="3"/>
  <c r="DC225" i="3"/>
  <c r="CT225" i="3"/>
  <c r="BY226" i="3" s="1"/>
  <c r="CA226" i="3" s="1"/>
  <c r="AI220" i="3"/>
  <c r="Z220" i="3"/>
  <c r="E221" i="3" s="1"/>
  <c r="G221" i="3" s="1"/>
  <c r="BL226" i="3"/>
  <c r="BE226" i="3"/>
  <c r="BR226" i="3" s="1"/>
  <c r="CY225" i="3"/>
  <c r="CN225" i="3"/>
  <c r="T220" i="3"/>
  <c r="H221" i="3" l="1"/>
  <c r="CV225" i="3"/>
  <c r="CO225" i="3"/>
  <c r="DB225" i="3" s="1"/>
  <c r="CB226" i="3"/>
  <c r="BM226" i="3"/>
  <c r="AB220" i="3"/>
  <c r="AC220" i="3" s="1"/>
  <c r="U220" i="3"/>
  <c r="AH220" i="3" s="1"/>
  <c r="AT227" i="3"/>
  <c r="AW227" i="3" s="1"/>
  <c r="AZ227" i="3" s="1"/>
  <c r="CD226" i="3" l="1"/>
  <c r="CG226" i="3" s="1"/>
  <c r="CE226" i="3"/>
  <c r="CW225" i="3"/>
  <c r="CC226" i="3"/>
  <c r="J221" i="3"/>
  <c r="M221" i="3" s="1"/>
  <c r="AU227" i="3"/>
  <c r="I221" i="3"/>
  <c r="BN227" i="3" l="1"/>
  <c r="AV227" i="3"/>
  <c r="K221" i="3"/>
  <c r="CJ226" i="3"/>
  <c r="CX226" i="3"/>
  <c r="CF226" i="3"/>
  <c r="P221" i="3"/>
  <c r="CH226" i="3" l="1"/>
  <c r="CI226" i="3"/>
  <c r="AD221" i="3"/>
  <c r="L221" i="3"/>
  <c r="AX227" i="3"/>
  <c r="AY227" i="3"/>
  <c r="BA227" i="3" l="1"/>
  <c r="BB227" i="3" s="1"/>
  <c r="N221" i="3"/>
  <c r="O221" i="3"/>
  <c r="CK226" i="3"/>
  <c r="CL226" i="3" s="1"/>
  <c r="CR226" i="3" l="1"/>
  <c r="CU226" i="3" s="1"/>
  <c r="BZ227" i="3" s="1"/>
  <c r="CQ226" i="3"/>
  <c r="CP226" i="3"/>
  <c r="CZ226" i="3" s="1"/>
  <c r="CM226" i="3"/>
  <c r="Q221" i="3"/>
  <c r="R221" i="3" s="1"/>
  <c r="BH227" i="3"/>
  <c r="BK227" i="3" s="1"/>
  <c r="AP228" i="3" s="1"/>
  <c r="BG227" i="3"/>
  <c r="BF227" i="3"/>
  <c r="BP227" i="3" s="1"/>
  <c r="BC227" i="3"/>
  <c r="X221" i="3" l="1"/>
  <c r="AA221" i="3" s="1"/>
  <c r="F222" i="3" s="1"/>
  <c r="W221" i="3"/>
  <c r="V221" i="3"/>
  <c r="AF221" i="3" s="1"/>
  <c r="S221" i="3"/>
  <c r="AE221" i="3" s="1"/>
  <c r="CY226" i="3"/>
  <c r="CT226" i="3"/>
  <c r="BY227" i="3" s="1"/>
  <c r="CA227" i="3" s="1"/>
  <c r="DC226" i="3"/>
  <c r="CN226" i="3"/>
  <c r="BO227" i="3"/>
  <c r="BS227" i="3"/>
  <c r="BJ227" i="3"/>
  <c r="AO228" i="3" s="1"/>
  <c r="AQ228" i="3" s="1"/>
  <c r="BD227" i="3"/>
  <c r="AR228" i="3" l="1"/>
  <c r="CV226" i="3"/>
  <c r="CO226" i="3"/>
  <c r="DB226" i="3" s="1"/>
  <c r="Z221" i="3"/>
  <c r="E222" i="3" s="1"/>
  <c r="G222" i="3" s="1"/>
  <c r="AI221" i="3"/>
  <c r="T221" i="3"/>
  <c r="CB227" i="3"/>
  <c r="BL227" i="3"/>
  <c r="BE227" i="3"/>
  <c r="BR227" i="3" s="1"/>
  <c r="AB221" i="3" l="1"/>
  <c r="AC221" i="3" s="1"/>
  <c r="U221" i="3"/>
  <c r="AH221" i="3" s="1"/>
  <c r="CD227" i="3"/>
  <c r="CG227" i="3" s="1"/>
  <c r="CW226" i="3"/>
  <c r="BM227" i="3"/>
  <c r="CC227" i="3"/>
  <c r="H222" i="3"/>
  <c r="I222" i="3" s="1"/>
  <c r="AT228" i="3"/>
  <c r="AW228" i="3" s="1"/>
  <c r="AS228" i="3"/>
  <c r="J222" i="3" l="1"/>
  <c r="M222" i="3" s="1"/>
  <c r="P222" i="3" s="1"/>
  <c r="CJ227" i="3"/>
  <c r="CE227" i="3"/>
  <c r="AZ228" i="3"/>
  <c r="AU228" i="3"/>
  <c r="CX227" i="3" l="1"/>
  <c r="CF227" i="3"/>
  <c r="K222" i="3"/>
  <c r="BN228" i="3"/>
  <c r="AV228" i="3"/>
  <c r="AX228" i="3" l="1"/>
  <c r="AY228" i="3"/>
  <c r="AD222" i="3"/>
  <c r="L222" i="3"/>
  <c r="CH227" i="3"/>
  <c r="CI227" i="3"/>
  <c r="CK227" i="3" l="1"/>
  <c r="CL227" i="3" s="1"/>
  <c r="BA228" i="3"/>
  <c r="BB228" i="3" s="1"/>
  <c r="N222" i="3"/>
  <c r="O222" i="3"/>
  <c r="BH228" i="3" l="1"/>
  <c r="BK228" i="3" s="1"/>
  <c r="AP229" i="3" s="1"/>
  <c r="BF228" i="3"/>
  <c r="BP228" i="3" s="1"/>
  <c r="BG228" i="3"/>
  <c r="BC228" i="3"/>
  <c r="BO228" i="3" s="1"/>
  <c r="Q222" i="3"/>
  <c r="R222" i="3" s="1"/>
  <c r="CR227" i="3"/>
  <c r="CU227" i="3" s="1"/>
  <c r="BZ228" i="3" s="1"/>
  <c r="CQ227" i="3"/>
  <c r="CP227" i="3"/>
  <c r="CZ227" i="3" s="1"/>
  <c r="CM227" i="3"/>
  <c r="CN227" i="3" s="1"/>
  <c r="CV227" i="3" l="1"/>
  <c r="CO227" i="3"/>
  <c r="DB227" i="3" s="1"/>
  <c r="X222" i="3"/>
  <c r="AA222" i="3" s="1"/>
  <c r="F223" i="3" s="1"/>
  <c r="W222" i="3"/>
  <c r="V222" i="3"/>
  <c r="AF222" i="3" s="1"/>
  <c r="S222" i="3"/>
  <c r="AE222" i="3" s="1"/>
  <c r="DC227" i="3"/>
  <c r="CT227" i="3"/>
  <c r="BY228" i="3" s="1"/>
  <c r="CA228" i="3" s="1"/>
  <c r="BS228" i="3"/>
  <c r="BJ228" i="3"/>
  <c r="AO229" i="3" s="1"/>
  <c r="AQ229" i="3" s="1"/>
  <c r="BD228" i="3"/>
  <c r="CY227" i="3"/>
  <c r="BL228" i="3" l="1"/>
  <c r="BM228" i="3" s="1"/>
  <c r="BE228" i="3"/>
  <c r="BR228" i="3" s="1"/>
  <c r="AR229" i="3"/>
  <c r="AI222" i="3"/>
  <c r="Z222" i="3"/>
  <c r="E223" i="3" s="1"/>
  <c r="G223" i="3" s="1"/>
  <c r="T222" i="3"/>
  <c r="CB228" i="3"/>
  <c r="CW227" i="3"/>
  <c r="AT229" i="3" l="1"/>
  <c r="AW229" i="3" s="1"/>
  <c r="AU229" i="3"/>
  <c r="BN229" i="3" s="1"/>
  <c r="AS229" i="3"/>
  <c r="H223" i="3"/>
  <c r="CD228" i="3"/>
  <c r="CG228" i="3" s="1"/>
  <c r="CC228" i="3"/>
  <c r="AB222" i="3"/>
  <c r="AC222" i="3" s="1"/>
  <c r="U222" i="3"/>
  <c r="AH222" i="3" s="1"/>
  <c r="AZ229" i="3" l="1"/>
  <c r="CJ228" i="3"/>
  <c r="CE228" i="3"/>
  <c r="J223" i="3"/>
  <c r="M223" i="3" s="1"/>
  <c r="I223" i="3"/>
  <c r="AV229" i="3"/>
  <c r="P223" i="3" l="1"/>
  <c r="CX228" i="3"/>
  <c r="CF228" i="3"/>
  <c r="AX229" i="3"/>
  <c r="AY229" i="3"/>
  <c r="K223" i="3"/>
  <c r="BA229" i="3" l="1"/>
  <c r="BB229" i="3" s="1"/>
  <c r="CH228" i="3"/>
  <c r="CI228" i="3"/>
  <c r="AD223" i="3"/>
  <c r="L223" i="3"/>
  <c r="N223" i="3" l="1"/>
  <c r="O223" i="3"/>
  <c r="CK228" i="3"/>
  <c r="CL228" i="3" s="1"/>
  <c r="BH229" i="3"/>
  <c r="BK229" i="3" s="1"/>
  <c r="AP230" i="3" s="1"/>
  <c r="BG229" i="3"/>
  <c r="BF229" i="3"/>
  <c r="BP229" i="3" s="1"/>
  <c r="BC229" i="3"/>
  <c r="BO229" i="3" s="1"/>
  <c r="BJ229" i="3" l="1"/>
  <c r="AO230" i="3" s="1"/>
  <c r="AQ230" i="3" s="1"/>
  <c r="BS229" i="3"/>
  <c r="BD229" i="3"/>
  <c r="CR228" i="3"/>
  <c r="CU228" i="3" s="1"/>
  <c r="BZ229" i="3" s="1"/>
  <c r="CQ228" i="3"/>
  <c r="CP228" i="3"/>
  <c r="CZ228" i="3" s="1"/>
  <c r="CM228" i="3"/>
  <c r="CY228" i="3" s="1"/>
  <c r="Q223" i="3"/>
  <c r="R223" i="3" s="1"/>
  <c r="X223" i="3" l="1"/>
  <c r="AA223" i="3" s="1"/>
  <c r="V223" i="3"/>
  <c r="AF223" i="3" s="1"/>
  <c r="W223" i="3"/>
  <c r="S223" i="3"/>
  <c r="AE223" i="3" s="1"/>
  <c r="CT228" i="3"/>
  <c r="BY229" i="3" s="1"/>
  <c r="CA229" i="3" s="1"/>
  <c r="DC228" i="3"/>
  <c r="CN228" i="3"/>
  <c r="BL229" i="3"/>
  <c r="BM229" i="3" s="1"/>
  <c r="BE229" i="3"/>
  <c r="BR229" i="3" s="1"/>
  <c r="AR230" i="3"/>
  <c r="AS230" i="3" s="1"/>
  <c r="AI223" i="3" l="1"/>
  <c r="Y223" i="3"/>
  <c r="AT230" i="3"/>
  <c r="AW230" i="3" s="1"/>
  <c r="AZ230" i="3" s="1"/>
  <c r="CV228" i="3"/>
  <c r="CO228" i="3"/>
  <c r="DB228" i="3" s="1"/>
  <c r="J20" i="3"/>
  <c r="CB229" i="3"/>
  <c r="CC229" i="3" s="1"/>
  <c r="F31" i="5"/>
  <c r="K8" i="5"/>
  <c r="F224" i="3"/>
  <c r="C20" i="3"/>
  <c r="T223" i="3"/>
  <c r="I20" i="3" l="1"/>
  <c r="AG223" i="3"/>
  <c r="AG224" i="3" s="1"/>
  <c r="AG225" i="3" s="1"/>
  <c r="AG226" i="3" s="1"/>
  <c r="AG227" i="3" s="1"/>
  <c r="AG228" i="3" s="1"/>
  <c r="AG229" i="3" s="1"/>
  <c r="AG230" i="3" s="1"/>
  <c r="AG231" i="3" s="1"/>
  <c r="AG232" i="3" s="1"/>
  <c r="AG233" i="3" s="1"/>
  <c r="AG234" i="3" s="1"/>
  <c r="Z223" i="3"/>
  <c r="CW228" i="3"/>
  <c r="AU230" i="3"/>
  <c r="AB223" i="3"/>
  <c r="AC223" i="3" s="1"/>
  <c r="U223" i="3"/>
  <c r="AH223" i="3" s="1"/>
  <c r="CD229" i="3"/>
  <c r="CG229" i="3" s="1"/>
  <c r="CJ229" i="3" s="1"/>
  <c r="BN230" i="3" l="1"/>
  <c r="AV230" i="3"/>
  <c r="B31" i="5"/>
  <c r="J8" i="5"/>
  <c r="E224" i="3"/>
  <c r="G224" i="3" s="1"/>
  <c r="B20" i="3"/>
  <c r="D20" i="3" s="1"/>
  <c r="CE229" i="3"/>
  <c r="CX229" i="3" l="1"/>
  <c r="CF229" i="3"/>
  <c r="AY230" i="3"/>
  <c r="AX230" i="3"/>
  <c r="H224" i="3"/>
  <c r="BA230" i="3" l="1"/>
  <c r="BB230" i="3" s="1"/>
  <c r="J224" i="3"/>
  <c r="M224" i="3" s="1"/>
  <c r="I224" i="3"/>
  <c r="CH229" i="3"/>
  <c r="CI229" i="3"/>
  <c r="P224" i="3" l="1"/>
  <c r="CK229" i="3"/>
  <c r="CL229" i="3" s="1"/>
  <c r="K224" i="3"/>
  <c r="BH230" i="3"/>
  <c r="BK230" i="3" s="1"/>
  <c r="AP231" i="3" s="1"/>
  <c r="BG230" i="3"/>
  <c r="BF230" i="3"/>
  <c r="BP230" i="3" s="1"/>
  <c r="BC230" i="3"/>
  <c r="BO230" i="3" s="1"/>
  <c r="BS230" i="3" l="1"/>
  <c r="BJ230" i="3"/>
  <c r="AO231" i="3" s="1"/>
  <c r="AQ231" i="3" s="1"/>
  <c r="AD224" i="3"/>
  <c r="L224" i="3"/>
  <c r="BD230" i="3"/>
  <c r="CR229" i="3"/>
  <c r="CU229" i="3" s="1"/>
  <c r="BZ230" i="3" s="1"/>
  <c r="CQ229" i="3"/>
  <c r="CP229" i="3"/>
  <c r="CZ229" i="3" s="1"/>
  <c r="CM229" i="3"/>
  <c r="CY229" i="3" s="1"/>
  <c r="CT229" i="3" l="1"/>
  <c r="BY230" i="3" s="1"/>
  <c r="CA230" i="3" s="1"/>
  <c r="DC229" i="3"/>
  <c r="CN229" i="3"/>
  <c r="BL230" i="3"/>
  <c r="BM230" i="3" s="1"/>
  <c r="BE230" i="3"/>
  <c r="BR230" i="3" s="1"/>
  <c r="N224" i="3"/>
  <c r="O224" i="3"/>
  <c r="AR231" i="3"/>
  <c r="AS231" i="3" s="1"/>
  <c r="AT231" i="3" l="1"/>
  <c r="AW231" i="3" s="1"/>
  <c r="AZ231" i="3" s="1"/>
  <c r="Q224" i="3"/>
  <c r="R224" i="3" s="1"/>
  <c r="CV229" i="3"/>
  <c r="CW229" i="3" s="1"/>
  <c r="CO229" i="3"/>
  <c r="DB229" i="3" s="1"/>
  <c r="CB230" i="3"/>
  <c r="CD230" i="3" l="1"/>
  <c r="CG230" i="3" s="1"/>
  <c r="CC230" i="3"/>
  <c r="X224" i="3"/>
  <c r="AA224" i="3" s="1"/>
  <c r="F225" i="3" s="1"/>
  <c r="W224" i="3"/>
  <c r="V224" i="3"/>
  <c r="AF224" i="3" s="1"/>
  <c r="S224" i="3"/>
  <c r="AU231" i="3"/>
  <c r="AE224" i="3" l="1"/>
  <c r="Z224" i="3"/>
  <c r="E225" i="3" s="1"/>
  <c r="G225" i="3" s="1"/>
  <c r="AI224" i="3"/>
  <c r="T224" i="3"/>
  <c r="CJ230" i="3"/>
  <c r="BN231" i="3"/>
  <c r="AV231" i="3"/>
  <c r="CE230" i="3"/>
  <c r="AB224" i="3" l="1"/>
  <c r="U224" i="3"/>
  <c r="AH224" i="3" s="1"/>
  <c r="CX230" i="3"/>
  <c r="CF230" i="3"/>
  <c r="AX231" i="3"/>
  <c r="AY231" i="3"/>
  <c r="H225" i="3"/>
  <c r="BA231" i="3" l="1"/>
  <c r="BB231" i="3" s="1"/>
  <c r="J225" i="3"/>
  <c r="M225" i="3" s="1"/>
  <c r="I225" i="3"/>
  <c r="CH230" i="3"/>
  <c r="CI230" i="3"/>
  <c r="AC224" i="3"/>
  <c r="K225" i="3" l="1"/>
  <c r="CK230" i="3"/>
  <c r="CL230" i="3" s="1"/>
  <c r="P225" i="3"/>
  <c r="BH231" i="3"/>
  <c r="BK231" i="3" s="1"/>
  <c r="AP232" i="3" s="1"/>
  <c r="BG231" i="3"/>
  <c r="BF231" i="3"/>
  <c r="BP231" i="3" s="1"/>
  <c r="BC231" i="3"/>
  <c r="BO231" i="3" s="1"/>
  <c r="BS231" i="3" l="1"/>
  <c r="BJ231" i="3"/>
  <c r="AO232" i="3" s="1"/>
  <c r="AQ232" i="3" s="1"/>
  <c r="BD231" i="3"/>
  <c r="CR230" i="3"/>
  <c r="CU230" i="3" s="1"/>
  <c r="BZ231" i="3" s="1"/>
  <c r="CQ230" i="3"/>
  <c r="CP230" i="3"/>
  <c r="CZ230" i="3" s="1"/>
  <c r="CM230" i="3"/>
  <c r="CY230" i="3" s="1"/>
  <c r="AD225" i="3"/>
  <c r="L225" i="3"/>
  <c r="N225" i="3" l="1"/>
  <c r="O225" i="3"/>
  <c r="DC230" i="3"/>
  <c r="CT230" i="3"/>
  <c r="BY231" i="3" s="1"/>
  <c r="CA231" i="3" s="1"/>
  <c r="BL231" i="3"/>
  <c r="BM231" i="3" s="1"/>
  <c r="BE231" i="3"/>
  <c r="BR231" i="3" s="1"/>
  <c r="CN230" i="3"/>
  <c r="AR232" i="3"/>
  <c r="AT232" i="3" l="1"/>
  <c r="AW232" i="3" s="1"/>
  <c r="CV230" i="3"/>
  <c r="CW230" i="3" s="1"/>
  <c r="CO230" i="3"/>
  <c r="DB230" i="3" s="1"/>
  <c r="AS232" i="3"/>
  <c r="CB231" i="3"/>
  <c r="CC231" i="3" s="1"/>
  <c r="Q225" i="3"/>
  <c r="R225" i="3" s="1"/>
  <c r="X225" i="3" l="1"/>
  <c r="AA225" i="3" s="1"/>
  <c r="F226" i="3" s="1"/>
  <c r="V225" i="3"/>
  <c r="AF225" i="3" s="1"/>
  <c r="W225" i="3"/>
  <c r="S225" i="3"/>
  <c r="CD231" i="3"/>
  <c r="CG231" i="3" s="1"/>
  <c r="CJ231" i="3" s="1"/>
  <c r="AZ232" i="3"/>
  <c r="AU232" i="3"/>
  <c r="AE225" i="3" l="1"/>
  <c r="CE231" i="3"/>
  <c r="AI225" i="3"/>
  <c r="Z225" i="3"/>
  <c r="E226" i="3" s="1"/>
  <c r="G226" i="3" s="1"/>
  <c r="T225" i="3"/>
  <c r="BN232" i="3"/>
  <c r="AV232" i="3"/>
  <c r="AY232" i="3" l="1"/>
  <c r="AX232" i="3"/>
  <c r="CX231" i="3"/>
  <c r="CF231" i="3"/>
  <c r="AB225" i="3"/>
  <c r="U225" i="3"/>
  <c r="AH225" i="3" s="1"/>
  <c r="H226" i="3"/>
  <c r="I226" i="3" s="1"/>
  <c r="J226" i="3" l="1"/>
  <c r="M226" i="3" s="1"/>
  <c r="P226" i="3" s="1"/>
  <c r="AC225" i="3"/>
  <c r="BA232" i="3"/>
  <c r="BB232" i="3" s="1"/>
  <c r="CH231" i="3"/>
  <c r="CI231" i="3"/>
  <c r="CK231" i="3" l="1"/>
  <c r="CL231" i="3" s="1"/>
  <c r="BH232" i="3"/>
  <c r="BK232" i="3" s="1"/>
  <c r="AP233" i="3" s="1"/>
  <c r="BF232" i="3"/>
  <c r="BP232" i="3" s="1"/>
  <c r="BG232" i="3"/>
  <c r="BC232" i="3"/>
  <c r="BO232" i="3" s="1"/>
  <c r="K226" i="3"/>
  <c r="AD226" i="3" l="1"/>
  <c r="L226" i="3"/>
  <c r="BS232" i="3"/>
  <c r="BJ232" i="3"/>
  <c r="AO233" i="3" s="1"/>
  <c r="AQ233" i="3" s="1"/>
  <c r="BD232" i="3"/>
  <c r="CR231" i="3"/>
  <c r="CU231" i="3" s="1"/>
  <c r="BZ232" i="3" s="1"/>
  <c r="CQ231" i="3"/>
  <c r="CP231" i="3"/>
  <c r="CZ231" i="3" s="1"/>
  <c r="CM231" i="3"/>
  <c r="CY231" i="3" s="1"/>
  <c r="CN231" i="3" l="1"/>
  <c r="CT231" i="3"/>
  <c r="BY232" i="3" s="1"/>
  <c r="CA232" i="3" s="1"/>
  <c r="DC231" i="3"/>
  <c r="BL232" i="3"/>
  <c r="BM232" i="3" s="1"/>
  <c r="BE232" i="3"/>
  <c r="BR232" i="3" s="1"/>
  <c r="AR233" i="3"/>
  <c r="N226" i="3"/>
  <c r="O226" i="3"/>
  <c r="AT233" i="3" l="1"/>
  <c r="AW233" i="3" s="1"/>
  <c r="Q226" i="3"/>
  <c r="R226" i="3" s="1"/>
  <c r="AS233" i="3"/>
  <c r="CB232" i="3"/>
  <c r="CV231" i="3"/>
  <c r="CW231" i="3" s="1"/>
  <c r="CO231" i="3"/>
  <c r="DB231" i="3" s="1"/>
  <c r="CD232" i="3" l="1"/>
  <c r="CG232" i="3" s="1"/>
  <c r="CE232" i="3"/>
  <c r="CX232" i="3" s="1"/>
  <c r="AZ233" i="3"/>
  <c r="BF233" i="3"/>
  <c r="BP233" i="3" s="1"/>
  <c r="CC232" i="3"/>
  <c r="X226" i="3"/>
  <c r="AA226" i="3" s="1"/>
  <c r="F227" i="3" s="1"/>
  <c r="W226" i="3"/>
  <c r="V226" i="3"/>
  <c r="AF226" i="3" s="1"/>
  <c r="S226" i="3"/>
  <c r="T226" i="3" s="1"/>
  <c r="AU233" i="3"/>
  <c r="AB226" i="3" l="1"/>
  <c r="U226" i="3"/>
  <c r="AH226" i="3" s="1"/>
  <c r="BN233" i="3"/>
  <c r="AV233" i="3"/>
  <c r="AE226" i="3"/>
  <c r="Z226" i="3"/>
  <c r="E227" i="3" s="1"/>
  <c r="G227" i="3" s="1"/>
  <c r="AI226" i="3"/>
  <c r="CJ232" i="3"/>
  <c r="CF232" i="3"/>
  <c r="H227" i="3" l="1"/>
  <c r="AX233" i="3"/>
  <c r="AY233" i="3"/>
  <c r="CI232" i="3"/>
  <c r="CH232" i="3"/>
  <c r="AC226" i="3"/>
  <c r="CK232" i="3" l="1"/>
  <c r="CL232" i="3" s="1"/>
  <c r="BA233" i="3"/>
  <c r="BB233" i="3" s="1"/>
  <c r="J227" i="3"/>
  <c r="M227" i="3" s="1"/>
  <c r="I227" i="3"/>
  <c r="P227" i="3" l="1"/>
  <c r="BH233" i="3"/>
  <c r="BK233" i="3" s="1"/>
  <c r="AP234" i="3" s="1"/>
  <c r="BG233" i="3"/>
  <c r="BC233" i="3"/>
  <c r="BO233" i="3" s="1"/>
  <c r="K227" i="3"/>
  <c r="CR232" i="3"/>
  <c r="CU232" i="3" s="1"/>
  <c r="BZ233" i="3" s="1"/>
  <c r="CQ232" i="3"/>
  <c r="CP232" i="3"/>
  <c r="CZ232" i="3" s="1"/>
  <c r="CM232" i="3"/>
  <c r="CY232" i="3" s="1"/>
  <c r="DC232" i="3" l="1"/>
  <c r="CT232" i="3"/>
  <c r="BY233" i="3" s="1"/>
  <c r="CA233" i="3" s="1"/>
  <c r="CN232" i="3"/>
  <c r="AD227" i="3"/>
  <c r="L227" i="3"/>
  <c r="BS233" i="3"/>
  <c r="BJ233" i="3"/>
  <c r="AO234" i="3" s="1"/>
  <c r="AQ234" i="3" s="1"/>
  <c r="BD233" i="3"/>
  <c r="BL233" i="3" l="1"/>
  <c r="BM233" i="3" s="1"/>
  <c r="BE233" i="3"/>
  <c r="BR233" i="3" s="1"/>
  <c r="AR234" i="3"/>
  <c r="N227" i="3"/>
  <c r="O227" i="3"/>
  <c r="CB233" i="3"/>
  <c r="CC233" i="3" s="1"/>
  <c r="CV232" i="3"/>
  <c r="CW232" i="3" s="1"/>
  <c r="CO232" i="3"/>
  <c r="DB232" i="3" s="1"/>
  <c r="Q227" i="3" l="1"/>
  <c r="R227" i="3" s="1"/>
  <c r="CD233" i="3"/>
  <c r="CG233" i="3" s="1"/>
  <c r="CJ233" i="3" s="1"/>
  <c r="AT234" i="3"/>
  <c r="AW234" i="3" s="1"/>
  <c r="AS234" i="3"/>
  <c r="BF234" i="3" l="1"/>
  <c r="BP234" i="3" s="1"/>
  <c r="AZ234" i="3"/>
  <c r="AU234" i="3"/>
  <c r="CE233" i="3"/>
  <c r="X227" i="3"/>
  <c r="AA227" i="3" s="1"/>
  <c r="F228" i="3" s="1"/>
  <c r="W227" i="3"/>
  <c r="V227" i="3"/>
  <c r="AF227" i="3" s="1"/>
  <c r="S227" i="3"/>
  <c r="T227" i="3" s="1"/>
  <c r="AB227" i="3" l="1"/>
  <c r="U227" i="3"/>
  <c r="AH227" i="3" s="1"/>
  <c r="Z227" i="3"/>
  <c r="E228" i="3" s="1"/>
  <c r="G228" i="3" s="1"/>
  <c r="AI227" i="3"/>
  <c r="AE227" i="3"/>
  <c r="CX233" i="3"/>
  <c r="CF233" i="3"/>
  <c r="BN234" i="3"/>
  <c r="AV234" i="3"/>
  <c r="AX234" i="3" l="1"/>
  <c r="AY234" i="3"/>
  <c r="CH233" i="3"/>
  <c r="CI233" i="3"/>
  <c r="H228" i="3"/>
  <c r="I228" i="3" s="1"/>
  <c r="AC227" i="3"/>
  <c r="J228" i="3" l="1"/>
  <c r="M228" i="3" s="1"/>
  <c r="P228" i="3" s="1"/>
  <c r="CK233" i="3"/>
  <c r="CL233" i="3" s="1"/>
  <c r="BA234" i="3"/>
  <c r="BB234" i="3" s="1"/>
  <c r="CR233" i="3" l="1"/>
  <c r="CU233" i="3" s="1"/>
  <c r="BZ234" i="3" s="1"/>
  <c r="CQ233" i="3"/>
  <c r="CP233" i="3"/>
  <c r="CZ233" i="3" s="1"/>
  <c r="CM233" i="3"/>
  <c r="CY233" i="3" s="1"/>
  <c r="K228" i="3"/>
  <c r="BH234" i="3"/>
  <c r="BK234" i="3" s="1"/>
  <c r="AP235" i="3" s="1"/>
  <c r="BG234" i="3"/>
  <c r="BC234" i="3"/>
  <c r="BO234" i="3" s="1"/>
  <c r="CN233" i="3" l="1"/>
  <c r="BJ234" i="3"/>
  <c r="AO235" i="3" s="1"/>
  <c r="AQ235" i="3" s="1"/>
  <c r="BS234" i="3"/>
  <c r="BD234" i="3"/>
  <c r="AD228" i="3"/>
  <c r="L228" i="3"/>
  <c r="CT233" i="3"/>
  <c r="BY234" i="3" s="1"/>
  <c r="CA234" i="3" s="1"/>
  <c r="DC233" i="3"/>
  <c r="CB234" i="3" l="1"/>
  <c r="CC234" i="3"/>
  <c r="N228" i="3"/>
  <c r="O228" i="3"/>
  <c r="BL234" i="3"/>
  <c r="BM234" i="3" s="1"/>
  <c r="BE234" i="3"/>
  <c r="BR234" i="3" s="1"/>
  <c r="AR235" i="3"/>
  <c r="AS235" i="3" s="1"/>
  <c r="CV233" i="3"/>
  <c r="CW233" i="3" s="1"/>
  <c r="CO233" i="3"/>
  <c r="DB233" i="3" s="1"/>
  <c r="AZ235" i="3" l="1"/>
  <c r="BF235" i="3"/>
  <c r="BP235" i="3" s="1"/>
  <c r="AT235" i="3"/>
  <c r="AW235" i="3" s="1"/>
  <c r="AU235" i="3"/>
  <c r="BN235" i="3" s="1"/>
  <c r="Q228" i="3"/>
  <c r="R228" i="3" s="1"/>
  <c r="CD234" i="3"/>
  <c r="CG234" i="3" s="1"/>
  <c r="CJ234" i="3" s="1"/>
  <c r="W21" i="3" l="1"/>
  <c r="X228" i="3"/>
  <c r="AA228" i="3" s="1"/>
  <c r="F229" i="3" s="1"/>
  <c r="W228" i="3"/>
  <c r="V228" i="3"/>
  <c r="AF228" i="3" s="1"/>
  <c r="S228" i="3"/>
  <c r="T228" i="3" s="1"/>
  <c r="AV235" i="3"/>
  <c r="CE234" i="3"/>
  <c r="AB228" i="3" l="1"/>
  <c r="AC228" i="3" s="1"/>
  <c r="U228" i="3"/>
  <c r="AH228" i="3" s="1"/>
  <c r="CX234" i="3"/>
  <c r="CF234" i="3"/>
  <c r="AY235" i="3"/>
  <c r="AX235" i="3"/>
  <c r="AE228" i="3"/>
  <c r="AI228" i="3"/>
  <c r="Z228" i="3"/>
  <c r="E229" i="3" s="1"/>
  <c r="G229" i="3" s="1"/>
  <c r="H229" i="3" l="1"/>
  <c r="BA235" i="3"/>
  <c r="BB235" i="3" s="1"/>
  <c r="CH234" i="3"/>
  <c r="CI234" i="3"/>
  <c r="BH235" i="3" l="1"/>
  <c r="BK235" i="3" s="1"/>
  <c r="BG235" i="3"/>
  <c r="BC235" i="3"/>
  <c r="BO235" i="3" s="1"/>
  <c r="CK234" i="3"/>
  <c r="CL234" i="3" s="1"/>
  <c r="J229" i="3"/>
  <c r="M229" i="3" s="1"/>
  <c r="I229" i="3"/>
  <c r="K229" i="3" l="1"/>
  <c r="AD229" i="3" s="1"/>
  <c r="P229" i="3"/>
  <c r="CR234" i="3"/>
  <c r="CU234" i="3" s="1"/>
  <c r="BZ235" i="3" s="1"/>
  <c r="CP234" i="3"/>
  <c r="CZ234" i="3" s="1"/>
  <c r="CQ234" i="3"/>
  <c r="CM234" i="3"/>
  <c r="CY234" i="3" s="1"/>
  <c r="BS235" i="3"/>
  <c r="BI235" i="3"/>
  <c r="BJ235" i="3" s="1"/>
  <c r="L229" i="3"/>
  <c r="G32" i="5"/>
  <c r="AP236" i="3"/>
  <c r="P21" i="3"/>
  <c r="BD235" i="3"/>
  <c r="C32" i="5" l="1"/>
  <c r="AO236" i="3"/>
  <c r="AQ236" i="3" s="1"/>
  <c r="O21" i="3"/>
  <c r="Q21" i="3" s="1"/>
  <c r="N229" i="3"/>
  <c r="O229" i="3"/>
  <c r="V21" i="3"/>
  <c r="BQ235" i="3"/>
  <c r="BQ236" i="3" s="1"/>
  <c r="BQ237" i="3" s="1"/>
  <c r="BQ238" i="3" s="1"/>
  <c r="BQ239" i="3" s="1"/>
  <c r="BQ240" i="3" s="1"/>
  <c r="BQ241" i="3" s="1"/>
  <c r="BQ242" i="3" s="1"/>
  <c r="BQ243" i="3" s="1"/>
  <c r="BQ244" i="3" s="1"/>
  <c r="BQ245" i="3" s="1"/>
  <c r="BQ246" i="3" s="1"/>
  <c r="CT234" i="3"/>
  <c r="BY235" i="3" s="1"/>
  <c r="CA235" i="3" s="1"/>
  <c r="DC234" i="3"/>
  <c r="CN234" i="3"/>
  <c r="BL235" i="3"/>
  <c r="BM235" i="3" s="1"/>
  <c r="BE235" i="3"/>
  <c r="BR235" i="3" s="1"/>
  <c r="CB235" i="3" l="1"/>
  <c r="AR236" i="3"/>
  <c r="CV234" i="3"/>
  <c r="CW234" i="3" s="1"/>
  <c r="CO234" i="3"/>
  <c r="DB234" i="3" s="1"/>
  <c r="Q229" i="3"/>
  <c r="R229" i="3" s="1"/>
  <c r="X229" i="3" l="1"/>
  <c r="AA229" i="3" s="1"/>
  <c r="F230" i="3" s="1"/>
  <c r="V229" i="3"/>
  <c r="AF229" i="3" s="1"/>
  <c r="W229" i="3"/>
  <c r="S229" i="3"/>
  <c r="AE229" i="3" s="1"/>
  <c r="AT236" i="3"/>
  <c r="AW236" i="3" s="1"/>
  <c r="AS236" i="3"/>
  <c r="CD235" i="3"/>
  <c r="CG235" i="3" s="1"/>
  <c r="CC235" i="3"/>
  <c r="CJ235" i="3" l="1"/>
  <c r="BF236" i="3"/>
  <c r="BP236" i="3" s="1"/>
  <c r="AZ236" i="3"/>
  <c r="Z229" i="3"/>
  <c r="E230" i="3" s="1"/>
  <c r="G230" i="3" s="1"/>
  <c r="AI229" i="3"/>
  <c r="T229" i="3"/>
  <c r="CE235" i="3"/>
  <c r="AU236" i="3"/>
  <c r="BN236" i="3" l="1"/>
  <c r="AV236" i="3"/>
  <c r="AB229" i="3"/>
  <c r="AC229" i="3" s="1"/>
  <c r="U229" i="3"/>
  <c r="AH229" i="3" s="1"/>
  <c r="CX235" i="3"/>
  <c r="CF235" i="3"/>
  <c r="H230" i="3"/>
  <c r="I230" i="3" s="1"/>
  <c r="J230" i="3" l="1"/>
  <c r="M230" i="3" s="1"/>
  <c r="P230" i="3" s="1"/>
  <c r="CI235" i="3"/>
  <c r="CH235" i="3"/>
  <c r="AX236" i="3"/>
  <c r="AY236" i="3"/>
  <c r="BA236" i="3" l="1"/>
  <c r="BB236" i="3" s="1"/>
  <c r="CK235" i="3"/>
  <c r="CL235" i="3" s="1"/>
  <c r="K230" i="3"/>
  <c r="CR235" i="3" l="1"/>
  <c r="CU235" i="3" s="1"/>
  <c r="CP235" i="3"/>
  <c r="CZ235" i="3" s="1"/>
  <c r="CQ235" i="3"/>
  <c r="CM235" i="3"/>
  <c r="CY235" i="3" s="1"/>
  <c r="AD230" i="3"/>
  <c r="L230" i="3"/>
  <c r="BH236" i="3"/>
  <c r="BK236" i="3" s="1"/>
  <c r="AP237" i="3" s="1"/>
  <c r="BG236" i="3"/>
  <c r="BC236" i="3"/>
  <c r="BO236" i="3" l="1"/>
  <c r="N230" i="3"/>
  <c r="O230" i="3"/>
  <c r="BJ236" i="3"/>
  <c r="AO237" i="3" s="1"/>
  <c r="AQ237" i="3" s="1"/>
  <c r="BS236" i="3"/>
  <c r="BD236" i="3"/>
  <c r="AJ21" i="3"/>
  <c r="H32" i="5"/>
  <c r="DC235" i="3"/>
  <c r="CS235" i="3"/>
  <c r="CT235" i="3" s="1"/>
  <c r="BZ236" i="3"/>
  <c r="AC21" i="3"/>
  <c r="CN235" i="3"/>
  <c r="D32" i="5" l="1"/>
  <c r="BY236" i="3"/>
  <c r="CA236" i="3" s="1"/>
  <c r="AB21" i="3"/>
  <c r="AD21" i="3" s="1"/>
  <c r="AR237" i="3"/>
  <c r="BL236" i="3"/>
  <c r="BE236" i="3"/>
  <c r="BR236" i="3" s="1"/>
  <c r="Q230" i="3"/>
  <c r="R230" i="3" s="1"/>
  <c r="CV235" i="3"/>
  <c r="CW235" i="3" s="1"/>
  <c r="CO235" i="3"/>
  <c r="DB235" i="3" s="1"/>
  <c r="AI21" i="3"/>
  <c r="DA235" i="3"/>
  <c r="DA236" i="3" s="1"/>
  <c r="DA237" i="3" s="1"/>
  <c r="DA238" i="3" s="1"/>
  <c r="DA239" i="3" s="1"/>
  <c r="DA240" i="3" s="1"/>
  <c r="DA241" i="3" s="1"/>
  <c r="DA242" i="3" s="1"/>
  <c r="DA243" i="3" s="1"/>
  <c r="DA244" i="3" s="1"/>
  <c r="DA245" i="3" s="1"/>
  <c r="DA246" i="3" s="1"/>
  <c r="X230" i="3" l="1"/>
  <c r="AA230" i="3" s="1"/>
  <c r="F231" i="3" s="1"/>
  <c r="W230" i="3"/>
  <c r="V230" i="3"/>
  <c r="AF230" i="3" s="1"/>
  <c r="S230" i="3"/>
  <c r="AE230" i="3" s="1"/>
  <c r="AT237" i="3"/>
  <c r="AW237" i="3" s="1"/>
  <c r="AU237" i="3"/>
  <c r="CB236" i="3"/>
  <c r="BM236" i="3"/>
  <c r="AS237" i="3"/>
  <c r="BN237" i="3" l="1"/>
  <c r="CD236" i="3"/>
  <c r="CG236" i="3" s="1"/>
  <c r="CE236" i="3"/>
  <c r="CC236" i="3"/>
  <c r="AV237" i="3"/>
  <c r="AI230" i="3"/>
  <c r="Z230" i="3"/>
  <c r="E231" i="3" s="1"/>
  <c r="G231" i="3" s="1"/>
  <c r="T230" i="3"/>
  <c r="BF237" i="3"/>
  <c r="BP237" i="3" s="1"/>
  <c r="AZ237" i="3"/>
  <c r="H231" i="3" l="1"/>
  <c r="CJ236" i="3"/>
  <c r="AB230" i="3"/>
  <c r="AC230" i="3" s="1"/>
  <c r="U230" i="3"/>
  <c r="AH230" i="3" s="1"/>
  <c r="AX237" i="3"/>
  <c r="AY237" i="3"/>
  <c r="CX236" i="3"/>
  <c r="CF236" i="3"/>
  <c r="CH236" i="3" l="1"/>
  <c r="CI236" i="3"/>
  <c r="BA237" i="3"/>
  <c r="BB237" i="3" s="1"/>
  <c r="J231" i="3"/>
  <c r="M231" i="3" s="1"/>
  <c r="I231" i="3"/>
  <c r="P231" i="3" l="1"/>
  <c r="K231" i="3"/>
  <c r="BH237" i="3"/>
  <c r="BK237" i="3" s="1"/>
  <c r="AP238" i="3" s="1"/>
  <c r="BG237" i="3"/>
  <c r="BC237" i="3"/>
  <c r="CK236" i="3"/>
  <c r="CL236" i="3" s="1"/>
  <c r="CR236" i="3" l="1"/>
  <c r="CU236" i="3" s="1"/>
  <c r="BZ237" i="3" s="1"/>
  <c r="CQ236" i="3"/>
  <c r="CP236" i="3"/>
  <c r="CZ236" i="3" s="1"/>
  <c r="CM236" i="3"/>
  <c r="BJ237" i="3"/>
  <c r="AO238" i="3" s="1"/>
  <c r="AQ238" i="3" s="1"/>
  <c r="BS237" i="3"/>
  <c r="AD231" i="3"/>
  <c r="L231" i="3"/>
  <c r="BO237" i="3"/>
  <c r="BD237" i="3"/>
  <c r="BL237" i="3" l="1"/>
  <c r="BE237" i="3"/>
  <c r="BR237" i="3" s="1"/>
  <c r="CY236" i="3"/>
  <c r="AR238" i="3"/>
  <c r="AS238" i="3" s="1"/>
  <c r="CT236" i="3"/>
  <c r="BY237" i="3" s="1"/>
  <c r="CA237" i="3" s="1"/>
  <c r="DC236" i="3"/>
  <c r="CN236" i="3"/>
  <c r="N231" i="3"/>
  <c r="O231" i="3"/>
  <c r="BF238" i="3" l="1"/>
  <c r="BP238" i="3" s="1"/>
  <c r="AZ238" i="3"/>
  <c r="Q231" i="3"/>
  <c r="R231" i="3" s="1"/>
  <c r="CB237" i="3"/>
  <c r="CV236" i="3"/>
  <c r="CO236" i="3"/>
  <c r="DB236" i="3" s="1"/>
  <c r="AT238" i="3"/>
  <c r="AW238" i="3" s="1"/>
  <c r="BM237" i="3"/>
  <c r="AU238" i="3" l="1"/>
  <c r="CD237" i="3"/>
  <c r="CG237" i="3" s="1"/>
  <c r="CE237" i="3"/>
  <c r="CC237" i="3"/>
  <c r="CW236" i="3"/>
  <c r="X231" i="3"/>
  <c r="AA231" i="3" s="1"/>
  <c r="F232" i="3" s="1"/>
  <c r="W231" i="3"/>
  <c r="V231" i="3"/>
  <c r="AF231" i="3" s="1"/>
  <c r="S231" i="3"/>
  <c r="AE231" i="3" s="1"/>
  <c r="AI231" i="3" l="1"/>
  <c r="Z231" i="3"/>
  <c r="E232" i="3" s="1"/>
  <c r="G232" i="3" s="1"/>
  <c r="T231" i="3"/>
  <c r="CJ237" i="3"/>
  <c r="CX237" i="3"/>
  <c r="CF237" i="3"/>
  <c r="BN238" i="3"/>
  <c r="AV238" i="3"/>
  <c r="AY238" i="3" l="1"/>
  <c r="AX238" i="3"/>
  <c r="CH237" i="3"/>
  <c r="CI237" i="3"/>
  <c r="AB231" i="3"/>
  <c r="AC231" i="3" s="1"/>
  <c r="U231" i="3"/>
  <c r="AH231" i="3" s="1"/>
  <c r="H232" i="3"/>
  <c r="I232" i="3" s="1"/>
  <c r="J232" i="3" l="1"/>
  <c r="M232" i="3" s="1"/>
  <c r="P232" i="3" s="1"/>
  <c r="CK237" i="3"/>
  <c r="CL237" i="3" s="1"/>
  <c r="BA238" i="3"/>
  <c r="BB238" i="3" s="1"/>
  <c r="BH238" i="3" l="1"/>
  <c r="BK238" i="3" s="1"/>
  <c r="AP239" i="3" s="1"/>
  <c r="BG238" i="3"/>
  <c r="BC238" i="3"/>
  <c r="CR237" i="3"/>
  <c r="CU237" i="3" s="1"/>
  <c r="BZ238" i="3" s="1"/>
  <c r="CP237" i="3"/>
  <c r="CZ237" i="3" s="1"/>
  <c r="CQ237" i="3"/>
  <c r="CM237" i="3"/>
  <c r="CN237" i="3" s="1"/>
  <c r="K232" i="3"/>
  <c r="CV237" i="3" l="1"/>
  <c r="CO237" i="3"/>
  <c r="DB237" i="3" s="1"/>
  <c r="AD232" i="3"/>
  <c r="L232" i="3"/>
  <c r="DC237" i="3"/>
  <c r="CT237" i="3"/>
  <c r="BY238" i="3" s="1"/>
  <c r="CA238" i="3" s="1"/>
  <c r="BO238" i="3"/>
  <c r="BS238" i="3"/>
  <c r="BJ238" i="3"/>
  <c r="AO239" i="3" s="1"/>
  <c r="AQ239" i="3" s="1"/>
  <c r="CY237" i="3"/>
  <c r="BD238" i="3"/>
  <c r="BL238" i="3" l="1"/>
  <c r="BE238" i="3"/>
  <c r="BR238" i="3" s="1"/>
  <c r="AR239" i="3"/>
  <c r="CB238" i="3"/>
  <c r="O232" i="3"/>
  <c r="N232" i="3"/>
  <c r="CW237" i="3"/>
  <c r="Q232" i="3" l="1"/>
  <c r="R232" i="3" s="1"/>
  <c r="AT239" i="3"/>
  <c r="AW239" i="3" s="1"/>
  <c r="CD238" i="3"/>
  <c r="CG238" i="3" s="1"/>
  <c r="CC238" i="3"/>
  <c r="AS239" i="3"/>
  <c r="BM238" i="3"/>
  <c r="BF239" i="3" l="1"/>
  <c r="BP239" i="3" s="1"/>
  <c r="AZ239" i="3"/>
  <c r="CJ238" i="3"/>
  <c r="AU239" i="3"/>
  <c r="CE238" i="3"/>
  <c r="X232" i="3"/>
  <c r="AA232" i="3" s="1"/>
  <c r="F233" i="3" s="1"/>
  <c r="W232" i="3"/>
  <c r="V232" i="3"/>
  <c r="AF232" i="3" s="1"/>
  <c r="S232" i="3"/>
  <c r="AE232" i="3" s="1"/>
  <c r="AI232" i="3" l="1"/>
  <c r="Z232" i="3"/>
  <c r="E233" i="3" s="1"/>
  <c r="G233" i="3" s="1"/>
  <c r="CX238" i="3"/>
  <c r="CF238" i="3"/>
  <c r="T232" i="3"/>
  <c r="BN239" i="3"/>
  <c r="AV239" i="3"/>
  <c r="AX239" i="3" l="1"/>
  <c r="AY239" i="3"/>
  <c r="AB232" i="3"/>
  <c r="AC232" i="3" s="1"/>
  <c r="U232" i="3"/>
  <c r="AH232" i="3" s="1"/>
  <c r="CH238" i="3"/>
  <c r="CI238" i="3"/>
  <c r="H233" i="3"/>
  <c r="I233" i="3" s="1"/>
  <c r="V233" i="3" l="1"/>
  <c r="AF233" i="3" s="1"/>
  <c r="P233" i="3"/>
  <c r="CK238" i="3"/>
  <c r="CL238" i="3" s="1"/>
  <c r="J233" i="3"/>
  <c r="M233" i="3" s="1"/>
  <c r="BA239" i="3"/>
  <c r="BB239" i="3" s="1"/>
  <c r="K233" i="3" l="1"/>
  <c r="BH239" i="3"/>
  <c r="BK239" i="3" s="1"/>
  <c r="AP240" i="3" s="1"/>
  <c r="BG239" i="3"/>
  <c r="BC239" i="3"/>
  <c r="BD239" i="3" s="1"/>
  <c r="CR238" i="3"/>
  <c r="CU238" i="3" s="1"/>
  <c r="BZ239" i="3" s="1"/>
  <c r="CQ238" i="3"/>
  <c r="CP238" i="3"/>
  <c r="CZ238" i="3" s="1"/>
  <c r="CM238" i="3"/>
  <c r="BL239" i="3" l="1"/>
  <c r="BE239" i="3"/>
  <c r="BR239" i="3" s="1"/>
  <c r="BJ239" i="3"/>
  <c r="AO240" i="3" s="1"/>
  <c r="AQ240" i="3" s="1"/>
  <c r="BS239" i="3"/>
  <c r="CY238" i="3"/>
  <c r="DC238" i="3"/>
  <c r="CT238" i="3"/>
  <c r="BY239" i="3" s="1"/>
  <c r="CA239" i="3" s="1"/>
  <c r="CN238" i="3"/>
  <c r="BO239" i="3"/>
  <c r="AD233" i="3"/>
  <c r="L233" i="3"/>
  <c r="O233" i="3" l="1"/>
  <c r="N233" i="3"/>
  <c r="CB239" i="3"/>
  <c r="CV238" i="3"/>
  <c r="CO238" i="3"/>
  <c r="DB238" i="3" s="1"/>
  <c r="AR240" i="3"/>
  <c r="BM239" i="3"/>
  <c r="AT240" i="3" l="1"/>
  <c r="AW240" i="3" s="1"/>
  <c r="AU240" i="3"/>
  <c r="BN240" i="3" s="1"/>
  <c r="CD239" i="3"/>
  <c r="CG239" i="3" s="1"/>
  <c r="CC239" i="3"/>
  <c r="AS240" i="3"/>
  <c r="CW238" i="3"/>
  <c r="Q233" i="3"/>
  <c r="R233" i="3" s="1"/>
  <c r="X233" i="3" l="1"/>
  <c r="AA233" i="3" s="1"/>
  <c r="F234" i="3" s="1"/>
  <c r="W233" i="3"/>
  <c r="S233" i="3"/>
  <c r="AE233" i="3" s="1"/>
  <c r="CJ239" i="3"/>
  <c r="BF240" i="3"/>
  <c r="BP240" i="3" s="1"/>
  <c r="AZ240" i="3"/>
  <c r="CE239" i="3"/>
  <c r="AV240" i="3"/>
  <c r="CX239" i="3" l="1"/>
  <c r="CF239" i="3"/>
  <c r="AI233" i="3"/>
  <c r="Z233" i="3"/>
  <c r="E234" i="3" s="1"/>
  <c r="G234" i="3" s="1"/>
  <c r="AX240" i="3"/>
  <c r="AY240" i="3"/>
  <c r="T233" i="3"/>
  <c r="BA240" i="3" l="1"/>
  <c r="BB240" i="3" s="1"/>
  <c r="AB233" i="3"/>
  <c r="AC233" i="3" s="1"/>
  <c r="U233" i="3"/>
  <c r="AH233" i="3" s="1"/>
  <c r="H234" i="3"/>
  <c r="CH239" i="3"/>
  <c r="CI239" i="3"/>
  <c r="CK239" i="3" l="1"/>
  <c r="CL239" i="3" s="1"/>
  <c r="J234" i="3"/>
  <c r="M234" i="3" s="1"/>
  <c r="I234" i="3"/>
  <c r="BH240" i="3"/>
  <c r="BK240" i="3" s="1"/>
  <c r="AP241" i="3" s="1"/>
  <c r="BG240" i="3"/>
  <c r="BC240" i="3"/>
  <c r="BO240" i="3" l="1"/>
  <c r="V234" i="3"/>
  <c r="AF234" i="3" s="1"/>
  <c r="P234" i="3"/>
  <c r="K234" i="3"/>
  <c r="BS240" i="3"/>
  <c r="BJ240" i="3"/>
  <c r="AO241" i="3" s="1"/>
  <c r="AQ241" i="3" s="1"/>
  <c r="BD240" i="3"/>
  <c r="CR239" i="3"/>
  <c r="CU239" i="3" s="1"/>
  <c r="BZ240" i="3" s="1"/>
  <c r="CP239" i="3"/>
  <c r="CZ239" i="3" s="1"/>
  <c r="CQ239" i="3"/>
  <c r="CM239" i="3"/>
  <c r="CY239" i="3" l="1"/>
  <c r="CT239" i="3"/>
  <c r="BY240" i="3" s="1"/>
  <c r="CA240" i="3" s="1"/>
  <c r="DC239" i="3"/>
  <c r="AR241" i="3"/>
  <c r="CN239" i="3"/>
  <c r="BL240" i="3"/>
  <c r="BM240" i="3" s="1"/>
  <c r="BE240" i="3"/>
  <c r="BR240" i="3" s="1"/>
  <c r="AD234" i="3"/>
  <c r="L234" i="3"/>
  <c r="N234" i="3" l="1"/>
  <c r="O234" i="3"/>
  <c r="CV239" i="3"/>
  <c r="CO239" i="3"/>
  <c r="DB239" i="3" s="1"/>
  <c r="AT241" i="3"/>
  <c r="AW241" i="3" s="1"/>
  <c r="AU241" i="3"/>
  <c r="BN241" i="3" s="1"/>
  <c r="AS241" i="3"/>
  <c r="CB240" i="3"/>
  <c r="CD240" i="3" l="1"/>
  <c r="CG240" i="3" s="1"/>
  <c r="CW239" i="3"/>
  <c r="CC240" i="3"/>
  <c r="AZ241" i="3"/>
  <c r="BF241" i="3"/>
  <c r="BP241" i="3" s="1"/>
  <c r="AV241" i="3"/>
  <c r="Q234" i="3"/>
  <c r="R234" i="3" s="1"/>
  <c r="X234" i="3" l="1"/>
  <c r="AA234" i="3" s="1"/>
  <c r="F235" i="3" s="1"/>
  <c r="W234" i="3"/>
  <c r="S234" i="3"/>
  <c r="AE234" i="3" s="1"/>
  <c r="AX241" i="3"/>
  <c r="AY241" i="3"/>
  <c r="CJ240" i="3"/>
  <c r="CE240" i="3"/>
  <c r="BA241" i="3" l="1"/>
  <c r="BB241" i="3" s="1"/>
  <c r="CX240" i="3"/>
  <c r="CF240" i="3"/>
  <c r="Z234" i="3"/>
  <c r="E235" i="3" s="1"/>
  <c r="G235" i="3" s="1"/>
  <c r="AI234" i="3"/>
  <c r="T234" i="3"/>
  <c r="CH240" i="3" l="1"/>
  <c r="CI240" i="3"/>
  <c r="AB234" i="3"/>
  <c r="AC234" i="3" s="1"/>
  <c r="U234" i="3"/>
  <c r="AH234" i="3" s="1"/>
  <c r="H235" i="3"/>
  <c r="BH241" i="3"/>
  <c r="BK241" i="3" s="1"/>
  <c r="AP242" i="3" s="1"/>
  <c r="BG241" i="3"/>
  <c r="BC241" i="3"/>
  <c r="BO241" i="3" s="1"/>
  <c r="BJ241" i="3" l="1"/>
  <c r="AO242" i="3" s="1"/>
  <c r="AQ242" i="3" s="1"/>
  <c r="BS241" i="3"/>
  <c r="BD241" i="3"/>
  <c r="J235" i="3"/>
  <c r="M235" i="3" s="1"/>
  <c r="I235" i="3"/>
  <c r="CK240" i="3"/>
  <c r="CL240" i="3" s="1"/>
  <c r="V235" i="3" l="1"/>
  <c r="AF235" i="3" s="1"/>
  <c r="P235" i="3"/>
  <c r="CR240" i="3"/>
  <c r="CU240" i="3" s="1"/>
  <c r="BZ241" i="3" s="1"/>
  <c r="CQ240" i="3"/>
  <c r="CP240" i="3"/>
  <c r="CZ240" i="3" s="1"/>
  <c r="CM240" i="3"/>
  <c r="CY240" i="3" s="1"/>
  <c r="K235" i="3"/>
  <c r="BL241" i="3"/>
  <c r="BM241" i="3" s="1"/>
  <c r="BE241" i="3"/>
  <c r="BR241" i="3" s="1"/>
  <c r="AR242" i="3"/>
  <c r="AS242" i="3" s="1"/>
  <c r="BF242" i="3" l="1"/>
  <c r="BP242" i="3" s="1"/>
  <c r="AZ242" i="3"/>
  <c r="AT242" i="3"/>
  <c r="AW242" i="3" s="1"/>
  <c r="AU242" i="3"/>
  <c r="BN242" i="3" s="1"/>
  <c r="AD235" i="3"/>
  <c r="L235" i="3"/>
  <c r="CT240" i="3"/>
  <c r="BY241" i="3" s="1"/>
  <c r="CA241" i="3" s="1"/>
  <c r="DC240" i="3"/>
  <c r="CN240" i="3"/>
  <c r="J21" i="3"/>
  <c r="CB241" i="3" l="1"/>
  <c r="CC241" i="3" s="1"/>
  <c r="N235" i="3"/>
  <c r="O235" i="3"/>
  <c r="CV240" i="3"/>
  <c r="CW240" i="3" s="1"/>
  <c r="CO240" i="3"/>
  <c r="DB240" i="3" s="1"/>
  <c r="AV242" i="3"/>
  <c r="AX242" i="3" l="1"/>
  <c r="AY242" i="3"/>
  <c r="Q235" i="3"/>
  <c r="R235" i="3" s="1"/>
  <c r="CD241" i="3"/>
  <c r="CG241" i="3" s="1"/>
  <c r="CJ241" i="3" s="1"/>
  <c r="CE241" i="3" l="1"/>
  <c r="X235" i="3"/>
  <c r="AA235" i="3" s="1"/>
  <c r="W235" i="3"/>
  <c r="S235" i="3"/>
  <c r="AE235" i="3" s="1"/>
  <c r="BA242" i="3"/>
  <c r="BB242" i="3" s="1"/>
  <c r="BH242" i="3" l="1"/>
  <c r="BK242" i="3" s="1"/>
  <c r="AP243" i="3" s="1"/>
  <c r="BG242" i="3"/>
  <c r="BC242" i="3"/>
  <c r="BO242" i="3" s="1"/>
  <c r="AI235" i="3"/>
  <c r="Y235" i="3"/>
  <c r="T235" i="3"/>
  <c r="F32" i="5"/>
  <c r="F236" i="3"/>
  <c r="C21" i="3"/>
  <c r="CX241" i="3"/>
  <c r="CF241" i="3"/>
  <c r="CH241" i="3" l="1"/>
  <c r="CI241" i="3"/>
  <c r="I21" i="3"/>
  <c r="AG235" i="3"/>
  <c r="AG236" i="3" s="1"/>
  <c r="AG237" i="3" s="1"/>
  <c r="AG238" i="3" s="1"/>
  <c r="AG239" i="3" s="1"/>
  <c r="AG240" i="3" s="1"/>
  <c r="AG241" i="3" s="1"/>
  <c r="AG242" i="3" s="1"/>
  <c r="AG243" i="3" s="1"/>
  <c r="AG244" i="3" s="1"/>
  <c r="AG245" i="3" s="1"/>
  <c r="AG246" i="3" s="1"/>
  <c r="BJ242" i="3"/>
  <c r="AO243" i="3" s="1"/>
  <c r="AQ243" i="3" s="1"/>
  <c r="BS242" i="3"/>
  <c r="BD242" i="3"/>
  <c r="AB235" i="3"/>
  <c r="AC235" i="3" s="1"/>
  <c r="U235" i="3"/>
  <c r="AH235" i="3" s="1"/>
  <c r="Z235" i="3"/>
  <c r="B32" i="5" l="1"/>
  <c r="E236" i="3"/>
  <c r="G236" i="3" s="1"/>
  <c r="B21" i="3"/>
  <c r="D21" i="3" s="1"/>
  <c r="BL242" i="3"/>
  <c r="BM242" i="3" s="1"/>
  <c r="BE242" i="3"/>
  <c r="BR242" i="3" s="1"/>
  <c r="AR243" i="3"/>
  <c r="CK241" i="3"/>
  <c r="CL241" i="3" s="1"/>
  <c r="CR241" i="3" l="1"/>
  <c r="CU241" i="3" s="1"/>
  <c r="BZ242" i="3" s="1"/>
  <c r="CQ241" i="3"/>
  <c r="CP241" i="3"/>
  <c r="CZ241" i="3" s="1"/>
  <c r="CM241" i="3"/>
  <c r="CY241" i="3" s="1"/>
  <c r="H236" i="3"/>
  <c r="I236" i="3" s="1"/>
  <c r="AT243" i="3"/>
  <c r="AW243" i="3" s="1"/>
  <c r="AS243" i="3"/>
  <c r="P236" i="3" l="1"/>
  <c r="V236" i="3"/>
  <c r="AF236" i="3" s="1"/>
  <c r="AU243" i="3"/>
  <c r="CN241" i="3"/>
  <c r="AZ243" i="3"/>
  <c r="BF243" i="3"/>
  <c r="BP243" i="3" s="1"/>
  <c r="J236" i="3"/>
  <c r="M236" i="3" s="1"/>
  <c r="CT241" i="3"/>
  <c r="BY242" i="3" s="1"/>
  <c r="CA242" i="3" s="1"/>
  <c r="DC241" i="3"/>
  <c r="CB242" i="3" l="1"/>
  <c r="CC242" i="3"/>
  <c r="K236" i="3"/>
  <c r="CV241" i="3"/>
  <c r="CW241" i="3" s="1"/>
  <c r="CO241" i="3"/>
  <c r="DB241" i="3" s="1"/>
  <c r="BN243" i="3"/>
  <c r="AV243" i="3"/>
  <c r="AX243" i="3" l="1"/>
  <c r="AY243" i="3"/>
  <c r="AD236" i="3"/>
  <c r="L236" i="3"/>
  <c r="CD242" i="3"/>
  <c r="CG242" i="3" s="1"/>
  <c r="CJ242" i="3" s="1"/>
  <c r="CE242" i="3" l="1"/>
  <c r="CX242" i="3" s="1"/>
  <c r="CF242" i="3"/>
  <c r="O236" i="3"/>
  <c r="N236" i="3"/>
  <c r="BA243" i="3"/>
  <c r="BB243" i="3" s="1"/>
  <c r="BH243" i="3" l="1"/>
  <c r="BK243" i="3" s="1"/>
  <c r="AP244" i="3" s="1"/>
  <c r="BG243" i="3"/>
  <c r="BC243" i="3"/>
  <c r="BO243" i="3" s="1"/>
  <c r="Q236" i="3"/>
  <c r="R236" i="3" s="1"/>
  <c r="CH242" i="3"/>
  <c r="CI242" i="3"/>
  <c r="CK242" i="3" l="1"/>
  <c r="CL242" i="3" s="1"/>
  <c r="X236" i="3"/>
  <c r="AA236" i="3" s="1"/>
  <c r="F237" i="3" s="1"/>
  <c r="W236" i="3"/>
  <c r="S236" i="3"/>
  <c r="T236" i="3" s="1"/>
  <c r="BS243" i="3"/>
  <c r="BJ243" i="3"/>
  <c r="AO244" i="3" s="1"/>
  <c r="AQ244" i="3" s="1"/>
  <c r="BD243" i="3"/>
  <c r="AB236" i="3" l="1"/>
  <c r="U236" i="3"/>
  <c r="AH236" i="3" s="1"/>
  <c r="AR244" i="3"/>
  <c r="AS244" i="3" s="1"/>
  <c r="BL243" i="3"/>
  <c r="BM243" i="3" s="1"/>
  <c r="BE243" i="3"/>
  <c r="BR243" i="3" s="1"/>
  <c r="AI236" i="3"/>
  <c r="Z236" i="3"/>
  <c r="E237" i="3" s="1"/>
  <c r="G237" i="3" s="1"/>
  <c r="AE236" i="3"/>
  <c r="CR242" i="3"/>
  <c r="CU242" i="3" s="1"/>
  <c r="BZ243" i="3" s="1"/>
  <c r="CQ242" i="3"/>
  <c r="CP242" i="3"/>
  <c r="CZ242" i="3" s="1"/>
  <c r="CM242" i="3"/>
  <c r="CY242" i="3" s="1"/>
  <c r="BF244" i="3" l="1"/>
  <c r="BP244" i="3" s="1"/>
  <c r="AZ244" i="3"/>
  <c r="DC242" i="3"/>
  <c r="CT242" i="3"/>
  <c r="BY243" i="3" s="1"/>
  <c r="CA243" i="3" s="1"/>
  <c r="CN242" i="3"/>
  <c r="H237" i="3"/>
  <c r="AT244" i="3"/>
  <c r="AW244" i="3" s="1"/>
  <c r="AC236" i="3"/>
  <c r="AU244" i="3" l="1"/>
  <c r="BN244" i="3" s="1"/>
  <c r="AV244" i="3"/>
  <c r="CB243" i="3"/>
  <c r="J237" i="3"/>
  <c r="M237" i="3" s="1"/>
  <c r="I237" i="3"/>
  <c r="CV242" i="3"/>
  <c r="CW242" i="3" s="1"/>
  <c r="CO242" i="3"/>
  <c r="DB242" i="3" s="1"/>
  <c r="K237" i="3" l="1"/>
  <c r="V237" i="3"/>
  <c r="AF237" i="3" s="1"/>
  <c r="P237" i="3"/>
  <c r="CD243" i="3"/>
  <c r="CG243" i="3" s="1"/>
  <c r="CE243" i="3"/>
  <c r="CX243" i="3" s="1"/>
  <c r="CC243" i="3"/>
  <c r="AX244" i="3"/>
  <c r="AY244" i="3"/>
  <c r="CJ243" i="3" l="1"/>
  <c r="BA244" i="3"/>
  <c r="BB244" i="3" s="1"/>
  <c r="CF243" i="3"/>
  <c r="AD237" i="3"/>
  <c r="L237" i="3"/>
  <c r="N237" i="3" l="1"/>
  <c r="O237" i="3"/>
  <c r="CH243" i="3"/>
  <c r="CI243" i="3"/>
  <c r="BH244" i="3"/>
  <c r="BK244" i="3" s="1"/>
  <c r="AP245" i="3" s="1"/>
  <c r="BG244" i="3"/>
  <c r="BC244" i="3"/>
  <c r="BO244" i="3" s="1"/>
  <c r="BJ244" i="3" l="1"/>
  <c r="AO245" i="3" s="1"/>
  <c r="AQ245" i="3" s="1"/>
  <c r="BS244" i="3"/>
  <c r="BD244" i="3"/>
  <c r="CK243" i="3"/>
  <c r="CL243" i="3" s="1"/>
  <c r="Q237" i="3"/>
  <c r="R237" i="3" s="1"/>
  <c r="X237" i="3" l="1"/>
  <c r="AA237" i="3" s="1"/>
  <c r="F238" i="3" s="1"/>
  <c r="W237" i="3"/>
  <c r="S237" i="3"/>
  <c r="BL244" i="3"/>
  <c r="BM244" i="3" s="1"/>
  <c r="BE244" i="3"/>
  <c r="BR244" i="3" s="1"/>
  <c r="CR243" i="3"/>
  <c r="CU243" i="3" s="1"/>
  <c r="BZ244" i="3" s="1"/>
  <c r="CQ243" i="3"/>
  <c r="CP243" i="3"/>
  <c r="CZ243" i="3" s="1"/>
  <c r="CM243" i="3"/>
  <c r="CY243" i="3" s="1"/>
  <c r="AR245" i="3"/>
  <c r="AT245" i="3" l="1"/>
  <c r="AW245" i="3" s="1"/>
  <c r="CT243" i="3"/>
  <c r="BY244" i="3" s="1"/>
  <c r="CA244" i="3" s="1"/>
  <c r="DC243" i="3"/>
  <c r="CN243" i="3"/>
  <c r="AS245" i="3"/>
  <c r="AE237" i="3"/>
  <c r="T237" i="3"/>
  <c r="Z237" i="3"/>
  <c r="E238" i="3" s="1"/>
  <c r="G238" i="3" s="1"/>
  <c r="AI237" i="3"/>
  <c r="BF245" i="3" l="1"/>
  <c r="BP245" i="3" s="1"/>
  <c r="AZ245" i="3"/>
  <c r="AU245" i="3"/>
  <c r="H238" i="3"/>
  <c r="AB237" i="3"/>
  <c r="U237" i="3"/>
  <c r="AH237" i="3" s="1"/>
  <c r="CV243" i="3"/>
  <c r="CW243" i="3" s="1"/>
  <c r="CO243" i="3"/>
  <c r="DB243" i="3" s="1"/>
  <c r="CB244" i="3"/>
  <c r="CD244" i="3" l="1"/>
  <c r="CG244" i="3" s="1"/>
  <c r="CC244" i="3"/>
  <c r="BN245" i="3"/>
  <c r="AV245" i="3"/>
  <c r="AC237" i="3"/>
  <c r="J238" i="3"/>
  <c r="M238" i="3" s="1"/>
  <c r="I238" i="3"/>
  <c r="AX245" i="3" l="1"/>
  <c r="AY245" i="3"/>
  <c r="CJ244" i="3"/>
  <c r="P238" i="3"/>
  <c r="V238" i="3"/>
  <c r="AF238" i="3" s="1"/>
  <c r="K238" i="3"/>
  <c r="CE244" i="3"/>
  <c r="AD238" i="3" l="1"/>
  <c r="L238" i="3"/>
  <c r="BA245" i="3"/>
  <c r="BB245" i="3" s="1"/>
  <c r="CX244" i="3"/>
  <c r="CF244" i="3"/>
  <c r="CH244" i="3" l="1"/>
  <c r="CI244" i="3"/>
  <c r="BH245" i="3"/>
  <c r="BK245" i="3" s="1"/>
  <c r="AP246" i="3" s="1"/>
  <c r="BG245" i="3"/>
  <c r="BC245" i="3"/>
  <c r="BO245" i="3" s="1"/>
  <c r="O238" i="3"/>
  <c r="N238" i="3"/>
  <c r="Q238" i="3" l="1"/>
  <c r="R238" i="3" s="1"/>
  <c r="BD245" i="3"/>
  <c r="CK244" i="3"/>
  <c r="CL244" i="3" s="1"/>
  <c r="BS245" i="3"/>
  <c r="BJ245" i="3"/>
  <c r="AO246" i="3" s="1"/>
  <c r="AQ246" i="3" s="1"/>
  <c r="BL245" i="3" l="1"/>
  <c r="BM245" i="3" s="1"/>
  <c r="BE245" i="3"/>
  <c r="BR245" i="3" s="1"/>
  <c r="AR246" i="3"/>
  <c r="CR244" i="3"/>
  <c r="CU244" i="3" s="1"/>
  <c r="BZ245" i="3" s="1"/>
  <c r="CQ244" i="3"/>
  <c r="CP244" i="3"/>
  <c r="CZ244" i="3" s="1"/>
  <c r="CM244" i="3"/>
  <c r="CY244" i="3" s="1"/>
  <c r="X238" i="3"/>
  <c r="AA238" i="3" s="1"/>
  <c r="F239" i="3" s="1"/>
  <c r="W238" i="3"/>
  <c r="S238" i="3"/>
  <c r="AE238" i="3" l="1"/>
  <c r="AI238" i="3"/>
  <c r="Z238" i="3"/>
  <c r="E239" i="3" s="1"/>
  <c r="G239" i="3" s="1"/>
  <c r="CN244" i="3"/>
  <c r="T238" i="3"/>
  <c r="CT244" i="3"/>
  <c r="BY245" i="3" s="1"/>
  <c r="CA245" i="3" s="1"/>
  <c r="DC244" i="3"/>
  <c r="AT246" i="3"/>
  <c r="AW246" i="3" s="1"/>
  <c r="AS246" i="3"/>
  <c r="AB238" i="3" l="1"/>
  <c r="U238" i="3"/>
  <c r="AH238" i="3" s="1"/>
  <c r="AU246" i="3"/>
  <c r="CV244" i="3"/>
  <c r="CW244" i="3" s="1"/>
  <c r="CO244" i="3"/>
  <c r="DB244" i="3" s="1"/>
  <c r="CB245" i="3"/>
  <c r="H239" i="3"/>
  <c r="AZ246" i="3"/>
  <c r="BF246" i="3"/>
  <c r="BP246" i="3" s="1"/>
  <c r="J239" i="3" l="1"/>
  <c r="M239" i="3" s="1"/>
  <c r="I239" i="3"/>
  <c r="CD245" i="3"/>
  <c r="CG245" i="3" s="1"/>
  <c r="CC245" i="3"/>
  <c r="BN246" i="3"/>
  <c r="AV246" i="3"/>
  <c r="AC238" i="3"/>
  <c r="CJ245" i="3" l="1"/>
  <c r="V239" i="3"/>
  <c r="AF239" i="3" s="1"/>
  <c r="P239" i="3"/>
  <c r="AX246" i="3"/>
  <c r="AY246" i="3"/>
  <c r="CE245" i="3"/>
  <c r="K239" i="3"/>
  <c r="AD239" i="3" l="1"/>
  <c r="L239" i="3"/>
  <c r="BA246" i="3"/>
  <c r="BB246" i="3" s="1"/>
  <c r="CX245" i="3"/>
  <c r="CF245" i="3"/>
  <c r="CH245" i="3" l="1"/>
  <c r="CI245" i="3"/>
  <c r="BH246" i="3"/>
  <c r="BK246" i="3" s="1"/>
  <c r="AP247" i="3" s="1"/>
  <c r="BG246" i="3"/>
  <c r="BC246" i="3"/>
  <c r="BO246" i="3" s="1"/>
  <c r="N239" i="3"/>
  <c r="O239" i="3"/>
  <c r="Q239" i="3" l="1"/>
  <c r="R239" i="3" s="1"/>
  <c r="BS246" i="3"/>
  <c r="BJ246" i="3"/>
  <c r="AO247" i="3" s="1"/>
  <c r="AQ247" i="3" s="1"/>
  <c r="CK245" i="3"/>
  <c r="CL245" i="3" s="1"/>
  <c r="BD246" i="3"/>
  <c r="BL246" i="3" l="1"/>
  <c r="BM246" i="3" s="1"/>
  <c r="BE246" i="3"/>
  <c r="BR246" i="3" s="1"/>
  <c r="CR245" i="3"/>
  <c r="CU245" i="3" s="1"/>
  <c r="BZ246" i="3" s="1"/>
  <c r="CP245" i="3"/>
  <c r="CZ245" i="3" s="1"/>
  <c r="CQ245" i="3"/>
  <c r="CM245" i="3"/>
  <c r="CY245" i="3" s="1"/>
  <c r="AR247" i="3"/>
  <c r="AS247" i="3" s="1"/>
  <c r="X239" i="3"/>
  <c r="AA239" i="3" s="1"/>
  <c r="F240" i="3" s="1"/>
  <c r="W239" i="3"/>
  <c r="S239" i="3"/>
  <c r="BF247" i="3" l="1"/>
  <c r="BP247" i="3" s="1"/>
  <c r="AZ247" i="3"/>
  <c r="DC245" i="3"/>
  <c r="CT245" i="3"/>
  <c r="BY246" i="3" s="1"/>
  <c r="CA246" i="3" s="1"/>
  <c r="AE239" i="3"/>
  <c r="Z239" i="3"/>
  <c r="E240" i="3" s="1"/>
  <c r="G240" i="3" s="1"/>
  <c r="AI239" i="3"/>
  <c r="T239" i="3"/>
  <c r="AT247" i="3"/>
  <c r="AW247" i="3" s="1"/>
  <c r="CN245" i="3"/>
  <c r="AU247" i="3" l="1"/>
  <c r="BN247" i="3" s="1"/>
  <c r="AB239" i="3"/>
  <c r="U239" i="3"/>
  <c r="AH239" i="3" s="1"/>
  <c r="CB246" i="3"/>
  <c r="AV247" i="3"/>
  <c r="H240" i="3"/>
  <c r="CV245" i="3"/>
  <c r="CW245" i="3" s="1"/>
  <c r="CO245" i="3"/>
  <c r="DB245" i="3" s="1"/>
  <c r="W22" i="3"/>
  <c r="J240" i="3" l="1"/>
  <c r="M240" i="3" s="1"/>
  <c r="AX247" i="3"/>
  <c r="AY247" i="3"/>
  <c r="I240" i="3"/>
  <c r="CD246" i="3"/>
  <c r="CG246" i="3" s="1"/>
  <c r="CC246" i="3"/>
  <c r="AC239" i="3"/>
  <c r="P240" i="3" l="1"/>
  <c r="V240" i="3"/>
  <c r="AF240" i="3" s="1"/>
  <c r="CJ246" i="3"/>
  <c r="CE246" i="3"/>
  <c r="BA247" i="3"/>
  <c r="BB247" i="3" s="1"/>
  <c r="K240" i="3"/>
  <c r="AD240" i="3" l="1"/>
  <c r="L240" i="3"/>
  <c r="BH247" i="3"/>
  <c r="BK247" i="3" s="1"/>
  <c r="BG247" i="3"/>
  <c r="BC247" i="3"/>
  <c r="BO247" i="3" s="1"/>
  <c r="CX246" i="3"/>
  <c r="CF246" i="3"/>
  <c r="AP248" i="3" l="1"/>
  <c r="P22" i="3"/>
  <c r="CH246" i="3"/>
  <c r="CI246" i="3"/>
  <c r="G33" i="5"/>
  <c r="BS247" i="3"/>
  <c r="BI247" i="3"/>
  <c r="BD247" i="3"/>
  <c r="N240" i="3"/>
  <c r="O240" i="3"/>
  <c r="V22" i="3" l="1"/>
  <c r="BQ247" i="3"/>
  <c r="BQ248" i="3" s="1"/>
  <c r="BQ249" i="3" s="1"/>
  <c r="BQ250" i="3" s="1"/>
  <c r="BQ251" i="3" s="1"/>
  <c r="BQ252" i="3" s="1"/>
  <c r="BQ253" i="3" s="1"/>
  <c r="BQ254" i="3" s="1"/>
  <c r="BQ255" i="3" s="1"/>
  <c r="BQ256" i="3" s="1"/>
  <c r="BQ257" i="3" s="1"/>
  <c r="BQ258" i="3" s="1"/>
  <c r="Q240" i="3"/>
  <c r="R240" i="3" s="1"/>
  <c r="BL247" i="3"/>
  <c r="BM247" i="3" s="1"/>
  <c r="BE247" i="3"/>
  <c r="BR247" i="3" s="1"/>
  <c r="BJ247" i="3"/>
  <c r="CK246" i="3"/>
  <c r="CL246" i="3" s="1"/>
  <c r="CR246" i="3" l="1"/>
  <c r="CU246" i="3" s="1"/>
  <c r="BZ247" i="3" s="1"/>
  <c r="CQ246" i="3"/>
  <c r="CP246" i="3"/>
  <c r="CZ246" i="3" s="1"/>
  <c r="CM246" i="3"/>
  <c r="CY246" i="3" s="1"/>
  <c r="X240" i="3"/>
  <c r="AA240" i="3" s="1"/>
  <c r="F241" i="3" s="1"/>
  <c r="W240" i="3"/>
  <c r="S240" i="3"/>
  <c r="AE240" i="3" s="1"/>
  <c r="C33" i="5"/>
  <c r="AO248" i="3"/>
  <c r="AQ248" i="3" s="1"/>
  <c r="O22" i="3"/>
  <c r="Q22" i="3" s="1"/>
  <c r="AR248" i="3" l="1"/>
  <c r="AI240" i="3"/>
  <c r="Z240" i="3"/>
  <c r="E241" i="3" s="1"/>
  <c r="G241" i="3" s="1"/>
  <c r="T240" i="3"/>
  <c r="CT246" i="3"/>
  <c r="BY247" i="3" s="1"/>
  <c r="CA247" i="3" s="1"/>
  <c r="DC246" i="3"/>
  <c r="CN246" i="3"/>
  <c r="CV246" i="3" l="1"/>
  <c r="CW246" i="3" s="1"/>
  <c r="CO246" i="3"/>
  <c r="DB246" i="3" s="1"/>
  <c r="CB247" i="3"/>
  <c r="CC247" i="3" s="1"/>
  <c r="AB240" i="3"/>
  <c r="AC240" i="3" s="1"/>
  <c r="U240" i="3"/>
  <c r="AH240" i="3" s="1"/>
  <c r="H241" i="3"/>
  <c r="I241" i="3" s="1"/>
  <c r="AT248" i="3"/>
  <c r="AW248" i="3" s="1"/>
  <c r="AS248" i="3"/>
  <c r="P241" i="3" l="1"/>
  <c r="V241" i="3"/>
  <c r="AF241" i="3" s="1"/>
  <c r="AZ248" i="3"/>
  <c r="BF248" i="3"/>
  <c r="BP248" i="3" s="1"/>
  <c r="AU248" i="3"/>
  <c r="J241" i="3"/>
  <c r="M241" i="3" s="1"/>
  <c r="CD247" i="3"/>
  <c r="CG247" i="3" s="1"/>
  <c r="CJ247" i="3" s="1"/>
  <c r="BN248" i="3" l="1"/>
  <c r="AV248" i="3"/>
  <c r="K241" i="3"/>
  <c r="CE247" i="3"/>
  <c r="CX247" i="3" l="1"/>
  <c r="CF247" i="3"/>
  <c r="AD241" i="3"/>
  <c r="L241" i="3"/>
  <c r="AX248" i="3"/>
  <c r="AY248" i="3"/>
  <c r="BA248" i="3" l="1"/>
  <c r="BB248" i="3" s="1"/>
  <c r="N241" i="3"/>
  <c r="O241" i="3"/>
  <c r="CI247" i="3"/>
  <c r="CH247" i="3"/>
  <c r="Q241" i="3" l="1"/>
  <c r="R241" i="3" s="1"/>
  <c r="CK247" i="3"/>
  <c r="CL247" i="3" s="1"/>
  <c r="BH248" i="3"/>
  <c r="BK248" i="3" s="1"/>
  <c r="AP249" i="3" s="1"/>
  <c r="BG248" i="3"/>
  <c r="BC248" i="3"/>
  <c r="BD248" i="3" s="1"/>
  <c r="BL248" i="3" l="1"/>
  <c r="BE248" i="3"/>
  <c r="BR248" i="3" s="1"/>
  <c r="BS248" i="3"/>
  <c r="BJ248" i="3"/>
  <c r="AO249" i="3" s="1"/>
  <c r="AQ249" i="3" s="1"/>
  <c r="BO248" i="3"/>
  <c r="CR247" i="3"/>
  <c r="CU247" i="3" s="1"/>
  <c r="CQ247" i="3"/>
  <c r="CP247" i="3"/>
  <c r="CZ247" i="3" s="1"/>
  <c r="CM247" i="3"/>
  <c r="CY247" i="3" s="1"/>
  <c r="X241" i="3"/>
  <c r="AA241" i="3" s="1"/>
  <c r="F242" i="3" s="1"/>
  <c r="W241" i="3"/>
  <c r="S241" i="3"/>
  <c r="AE241" i="3" s="1"/>
  <c r="H33" i="5" l="1"/>
  <c r="BZ248" i="3"/>
  <c r="AC22" i="3"/>
  <c r="CN247" i="3"/>
  <c r="Z241" i="3"/>
  <c r="E242" i="3" s="1"/>
  <c r="G242" i="3" s="1"/>
  <c r="AI241" i="3"/>
  <c r="T241" i="3"/>
  <c r="AJ22" i="3"/>
  <c r="DC247" i="3"/>
  <c r="CS247" i="3"/>
  <c r="AR249" i="3"/>
  <c r="BM248" i="3"/>
  <c r="AI22" i="3" l="1"/>
  <c r="DA247" i="3"/>
  <c r="DA248" i="3" s="1"/>
  <c r="DA249" i="3" s="1"/>
  <c r="DA250" i="3" s="1"/>
  <c r="DA251" i="3" s="1"/>
  <c r="DA252" i="3" s="1"/>
  <c r="DA253" i="3" s="1"/>
  <c r="DA254" i="3" s="1"/>
  <c r="DA255" i="3" s="1"/>
  <c r="DA256" i="3" s="1"/>
  <c r="DA257" i="3" s="1"/>
  <c r="DA258" i="3" s="1"/>
  <c r="H242" i="3"/>
  <c r="CV247" i="3"/>
  <c r="CW247" i="3" s="1"/>
  <c r="CO247" i="3"/>
  <c r="DB247" i="3" s="1"/>
  <c r="CT247" i="3"/>
  <c r="AB241" i="3"/>
  <c r="AC241" i="3" s="1"/>
  <c r="U241" i="3"/>
  <c r="AH241" i="3" s="1"/>
  <c r="AT249" i="3"/>
  <c r="AW249" i="3" s="1"/>
  <c r="AS249" i="3"/>
  <c r="AZ249" i="3" l="1"/>
  <c r="BF249" i="3"/>
  <c r="BP249" i="3" s="1"/>
  <c r="AU249" i="3"/>
  <c r="D33" i="5"/>
  <c r="BY248" i="3"/>
  <c r="CA248" i="3" s="1"/>
  <c r="AB22" i="3"/>
  <c r="AD22" i="3" s="1"/>
  <c r="J242" i="3"/>
  <c r="M242" i="3" s="1"/>
  <c r="I242" i="3"/>
  <c r="CB248" i="3" l="1"/>
  <c r="V242" i="3"/>
  <c r="AF242" i="3" s="1"/>
  <c r="P242" i="3"/>
  <c r="K242" i="3"/>
  <c r="BN249" i="3"/>
  <c r="AV249" i="3"/>
  <c r="AX249" i="3" l="1"/>
  <c r="AY249" i="3"/>
  <c r="AD242" i="3"/>
  <c r="L242" i="3"/>
  <c r="CD248" i="3"/>
  <c r="CG248" i="3" s="1"/>
  <c r="CC248" i="3"/>
  <c r="CJ248" i="3" l="1"/>
  <c r="CE248" i="3"/>
  <c r="N242" i="3"/>
  <c r="O242" i="3"/>
  <c r="BA249" i="3"/>
  <c r="BB249" i="3" s="1"/>
  <c r="Q242" i="3" l="1"/>
  <c r="R242" i="3" s="1"/>
  <c r="CX248" i="3"/>
  <c r="CF248" i="3"/>
  <c r="BH249" i="3"/>
  <c r="BK249" i="3" s="1"/>
  <c r="AP250" i="3" s="1"/>
  <c r="BG249" i="3"/>
  <c r="BC249" i="3"/>
  <c r="BJ249" i="3" l="1"/>
  <c r="AO250" i="3" s="1"/>
  <c r="AQ250" i="3" s="1"/>
  <c r="BS249" i="3"/>
  <c r="BO249" i="3"/>
  <c r="BD249" i="3"/>
  <c r="CH248" i="3"/>
  <c r="CI248" i="3"/>
  <c r="X242" i="3"/>
  <c r="AA242" i="3" s="1"/>
  <c r="F243" i="3" s="1"/>
  <c r="W242" i="3"/>
  <c r="S242" i="3"/>
  <c r="AE242" i="3" s="1"/>
  <c r="Z242" i="3" l="1"/>
  <c r="E243" i="3" s="1"/>
  <c r="G243" i="3" s="1"/>
  <c r="AI242" i="3"/>
  <c r="T242" i="3"/>
  <c r="CK248" i="3"/>
  <c r="CL248" i="3" s="1"/>
  <c r="BL249" i="3"/>
  <c r="BE249" i="3"/>
  <c r="BR249" i="3" s="1"/>
  <c r="AR250" i="3"/>
  <c r="AS250" i="3"/>
  <c r="AZ250" i="3" l="1"/>
  <c r="BF250" i="3"/>
  <c r="BP250" i="3" s="1"/>
  <c r="BM249" i="3"/>
  <c r="AT250" i="3"/>
  <c r="AW250" i="3" s="1"/>
  <c r="CR248" i="3"/>
  <c r="CU248" i="3" s="1"/>
  <c r="BZ249" i="3" s="1"/>
  <c r="CP248" i="3"/>
  <c r="CZ248" i="3" s="1"/>
  <c r="CQ248" i="3"/>
  <c r="CM248" i="3"/>
  <c r="AB242" i="3"/>
  <c r="AC242" i="3" s="1"/>
  <c r="U242" i="3"/>
  <c r="AH242" i="3" s="1"/>
  <c r="H243" i="3"/>
  <c r="AU250" i="3" l="1"/>
  <c r="CY248" i="3"/>
  <c r="DC248" i="3"/>
  <c r="CT248" i="3"/>
  <c r="BY249" i="3" s="1"/>
  <c r="CA249" i="3" s="1"/>
  <c r="CN248" i="3"/>
  <c r="J243" i="3"/>
  <c r="M243" i="3" s="1"/>
  <c r="I243" i="3"/>
  <c r="V243" i="3" l="1"/>
  <c r="AF243" i="3" s="1"/>
  <c r="P243" i="3"/>
  <c r="K243" i="3"/>
  <c r="CV248" i="3"/>
  <c r="CO248" i="3"/>
  <c r="DB248" i="3" s="1"/>
  <c r="CB249" i="3"/>
  <c r="BN250" i="3"/>
  <c r="AV250" i="3"/>
  <c r="CD249" i="3" l="1"/>
  <c r="CG249" i="3" s="1"/>
  <c r="AY250" i="3"/>
  <c r="AX250" i="3"/>
  <c r="CW248" i="3"/>
  <c r="CC249" i="3"/>
  <c r="AD243" i="3"/>
  <c r="L243" i="3"/>
  <c r="N243" i="3" l="1"/>
  <c r="O243" i="3"/>
  <c r="CJ249" i="3"/>
  <c r="BA250" i="3"/>
  <c r="BB250" i="3" s="1"/>
  <c r="CE249" i="3"/>
  <c r="BH250" i="3" l="1"/>
  <c r="BK250" i="3" s="1"/>
  <c r="AP251" i="3" s="1"/>
  <c r="BG250" i="3"/>
  <c r="BC250" i="3"/>
  <c r="CX249" i="3"/>
  <c r="CF249" i="3"/>
  <c r="Q243" i="3"/>
  <c r="R243" i="3" s="1"/>
  <c r="CH249" i="3" l="1"/>
  <c r="CI249" i="3"/>
  <c r="BS250" i="3"/>
  <c r="BJ250" i="3"/>
  <c r="AO251" i="3" s="1"/>
  <c r="AQ251" i="3" s="1"/>
  <c r="X243" i="3"/>
  <c r="AA243" i="3" s="1"/>
  <c r="F244" i="3" s="1"/>
  <c r="W243" i="3"/>
  <c r="S243" i="3"/>
  <c r="AE243" i="3" s="1"/>
  <c r="BO250" i="3"/>
  <c r="BD250" i="3"/>
  <c r="AR251" i="3" l="1"/>
  <c r="BL250" i="3"/>
  <c r="BE250" i="3"/>
  <c r="BR250" i="3" s="1"/>
  <c r="AI243" i="3"/>
  <c r="Z243" i="3"/>
  <c r="E244" i="3" s="1"/>
  <c r="G244" i="3" s="1"/>
  <c r="T243" i="3"/>
  <c r="CK249" i="3"/>
  <c r="CL249" i="3" s="1"/>
  <c r="AB243" i="3" l="1"/>
  <c r="AC243" i="3" s="1"/>
  <c r="U243" i="3"/>
  <c r="AH243" i="3" s="1"/>
  <c r="CR249" i="3"/>
  <c r="CU249" i="3" s="1"/>
  <c r="BZ250" i="3" s="1"/>
  <c r="CQ249" i="3"/>
  <c r="CP249" i="3"/>
  <c r="CZ249" i="3" s="1"/>
  <c r="CM249" i="3"/>
  <c r="H244" i="3"/>
  <c r="BM250" i="3"/>
  <c r="AT251" i="3"/>
  <c r="AW251" i="3" s="1"/>
  <c r="AS251" i="3"/>
  <c r="CY249" i="3" l="1"/>
  <c r="AU251" i="3"/>
  <c r="J244" i="3"/>
  <c r="M244" i="3" s="1"/>
  <c r="I244" i="3"/>
  <c r="DC249" i="3"/>
  <c r="CT249" i="3"/>
  <c r="BY250" i="3" s="1"/>
  <c r="CA250" i="3" s="1"/>
  <c r="CN249" i="3"/>
  <c r="AZ251" i="3"/>
  <c r="BF251" i="3"/>
  <c r="BP251" i="3" s="1"/>
  <c r="CB250" i="3" l="1"/>
  <c r="P244" i="3"/>
  <c r="V244" i="3"/>
  <c r="AF244" i="3" s="1"/>
  <c r="K244" i="3"/>
  <c r="CV249" i="3"/>
  <c r="CO249" i="3"/>
  <c r="DB249" i="3" s="1"/>
  <c r="BN251" i="3"/>
  <c r="AV251" i="3"/>
  <c r="AD244" i="3" l="1"/>
  <c r="L244" i="3"/>
  <c r="AX251" i="3"/>
  <c r="AY251" i="3"/>
  <c r="CW249" i="3"/>
  <c r="CD250" i="3"/>
  <c r="CG250" i="3" s="1"/>
  <c r="CC250" i="3"/>
  <c r="CE250" i="3" l="1"/>
  <c r="BA251" i="3"/>
  <c r="BB251" i="3" s="1"/>
  <c r="N244" i="3"/>
  <c r="O244" i="3"/>
  <c r="CJ250" i="3"/>
  <c r="Q244" i="3" l="1"/>
  <c r="R244" i="3" s="1"/>
  <c r="BH251" i="3"/>
  <c r="BK251" i="3" s="1"/>
  <c r="AP252" i="3" s="1"/>
  <c r="BG251" i="3"/>
  <c r="BC251" i="3"/>
  <c r="CX250" i="3"/>
  <c r="CF250" i="3"/>
  <c r="CH250" i="3" l="1"/>
  <c r="CI250" i="3"/>
  <c r="BO251" i="3"/>
  <c r="BS251" i="3"/>
  <c r="BJ251" i="3"/>
  <c r="AO252" i="3" s="1"/>
  <c r="AQ252" i="3" s="1"/>
  <c r="BD251" i="3"/>
  <c r="X244" i="3"/>
  <c r="AA244" i="3" s="1"/>
  <c r="F245" i="3" s="1"/>
  <c r="W244" i="3"/>
  <c r="S244" i="3"/>
  <c r="AE244" i="3" s="1"/>
  <c r="Z244" i="3" l="1"/>
  <c r="E245" i="3" s="1"/>
  <c r="G245" i="3" s="1"/>
  <c r="AI244" i="3"/>
  <c r="T244" i="3"/>
  <c r="BL251" i="3"/>
  <c r="BE251" i="3"/>
  <c r="BR251" i="3" s="1"/>
  <c r="AR252" i="3"/>
  <c r="AS252" i="3" s="1"/>
  <c r="CK250" i="3"/>
  <c r="CL250" i="3" s="1"/>
  <c r="AZ252" i="3" l="1"/>
  <c r="BF252" i="3"/>
  <c r="BP252" i="3" s="1"/>
  <c r="CR250" i="3"/>
  <c r="CU250" i="3" s="1"/>
  <c r="BZ251" i="3" s="1"/>
  <c r="CQ250" i="3"/>
  <c r="CP250" i="3"/>
  <c r="CZ250" i="3" s="1"/>
  <c r="CM250" i="3"/>
  <c r="AT252" i="3"/>
  <c r="AW252" i="3" s="1"/>
  <c r="AU252" i="3"/>
  <c r="BN252" i="3" s="1"/>
  <c r="BM251" i="3"/>
  <c r="AB244" i="3"/>
  <c r="AC244" i="3" s="1"/>
  <c r="U244" i="3"/>
  <c r="AH244" i="3" s="1"/>
  <c r="H245" i="3"/>
  <c r="CY250" i="3" l="1"/>
  <c r="CN250" i="3"/>
  <c r="AV252" i="3"/>
  <c r="DC250" i="3"/>
  <c r="CT250" i="3"/>
  <c r="BY251" i="3" s="1"/>
  <c r="CA251" i="3" s="1"/>
  <c r="J245" i="3"/>
  <c r="M245" i="3" s="1"/>
  <c r="I245" i="3"/>
  <c r="CB251" i="3" l="1"/>
  <c r="AX252" i="3"/>
  <c r="AY252" i="3"/>
  <c r="K245" i="3"/>
  <c r="CV250" i="3"/>
  <c r="CO250" i="3"/>
  <c r="DB250" i="3" s="1"/>
  <c r="V245" i="3"/>
  <c r="AF245" i="3" s="1"/>
  <c r="P245" i="3"/>
  <c r="CW250" i="3" l="1"/>
  <c r="AD245" i="3"/>
  <c r="L245" i="3"/>
  <c r="BA252" i="3"/>
  <c r="BB252" i="3" s="1"/>
  <c r="CD251" i="3"/>
  <c r="CG251" i="3" s="1"/>
  <c r="CE251" i="3"/>
  <c r="CC251" i="3"/>
  <c r="CJ251" i="3" l="1"/>
  <c r="CX251" i="3"/>
  <c r="CF251" i="3"/>
  <c r="BH252" i="3"/>
  <c r="BK252" i="3" s="1"/>
  <c r="AP253" i="3" s="1"/>
  <c r="BG252" i="3"/>
  <c r="BC252" i="3"/>
  <c r="BO252" i="3" s="1"/>
  <c r="N245" i="3"/>
  <c r="O245" i="3"/>
  <c r="Q245" i="3" l="1"/>
  <c r="R245" i="3" s="1"/>
  <c r="BS252" i="3"/>
  <c r="BJ252" i="3"/>
  <c r="AO253" i="3" s="1"/>
  <c r="AQ253" i="3" s="1"/>
  <c r="BD252" i="3"/>
  <c r="CH251" i="3"/>
  <c r="CI251" i="3"/>
  <c r="CK251" i="3" l="1"/>
  <c r="CL251" i="3" s="1"/>
  <c r="AR253" i="3"/>
  <c r="BL252" i="3"/>
  <c r="BM252" i="3" s="1"/>
  <c r="BE252" i="3"/>
  <c r="BR252" i="3" s="1"/>
  <c r="X245" i="3"/>
  <c r="AA245" i="3" s="1"/>
  <c r="F246" i="3" s="1"/>
  <c r="W245" i="3"/>
  <c r="S245" i="3"/>
  <c r="AE245" i="3" s="1"/>
  <c r="Z245" i="3" l="1"/>
  <c r="E246" i="3" s="1"/>
  <c r="G246" i="3" s="1"/>
  <c r="AI245" i="3"/>
  <c r="T245" i="3"/>
  <c r="AT253" i="3"/>
  <c r="AW253" i="3" s="1"/>
  <c r="AS253" i="3"/>
  <c r="CR251" i="3"/>
  <c r="CU251" i="3" s="1"/>
  <c r="BZ252" i="3" s="1"/>
  <c r="CQ251" i="3"/>
  <c r="CP251" i="3"/>
  <c r="CZ251" i="3" s="1"/>
  <c r="CM251" i="3"/>
  <c r="CY251" i="3" l="1"/>
  <c r="DC251" i="3"/>
  <c r="CT251" i="3"/>
  <c r="BY252" i="3" s="1"/>
  <c r="CA252" i="3" s="1"/>
  <c r="CN251" i="3"/>
  <c r="AZ253" i="3"/>
  <c r="BF253" i="3"/>
  <c r="BP253" i="3" s="1"/>
  <c r="AU253" i="3"/>
  <c r="AB245" i="3"/>
  <c r="AC245" i="3" s="1"/>
  <c r="U245" i="3"/>
  <c r="AH245" i="3" s="1"/>
  <c r="H246" i="3"/>
  <c r="J246" i="3" l="1"/>
  <c r="M246" i="3" s="1"/>
  <c r="I246" i="3"/>
  <c r="BN253" i="3"/>
  <c r="AV253" i="3"/>
  <c r="CV251" i="3"/>
  <c r="CO251" i="3"/>
  <c r="DB251" i="3" s="1"/>
  <c r="CB252" i="3"/>
  <c r="CC252" i="3" s="1"/>
  <c r="AX253" i="3" l="1"/>
  <c r="AY253" i="3"/>
  <c r="P246" i="3"/>
  <c r="V246" i="3"/>
  <c r="AF246" i="3" s="1"/>
  <c r="CD252" i="3"/>
  <c r="CG252" i="3" s="1"/>
  <c r="CJ252" i="3" s="1"/>
  <c r="CW251" i="3"/>
  <c r="K246" i="3"/>
  <c r="CE252" i="3" l="1"/>
  <c r="BA253" i="3"/>
  <c r="BB253" i="3" s="1"/>
  <c r="AD246" i="3"/>
  <c r="L246" i="3"/>
  <c r="N246" i="3" l="1"/>
  <c r="O246" i="3"/>
  <c r="BH253" i="3"/>
  <c r="BK253" i="3" s="1"/>
  <c r="AP254" i="3" s="1"/>
  <c r="BG253" i="3"/>
  <c r="BC253" i="3"/>
  <c r="BO253" i="3" s="1"/>
  <c r="CX252" i="3"/>
  <c r="CF252" i="3"/>
  <c r="CH252" i="3" l="1"/>
  <c r="CI252" i="3"/>
  <c r="BS253" i="3"/>
  <c r="BJ253" i="3"/>
  <c r="AO254" i="3" s="1"/>
  <c r="AQ254" i="3" s="1"/>
  <c r="Q246" i="3"/>
  <c r="R246" i="3" s="1"/>
  <c r="BD253" i="3"/>
  <c r="BL253" i="3" l="1"/>
  <c r="BM253" i="3" s="1"/>
  <c r="BE253" i="3"/>
  <c r="BR253" i="3" s="1"/>
  <c r="CK252" i="3"/>
  <c r="CL252" i="3" s="1"/>
  <c r="X246" i="3"/>
  <c r="AA246" i="3" s="1"/>
  <c r="F247" i="3" s="1"/>
  <c r="W246" i="3"/>
  <c r="S246" i="3"/>
  <c r="AE246" i="3" s="1"/>
  <c r="AR254" i="3"/>
  <c r="AT254" i="3" l="1"/>
  <c r="AW254" i="3" s="1"/>
  <c r="AS254" i="3"/>
  <c r="AI246" i="3"/>
  <c r="Z246" i="3"/>
  <c r="E247" i="3" s="1"/>
  <c r="G247" i="3" s="1"/>
  <c r="T246" i="3"/>
  <c r="CR252" i="3"/>
  <c r="CU252" i="3" s="1"/>
  <c r="BZ253" i="3" s="1"/>
  <c r="CP252" i="3"/>
  <c r="CZ252" i="3" s="1"/>
  <c r="CQ252" i="3"/>
  <c r="CM252" i="3"/>
  <c r="CY252" i="3" s="1"/>
  <c r="DC252" i="3" l="1"/>
  <c r="CT252" i="3"/>
  <c r="BY253" i="3" s="1"/>
  <c r="CA253" i="3" s="1"/>
  <c r="CN252" i="3"/>
  <c r="AZ254" i="3"/>
  <c r="BF254" i="3"/>
  <c r="BP254" i="3" s="1"/>
  <c r="AB246" i="3"/>
  <c r="AC246" i="3" s="1"/>
  <c r="U246" i="3"/>
  <c r="AH246" i="3" s="1"/>
  <c r="H247" i="3"/>
  <c r="AU254" i="3"/>
  <c r="J247" i="3" l="1"/>
  <c r="M247" i="3" s="1"/>
  <c r="BN254" i="3"/>
  <c r="AV254" i="3"/>
  <c r="I247" i="3"/>
  <c r="CV252" i="3"/>
  <c r="CW252" i="3" s="1"/>
  <c r="CO252" i="3"/>
  <c r="DB252" i="3" s="1"/>
  <c r="CB253" i="3"/>
  <c r="CC253" i="3" s="1"/>
  <c r="CD253" i="3" l="1"/>
  <c r="CG253" i="3" s="1"/>
  <c r="CJ253" i="3" s="1"/>
  <c r="P247" i="3"/>
  <c r="V247" i="3"/>
  <c r="AF247" i="3" s="1"/>
  <c r="AX254" i="3"/>
  <c r="AY254" i="3"/>
  <c r="K247" i="3"/>
  <c r="CE253" i="3" l="1"/>
  <c r="CX253" i="3" s="1"/>
  <c r="AD247" i="3"/>
  <c r="L247" i="3"/>
  <c r="BA254" i="3"/>
  <c r="BB254" i="3" s="1"/>
  <c r="J22" i="3"/>
  <c r="CF253" i="3"/>
  <c r="CH253" i="3" l="1"/>
  <c r="CI253" i="3"/>
  <c r="N247" i="3"/>
  <c r="O247" i="3"/>
  <c r="BH254" i="3"/>
  <c r="BK254" i="3" s="1"/>
  <c r="AP255" i="3" s="1"/>
  <c r="BG254" i="3"/>
  <c r="BC254" i="3"/>
  <c r="BO254" i="3" s="1"/>
  <c r="BJ254" i="3" l="1"/>
  <c r="AO255" i="3" s="1"/>
  <c r="AQ255" i="3" s="1"/>
  <c r="BS254" i="3"/>
  <c r="BD254" i="3"/>
  <c r="Q247" i="3"/>
  <c r="R247" i="3" s="1"/>
  <c r="CK253" i="3"/>
  <c r="CL253" i="3" s="1"/>
  <c r="CR253" i="3" l="1"/>
  <c r="CU253" i="3" s="1"/>
  <c r="BZ254" i="3" s="1"/>
  <c r="CQ253" i="3"/>
  <c r="CP253" i="3"/>
  <c r="CZ253" i="3" s="1"/>
  <c r="CM253" i="3"/>
  <c r="CY253" i="3" s="1"/>
  <c r="X247" i="3"/>
  <c r="AA247" i="3" s="1"/>
  <c r="W247" i="3"/>
  <c r="S247" i="3"/>
  <c r="AE247" i="3" s="1"/>
  <c r="BL254" i="3"/>
  <c r="BM254" i="3" s="1"/>
  <c r="BE254" i="3"/>
  <c r="BR254" i="3" s="1"/>
  <c r="AR255" i="3"/>
  <c r="AT255" i="3" l="1"/>
  <c r="AW255" i="3" s="1"/>
  <c r="AS255" i="3"/>
  <c r="F248" i="3"/>
  <c r="C22" i="3"/>
  <c r="F33" i="5"/>
  <c r="DC253" i="3"/>
  <c r="CT253" i="3"/>
  <c r="BY254" i="3" s="1"/>
  <c r="CA254" i="3" s="1"/>
  <c r="AI247" i="3"/>
  <c r="Y247" i="3"/>
  <c r="T247" i="3"/>
  <c r="CN253" i="3"/>
  <c r="I22" i="3" l="1"/>
  <c r="AG247" i="3"/>
  <c r="AG248" i="3" s="1"/>
  <c r="AG249" i="3" s="1"/>
  <c r="AG250" i="3" s="1"/>
  <c r="AG251" i="3" s="1"/>
  <c r="AG252" i="3" s="1"/>
  <c r="AG253" i="3" s="1"/>
  <c r="AG254" i="3" s="1"/>
  <c r="AG255" i="3" s="1"/>
  <c r="AG256" i="3" s="1"/>
  <c r="AG257" i="3" s="1"/>
  <c r="AG258" i="3" s="1"/>
  <c r="CB254" i="3"/>
  <c r="CC254" i="3" s="1"/>
  <c r="BF255" i="3"/>
  <c r="BP255" i="3" s="1"/>
  <c r="AZ255" i="3"/>
  <c r="AU255" i="3"/>
  <c r="Z247" i="3"/>
  <c r="CV253" i="3"/>
  <c r="CW253" i="3" s="1"/>
  <c r="CO253" i="3"/>
  <c r="DB253" i="3" s="1"/>
  <c r="AB247" i="3"/>
  <c r="AC247" i="3" s="1"/>
  <c r="U247" i="3"/>
  <c r="AH247" i="3" s="1"/>
  <c r="B33" i="5" l="1"/>
  <c r="E248" i="3"/>
  <c r="G248" i="3" s="1"/>
  <c r="B22" i="3"/>
  <c r="D22" i="3" s="1"/>
  <c r="CD254" i="3"/>
  <c r="CG254" i="3" s="1"/>
  <c r="CJ254" i="3" s="1"/>
  <c r="BN255" i="3"/>
  <c r="AV255" i="3"/>
  <c r="CE254" i="3" l="1"/>
  <c r="H248" i="3"/>
  <c r="AY255" i="3"/>
  <c r="AX255" i="3"/>
  <c r="J248" i="3" l="1"/>
  <c r="M248" i="3" s="1"/>
  <c r="BA255" i="3"/>
  <c r="BB255" i="3" s="1"/>
  <c r="I248" i="3"/>
  <c r="CX254" i="3"/>
  <c r="CF254" i="3"/>
  <c r="CH254" i="3" l="1"/>
  <c r="CI254" i="3"/>
  <c r="P248" i="3"/>
  <c r="V248" i="3"/>
  <c r="AF248" i="3" s="1"/>
  <c r="BH255" i="3"/>
  <c r="BK255" i="3" s="1"/>
  <c r="AP256" i="3" s="1"/>
  <c r="BG255" i="3"/>
  <c r="BC255" i="3"/>
  <c r="BO255" i="3" s="1"/>
  <c r="K248" i="3"/>
  <c r="BD255" i="3" l="1"/>
  <c r="CK254" i="3"/>
  <c r="CL254" i="3" s="1"/>
  <c r="AD248" i="3"/>
  <c r="L248" i="3"/>
  <c r="BJ255" i="3"/>
  <c r="AO256" i="3" s="1"/>
  <c r="AQ256" i="3" s="1"/>
  <c r="BS255" i="3"/>
  <c r="AR256" i="3" l="1"/>
  <c r="N248" i="3"/>
  <c r="O248" i="3"/>
  <c r="CR254" i="3"/>
  <c r="CU254" i="3" s="1"/>
  <c r="BZ255" i="3" s="1"/>
  <c r="CP254" i="3"/>
  <c r="CZ254" i="3" s="1"/>
  <c r="CQ254" i="3"/>
  <c r="CM254" i="3"/>
  <c r="CY254" i="3" s="1"/>
  <c r="BL255" i="3"/>
  <c r="BM255" i="3" s="1"/>
  <c r="BE255" i="3"/>
  <c r="BR255" i="3" s="1"/>
  <c r="CT254" i="3" l="1"/>
  <c r="BY255" i="3" s="1"/>
  <c r="CA255" i="3" s="1"/>
  <c r="DC254" i="3"/>
  <c r="CN254" i="3"/>
  <c r="Q248" i="3"/>
  <c r="R248" i="3" s="1"/>
  <c r="AT256" i="3"/>
  <c r="AW256" i="3" s="1"/>
  <c r="AS256" i="3"/>
  <c r="AU256" i="3" l="1"/>
  <c r="AZ256" i="3"/>
  <c r="BF256" i="3"/>
  <c r="BP256" i="3" s="1"/>
  <c r="X248" i="3"/>
  <c r="AA248" i="3" s="1"/>
  <c r="F249" i="3" s="1"/>
  <c r="W248" i="3"/>
  <c r="S248" i="3"/>
  <c r="T248" i="3" s="1"/>
  <c r="CV254" i="3"/>
  <c r="CW254" i="3" s="1"/>
  <c r="CO254" i="3"/>
  <c r="DB254" i="3" s="1"/>
  <c r="CB255" i="3"/>
  <c r="AB248" i="3" l="1"/>
  <c r="U248" i="3"/>
  <c r="AH248" i="3" s="1"/>
  <c r="AI248" i="3"/>
  <c r="Z248" i="3"/>
  <c r="E249" i="3" s="1"/>
  <c r="G249" i="3" s="1"/>
  <c r="CD255" i="3"/>
  <c r="CG255" i="3" s="1"/>
  <c r="CC255" i="3"/>
  <c r="AE248" i="3"/>
  <c r="BN256" i="3"/>
  <c r="AV256" i="3"/>
  <c r="CJ255" i="3" l="1"/>
  <c r="CE255" i="3"/>
  <c r="H249" i="3"/>
  <c r="AX256" i="3"/>
  <c r="AY256" i="3"/>
  <c r="AC248" i="3"/>
  <c r="BA256" i="3" l="1"/>
  <c r="BB256" i="3" s="1"/>
  <c r="CX255" i="3"/>
  <c r="CF255" i="3"/>
  <c r="J249" i="3"/>
  <c r="M249" i="3" s="1"/>
  <c r="I249" i="3"/>
  <c r="P249" i="3" l="1"/>
  <c r="V249" i="3"/>
  <c r="AF249" i="3" s="1"/>
  <c r="K249" i="3"/>
  <c r="CH255" i="3"/>
  <c r="CI255" i="3"/>
  <c r="BH256" i="3"/>
  <c r="BK256" i="3" s="1"/>
  <c r="AP257" i="3" s="1"/>
  <c r="BG256" i="3"/>
  <c r="BC256" i="3"/>
  <c r="BO256" i="3" s="1"/>
  <c r="BJ256" i="3" l="1"/>
  <c r="AO257" i="3" s="1"/>
  <c r="AQ257" i="3" s="1"/>
  <c r="BS256" i="3"/>
  <c r="BD256" i="3"/>
  <c r="CK255" i="3"/>
  <c r="CL255" i="3" s="1"/>
  <c r="AD249" i="3"/>
  <c r="L249" i="3"/>
  <c r="N249" i="3" l="1"/>
  <c r="O249" i="3"/>
  <c r="CR255" i="3"/>
  <c r="CU255" i="3" s="1"/>
  <c r="BZ256" i="3" s="1"/>
  <c r="CQ255" i="3"/>
  <c r="CP255" i="3"/>
  <c r="CZ255" i="3" s="1"/>
  <c r="CM255" i="3"/>
  <c r="CY255" i="3" s="1"/>
  <c r="BL256" i="3"/>
  <c r="BM256" i="3" s="1"/>
  <c r="BE256" i="3"/>
  <c r="BR256" i="3" s="1"/>
  <c r="AR257" i="3"/>
  <c r="AT257" i="3" l="1"/>
  <c r="AW257" i="3" s="1"/>
  <c r="AS257" i="3"/>
  <c r="CT255" i="3"/>
  <c r="BY256" i="3" s="1"/>
  <c r="CA256" i="3" s="1"/>
  <c r="DC255" i="3"/>
  <c r="CN255" i="3"/>
  <c r="Q249" i="3"/>
  <c r="R249" i="3" s="1"/>
  <c r="X249" i="3" l="1"/>
  <c r="AA249" i="3" s="1"/>
  <c r="F250" i="3" s="1"/>
  <c r="W249" i="3"/>
  <c r="S249" i="3"/>
  <c r="CV255" i="3"/>
  <c r="CW255" i="3" s="1"/>
  <c r="CO255" i="3"/>
  <c r="DB255" i="3" s="1"/>
  <c r="CB256" i="3"/>
  <c r="CC256" i="3" s="1"/>
  <c r="BF257" i="3"/>
  <c r="BP257" i="3" s="1"/>
  <c r="AZ257" i="3"/>
  <c r="AU257" i="3"/>
  <c r="AI249" i="3" l="1"/>
  <c r="Z249" i="3"/>
  <c r="E250" i="3" s="1"/>
  <c r="G250" i="3" s="1"/>
  <c r="BN257" i="3"/>
  <c r="AV257" i="3"/>
  <c r="CD256" i="3"/>
  <c r="CG256" i="3" s="1"/>
  <c r="CJ256" i="3" s="1"/>
  <c r="AE249" i="3"/>
  <c r="T249" i="3"/>
  <c r="AX257" i="3" l="1"/>
  <c r="AY257" i="3"/>
  <c r="CE256" i="3"/>
  <c r="H250" i="3"/>
  <c r="I250" i="3"/>
  <c r="AB249" i="3"/>
  <c r="U249" i="3"/>
  <c r="AH249" i="3" s="1"/>
  <c r="V250" i="3" l="1"/>
  <c r="AF250" i="3" s="1"/>
  <c r="P250" i="3"/>
  <c r="AC249" i="3"/>
  <c r="J250" i="3"/>
  <c r="M250" i="3" s="1"/>
  <c r="CX256" i="3"/>
  <c r="CF256" i="3"/>
  <c r="BA257" i="3"/>
  <c r="BB257" i="3" s="1"/>
  <c r="CH256" i="3" l="1"/>
  <c r="CI256" i="3"/>
  <c r="BH257" i="3"/>
  <c r="BK257" i="3" s="1"/>
  <c r="AP258" i="3" s="1"/>
  <c r="BG257" i="3"/>
  <c r="BC257" i="3"/>
  <c r="BO257" i="3" s="1"/>
  <c r="K250" i="3"/>
  <c r="BD257" i="3" l="1"/>
  <c r="AD250" i="3"/>
  <c r="L250" i="3"/>
  <c r="BJ257" i="3"/>
  <c r="AO258" i="3" s="1"/>
  <c r="AQ258" i="3" s="1"/>
  <c r="BS257" i="3"/>
  <c r="CK256" i="3"/>
  <c r="CL256" i="3" s="1"/>
  <c r="CR256" i="3" l="1"/>
  <c r="CU256" i="3" s="1"/>
  <c r="BZ257" i="3" s="1"/>
  <c r="CQ256" i="3"/>
  <c r="CP256" i="3"/>
  <c r="CZ256" i="3" s="1"/>
  <c r="CM256" i="3"/>
  <c r="CY256" i="3" s="1"/>
  <c r="AR258" i="3"/>
  <c r="N250" i="3"/>
  <c r="O250" i="3"/>
  <c r="BL257" i="3"/>
  <c r="BM257" i="3" s="1"/>
  <c r="BE257" i="3"/>
  <c r="BR257" i="3" s="1"/>
  <c r="Q250" i="3" l="1"/>
  <c r="R250" i="3" s="1"/>
  <c r="AT258" i="3"/>
  <c r="AW258" i="3" s="1"/>
  <c r="CN256" i="3"/>
  <c r="AS258" i="3"/>
  <c r="DC256" i="3"/>
  <c r="CT256" i="3"/>
  <c r="BY257" i="3" s="1"/>
  <c r="CA257" i="3" s="1"/>
  <c r="CB257" i="3" l="1"/>
  <c r="CC257" i="3"/>
  <c r="BF258" i="3"/>
  <c r="BP258" i="3" s="1"/>
  <c r="AZ258" i="3"/>
  <c r="CV256" i="3"/>
  <c r="CW256" i="3" s="1"/>
  <c r="CO256" i="3"/>
  <c r="DB256" i="3" s="1"/>
  <c r="AU258" i="3"/>
  <c r="X250" i="3"/>
  <c r="AA250" i="3" s="1"/>
  <c r="F251" i="3" s="1"/>
  <c r="W250" i="3"/>
  <c r="S250" i="3"/>
  <c r="BN258" i="3" l="1"/>
  <c r="AV258" i="3"/>
  <c r="AE250" i="3"/>
  <c r="AI250" i="3"/>
  <c r="Z250" i="3"/>
  <c r="E251" i="3" s="1"/>
  <c r="G251" i="3" s="1"/>
  <c r="T250" i="3"/>
  <c r="CD257" i="3"/>
  <c r="CG257" i="3" s="1"/>
  <c r="CJ257" i="3" s="1"/>
  <c r="CE257" i="3"/>
  <c r="CX257" i="3" s="1"/>
  <c r="CF257" i="3" l="1"/>
  <c r="CH257" i="3"/>
  <c r="CI257" i="3"/>
  <c r="AB250" i="3"/>
  <c r="U250" i="3"/>
  <c r="AH250" i="3" s="1"/>
  <c r="H251" i="3"/>
  <c r="AX258" i="3"/>
  <c r="AY258" i="3"/>
  <c r="J251" i="3" l="1"/>
  <c r="M251" i="3" s="1"/>
  <c r="K251" i="3"/>
  <c r="I251" i="3"/>
  <c r="CK257" i="3"/>
  <c r="CL257" i="3" s="1"/>
  <c r="BA258" i="3"/>
  <c r="BB258" i="3" s="1"/>
  <c r="AC250" i="3"/>
  <c r="BH258" i="3" l="1"/>
  <c r="BK258" i="3" s="1"/>
  <c r="AP259" i="3" s="1"/>
  <c r="BG258" i="3"/>
  <c r="BC258" i="3"/>
  <c r="BO258" i="3" s="1"/>
  <c r="CR257" i="3"/>
  <c r="CU257" i="3" s="1"/>
  <c r="BZ258" i="3" s="1"/>
  <c r="CP257" i="3"/>
  <c r="CZ257" i="3" s="1"/>
  <c r="CQ257" i="3"/>
  <c r="CM257" i="3"/>
  <c r="CY257" i="3" s="1"/>
  <c r="P251" i="3"/>
  <c r="V251" i="3"/>
  <c r="AF251" i="3" s="1"/>
  <c r="AD251" i="3"/>
  <c r="L251" i="3"/>
  <c r="N251" i="3" l="1"/>
  <c r="O251" i="3"/>
  <c r="BS258" i="3"/>
  <c r="BJ258" i="3"/>
  <c r="AO259" i="3" s="1"/>
  <c r="AQ259" i="3" s="1"/>
  <c r="CT257" i="3"/>
  <c r="BY258" i="3" s="1"/>
  <c r="CA258" i="3" s="1"/>
  <c r="DC257" i="3"/>
  <c r="CN257" i="3"/>
  <c r="BD258" i="3"/>
  <c r="CV257" i="3" l="1"/>
  <c r="CW257" i="3" s="1"/>
  <c r="CO257" i="3"/>
  <c r="DB257" i="3" s="1"/>
  <c r="AR259" i="3"/>
  <c r="CB258" i="3"/>
  <c r="BL258" i="3"/>
  <c r="BM258" i="3" s="1"/>
  <c r="BE258" i="3"/>
  <c r="BR258" i="3" s="1"/>
  <c r="Q251" i="3"/>
  <c r="R251" i="3" s="1"/>
  <c r="X251" i="3" l="1"/>
  <c r="AA251" i="3" s="1"/>
  <c r="F252" i="3" s="1"/>
  <c r="W251" i="3"/>
  <c r="S251" i="3"/>
  <c r="CD258" i="3"/>
  <c r="CG258" i="3" s="1"/>
  <c r="CC258" i="3"/>
  <c r="AT259" i="3"/>
  <c r="AW259" i="3" s="1"/>
  <c r="AS259" i="3"/>
  <c r="BF259" i="3" l="1"/>
  <c r="BP259" i="3" s="1"/>
  <c r="AZ259" i="3"/>
  <c r="AI251" i="3"/>
  <c r="Z251" i="3"/>
  <c r="E252" i="3" s="1"/>
  <c r="G252" i="3" s="1"/>
  <c r="AU259" i="3"/>
  <c r="CJ258" i="3"/>
  <c r="CE258" i="3"/>
  <c r="AE251" i="3"/>
  <c r="T251" i="3"/>
  <c r="AB251" i="3" l="1"/>
  <c r="U251" i="3"/>
  <c r="AH251" i="3" s="1"/>
  <c r="H252" i="3"/>
  <c r="CX258" i="3"/>
  <c r="CF258" i="3"/>
  <c r="BN259" i="3"/>
  <c r="AV259" i="3"/>
  <c r="W23" i="3"/>
  <c r="AX259" i="3" l="1"/>
  <c r="AY259" i="3"/>
  <c r="J252" i="3"/>
  <c r="M252" i="3" s="1"/>
  <c r="CH258" i="3"/>
  <c r="CI258" i="3"/>
  <c r="I252" i="3"/>
  <c r="AC251" i="3"/>
  <c r="CK258" i="3" l="1"/>
  <c r="CL258" i="3" s="1"/>
  <c r="BA259" i="3"/>
  <c r="BB259" i="3" s="1"/>
  <c r="P252" i="3"/>
  <c r="V252" i="3"/>
  <c r="AF252" i="3" s="1"/>
  <c r="K252" i="3"/>
  <c r="BH259" i="3" l="1"/>
  <c r="BK259" i="3" s="1"/>
  <c r="BG259" i="3"/>
  <c r="BC259" i="3"/>
  <c r="BO259" i="3" s="1"/>
  <c r="AD252" i="3"/>
  <c r="L252" i="3"/>
  <c r="CR258" i="3"/>
  <c r="CU258" i="3" s="1"/>
  <c r="BZ259" i="3" s="1"/>
  <c r="CQ258" i="3"/>
  <c r="CP258" i="3"/>
  <c r="CZ258" i="3" s="1"/>
  <c r="CM258" i="3"/>
  <c r="CY258" i="3" s="1"/>
  <c r="DC258" i="3" l="1"/>
  <c r="CT258" i="3"/>
  <c r="BY259" i="3" s="1"/>
  <c r="CA259" i="3" s="1"/>
  <c r="CN258" i="3"/>
  <c r="G34" i="5"/>
  <c r="BD259" i="3"/>
  <c r="N252" i="3"/>
  <c r="O252" i="3"/>
  <c r="BS259" i="3"/>
  <c r="BI259" i="3"/>
  <c r="AP260" i="3"/>
  <c r="P23" i="3"/>
  <c r="BL259" i="3" l="1"/>
  <c r="BM259" i="3" s="1"/>
  <c r="BE259" i="3"/>
  <c r="BR259" i="3" s="1"/>
  <c r="CV258" i="3"/>
  <c r="CW258" i="3" s="1"/>
  <c r="CO258" i="3"/>
  <c r="DB258" i="3" s="1"/>
  <c r="V23" i="3"/>
  <c r="BQ259" i="3"/>
  <c r="BQ260" i="3" s="1"/>
  <c r="BQ261" i="3" s="1"/>
  <c r="BQ262" i="3" s="1"/>
  <c r="BQ263" i="3" s="1"/>
  <c r="BQ264" i="3" s="1"/>
  <c r="BQ265" i="3" s="1"/>
  <c r="BQ266" i="3" s="1"/>
  <c r="BQ267" i="3" s="1"/>
  <c r="BQ268" i="3" s="1"/>
  <c r="BQ269" i="3" s="1"/>
  <c r="BQ270" i="3" s="1"/>
  <c r="Q252" i="3"/>
  <c r="R252" i="3" s="1"/>
  <c r="CB259" i="3"/>
  <c r="BJ259" i="3"/>
  <c r="CD259" i="3" l="1"/>
  <c r="CG259" i="3" s="1"/>
  <c r="CE259" i="3"/>
  <c r="CX259" i="3" s="1"/>
  <c r="C34" i="5"/>
  <c r="AO260" i="3"/>
  <c r="AQ260" i="3" s="1"/>
  <c r="O23" i="3"/>
  <c r="Q23" i="3" s="1"/>
  <c r="CC259" i="3"/>
  <c r="X252" i="3"/>
  <c r="AA252" i="3" s="1"/>
  <c r="F253" i="3" s="1"/>
  <c r="W252" i="3"/>
  <c r="S252" i="3"/>
  <c r="AE252" i="3" s="1"/>
  <c r="T252" i="3" l="1"/>
  <c r="CJ259" i="3"/>
  <c r="CP259" i="3"/>
  <c r="CZ259" i="3" s="1"/>
  <c r="Z252" i="3"/>
  <c r="E253" i="3" s="1"/>
  <c r="G253" i="3" s="1"/>
  <c r="AI252" i="3"/>
  <c r="AR260" i="3"/>
  <c r="AS260" i="3" s="1"/>
  <c r="CF259" i="3"/>
  <c r="BF260" i="3" l="1"/>
  <c r="BP260" i="3" s="1"/>
  <c r="AZ260" i="3"/>
  <c r="CH259" i="3"/>
  <c r="CI259" i="3"/>
  <c r="H253" i="3"/>
  <c r="AT260" i="3"/>
  <c r="AW260" i="3" s="1"/>
  <c r="AJ23" i="3"/>
  <c r="AB252" i="3"/>
  <c r="AC252" i="3" s="1"/>
  <c r="U252" i="3"/>
  <c r="AH252" i="3" s="1"/>
  <c r="AU260" i="3" l="1"/>
  <c r="J253" i="3"/>
  <c r="M253" i="3" s="1"/>
  <c r="I253" i="3"/>
  <c r="CK259" i="3"/>
  <c r="CL259" i="3" s="1"/>
  <c r="CR259" i="3" l="1"/>
  <c r="CU259" i="3" s="1"/>
  <c r="CQ259" i="3"/>
  <c r="CM259" i="3"/>
  <c r="CY259" i="3" s="1"/>
  <c r="P253" i="3"/>
  <c r="V253" i="3"/>
  <c r="AF253" i="3" s="1"/>
  <c r="K253" i="3"/>
  <c r="BN260" i="3"/>
  <c r="AV260" i="3"/>
  <c r="AD253" i="3" l="1"/>
  <c r="L253" i="3"/>
  <c r="CN259" i="3"/>
  <c r="AX260" i="3"/>
  <c r="AY260" i="3"/>
  <c r="H34" i="5"/>
  <c r="DC259" i="3"/>
  <c r="CS259" i="3"/>
  <c r="BZ260" i="3"/>
  <c r="AC23" i="3"/>
  <c r="O253" i="3" l="1"/>
  <c r="N253" i="3"/>
  <c r="AI23" i="3"/>
  <c r="DA259" i="3"/>
  <c r="DA260" i="3" s="1"/>
  <c r="DA261" i="3" s="1"/>
  <c r="DA262" i="3" s="1"/>
  <c r="DA263" i="3" s="1"/>
  <c r="DA264" i="3" s="1"/>
  <c r="DA265" i="3" s="1"/>
  <c r="DA266" i="3" s="1"/>
  <c r="DA267" i="3" s="1"/>
  <c r="DA268" i="3" s="1"/>
  <c r="DA269" i="3" s="1"/>
  <c r="DA270" i="3" s="1"/>
  <c r="CT259" i="3"/>
  <c r="BA260" i="3"/>
  <c r="BB260" i="3" s="1"/>
  <c r="CV259" i="3"/>
  <c r="CW259" i="3" s="1"/>
  <c r="CO259" i="3"/>
  <c r="DB259" i="3" s="1"/>
  <c r="BH260" i="3" l="1"/>
  <c r="BK260" i="3" s="1"/>
  <c r="AP261" i="3" s="1"/>
  <c r="BG260" i="3"/>
  <c r="BC260" i="3"/>
  <c r="BD260" i="3" s="1"/>
  <c r="D34" i="5"/>
  <c r="BY260" i="3"/>
  <c r="CA260" i="3" s="1"/>
  <c r="AB23" i="3"/>
  <c r="AD23" i="3" s="1"/>
  <c r="Q253" i="3"/>
  <c r="R253" i="3" s="1"/>
  <c r="BL260" i="3" l="1"/>
  <c r="BE260" i="3"/>
  <c r="BR260" i="3" s="1"/>
  <c r="X253" i="3"/>
  <c r="AA253" i="3" s="1"/>
  <c r="F254" i="3" s="1"/>
  <c r="W253" i="3"/>
  <c r="S253" i="3"/>
  <c r="AE253" i="3" s="1"/>
  <c r="BS260" i="3"/>
  <c r="BJ260" i="3"/>
  <c r="AO261" i="3" s="1"/>
  <c r="AQ261" i="3" s="1"/>
  <c r="CB260" i="3"/>
  <c r="BO260" i="3"/>
  <c r="CD260" i="3" l="1"/>
  <c r="CG260" i="3" s="1"/>
  <c r="CC260" i="3"/>
  <c r="AI253" i="3"/>
  <c r="Z253" i="3"/>
  <c r="E254" i="3" s="1"/>
  <c r="G254" i="3" s="1"/>
  <c r="T253" i="3"/>
  <c r="AR261" i="3"/>
  <c r="AS261" i="3" s="1"/>
  <c r="BM260" i="3"/>
  <c r="CE260" i="3" l="1"/>
  <c r="CX260" i="3" s="1"/>
  <c r="BF261" i="3"/>
  <c r="BP261" i="3" s="1"/>
  <c r="AZ261" i="3"/>
  <c r="AB253" i="3"/>
  <c r="AC253" i="3" s="1"/>
  <c r="U253" i="3"/>
  <c r="AH253" i="3" s="1"/>
  <c r="AT261" i="3"/>
  <c r="AW261" i="3" s="1"/>
  <c r="H254" i="3"/>
  <c r="CP260" i="3"/>
  <c r="CZ260" i="3" s="1"/>
  <c r="CJ260" i="3"/>
  <c r="CF260" i="3" l="1"/>
  <c r="AU261" i="3"/>
  <c r="CH260" i="3"/>
  <c r="CI260" i="3"/>
  <c r="J254" i="3"/>
  <c r="M254" i="3" s="1"/>
  <c r="I254" i="3"/>
  <c r="P254" i="3" l="1"/>
  <c r="V254" i="3"/>
  <c r="AF254" i="3" s="1"/>
  <c r="K254" i="3"/>
  <c r="CK260" i="3"/>
  <c r="CL260" i="3" s="1"/>
  <c r="BN261" i="3"/>
  <c r="AV261" i="3"/>
  <c r="AX261" i="3" l="1"/>
  <c r="AY261" i="3"/>
  <c r="CR260" i="3"/>
  <c r="CU260" i="3" s="1"/>
  <c r="BZ261" i="3" s="1"/>
  <c r="CQ260" i="3"/>
  <c r="CM260" i="3"/>
  <c r="CN260" i="3" s="1"/>
  <c r="AD254" i="3"/>
  <c r="L254" i="3"/>
  <c r="CV260" i="3" l="1"/>
  <c r="CO260" i="3"/>
  <c r="DB260" i="3" s="1"/>
  <c r="CT260" i="3"/>
  <c r="BY261" i="3" s="1"/>
  <c r="CA261" i="3" s="1"/>
  <c r="DC260" i="3"/>
  <c r="N254" i="3"/>
  <c r="O254" i="3"/>
  <c r="CY260" i="3"/>
  <c r="BA261" i="3"/>
  <c r="BB261" i="3" s="1"/>
  <c r="BH261" i="3" l="1"/>
  <c r="BK261" i="3" s="1"/>
  <c r="AP262" i="3" s="1"/>
  <c r="BG261" i="3"/>
  <c r="BC261" i="3"/>
  <c r="Q254" i="3"/>
  <c r="R254" i="3" s="1"/>
  <c r="CB261" i="3"/>
  <c r="CW260" i="3"/>
  <c r="CD261" i="3" l="1"/>
  <c r="CG261" i="3" s="1"/>
  <c r="CE261" i="3"/>
  <c r="BO261" i="3"/>
  <c r="BD261" i="3"/>
  <c r="CC261" i="3"/>
  <c r="X254" i="3"/>
  <c r="AA254" i="3" s="1"/>
  <c r="F255" i="3" s="1"/>
  <c r="W254" i="3"/>
  <c r="S254" i="3"/>
  <c r="AE254" i="3" s="1"/>
  <c r="BS261" i="3"/>
  <c r="BJ261" i="3"/>
  <c r="AO262" i="3" s="1"/>
  <c r="AQ262" i="3" s="1"/>
  <c r="AR262" i="3" l="1"/>
  <c r="AI254" i="3"/>
  <c r="Z254" i="3"/>
  <c r="E255" i="3" s="1"/>
  <c r="G255" i="3" s="1"/>
  <c r="T254" i="3"/>
  <c r="CJ261" i="3"/>
  <c r="CP261" i="3"/>
  <c r="CZ261" i="3" s="1"/>
  <c r="BL261" i="3"/>
  <c r="BE261" i="3"/>
  <c r="BR261" i="3" s="1"/>
  <c r="CX261" i="3"/>
  <c r="CF261" i="3"/>
  <c r="BM261" i="3" l="1"/>
  <c r="CH261" i="3"/>
  <c r="CI261" i="3"/>
  <c r="AB254" i="3"/>
  <c r="AC254" i="3" s="1"/>
  <c r="U254" i="3"/>
  <c r="AH254" i="3" s="1"/>
  <c r="H255" i="3"/>
  <c r="I255" i="3" s="1"/>
  <c r="AT262" i="3"/>
  <c r="AW262" i="3" s="1"/>
  <c r="AS262" i="3"/>
  <c r="V255" i="3" l="1"/>
  <c r="AF255" i="3" s="1"/>
  <c r="P255" i="3"/>
  <c r="CK261" i="3"/>
  <c r="CL261" i="3" s="1"/>
  <c r="AZ262" i="3"/>
  <c r="BF262" i="3"/>
  <c r="BP262" i="3" s="1"/>
  <c r="J255" i="3"/>
  <c r="M255" i="3" s="1"/>
  <c r="AU262" i="3"/>
  <c r="BN262" i="3" l="1"/>
  <c r="AV262" i="3"/>
  <c r="K255" i="3"/>
  <c r="CR261" i="3"/>
  <c r="CU261" i="3" s="1"/>
  <c r="BZ262" i="3" s="1"/>
  <c r="CQ261" i="3"/>
  <c r="CM261" i="3"/>
  <c r="CY261" i="3" l="1"/>
  <c r="DC261" i="3"/>
  <c r="CT261" i="3"/>
  <c r="BY262" i="3" s="1"/>
  <c r="CA262" i="3" s="1"/>
  <c r="AD255" i="3"/>
  <c r="L255" i="3"/>
  <c r="CN261" i="3"/>
  <c r="AX262" i="3"/>
  <c r="AY262" i="3"/>
  <c r="BA262" i="3" l="1"/>
  <c r="BB262" i="3" s="1"/>
  <c r="N255" i="3"/>
  <c r="O255" i="3"/>
  <c r="CV261" i="3"/>
  <c r="CO261" i="3"/>
  <c r="DB261" i="3" s="1"/>
  <c r="CB262" i="3"/>
  <c r="CC262" i="3" s="1"/>
  <c r="CP262" i="3" l="1"/>
  <c r="CZ262" i="3" s="1"/>
  <c r="CJ262" i="3"/>
  <c r="CD262" i="3"/>
  <c r="CG262" i="3" s="1"/>
  <c r="CE262" i="3"/>
  <c r="CW261" i="3"/>
  <c r="Q255" i="3"/>
  <c r="R255" i="3" s="1"/>
  <c r="BH262" i="3"/>
  <c r="BK262" i="3" s="1"/>
  <c r="AP263" i="3" s="1"/>
  <c r="BG262" i="3"/>
  <c r="BC262" i="3"/>
  <c r="BO262" i="3" l="1"/>
  <c r="BJ262" i="3"/>
  <c r="AO263" i="3" s="1"/>
  <c r="AQ263" i="3" s="1"/>
  <c r="BS262" i="3"/>
  <c r="BD262" i="3"/>
  <c r="X255" i="3"/>
  <c r="AA255" i="3" s="1"/>
  <c r="F256" i="3" s="1"/>
  <c r="W255" i="3"/>
  <c r="S255" i="3"/>
  <c r="AE255" i="3" s="1"/>
  <c r="CX262" i="3"/>
  <c r="CF262" i="3"/>
  <c r="CH262" i="3" l="1"/>
  <c r="CI262" i="3"/>
  <c r="Z255" i="3"/>
  <c r="E256" i="3" s="1"/>
  <c r="G256" i="3" s="1"/>
  <c r="AI255" i="3"/>
  <c r="T255" i="3"/>
  <c r="BL262" i="3"/>
  <c r="BE262" i="3"/>
  <c r="BR262" i="3" s="1"/>
  <c r="AR263" i="3"/>
  <c r="AS263" i="3" s="1"/>
  <c r="BF263" i="3" l="1"/>
  <c r="BP263" i="3" s="1"/>
  <c r="AZ263" i="3"/>
  <c r="AT263" i="3"/>
  <c r="AW263" i="3" s="1"/>
  <c r="AU263" i="3"/>
  <c r="BM262" i="3"/>
  <c r="AB255" i="3"/>
  <c r="AC255" i="3" s="1"/>
  <c r="U255" i="3"/>
  <c r="AH255" i="3" s="1"/>
  <c r="H256" i="3"/>
  <c r="CK262" i="3"/>
  <c r="CL262" i="3" s="1"/>
  <c r="J256" i="3" l="1"/>
  <c r="M256" i="3" s="1"/>
  <c r="I256" i="3"/>
  <c r="CR262" i="3"/>
  <c r="CU262" i="3" s="1"/>
  <c r="BZ263" i="3" s="1"/>
  <c r="CQ262" i="3"/>
  <c r="CM262" i="3"/>
  <c r="BN263" i="3"/>
  <c r="AV263" i="3"/>
  <c r="CY262" i="3" l="1"/>
  <c r="AX263" i="3"/>
  <c r="AY263" i="3"/>
  <c r="CT262" i="3"/>
  <c r="BY263" i="3" s="1"/>
  <c r="CA263" i="3" s="1"/>
  <c r="DC262" i="3"/>
  <c r="CN262" i="3"/>
  <c r="P256" i="3"/>
  <c r="V256" i="3"/>
  <c r="AF256" i="3" s="1"/>
  <c r="K256" i="3"/>
  <c r="AD256" i="3" l="1"/>
  <c r="L256" i="3"/>
  <c r="CV262" i="3"/>
  <c r="CO262" i="3"/>
  <c r="DB262" i="3" s="1"/>
  <c r="CB263" i="3"/>
  <c r="BA263" i="3"/>
  <c r="BB263" i="3" s="1"/>
  <c r="BH263" i="3" l="1"/>
  <c r="BK263" i="3" s="1"/>
  <c r="AP264" i="3" s="1"/>
  <c r="BG263" i="3"/>
  <c r="BC263" i="3"/>
  <c r="CD263" i="3"/>
  <c r="CG263" i="3" s="1"/>
  <c r="CE263" i="3"/>
  <c r="CC263" i="3"/>
  <c r="CW262" i="3"/>
  <c r="O256" i="3"/>
  <c r="N256" i="3"/>
  <c r="Q256" i="3" l="1"/>
  <c r="R256" i="3" s="1"/>
  <c r="CX263" i="3"/>
  <c r="CP263" i="3"/>
  <c r="CZ263" i="3" s="1"/>
  <c r="CJ263" i="3"/>
  <c r="CF263" i="3"/>
  <c r="BJ263" i="3"/>
  <c r="AO264" i="3" s="1"/>
  <c r="AQ264" i="3" s="1"/>
  <c r="BS263" i="3"/>
  <c r="BO263" i="3"/>
  <c r="BD263" i="3"/>
  <c r="BL263" i="3" l="1"/>
  <c r="BE263" i="3"/>
  <c r="BR263" i="3" s="1"/>
  <c r="AR264" i="3"/>
  <c r="CH263" i="3"/>
  <c r="CI263" i="3"/>
  <c r="X256" i="3"/>
  <c r="AA256" i="3" s="1"/>
  <c r="F257" i="3" s="1"/>
  <c r="W256" i="3"/>
  <c r="S256" i="3"/>
  <c r="AE256" i="3" s="1"/>
  <c r="Z256" i="3" l="1"/>
  <c r="E257" i="3" s="1"/>
  <c r="G257" i="3" s="1"/>
  <c r="AI256" i="3"/>
  <c r="T256" i="3"/>
  <c r="CK263" i="3"/>
  <c r="CL263" i="3" s="1"/>
  <c r="AT264" i="3"/>
  <c r="AW264" i="3" s="1"/>
  <c r="AS264" i="3"/>
  <c r="BM263" i="3"/>
  <c r="AZ264" i="3" l="1"/>
  <c r="BF264" i="3"/>
  <c r="BP264" i="3" s="1"/>
  <c r="AB256" i="3"/>
  <c r="AC256" i="3" s="1"/>
  <c r="U256" i="3"/>
  <c r="AH256" i="3" s="1"/>
  <c r="AU264" i="3"/>
  <c r="CR263" i="3"/>
  <c r="CU263" i="3" s="1"/>
  <c r="BZ264" i="3" s="1"/>
  <c r="CQ263" i="3"/>
  <c r="CM263" i="3"/>
  <c r="H257" i="3"/>
  <c r="J257" i="3" l="1"/>
  <c r="M257" i="3" s="1"/>
  <c r="BN264" i="3"/>
  <c r="AV264" i="3"/>
  <c r="I257" i="3"/>
  <c r="CY263" i="3"/>
  <c r="DC263" i="3"/>
  <c r="CT263" i="3"/>
  <c r="BY264" i="3" s="1"/>
  <c r="CA264" i="3" s="1"/>
  <c r="CN263" i="3"/>
  <c r="CV263" i="3" l="1"/>
  <c r="CO263" i="3"/>
  <c r="DB263" i="3" s="1"/>
  <c r="CB264" i="3"/>
  <c r="P257" i="3"/>
  <c r="V257" i="3"/>
  <c r="AF257" i="3" s="1"/>
  <c r="AX264" i="3"/>
  <c r="AY264" i="3"/>
  <c r="K257" i="3"/>
  <c r="AD257" i="3" l="1"/>
  <c r="L257" i="3"/>
  <c r="BA264" i="3"/>
  <c r="BB264" i="3" s="1"/>
  <c r="CD264" i="3"/>
  <c r="CG264" i="3" s="1"/>
  <c r="CC264" i="3"/>
  <c r="CW263" i="3"/>
  <c r="N257" i="3" l="1"/>
  <c r="O257" i="3"/>
  <c r="CP264" i="3"/>
  <c r="CZ264" i="3" s="1"/>
  <c r="CJ264" i="3"/>
  <c r="CE264" i="3"/>
  <c r="BH264" i="3"/>
  <c r="BK264" i="3" s="1"/>
  <c r="AP265" i="3" s="1"/>
  <c r="BG264" i="3"/>
  <c r="BC264" i="3"/>
  <c r="BO264" i="3" s="1"/>
  <c r="CX264" i="3" l="1"/>
  <c r="CF264" i="3"/>
  <c r="BS264" i="3"/>
  <c r="BJ264" i="3"/>
  <c r="AO265" i="3" s="1"/>
  <c r="AQ265" i="3" s="1"/>
  <c r="BD264" i="3"/>
  <c r="Q257" i="3"/>
  <c r="R257" i="3" s="1"/>
  <c r="BL264" i="3" l="1"/>
  <c r="BM264" i="3" s="1"/>
  <c r="BE264" i="3"/>
  <c r="BR264" i="3" s="1"/>
  <c r="X257" i="3"/>
  <c r="AA257" i="3" s="1"/>
  <c r="F258" i="3" s="1"/>
  <c r="W257" i="3"/>
  <c r="S257" i="3"/>
  <c r="AE257" i="3" s="1"/>
  <c r="AR265" i="3"/>
  <c r="CH264" i="3"/>
  <c r="CI264" i="3"/>
  <c r="Z257" i="3" l="1"/>
  <c r="E258" i="3" s="1"/>
  <c r="G258" i="3" s="1"/>
  <c r="AI257" i="3"/>
  <c r="CK264" i="3"/>
  <c r="CL264" i="3" s="1"/>
  <c r="AT265" i="3"/>
  <c r="AW265" i="3" s="1"/>
  <c r="AU265" i="3"/>
  <c r="BN265" i="3" s="1"/>
  <c r="AS265" i="3"/>
  <c r="T257" i="3"/>
  <c r="AB257" i="3" l="1"/>
  <c r="AC257" i="3" s="1"/>
  <c r="U257" i="3"/>
  <c r="AH257" i="3" s="1"/>
  <c r="BF265" i="3"/>
  <c r="BP265" i="3" s="1"/>
  <c r="AZ265" i="3"/>
  <c r="CR264" i="3"/>
  <c r="CU264" i="3" s="1"/>
  <c r="BZ265" i="3" s="1"/>
  <c r="CQ264" i="3"/>
  <c r="CM264" i="3"/>
  <c r="CY264" i="3" s="1"/>
  <c r="AV265" i="3"/>
  <c r="H258" i="3"/>
  <c r="I258" i="3" s="1"/>
  <c r="V258" i="3" l="1"/>
  <c r="AF258" i="3" s="1"/>
  <c r="P258" i="3"/>
  <c r="DC264" i="3"/>
  <c r="CT264" i="3"/>
  <c r="BY265" i="3" s="1"/>
  <c r="CA265" i="3" s="1"/>
  <c r="CN264" i="3"/>
  <c r="J258" i="3"/>
  <c r="M258" i="3" s="1"/>
  <c r="AX265" i="3"/>
  <c r="AY265" i="3"/>
  <c r="CB265" i="3" l="1"/>
  <c r="CC265" i="3"/>
  <c r="BA265" i="3"/>
  <c r="BB265" i="3" s="1"/>
  <c r="K258" i="3"/>
  <c r="CV264" i="3"/>
  <c r="CW264" i="3" s="1"/>
  <c r="CO264" i="3"/>
  <c r="DB264" i="3" s="1"/>
  <c r="AD258" i="3" l="1"/>
  <c r="L258" i="3"/>
  <c r="BH265" i="3"/>
  <c r="BK265" i="3" s="1"/>
  <c r="AP266" i="3" s="1"/>
  <c r="BG265" i="3"/>
  <c r="BC265" i="3"/>
  <c r="BO265" i="3" s="1"/>
  <c r="CP265" i="3"/>
  <c r="CZ265" i="3" s="1"/>
  <c r="CJ265" i="3"/>
  <c r="CD265" i="3"/>
  <c r="CG265" i="3" s="1"/>
  <c r="BJ265" i="3" l="1"/>
  <c r="AO266" i="3" s="1"/>
  <c r="AQ266" i="3" s="1"/>
  <c r="BS265" i="3"/>
  <c r="BD265" i="3"/>
  <c r="CE265" i="3"/>
  <c r="O258" i="3"/>
  <c r="N258" i="3"/>
  <c r="Q258" i="3" l="1"/>
  <c r="R258" i="3" s="1"/>
  <c r="CX265" i="3"/>
  <c r="CF265" i="3"/>
  <c r="BL265" i="3"/>
  <c r="BM265" i="3" s="1"/>
  <c r="BE265" i="3"/>
  <c r="BR265" i="3" s="1"/>
  <c r="AR266" i="3"/>
  <c r="AT266" i="3" l="1"/>
  <c r="AW266" i="3" s="1"/>
  <c r="AS266" i="3"/>
  <c r="CH265" i="3"/>
  <c r="CI265" i="3"/>
  <c r="X258" i="3"/>
  <c r="AA258" i="3" s="1"/>
  <c r="F259" i="3" s="1"/>
  <c r="W258" i="3"/>
  <c r="S258" i="3"/>
  <c r="AE258" i="3" s="1"/>
  <c r="Z258" i="3" l="1"/>
  <c r="E259" i="3" s="1"/>
  <c r="G259" i="3" s="1"/>
  <c r="AI258" i="3"/>
  <c r="T258" i="3"/>
  <c r="CK265" i="3"/>
  <c r="CL265" i="3" s="1"/>
  <c r="AZ266" i="3"/>
  <c r="BF266" i="3"/>
  <c r="BP266" i="3" s="1"/>
  <c r="AU266" i="3"/>
  <c r="BN266" i="3" l="1"/>
  <c r="AV266" i="3"/>
  <c r="CR265" i="3"/>
  <c r="CU265" i="3" s="1"/>
  <c r="BZ266" i="3" s="1"/>
  <c r="CQ265" i="3"/>
  <c r="CM265" i="3"/>
  <c r="CY265" i="3" s="1"/>
  <c r="AB258" i="3"/>
  <c r="AC258" i="3" s="1"/>
  <c r="U258" i="3"/>
  <c r="AH258" i="3" s="1"/>
  <c r="H259" i="3"/>
  <c r="I259" i="3" s="1"/>
  <c r="P259" i="3" l="1"/>
  <c r="V259" i="3"/>
  <c r="AF259" i="3" s="1"/>
  <c r="J259" i="3"/>
  <c r="M259" i="3" s="1"/>
  <c r="DC265" i="3"/>
  <c r="CT265" i="3"/>
  <c r="BY266" i="3" s="1"/>
  <c r="CA266" i="3" s="1"/>
  <c r="CN265" i="3"/>
  <c r="AX266" i="3"/>
  <c r="AY266" i="3"/>
  <c r="BA266" i="3" l="1"/>
  <c r="BB266" i="3" s="1"/>
  <c r="CB266" i="3"/>
  <c r="CC266" i="3" s="1"/>
  <c r="J23" i="3"/>
  <c r="CV265" i="3"/>
  <c r="CW265" i="3" s="1"/>
  <c r="CO265" i="3"/>
  <c r="DB265" i="3" s="1"/>
  <c r="K259" i="3"/>
  <c r="AD259" i="3" l="1"/>
  <c r="L259" i="3"/>
  <c r="CP266" i="3"/>
  <c r="CZ266" i="3" s="1"/>
  <c r="CJ266" i="3"/>
  <c r="CD266" i="3"/>
  <c r="CG266" i="3" s="1"/>
  <c r="BH266" i="3"/>
  <c r="BK266" i="3" s="1"/>
  <c r="AP267" i="3" s="1"/>
  <c r="BG266" i="3"/>
  <c r="BC266" i="3"/>
  <c r="BO266" i="3" s="1"/>
  <c r="BD266" i="3" l="1"/>
  <c r="BS266" i="3"/>
  <c r="BJ266" i="3"/>
  <c r="AO267" i="3" s="1"/>
  <c r="AQ267" i="3" s="1"/>
  <c r="CE266" i="3"/>
  <c r="N259" i="3"/>
  <c r="O259" i="3"/>
  <c r="Q259" i="3" l="1"/>
  <c r="R259" i="3" s="1"/>
  <c r="CX266" i="3"/>
  <c r="CF266" i="3"/>
  <c r="AR267" i="3"/>
  <c r="BL266" i="3"/>
  <c r="BM266" i="3" s="1"/>
  <c r="BE266" i="3"/>
  <c r="BR266" i="3" s="1"/>
  <c r="CI266" i="3" l="1"/>
  <c r="CH266" i="3"/>
  <c r="AT267" i="3"/>
  <c r="AW267" i="3" s="1"/>
  <c r="AS267" i="3"/>
  <c r="X259" i="3"/>
  <c r="AA259" i="3" s="1"/>
  <c r="W259" i="3"/>
  <c r="S259" i="3"/>
  <c r="AE259" i="3" s="1"/>
  <c r="BF267" i="3" l="1"/>
  <c r="BP267" i="3" s="1"/>
  <c r="AZ267" i="3"/>
  <c r="F260" i="3"/>
  <c r="C23" i="3"/>
  <c r="F34" i="5"/>
  <c r="AI259" i="3"/>
  <c r="Y259" i="3"/>
  <c r="T259" i="3"/>
  <c r="AU267" i="3"/>
  <c r="CK266" i="3"/>
  <c r="CL266" i="3" s="1"/>
  <c r="BN267" i="3" l="1"/>
  <c r="AV267" i="3"/>
  <c r="I23" i="3"/>
  <c r="AG259" i="3"/>
  <c r="AG260" i="3" s="1"/>
  <c r="AG261" i="3" s="1"/>
  <c r="AG262" i="3" s="1"/>
  <c r="AG263" i="3" s="1"/>
  <c r="AG264" i="3" s="1"/>
  <c r="AG265" i="3" s="1"/>
  <c r="AG266" i="3" s="1"/>
  <c r="AG267" i="3" s="1"/>
  <c r="AG268" i="3" s="1"/>
  <c r="AG269" i="3" s="1"/>
  <c r="AG270" i="3" s="1"/>
  <c r="Z259" i="3"/>
  <c r="CR266" i="3"/>
  <c r="CU266" i="3" s="1"/>
  <c r="BZ267" i="3" s="1"/>
  <c r="CQ266" i="3"/>
  <c r="CM266" i="3"/>
  <c r="CY266" i="3" s="1"/>
  <c r="AB259" i="3"/>
  <c r="AC259" i="3" s="1"/>
  <c r="U259" i="3"/>
  <c r="AH259" i="3" s="1"/>
  <c r="CN266" i="3" l="1"/>
  <c r="B34" i="5"/>
  <c r="E260" i="3"/>
  <c r="G260" i="3" s="1"/>
  <c r="B23" i="3"/>
  <c r="D23" i="3" s="1"/>
  <c r="DC266" i="3"/>
  <c r="CT266" i="3"/>
  <c r="BY267" i="3" s="1"/>
  <c r="CA267" i="3" s="1"/>
  <c r="AX267" i="3"/>
  <c r="AY267" i="3"/>
  <c r="BA267" i="3" l="1"/>
  <c r="BB267" i="3" s="1"/>
  <c r="CB267" i="3"/>
  <c r="H260" i="3"/>
  <c r="I260" i="3" s="1"/>
  <c r="CV266" i="3"/>
  <c r="CW266" i="3" s="1"/>
  <c r="CO266" i="3"/>
  <c r="DB266" i="3" s="1"/>
  <c r="V260" i="3" l="1"/>
  <c r="AF260" i="3" s="1"/>
  <c r="P260" i="3"/>
  <c r="J260" i="3"/>
  <c r="M260" i="3" s="1"/>
  <c r="CD267" i="3"/>
  <c r="CG267" i="3" s="1"/>
  <c r="CE267" i="3"/>
  <c r="CX267" i="3" s="1"/>
  <c r="CC267" i="3"/>
  <c r="BH267" i="3"/>
  <c r="BK267" i="3" s="1"/>
  <c r="AP268" i="3" s="1"/>
  <c r="BG267" i="3"/>
  <c r="BC267" i="3"/>
  <c r="BO267" i="3" s="1"/>
  <c r="BD267" i="3" l="1"/>
  <c r="BL267" i="3"/>
  <c r="BM267" i="3" s="1"/>
  <c r="BE267" i="3"/>
  <c r="BR267" i="3" s="1"/>
  <c r="CF267" i="3"/>
  <c r="BS267" i="3"/>
  <c r="BJ267" i="3"/>
  <c r="AO268" i="3" s="1"/>
  <c r="AQ268" i="3" s="1"/>
  <c r="CJ267" i="3"/>
  <c r="CP267" i="3"/>
  <c r="CZ267" i="3" s="1"/>
  <c r="K260" i="3"/>
  <c r="AD260" i="3" l="1"/>
  <c r="L260" i="3"/>
  <c r="AR268" i="3"/>
  <c r="CH267" i="3"/>
  <c r="CI267" i="3"/>
  <c r="N260" i="3" l="1"/>
  <c r="O260" i="3"/>
  <c r="CK267" i="3"/>
  <c r="CL267" i="3" s="1"/>
  <c r="AT268" i="3"/>
  <c r="AW268" i="3" s="1"/>
  <c r="AS268" i="3"/>
  <c r="BF268" i="3" l="1"/>
  <c r="BP268" i="3" s="1"/>
  <c r="AZ268" i="3"/>
  <c r="AU268" i="3"/>
  <c r="CR267" i="3"/>
  <c r="CU267" i="3" s="1"/>
  <c r="BZ268" i="3" s="1"/>
  <c r="CQ267" i="3"/>
  <c r="CM267" i="3"/>
  <c r="CY267" i="3" s="1"/>
  <c r="Q260" i="3"/>
  <c r="R260" i="3" s="1"/>
  <c r="X260" i="3" l="1"/>
  <c r="AA260" i="3" s="1"/>
  <c r="F261" i="3" s="1"/>
  <c r="W260" i="3"/>
  <c r="S260" i="3"/>
  <c r="CT267" i="3"/>
  <c r="BY268" i="3" s="1"/>
  <c r="CA268" i="3" s="1"/>
  <c r="DC267" i="3"/>
  <c r="CN267" i="3"/>
  <c r="BN268" i="3"/>
  <c r="AV268" i="3"/>
  <c r="CV267" i="3" l="1"/>
  <c r="CW267" i="3" s="1"/>
  <c r="CO267" i="3"/>
  <c r="DB267" i="3" s="1"/>
  <c r="AX268" i="3"/>
  <c r="AY268" i="3"/>
  <c r="AE260" i="3"/>
  <c r="T260" i="3"/>
  <c r="CB268" i="3"/>
  <c r="Z260" i="3"/>
  <c r="E261" i="3" s="1"/>
  <c r="G261" i="3" s="1"/>
  <c r="AI260" i="3"/>
  <c r="CD268" i="3" l="1"/>
  <c r="CG268" i="3" s="1"/>
  <c r="CE268" i="3"/>
  <c r="CX268" i="3" s="1"/>
  <c r="AB260" i="3"/>
  <c r="U260" i="3"/>
  <c r="AH260" i="3" s="1"/>
  <c r="H261" i="3"/>
  <c r="CC268" i="3"/>
  <c r="BA268" i="3"/>
  <c r="BB268" i="3" s="1"/>
  <c r="CP268" i="3" l="1"/>
  <c r="CZ268" i="3" s="1"/>
  <c r="CJ268" i="3"/>
  <c r="BH268" i="3"/>
  <c r="BK268" i="3" s="1"/>
  <c r="AP269" i="3" s="1"/>
  <c r="BG268" i="3"/>
  <c r="BC268" i="3"/>
  <c r="BO268" i="3" s="1"/>
  <c r="J261" i="3"/>
  <c r="M261" i="3" s="1"/>
  <c r="I261" i="3"/>
  <c r="AC260" i="3"/>
  <c r="CF268" i="3"/>
  <c r="V261" i="3" l="1"/>
  <c r="AF261" i="3" s="1"/>
  <c r="P261" i="3"/>
  <c r="K261" i="3"/>
  <c r="BS268" i="3"/>
  <c r="BJ268" i="3"/>
  <c r="AO269" i="3" s="1"/>
  <c r="AQ269" i="3" s="1"/>
  <c r="BD268" i="3"/>
  <c r="CI268" i="3"/>
  <c r="CH268" i="3"/>
  <c r="BL268" i="3" l="1"/>
  <c r="BM268" i="3" s="1"/>
  <c r="BE268" i="3"/>
  <c r="BR268" i="3" s="1"/>
  <c r="AR269" i="3"/>
  <c r="CK268" i="3"/>
  <c r="CL268" i="3" s="1"/>
  <c r="AD261" i="3"/>
  <c r="L261" i="3"/>
  <c r="N261" i="3" l="1"/>
  <c r="O261" i="3"/>
  <c r="CR268" i="3"/>
  <c r="CU268" i="3" s="1"/>
  <c r="BZ269" i="3" s="1"/>
  <c r="CQ268" i="3"/>
  <c r="CM268" i="3"/>
  <c r="CY268" i="3" s="1"/>
  <c r="AT269" i="3"/>
  <c r="AW269" i="3" s="1"/>
  <c r="AS269" i="3"/>
  <c r="AU269" i="3" l="1"/>
  <c r="CT268" i="3"/>
  <c r="BY269" i="3" s="1"/>
  <c r="CA269" i="3" s="1"/>
  <c r="DC268" i="3"/>
  <c r="BF269" i="3"/>
  <c r="BP269" i="3" s="1"/>
  <c r="AZ269" i="3"/>
  <c r="CN268" i="3"/>
  <c r="Q261" i="3"/>
  <c r="R261" i="3" s="1"/>
  <c r="CV268" i="3" l="1"/>
  <c r="CW268" i="3" s="1"/>
  <c r="CO268" i="3"/>
  <c r="DB268" i="3" s="1"/>
  <c r="CB269" i="3"/>
  <c r="X261" i="3"/>
  <c r="AA261" i="3" s="1"/>
  <c r="F262" i="3" s="1"/>
  <c r="W261" i="3"/>
  <c r="S261" i="3"/>
  <c r="BN269" i="3"/>
  <c r="AV269" i="3"/>
  <c r="AE261" i="3" l="1"/>
  <c r="AI261" i="3"/>
  <c r="Z261" i="3"/>
  <c r="E262" i="3" s="1"/>
  <c r="G262" i="3" s="1"/>
  <c r="T261" i="3"/>
  <c r="AY269" i="3"/>
  <c r="AX269" i="3"/>
  <c r="CD269" i="3"/>
  <c r="CG269" i="3" s="1"/>
  <c r="CC269" i="3"/>
  <c r="CJ269" i="3" l="1"/>
  <c r="CP269" i="3"/>
  <c r="CZ269" i="3" s="1"/>
  <c r="BA269" i="3"/>
  <c r="BB269" i="3" s="1"/>
  <c r="CE269" i="3"/>
  <c r="AB261" i="3"/>
  <c r="U261" i="3"/>
  <c r="AH261" i="3" s="1"/>
  <c r="H262" i="3"/>
  <c r="BH269" i="3" l="1"/>
  <c r="BK269" i="3" s="1"/>
  <c r="AP270" i="3" s="1"/>
  <c r="BG269" i="3"/>
  <c r="BC269" i="3"/>
  <c r="BO269" i="3" s="1"/>
  <c r="J262" i="3"/>
  <c r="M262" i="3" s="1"/>
  <c r="I262" i="3"/>
  <c r="AC261" i="3"/>
  <c r="CX269" i="3"/>
  <c r="CF269" i="3"/>
  <c r="CH269" i="3" l="1"/>
  <c r="CI269" i="3"/>
  <c r="V262" i="3"/>
  <c r="AF262" i="3" s="1"/>
  <c r="P262" i="3"/>
  <c r="K262" i="3"/>
  <c r="BS269" i="3"/>
  <c r="BJ269" i="3"/>
  <c r="AO270" i="3" s="1"/>
  <c r="AQ270" i="3" s="1"/>
  <c r="BD269" i="3"/>
  <c r="AD262" i="3" l="1"/>
  <c r="L262" i="3"/>
  <c r="BL269" i="3"/>
  <c r="BM269" i="3" s="1"/>
  <c r="BE269" i="3"/>
  <c r="BR269" i="3" s="1"/>
  <c r="AR270" i="3"/>
  <c r="CK269" i="3"/>
  <c r="CL269" i="3" s="1"/>
  <c r="CR269" i="3" l="1"/>
  <c r="CU269" i="3" s="1"/>
  <c r="BZ270" i="3" s="1"/>
  <c r="CQ269" i="3"/>
  <c r="CM269" i="3"/>
  <c r="CY269" i="3" s="1"/>
  <c r="AT270" i="3"/>
  <c r="AW270" i="3" s="1"/>
  <c r="AS270" i="3"/>
  <c r="N262" i="3"/>
  <c r="O262" i="3"/>
  <c r="AZ270" i="3" l="1"/>
  <c r="BF270" i="3"/>
  <c r="BP270" i="3" s="1"/>
  <c r="AU270" i="3"/>
  <c r="DC269" i="3"/>
  <c r="CT269" i="3"/>
  <c r="BY270" i="3" s="1"/>
  <c r="CA270" i="3" s="1"/>
  <c r="Q262" i="3"/>
  <c r="R262" i="3" s="1"/>
  <c r="CN269" i="3"/>
  <c r="X262" i="3" l="1"/>
  <c r="AA262" i="3" s="1"/>
  <c r="F263" i="3" s="1"/>
  <c r="W262" i="3"/>
  <c r="S262" i="3"/>
  <c r="T262" i="3" s="1"/>
  <c r="BN270" i="3"/>
  <c r="AV270" i="3"/>
  <c r="CV269" i="3"/>
  <c r="CW269" i="3" s="1"/>
  <c r="CO269" i="3"/>
  <c r="DB269" i="3" s="1"/>
  <c r="CB270" i="3"/>
  <c r="AB262" i="3" l="1"/>
  <c r="U262" i="3"/>
  <c r="AH262" i="3" s="1"/>
  <c r="AX270" i="3"/>
  <c r="AY270" i="3"/>
  <c r="AI262" i="3"/>
  <c r="Z262" i="3"/>
  <c r="E263" i="3" s="1"/>
  <c r="G263" i="3" s="1"/>
  <c r="CD270" i="3"/>
  <c r="CG270" i="3" s="1"/>
  <c r="CC270" i="3"/>
  <c r="AE262" i="3"/>
  <c r="CJ270" i="3" l="1"/>
  <c r="CP270" i="3"/>
  <c r="CZ270" i="3" s="1"/>
  <c r="CE270" i="3"/>
  <c r="H263" i="3"/>
  <c r="BA270" i="3"/>
  <c r="BB270" i="3" s="1"/>
  <c r="AC262" i="3"/>
  <c r="J263" i="3" l="1"/>
  <c r="M263" i="3" s="1"/>
  <c r="BH270" i="3"/>
  <c r="BK270" i="3" s="1"/>
  <c r="AP271" i="3" s="1"/>
  <c r="BG270" i="3"/>
  <c r="BC270" i="3"/>
  <c r="BO270" i="3" s="1"/>
  <c r="I263" i="3"/>
  <c r="CX270" i="3"/>
  <c r="CF270" i="3"/>
  <c r="CH270" i="3" l="1"/>
  <c r="CI270" i="3"/>
  <c r="V263" i="3"/>
  <c r="AF263" i="3" s="1"/>
  <c r="P263" i="3"/>
  <c r="BJ270" i="3"/>
  <c r="AO271" i="3" s="1"/>
  <c r="AQ271" i="3" s="1"/>
  <c r="BS270" i="3"/>
  <c r="BD270" i="3"/>
  <c r="K263" i="3"/>
  <c r="AD263" i="3" l="1"/>
  <c r="L263" i="3"/>
  <c r="BL270" i="3"/>
  <c r="BM270" i="3" s="1"/>
  <c r="BE270" i="3"/>
  <c r="BR270" i="3" s="1"/>
  <c r="AR271" i="3"/>
  <c r="CK270" i="3"/>
  <c r="CL270" i="3" s="1"/>
  <c r="CR270" i="3" l="1"/>
  <c r="CU270" i="3" s="1"/>
  <c r="BZ271" i="3" s="1"/>
  <c r="CQ270" i="3"/>
  <c r="CM270" i="3"/>
  <c r="CY270" i="3" s="1"/>
  <c r="AT271" i="3"/>
  <c r="AW271" i="3" s="1"/>
  <c r="AS271" i="3"/>
  <c r="N263" i="3"/>
  <c r="O263" i="3"/>
  <c r="Q263" i="3" l="1"/>
  <c r="R263" i="3" s="1"/>
  <c r="AU271" i="3"/>
  <c r="CT270" i="3"/>
  <c r="BY271" i="3" s="1"/>
  <c r="CA271" i="3" s="1"/>
  <c r="DC270" i="3"/>
  <c r="CN270" i="3"/>
  <c r="BF271" i="3"/>
  <c r="BP271" i="3" s="1"/>
  <c r="AZ271" i="3"/>
  <c r="W24" i="3" l="1"/>
  <c r="BN271" i="3"/>
  <c r="AV271" i="3"/>
  <c r="CV270" i="3"/>
  <c r="CW270" i="3" s="1"/>
  <c r="CO270" i="3"/>
  <c r="DB270" i="3" s="1"/>
  <c r="CB271" i="3"/>
  <c r="X263" i="3"/>
  <c r="AA263" i="3" s="1"/>
  <c r="F264" i="3" s="1"/>
  <c r="W263" i="3"/>
  <c r="S263" i="3"/>
  <c r="AE263" i="3" l="1"/>
  <c r="CD271" i="3"/>
  <c r="CG271" i="3" s="1"/>
  <c r="CE271" i="3"/>
  <c r="CX271" i="3" s="1"/>
  <c r="CC271" i="3"/>
  <c r="AI263" i="3"/>
  <c r="Z263" i="3"/>
  <c r="E264" i="3" s="1"/>
  <c r="G264" i="3" s="1"/>
  <c r="T263" i="3"/>
  <c r="AX271" i="3"/>
  <c r="AY271" i="3"/>
  <c r="AB263" i="3" l="1"/>
  <c r="U263" i="3"/>
  <c r="AH263" i="3" s="1"/>
  <c r="CP271" i="3"/>
  <c r="CZ271" i="3" s="1"/>
  <c r="CJ271" i="3"/>
  <c r="H264" i="3"/>
  <c r="CF271" i="3"/>
  <c r="BA271" i="3"/>
  <c r="BB271" i="3" s="1"/>
  <c r="CH271" i="3" l="1"/>
  <c r="CI271" i="3"/>
  <c r="BH271" i="3"/>
  <c r="BK271" i="3" s="1"/>
  <c r="BG271" i="3"/>
  <c r="BC271" i="3"/>
  <c r="BO271" i="3" s="1"/>
  <c r="J264" i="3"/>
  <c r="M264" i="3" s="1"/>
  <c r="I264" i="3"/>
  <c r="AJ24" i="3"/>
  <c r="AC263" i="3"/>
  <c r="G35" i="5" l="1"/>
  <c r="V264" i="3"/>
  <c r="AF264" i="3" s="1"/>
  <c r="P264" i="3"/>
  <c r="K264" i="3"/>
  <c r="BD271" i="3"/>
  <c r="BI271" i="3"/>
  <c r="BS271" i="3"/>
  <c r="AP272" i="3"/>
  <c r="P24" i="3"/>
  <c r="CK271" i="3"/>
  <c r="CL271" i="3" s="1"/>
  <c r="CR271" i="3" l="1"/>
  <c r="CU271" i="3" s="1"/>
  <c r="CQ271" i="3"/>
  <c r="CM271" i="3"/>
  <c r="CY271" i="3" s="1"/>
  <c r="V24" i="3"/>
  <c r="BQ271" i="3"/>
  <c r="BQ272" i="3" s="1"/>
  <c r="BQ273" i="3" s="1"/>
  <c r="BQ274" i="3" s="1"/>
  <c r="BQ275" i="3" s="1"/>
  <c r="BQ276" i="3" s="1"/>
  <c r="BQ277" i="3" s="1"/>
  <c r="BQ278" i="3" s="1"/>
  <c r="BQ279" i="3" s="1"/>
  <c r="BQ280" i="3" s="1"/>
  <c r="BQ281" i="3" s="1"/>
  <c r="BQ282" i="3" s="1"/>
  <c r="BL271" i="3"/>
  <c r="BM271" i="3" s="1"/>
  <c r="BE271" i="3"/>
  <c r="BR271" i="3" s="1"/>
  <c r="BJ271" i="3"/>
  <c r="AD264" i="3"/>
  <c r="L264" i="3"/>
  <c r="N264" i="3" l="1"/>
  <c r="O264" i="3"/>
  <c r="C35" i="5"/>
  <c r="AO272" i="3"/>
  <c r="AQ272" i="3" s="1"/>
  <c r="O24" i="3"/>
  <c r="Q24" i="3" s="1"/>
  <c r="H35" i="5"/>
  <c r="CN271" i="3"/>
  <c r="CS271" i="3"/>
  <c r="DC271" i="3"/>
  <c r="CT271" i="3"/>
  <c r="BZ272" i="3"/>
  <c r="AC24" i="3"/>
  <c r="D35" i="5" l="1"/>
  <c r="BY272" i="3"/>
  <c r="CA272" i="3" s="1"/>
  <c r="AB24" i="3"/>
  <c r="AD24" i="3" s="1"/>
  <c r="AR272" i="3"/>
  <c r="AI24" i="3"/>
  <c r="DA271" i="3"/>
  <c r="DA272" i="3" s="1"/>
  <c r="DA273" i="3" s="1"/>
  <c r="DA274" i="3" s="1"/>
  <c r="DA275" i="3" s="1"/>
  <c r="DA276" i="3" s="1"/>
  <c r="DA277" i="3" s="1"/>
  <c r="DA278" i="3" s="1"/>
  <c r="DA279" i="3" s="1"/>
  <c r="DA280" i="3" s="1"/>
  <c r="DA281" i="3" s="1"/>
  <c r="DA282" i="3" s="1"/>
  <c r="CV271" i="3"/>
  <c r="CW271" i="3" s="1"/>
  <c r="CO271" i="3"/>
  <c r="DB271" i="3" s="1"/>
  <c r="Q264" i="3"/>
  <c r="R264" i="3" s="1"/>
  <c r="X264" i="3" l="1"/>
  <c r="AA264" i="3" s="1"/>
  <c r="F265" i="3" s="1"/>
  <c r="W264" i="3"/>
  <c r="S264" i="3"/>
  <c r="AE264" i="3" s="1"/>
  <c r="AT272" i="3"/>
  <c r="AW272" i="3" s="1"/>
  <c r="AS272" i="3"/>
  <c r="CB272" i="3"/>
  <c r="AZ272" i="3" l="1"/>
  <c r="BF272" i="3"/>
  <c r="BP272" i="3" s="1"/>
  <c r="AU272" i="3"/>
  <c r="CD272" i="3"/>
  <c r="CG272" i="3" s="1"/>
  <c r="CC272" i="3"/>
  <c r="AI264" i="3"/>
  <c r="Z264" i="3"/>
  <c r="E265" i="3" s="1"/>
  <c r="G265" i="3" s="1"/>
  <c r="T264" i="3"/>
  <c r="AB264" i="3" l="1"/>
  <c r="AC264" i="3" s="1"/>
  <c r="U264" i="3"/>
  <c r="AH264" i="3" s="1"/>
  <c r="CJ272" i="3"/>
  <c r="CP272" i="3"/>
  <c r="CZ272" i="3" s="1"/>
  <c r="BN272" i="3"/>
  <c r="AV272" i="3"/>
  <c r="H265" i="3"/>
  <c r="I265" i="3" s="1"/>
  <c r="CE272" i="3"/>
  <c r="P265" i="3" l="1"/>
  <c r="V265" i="3"/>
  <c r="AF265" i="3" s="1"/>
  <c r="CX272" i="3"/>
  <c r="CF272" i="3"/>
  <c r="J265" i="3"/>
  <c r="M265" i="3" s="1"/>
  <c r="AX272" i="3"/>
  <c r="AY272" i="3"/>
  <c r="BA272" i="3" l="1"/>
  <c r="BB272" i="3" s="1"/>
  <c r="K265" i="3"/>
  <c r="CH272" i="3"/>
  <c r="CI272" i="3"/>
  <c r="CK272" i="3" l="1"/>
  <c r="CL272" i="3" s="1"/>
  <c r="AD265" i="3"/>
  <c r="L265" i="3"/>
  <c r="BH272" i="3"/>
  <c r="BK272" i="3" s="1"/>
  <c r="AP273" i="3" s="1"/>
  <c r="BG272" i="3"/>
  <c r="BC272" i="3"/>
  <c r="BO272" i="3" l="1"/>
  <c r="BS272" i="3"/>
  <c r="BJ272" i="3"/>
  <c r="AO273" i="3" s="1"/>
  <c r="AQ273" i="3" s="1"/>
  <c r="N265" i="3"/>
  <c r="O265" i="3"/>
  <c r="BD272" i="3"/>
  <c r="CR272" i="3"/>
  <c r="CU272" i="3" s="1"/>
  <c r="BZ273" i="3" s="1"/>
  <c r="CQ272" i="3"/>
  <c r="CM272" i="3"/>
  <c r="Q265" i="3" l="1"/>
  <c r="R265" i="3" s="1"/>
  <c r="BL272" i="3"/>
  <c r="BE272" i="3"/>
  <c r="BR272" i="3" s="1"/>
  <c r="CY272" i="3"/>
  <c r="DC272" i="3"/>
  <c r="CT272" i="3"/>
  <c r="BY273" i="3" s="1"/>
  <c r="CA273" i="3" s="1"/>
  <c r="CN272" i="3"/>
  <c r="AR273" i="3"/>
  <c r="CV272" i="3" l="1"/>
  <c r="CO272" i="3"/>
  <c r="DB272" i="3" s="1"/>
  <c r="AT273" i="3"/>
  <c r="AW273" i="3" s="1"/>
  <c r="AU273" i="3"/>
  <c r="AS273" i="3"/>
  <c r="CB273" i="3"/>
  <c r="CC273" i="3" s="1"/>
  <c r="BM272" i="3"/>
  <c r="X265" i="3"/>
  <c r="AA265" i="3" s="1"/>
  <c r="F266" i="3" s="1"/>
  <c r="W265" i="3"/>
  <c r="S265" i="3"/>
  <c r="AE265" i="3" s="1"/>
  <c r="T265" i="3" l="1"/>
  <c r="CP273" i="3"/>
  <c r="CZ273" i="3" s="1"/>
  <c r="CJ273" i="3"/>
  <c r="AB265" i="3"/>
  <c r="AC265" i="3" s="1"/>
  <c r="U265" i="3"/>
  <c r="AH265" i="3" s="1"/>
  <c r="BN273" i="3"/>
  <c r="Z265" i="3"/>
  <c r="E266" i="3" s="1"/>
  <c r="G266" i="3" s="1"/>
  <c r="AI265" i="3"/>
  <c r="CD273" i="3"/>
  <c r="CG273" i="3" s="1"/>
  <c r="AZ273" i="3"/>
  <c r="BF273" i="3"/>
  <c r="BP273" i="3" s="1"/>
  <c r="AV273" i="3"/>
  <c r="CW272" i="3"/>
  <c r="AX273" i="3" l="1"/>
  <c r="AY273" i="3"/>
  <c r="CE273" i="3"/>
  <c r="H266" i="3"/>
  <c r="CX273" i="3" l="1"/>
  <c r="CF273" i="3"/>
  <c r="J266" i="3"/>
  <c r="M266" i="3" s="1"/>
  <c r="I266" i="3"/>
  <c r="BA273" i="3"/>
  <c r="BB273" i="3" s="1"/>
  <c r="V266" i="3" l="1"/>
  <c r="AF266" i="3" s="1"/>
  <c r="P266" i="3"/>
  <c r="BH273" i="3"/>
  <c r="BK273" i="3" s="1"/>
  <c r="AP274" i="3" s="1"/>
  <c r="BG273" i="3"/>
  <c r="BC273" i="3"/>
  <c r="K266" i="3"/>
  <c r="CH273" i="3"/>
  <c r="CI273" i="3"/>
  <c r="BO273" i="3" l="1"/>
  <c r="CK273" i="3"/>
  <c r="CL273" i="3" s="1"/>
  <c r="BJ273" i="3"/>
  <c r="AO274" i="3" s="1"/>
  <c r="AQ274" i="3" s="1"/>
  <c r="BS273" i="3"/>
  <c r="AD266" i="3"/>
  <c r="L266" i="3"/>
  <c r="BD273" i="3"/>
  <c r="BL273" i="3" l="1"/>
  <c r="BE273" i="3"/>
  <c r="BR273" i="3" s="1"/>
  <c r="CR273" i="3"/>
  <c r="CU273" i="3" s="1"/>
  <c r="BZ274" i="3" s="1"/>
  <c r="CQ273" i="3"/>
  <c r="CM273" i="3"/>
  <c r="O266" i="3"/>
  <c r="N266" i="3"/>
  <c r="AR274" i="3"/>
  <c r="CY273" i="3" l="1"/>
  <c r="AT274" i="3"/>
  <c r="AW274" i="3" s="1"/>
  <c r="AU274" i="3"/>
  <c r="AS274" i="3"/>
  <c r="Q266" i="3"/>
  <c r="R266" i="3" s="1"/>
  <c r="CT273" i="3"/>
  <c r="BY274" i="3" s="1"/>
  <c r="CA274" i="3" s="1"/>
  <c r="DC273" i="3"/>
  <c r="CN273" i="3"/>
  <c r="BM273" i="3"/>
  <c r="CB274" i="3" l="1"/>
  <c r="CV273" i="3"/>
  <c r="CO273" i="3"/>
  <c r="DB273" i="3" s="1"/>
  <c r="X266" i="3"/>
  <c r="AA266" i="3" s="1"/>
  <c r="F267" i="3" s="1"/>
  <c r="W266" i="3"/>
  <c r="S266" i="3"/>
  <c r="AE266" i="3" s="1"/>
  <c r="BF274" i="3"/>
  <c r="BP274" i="3" s="1"/>
  <c r="AZ274" i="3"/>
  <c r="BN274" i="3"/>
  <c r="AV274" i="3"/>
  <c r="AX274" i="3" l="1"/>
  <c r="AY274" i="3"/>
  <c r="Z266" i="3"/>
  <c r="E267" i="3" s="1"/>
  <c r="G267" i="3" s="1"/>
  <c r="AI266" i="3"/>
  <c r="T266" i="3"/>
  <c r="CW273" i="3"/>
  <c r="CD274" i="3"/>
  <c r="CG274" i="3" s="1"/>
  <c r="CC274" i="3"/>
  <c r="AB266" i="3" l="1"/>
  <c r="AC266" i="3" s="1"/>
  <c r="U266" i="3"/>
  <c r="AH266" i="3" s="1"/>
  <c r="H267" i="3"/>
  <c r="CP274" i="3"/>
  <c r="CZ274" i="3" s="1"/>
  <c r="CJ274" i="3"/>
  <c r="BA274" i="3"/>
  <c r="BB274" i="3" s="1"/>
  <c r="CE274" i="3"/>
  <c r="BH274" i="3" l="1"/>
  <c r="BK274" i="3" s="1"/>
  <c r="AP275" i="3" s="1"/>
  <c r="BG274" i="3"/>
  <c r="BC274" i="3"/>
  <c r="BD274" i="3" s="1"/>
  <c r="CX274" i="3"/>
  <c r="CF274" i="3"/>
  <c r="J267" i="3"/>
  <c r="M267" i="3" s="1"/>
  <c r="I267" i="3"/>
  <c r="BL274" i="3" l="1"/>
  <c r="BE274" i="3"/>
  <c r="BR274" i="3" s="1"/>
  <c r="P267" i="3"/>
  <c r="V267" i="3"/>
  <c r="AF267" i="3" s="1"/>
  <c r="K267" i="3"/>
  <c r="BS274" i="3"/>
  <c r="BJ274" i="3"/>
  <c r="AO275" i="3" s="1"/>
  <c r="AQ275" i="3" s="1"/>
  <c r="CI274" i="3"/>
  <c r="CH274" i="3"/>
  <c r="BO274" i="3"/>
  <c r="AR275" i="3" l="1"/>
  <c r="CK274" i="3"/>
  <c r="CL274" i="3" s="1"/>
  <c r="AD267" i="3"/>
  <c r="L267" i="3"/>
  <c r="BM274" i="3"/>
  <c r="N267" i="3" l="1"/>
  <c r="O267" i="3"/>
  <c r="CR274" i="3"/>
  <c r="CU274" i="3" s="1"/>
  <c r="BZ275" i="3" s="1"/>
  <c r="CQ274" i="3"/>
  <c r="CM274" i="3"/>
  <c r="AT275" i="3"/>
  <c r="AW275" i="3" s="1"/>
  <c r="AU275" i="3"/>
  <c r="AS275" i="3"/>
  <c r="BN275" i="3" l="1"/>
  <c r="AV275" i="3"/>
  <c r="DC274" i="3"/>
  <c r="CT274" i="3"/>
  <c r="BY275" i="3" s="1"/>
  <c r="CA275" i="3" s="1"/>
  <c r="AZ275" i="3"/>
  <c r="BF275" i="3"/>
  <c r="BP275" i="3" s="1"/>
  <c r="CY274" i="3"/>
  <c r="CN274" i="3"/>
  <c r="Q267" i="3"/>
  <c r="R267" i="3" s="1"/>
  <c r="AX275" i="3" l="1"/>
  <c r="AY275" i="3"/>
  <c r="X267" i="3"/>
  <c r="AA267" i="3" s="1"/>
  <c r="F268" i="3" s="1"/>
  <c r="W267" i="3"/>
  <c r="S267" i="3"/>
  <c r="AE267" i="3" s="1"/>
  <c r="CV274" i="3"/>
  <c r="CO274" i="3"/>
  <c r="DB274" i="3" s="1"/>
  <c r="CB275" i="3"/>
  <c r="CW274" i="3" l="1"/>
  <c r="AI267" i="3"/>
  <c r="Z267" i="3"/>
  <c r="E268" i="3" s="1"/>
  <c r="G268" i="3" s="1"/>
  <c r="CD275" i="3"/>
  <c r="CG275" i="3" s="1"/>
  <c r="CC275" i="3"/>
  <c r="T267" i="3"/>
  <c r="BA275" i="3"/>
  <c r="BB275" i="3" s="1"/>
  <c r="CE275" i="3" l="1"/>
  <c r="BH275" i="3"/>
  <c r="BK275" i="3" s="1"/>
  <c r="AP276" i="3" s="1"/>
  <c r="BG275" i="3"/>
  <c r="BC275" i="3"/>
  <c r="BD275" i="3" s="1"/>
  <c r="AB267" i="3"/>
  <c r="AC267" i="3" s="1"/>
  <c r="U267" i="3"/>
  <c r="AH267" i="3" s="1"/>
  <c r="CJ275" i="3"/>
  <c r="CP275" i="3"/>
  <c r="CZ275" i="3" s="1"/>
  <c r="H268" i="3"/>
  <c r="BL275" i="3" l="1"/>
  <c r="BE275" i="3"/>
  <c r="BR275" i="3" s="1"/>
  <c r="J268" i="3"/>
  <c r="M268" i="3" s="1"/>
  <c r="I268" i="3"/>
  <c r="BS275" i="3"/>
  <c r="BJ275" i="3"/>
  <c r="AO276" i="3" s="1"/>
  <c r="AQ276" i="3" s="1"/>
  <c r="BO275" i="3"/>
  <c r="CX275" i="3"/>
  <c r="CF275" i="3"/>
  <c r="V268" i="3" l="1"/>
  <c r="AF268" i="3" s="1"/>
  <c r="P268" i="3"/>
  <c r="AR276" i="3"/>
  <c r="AS276" i="3" s="1"/>
  <c r="K268" i="3"/>
  <c r="CH275" i="3"/>
  <c r="CI275" i="3"/>
  <c r="BM275" i="3"/>
  <c r="BF276" i="3" l="1"/>
  <c r="BP276" i="3" s="1"/>
  <c r="AZ276" i="3"/>
  <c r="CK275" i="3"/>
  <c r="CL275" i="3" s="1"/>
  <c r="AD268" i="3"/>
  <c r="L268" i="3"/>
  <c r="AT276" i="3"/>
  <c r="AW276" i="3" s="1"/>
  <c r="AU276" i="3" l="1"/>
  <c r="N268" i="3"/>
  <c r="O268" i="3"/>
  <c r="CR275" i="3"/>
  <c r="CU275" i="3" s="1"/>
  <c r="BZ276" i="3" s="1"/>
  <c r="CQ275" i="3"/>
  <c r="CM275" i="3"/>
  <c r="CT275" i="3" l="1"/>
  <c r="BY276" i="3" s="1"/>
  <c r="CA276" i="3" s="1"/>
  <c r="DC275" i="3"/>
  <c r="CY275" i="3"/>
  <c r="CN275" i="3"/>
  <c r="Q268" i="3"/>
  <c r="R268" i="3" s="1"/>
  <c r="BN276" i="3"/>
  <c r="AV276" i="3"/>
  <c r="CV275" i="3" l="1"/>
  <c r="CO275" i="3"/>
  <c r="DB275" i="3" s="1"/>
  <c r="AX276" i="3"/>
  <c r="AY276" i="3"/>
  <c r="X268" i="3"/>
  <c r="AA268" i="3" s="1"/>
  <c r="F269" i="3" s="1"/>
  <c r="W268" i="3"/>
  <c r="S268" i="3"/>
  <c r="AE268" i="3" s="1"/>
  <c r="CB276" i="3"/>
  <c r="Z268" i="3" l="1"/>
  <c r="E269" i="3" s="1"/>
  <c r="G269" i="3" s="1"/>
  <c r="AI268" i="3"/>
  <c r="T268" i="3"/>
  <c r="CD276" i="3"/>
  <c r="CG276" i="3" s="1"/>
  <c r="CE276" i="3"/>
  <c r="CC276" i="3"/>
  <c r="BA276" i="3"/>
  <c r="BB276" i="3" s="1"/>
  <c r="CW275" i="3"/>
  <c r="BH276" i="3" l="1"/>
  <c r="BK276" i="3" s="1"/>
  <c r="AP277" i="3" s="1"/>
  <c r="BG276" i="3"/>
  <c r="BC276" i="3"/>
  <c r="BO276" i="3" s="1"/>
  <c r="CX276" i="3"/>
  <c r="CP276" i="3"/>
  <c r="CZ276" i="3" s="1"/>
  <c r="CJ276" i="3"/>
  <c r="CF276" i="3"/>
  <c r="AB268" i="3"/>
  <c r="AC268" i="3" s="1"/>
  <c r="U268" i="3"/>
  <c r="AH268" i="3" s="1"/>
  <c r="H269" i="3"/>
  <c r="I269" i="3" s="1"/>
  <c r="P269" i="3" l="1"/>
  <c r="V269" i="3"/>
  <c r="AF269" i="3" s="1"/>
  <c r="J269" i="3"/>
  <c r="M269" i="3" s="1"/>
  <c r="CH276" i="3"/>
  <c r="CI276" i="3"/>
  <c r="BD276" i="3"/>
  <c r="BJ276" i="3"/>
  <c r="AO277" i="3" s="1"/>
  <c r="AQ277" i="3" s="1"/>
  <c r="BS276" i="3"/>
  <c r="BL276" i="3" l="1"/>
  <c r="BE276" i="3"/>
  <c r="BR276" i="3" s="1"/>
  <c r="CK276" i="3"/>
  <c r="CL276" i="3" s="1"/>
  <c r="K269" i="3"/>
  <c r="AR277" i="3"/>
  <c r="AT277" i="3" l="1"/>
  <c r="AW277" i="3" s="1"/>
  <c r="AU277" i="3"/>
  <c r="BN277" i="3" s="1"/>
  <c r="AS277" i="3"/>
  <c r="AD269" i="3"/>
  <c r="L269" i="3"/>
  <c r="CR276" i="3"/>
  <c r="CU276" i="3" s="1"/>
  <c r="BZ277" i="3" s="1"/>
  <c r="CQ276" i="3"/>
  <c r="CM276" i="3"/>
  <c r="CY276" i="3" s="1"/>
  <c r="BM276" i="3"/>
  <c r="N269" i="3" l="1"/>
  <c r="O269" i="3"/>
  <c r="CT276" i="3"/>
  <c r="BY277" i="3" s="1"/>
  <c r="CA277" i="3" s="1"/>
  <c r="DC276" i="3"/>
  <c r="CN276" i="3"/>
  <c r="BF277" i="3"/>
  <c r="BP277" i="3" s="1"/>
  <c r="AZ277" i="3"/>
  <c r="AV277" i="3"/>
  <c r="AY277" i="3" l="1"/>
  <c r="AX277" i="3"/>
  <c r="CV276" i="3"/>
  <c r="CW276" i="3" s="1"/>
  <c r="CO276" i="3"/>
  <c r="DB276" i="3" s="1"/>
  <c r="CB277" i="3"/>
  <c r="CC277" i="3" s="1"/>
  <c r="Q269" i="3"/>
  <c r="R269" i="3" s="1"/>
  <c r="CJ277" i="3" l="1"/>
  <c r="CP277" i="3"/>
  <c r="CZ277" i="3" s="1"/>
  <c r="X269" i="3"/>
  <c r="AA269" i="3" s="1"/>
  <c r="F270" i="3" s="1"/>
  <c r="W269" i="3"/>
  <c r="S269" i="3"/>
  <c r="AE269" i="3" s="1"/>
  <c r="BA277" i="3"/>
  <c r="BB277" i="3" s="1"/>
  <c r="CD277" i="3"/>
  <c r="CG277" i="3" s="1"/>
  <c r="CE277" i="3" l="1"/>
  <c r="BH277" i="3"/>
  <c r="BK277" i="3" s="1"/>
  <c r="AP278" i="3" s="1"/>
  <c r="BG277" i="3"/>
  <c r="BC277" i="3"/>
  <c r="BO277" i="3" s="1"/>
  <c r="AI269" i="3"/>
  <c r="Z269" i="3"/>
  <c r="E270" i="3" s="1"/>
  <c r="G270" i="3" s="1"/>
  <c r="T269" i="3"/>
  <c r="AB269" i="3" l="1"/>
  <c r="AC269" i="3" s="1"/>
  <c r="U269" i="3"/>
  <c r="AH269" i="3" s="1"/>
  <c r="BS277" i="3"/>
  <c r="BJ277" i="3"/>
  <c r="AO278" i="3" s="1"/>
  <c r="AQ278" i="3" s="1"/>
  <c r="H270" i="3"/>
  <c r="BD277" i="3"/>
  <c r="CX277" i="3"/>
  <c r="CF277" i="3"/>
  <c r="J270" i="3" l="1"/>
  <c r="M270" i="3" s="1"/>
  <c r="I270" i="3"/>
  <c r="CH277" i="3"/>
  <c r="CI277" i="3"/>
  <c r="BL277" i="3"/>
  <c r="BM277" i="3" s="1"/>
  <c r="BE277" i="3"/>
  <c r="BR277" i="3" s="1"/>
  <c r="AR278" i="3"/>
  <c r="P270" i="3" l="1"/>
  <c r="V270" i="3"/>
  <c r="AF270" i="3" s="1"/>
  <c r="AT278" i="3"/>
  <c r="AW278" i="3" s="1"/>
  <c r="AS278" i="3"/>
  <c r="CK277" i="3"/>
  <c r="CL277" i="3" s="1"/>
  <c r="K270" i="3"/>
  <c r="CR277" i="3" l="1"/>
  <c r="CU277" i="3" s="1"/>
  <c r="BZ278" i="3" s="1"/>
  <c r="CQ277" i="3"/>
  <c r="CM277" i="3"/>
  <c r="CY277" i="3" s="1"/>
  <c r="AZ278" i="3"/>
  <c r="BF278" i="3"/>
  <c r="BP278" i="3" s="1"/>
  <c r="AU278" i="3"/>
  <c r="AD270" i="3"/>
  <c r="L270" i="3"/>
  <c r="N270" i="3" l="1"/>
  <c r="O270" i="3"/>
  <c r="BN278" i="3"/>
  <c r="AV278" i="3"/>
  <c r="DC277" i="3"/>
  <c r="CT277" i="3"/>
  <c r="BY278" i="3" s="1"/>
  <c r="CA278" i="3" s="1"/>
  <c r="CN277" i="3"/>
  <c r="CB278" i="3" l="1"/>
  <c r="CV277" i="3"/>
  <c r="CW277" i="3" s="1"/>
  <c r="CO277" i="3"/>
  <c r="DB277" i="3" s="1"/>
  <c r="AX278" i="3"/>
  <c r="AY278" i="3"/>
  <c r="Q270" i="3"/>
  <c r="R270" i="3" s="1"/>
  <c r="BA278" i="3" l="1"/>
  <c r="BB278" i="3" s="1"/>
  <c r="X270" i="3"/>
  <c r="AA270" i="3" s="1"/>
  <c r="F271" i="3" s="1"/>
  <c r="W270" i="3"/>
  <c r="S270" i="3"/>
  <c r="AE270" i="3" s="1"/>
  <c r="CD278" i="3"/>
  <c r="CG278" i="3" s="1"/>
  <c r="CC278" i="3"/>
  <c r="CE278" i="3" l="1"/>
  <c r="AI270" i="3"/>
  <c r="Z270" i="3"/>
  <c r="E271" i="3" s="1"/>
  <c r="G271" i="3" s="1"/>
  <c r="T270" i="3"/>
  <c r="CJ278" i="3"/>
  <c r="CP278" i="3"/>
  <c r="CZ278" i="3" s="1"/>
  <c r="BH278" i="3"/>
  <c r="BK278" i="3" s="1"/>
  <c r="AP279" i="3" s="1"/>
  <c r="BG278" i="3"/>
  <c r="BC278" i="3"/>
  <c r="BO278" i="3" s="1"/>
  <c r="BD278" i="3" l="1"/>
  <c r="BJ278" i="3"/>
  <c r="AO279" i="3" s="1"/>
  <c r="AQ279" i="3" s="1"/>
  <c r="BS278" i="3"/>
  <c r="AB270" i="3"/>
  <c r="AC270" i="3" s="1"/>
  <c r="U270" i="3"/>
  <c r="AH270" i="3" s="1"/>
  <c r="H271" i="3"/>
  <c r="I271" i="3" s="1"/>
  <c r="CX278" i="3"/>
  <c r="CF278" i="3"/>
  <c r="V271" i="3" l="1"/>
  <c r="AF271" i="3" s="1"/>
  <c r="P271" i="3"/>
  <c r="CH278" i="3"/>
  <c r="CI278" i="3"/>
  <c r="J271" i="3"/>
  <c r="M271" i="3" s="1"/>
  <c r="AR279" i="3"/>
  <c r="BL278" i="3"/>
  <c r="BM278" i="3" s="1"/>
  <c r="BE278" i="3"/>
  <c r="BR278" i="3" s="1"/>
  <c r="AT279" i="3" l="1"/>
  <c r="AW279" i="3" s="1"/>
  <c r="AS279" i="3"/>
  <c r="K271" i="3"/>
  <c r="CK278" i="3"/>
  <c r="CL278" i="3" s="1"/>
  <c r="J24" i="3"/>
  <c r="AD271" i="3" l="1"/>
  <c r="L271" i="3"/>
  <c r="CR278" i="3"/>
  <c r="CU278" i="3" s="1"/>
  <c r="BZ279" i="3" s="1"/>
  <c r="CQ278" i="3"/>
  <c r="CM278" i="3"/>
  <c r="CY278" i="3" s="1"/>
  <c r="BF279" i="3"/>
  <c r="BP279" i="3" s="1"/>
  <c r="AZ279" i="3"/>
  <c r="AU279" i="3"/>
  <c r="BN279" i="3" l="1"/>
  <c r="AV279" i="3"/>
  <c r="CT278" i="3"/>
  <c r="BY279" i="3" s="1"/>
  <c r="CA279" i="3" s="1"/>
  <c r="DC278" i="3"/>
  <c r="CN278" i="3"/>
  <c r="N271" i="3"/>
  <c r="O271" i="3"/>
  <c r="Q271" i="3" l="1"/>
  <c r="R271" i="3" s="1"/>
  <c r="CV278" i="3"/>
  <c r="CW278" i="3" s="1"/>
  <c r="CO278" i="3"/>
  <c r="DB278" i="3" s="1"/>
  <c r="CB279" i="3"/>
  <c r="AX279" i="3"/>
  <c r="AY279" i="3"/>
  <c r="BA279" i="3" l="1"/>
  <c r="BB279" i="3" s="1"/>
  <c r="CD279" i="3"/>
  <c r="CG279" i="3" s="1"/>
  <c r="CE279" i="3"/>
  <c r="CX279" i="3" s="1"/>
  <c r="CC279" i="3"/>
  <c r="X271" i="3"/>
  <c r="AA271" i="3" s="1"/>
  <c r="W271" i="3"/>
  <c r="S271" i="3"/>
  <c r="AE271" i="3" s="1"/>
  <c r="F35" i="5" l="1"/>
  <c r="T271" i="3"/>
  <c r="Y271" i="3"/>
  <c r="AI271" i="3"/>
  <c r="F272" i="3"/>
  <c r="C24" i="3"/>
  <c r="CP279" i="3"/>
  <c r="CZ279" i="3" s="1"/>
  <c r="CJ279" i="3"/>
  <c r="CF279" i="3"/>
  <c r="BH279" i="3"/>
  <c r="BK279" i="3" s="1"/>
  <c r="AP280" i="3" s="1"/>
  <c r="BG279" i="3"/>
  <c r="BC279" i="3"/>
  <c r="BO279" i="3" s="1"/>
  <c r="BD279" i="3" l="1"/>
  <c r="BJ279" i="3"/>
  <c r="AO280" i="3" s="1"/>
  <c r="AQ280" i="3" s="1"/>
  <c r="BS279" i="3"/>
  <c r="BL279" i="3"/>
  <c r="BM279" i="3" s="1"/>
  <c r="BE279" i="3"/>
  <c r="BR279" i="3" s="1"/>
  <c r="CH279" i="3"/>
  <c r="CI279" i="3"/>
  <c r="I24" i="3"/>
  <c r="AG271" i="3"/>
  <c r="AG272" i="3" s="1"/>
  <c r="AG273" i="3" s="1"/>
  <c r="AG274" i="3" s="1"/>
  <c r="AG275" i="3" s="1"/>
  <c r="AG276" i="3" s="1"/>
  <c r="AG277" i="3" s="1"/>
  <c r="AG278" i="3" s="1"/>
  <c r="AG279" i="3" s="1"/>
  <c r="AG280" i="3" s="1"/>
  <c r="AG281" i="3" s="1"/>
  <c r="AG282" i="3" s="1"/>
  <c r="Z271" i="3"/>
  <c r="AB271" i="3"/>
  <c r="AC271" i="3" s="1"/>
  <c r="U271" i="3"/>
  <c r="AH271" i="3" s="1"/>
  <c r="B35" i="5" l="1"/>
  <c r="E272" i="3"/>
  <c r="G272" i="3" s="1"/>
  <c r="B24" i="3"/>
  <c r="D24" i="3" s="1"/>
  <c r="CK279" i="3"/>
  <c r="CL279" i="3" s="1"/>
  <c r="AR280" i="3"/>
  <c r="AT280" i="3" l="1"/>
  <c r="AW280" i="3" s="1"/>
  <c r="AS280" i="3"/>
  <c r="CR279" i="3"/>
  <c r="CU279" i="3" s="1"/>
  <c r="BZ280" i="3" s="1"/>
  <c r="CQ279" i="3"/>
  <c r="CM279" i="3"/>
  <c r="CY279" i="3" s="1"/>
  <c r="H272" i="3"/>
  <c r="J272" i="3" l="1"/>
  <c r="M272" i="3" s="1"/>
  <c r="DC279" i="3"/>
  <c r="CT279" i="3"/>
  <c r="BY280" i="3" s="1"/>
  <c r="CA280" i="3" s="1"/>
  <c r="CN279" i="3"/>
  <c r="AZ280" i="3"/>
  <c r="BF280" i="3"/>
  <c r="BP280" i="3" s="1"/>
  <c r="I272" i="3"/>
  <c r="AU280" i="3"/>
  <c r="BN280" i="3" l="1"/>
  <c r="AV280" i="3"/>
  <c r="V272" i="3"/>
  <c r="AF272" i="3" s="1"/>
  <c r="P272" i="3"/>
  <c r="CB280" i="3"/>
  <c r="CV279" i="3"/>
  <c r="CW279" i="3" s="1"/>
  <c r="CO279" i="3"/>
  <c r="DB279" i="3" s="1"/>
  <c r="K272" i="3"/>
  <c r="AD272" i="3" l="1"/>
  <c r="L272" i="3"/>
  <c r="CD280" i="3"/>
  <c r="CG280" i="3" s="1"/>
  <c r="CC280" i="3"/>
  <c r="AX280" i="3"/>
  <c r="AY280" i="3"/>
  <c r="CE280" i="3" l="1"/>
  <c r="CX280" i="3" s="1"/>
  <c r="BA280" i="3"/>
  <c r="BB280" i="3" s="1"/>
  <c r="CJ280" i="3"/>
  <c r="CP280" i="3"/>
  <c r="CZ280" i="3" s="1"/>
  <c r="CF280" i="3"/>
  <c r="N272" i="3"/>
  <c r="O272" i="3"/>
  <c r="Q272" i="3" l="1"/>
  <c r="R272" i="3" s="1"/>
  <c r="CH280" i="3"/>
  <c r="CI280" i="3"/>
  <c r="BH280" i="3"/>
  <c r="BK280" i="3" s="1"/>
  <c r="AP281" i="3" s="1"/>
  <c r="BG280" i="3"/>
  <c r="BC280" i="3"/>
  <c r="BO280" i="3" s="1"/>
  <c r="BS280" i="3" l="1"/>
  <c r="BJ280" i="3"/>
  <c r="AO281" i="3" s="1"/>
  <c r="AQ281" i="3" s="1"/>
  <c r="BD280" i="3"/>
  <c r="CK280" i="3"/>
  <c r="CL280" i="3" s="1"/>
  <c r="X272" i="3"/>
  <c r="AA272" i="3" s="1"/>
  <c r="F273" i="3" s="1"/>
  <c r="W272" i="3"/>
  <c r="S272" i="3"/>
  <c r="T272" i="3" s="1"/>
  <c r="AB272" i="3" l="1"/>
  <c r="U272" i="3"/>
  <c r="AH272" i="3" s="1"/>
  <c r="AE272" i="3"/>
  <c r="AI272" i="3"/>
  <c r="Z272" i="3"/>
  <c r="E273" i="3" s="1"/>
  <c r="G273" i="3" s="1"/>
  <c r="CR280" i="3"/>
  <c r="CU280" i="3" s="1"/>
  <c r="BZ281" i="3" s="1"/>
  <c r="CQ280" i="3"/>
  <c r="CM280" i="3"/>
  <c r="CY280" i="3" s="1"/>
  <c r="BL280" i="3"/>
  <c r="BM280" i="3" s="1"/>
  <c r="BE280" i="3"/>
  <c r="BR280" i="3" s="1"/>
  <c r="AR281" i="3"/>
  <c r="AT281" i="3" l="1"/>
  <c r="AW281" i="3" s="1"/>
  <c r="AU281" i="3"/>
  <c r="BN281" i="3" s="1"/>
  <c r="DC280" i="3"/>
  <c r="CT280" i="3"/>
  <c r="BY281" i="3" s="1"/>
  <c r="CA281" i="3" s="1"/>
  <c r="H273" i="3"/>
  <c r="AS281" i="3"/>
  <c r="CN280" i="3"/>
  <c r="AC272" i="3"/>
  <c r="CV280" i="3" l="1"/>
  <c r="CW280" i="3" s="1"/>
  <c r="CO280" i="3"/>
  <c r="DB280" i="3" s="1"/>
  <c r="BF281" i="3"/>
  <c r="BP281" i="3" s="1"/>
  <c r="AZ281" i="3"/>
  <c r="J273" i="3"/>
  <c r="M273" i="3" s="1"/>
  <c r="I273" i="3"/>
  <c r="CB281" i="3"/>
  <c r="CC281" i="3" s="1"/>
  <c r="AV281" i="3"/>
  <c r="CP281" i="3" l="1"/>
  <c r="CZ281" i="3" s="1"/>
  <c r="CJ281" i="3"/>
  <c r="K273" i="3"/>
  <c r="AX281" i="3"/>
  <c r="AY281" i="3"/>
  <c r="CD281" i="3"/>
  <c r="CG281" i="3" s="1"/>
  <c r="P273" i="3"/>
  <c r="V273" i="3"/>
  <c r="AF273" i="3" s="1"/>
  <c r="BA281" i="3" l="1"/>
  <c r="BB281" i="3" s="1"/>
  <c r="AD273" i="3"/>
  <c r="L273" i="3"/>
  <c r="CE281" i="3"/>
  <c r="CX281" i="3" l="1"/>
  <c r="CF281" i="3"/>
  <c r="N273" i="3"/>
  <c r="O273" i="3"/>
  <c r="BH281" i="3"/>
  <c r="BK281" i="3" s="1"/>
  <c r="AP282" i="3" s="1"/>
  <c r="BG281" i="3"/>
  <c r="BC281" i="3"/>
  <c r="BO281" i="3" s="1"/>
  <c r="BJ281" i="3" l="1"/>
  <c r="AO282" i="3" s="1"/>
  <c r="AQ282" i="3" s="1"/>
  <c r="BS281" i="3"/>
  <c r="BD281" i="3"/>
  <c r="Q273" i="3"/>
  <c r="R273" i="3" s="1"/>
  <c r="CI281" i="3"/>
  <c r="CH281" i="3"/>
  <c r="CK281" i="3" l="1"/>
  <c r="CL281" i="3" s="1"/>
  <c r="X273" i="3"/>
  <c r="AA273" i="3" s="1"/>
  <c r="F274" i="3" s="1"/>
  <c r="W273" i="3"/>
  <c r="S273" i="3"/>
  <c r="T273" i="3" s="1"/>
  <c r="BL281" i="3"/>
  <c r="BM281" i="3" s="1"/>
  <c r="BE281" i="3"/>
  <c r="BR281" i="3" s="1"/>
  <c r="AR282" i="3"/>
  <c r="AB273" i="3" l="1"/>
  <c r="U273" i="3"/>
  <c r="AH273" i="3" s="1"/>
  <c r="AT282" i="3"/>
  <c r="AW282" i="3" s="1"/>
  <c r="AS282" i="3"/>
  <c r="Z273" i="3"/>
  <c r="E274" i="3" s="1"/>
  <c r="G274" i="3" s="1"/>
  <c r="AI273" i="3"/>
  <c r="AE273" i="3"/>
  <c r="CR281" i="3"/>
  <c r="CU281" i="3" s="1"/>
  <c r="BZ282" i="3" s="1"/>
  <c r="CQ281" i="3"/>
  <c r="CM281" i="3"/>
  <c r="CY281" i="3" s="1"/>
  <c r="CN281" i="3" l="1"/>
  <c r="CT281" i="3"/>
  <c r="BY282" i="3" s="1"/>
  <c r="CA282" i="3" s="1"/>
  <c r="DC281" i="3"/>
  <c r="CV281" i="3"/>
  <c r="CW281" i="3" s="1"/>
  <c r="CO281" i="3"/>
  <c r="DB281" i="3" s="1"/>
  <c r="H274" i="3"/>
  <c r="BF282" i="3"/>
  <c r="BP282" i="3" s="1"/>
  <c r="AZ282" i="3"/>
  <c r="AU282" i="3"/>
  <c r="AC273" i="3"/>
  <c r="BN282" i="3" l="1"/>
  <c r="AV282" i="3"/>
  <c r="J274" i="3"/>
  <c r="M274" i="3" s="1"/>
  <c r="I274" i="3"/>
  <c r="CB282" i="3"/>
  <c r="V274" i="3" l="1"/>
  <c r="AF274" i="3" s="1"/>
  <c r="P274" i="3"/>
  <c r="CD282" i="3"/>
  <c r="CG282" i="3" s="1"/>
  <c r="CE282" i="3"/>
  <c r="CX282" i="3" s="1"/>
  <c r="CC282" i="3"/>
  <c r="K274" i="3"/>
  <c r="AX282" i="3"/>
  <c r="AY282" i="3"/>
  <c r="BA282" i="3" l="1"/>
  <c r="BB282" i="3" s="1"/>
  <c r="CF282" i="3"/>
  <c r="AD274" i="3"/>
  <c r="L274" i="3"/>
  <c r="CP282" i="3"/>
  <c r="CZ282" i="3" s="1"/>
  <c r="CJ282" i="3"/>
  <c r="O274" i="3" l="1"/>
  <c r="N274" i="3"/>
  <c r="CI282" i="3"/>
  <c r="CH282" i="3"/>
  <c r="BH282" i="3"/>
  <c r="BK282" i="3" s="1"/>
  <c r="AP283" i="3" s="1"/>
  <c r="BG282" i="3"/>
  <c r="BC282" i="3"/>
  <c r="BO282" i="3" s="1"/>
  <c r="BS282" i="3" l="1"/>
  <c r="BJ282" i="3"/>
  <c r="AO283" i="3" s="1"/>
  <c r="AQ283" i="3" s="1"/>
  <c r="BD282" i="3"/>
  <c r="CK282" i="3"/>
  <c r="CL282" i="3" s="1"/>
  <c r="Q274" i="3"/>
  <c r="R274" i="3" s="1"/>
  <c r="X274" i="3" l="1"/>
  <c r="AA274" i="3" s="1"/>
  <c r="F275" i="3" s="1"/>
  <c r="W274" i="3"/>
  <c r="S274" i="3"/>
  <c r="T274" i="3" s="1"/>
  <c r="CR282" i="3"/>
  <c r="CU282" i="3" s="1"/>
  <c r="BZ283" i="3" s="1"/>
  <c r="CQ282" i="3"/>
  <c r="CM282" i="3"/>
  <c r="CY282" i="3" s="1"/>
  <c r="BL282" i="3"/>
  <c r="BM282" i="3" s="1"/>
  <c r="BE282" i="3"/>
  <c r="BR282" i="3" s="1"/>
  <c r="AR283" i="3"/>
  <c r="AB274" i="3" l="1"/>
  <c r="U274" i="3"/>
  <c r="AH274" i="3" s="1"/>
  <c r="AT283" i="3"/>
  <c r="AW283" i="3" s="1"/>
  <c r="AU283" i="3"/>
  <c r="BN283" i="3" s="1"/>
  <c r="AS283" i="3"/>
  <c r="CN282" i="3"/>
  <c r="DC282" i="3"/>
  <c r="CT282" i="3"/>
  <c r="BY283" i="3" s="1"/>
  <c r="CA283" i="3" s="1"/>
  <c r="AE274" i="3"/>
  <c r="Z274" i="3"/>
  <c r="E275" i="3" s="1"/>
  <c r="G275" i="3" s="1"/>
  <c r="AI274" i="3"/>
  <c r="H275" i="3" l="1"/>
  <c r="CV282" i="3"/>
  <c r="CW282" i="3" s="1"/>
  <c r="CO282" i="3"/>
  <c r="DB282" i="3" s="1"/>
  <c r="AZ283" i="3"/>
  <c r="BF283" i="3"/>
  <c r="BP283" i="3" s="1"/>
  <c r="CB283" i="3"/>
  <c r="AV283" i="3"/>
  <c r="AC274" i="3"/>
  <c r="AX283" i="3" l="1"/>
  <c r="AY283" i="3"/>
  <c r="CD283" i="3"/>
  <c r="CG283" i="3" s="1"/>
  <c r="CE283" i="3"/>
  <c r="CX283" i="3" s="1"/>
  <c r="W25" i="3"/>
  <c r="CC283" i="3"/>
  <c r="J275" i="3"/>
  <c r="M275" i="3" s="1"/>
  <c r="I275" i="3"/>
  <c r="CF283" i="3" l="1"/>
  <c r="K275" i="3"/>
  <c r="CJ283" i="3"/>
  <c r="CP283" i="3"/>
  <c r="CZ283" i="3" s="1"/>
  <c r="BA283" i="3"/>
  <c r="BB283" i="3" s="1"/>
  <c r="P275" i="3"/>
  <c r="V275" i="3"/>
  <c r="AF275" i="3" s="1"/>
  <c r="BH283" i="3" l="1"/>
  <c r="BK283" i="3" s="1"/>
  <c r="BG283" i="3"/>
  <c r="BC283" i="3"/>
  <c r="BO283" i="3" s="1"/>
  <c r="AD275" i="3"/>
  <c r="L275" i="3"/>
  <c r="AJ25" i="3"/>
  <c r="CH283" i="3"/>
  <c r="CI283" i="3"/>
  <c r="BD283" i="3" l="1"/>
  <c r="CK283" i="3"/>
  <c r="CL283" i="3" s="1"/>
  <c r="N275" i="3"/>
  <c r="O275" i="3"/>
  <c r="G36" i="5"/>
  <c r="BS283" i="3"/>
  <c r="BI283" i="3"/>
  <c r="BJ283" i="3" s="1"/>
  <c r="AP284" i="3"/>
  <c r="P25" i="3"/>
  <c r="C36" i="5" l="1"/>
  <c r="AO284" i="3"/>
  <c r="AQ284" i="3" s="1"/>
  <c r="O25" i="3"/>
  <c r="Q25" i="3" s="1"/>
  <c r="V25" i="3"/>
  <c r="BQ283" i="3"/>
  <c r="BQ284" i="3" s="1"/>
  <c r="BQ285" i="3" s="1"/>
  <c r="BQ286" i="3" s="1"/>
  <c r="BQ287" i="3" s="1"/>
  <c r="BQ288" i="3" s="1"/>
  <c r="BQ289" i="3" s="1"/>
  <c r="BQ290" i="3" s="1"/>
  <c r="BQ291" i="3" s="1"/>
  <c r="BQ292" i="3" s="1"/>
  <c r="BQ293" i="3" s="1"/>
  <c r="BQ294" i="3" s="1"/>
  <c r="CR283" i="3"/>
  <c r="CU283" i="3" s="1"/>
  <c r="CQ283" i="3"/>
  <c r="CM283" i="3"/>
  <c r="CY283" i="3" s="1"/>
  <c r="Q275" i="3"/>
  <c r="R275" i="3" s="1"/>
  <c r="BL283" i="3"/>
  <c r="BM283" i="3" s="1"/>
  <c r="BE283" i="3"/>
  <c r="BR283" i="3" s="1"/>
  <c r="CS283" i="3" l="1"/>
  <c r="DC283" i="3"/>
  <c r="X275" i="3"/>
  <c r="AA275" i="3" s="1"/>
  <c r="F276" i="3" s="1"/>
  <c r="W275" i="3"/>
  <c r="S275" i="3"/>
  <c r="H36" i="5"/>
  <c r="BZ284" i="3"/>
  <c r="AC25" i="3"/>
  <c r="CN283" i="3"/>
  <c r="AR284" i="3"/>
  <c r="AS284" i="3" s="1"/>
  <c r="BF284" i="3" l="1"/>
  <c r="BP284" i="3" s="1"/>
  <c r="AZ284" i="3"/>
  <c r="CV283" i="3"/>
  <c r="CW283" i="3" s="1"/>
  <c r="CO283" i="3"/>
  <c r="DB283" i="3" s="1"/>
  <c r="AE275" i="3"/>
  <c r="AI275" i="3"/>
  <c r="Z275" i="3"/>
  <c r="E276" i="3" s="1"/>
  <c r="G276" i="3" s="1"/>
  <c r="T275" i="3"/>
  <c r="AI25" i="3"/>
  <c r="DA283" i="3"/>
  <c r="DA284" i="3" s="1"/>
  <c r="DA285" i="3" s="1"/>
  <c r="DA286" i="3" s="1"/>
  <c r="DA287" i="3" s="1"/>
  <c r="DA288" i="3" s="1"/>
  <c r="DA289" i="3" s="1"/>
  <c r="DA290" i="3" s="1"/>
  <c r="DA291" i="3" s="1"/>
  <c r="DA292" i="3" s="1"/>
  <c r="DA293" i="3" s="1"/>
  <c r="DA294" i="3" s="1"/>
  <c r="CT283" i="3"/>
  <c r="AT284" i="3"/>
  <c r="AW284" i="3" s="1"/>
  <c r="D36" i="5" l="1"/>
  <c r="BY284" i="3"/>
  <c r="CA284" i="3" s="1"/>
  <c r="AB25" i="3"/>
  <c r="AD25" i="3" s="1"/>
  <c r="AB275" i="3"/>
  <c r="U275" i="3"/>
  <c r="AH275" i="3" s="1"/>
  <c r="H276" i="3"/>
  <c r="I276" i="3" s="1"/>
  <c r="AU284" i="3"/>
  <c r="P276" i="3" l="1"/>
  <c r="V276" i="3"/>
  <c r="AF276" i="3" s="1"/>
  <c r="BN284" i="3"/>
  <c r="AV284" i="3"/>
  <c r="AC275" i="3"/>
  <c r="J276" i="3"/>
  <c r="M276" i="3" s="1"/>
  <c r="CB284" i="3"/>
  <c r="CD284" i="3" l="1"/>
  <c r="CG284" i="3" s="1"/>
  <c r="CE284" i="3"/>
  <c r="CC284" i="3"/>
  <c r="K276" i="3"/>
  <c r="AX284" i="3"/>
  <c r="AY284" i="3"/>
  <c r="BA284" i="3" l="1"/>
  <c r="BB284" i="3" s="1"/>
  <c r="AD276" i="3"/>
  <c r="L276" i="3"/>
  <c r="CP284" i="3"/>
  <c r="CZ284" i="3" s="1"/>
  <c r="CJ284" i="3"/>
  <c r="CX284" i="3"/>
  <c r="CF284" i="3"/>
  <c r="CH284" i="3" l="1"/>
  <c r="CI284" i="3"/>
  <c r="N276" i="3"/>
  <c r="O276" i="3"/>
  <c r="BH284" i="3"/>
  <c r="BK284" i="3" s="1"/>
  <c r="AP285" i="3" s="1"/>
  <c r="BG284" i="3"/>
  <c r="BC284" i="3"/>
  <c r="BD284" i="3" s="1"/>
  <c r="BL284" i="3" l="1"/>
  <c r="BE284" i="3"/>
  <c r="BR284" i="3" s="1"/>
  <c r="BJ284" i="3"/>
  <c r="AO285" i="3" s="1"/>
  <c r="AQ285" i="3" s="1"/>
  <c r="BS284" i="3"/>
  <c r="BO284" i="3"/>
  <c r="Q276" i="3"/>
  <c r="R276" i="3" s="1"/>
  <c r="CK284" i="3"/>
  <c r="CL284" i="3" s="1"/>
  <c r="X276" i="3" l="1"/>
  <c r="AA276" i="3" s="1"/>
  <c r="F277" i="3" s="1"/>
  <c r="W276" i="3"/>
  <c r="S276" i="3"/>
  <c r="AE276" i="3" s="1"/>
  <c r="CR284" i="3"/>
  <c r="CU284" i="3" s="1"/>
  <c r="BZ285" i="3" s="1"/>
  <c r="CQ284" i="3"/>
  <c r="CM284" i="3"/>
  <c r="AR285" i="3"/>
  <c r="AS285" i="3" s="1"/>
  <c r="BM284" i="3"/>
  <c r="BF285" i="3" l="1"/>
  <c r="BP285" i="3" s="1"/>
  <c r="AZ285" i="3"/>
  <c r="CY284" i="3"/>
  <c r="CN284" i="3"/>
  <c r="T276" i="3"/>
  <c r="AT285" i="3"/>
  <c r="AW285" i="3" s="1"/>
  <c r="CT284" i="3"/>
  <c r="BY285" i="3" s="1"/>
  <c r="CA285" i="3" s="1"/>
  <c r="DC284" i="3"/>
  <c r="Z276" i="3"/>
  <c r="E277" i="3" s="1"/>
  <c r="G277" i="3" s="1"/>
  <c r="AI276" i="3"/>
  <c r="CB285" i="3" l="1"/>
  <c r="CV284" i="3"/>
  <c r="CO284" i="3"/>
  <c r="DB284" i="3" s="1"/>
  <c r="AU285" i="3"/>
  <c r="AB276" i="3"/>
  <c r="AC276" i="3" s="1"/>
  <c r="U276" i="3"/>
  <c r="AH276" i="3" s="1"/>
  <c r="H277" i="3"/>
  <c r="J277" i="3" l="1"/>
  <c r="M277" i="3" s="1"/>
  <c r="I277" i="3"/>
  <c r="BN285" i="3"/>
  <c r="AV285" i="3"/>
  <c r="CW284" i="3"/>
  <c r="CD285" i="3"/>
  <c r="CG285" i="3" s="1"/>
  <c r="CE285" i="3"/>
  <c r="CC285" i="3"/>
  <c r="CX285" i="3" l="1"/>
  <c r="CF285" i="3"/>
  <c r="V277" i="3"/>
  <c r="AF277" i="3" s="1"/>
  <c r="P277" i="3"/>
  <c r="K277" i="3"/>
  <c r="AY285" i="3"/>
  <c r="AX285" i="3"/>
  <c r="CJ285" i="3"/>
  <c r="CP285" i="3"/>
  <c r="CZ285" i="3" s="1"/>
  <c r="BA285" i="3" l="1"/>
  <c r="BB285" i="3" s="1"/>
  <c r="AD277" i="3"/>
  <c r="L277" i="3"/>
  <c r="CH285" i="3"/>
  <c r="CI285" i="3"/>
  <c r="N277" i="3" l="1"/>
  <c r="O277" i="3"/>
  <c r="CK285" i="3"/>
  <c r="CL285" i="3" s="1"/>
  <c r="BH285" i="3"/>
  <c r="BK285" i="3" s="1"/>
  <c r="AP286" i="3" s="1"/>
  <c r="BG285" i="3"/>
  <c r="BC285" i="3"/>
  <c r="BO285" i="3" l="1"/>
  <c r="BD285" i="3"/>
  <c r="BS285" i="3"/>
  <c r="BJ285" i="3"/>
  <c r="AO286" i="3" s="1"/>
  <c r="AQ286" i="3" s="1"/>
  <c r="CR285" i="3"/>
  <c r="CU285" i="3" s="1"/>
  <c r="BZ286" i="3" s="1"/>
  <c r="CQ285" i="3"/>
  <c r="CM285" i="3"/>
  <c r="Q277" i="3"/>
  <c r="R277" i="3" s="1"/>
  <c r="CY285" i="3" l="1"/>
  <c r="AR286" i="3"/>
  <c r="X277" i="3"/>
  <c r="AA277" i="3" s="1"/>
  <c r="F278" i="3" s="1"/>
  <c r="W277" i="3"/>
  <c r="S277" i="3"/>
  <c r="AE277" i="3" s="1"/>
  <c r="DC285" i="3"/>
  <c r="CT285" i="3"/>
  <c r="BY286" i="3" s="1"/>
  <c r="CA286" i="3" s="1"/>
  <c r="CN285" i="3"/>
  <c r="BL285" i="3"/>
  <c r="BE285" i="3"/>
  <c r="BR285" i="3" s="1"/>
  <c r="CB286" i="3" l="1"/>
  <c r="BM285" i="3"/>
  <c r="CV285" i="3"/>
  <c r="CO285" i="3"/>
  <c r="DB285" i="3" s="1"/>
  <c r="AI277" i="3"/>
  <c r="Z277" i="3"/>
  <c r="E278" i="3" s="1"/>
  <c r="G278" i="3" s="1"/>
  <c r="T277" i="3"/>
  <c r="AT286" i="3"/>
  <c r="AW286" i="3" s="1"/>
  <c r="AS286" i="3"/>
  <c r="AU286" i="3" l="1"/>
  <c r="AB277" i="3"/>
  <c r="AC277" i="3" s="1"/>
  <c r="U277" i="3"/>
  <c r="AH277" i="3" s="1"/>
  <c r="H278" i="3"/>
  <c r="CW285" i="3"/>
  <c r="CD286" i="3"/>
  <c r="CG286" i="3" s="1"/>
  <c r="AZ286" i="3"/>
  <c r="BF286" i="3"/>
  <c r="BP286" i="3" s="1"/>
  <c r="CC286" i="3"/>
  <c r="CE286" i="3" l="1"/>
  <c r="J278" i="3"/>
  <c r="M278" i="3" s="1"/>
  <c r="I278" i="3"/>
  <c r="CP286" i="3"/>
  <c r="CZ286" i="3" s="1"/>
  <c r="CJ286" i="3"/>
  <c r="BN286" i="3"/>
  <c r="AV286" i="3"/>
  <c r="AX286" i="3" l="1"/>
  <c r="AY286" i="3"/>
  <c r="P278" i="3"/>
  <c r="V278" i="3"/>
  <c r="AF278" i="3" s="1"/>
  <c r="K278" i="3"/>
  <c r="CX286" i="3"/>
  <c r="CF286" i="3"/>
  <c r="CH286" i="3" l="1"/>
  <c r="CI286" i="3"/>
  <c r="AD278" i="3"/>
  <c r="L278" i="3"/>
  <c r="BA286" i="3"/>
  <c r="BB286" i="3" s="1"/>
  <c r="BH286" i="3" l="1"/>
  <c r="BK286" i="3" s="1"/>
  <c r="AP287" i="3" s="1"/>
  <c r="BG286" i="3"/>
  <c r="BC286" i="3"/>
  <c r="N278" i="3"/>
  <c r="O278" i="3"/>
  <c r="CK286" i="3"/>
  <c r="CL286" i="3" s="1"/>
  <c r="CR286" i="3" l="1"/>
  <c r="CU286" i="3" s="1"/>
  <c r="BZ287" i="3" s="1"/>
  <c r="CQ286" i="3"/>
  <c r="CM286" i="3"/>
  <c r="BJ286" i="3"/>
  <c r="AO287" i="3" s="1"/>
  <c r="AQ287" i="3" s="1"/>
  <c r="BS286" i="3"/>
  <c r="Q278" i="3"/>
  <c r="R278" i="3" s="1"/>
  <c r="BO286" i="3"/>
  <c r="BD286" i="3"/>
  <c r="BL286" i="3" l="1"/>
  <c r="BE286" i="3"/>
  <c r="BR286" i="3" s="1"/>
  <c r="X278" i="3"/>
  <c r="AA278" i="3" s="1"/>
  <c r="F279" i="3" s="1"/>
  <c r="W278" i="3"/>
  <c r="S278" i="3"/>
  <c r="AE278" i="3" s="1"/>
  <c r="CY286" i="3"/>
  <c r="CN286" i="3"/>
  <c r="AR287" i="3"/>
  <c r="AS287" i="3" s="1"/>
  <c r="CT286" i="3"/>
  <c r="BY287" i="3" s="1"/>
  <c r="CA287" i="3" s="1"/>
  <c r="DC286" i="3"/>
  <c r="BF287" i="3" l="1"/>
  <c r="BP287" i="3" s="1"/>
  <c r="AZ287" i="3"/>
  <c r="CB287" i="3"/>
  <c r="AT287" i="3"/>
  <c r="AW287" i="3" s="1"/>
  <c r="AU287" i="3"/>
  <c r="AV287" i="3" s="1"/>
  <c r="CV286" i="3"/>
  <c r="CO286" i="3"/>
  <c r="DB286" i="3" s="1"/>
  <c r="AI278" i="3"/>
  <c r="Z278" i="3"/>
  <c r="E279" i="3" s="1"/>
  <c r="G279" i="3" s="1"/>
  <c r="T278" i="3"/>
  <c r="BM286" i="3"/>
  <c r="AX287" i="3" l="1"/>
  <c r="AY287" i="3"/>
  <c r="H279" i="3"/>
  <c r="BN287" i="3"/>
  <c r="CD287" i="3"/>
  <c r="CG287" i="3" s="1"/>
  <c r="CW286" i="3"/>
  <c r="CC287" i="3"/>
  <c r="AB278" i="3"/>
  <c r="AC278" i="3" s="1"/>
  <c r="U278" i="3"/>
  <c r="AH278" i="3" s="1"/>
  <c r="CE287" i="3" l="1"/>
  <c r="J279" i="3"/>
  <c r="M279" i="3" s="1"/>
  <c r="I279" i="3"/>
  <c r="BA287" i="3"/>
  <c r="BB287" i="3" s="1"/>
  <c r="CP287" i="3"/>
  <c r="CZ287" i="3" s="1"/>
  <c r="CJ287" i="3"/>
  <c r="BH287" i="3" l="1"/>
  <c r="BK287" i="3" s="1"/>
  <c r="AP288" i="3" s="1"/>
  <c r="BG287" i="3"/>
  <c r="BC287" i="3"/>
  <c r="BD287" i="3" s="1"/>
  <c r="V279" i="3"/>
  <c r="AF279" i="3" s="1"/>
  <c r="P279" i="3"/>
  <c r="K279" i="3"/>
  <c r="CX287" i="3"/>
  <c r="CF287" i="3"/>
  <c r="BL287" i="3" l="1"/>
  <c r="BE287" i="3"/>
  <c r="BR287" i="3" s="1"/>
  <c r="CH287" i="3"/>
  <c r="CI287" i="3"/>
  <c r="AD279" i="3"/>
  <c r="L279" i="3"/>
  <c r="BJ287" i="3"/>
  <c r="AO288" i="3" s="1"/>
  <c r="AQ288" i="3" s="1"/>
  <c r="BS287" i="3"/>
  <c r="BO287" i="3"/>
  <c r="AR288" i="3" l="1"/>
  <c r="N279" i="3"/>
  <c r="O279" i="3"/>
  <c r="CK287" i="3"/>
  <c r="CL287" i="3" s="1"/>
  <c r="BM287" i="3"/>
  <c r="CR287" i="3" l="1"/>
  <c r="CU287" i="3" s="1"/>
  <c r="BZ288" i="3" s="1"/>
  <c r="CQ287" i="3"/>
  <c r="CM287" i="3"/>
  <c r="CN287" i="3" s="1"/>
  <c r="Q279" i="3"/>
  <c r="R279" i="3" s="1"/>
  <c r="AT288" i="3"/>
  <c r="AW288" i="3" s="1"/>
  <c r="AU288" i="3"/>
  <c r="BN288" i="3" s="1"/>
  <c r="AS288" i="3"/>
  <c r="CV287" i="3" l="1"/>
  <c r="CO287" i="3"/>
  <c r="DB287" i="3" s="1"/>
  <c r="AZ288" i="3"/>
  <c r="BF288" i="3"/>
  <c r="BP288" i="3" s="1"/>
  <c r="X279" i="3"/>
  <c r="AA279" i="3" s="1"/>
  <c r="F280" i="3" s="1"/>
  <c r="W279" i="3"/>
  <c r="S279" i="3"/>
  <c r="AE279" i="3" s="1"/>
  <c r="AV288" i="3"/>
  <c r="CY287" i="3"/>
  <c r="DC287" i="3"/>
  <c r="CT287" i="3"/>
  <c r="BY288" i="3" s="1"/>
  <c r="CA288" i="3" s="1"/>
  <c r="CB288" i="3" l="1"/>
  <c r="Z279" i="3"/>
  <c r="E280" i="3" s="1"/>
  <c r="G280" i="3" s="1"/>
  <c r="AI279" i="3"/>
  <c r="T279" i="3"/>
  <c r="AX288" i="3"/>
  <c r="AY288" i="3"/>
  <c r="CW287" i="3"/>
  <c r="BA288" i="3" l="1"/>
  <c r="BB288" i="3" s="1"/>
  <c r="AB279" i="3"/>
  <c r="AC279" i="3" s="1"/>
  <c r="U279" i="3"/>
  <c r="AH279" i="3" s="1"/>
  <c r="H280" i="3"/>
  <c r="CD288" i="3"/>
  <c r="CG288" i="3" s="1"/>
  <c r="CC288" i="3"/>
  <c r="CJ288" i="3" l="1"/>
  <c r="CP288" i="3"/>
  <c r="CZ288" i="3" s="1"/>
  <c r="CE288" i="3"/>
  <c r="J280" i="3"/>
  <c r="M280" i="3" s="1"/>
  <c r="I280" i="3"/>
  <c r="BH288" i="3"/>
  <c r="BK288" i="3" s="1"/>
  <c r="AP289" i="3" s="1"/>
  <c r="BG288" i="3"/>
  <c r="BC288" i="3"/>
  <c r="BO288" i="3" s="1"/>
  <c r="BS288" i="3" l="1"/>
  <c r="BJ288" i="3"/>
  <c r="AO289" i="3" s="1"/>
  <c r="AQ289" i="3" s="1"/>
  <c r="V280" i="3"/>
  <c r="AF280" i="3" s="1"/>
  <c r="P280" i="3"/>
  <c r="BD288" i="3"/>
  <c r="K280" i="3"/>
  <c r="CX288" i="3"/>
  <c r="CF288" i="3"/>
  <c r="AD280" i="3" l="1"/>
  <c r="L280" i="3"/>
  <c r="CH288" i="3"/>
  <c r="CI288" i="3"/>
  <c r="BL288" i="3"/>
  <c r="BM288" i="3" s="1"/>
  <c r="BE288" i="3"/>
  <c r="BR288" i="3" s="1"/>
  <c r="AR289" i="3"/>
  <c r="AT289" i="3" l="1"/>
  <c r="AW289" i="3" s="1"/>
  <c r="AU289" i="3"/>
  <c r="BN289" i="3" s="1"/>
  <c r="AS289" i="3"/>
  <c r="CK288" i="3"/>
  <c r="CL288" i="3" s="1"/>
  <c r="O280" i="3"/>
  <c r="N280" i="3"/>
  <c r="Q280" i="3" l="1"/>
  <c r="R280" i="3" s="1"/>
  <c r="CR288" i="3"/>
  <c r="CU288" i="3" s="1"/>
  <c r="BZ289" i="3" s="1"/>
  <c r="CQ288" i="3"/>
  <c r="CM288" i="3"/>
  <c r="CY288" i="3" s="1"/>
  <c r="BF289" i="3"/>
  <c r="BP289" i="3" s="1"/>
  <c r="AZ289" i="3"/>
  <c r="AV289" i="3"/>
  <c r="DC288" i="3" l="1"/>
  <c r="CT288" i="3"/>
  <c r="BY289" i="3" s="1"/>
  <c r="CA289" i="3" s="1"/>
  <c r="CN288" i="3"/>
  <c r="AX289" i="3"/>
  <c r="AY289" i="3"/>
  <c r="X280" i="3"/>
  <c r="AA280" i="3" s="1"/>
  <c r="F281" i="3" s="1"/>
  <c r="W280" i="3"/>
  <c r="S280" i="3"/>
  <c r="AE280" i="3" s="1"/>
  <c r="AI280" i="3" l="1"/>
  <c r="Z280" i="3"/>
  <c r="E281" i="3" s="1"/>
  <c r="G281" i="3" s="1"/>
  <c r="CV288" i="3"/>
  <c r="CO288" i="3"/>
  <c r="DB288" i="3" s="1"/>
  <c r="T280" i="3"/>
  <c r="BA289" i="3"/>
  <c r="BB289" i="3" s="1"/>
  <c r="CB289" i="3"/>
  <c r="BH289" i="3" l="1"/>
  <c r="BK289" i="3" s="1"/>
  <c r="AP290" i="3" s="1"/>
  <c r="BG289" i="3"/>
  <c r="BC289" i="3"/>
  <c r="BO289" i="3" s="1"/>
  <c r="CD289" i="3"/>
  <c r="CG289" i="3" s="1"/>
  <c r="CC289" i="3"/>
  <c r="AB280" i="3"/>
  <c r="AC280" i="3" s="1"/>
  <c r="U280" i="3"/>
  <c r="AH280" i="3" s="1"/>
  <c r="CW288" i="3"/>
  <c r="H281" i="3"/>
  <c r="I281" i="3" s="1"/>
  <c r="P281" i="3" l="1"/>
  <c r="V281" i="3"/>
  <c r="AF281" i="3" s="1"/>
  <c r="CP289" i="3"/>
  <c r="CZ289" i="3" s="1"/>
  <c r="CJ289" i="3"/>
  <c r="BD289" i="3"/>
  <c r="J281" i="3"/>
  <c r="M281" i="3" s="1"/>
  <c r="CE289" i="3"/>
  <c r="BJ289" i="3"/>
  <c r="AO290" i="3" s="1"/>
  <c r="AQ290" i="3" s="1"/>
  <c r="BS289" i="3"/>
  <c r="AR290" i="3" l="1"/>
  <c r="CX289" i="3"/>
  <c r="CF289" i="3"/>
  <c r="K281" i="3"/>
  <c r="BL289" i="3"/>
  <c r="BM289" i="3" s="1"/>
  <c r="BE289" i="3"/>
  <c r="BR289" i="3" s="1"/>
  <c r="CH289" i="3" l="1"/>
  <c r="CI289" i="3"/>
  <c r="AD281" i="3"/>
  <c r="L281" i="3"/>
  <c r="AT290" i="3"/>
  <c r="AW290" i="3" s="1"/>
  <c r="AS290" i="3"/>
  <c r="AZ290" i="3" l="1"/>
  <c r="BF290" i="3"/>
  <c r="BP290" i="3" s="1"/>
  <c r="AU290" i="3"/>
  <c r="CK289" i="3"/>
  <c r="CL289" i="3" s="1"/>
  <c r="N281" i="3"/>
  <c r="O281" i="3"/>
  <c r="BN290" i="3" l="1"/>
  <c r="AV290" i="3"/>
  <c r="Q281" i="3"/>
  <c r="R281" i="3" s="1"/>
  <c r="CR289" i="3"/>
  <c r="CU289" i="3" s="1"/>
  <c r="BZ290" i="3" s="1"/>
  <c r="CQ289" i="3"/>
  <c r="CM289" i="3"/>
  <c r="CY289" i="3" s="1"/>
  <c r="CN289" i="3" l="1"/>
  <c r="CT289" i="3"/>
  <c r="BY290" i="3" s="1"/>
  <c r="CA290" i="3" s="1"/>
  <c r="DC289" i="3"/>
  <c r="X281" i="3"/>
  <c r="AA281" i="3" s="1"/>
  <c r="F282" i="3" s="1"/>
  <c r="W281" i="3"/>
  <c r="S281" i="3"/>
  <c r="AE281" i="3" s="1"/>
  <c r="AY290" i="3"/>
  <c r="AX290" i="3"/>
  <c r="BA290" i="3" l="1"/>
  <c r="BB290" i="3" s="1"/>
  <c r="Z281" i="3"/>
  <c r="E282" i="3" s="1"/>
  <c r="G282" i="3" s="1"/>
  <c r="AI281" i="3"/>
  <c r="T281" i="3"/>
  <c r="CB290" i="3"/>
  <c r="CV289" i="3"/>
  <c r="CW289" i="3" s="1"/>
  <c r="CO289" i="3"/>
  <c r="DB289" i="3" s="1"/>
  <c r="CD290" i="3" l="1"/>
  <c r="CG290" i="3" s="1"/>
  <c r="CE290" i="3"/>
  <c r="CX290" i="3" s="1"/>
  <c r="CC290" i="3"/>
  <c r="AB281" i="3"/>
  <c r="AC281" i="3" s="1"/>
  <c r="U281" i="3"/>
  <c r="AH281" i="3" s="1"/>
  <c r="H282" i="3"/>
  <c r="I282" i="3" s="1"/>
  <c r="BH290" i="3"/>
  <c r="BK290" i="3" s="1"/>
  <c r="AP291" i="3" s="1"/>
  <c r="BG290" i="3"/>
  <c r="BC290" i="3"/>
  <c r="BO290" i="3" s="1"/>
  <c r="V282" i="3" l="1"/>
  <c r="AF282" i="3" s="1"/>
  <c r="P282" i="3"/>
  <c r="BD290" i="3"/>
  <c r="BJ290" i="3"/>
  <c r="AO291" i="3" s="1"/>
  <c r="AQ291" i="3" s="1"/>
  <c r="BS290" i="3"/>
  <c r="J282" i="3"/>
  <c r="M282" i="3" s="1"/>
  <c r="CJ290" i="3"/>
  <c r="CP290" i="3"/>
  <c r="CZ290" i="3" s="1"/>
  <c r="CF290" i="3"/>
  <c r="K282" i="3" l="1"/>
  <c r="AR291" i="3"/>
  <c r="BL290" i="3"/>
  <c r="BM290" i="3" s="1"/>
  <c r="BE290" i="3"/>
  <c r="BR290" i="3" s="1"/>
  <c r="CH290" i="3"/>
  <c r="CI290" i="3"/>
  <c r="CK290" i="3" l="1"/>
  <c r="CL290" i="3" s="1"/>
  <c r="AT291" i="3"/>
  <c r="AW291" i="3" s="1"/>
  <c r="AS291" i="3"/>
  <c r="AD282" i="3"/>
  <c r="L282" i="3"/>
  <c r="N282" i="3" l="1"/>
  <c r="O282" i="3"/>
  <c r="AZ291" i="3"/>
  <c r="BF291" i="3"/>
  <c r="BP291" i="3" s="1"/>
  <c r="AU291" i="3"/>
  <c r="CR290" i="3"/>
  <c r="CU290" i="3" s="1"/>
  <c r="BZ291" i="3" s="1"/>
  <c r="CQ290" i="3"/>
  <c r="CM290" i="3"/>
  <c r="CY290" i="3" s="1"/>
  <c r="DC290" i="3" l="1"/>
  <c r="CT290" i="3"/>
  <c r="BY291" i="3" s="1"/>
  <c r="CA291" i="3" s="1"/>
  <c r="CN290" i="3"/>
  <c r="BN291" i="3"/>
  <c r="AV291" i="3"/>
  <c r="Q282" i="3"/>
  <c r="R282" i="3" s="1"/>
  <c r="AX291" i="3" l="1"/>
  <c r="AY291" i="3"/>
  <c r="X282" i="3"/>
  <c r="AA282" i="3" s="1"/>
  <c r="F283" i="3" s="1"/>
  <c r="W282" i="3"/>
  <c r="S282" i="3"/>
  <c r="AE282" i="3" s="1"/>
  <c r="CV290" i="3"/>
  <c r="CW290" i="3" s="1"/>
  <c r="CO290" i="3"/>
  <c r="DB290" i="3" s="1"/>
  <c r="CB291" i="3"/>
  <c r="CD291" i="3" l="1"/>
  <c r="CG291" i="3" s="1"/>
  <c r="CE291" i="3"/>
  <c r="CX291" i="3" s="1"/>
  <c r="Z282" i="3"/>
  <c r="E283" i="3" s="1"/>
  <c r="G283" i="3" s="1"/>
  <c r="AI282" i="3"/>
  <c r="CC291" i="3"/>
  <c r="T282" i="3"/>
  <c r="BA291" i="3"/>
  <c r="BB291" i="3" s="1"/>
  <c r="BH291" i="3" l="1"/>
  <c r="BK291" i="3" s="1"/>
  <c r="AP292" i="3" s="1"/>
  <c r="BG291" i="3"/>
  <c r="BC291" i="3"/>
  <c r="BO291" i="3" s="1"/>
  <c r="H283" i="3"/>
  <c r="I283" i="3"/>
  <c r="AB282" i="3"/>
  <c r="AC282" i="3" s="1"/>
  <c r="U282" i="3"/>
  <c r="AH282" i="3" s="1"/>
  <c r="CP291" i="3"/>
  <c r="CZ291" i="3" s="1"/>
  <c r="CJ291" i="3"/>
  <c r="CF291" i="3"/>
  <c r="P283" i="3" l="1"/>
  <c r="V283" i="3"/>
  <c r="AF283" i="3" s="1"/>
  <c r="J283" i="3"/>
  <c r="M283" i="3" s="1"/>
  <c r="BJ291" i="3"/>
  <c r="AO292" i="3" s="1"/>
  <c r="AQ292" i="3" s="1"/>
  <c r="BS291" i="3"/>
  <c r="CH291" i="3"/>
  <c r="CI291" i="3"/>
  <c r="BD291" i="3"/>
  <c r="CK291" i="3" l="1"/>
  <c r="CL291" i="3" s="1"/>
  <c r="K283" i="3"/>
  <c r="BL291" i="3"/>
  <c r="BM291" i="3" s="1"/>
  <c r="BE291" i="3"/>
  <c r="BR291" i="3" s="1"/>
  <c r="AR292" i="3"/>
  <c r="J25" i="3"/>
  <c r="AT292" i="3" l="1"/>
  <c r="AW292" i="3" s="1"/>
  <c r="AS292" i="3"/>
  <c r="AD283" i="3"/>
  <c r="L283" i="3"/>
  <c r="CR291" i="3"/>
  <c r="CU291" i="3" s="1"/>
  <c r="BZ292" i="3" s="1"/>
  <c r="CQ291" i="3"/>
  <c r="CM291" i="3"/>
  <c r="CY291" i="3" s="1"/>
  <c r="BF292" i="3" l="1"/>
  <c r="BP292" i="3" s="1"/>
  <c r="AZ292" i="3"/>
  <c r="CT291" i="3"/>
  <c r="BY292" i="3" s="1"/>
  <c r="CA292" i="3" s="1"/>
  <c r="DC291" i="3"/>
  <c r="CN291" i="3"/>
  <c r="N283" i="3"/>
  <c r="O283" i="3"/>
  <c r="AU292" i="3"/>
  <c r="BN292" i="3" l="1"/>
  <c r="AV292" i="3"/>
  <c r="Q283" i="3"/>
  <c r="R283" i="3" s="1"/>
  <c r="CV291" i="3"/>
  <c r="CW291" i="3" s="1"/>
  <c r="CO291" i="3"/>
  <c r="DB291" i="3" s="1"/>
  <c r="CB292" i="3"/>
  <c r="CD292" i="3" l="1"/>
  <c r="CG292" i="3" s="1"/>
  <c r="CC292" i="3"/>
  <c r="X283" i="3"/>
  <c r="AA283" i="3" s="1"/>
  <c r="W283" i="3"/>
  <c r="S283" i="3"/>
  <c r="AE283" i="3" s="1"/>
  <c r="AY292" i="3"/>
  <c r="AX292" i="3"/>
  <c r="BA292" i="3" l="1"/>
  <c r="BB292" i="3" s="1"/>
  <c r="F36" i="5"/>
  <c r="AI283" i="3"/>
  <c r="Y283" i="3"/>
  <c r="Z283" i="3" s="1"/>
  <c r="CP292" i="3"/>
  <c r="CZ292" i="3" s="1"/>
  <c r="CJ292" i="3"/>
  <c r="F284" i="3"/>
  <c r="C25" i="3"/>
  <c r="T283" i="3"/>
  <c r="CE292" i="3"/>
  <c r="B36" i="5" l="1"/>
  <c r="E284" i="3"/>
  <c r="G284" i="3" s="1"/>
  <c r="B25" i="3"/>
  <c r="D25" i="3" s="1"/>
  <c r="CX292" i="3"/>
  <c r="CF292" i="3"/>
  <c r="AB283" i="3"/>
  <c r="AC283" i="3" s="1"/>
  <c r="U283" i="3"/>
  <c r="AH283" i="3" s="1"/>
  <c r="I25" i="3"/>
  <c r="AG283" i="3"/>
  <c r="AG284" i="3" s="1"/>
  <c r="AG285" i="3" s="1"/>
  <c r="AG286" i="3" s="1"/>
  <c r="AG287" i="3" s="1"/>
  <c r="AG288" i="3" s="1"/>
  <c r="AG289" i="3" s="1"/>
  <c r="AG290" i="3" s="1"/>
  <c r="AG291" i="3" s="1"/>
  <c r="AG292" i="3" s="1"/>
  <c r="AG293" i="3" s="1"/>
  <c r="AG294" i="3" s="1"/>
  <c r="BH292" i="3"/>
  <c r="BK292" i="3" s="1"/>
  <c r="AP293" i="3" s="1"/>
  <c r="BG292" i="3"/>
  <c r="BC292" i="3"/>
  <c r="BO292" i="3" s="1"/>
  <c r="BJ292" i="3" l="1"/>
  <c r="AO293" i="3" s="1"/>
  <c r="AQ293" i="3" s="1"/>
  <c r="BS292" i="3"/>
  <c r="BD292" i="3"/>
  <c r="CH292" i="3"/>
  <c r="CI292" i="3"/>
  <c r="H284" i="3"/>
  <c r="CK292" i="3" l="1"/>
  <c r="CL292" i="3" s="1"/>
  <c r="J284" i="3"/>
  <c r="M284" i="3" s="1"/>
  <c r="I284" i="3"/>
  <c r="BL292" i="3"/>
  <c r="BM292" i="3" s="1"/>
  <c r="BE292" i="3"/>
  <c r="BR292" i="3" s="1"/>
  <c r="AR293" i="3"/>
  <c r="AS293" i="3"/>
  <c r="AZ293" i="3" l="1"/>
  <c r="BF293" i="3"/>
  <c r="BP293" i="3" s="1"/>
  <c r="AT293" i="3"/>
  <c r="AW293" i="3" s="1"/>
  <c r="V284" i="3"/>
  <c r="AF284" i="3" s="1"/>
  <c r="P284" i="3"/>
  <c r="K284" i="3"/>
  <c r="CR292" i="3"/>
  <c r="CU292" i="3" s="1"/>
  <c r="BZ293" i="3" s="1"/>
  <c r="CQ292" i="3"/>
  <c r="CM292" i="3"/>
  <c r="CY292" i="3" s="1"/>
  <c r="DC292" i="3" l="1"/>
  <c r="CT292" i="3"/>
  <c r="BY293" i="3" s="1"/>
  <c r="CA293" i="3" s="1"/>
  <c r="CN292" i="3"/>
  <c r="AD284" i="3"/>
  <c r="L284" i="3"/>
  <c r="AU293" i="3"/>
  <c r="N284" i="3" l="1"/>
  <c r="O284" i="3"/>
  <c r="BN293" i="3"/>
  <c r="AV293" i="3"/>
  <c r="CV292" i="3"/>
  <c r="CW292" i="3" s="1"/>
  <c r="CO292" i="3"/>
  <c r="DB292" i="3" s="1"/>
  <c r="CB293" i="3"/>
  <c r="CD293" i="3" l="1"/>
  <c r="CG293" i="3" s="1"/>
  <c r="CE293" i="3"/>
  <c r="CX293" i="3" s="1"/>
  <c r="CC293" i="3"/>
  <c r="AX293" i="3"/>
  <c r="AY293" i="3"/>
  <c r="Q284" i="3"/>
  <c r="R284" i="3" s="1"/>
  <c r="X284" i="3" l="1"/>
  <c r="AA284" i="3" s="1"/>
  <c r="F285" i="3" s="1"/>
  <c r="W284" i="3"/>
  <c r="S284" i="3"/>
  <c r="BA293" i="3"/>
  <c r="BB293" i="3" s="1"/>
  <c r="CP293" i="3"/>
  <c r="CZ293" i="3" s="1"/>
  <c r="CJ293" i="3"/>
  <c r="CF293" i="3"/>
  <c r="AE284" i="3" l="1"/>
  <c r="T284" i="3"/>
  <c r="CH293" i="3"/>
  <c r="CI293" i="3"/>
  <c r="BH293" i="3"/>
  <c r="BK293" i="3" s="1"/>
  <c r="AP294" i="3" s="1"/>
  <c r="BG293" i="3"/>
  <c r="BC293" i="3"/>
  <c r="BO293" i="3" s="1"/>
  <c r="Z284" i="3"/>
  <c r="E285" i="3" s="1"/>
  <c r="G285" i="3" s="1"/>
  <c r="AI284" i="3"/>
  <c r="H285" i="3" l="1"/>
  <c r="BD293" i="3"/>
  <c r="CK293" i="3"/>
  <c r="CL293" i="3" s="1"/>
  <c r="BS293" i="3"/>
  <c r="BJ293" i="3"/>
  <c r="AO294" i="3" s="1"/>
  <c r="AQ294" i="3" s="1"/>
  <c r="AB284" i="3"/>
  <c r="U284" i="3"/>
  <c r="AH284" i="3" s="1"/>
  <c r="CR293" i="3" l="1"/>
  <c r="CU293" i="3" s="1"/>
  <c r="BZ294" i="3" s="1"/>
  <c r="CQ293" i="3"/>
  <c r="CM293" i="3"/>
  <c r="CY293" i="3" s="1"/>
  <c r="AC284" i="3"/>
  <c r="AR294" i="3"/>
  <c r="BL293" i="3"/>
  <c r="BM293" i="3" s="1"/>
  <c r="BE293" i="3"/>
  <c r="BR293" i="3" s="1"/>
  <c r="J285" i="3"/>
  <c r="M285" i="3" s="1"/>
  <c r="I285" i="3"/>
  <c r="V285" i="3" l="1"/>
  <c r="AF285" i="3" s="1"/>
  <c r="P285" i="3"/>
  <c r="K285" i="3"/>
  <c r="AT294" i="3"/>
  <c r="AW294" i="3" s="1"/>
  <c r="AS294" i="3"/>
  <c r="CN293" i="3"/>
  <c r="CT293" i="3"/>
  <c r="BY294" i="3" s="1"/>
  <c r="CA294" i="3" s="1"/>
  <c r="DC293" i="3"/>
  <c r="CB294" i="3" l="1"/>
  <c r="CC294" i="3"/>
  <c r="AZ294" i="3"/>
  <c r="BF294" i="3"/>
  <c r="BP294" i="3" s="1"/>
  <c r="AU294" i="3"/>
  <c r="CV293" i="3"/>
  <c r="CW293" i="3" s="1"/>
  <c r="CO293" i="3"/>
  <c r="DB293" i="3" s="1"/>
  <c r="AD285" i="3"/>
  <c r="L285" i="3"/>
  <c r="N285" i="3" l="1"/>
  <c r="O285" i="3"/>
  <c r="BN294" i="3"/>
  <c r="AV294" i="3"/>
  <c r="CP294" i="3"/>
  <c r="CZ294" i="3" s="1"/>
  <c r="CJ294" i="3"/>
  <c r="CD294" i="3"/>
  <c r="CG294" i="3" s="1"/>
  <c r="CE294" i="3" l="1"/>
  <c r="CX294" i="3" s="1"/>
  <c r="AX294" i="3"/>
  <c r="AY294" i="3"/>
  <c r="Q285" i="3"/>
  <c r="R285" i="3" s="1"/>
  <c r="CF294" i="3" l="1"/>
  <c r="X285" i="3"/>
  <c r="AA285" i="3" s="1"/>
  <c r="F286" i="3" s="1"/>
  <c r="W285" i="3"/>
  <c r="S285" i="3"/>
  <c r="BA294" i="3"/>
  <c r="BB294" i="3" s="1"/>
  <c r="CH294" i="3"/>
  <c r="CI294" i="3"/>
  <c r="AE285" i="3" l="1"/>
  <c r="T285" i="3"/>
  <c r="CK294" i="3"/>
  <c r="CL294" i="3" s="1"/>
  <c r="BH294" i="3"/>
  <c r="BK294" i="3" s="1"/>
  <c r="AP295" i="3" s="1"/>
  <c r="BG294" i="3"/>
  <c r="BC294" i="3"/>
  <c r="BO294" i="3" s="1"/>
  <c r="AI285" i="3"/>
  <c r="Z285" i="3"/>
  <c r="E286" i="3" s="1"/>
  <c r="G286" i="3" s="1"/>
  <c r="H286" i="3" l="1"/>
  <c r="BJ294" i="3"/>
  <c r="AO295" i="3" s="1"/>
  <c r="AQ295" i="3" s="1"/>
  <c r="BS294" i="3"/>
  <c r="BD294" i="3"/>
  <c r="CR294" i="3"/>
  <c r="CU294" i="3" s="1"/>
  <c r="BZ295" i="3" s="1"/>
  <c r="CQ294" i="3"/>
  <c r="CM294" i="3"/>
  <c r="CY294" i="3" s="1"/>
  <c r="AB285" i="3"/>
  <c r="U285" i="3"/>
  <c r="AH285" i="3" s="1"/>
  <c r="AC285" i="3" l="1"/>
  <c r="CT294" i="3"/>
  <c r="BY295" i="3" s="1"/>
  <c r="CA295" i="3" s="1"/>
  <c r="DC294" i="3"/>
  <c r="CN294" i="3"/>
  <c r="BL294" i="3"/>
  <c r="BM294" i="3" s="1"/>
  <c r="BE294" i="3"/>
  <c r="BR294" i="3" s="1"/>
  <c r="AR295" i="3"/>
  <c r="J286" i="3"/>
  <c r="M286" i="3" s="1"/>
  <c r="I286" i="3"/>
  <c r="AT295" i="3" l="1"/>
  <c r="AW295" i="3" s="1"/>
  <c r="AU295" i="3"/>
  <c r="BN295" i="3" s="1"/>
  <c r="K286" i="3"/>
  <c r="CB295" i="3"/>
  <c r="AS295" i="3"/>
  <c r="CV294" i="3"/>
  <c r="CW294" i="3" s="1"/>
  <c r="CO294" i="3"/>
  <c r="DB294" i="3" s="1"/>
  <c r="P286" i="3"/>
  <c r="V286" i="3"/>
  <c r="AF286" i="3" s="1"/>
  <c r="AZ295" i="3" l="1"/>
  <c r="BF295" i="3"/>
  <c r="BP295" i="3" s="1"/>
  <c r="CD295" i="3"/>
  <c r="CG295" i="3" s="1"/>
  <c r="CC295" i="3"/>
  <c r="AD286" i="3"/>
  <c r="L286" i="3"/>
  <c r="AV295" i="3"/>
  <c r="CE295" i="3" l="1"/>
  <c r="CJ295" i="3"/>
  <c r="CP295" i="3"/>
  <c r="CZ295" i="3" s="1"/>
  <c r="N286" i="3"/>
  <c r="O286" i="3"/>
  <c r="W26" i="3"/>
  <c r="AX295" i="3"/>
  <c r="AY295" i="3"/>
  <c r="BA295" i="3" l="1"/>
  <c r="BB295" i="3" s="1"/>
  <c r="Q286" i="3"/>
  <c r="R286" i="3" s="1"/>
  <c r="AJ26" i="3"/>
  <c r="CX295" i="3"/>
  <c r="CF295" i="3"/>
  <c r="CH295" i="3" l="1"/>
  <c r="CI295" i="3"/>
  <c r="X286" i="3"/>
  <c r="AA286" i="3" s="1"/>
  <c r="F287" i="3" s="1"/>
  <c r="W286" i="3"/>
  <c r="S286" i="3"/>
  <c r="BH295" i="3"/>
  <c r="BK295" i="3" s="1"/>
  <c r="BG295" i="3"/>
  <c r="BC295" i="3"/>
  <c r="BO295" i="3" s="1"/>
  <c r="G37" i="5" l="1"/>
  <c r="AE286" i="3"/>
  <c r="BS295" i="3"/>
  <c r="BI295" i="3"/>
  <c r="AI286" i="3"/>
  <c r="Z286" i="3"/>
  <c r="E287" i="3" s="1"/>
  <c r="G287" i="3" s="1"/>
  <c r="T286" i="3"/>
  <c r="AP296" i="3"/>
  <c r="P26" i="3"/>
  <c r="BD295" i="3"/>
  <c r="CK295" i="3"/>
  <c r="CL295" i="3" s="1"/>
  <c r="CR295" i="3" l="1"/>
  <c r="CU295" i="3" s="1"/>
  <c r="CQ295" i="3"/>
  <c r="CM295" i="3"/>
  <c r="CY295" i="3" s="1"/>
  <c r="BL295" i="3"/>
  <c r="BM295" i="3" s="1"/>
  <c r="BE295" i="3"/>
  <c r="BR295" i="3" s="1"/>
  <c r="AB286" i="3"/>
  <c r="U286" i="3"/>
  <c r="AH286" i="3" s="1"/>
  <c r="H287" i="3"/>
  <c r="V26" i="3"/>
  <c r="BQ295" i="3"/>
  <c r="BQ296" i="3" s="1"/>
  <c r="BQ297" i="3" s="1"/>
  <c r="BQ298" i="3" s="1"/>
  <c r="BQ299" i="3" s="1"/>
  <c r="BQ300" i="3" s="1"/>
  <c r="BQ301" i="3" s="1"/>
  <c r="BQ302" i="3" s="1"/>
  <c r="BQ303" i="3" s="1"/>
  <c r="BQ304" i="3" s="1"/>
  <c r="BQ305" i="3" s="1"/>
  <c r="BQ306" i="3" s="1"/>
  <c r="BJ295" i="3"/>
  <c r="C37" i="5" l="1"/>
  <c r="AO296" i="3"/>
  <c r="AQ296" i="3" s="1"/>
  <c r="O26" i="3"/>
  <c r="Q26" i="3" s="1"/>
  <c r="AC286" i="3"/>
  <c r="H37" i="5"/>
  <c r="J287" i="3"/>
  <c r="M287" i="3" s="1"/>
  <c r="I287" i="3"/>
  <c r="DC295" i="3"/>
  <c r="CS295" i="3"/>
  <c r="BZ296" i="3"/>
  <c r="AC26" i="3"/>
  <c r="CN295" i="3"/>
  <c r="K287" i="3" l="1"/>
  <c r="V287" i="3"/>
  <c r="AF287" i="3" s="1"/>
  <c r="P287" i="3"/>
  <c r="AI26" i="3"/>
  <c r="DA295" i="3"/>
  <c r="DA296" i="3" s="1"/>
  <c r="DA297" i="3" s="1"/>
  <c r="DA298" i="3" s="1"/>
  <c r="DA299" i="3" s="1"/>
  <c r="DA300" i="3" s="1"/>
  <c r="DA301" i="3" s="1"/>
  <c r="DA302" i="3" s="1"/>
  <c r="DA303" i="3" s="1"/>
  <c r="DA304" i="3" s="1"/>
  <c r="DA305" i="3" s="1"/>
  <c r="DA306" i="3" s="1"/>
  <c r="AR296" i="3"/>
  <c r="CV295" i="3"/>
  <c r="CW295" i="3" s="1"/>
  <c r="CO295" i="3"/>
  <c r="DB295" i="3" s="1"/>
  <c r="CT295" i="3"/>
  <c r="D37" i="5" l="1"/>
  <c r="BY296" i="3"/>
  <c r="CA296" i="3" s="1"/>
  <c r="AB26" i="3"/>
  <c r="AD26" i="3" s="1"/>
  <c r="AT296" i="3"/>
  <c r="AW296" i="3" s="1"/>
  <c r="AS296" i="3"/>
  <c r="AD287" i="3"/>
  <c r="L287" i="3"/>
  <c r="O287" i="3" l="1"/>
  <c r="N287" i="3"/>
  <c r="CB296" i="3"/>
  <c r="BF296" i="3"/>
  <c r="BP296" i="3" s="1"/>
  <c r="AZ296" i="3"/>
  <c r="AU296" i="3"/>
  <c r="BN296" i="3" l="1"/>
  <c r="AV296" i="3"/>
  <c r="CD296" i="3"/>
  <c r="CG296" i="3" s="1"/>
  <c r="CE296" i="3"/>
  <c r="CC296" i="3"/>
  <c r="Q287" i="3"/>
  <c r="R287" i="3" s="1"/>
  <c r="X287" i="3" l="1"/>
  <c r="AA287" i="3" s="1"/>
  <c r="F288" i="3" s="1"/>
  <c r="W287" i="3"/>
  <c r="S287" i="3"/>
  <c r="T287" i="3" s="1"/>
  <c r="CJ296" i="3"/>
  <c r="CP296" i="3"/>
  <c r="CZ296" i="3" s="1"/>
  <c r="CX296" i="3"/>
  <c r="CF296" i="3"/>
  <c r="AX296" i="3"/>
  <c r="AY296" i="3"/>
  <c r="AB287" i="3" l="1"/>
  <c r="U287" i="3"/>
  <c r="AH287" i="3" s="1"/>
  <c r="BA296" i="3"/>
  <c r="BB296" i="3" s="1"/>
  <c r="CH296" i="3"/>
  <c r="CI296" i="3"/>
  <c r="AE287" i="3"/>
  <c r="Z287" i="3"/>
  <c r="E288" i="3" s="1"/>
  <c r="G288" i="3" s="1"/>
  <c r="AI287" i="3"/>
  <c r="CK296" i="3" l="1"/>
  <c r="CL296" i="3" s="1"/>
  <c r="H288" i="3"/>
  <c r="BH296" i="3"/>
  <c r="BK296" i="3" s="1"/>
  <c r="AP297" i="3" s="1"/>
  <c r="BG296" i="3"/>
  <c r="BC296" i="3"/>
  <c r="AC287" i="3"/>
  <c r="BO296" i="3" l="1"/>
  <c r="BJ296" i="3"/>
  <c r="AO297" i="3" s="1"/>
  <c r="AQ297" i="3" s="1"/>
  <c r="BS296" i="3"/>
  <c r="BD296" i="3"/>
  <c r="J288" i="3"/>
  <c r="M288" i="3" s="1"/>
  <c r="I288" i="3"/>
  <c r="CR296" i="3"/>
  <c r="CU296" i="3" s="1"/>
  <c r="BZ297" i="3" s="1"/>
  <c r="CQ296" i="3"/>
  <c r="CM296" i="3"/>
  <c r="CY296" i="3" l="1"/>
  <c r="CT296" i="3"/>
  <c r="BY297" i="3" s="1"/>
  <c r="CA297" i="3" s="1"/>
  <c r="DC296" i="3"/>
  <c r="CN296" i="3"/>
  <c r="V288" i="3"/>
  <c r="AF288" i="3" s="1"/>
  <c r="P288" i="3"/>
  <c r="K288" i="3"/>
  <c r="BL296" i="3"/>
  <c r="BE296" i="3"/>
  <c r="BR296" i="3" s="1"/>
  <c r="AR297" i="3"/>
  <c r="AD288" i="3" l="1"/>
  <c r="L288" i="3"/>
  <c r="AT297" i="3"/>
  <c r="AW297" i="3" s="1"/>
  <c r="AU297" i="3"/>
  <c r="CB297" i="3"/>
  <c r="AS297" i="3"/>
  <c r="BM296" i="3"/>
  <c r="CV296" i="3"/>
  <c r="CO296" i="3"/>
  <c r="DB296" i="3" s="1"/>
  <c r="BN297" i="3" l="1"/>
  <c r="O288" i="3"/>
  <c r="N288" i="3"/>
  <c r="CW296" i="3"/>
  <c r="BF297" i="3"/>
  <c r="BP297" i="3" s="1"/>
  <c r="AZ297" i="3"/>
  <c r="CD297" i="3"/>
  <c r="CG297" i="3" s="1"/>
  <c r="CC297" i="3"/>
  <c r="AV297" i="3"/>
  <c r="CE297" i="3" l="1"/>
  <c r="Q288" i="3"/>
  <c r="R288" i="3" s="1"/>
  <c r="AX297" i="3"/>
  <c r="AY297" i="3"/>
  <c r="CP297" i="3"/>
  <c r="CZ297" i="3" s="1"/>
  <c r="CJ297" i="3"/>
  <c r="BA297" i="3" l="1"/>
  <c r="BB297" i="3" s="1"/>
  <c r="X288" i="3"/>
  <c r="AA288" i="3" s="1"/>
  <c r="F289" i="3" s="1"/>
  <c r="W288" i="3"/>
  <c r="S288" i="3"/>
  <c r="AE288" i="3" s="1"/>
  <c r="CX297" i="3"/>
  <c r="CF297" i="3"/>
  <c r="CH297" i="3" l="1"/>
  <c r="CI297" i="3"/>
  <c r="AI288" i="3"/>
  <c r="Z288" i="3"/>
  <c r="E289" i="3" s="1"/>
  <c r="G289" i="3" s="1"/>
  <c r="T288" i="3"/>
  <c r="BH297" i="3"/>
  <c r="BK297" i="3" s="1"/>
  <c r="AP298" i="3" s="1"/>
  <c r="BG297" i="3"/>
  <c r="BC297" i="3"/>
  <c r="BO297" i="3" l="1"/>
  <c r="BD297" i="3"/>
  <c r="BJ297" i="3"/>
  <c r="AO298" i="3" s="1"/>
  <c r="AQ298" i="3" s="1"/>
  <c r="BS297" i="3"/>
  <c r="H289" i="3"/>
  <c r="AB288" i="3"/>
  <c r="AC288" i="3" s="1"/>
  <c r="U288" i="3"/>
  <c r="AH288" i="3" s="1"/>
  <c r="CK297" i="3"/>
  <c r="CL297" i="3" s="1"/>
  <c r="CR297" i="3" l="1"/>
  <c r="CU297" i="3" s="1"/>
  <c r="BZ298" i="3" s="1"/>
  <c r="CQ297" i="3"/>
  <c r="CM297" i="3"/>
  <c r="J289" i="3"/>
  <c r="M289" i="3" s="1"/>
  <c r="I289" i="3"/>
  <c r="AR298" i="3"/>
  <c r="AS298" i="3" s="1"/>
  <c r="BL297" i="3"/>
  <c r="BE297" i="3"/>
  <c r="BR297" i="3" s="1"/>
  <c r="AZ298" i="3" l="1"/>
  <c r="BF298" i="3"/>
  <c r="BP298" i="3" s="1"/>
  <c r="BM297" i="3"/>
  <c r="CT297" i="3"/>
  <c r="BY298" i="3" s="1"/>
  <c r="CA298" i="3" s="1"/>
  <c r="DC297" i="3"/>
  <c r="AT298" i="3"/>
  <c r="AW298" i="3" s="1"/>
  <c r="P289" i="3"/>
  <c r="V289" i="3"/>
  <c r="AF289" i="3" s="1"/>
  <c r="K289" i="3"/>
  <c r="CY297" i="3"/>
  <c r="CN297" i="3"/>
  <c r="AD289" i="3" l="1"/>
  <c r="L289" i="3"/>
  <c r="CB298" i="3"/>
  <c r="AU298" i="3"/>
  <c r="CV297" i="3"/>
  <c r="CO297" i="3"/>
  <c r="DB297" i="3" s="1"/>
  <c r="CD298" i="3" l="1"/>
  <c r="CG298" i="3" s="1"/>
  <c r="CW297" i="3"/>
  <c r="BN298" i="3"/>
  <c r="AV298" i="3"/>
  <c r="CC298" i="3"/>
  <c r="N289" i="3"/>
  <c r="O289" i="3"/>
  <c r="CJ298" i="3" l="1"/>
  <c r="CP298" i="3"/>
  <c r="CZ298" i="3" s="1"/>
  <c r="Q289" i="3"/>
  <c r="R289" i="3" s="1"/>
  <c r="AX298" i="3"/>
  <c r="AY298" i="3"/>
  <c r="CE298" i="3"/>
  <c r="BA298" i="3" l="1"/>
  <c r="BB298" i="3" s="1"/>
  <c r="CX298" i="3"/>
  <c r="CF298" i="3"/>
  <c r="X289" i="3"/>
  <c r="AA289" i="3" s="1"/>
  <c r="F290" i="3" s="1"/>
  <c r="W289" i="3"/>
  <c r="S289" i="3"/>
  <c r="AE289" i="3" s="1"/>
  <c r="Z289" i="3" l="1"/>
  <c r="E290" i="3" s="1"/>
  <c r="G290" i="3" s="1"/>
  <c r="AI289" i="3"/>
  <c r="T289" i="3"/>
  <c r="CH298" i="3"/>
  <c r="CI298" i="3"/>
  <c r="BH298" i="3"/>
  <c r="BK298" i="3" s="1"/>
  <c r="AP299" i="3" s="1"/>
  <c r="BG298" i="3"/>
  <c r="BC298" i="3"/>
  <c r="BO298" i="3" l="1"/>
  <c r="BS298" i="3"/>
  <c r="BJ298" i="3"/>
  <c r="AO299" i="3" s="1"/>
  <c r="AQ299" i="3" s="1"/>
  <c r="BD298" i="3"/>
  <c r="CK298" i="3"/>
  <c r="CL298" i="3" s="1"/>
  <c r="AB289" i="3"/>
  <c r="AC289" i="3" s="1"/>
  <c r="U289" i="3"/>
  <c r="AH289" i="3" s="1"/>
  <c r="H290" i="3"/>
  <c r="I290" i="3" s="1"/>
  <c r="V290" i="3" l="1"/>
  <c r="AF290" i="3" s="1"/>
  <c r="P290" i="3"/>
  <c r="AR299" i="3"/>
  <c r="J290" i="3"/>
  <c r="M290" i="3" s="1"/>
  <c r="CR298" i="3"/>
  <c r="CU298" i="3" s="1"/>
  <c r="BZ299" i="3" s="1"/>
  <c r="CQ298" i="3"/>
  <c r="CM298" i="3"/>
  <c r="BL298" i="3"/>
  <c r="BE298" i="3"/>
  <c r="BR298" i="3" s="1"/>
  <c r="BM298" i="3" l="1"/>
  <c r="K290" i="3"/>
  <c r="CY298" i="3"/>
  <c r="CT298" i="3"/>
  <c r="BY299" i="3" s="1"/>
  <c r="CA299" i="3" s="1"/>
  <c r="DC298" i="3"/>
  <c r="CN298" i="3"/>
  <c r="AT299" i="3"/>
  <c r="AW299" i="3" s="1"/>
  <c r="AS299" i="3"/>
  <c r="BF299" i="3" l="1"/>
  <c r="BP299" i="3" s="1"/>
  <c r="AZ299" i="3"/>
  <c r="AU299" i="3"/>
  <c r="CV298" i="3"/>
  <c r="CO298" i="3"/>
  <c r="DB298" i="3" s="1"/>
  <c r="CB299" i="3"/>
  <c r="AD290" i="3"/>
  <c r="L290" i="3"/>
  <c r="CD299" i="3" l="1"/>
  <c r="CG299" i="3" s="1"/>
  <c r="CC299" i="3"/>
  <c r="O290" i="3"/>
  <c r="N290" i="3"/>
  <c r="CW298" i="3"/>
  <c r="BN299" i="3"/>
  <c r="AV299" i="3"/>
  <c r="Q290" i="3" l="1"/>
  <c r="R290" i="3" s="1"/>
  <c r="CE299" i="3"/>
  <c r="AX299" i="3"/>
  <c r="AY299" i="3"/>
  <c r="CP299" i="3"/>
  <c r="CZ299" i="3" s="1"/>
  <c r="CJ299" i="3"/>
  <c r="BA299" i="3" l="1"/>
  <c r="BB299" i="3" s="1"/>
  <c r="CX299" i="3"/>
  <c r="CF299" i="3"/>
  <c r="X290" i="3"/>
  <c r="AA290" i="3" s="1"/>
  <c r="F291" i="3" s="1"/>
  <c r="W290" i="3"/>
  <c r="S290" i="3"/>
  <c r="AE290" i="3" s="1"/>
  <c r="Z290" i="3" l="1"/>
  <c r="E291" i="3" s="1"/>
  <c r="G291" i="3" s="1"/>
  <c r="AI290" i="3"/>
  <c r="T290" i="3"/>
  <c r="CH299" i="3"/>
  <c r="CI299" i="3"/>
  <c r="BH299" i="3"/>
  <c r="BK299" i="3" s="1"/>
  <c r="AP300" i="3" s="1"/>
  <c r="BG299" i="3"/>
  <c r="BC299" i="3"/>
  <c r="BO299" i="3" s="1"/>
  <c r="BJ299" i="3" l="1"/>
  <c r="AO300" i="3" s="1"/>
  <c r="AQ300" i="3" s="1"/>
  <c r="BS299" i="3"/>
  <c r="BD299" i="3"/>
  <c r="CK299" i="3"/>
  <c r="CL299" i="3" s="1"/>
  <c r="AB290" i="3"/>
  <c r="AC290" i="3" s="1"/>
  <c r="U290" i="3"/>
  <c r="AH290" i="3" s="1"/>
  <c r="H291" i="3"/>
  <c r="I291" i="3" s="1"/>
  <c r="P291" i="3" l="1"/>
  <c r="V291" i="3"/>
  <c r="AF291" i="3" s="1"/>
  <c r="BL299" i="3"/>
  <c r="BE299" i="3"/>
  <c r="BR299" i="3" s="1"/>
  <c r="J291" i="3"/>
  <c r="M291" i="3" s="1"/>
  <c r="CR299" i="3"/>
  <c r="CU299" i="3" s="1"/>
  <c r="BZ300" i="3" s="1"/>
  <c r="CQ299" i="3"/>
  <c r="CM299" i="3"/>
  <c r="AR300" i="3"/>
  <c r="CY299" i="3" l="1"/>
  <c r="CN299" i="3"/>
  <c r="AT300" i="3"/>
  <c r="AW300" i="3" s="1"/>
  <c r="AS300" i="3"/>
  <c r="CT299" i="3"/>
  <c r="BY300" i="3" s="1"/>
  <c r="CA300" i="3" s="1"/>
  <c r="DC299" i="3"/>
  <c r="K291" i="3"/>
  <c r="BM299" i="3"/>
  <c r="CB300" i="3" l="1"/>
  <c r="BF300" i="3"/>
  <c r="BP300" i="3" s="1"/>
  <c r="AZ300" i="3"/>
  <c r="AD291" i="3"/>
  <c r="L291" i="3"/>
  <c r="AU300" i="3"/>
  <c r="CV299" i="3"/>
  <c r="CO299" i="3"/>
  <c r="DB299" i="3" s="1"/>
  <c r="CW299" i="3" l="1"/>
  <c r="N291" i="3"/>
  <c r="O291" i="3"/>
  <c r="BN300" i="3"/>
  <c r="AV300" i="3"/>
  <c r="CD300" i="3"/>
  <c r="CG300" i="3" s="1"/>
  <c r="CC300" i="3"/>
  <c r="CP300" i="3" l="1"/>
  <c r="CZ300" i="3" s="1"/>
  <c r="CJ300" i="3"/>
  <c r="AX300" i="3"/>
  <c r="AY300" i="3"/>
  <c r="CE300" i="3"/>
  <c r="Q291" i="3"/>
  <c r="R291" i="3" s="1"/>
  <c r="X291" i="3" l="1"/>
  <c r="AA291" i="3" s="1"/>
  <c r="F292" i="3" s="1"/>
  <c r="W291" i="3"/>
  <c r="S291" i="3"/>
  <c r="AE291" i="3" s="1"/>
  <c r="BA300" i="3"/>
  <c r="BB300" i="3" s="1"/>
  <c r="CX300" i="3"/>
  <c r="CF300" i="3"/>
  <c r="T291" i="3" l="1"/>
  <c r="CH300" i="3"/>
  <c r="CI300" i="3"/>
  <c r="BH300" i="3"/>
  <c r="BK300" i="3" s="1"/>
  <c r="AP301" i="3" s="1"/>
  <c r="BG300" i="3"/>
  <c r="BC300" i="3"/>
  <c r="BO300" i="3" s="1"/>
  <c r="AI291" i="3"/>
  <c r="Z291" i="3"/>
  <c r="E292" i="3" s="1"/>
  <c r="G292" i="3" s="1"/>
  <c r="H292" i="3" l="1"/>
  <c r="I292" i="3"/>
  <c r="BS300" i="3"/>
  <c r="BJ300" i="3"/>
  <c r="AO301" i="3" s="1"/>
  <c r="AQ301" i="3" s="1"/>
  <c r="BD300" i="3"/>
  <c r="CK300" i="3"/>
  <c r="CL300" i="3" s="1"/>
  <c r="AB291" i="3"/>
  <c r="AC291" i="3" s="1"/>
  <c r="U291" i="3"/>
  <c r="AH291" i="3" s="1"/>
  <c r="AR301" i="3" l="1"/>
  <c r="CR300" i="3"/>
  <c r="CU300" i="3" s="1"/>
  <c r="BZ301" i="3" s="1"/>
  <c r="CQ300" i="3"/>
  <c r="CM300" i="3"/>
  <c r="CY300" i="3" s="1"/>
  <c r="BL300" i="3"/>
  <c r="BE300" i="3"/>
  <c r="BR300" i="3" s="1"/>
  <c r="V292" i="3"/>
  <c r="AF292" i="3" s="1"/>
  <c r="P292" i="3"/>
  <c r="J292" i="3"/>
  <c r="M292" i="3" s="1"/>
  <c r="K292" i="3" l="1"/>
  <c r="BM300" i="3"/>
  <c r="DC300" i="3"/>
  <c r="CT300" i="3"/>
  <c r="BY301" i="3" s="1"/>
  <c r="CA301" i="3" s="1"/>
  <c r="CN300" i="3"/>
  <c r="AT301" i="3"/>
  <c r="AW301" i="3" s="1"/>
  <c r="AS301" i="3"/>
  <c r="CB301" i="3" l="1"/>
  <c r="AZ301" i="3"/>
  <c r="BF301" i="3"/>
  <c r="BP301" i="3" s="1"/>
  <c r="AU301" i="3"/>
  <c r="CV300" i="3"/>
  <c r="CW300" i="3" s="1"/>
  <c r="CO300" i="3"/>
  <c r="DB300" i="3" s="1"/>
  <c r="AD292" i="3"/>
  <c r="L292" i="3"/>
  <c r="O292" i="3" l="1"/>
  <c r="N292" i="3"/>
  <c r="BN301" i="3"/>
  <c r="AV301" i="3"/>
  <c r="CD301" i="3"/>
  <c r="CG301" i="3" s="1"/>
  <c r="CE301" i="3"/>
  <c r="CX301" i="3" s="1"/>
  <c r="CC301" i="3"/>
  <c r="CF301" i="3" l="1"/>
  <c r="CJ301" i="3"/>
  <c r="CP301" i="3"/>
  <c r="CZ301" i="3" s="1"/>
  <c r="AX301" i="3"/>
  <c r="AY301" i="3"/>
  <c r="Q292" i="3"/>
  <c r="R292" i="3" s="1"/>
  <c r="X292" i="3" l="1"/>
  <c r="AA292" i="3" s="1"/>
  <c r="F293" i="3" s="1"/>
  <c r="W292" i="3"/>
  <c r="S292" i="3"/>
  <c r="AE292" i="3" s="1"/>
  <c r="BA301" i="3"/>
  <c r="BB301" i="3" s="1"/>
  <c r="CH301" i="3"/>
  <c r="CI301" i="3"/>
  <c r="CK301" i="3" l="1"/>
  <c r="CL301" i="3" s="1"/>
  <c r="BH301" i="3"/>
  <c r="BK301" i="3" s="1"/>
  <c r="AP302" i="3" s="1"/>
  <c r="BG301" i="3"/>
  <c r="BC301" i="3"/>
  <c r="BO301" i="3" s="1"/>
  <c r="T292" i="3"/>
  <c r="Z292" i="3"/>
  <c r="E293" i="3" s="1"/>
  <c r="G293" i="3" s="1"/>
  <c r="AI292" i="3"/>
  <c r="H293" i="3" l="1"/>
  <c r="AB292" i="3"/>
  <c r="AC292" i="3" s="1"/>
  <c r="U292" i="3"/>
  <c r="AH292" i="3" s="1"/>
  <c r="BJ301" i="3"/>
  <c r="AO302" i="3" s="1"/>
  <c r="AQ302" i="3" s="1"/>
  <c r="BS301" i="3"/>
  <c r="BD301" i="3"/>
  <c r="CR301" i="3"/>
  <c r="CU301" i="3" s="1"/>
  <c r="BZ302" i="3" s="1"/>
  <c r="CQ301" i="3"/>
  <c r="CM301" i="3"/>
  <c r="CY301" i="3" s="1"/>
  <c r="DC301" i="3" l="1"/>
  <c r="CT301" i="3"/>
  <c r="BY302" i="3" s="1"/>
  <c r="CA302" i="3" s="1"/>
  <c r="CN301" i="3"/>
  <c r="BL301" i="3"/>
  <c r="BM301" i="3" s="1"/>
  <c r="BE301" i="3"/>
  <c r="BR301" i="3" s="1"/>
  <c r="AR302" i="3"/>
  <c r="J293" i="3"/>
  <c r="M293" i="3" s="1"/>
  <c r="I293" i="3"/>
  <c r="K293" i="3" l="1"/>
  <c r="CV301" i="3"/>
  <c r="CW301" i="3" s="1"/>
  <c r="CO301" i="3"/>
  <c r="DB301" i="3" s="1"/>
  <c r="P293" i="3"/>
  <c r="V293" i="3"/>
  <c r="AF293" i="3" s="1"/>
  <c r="AT302" i="3"/>
  <c r="AW302" i="3" s="1"/>
  <c r="AS302" i="3"/>
  <c r="CB302" i="3"/>
  <c r="BF302" i="3" l="1"/>
  <c r="BP302" i="3" s="1"/>
  <c r="AZ302" i="3"/>
  <c r="CD302" i="3"/>
  <c r="CG302" i="3" s="1"/>
  <c r="CC302" i="3"/>
  <c r="AU302" i="3"/>
  <c r="AD293" i="3"/>
  <c r="L293" i="3"/>
  <c r="N293" i="3" l="1"/>
  <c r="O293" i="3"/>
  <c r="BN302" i="3"/>
  <c r="AV302" i="3"/>
  <c r="CP302" i="3"/>
  <c r="CZ302" i="3" s="1"/>
  <c r="CJ302" i="3"/>
  <c r="CE302" i="3"/>
  <c r="CX302" i="3" l="1"/>
  <c r="CF302" i="3"/>
  <c r="AX302" i="3"/>
  <c r="AY302" i="3"/>
  <c r="Q293" i="3"/>
  <c r="R293" i="3" s="1"/>
  <c r="X293" i="3" l="1"/>
  <c r="AA293" i="3" s="1"/>
  <c r="F294" i="3" s="1"/>
  <c r="W293" i="3"/>
  <c r="S293" i="3"/>
  <c r="AE293" i="3" s="1"/>
  <c r="BA302" i="3"/>
  <c r="BB302" i="3" s="1"/>
  <c r="CH302" i="3"/>
  <c r="CI302" i="3"/>
  <c r="BH302" i="3" l="1"/>
  <c r="BK302" i="3" s="1"/>
  <c r="AP303" i="3" s="1"/>
  <c r="BG302" i="3"/>
  <c r="BC302" i="3"/>
  <c r="BO302" i="3" s="1"/>
  <c r="AI293" i="3"/>
  <c r="Z293" i="3"/>
  <c r="E294" i="3" s="1"/>
  <c r="G294" i="3" s="1"/>
  <c r="CK302" i="3"/>
  <c r="CL302" i="3" s="1"/>
  <c r="T293" i="3"/>
  <c r="AB293" i="3" l="1"/>
  <c r="AC293" i="3" s="1"/>
  <c r="U293" i="3"/>
  <c r="AH293" i="3" s="1"/>
  <c r="BD302" i="3"/>
  <c r="CR302" i="3"/>
  <c r="CU302" i="3" s="1"/>
  <c r="BZ303" i="3" s="1"/>
  <c r="CQ302" i="3"/>
  <c r="CM302" i="3"/>
  <c r="CY302" i="3" s="1"/>
  <c r="H294" i="3"/>
  <c r="BJ302" i="3"/>
  <c r="AO303" i="3" s="1"/>
  <c r="AQ303" i="3" s="1"/>
  <c r="BS302" i="3"/>
  <c r="J294" i="3" l="1"/>
  <c r="M294" i="3" s="1"/>
  <c r="I294" i="3"/>
  <c r="CN302" i="3"/>
  <c r="AR303" i="3"/>
  <c r="DC302" i="3"/>
  <c r="CT302" i="3"/>
  <c r="BY303" i="3" s="1"/>
  <c r="CA303" i="3" s="1"/>
  <c r="BL302" i="3"/>
  <c r="BM302" i="3" s="1"/>
  <c r="BE302" i="3"/>
  <c r="BR302" i="3" s="1"/>
  <c r="AT303" i="3" l="1"/>
  <c r="AW303" i="3" s="1"/>
  <c r="CB303" i="3"/>
  <c r="AS303" i="3"/>
  <c r="CV302" i="3"/>
  <c r="CW302" i="3" s="1"/>
  <c r="CO302" i="3"/>
  <c r="DB302" i="3" s="1"/>
  <c r="P294" i="3"/>
  <c r="V294" i="3"/>
  <c r="AF294" i="3" s="1"/>
  <c r="K294" i="3"/>
  <c r="AD294" i="3" l="1"/>
  <c r="L294" i="3"/>
  <c r="BF303" i="3"/>
  <c r="BP303" i="3" s="1"/>
  <c r="AZ303" i="3"/>
  <c r="CD303" i="3"/>
  <c r="CG303" i="3" s="1"/>
  <c r="CC303" i="3"/>
  <c r="AU303" i="3"/>
  <c r="CJ303" i="3" l="1"/>
  <c r="CP303" i="3"/>
  <c r="CZ303" i="3" s="1"/>
  <c r="BN303" i="3"/>
  <c r="AV303" i="3"/>
  <c r="CE303" i="3"/>
  <c r="N294" i="3"/>
  <c r="O294" i="3"/>
  <c r="Q294" i="3" l="1"/>
  <c r="R294" i="3" s="1"/>
  <c r="CX303" i="3"/>
  <c r="CF303" i="3"/>
  <c r="AX303" i="3"/>
  <c r="AY303" i="3"/>
  <c r="BA303" i="3" l="1"/>
  <c r="BB303" i="3" s="1"/>
  <c r="CH303" i="3"/>
  <c r="CI303" i="3"/>
  <c r="X294" i="3"/>
  <c r="AA294" i="3" s="1"/>
  <c r="F295" i="3" s="1"/>
  <c r="W294" i="3"/>
  <c r="S294" i="3"/>
  <c r="AE294" i="3" s="1"/>
  <c r="Z294" i="3" l="1"/>
  <c r="E295" i="3" s="1"/>
  <c r="G295" i="3" s="1"/>
  <c r="AI294" i="3"/>
  <c r="T294" i="3"/>
  <c r="CK303" i="3"/>
  <c r="CL303" i="3" s="1"/>
  <c r="BH303" i="3"/>
  <c r="BK303" i="3" s="1"/>
  <c r="AP304" i="3" s="1"/>
  <c r="BG303" i="3"/>
  <c r="BC303" i="3"/>
  <c r="BO303" i="3" s="1"/>
  <c r="BD303" i="3" l="1"/>
  <c r="BS303" i="3"/>
  <c r="BJ303" i="3"/>
  <c r="AO304" i="3" s="1"/>
  <c r="AQ304" i="3" s="1"/>
  <c r="CR303" i="3"/>
  <c r="CU303" i="3" s="1"/>
  <c r="BZ304" i="3" s="1"/>
  <c r="CQ303" i="3"/>
  <c r="CM303" i="3"/>
  <c r="CY303" i="3" s="1"/>
  <c r="AB294" i="3"/>
  <c r="AC294" i="3" s="1"/>
  <c r="U294" i="3"/>
  <c r="AH294" i="3" s="1"/>
  <c r="H295" i="3"/>
  <c r="AR304" i="3" l="1"/>
  <c r="J295" i="3"/>
  <c r="M295" i="3" s="1"/>
  <c r="I295" i="3"/>
  <c r="DC303" i="3"/>
  <c r="CT303" i="3"/>
  <c r="BY304" i="3" s="1"/>
  <c r="CA304" i="3" s="1"/>
  <c r="CN303" i="3"/>
  <c r="BL303" i="3"/>
  <c r="BM303" i="3" s="1"/>
  <c r="BE303" i="3"/>
  <c r="BR303" i="3" s="1"/>
  <c r="CV303" i="3" l="1"/>
  <c r="CW303" i="3" s="1"/>
  <c r="CO303" i="3"/>
  <c r="DB303" i="3" s="1"/>
  <c r="V295" i="3"/>
  <c r="AF295" i="3" s="1"/>
  <c r="P295" i="3"/>
  <c r="CB304" i="3"/>
  <c r="CC304" i="3" s="1"/>
  <c r="K295" i="3"/>
  <c r="AT304" i="3"/>
  <c r="AW304" i="3" s="1"/>
  <c r="AS304" i="3"/>
  <c r="CP304" i="3" l="1"/>
  <c r="CZ304" i="3" s="1"/>
  <c r="CJ304" i="3"/>
  <c r="AD295" i="3"/>
  <c r="L295" i="3"/>
  <c r="AZ304" i="3"/>
  <c r="BF304" i="3"/>
  <c r="BP304" i="3" s="1"/>
  <c r="AU304" i="3"/>
  <c r="CD304" i="3"/>
  <c r="CG304" i="3" s="1"/>
  <c r="J26" i="3"/>
  <c r="CE304" i="3" l="1"/>
  <c r="BN304" i="3"/>
  <c r="AV304" i="3"/>
  <c r="O295" i="3"/>
  <c r="N295" i="3"/>
  <c r="Q295" i="3" l="1"/>
  <c r="R295" i="3" s="1"/>
  <c r="AX304" i="3"/>
  <c r="AY304" i="3"/>
  <c r="CX304" i="3"/>
  <c r="CF304" i="3"/>
  <c r="CH304" i="3" l="1"/>
  <c r="CI304" i="3"/>
  <c r="BA304" i="3"/>
  <c r="BB304" i="3" s="1"/>
  <c r="X295" i="3"/>
  <c r="AA295" i="3" s="1"/>
  <c r="W295" i="3"/>
  <c r="S295" i="3"/>
  <c r="AE295" i="3" s="1"/>
  <c r="F37" i="5" l="1"/>
  <c r="Y295" i="3"/>
  <c r="Z295" i="3" s="1"/>
  <c r="AI295" i="3"/>
  <c r="CK304" i="3"/>
  <c r="CL304" i="3" s="1"/>
  <c r="F296" i="3"/>
  <c r="C26" i="3"/>
  <c r="T295" i="3"/>
  <c r="BH304" i="3"/>
  <c r="BK304" i="3" s="1"/>
  <c r="AP305" i="3" s="1"/>
  <c r="BG304" i="3"/>
  <c r="BC304" i="3"/>
  <c r="BO304" i="3" s="1"/>
  <c r="B37" i="5" l="1"/>
  <c r="E296" i="3"/>
  <c r="G296" i="3" s="1"/>
  <c r="B26" i="3"/>
  <c r="D26" i="3" s="1"/>
  <c r="BS304" i="3"/>
  <c r="BJ304" i="3"/>
  <c r="AO305" i="3" s="1"/>
  <c r="AQ305" i="3" s="1"/>
  <c r="BD304" i="3"/>
  <c r="AB295" i="3"/>
  <c r="AC295" i="3" s="1"/>
  <c r="U295" i="3"/>
  <c r="AH295" i="3" s="1"/>
  <c r="CR304" i="3"/>
  <c r="CU304" i="3" s="1"/>
  <c r="BZ305" i="3" s="1"/>
  <c r="CQ304" i="3"/>
  <c r="CM304" i="3"/>
  <c r="CY304" i="3" s="1"/>
  <c r="I26" i="3"/>
  <c r="AG295" i="3"/>
  <c r="AG296" i="3" s="1"/>
  <c r="AG297" i="3" s="1"/>
  <c r="AG298" i="3" s="1"/>
  <c r="AG299" i="3" s="1"/>
  <c r="AG300" i="3" s="1"/>
  <c r="AG301" i="3" s="1"/>
  <c r="AG302" i="3" s="1"/>
  <c r="AG303" i="3" s="1"/>
  <c r="AG304" i="3" s="1"/>
  <c r="AG305" i="3" s="1"/>
  <c r="AG306" i="3" s="1"/>
  <c r="CT304" i="3" l="1"/>
  <c r="BY305" i="3" s="1"/>
  <c r="CA305" i="3" s="1"/>
  <c r="DC304" i="3"/>
  <c r="BL304" i="3"/>
  <c r="BM304" i="3" s="1"/>
  <c r="BE304" i="3"/>
  <c r="BR304" i="3" s="1"/>
  <c r="AR305" i="3"/>
  <c r="H296" i="3"/>
  <c r="I296" i="3" s="1"/>
  <c r="CN304" i="3"/>
  <c r="P296" i="3" l="1"/>
  <c r="V296" i="3"/>
  <c r="AF296" i="3" s="1"/>
  <c r="J296" i="3"/>
  <c r="M296" i="3" s="1"/>
  <c r="CV304" i="3"/>
  <c r="CW304" i="3" s="1"/>
  <c r="CO304" i="3"/>
  <c r="DB304" i="3" s="1"/>
  <c r="AT305" i="3"/>
  <c r="AW305" i="3" s="1"/>
  <c r="AS305" i="3"/>
  <c r="CB305" i="3"/>
  <c r="CC305" i="3" s="1"/>
  <c r="CP305" i="3" l="1"/>
  <c r="CZ305" i="3" s="1"/>
  <c r="CJ305" i="3"/>
  <c r="K296" i="3"/>
  <c r="AZ305" i="3"/>
  <c r="BF305" i="3"/>
  <c r="BP305" i="3" s="1"/>
  <c r="AU305" i="3"/>
  <c r="CD305" i="3"/>
  <c r="CG305" i="3" s="1"/>
  <c r="CE305" i="3" l="1"/>
  <c r="BN305" i="3"/>
  <c r="AV305" i="3"/>
  <c r="AD296" i="3"/>
  <c r="L296" i="3"/>
  <c r="N296" i="3" l="1"/>
  <c r="O296" i="3"/>
  <c r="AX305" i="3"/>
  <c r="AY305" i="3"/>
  <c r="CX305" i="3"/>
  <c r="CF305" i="3"/>
  <c r="CH305" i="3" l="1"/>
  <c r="CI305" i="3"/>
  <c r="BA305" i="3"/>
  <c r="BB305" i="3" s="1"/>
  <c r="Q296" i="3"/>
  <c r="R296" i="3" s="1"/>
  <c r="CK305" i="3" l="1"/>
  <c r="CL305" i="3" s="1"/>
  <c r="X296" i="3"/>
  <c r="AA296" i="3" s="1"/>
  <c r="F297" i="3" s="1"/>
  <c r="W296" i="3"/>
  <c r="S296" i="3"/>
  <c r="T296" i="3" s="1"/>
  <c r="BH305" i="3"/>
  <c r="BK305" i="3" s="1"/>
  <c r="AP306" i="3" s="1"/>
  <c r="BG305" i="3"/>
  <c r="BC305" i="3"/>
  <c r="BO305" i="3" s="1"/>
  <c r="AB296" i="3" l="1"/>
  <c r="U296" i="3"/>
  <c r="AH296" i="3" s="1"/>
  <c r="AI296" i="3"/>
  <c r="Z296" i="3"/>
  <c r="E297" i="3" s="1"/>
  <c r="G297" i="3" s="1"/>
  <c r="BJ305" i="3"/>
  <c r="AO306" i="3" s="1"/>
  <c r="AQ306" i="3" s="1"/>
  <c r="BS305" i="3"/>
  <c r="BD305" i="3"/>
  <c r="AE296" i="3"/>
  <c r="CR305" i="3"/>
  <c r="CU305" i="3" s="1"/>
  <c r="BZ306" i="3" s="1"/>
  <c r="CQ305" i="3"/>
  <c r="CM305" i="3"/>
  <c r="CY305" i="3" s="1"/>
  <c r="BL305" i="3" l="1"/>
  <c r="BM305" i="3" s="1"/>
  <c r="BE305" i="3"/>
  <c r="BR305" i="3" s="1"/>
  <c r="DC305" i="3"/>
  <c r="CT305" i="3"/>
  <c r="BY306" i="3" s="1"/>
  <c r="CA306" i="3" s="1"/>
  <c r="CN305" i="3"/>
  <c r="AR306" i="3"/>
  <c r="H297" i="3"/>
  <c r="AC296" i="3"/>
  <c r="AT306" i="3" l="1"/>
  <c r="AW306" i="3" s="1"/>
  <c r="AU306" i="3"/>
  <c r="BN306" i="3" s="1"/>
  <c r="J297" i="3"/>
  <c r="M297" i="3" s="1"/>
  <c r="CV305" i="3"/>
  <c r="CW305" i="3" s="1"/>
  <c r="CO305" i="3"/>
  <c r="DB305" i="3" s="1"/>
  <c r="I297" i="3"/>
  <c r="AS306" i="3"/>
  <c r="CB306" i="3"/>
  <c r="CC306" i="3" s="1"/>
  <c r="CP306" i="3" l="1"/>
  <c r="CZ306" i="3" s="1"/>
  <c r="CJ306" i="3"/>
  <c r="CD306" i="3"/>
  <c r="CG306" i="3" s="1"/>
  <c r="P297" i="3"/>
  <c r="V297" i="3"/>
  <c r="AF297" i="3" s="1"/>
  <c r="AZ306" i="3"/>
  <c r="BF306" i="3"/>
  <c r="BP306" i="3" s="1"/>
  <c r="K297" i="3"/>
  <c r="AV306" i="3"/>
  <c r="AD297" i="3" l="1"/>
  <c r="L297" i="3"/>
  <c r="CE306" i="3"/>
  <c r="AX306" i="3"/>
  <c r="AY306" i="3"/>
  <c r="CX306" i="3" l="1"/>
  <c r="CF306" i="3"/>
  <c r="BA306" i="3"/>
  <c r="BB306" i="3" s="1"/>
  <c r="N297" i="3"/>
  <c r="O297" i="3"/>
  <c r="Q297" i="3" l="1"/>
  <c r="R297" i="3" s="1"/>
  <c r="BH306" i="3"/>
  <c r="BK306" i="3" s="1"/>
  <c r="AP307" i="3" s="1"/>
  <c r="BG306" i="3"/>
  <c r="BC306" i="3"/>
  <c r="BO306" i="3" s="1"/>
  <c r="CH306" i="3"/>
  <c r="CI306" i="3"/>
  <c r="BJ306" i="3" l="1"/>
  <c r="AO307" i="3" s="1"/>
  <c r="AQ307" i="3" s="1"/>
  <c r="BS306" i="3"/>
  <c r="BD306" i="3"/>
  <c r="CK306" i="3"/>
  <c r="CL306" i="3" s="1"/>
  <c r="X297" i="3"/>
  <c r="AA297" i="3" s="1"/>
  <c r="F298" i="3" s="1"/>
  <c r="W297" i="3"/>
  <c r="S297" i="3"/>
  <c r="T297" i="3" s="1"/>
  <c r="AB297" i="3" l="1"/>
  <c r="U297" i="3"/>
  <c r="AH297" i="3" s="1"/>
  <c r="Z297" i="3"/>
  <c r="E298" i="3" s="1"/>
  <c r="G298" i="3" s="1"/>
  <c r="AI297" i="3"/>
  <c r="CR306" i="3"/>
  <c r="CU306" i="3" s="1"/>
  <c r="BZ307" i="3" s="1"/>
  <c r="CQ306" i="3"/>
  <c r="CM306" i="3"/>
  <c r="CY306" i="3" s="1"/>
  <c r="AE297" i="3"/>
  <c r="BL306" i="3"/>
  <c r="BM306" i="3" s="1"/>
  <c r="BE306" i="3"/>
  <c r="BR306" i="3" s="1"/>
  <c r="AR307" i="3"/>
  <c r="AT307" i="3" l="1"/>
  <c r="AW307" i="3" s="1"/>
  <c r="AS307" i="3"/>
  <c r="DC306" i="3"/>
  <c r="CT306" i="3"/>
  <c r="BY307" i="3" s="1"/>
  <c r="CA307" i="3" s="1"/>
  <c r="CN306" i="3"/>
  <c r="H298" i="3"/>
  <c r="AC297" i="3"/>
  <c r="CV306" i="3" l="1"/>
  <c r="CW306" i="3" s="1"/>
  <c r="CO306" i="3"/>
  <c r="DB306" i="3" s="1"/>
  <c r="J298" i="3"/>
  <c r="M298" i="3" s="1"/>
  <c r="I298" i="3"/>
  <c r="CB307" i="3"/>
  <c r="BF307" i="3"/>
  <c r="BP307" i="3" s="1"/>
  <c r="AZ307" i="3"/>
  <c r="AU307" i="3"/>
  <c r="V298" i="3" l="1"/>
  <c r="AF298" i="3" s="1"/>
  <c r="P298" i="3"/>
  <c r="BN307" i="3"/>
  <c r="AV307" i="3"/>
  <c r="W27" i="3"/>
  <c r="CD307" i="3"/>
  <c r="CG307" i="3" s="1"/>
  <c r="CC307" i="3"/>
  <c r="K298" i="3"/>
  <c r="AD298" i="3" l="1"/>
  <c r="L298" i="3"/>
  <c r="CJ307" i="3"/>
  <c r="CP307" i="3"/>
  <c r="CZ307" i="3" s="1"/>
  <c r="CE307" i="3"/>
  <c r="AY307" i="3"/>
  <c r="AX307" i="3"/>
  <c r="AJ27" i="3" l="1"/>
  <c r="BA307" i="3"/>
  <c r="BB307" i="3" s="1"/>
  <c r="CX307" i="3"/>
  <c r="CF307" i="3"/>
  <c r="N298" i="3"/>
  <c r="O298" i="3"/>
  <c r="Q298" i="3" l="1"/>
  <c r="R298" i="3" s="1"/>
  <c r="CH307" i="3"/>
  <c r="CI307" i="3"/>
  <c r="BH307" i="3"/>
  <c r="BK307" i="3" s="1"/>
  <c r="BG307" i="3"/>
  <c r="BC307" i="3"/>
  <c r="BO307" i="3" s="1"/>
  <c r="G38" i="5" l="1"/>
  <c r="CK307" i="3"/>
  <c r="CL307" i="3" s="1"/>
  <c r="BS307" i="3"/>
  <c r="BI307" i="3"/>
  <c r="BD307" i="3"/>
  <c r="AP308" i="3"/>
  <c r="P27" i="3"/>
  <c r="X298" i="3"/>
  <c r="AA298" i="3" s="1"/>
  <c r="F299" i="3" s="1"/>
  <c r="W298" i="3"/>
  <c r="S298" i="3"/>
  <c r="AE298" i="3" l="1"/>
  <c r="AI298" i="3"/>
  <c r="Z298" i="3"/>
  <c r="E299" i="3" s="1"/>
  <c r="G299" i="3" s="1"/>
  <c r="T298" i="3"/>
  <c r="BL307" i="3"/>
  <c r="BM307" i="3" s="1"/>
  <c r="BE307" i="3"/>
  <c r="BR307" i="3" s="1"/>
  <c r="CR307" i="3"/>
  <c r="CU307" i="3" s="1"/>
  <c r="CQ307" i="3"/>
  <c r="CM307" i="3"/>
  <c r="CY307" i="3" s="1"/>
  <c r="V27" i="3"/>
  <c r="BQ307" i="3"/>
  <c r="BQ308" i="3" s="1"/>
  <c r="BQ309" i="3" s="1"/>
  <c r="BQ310" i="3" s="1"/>
  <c r="BQ311" i="3" s="1"/>
  <c r="BQ312" i="3" s="1"/>
  <c r="BQ313" i="3" s="1"/>
  <c r="BQ314" i="3" s="1"/>
  <c r="BQ315" i="3" s="1"/>
  <c r="BQ316" i="3" s="1"/>
  <c r="BQ317" i="3" s="1"/>
  <c r="BQ318" i="3" s="1"/>
  <c r="BJ307" i="3"/>
  <c r="DC307" i="3" l="1"/>
  <c r="CS307" i="3"/>
  <c r="CT307" i="3" s="1"/>
  <c r="C38" i="5"/>
  <c r="AO308" i="3"/>
  <c r="AQ308" i="3" s="1"/>
  <c r="O27" i="3"/>
  <c r="Q27" i="3" s="1"/>
  <c r="H38" i="5"/>
  <c r="AB298" i="3"/>
  <c r="U298" i="3"/>
  <c r="AH298" i="3" s="1"/>
  <c r="BZ308" i="3"/>
  <c r="AC27" i="3"/>
  <c r="CN307" i="3"/>
  <c r="H299" i="3"/>
  <c r="AC298" i="3" l="1"/>
  <c r="J299" i="3"/>
  <c r="M299" i="3" s="1"/>
  <c r="CV307" i="3"/>
  <c r="CW307" i="3" s="1"/>
  <c r="CO307" i="3"/>
  <c r="DB307" i="3" s="1"/>
  <c r="AR308" i="3"/>
  <c r="D38" i="5"/>
  <c r="BY308" i="3"/>
  <c r="CA308" i="3" s="1"/>
  <c r="AB27" i="3"/>
  <c r="AD27" i="3" s="1"/>
  <c r="AI27" i="3"/>
  <c r="DA307" i="3"/>
  <c r="DA308" i="3" s="1"/>
  <c r="DA309" i="3" s="1"/>
  <c r="DA310" i="3" s="1"/>
  <c r="DA311" i="3" s="1"/>
  <c r="DA312" i="3" s="1"/>
  <c r="DA313" i="3" s="1"/>
  <c r="DA314" i="3" s="1"/>
  <c r="DA315" i="3" s="1"/>
  <c r="DA316" i="3" s="1"/>
  <c r="DA317" i="3" s="1"/>
  <c r="DA318" i="3" s="1"/>
  <c r="I299" i="3"/>
  <c r="CB308" i="3" l="1"/>
  <c r="AT308" i="3"/>
  <c r="AW308" i="3" s="1"/>
  <c r="AS308" i="3"/>
  <c r="K299" i="3"/>
  <c r="V299" i="3"/>
  <c r="AF299" i="3" s="1"/>
  <c r="P299" i="3"/>
  <c r="AU308" i="3" l="1"/>
  <c r="AD299" i="3"/>
  <c r="L299" i="3"/>
  <c r="AZ308" i="3"/>
  <c r="BF308" i="3"/>
  <c r="BP308" i="3" s="1"/>
  <c r="BN308" i="3"/>
  <c r="AV308" i="3"/>
  <c r="CD308" i="3"/>
  <c r="CG308" i="3" s="1"/>
  <c r="CC308" i="3"/>
  <c r="CE308" i="3" l="1"/>
  <c r="AX308" i="3"/>
  <c r="AY308" i="3"/>
  <c r="CP308" i="3"/>
  <c r="CZ308" i="3" s="1"/>
  <c r="CJ308" i="3"/>
  <c r="CX308" i="3"/>
  <c r="CF308" i="3"/>
  <c r="N299" i="3"/>
  <c r="O299" i="3"/>
  <c r="Q299" i="3" l="1"/>
  <c r="R299" i="3" s="1"/>
  <c r="CH308" i="3"/>
  <c r="CI308" i="3"/>
  <c r="BA308" i="3"/>
  <c r="BB308" i="3" s="1"/>
  <c r="BH308" i="3" l="1"/>
  <c r="BK308" i="3" s="1"/>
  <c r="AP309" i="3" s="1"/>
  <c r="BG308" i="3"/>
  <c r="BC308" i="3"/>
  <c r="CK308" i="3"/>
  <c r="CL308" i="3" s="1"/>
  <c r="X299" i="3"/>
  <c r="AA299" i="3" s="1"/>
  <c r="F300" i="3" s="1"/>
  <c r="W299" i="3"/>
  <c r="S299" i="3"/>
  <c r="AE299" i="3" l="1"/>
  <c r="T299" i="3"/>
  <c r="BO308" i="3"/>
  <c r="BD308" i="3"/>
  <c r="Z299" i="3"/>
  <c r="E300" i="3" s="1"/>
  <c r="G300" i="3" s="1"/>
  <c r="AI299" i="3"/>
  <c r="CR308" i="3"/>
  <c r="CU308" i="3" s="1"/>
  <c r="BZ309" i="3" s="1"/>
  <c r="CQ308" i="3"/>
  <c r="CM308" i="3"/>
  <c r="BS308" i="3"/>
  <c r="BJ308" i="3"/>
  <c r="AO309" i="3" s="1"/>
  <c r="AQ309" i="3" s="1"/>
  <c r="AR309" i="3" l="1"/>
  <c r="AS309" i="3"/>
  <c r="CY308" i="3"/>
  <c r="CT308" i="3"/>
  <c r="BY309" i="3" s="1"/>
  <c r="CA309" i="3" s="1"/>
  <c r="DC308" i="3"/>
  <c r="CN308" i="3"/>
  <c r="H300" i="3"/>
  <c r="I300" i="3"/>
  <c r="BL308" i="3"/>
  <c r="BE308" i="3"/>
  <c r="BR308" i="3" s="1"/>
  <c r="AB299" i="3"/>
  <c r="U299" i="3"/>
  <c r="AH299" i="3" s="1"/>
  <c r="V300" i="3" l="1"/>
  <c r="AF300" i="3" s="1"/>
  <c r="P300" i="3"/>
  <c r="AC299" i="3"/>
  <c r="BM308" i="3"/>
  <c r="J300" i="3"/>
  <c r="M300" i="3" s="1"/>
  <c r="CV308" i="3"/>
  <c r="CO308" i="3"/>
  <c r="DB308" i="3" s="1"/>
  <c r="CB309" i="3"/>
  <c r="CC309" i="3"/>
  <c r="BF309" i="3"/>
  <c r="BP309" i="3" s="1"/>
  <c r="AZ309" i="3"/>
  <c r="AT309" i="3"/>
  <c r="AW309" i="3" s="1"/>
  <c r="CP309" i="3" l="1"/>
  <c r="CZ309" i="3" s="1"/>
  <c r="CJ309" i="3"/>
  <c r="CD309" i="3"/>
  <c r="CG309" i="3" s="1"/>
  <c r="CW308" i="3"/>
  <c r="K300" i="3"/>
  <c r="AU309" i="3"/>
  <c r="BN309" i="3" l="1"/>
  <c r="AV309" i="3"/>
  <c r="AD300" i="3"/>
  <c r="L300" i="3"/>
  <c r="CE309" i="3"/>
  <c r="N300" i="3" l="1"/>
  <c r="O300" i="3"/>
  <c r="CX309" i="3"/>
  <c r="CF309" i="3"/>
  <c r="AX309" i="3"/>
  <c r="AY309" i="3"/>
  <c r="BA309" i="3" l="1"/>
  <c r="BB309" i="3" s="1"/>
  <c r="CH309" i="3"/>
  <c r="CI309" i="3"/>
  <c r="Q300" i="3"/>
  <c r="R300" i="3" s="1"/>
  <c r="X300" i="3" l="1"/>
  <c r="AA300" i="3" s="1"/>
  <c r="F301" i="3" s="1"/>
  <c r="W300" i="3"/>
  <c r="S300" i="3"/>
  <c r="AE300" i="3" s="1"/>
  <c r="CK309" i="3"/>
  <c r="CL309" i="3" s="1"/>
  <c r="BH309" i="3"/>
  <c r="BK309" i="3" s="1"/>
  <c r="AP310" i="3" s="1"/>
  <c r="BG309" i="3"/>
  <c r="BC309" i="3"/>
  <c r="BO309" i="3" l="1"/>
  <c r="BD309" i="3"/>
  <c r="BS309" i="3"/>
  <c r="BJ309" i="3"/>
  <c r="AO310" i="3" s="1"/>
  <c r="AQ310" i="3" s="1"/>
  <c r="T300" i="3"/>
  <c r="CR309" i="3"/>
  <c r="CU309" i="3" s="1"/>
  <c r="BZ310" i="3" s="1"/>
  <c r="CQ309" i="3"/>
  <c r="CM309" i="3"/>
  <c r="AI300" i="3"/>
  <c r="Z300" i="3"/>
  <c r="E301" i="3" s="1"/>
  <c r="G301" i="3" s="1"/>
  <c r="CT309" i="3" l="1"/>
  <c r="BY310" i="3" s="1"/>
  <c r="CA310" i="3" s="1"/>
  <c r="DC309" i="3"/>
  <c r="CY309" i="3"/>
  <c r="AR310" i="3"/>
  <c r="AS310" i="3"/>
  <c r="H301" i="3"/>
  <c r="CN309" i="3"/>
  <c r="AB300" i="3"/>
  <c r="AC300" i="3" s="1"/>
  <c r="U300" i="3"/>
  <c r="AH300" i="3" s="1"/>
  <c r="BL309" i="3"/>
  <c r="BE309" i="3"/>
  <c r="BR309" i="3" s="1"/>
  <c r="BM309" i="3" l="1"/>
  <c r="AZ310" i="3"/>
  <c r="BF310" i="3"/>
  <c r="BP310" i="3" s="1"/>
  <c r="CV309" i="3"/>
  <c r="CO309" i="3"/>
  <c r="DB309" i="3" s="1"/>
  <c r="J301" i="3"/>
  <c r="M301" i="3" s="1"/>
  <c r="I301" i="3"/>
  <c r="AT310" i="3"/>
  <c r="AW310" i="3" s="1"/>
  <c r="CB310" i="3"/>
  <c r="P301" i="3" l="1"/>
  <c r="V301" i="3"/>
  <c r="AF301" i="3" s="1"/>
  <c r="CD310" i="3"/>
  <c r="CG310" i="3" s="1"/>
  <c r="CE310" i="3"/>
  <c r="AU310" i="3"/>
  <c r="K301" i="3"/>
  <c r="CW309" i="3"/>
  <c r="CC310" i="3"/>
  <c r="CJ310" i="3" l="1"/>
  <c r="CP310" i="3"/>
  <c r="CZ310" i="3" s="1"/>
  <c r="AD301" i="3"/>
  <c r="L301" i="3"/>
  <c r="BN310" i="3"/>
  <c r="AV310" i="3"/>
  <c r="CX310" i="3"/>
  <c r="CF310" i="3"/>
  <c r="CH310" i="3" l="1"/>
  <c r="CI310" i="3"/>
  <c r="AY310" i="3"/>
  <c r="AX310" i="3"/>
  <c r="N301" i="3"/>
  <c r="O301" i="3"/>
  <c r="Q301" i="3" l="1"/>
  <c r="R301" i="3" s="1"/>
  <c r="BA310" i="3"/>
  <c r="BB310" i="3" s="1"/>
  <c r="CK310" i="3"/>
  <c r="CL310" i="3" s="1"/>
  <c r="CR310" i="3" l="1"/>
  <c r="CU310" i="3" s="1"/>
  <c r="BZ311" i="3" s="1"/>
  <c r="CQ310" i="3"/>
  <c r="CM310" i="3"/>
  <c r="CN310" i="3" s="1"/>
  <c r="BH310" i="3"/>
  <c r="BK310" i="3" s="1"/>
  <c r="AP311" i="3" s="1"/>
  <c r="BG310" i="3"/>
  <c r="BC310" i="3"/>
  <c r="X301" i="3"/>
  <c r="AA301" i="3" s="1"/>
  <c r="F302" i="3" s="1"/>
  <c r="W301" i="3"/>
  <c r="S301" i="3"/>
  <c r="AE301" i="3" s="1"/>
  <c r="CV310" i="3" l="1"/>
  <c r="CO310" i="3"/>
  <c r="DB310" i="3" s="1"/>
  <c r="AI301" i="3"/>
  <c r="Z301" i="3"/>
  <c r="E302" i="3" s="1"/>
  <c r="G302" i="3" s="1"/>
  <c r="T301" i="3"/>
  <c r="BO310" i="3"/>
  <c r="BS310" i="3"/>
  <c r="BJ310" i="3"/>
  <c r="AO311" i="3" s="1"/>
  <c r="AQ311" i="3" s="1"/>
  <c r="BD310" i="3"/>
  <c r="CY310" i="3"/>
  <c r="CT310" i="3"/>
  <c r="BY311" i="3" s="1"/>
  <c r="CA311" i="3" s="1"/>
  <c r="DC310" i="3"/>
  <c r="CB311" i="3" l="1"/>
  <c r="BL310" i="3"/>
  <c r="BE310" i="3"/>
  <c r="BR310" i="3" s="1"/>
  <c r="AR311" i="3"/>
  <c r="AB301" i="3"/>
  <c r="AC301" i="3" s="1"/>
  <c r="U301" i="3"/>
  <c r="AH301" i="3" s="1"/>
  <c r="H302" i="3"/>
  <c r="CW310" i="3"/>
  <c r="J302" i="3" l="1"/>
  <c r="M302" i="3" s="1"/>
  <c r="I302" i="3"/>
  <c r="AT311" i="3"/>
  <c r="AW311" i="3" s="1"/>
  <c r="AU311" i="3"/>
  <c r="AS311" i="3"/>
  <c r="BM310" i="3"/>
  <c r="CD311" i="3"/>
  <c r="CG311" i="3" s="1"/>
  <c r="CC311" i="3"/>
  <c r="CE311" i="3" l="1"/>
  <c r="CF311" i="3" s="1"/>
  <c r="BN311" i="3"/>
  <c r="CH311" i="3"/>
  <c r="CI311" i="3"/>
  <c r="BF311" i="3"/>
  <c r="BP311" i="3" s="1"/>
  <c r="AZ311" i="3"/>
  <c r="AV311" i="3"/>
  <c r="V302" i="3"/>
  <c r="AF302" i="3" s="1"/>
  <c r="P302" i="3"/>
  <c r="K302" i="3"/>
  <c r="CJ311" i="3"/>
  <c r="CP311" i="3"/>
  <c r="CZ311" i="3" s="1"/>
  <c r="CX311" i="3"/>
  <c r="AX311" i="3" l="1"/>
  <c r="AY311" i="3"/>
  <c r="AD302" i="3"/>
  <c r="L302" i="3"/>
  <c r="CK311" i="3"/>
  <c r="CL311" i="3" s="1"/>
  <c r="CR311" i="3" l="1"/>
  <c r="CU311" i="3" s="1"/>
  <c r="BZ312" i="3" s="1"/>
  <c r="CQ311" i="3"/>
  <c r="N302" i="3"/>
  <c r="O302" i="3"/>
  <c r="BA311" i="3"/>
  <c r="BB311" i="3" s="1"/>
  <c r="CM311" i="3"/>
  <c r="CY311" i="3" l="1"/>
  <c r="CN311" i="3"/>
  <c r="BH311" i="3"/>
  <c r="BK311" i="3" s="1"/>
  <c r="AP312" i="3" s="1"/>
  <c r="BG311" i="3"/>
  <c r="BC311" i="3"/>
  <c r="BO311" i="3" s="1"/>
  <c r="Q302" i="3"/>
  <c r="R302" i="3" s="1"/>
  <c r="CT311" i="3"/>
  <c r="BY312" i="3" s="1"/>
  <c r="CA312" i="3" s="1"/>
  <c r="DC311" i="3"/>
  <c r="X302" i="3" l="1"/>
  <c r="AA302" i="3" s="1"/>
  <c r="F303" i="3" s="1"/>
  <c r="W302" i="3"/>
  <c r="S302" i="3"/>
  <c r="AE302" i="3" s="1"/>
  <c r="BJ311" i="3"/>
  <c r="AO312" i="3" s="1"/>
  <c r="AQ312" i="3" s="1"/>
  <c r="BS311" i="3"/>
  <c r="BD311" i="3"/>
  <c r="CB312" i="3"/>
  <c r="CV311" i="3"/>
  <c r="CO311" i="3"/>
  <c r="DB311" i="3" s="1"/>
  <c r="BL311" i="3" l="1"/>
  <c r="BE311" i="3"/>
  <c r="BR311" i="3" s="1"/>
  <c r="CW311" i="3"/>
  <c r="CD312" i="3"/>
  <c r="CG312" i="3" s="1"/>
  <c r="AR312" i="3"/>
  <c r="AS312" i="3"/>
  <c r="T302" i="3"/>
  <c r="CC312" i="3"/>
  <c r="Z302" i="3"/>
  <c r="E303" i="3" s="1"/>
  <c r="G303" i="3" s="1"/>
  <c r="AI302" i="3"/>
  <c r="H303" i="3" l="1"/>
  <c r="CJ312" i="3"/>
  <c r="CP312" i="3"/>
  <c r="CZ312" i="3" s="1"/>
  <c r="AB302" i="3"/>
  <c r="AC302" i="3" s="1"/>
  <c r="U302" i="3"/>
  <c r="AH302" i="3" s="1"/>
  <c r="BF312" i="3"/>
  <c r="BP312" i="3" s="1"/>
  <c r="AZ312" i="3"/>
  <c r="AT312" i="3"/>
  <c r="AW312" i="3" s="1"/>
  <c r="CE312" i="3"/>
  <c r="BM311" i="3"/>
  <c r="CX312" i="3" l="1"/>
  <c r="CF312" i="3"/>
  <c r="AU312" i="3"/>
  <c r="J303" i="3"/>
  <c r="M303" i="3" s="1"/>
  <c r="I303" i="3"/>
  <c r="V303" i="3" l="1"/>
  <c r="AF303" i="3" s="1"/>
  <c r="P303" i="3"/>
  <c r="K303" i="3"/>
  <c r="BN312" i="3"/>
  <c r="AV312" i="3"/>
  <c r="CH312" i="3"/>
  <c r="CI312" i="3"/>
  <c r="AD303" i="3" l="1"/>
  <c r="L303" i="3"/>
  <c r="CK312" i="3"/>
  <c r="CL312" i="3" s="1"/>
  <c r="AX312" i="3"/>
  <c r="AY312" i="3"/>
  <c r="BA312" i="3" l="1"/>
  <c r="BB312" i="3" s="1"/>
  <c r="CR312" i="3"/>
  <c r="CU312" i="3" s="1"/>
  <c r="BZ313" i="3" s="1"/>
  <c r="CQ312" i="3"/>
  <c r="CM312" i="3"/>
  <c r="CY312" i="3" s="1"/>
  <c r="N303" i="3"/>
  <c r="O303" i="3"/>
  <c r="Q303" i="3" l="1"/>
  <c r="R303" i="3" s="1"/>
  <c r="DC312" i="3"/>
  <c r="CT312" i="3"/>
  <c r="BY313" i="3" s="1"/>
  <c r="CA313" i="3" s="1"/>
  <c r="CN312" i="3"/>
  <c r="BH312" i="3"/>
  <c r="BK312" i="3" s="1"/>
  <c r="AP313" i="3" s="1"/>
  <c r="BG312" i="3"/>
  <c r="BC312" i="3"/>
  <c r="BO312" i="3" s="1"/>
  <c r="BS312" i="3" l="1"/>
  <c r="BJ312" i="3"/>
  <c r="AO313" i="3" s="1"/>
  <c r="AQ313" i="3" s="1"/>
  <c r="CB313" i="3"/>
  <c r="BD312" i="3"/>
  <c r="CV312" i="3"/>
  <c r="CO312" i="3"/>
  <c r="DB312" i="3" s="1"/>
  <c r="X303" i="3"/>
  <c r="AA303" i="3" s="1"/>
  <c r="F304" i="3" s="1"/>
  <c r="W303" i="3"/>
  <c r="S303" i="3"/>
  <c r="AE303" i="3" s="1"/>
  <c r="CW312" i="3" l="1"/>
  <c r="AI303" i="3"/>
  <c r="Z303" i="3"/>
  <c r="E304" i="3" s="1"/>
  <c r="G304" i="3" s="1"/>
  <c r="T303" i="3"/>
  <c r="BL312" i="3"/>
  <c r="BM312" i="3" s="1"/>
  <c r="BE312" i="3"/>
  <c r="BR312" i="3" s="1"/>
  <c r="CD313" i="3"/>
  <c r="CG313" i="3" s="1"/>
  <c r="CE313" i="3"/>
  <c r="CX313" i="3" s="1"/>
  <c r="CC313" i="3"/>
  <c r="AR313" i="3"/>
  <c r="AT313" i="3" l="1"/>
  <c r="AW313" i="3" s="1"/>
  <c r="CP313" i="3"/>
  <c r="CZ313" i="3" s="1"/>
  <c r="CJ313" i="3"/>
  <c r="CF313" i="3"/>
  <c r="H304" i="3"/>
  <c r="AS313" i="3"/>
  <c r="AB303" i="3"/>
  <c r="AC303" i="3" s="1"/>
  <c r="U303" i="3"/>
  <c r="AH303" i="3" s="1"/>
  <c r="AZ313" i="3" l="1"/>
  <c r="BF313" i="3"/>
  <c r="BP313" i="3" s="1"/>
  <c r="J304" i="3"/>
  <c r="M304" i="3" s="1"/>
  <c r="K304" i="3"/>
  <c r="AD304" i="3" s="1"/>
  <c r="I304" i="3"/>
  <c r="CH313" i="3"/>
  <c r="CI313" i="3"/>
  <c r="AU313" i="3"/>
  <c r="BN313" i="3" l="1"/>
  <c r="AV313" i="3"/>
  <c r="CK313" i="3"/>
  <c r="CL313" i="3" s="1"/>
  <c r="P304" i="3"/>
  <c r="V304" i="3"/>
  <c r="AF304" i="3" s="1"/>
  <c r="L304" i="3"/>
  <c r="N304" i="3" l="1"/>
  <c r="O304" i="3"/>
  <c r="CR313" i="3"/>
  <c r="CU313" i="3" s="1"/>
  <c r="BZ314" i="3" s="1"/>
  <c r="CQ313" i="3"/>
  <c r="CM313" i="3"/>
  <c r="CY313" i="3" s="1"/>
  <c r="AX313" i="3"/>
  <c r="AY313" i="3"/>
  <c r="DC313" i="3" l="1"/>
  <c r="CT313" i="3"/>
  <c r="BY314" i="3" s="1"/>
  <c r="CA314" i="3" s="1"/>
  <c r="CN313" i="3"/>
  <c r="BA313" i="3"/>
  <c r="BB313" i="3" s="1"/>
  <c r="Q304" i="3"/>
  <c r="R304" i="3" s="1"/>
  <c r="X304" i="3" l="1"/>
  <c r="AA304" i="3" s="1"/>
  <c r="F305" i="3" s="1"/>
  <c r="W304" i="3"/>
  <c r="S304" i="3"/>
  <c r="AE304" i="3" s="1"/>
  <c r="CB314" i="3"/>
  <c r="BH313" i="3"/>
  <c r="BK313" i="3" s="1"/>
  <c r="AP314" i="3" s="1"/>
  <c r="BG313" i="3"/>
  <c r="BC313" i="3"/>
  <c r="BO313" i="3" s="1"/>
  <c r="CV313" i="3"/>
  <c r="CW313" i="3" s="1"/>
  <c r="CO313" i="3"/>
  <c r="DB313" i="3" s="1"/>
  <c r="BJ313" i="3" l="1"/>
  <c r="AO314" i="3" s="1"/>
  <c r="AQ314" i="3" s="1"/>
  <c r="BS313" i="3"/>
  <c r="BD313" i="3"/>
  <c r="CD314" i="3"/>
  <c r="CG314" i="3" s="1"/>
  <c r="CE314" i="3"/>
  <c r="CX314" i="3" s="1"/>
  <c r="Z304" i="3"/>
  <c r="E305" i="3" s="1"/>
  <c r="G305" i="3" s="1"/>
  <c r="AI304" i="3"/>
  <c r="CC314" i="3"/>
  <c r="T304" i="3"/>
  <c r="AB304" i="3" l="1"/>
  <c r="AC304" i="3" s="1"/>
  <c r="U304" i="3"/>
  <c r="AH304" i="3" s="1"/>
  <c r="BL313" i="3"/>
  <c r="BM313" i="3" s="1"/>
  <c r="BE313" i="3"/>
  <c r="BR313" i="3" s="1"/>
  <c r="CP314" i="3"/>
  <c r="CZ314" i="3" s="1"/>
  <c r="CJ314" i="3"/>
  <c r="H305" i="3"/>
  <c r="CF314" i="3"/>
  <c r="AR314" i="3"/>
  <c r="AT314" i="3" l="1"/>
  <c r="AW314" i="3" s="1"/>
  <c r="AU314" i="3"/>
  <c r="BN314" i="3" s="1"/>
  <c r="AS314" i="3"/>
  <c r="CH314" i="3"/>
  <c r="CI314" i="3"/>
  <c r="J305" i="3"/>
  <c r="M305" i="3" s="1"/>
  <c r="I305" i="3"/>
  <c r="V305" i="3" l="1"/>
  <c r="AF305" i="3" s="1"/>
  <c r="P305" i="3"/>
  <c r="K305" i="3"/>
  <c r="CK314" i="3"/>
  <c r="CL314" i="3" s="1"/>
  <c r="AZ314" i="3"/>
  <c r="BF314" i="3"/>
  <c r="BP314" i="3" s="1"/>
  <c r="AV314" i="3"/>
  <c r="AX314" i="3" l="1"/>
  <c r="AY314" i="3"/>
  <c r="CR314" i="3"/>
  <c r="CU314" i="3" s="1"/>
  <c r="BZ315" i="3" s="1"/>
  <c r="CQ314" i="3"/>
  <c r="CM314" i="3"/>
  <c r="CY314" i="3" s="1"/>
  <c r="AD305" i="3"/>
  <c r="L305" i="3"/>
  <c r="N305" i="3" l="1"/>
  <c r="O305" i="3"/>
  <c r="DC314" i="3"/>
  <c r="CT314" i="3"/>
  <c r="BY315" i="3" s="1"/>
  <c r="CA315" i="3" s="1"/>
  <c r="CN314" i="3"/>
  <c r="BA314" i="3"/>
  <c r="BB314" i="3" s="1"/>
  <c r="CV314" i="3" l="1"/>
  <c r="CW314" i="3" s="1"/>
  <c r="CO314" i="3"/>
  <c r="DB314" i="3" s="1"/>
  <c r="Q305" i="3"/>
  <c r="R305" i="3" s="1"/>
  <c r="BH314" i="3"/>
  <c r="BK314" i="3" s="1"/>
  <c r="AP315" i="3" s="1"/>
  <c r="BG314" i="3"/>
  <c r="BC314" i="3"/>
  <c r="BO314" i="3" s="1"/>
  <c r="CB315" i="3"/>
  <c r="CC315" i="3"/>
  <c r="CJ315" i="3" l="1"/>
  <c r="CP315" i="3"/>
  <c r="CZ315" i="3" s="1"/>
  <c r="CD315" i="3"/>
  <c r="CG315" i="3" s="1"/>
  <c r="BJ314" i="3"/>
  <c r="AO315" i="3" s="1"/>
  <c r="AQ315" i="3" s="1"/>
  <c r="BS314" i="3"/>
  <c r="BD314" i="3"/>
  <c r="X305" i="3"/>
  <c r="AA305" i="3" s="1"/>
  <c r="F306" i="3" s="1"/>
  <c r="W305" i="3"/>
  <c r="S305" i="3"/>
  <c r="AE305" i="3" s="1"/>
  <c r="T305" i="3" l="1"/>
  <c r="AR315" i="3"/>
  <c r="CE315" i="3"/>
  <c r="Z305" i="3"/>
  <c r="E306" i="3" s="1"/>
  <c r="G306" i="3" s="1"/>
  <c r="AI305" i="3"/>
  <c r="BL314" i="3"/>
  <c r="BM314" i="3" s="1"/>
  <c r="BE314" i="3"/>
  <c r="BR314" i="3" s="1"/>
  <c r="H306" i="3" l="1"/>
  <c r="CX315" i="3"/>
  <c r="CF315" i="3"/>
  <c r="AT315" i="3"/>
  <c r="AW315" i="3" s="1"/>
  <c r="AU315" i="3"/>
  <c r="BN315" i="3" s="1"/>
  <c r="AS315" i="3"/>
  <c r="AB305" i="3"/>
  <c r="AC305" i="3" s="1"/>
  <c r="U305" i="3"/>
  <c r="AH305" i="3" s="1"/>
  <c r="CH315" i="3" l="1"/>
  <c r="CI315" i="3"/>
  <c r="AZ315" i="3"/>
  <c r="BF315" i="3"/>
  <c r="BP315" i="3" s="1"/>
  <c r="AV315" i="3"/>
  <c r="J306" i="3"/>
  <c r="M306" i="3" s="1"/>
  <c r="I306" i="3"/>
  <c r="K306" i="3" l="1"/>
  <c r="CK315" i="3"/>
  <c r="CL315" i="3" s="1"/>
  <c r="AX315" i="3"/>
  <c r="AY315" i="3"/>
  <c r="P306" i="3"/>
  <c r="V306" i="3"/>
  <c r="AF306" i="3" s="1"/>
  <c r="BA315" i="3" l="1"/>
  <c r="BB315" i="3" s="1"/>
  <c r="CR315" i="3"/>
  <c r="CU315" i="3" s="1"/>
  <c r="BZ316" i="3" s="1"/>
  <c r="CQ315" i="3"/>
  <c r="CM315" i="3"/>
  <c r="CY315" i="3" s="1"/>
  <c r="AD306" i="3"/>
  <c r="L306" i="3"/>
  <c r="N306" i="3" l="1"/>
  <c r="O306" i="3"/>
  <c r="CT315" i="3"/>
  <c r="BY316" i="3" s="1"/>
  <c r="CA316" i="3" s="1"/>
  <c r="DC315" i="3"/>
  <c r="CN315" i="3"/>
  <c r="BH315" i="3"/>
  <c r="BK315" i="3" s="1"/>
  <c r="AP316" i="3" s="1"/>
  <c r="BG315" i="3"/>
  <c r="BC315" i="3"/>
  <c r="BO315" i="3" s="1"/>
  <c r="BS315" i="3" l="1"/>
  <c r="BJ315" i="3"/>
  <c r="AO316" i="3" s="1"/>
  <c r="AQ316" i="3" s="1"/>
  <c r="CV315" i="3"/>
  <c r="CW315" i="3" s="1"/>
  <c r="CO315" i="3"/>
  <c r="DB315" i="3" s="1"/>
  <c r="Q306" i="3"/>
  <c r="R306" i="3" s="1"/>
  <c r="BD315" i="3"/>
  <c r="CB316" i="3"/>
  <c r="CD316" i="3" l="1"/>
  <c r="CG316" i="3" s="1"/>
  <c r="CE316" i="3"/>
  <c r="CX316" i="3" s="1"/>
  <c r="BL315" i="3"/>
  <c r="BM315" i="3" s="1"/>
  <c r="BE315" i="3"/>
  <c r="BR315" i="3" s="1"/>
  <c r="CC316" i="3"/>
  <c r="X306" i="3"/>
  <c r="AA306" i="3" s="1"/>
  <c r="F307" i="3" s="1"/>
  <c r="W306" i="3"/>
  <c r="S306" i="3"/>
  <c r="AE306" i="3" s="1"/>
  <c r="AR316" i="3"/>
  <c r="AT316" i="3" l="1"/>
  <c r="AW316" i="3" s="1"/>
  <c r="AU316" i="3"/>
  <c r="BN316" i="3" s="1"/>
  <c r="AS316" i="3"/>
  <c r="Z306" i="3"/>
  <c r="E307" i="3" s="1"/>
  <c r="G307" i="3" s="1"/>
  <c r="AI306" i="3"/>
  <c r="T306" i="3"/>
  <c r="CP316" i="3"/>
  <c r="CZ316" i="3" s="1"/>
  <c r="CJ316" i="3"/>
  <c r="CF316" i="3"/>
  <c r="CH316" i="3" l="1"/>
  <c r="CI316" i="3"/>
  <c r="BF316" i="3"/>
  <c r="BP316" i="3" s="1"/>
  <c r="AZ316" i="3"/>
  <c r="AB306" i="3"/>
  <c r="AC306" i="3" s="1"/>
  <c r="U306" i="3"/>
  <c r="AH306" i="3" s="1"/>
  <c r="H307" i="3"/>
  <c r="AV316" i="3"/>
  <c r="J307" i="3" l="1"/>
  <c r="M307" i="3" s="1"/>
  <c r="CK316" i="3"/>
  <c r="CL316" i="3" s="1"/>
  <c r="AX316" i="3"/>
  <c r="AY316" i="3"/>
  <c r="I307" i="3"/>
  <c r="V307" i="3" l="1"/>
  <c r="AF307" i="3" s="1"/>
  <c r="P307" i="3"/>
  <c r="CR316" i="3"/>
  <c r="CU316" i="3" s="1"/>
  <c r="BZ317" i="3" s="1"/>
  <c r="CQ316" i="3"/>
  <c r="CM316" i="3"/>
  <c r="CY316" i="3" s="1"/>
  <c r="BA316" i="3"/>
  <c r="BB316" i="3" s="1"/>
  <c r="K307" i="3"/>
  <c r="AD307" i="3" l="1"/>
  <c r="L307" i="3"/>
  <c r="BH316" i="3"/>
  <c r="BK316" i="3" s="1"/>
  <c r="AP317" i="3" s="1"/>
  <c r="BG316" i="3"/>
  <c r="BC316" i="3"/>
  <c r="BO316" i="3" s="1"/>
  <c r="CT316" i="3"/>
  <c r="BY317" i="3" s="1"/>
  <c r="CA317" i="3" s="1"/>
  <c r="DC316" i="3"/>
  <c r="CN316" i="3"/>
  <c r="J27" i="3"/>
  <c r="CB317" i="3" l="1"/>
  <c r="CC317" i="3"/>
  <c r="BJ316" i="3"/>
  <c r="AO317" i="3" s="1"/>
  <c r="AQ317" i="3" s="1"/>
  <c r="BS316" i="3"/>
  <c r="BD316" i="3"/>
  <c r="CV316" i="3"/>
  <c r="CW316" i="3" s="1"/>
  <c r="CO316" i="3"/>
  <c r="DB316" i="3" s="1"/>
  <c r="N307" i="3"/>
  <c r="O307" i="3"/>
  <c r="Q307" i="3" l="1"/>
  <c r="R307" i="3" s="1"/>
  <c r="BL316" i="3"/>
  <c r="BM316" i="3" s="1"/>
  <c r="BE316" i="3"/>
  <c r="BR316" i="3" s="1"/>
  <c r="AR317" i="3"/>
  <c r="AS317" i="3"/>
  <c r="CP317" i="3"/>
  <c r="CZ317" i="3" s="1"/>
  <c r="CJ317" i="3"/>
  <c r="CD317" i="3"/>
  <c r="CG317" i="3" s="1"/>
  <c r="BF317" i="3" l="1"/>
  <c r="BP317" i="3" s="1"/>
  <c r="AZ317" i="3"/>
  <c r="CE317" i="3"/>
  <c r="AT317" i="3"/>
  <c r="AW317" i="3" s="1"/>
  <c r="X307" i="3"/>
  <c r="AA307" i="3" s="1"/>
  <c r="W307" i="3"/>
  <c r="S307" i="3"/>
  <c r="AE307" i="3" s="1"/>
  <c r="F308" i="3" l="1"/>
  <c r="C27" i="3"/>
  <c r="Y307" i="3"/>
  <c r="AI307" i="3"/>
  <c r="Z307" i="3"/>
  <c r="T307" i="3"/>
  <c r="AU317" i="3"/>
  <c r="F38" i="5"/>
  <c r="CX317" i="3"/>
  <c r="CF317" i="3"/>
  <c r="BN317" i="3" l="1"/>
  <c r="AV317" i="3"/>
  <c r="CH317" i="3"/>
  <c r="CI317" i="3"/>
  <c r="AB307" i="3"/>
  <c r="AC307" i="3" s="1"/>
  <c r="U307" i="3"/>
  <c r="AH307" i="3" s="1"/>
  <c r="B38" i="5"/>
  <c r="E308" i="3"/>
  <c r="G308" i="3" s="1"/>
  <c r="B27" i="3"/>
  <c r="D27" i="3" s="1"/>
  <c r="I27" i="3"/>
  <c r="AG307" i="3"/>
  <c r="AG308" i="3" s="1"/>
  <c r="AG309" i="3" s="1"/>
  <c r="AG310" i="3" s="1"/>
  <c r="AG311" i="3" s="1"/>
  <c r="AG312" i="3" s="1"/>
  <c r="AG313" i="3" s="1"/>
  <c r="AG314" i="3" s="1"/>
  <c r="AG315" i="3" s="1"/>
  <c r="AG316" i="3" s="1"/>
  <c r="AG317" i="3" s="1"/>
  <c r="AG318" i="3" s="1"/>
  <c r="H308" i="3" l="1"/>
  <c r="CK317" i="3"/>
  <c r="CL317" i="3" s="1"/>
  <c r="AX317" i="3"/>
  <c r="AY317" i="3"/>
  <c r="BA317" i="3" l="1"/>
  <c r="BB317" i="3" s="1"/>
  <c r="CR317" i="3"/>
  <c r="CU317" i="3" s="1"/>
  <c r="BZ318" i="3" s="1"/>
  <c r="CQ317" i="3"/>
  <c r="CM317" i="3"/>
  <c r="CY317" i="3" s="1"/>
  <c r="J308" i="3"/>
  <c r="M308" i="3" s="1"/>
  <c r="I308" i="3"/>
  <c r="K308" i="3" l="1"/>
  <c r="DC317" i="3"/>
  <c r="CT317" i="3"/>
  <c r="BY318" i="3" s="1"/>
  <c r="CA318" i="3" s="1"/>
  <c r="CN317" i="3"/>
  <c r="P308" i="3"/>
  <c r="V308" i="3"/>
  <c r="AF308" i="3" s="1"/>
  <c r="BH317" i="3"/>
  <c r="BK317" i="3" s="1"/>
  <c r="AP318" i="3" s="1"/>
  <c r="BG317" i="3"/>
  <c r="BC317" i="3"/>
  <c r="BO317" i="3" s="1"/>
  <c r="BD317" i="3" l="1"/>
  <c r="BS317" i="3"/>
  <c r="BJ317" i="3"/>
  <c r="AO318" i="3" s="1"/>
  <c r="AQ318" i="3" s="1"/>
  <c r="CB318" i="3"/>
  <c r="CC318" i="3" s="1"/>
  <c r="CV317" i="3"/>
  <c r="CW317" i="3" s="1"/>
  <c r="CO317" i="3"/>
  <c r="DB317" i="3" s="1"/>
  <c r="AD308" i="3"/>
  <c r="L308" i="3"/>
  <c r="CJ318" i="3" l="1"/>
  <c r="CP318" i="3"/>
  <c r="CZ318" i="3" s="1"/>
  <c r="N308" i="3"/>
  <c r="O308" i="3"/>
  <c r="CD318" i="3"/>
  <c r="CG318" i="3" s="1"/>
  <c r="AR318" i="3"/>
  <c r="AS318" i="3"/>
  <c r="BL317" i="3"/>
  <c r="BM317" i="3" s="1"/>
  <c r="BE317" i="3"/>
  <c r="BR317" i="3" s="1"/>
  <c r="AZ318" i="3" l="1"/>
  <c r="BF318" i="3"/>
  <c r="BP318" i="3" s="1"/>
  <c r="AT318" i="3"/>
  <c r="AW318" i="3" s="1"/>
  <c r="CE318" i="3"/>
  <c r="Q308" i="3"/>
  <c r="R308" i="3" s="1"/>
  <c r="CX318" i="3" l="1"/>
  <c r="CF318" i="3"/>
  <c r="AU318" i="3"/>
  <c r="X308" i="3"/>
  <c r="AA308" i="3" s="1"/>
  <c r="F309" i="3" s="1"/>
  <c r="W308" i="3"/>
  <c r="S308" i="3"/>
  <c r="AE308" i="3" l="1"/>
  <c r="AI308" i="3"/>
  <c r="Z308" i="3"/>
  <c r="E309" i="3" s="1"/>
  <c r="G309" i="3" s="1"/>
  <c r="T308" i="3"/>
  <c r="BN318" i="3"/>
  <c r="AV318" i="3"/>
  <c r="CH318" i="3"/>
  <c r="CI318" i="3"/>
  <c r="AX318" i="3" l="1"/>
  <c r="AY318" i="3"/>
  <c r="CK318" i="3"/>
  <c r="CL318" i="3" s="1"/>
  <c r="AB308" i="3"/>
  <c r="U308" i="3"/>
  <c r="AH308" i="3" s="1"/>
  <c r="H309" i="3"/>
  <c r="BA318" i="3" l="1"/>
  <c r="BB318" i="3" s="1"/>
  <c r="J309" i="3"/>
  <c r="M309" i="3" s="1"/>
  <c r="I309" i="3"/>
  <c r="AC308" i="3"/>
  <c r="CR318" i="3"/>
  <c r="CU318" i="3" s="1"/>
  <c r="BZ319" i="3" s="1"/>
  <c r="CQ318" i="3"/>
  <c r="CM318" i="3"/>
  <c r="CY318" i="3" s="1"/>
  <c r="CT318" i="3" l="1"/>
  <c r="BY319" i="3" s="1"/>
  <c r="CA319" i="3" s="1"/>
  <c r="DC318" i="3"/>
  <c r="CN318" i="3"/>
  <c r="K309" i="3"/>
  <c r="P309" i="3"/>
  <c r="V309" i="3"/>
  <c r="AF309" i="3" s="1"/>
  <c r="BH318" i="3"/>
  <c r="BK318" i="3" s="1"/>
  <c r="AP319" i="3" s="1"/>
  <c r="BG318" i="3"/>
  <c r="BC318" i="3"/>
  <c r="BO318" i="3" s="1"/>
  <c r="BJ318" i="3" l="1"/>
  <c r="AO319" i="3" s="1"/>
  <c r="AQ319" i="3" s="1"/>
  <c r="BS318" i="3"/>
  <c r="BD318" i="3"/>
  <c r="CV318" i="3"/>
  <c r="CW318" i="3" s="1"/>
  <c r="CO318" i="3"/>
  <c r="DB318" i="3" s="1"/>
  <c r="AD309" i="3"/>
  <c r="L309" i="3"/>
  <c r="CB319" i="3"/>
  <c r="CC319" i="3" s="1"/>
  <c r="CJ319" i="3" l="1"/>
  <c r="CP319" i="3"/>
  <c r="CZ319" i="3" s="1"/>
  <c r="BL318" i="3"/>
  <c r="BM318" i="3" s="1"/>
  <c r="BE318" i="3"/>
  <c r="BR318" i="3" s="1"/>
  <c r="CD319" i="3"/>
  <c r="CG319" i="3" s="1"/>
  <c r="N309" i="3"/>
  <c r="O309" i="3"/>
  <c r="AR319" i="3"/>
  <c r="AS319" i="3" s="1"/>
  <c r="BF319" i="3" l="1"/>
  <c r="BP319" i="3" s="1"/>
  <c r="AZ319" i="3"/>
  <c r="Q309" i="3"/>
  <c r="R309" i="3" s="1"/>
  <c r="CE319" i="3"/>
  <c r="AJ28" i="3"/>
  <c r="AT319" i="3"/>
  <c r="AW319" i="3" s="1"/>
  <c r="AU319" i="3" l="1"/>
  <c r="CX319" i="3"/>
  <c r="CF319" i="3"/>
  <c r="X309" i="3"/>
  <c r="AA309" i="3" s="1"/>
  <c r="F310" i="3" s="1"/>
  <c r="W309" i="3"/>
  <c r="S309" i="3"/>
  <c r="W28" i="3"/>
  <c r="AE309" i="3" l="1"/>
  <c r="Z309" i="3"/>
  <c r="E310" i="3" s="1"/>
  <c r="G310" i="3" s="1"/>
  <c r="AI309" i="3"/>
  <c r="T309" i="3"/>
  <c r="CH319" i="3"/>
  <c r="CI319" i="3"/>
  <c r="BN319" i="3"/>
  <c r="AV319" i="3"/>
  <c r="AY319" i="3" l="1"/>
  <c r="AX319" i="3"/>
  <c r="AB309" i="3"/>
  <c r="U309" i="3"/>
  <c r="AH309" i="3" s="1"/>
  <c r="CK319" i="3"/>
  <c r="CL319" i="3" s="1"/>
  <c r="H310" i="3"/>
  <c r="I310" i="3" s="1"/>
  <c r="P310" i="3" l="1"/>
  <c r="V310" i="3"/>
  <c r="AF310" i="3" s="1"/>
  <c r="CR319" i="3"/>
  <c r="CU319" i="3" s="1"/>
  <c r="CQ319" i="3"/>
  <c r="CM319" i="3"/>
  <c r="CY319" i="3" s="1"/>
  <c r="J310" i="3"/>
  <c r="M310" i="3" s="1"/>
  <c r="AC309" i="3"/>
  <c r="BA319" i="3"/>
  <c r="BB319" i="3" s="1"/>
  <c r="BH319" i="3" l="1"/>
  <c r="BK319" i="3" s="1"/>
  <c r="BG319" i="3"/>
  <c r="BC319" i="3"/>
  <c r="BO319" i="3" s="1"/>
  <c r="BZ320" i="3"/>
  <c r="AC28" i="3"/>
  <c r="K310" i="3"/>
  <c r="H39" i="5"/>
  <c r="CS319" i="3"/>
  <c r="DC319" i="3"/>
  <c r="CN319" i="3"/>
  <c r="AI28" i="3" l="1"/>
  <c r="DA319" i="3"/>
  <c r="DA320" i="3" s="1"/>
  <c r="DA321" i="3" s="1"/>
  <c r="DA322" i="3" s="1"/>
  <c r="DA323" i="3" s="1"/>
  <c r="DA324" i="3" s="1"/>
  <c r="DA325" i="3" s="1"/>
  <c r="DA326" i="3" s="1"/>
  <c r="DA327" i="3" s="1"/>
  <c r="DA328" i="3" s="1"/>
  <c r="DA329" i="3" s="1"/>
  <c r="DA330" i="3" s="1"/>
  <c r="CT319" i="3"/>
  <c r="AD310" i="3"/>
  <c r="L310" i="3"/>
  <c r="G39" i="5"/>
  <c r="BD319" i="3"/>
  <c r="CV319" i="3"/>
  <c r="CW319" i="3" s="1"/>
  <c r="CO319" i="3"/>
  <c r="DB319" i="3" s="1"/>
  <c r="BI319" i="3"/>
  <c r="BS319" i="3"/>
  <c r="AP320" i="3"/>
  <c r="P28" i="3"/>
  <c r="V28" i="3" l="1"/>
  <c r="BQ319" i="3"/>
  <c r="BQ320" i="3" s="1"/>
  <c r="BQ321" i="3" s="1"/>
  <c r="BQ322" i="3" s="1"/>
  <c r="BQ323" i="3" s="1"/>
  <c r="BQ324" i="3" s="1"/>
  <c r="BQ325" i="3" s="1"/>
  <c r="BQ326" i="3" s="1"/>
  <c r="BQ327" i="3" s="1"/>
  <c r="BQ328" i="3" s="1"/>
  <c r="BQ329" i="3" s="1"/>
  <c r="BQ330" i="3" s="1"/>
  <c r="BL319" i="3"/>
  <c r="BM319" i="3" s="1"/>
  <c r="BE319" i="3"/>
  <c r="BR319" i="3" s="1"/>
  <c r="D39" i="5"/>
  <c r="BY320" i="3"/>
  <c r="CA320" i="3" s="1"/>
  <c r="AB28" i="3"/>
  <c r="AD28" i="3" s="1"/>
  <c r="BJ319" i="3"/>
  <c r="O310" i="3"/>
  <c r="N310" i="3"/>
  <c r="Q310" i="3" l="1"/>
  <c r="R310" i="3" s="1"/>
  <c r="CB320" i="3"/>
  <c r="C39" i="5"/>
  <c r="AO320" i="3"/>
  <c r="AQ320" i="3" s="1"/>
  <c r="O28" i="3"/>
  <c r="Q28" i="3" s="1"/>
  <c r="AR320" i="3" l="1"/>
  <c r="CD320" i="3"/>
  <c r="CG320" i="3" s="1"/>
  <c r="CC320" i="3"/>
  <c r="X310" i="3"/>
  <c r="AA310" i="3" s="1"/>
  <c r="F311" i="3" s="1"/>
  <c r="W310" i="3"/>
  <c r="S310" i="3"/>
  <c r="AE310" i="3" l="1"/>
  <c r="AI310" i="3"/>
  <c r="Z310" i="3"/>
  <c r="E311" i="3" s="1"/>
  <c r="G311" i="3" s="1"/>
  <c r="T310" i="3"/>
  <c r="CP320" i="3"/>
  <c r="CZ320" i="3" s="1"/>
  <c r="CJ320" i="3"/>
  <c r="CE320" i="3"/>
  <c r="AT320" i="3"/>
  <c r="AW320" i="3" s="1"/>
  <c r="AS320" i="3"/>
  <c r="AU320" i="3" l="1"/>
  <c r="BN320" i="3"/>
  <c r="BF320" i="3"/>
  <c r="BP320" i="3" s="1"/>
  <c r="AZ320" i="3"/>
  <c r="AV320" i="3"/>
  <c r="CX320" i="3"/>
  <c r="CF320" i="3"/>
  <c r="AB310" i="3"/>
  <c r="U310" i="3"/>
  <c r="AH310" i="3" s="1"/>
  <c r="H311" i="3"/>
  <c r="J311" i="3" l="1"/>
  <c r="M311" i="3" s="1"/>
  <c r="I311" i="3"/>
  <c r="AC310" i="3"/>
  <c r="CH320" i="3"/>
  <c r="CI320" i="3"/>
  <c r="AX320" i="3"/>
  <c r="AY320" i="3"/>
  <c r="CK320" i="3" l="1"/>
  <c r="CL320" i="3" s="1"/>
  <c r="V311" i="3"/>
  <c r="AF311" i="3" s="1"/>
  <c r="P311" i="3"/>
  <c r="K311" i="3"/>
  <c r="BA320" i="3"/>
  <c r="BB320" i="3" s="1"/>
  <c r="BH320" i="3" l="1"/>
  <c r="BK320" i="3" s="1"/>
  <c r="AP321" i="3" s="1"/>
  <c r="BG320" i="3"/>
  <c r="BC320" i="3"/>
  <c r="AD311" i="3"/>
  <c r="L311" i="3"/>
  <c r="CR320" i="3"/>
  <c r="CU320" i="3" s="1"/>
  <c r="BZ321" i="3" s="1"/>
  <c r="CQ320" i="3"/>
  <c r="CM320" i="3"/>
  <c r="CY320" i="3" l="1"/>
  <c r="DC320" i="3"/>
  <c r="CT320" i="3"/>
  <c r="BY321" i="3" s="1"/>
  <c r="CA321" i="3" s="1"/>
  <c r="CN320" i="3"/>
  <c r="N311" i="3"/>
  <c r="O311" i="3"/>
  <c r="BS320" i="3"/>
  <c r="BJ320" i="3"/>
  <c r="AO321" i="3" s="1"/>
  <c r="AQ321" i="3" s="1"/>
  <c r="BO320" i="3"/>
  <c r="BD320" i="3"/>
  <c r="BL320" i="3" l="1"/>
  <c r="BE320" i="3"/>
  <c r="BR320" i="3" s="1"/>
  <c r="AR321" i="3"/>
  <c r="Q311" i="3"/>
  <c r="R311" i="3" s="1"/>
  <c r="CV320" i="3"/>
  <c r="CO320" i="3"/>
  <c r="DB320" i="3" s="1"/>
  <c r="CB321" i="3"/>
  <c r="CD321" i="3" l="1"/>
  <c r="CG321" i="3" s="1"/>
  <c r="CC321" i="3"/>
  <c r="CW320" i="3"/>
  <c r="X311" i="3"/>
  <c r="AA311" i="3" s="1"/>
  <c r="F312" i="3" s="1"/>
  <c r="W311" i="3"/>
  <c r="S311" i="3"/>
  <c r="AT321" i="3"/>
  <c r="AW321" i="3" s="1"/>
  <c r="AS321" i="3"/>
  <c r="BM320" i="3"/>
  <c r="AU321" i="3" l="1"/>
  <c r="AE311" i="3"/>
  <c r="Z311" i="3"/>
  <c r="E312" i="3" s="1"/>
  <c r="G312" i="3" s="1"/>
  <c r="AI311" i="3"/>
  <c r="T311" i="3"/>
  <c r="CP321" i="3"/>
  <c r="CZ321" i="3" s="1"/>
  <c r="CJ321" i="3"/>
  <c r="CE321" i="3"/>
  <c r="AZ321" i="3"/>
  <c r="BF321" i="3"/>
  <c r="BP321" i="3" s="1"/>
  <c r="H312" i="3" l="1"/>
  <c r="I312" i="3"/>
  <c r="CX321" i="3"/>
  <c r="CF321" i="3"/>
  <c r="AB311" i="3"/>
  <c r="U311" i="3"/>
  <c r="AH311" i="3" s="1"/>
  <c r="BN321" i="3"/>
  <c r="AV321" i="3"/>
  <c r="AX321" i="3" l="1"/>
  <c r="AY321" i="3"/>
  <c r="AC311" i="3"/>
  <c r="CH321" i="3"/>
  <c r="CI321" i="3"/>
  <c r="V312" i="3"/>
  <c r="AF312" i="3" s="1"/>
  <c r="P312" i="3"/>
  <c r="J312" i="3"/>
  <c r="M312" i="3" s="1"/>
  <c r="CK321" i="3" l="1"/>
  <c r="CL321" i="3" s="1"/>
  <c r="K312" i="3"/>
  <c r="BA321" i="3"/>
  <c r="BB321" i="3" s="1"/>
  <c r="AD312" i="3" l="1"/>
  <c r="L312" i="3"/>
  <c r="BH321" i="3"/>
  <c r="BK321" i="3" s="1"/>
  <c r="AP322" i="3" s="1"/>
  <c r="BG321" i="3"/>
  <c r="BC321" i="3"/>
  <c r="BD321" i="3" s="1"/>
  <c r="CR321" i="3"/>
  <c r="CU321" i="3" s="1"/>
  <c r="BZ322" i="3" s="1"/>
  <c r="CQ321" i="3"/>
  <c r="CM321" i="3"/>
  <c r="BL321" i="3" l="1"/>
  <c r="BE321" i="3"/>
  <c r="BR321" i="3" s="1"/>
  <c r="CY321" i="3"/>
  <c r="CN321" i="3"/>
  <c r="BJ321" i="3"/>
  <c r="AO322" i="3" s="1"/>
  <c r="AQ322" i="3" s="1"/>
  <c r="BS321" i="3"/>
  <c r="CT321" i="3"/>
  <c r="BY322" i="3" s="1"/>
  <c r="CA322" i="3" s="1"/>
  <c r="DC321" i="3"/>
  <c r="BO321" i="3"/>
  <c r="N312" i="3"/>
  <c r="O312" i="3"/>
  <c r="Q312" i="3" l="1"/>
  <c r="R312" i="3" s="1"/>
  <c r="CB322" i="3"/>
  <c r="CC322" i="3" s="1"/>
  <c r="CV321" i="3"/>
  <c r="CO321" i="3"/>
  <c r="DB321" i="3" s="1"/>
  <c r="AR322" i="3"/>
  <c r="BM321" i="3"/>
  <c r="CP322" i="3" l="1"/>
  <c r="CZ322" i="3" s="1"/>
  <c r="CJ322" i="3"/>
  <c r="CW321" i="3"/>
  <c r="AT322" i="3"/>
  <c r="AW322" i="3" s="1"/>
  <c r="AS322" i="3"/>
  <c r="CD322" i="3"/>
  <c r="CG322" i="3" s="1"/>
  <c r="X312" i="3"/>
  <c r="AA312" i="3" s="1"/>
  <c r="F313" i="3" s="1"/>
  <c r="W312" i="3"/>
  <c r="S312" i="3"/>
  <c r="AE312" i="3" s="1"/>
  <c r="BF322" i="3" l="1"/>
  <c r="BP322" i="3" s="1"/>
  <c r="AZ322" i="3"/>
  <c r="AU322" i="3"/>
  <c r="CE322" i="3"/>
  <c r="AI312" i="3"/>
  <c r="Z312" i="3"/>
  <c r="E313" i="3" s="1"/>
  <c r="G313" i="3" s="1"/>
  <c r="T312" i="3"/>
  <c r="H313" i="3" l="1"/>
  <c r="I313" i="3"/>
  <c r="BN322" i="3"/>
  <c r="AV322" i="3"/>
  <c r="AB312" i="3"/>
  <c r="U312" i="3"/>
  <c r="AH312" i="3" s="1"/>
  <c r="CX322" i="3"/>
  <c r="CF322" i="3"/>
  <c r="CH322" i="3" l="1"/>
  <c r="CI322" i="3"/>
  <c r="AC312" i="3"/>
  <c r="AX322" i="3"/>
  <c r="AY322" i="3"/>
  <c r="P313" i="3"/>
  <c r="V313" i="3"/>
  <c r="AF313" i="3" s="1"/>
  <c r="J313" i="3"/>
  <c r="M313" i="3" s="1"/>
  <c r="BA322" i="3" l="1"/>
  <c r="BB322" i="3" s="1"/>
  <c r="K313" i="3"/>
  <c r="CK322" i="3"/>
  <c r="CL322" i="3" s="1"/>
  <c r="CR322" i="3" l="1"/>
  <c r="CU322" i="3" s="1"/>
  <c r="BZ323" i="3" s="1"/>
  <c r="CQ322" i="3"/>
  <c r="CM322" i="3"/>
  <c r="CN322" i="3" s="1"/>
  <c r="AD313" i="3"/>
  <c r="L313" i="3"/>
  <c r="BH322" i="3"/>
  <c r="BK322" i="3" s="1"/>
  <c r="AP323" i="3" s="1"/>
  <c r="BG322" i="3"/>
  <c r="BC322" i="3"/>
  <c r="CV322" i="3" l="1"/>
  <c r="CO322" i="3"/>
  <c r="DB322" i="3" s="1"/>
  <c r="BO322" i="3"/>
  <c r="DC322" i="3"/>
  <c r="CT322" i="3"/>
  <c r="BY323" i="3" s="1"/>
  <c r="CA323" i="3" s="1"/>
  <c r="BJ322" i="3"/>
  <c r="AO323" i="3" s="1"/>
  <c r="AQ323" i="3" s="1"/>
  <c r="BS322" i="3"/>
  <c r="BD322" i="3"/>
  <c r="O313" i="3"/>
  <c r="N313" i="3"/>
  <c r="CY322" i="3"/>
  <c r="Q313" i="3" l="1"/>
  <c r="R313" i="3" s="1"/>
  <c r="AR323" i="3"/>
  <c r="BL322" i="3"/>
  <c r="BE322" i="3"/>
  <c r="BR322" i="3" s="1"/>
  <c r="CB323" i="3"/>
  <c r="CW322" i="3"/>
  <c r="CD323" i="3" l="1"/>
  <c r="CG323" i="3" s="1"/>
  <c r="BM322" i="3"/>
  <c r="CC323" i="3"/>
  <c r="AT323" i="3"/>
  <c r="AW323" i="3" s="1"/>
  <c r="AU323" i="3"/>
  <c r="AS323" i="3"/>
  <c r="X313" i="3"/>
  <c r="AA313" i="3" s="1"/>
  <c r="F314" i="3" s="1"/>
  <c r="W313" i="3"/>
  <c r="S313" i="3"/>
  <c r="AE313" i="3" s="1"/>
  <c r="T313" i="3" l="1"/>
  <c r="AB313" i="3"/>
  <c r="AC313" i="3" s="1"/>
  <c r="U313" i="3"/>
  <c r="AH313" i="3" s="1"/>
  <c r="AZ323" i="3"/>
  <c r="BF323" i="3"/>
  <c r="BP323" i="3" s="1"/>
  <c r="CE323" i="3"/>
  <c r="BN323" i="3"/>
  <c r="AV323" i="3"/>
  <c r="CJ323" i="3"/>
  <c r="CP323" i="3"/>
  <c r="CZ323" i="3" s="1"/>
  <c r="AI313" i="3"/>
  <c r="Z313" i="3"/>
  <c r="E314" i="3" s="1"/>
  <c r="G314" i="3" s="1"/>
  <c r="CX323" i="3" l="1"/>
  <c r="CF323" i="3"/>
  <c r="AX323" i="3"/>
  <c r="AY323" i="3"/>
  <c r="H314" i="3"/>
  <c r="I314" i="3" s="1"/>
  <c r="V314" i="3" l="1"/>
  <c r="AF314" i="3" s="1"/>
  <c r="P314" i="3"/>
  <c r="J314" i="3"/>
  <c r="M314" i="3" s="1"/>
  <c r="BA323" i="3"/>
  <c r="BB323" i="3" s="1"/>
  <c r="CH323" i="3"/>
  <c r="CI323" i="3"/>
  <c r="CK323" i="3" l="1"/>
  <c r="CL323" i="3" s="1"/>
  <c r="BH323" i="3"/>
  <c r="BK323" i="3" s="1"/>
  <c r="AP324" i="3" s="1"/>
  <c r="BG323" i="3"/>
  <c r="BC323" i="3"/>
  <c r="K314" i="3"/>
  <c r="AD314" i="3" l="1"/>
  <c r="L314" i="3"/>
  <c r="BO323" i="3"/>
  <c r="BS323" i="3"/>
  <c r="BJ323" i="3"/>
  <c r="AO324" i="3" s="1"/>
  <c r="AQ324" i="3" s="1"/>
  <c r="BD323" i="3"/>
  <c r="CR323" i="3"/>
  <c r="CU323" i="3" s="1"/>
  <c r="BZ324" i="3" s="1"/>
  <c r="CQ323" i="3"/>
  <c r="CM323" i="3"/>
  <c r="CY323" i="3" l="1"/>
  <c r="DC323" i="3"/>
  <c r="CT323" i="3"/>
  <c r="BY324" i="3" s="1"/>
  <c r="CA324" i="3" s="1"/>
  <c r="BL323" i="3"/>
  <c r="BE323" i="3"/>
  <c r="BR323" i="3" s="1"/>
  <c r="CN323" i="3"/>
  <c r="AR324" i="3"/>
  <c r="AS324" i="3"/>
  <c r="N314" i="3"/>
  <c r="O314" i="3"/>
  <c r="Q314" i="3" l="1"/>
  <c r="R314" i="3" s="1"/>
  <c r="BM323" i="3"/>
  <c r="AZ324" i="3"/>
  <c r="BF324" i="3"/>
  <c r="BP324" i="3" s="1"/>
  <c r="AT324" i="3"/>
  <c r="AW324" i="3" s="1"/>
  <c r="CV323" i="3"/>
  <c r="CO323" i="3"/>
  <c r="DB323" i="3" s="1"/>
  <c r="CB324" i="3"/>
  <c r="CD324" i="3" l="1"/>
  <c r="CG324" i="3" s="1"/>
  <c r="CC324" i="3"/>
  <c r="CW323" i="3"/>
  <c r="AU324" i="3"/>
  <c r="X314" i="3"/>
  <c r="AA314" i="3" s="1"/>
  <c r="F315" i="3" s="1"/>
  <c r="W314" i="3"/>
  <c r="S314" i="3"/>
  <c r="AE314" i="3" s="1"/>
  <c r="Z314" i="3" l="1"/>
  <c r="E315" i="3" s="1"/>
  <c r="G315" i="3" s="1"/>
  <c r="AI314" i="3"/>
  <c r="T314" i="3"/>
  <c r="BN324" i="3"/>
  <c r="AV324" i="3"/>
  <c r="CP324" i="3"/>
  <c r="CZ324" i="3" s="1"/>
  <c r="CJ324" i="3"/>
  <c r="CE324" i="3"/>
  <c r="CX324" i="3" l="1"/>
  <c r="CF324" i="3"/>
  <c r="AX324" i="3"/>
  <c r="AY324" i="3"/>
  <c r="AB314" i="3"/>
  <c r="AC314" i="3" s="1"/>
  <c r="U314" i="3"/>
  <c r="AH314" i="3" s="1"/>
  <c r="H315" i="3"/>
  <c r="J315" i="3" l="1"/>
  <c r="M315" i="3" s="1"/>
  <c r="I315" i="3"/>
  <c r="BA324" i="3"/>
  <c r="BB324" i="3" s="1"/>
  <c r="CH324" i="3"/>
  <c r="CI324" i="3"/>
  <c r="V315" i="3" l="1"/>
  <c r="AF315" i="3" s="1"/>
  <c r="P315" i="3"/>
  <c r="CK324" i="3"/>
  <c r="CL324" i="3" s="1"/>
  <c r="BH324" i="3"/>
  <c r="BK324" i="3" s="1"/>
  <c r="AP325" i="3" s="1"/>
  <c r="BG324" i="3"/>
  <c r="BC324" i="3"/>
  <c r="BO324" i="3" s="1"/>
  <c r="K315" i="3"/>
  <c r="AD315" i="3" l="1"/>
  <c r="L315" i="3"/>
  <c r="BS324" i="3"/>
  <c r="BJ324" i="3"/>
  <c r="AO325" i="3" s="1"/>
  <c r="AQ325" i="3" s="1"/>
  <c r="BD324" i="3"/>
  <c r="CR324" i="3"/>
  <c r="CU324" i="3" s="1"/>
  <c r="BZ325" i="3" s="1"/>
  <c r="CQ324" i="3"/>
  <c r="CM324" i="3"/>
  <c r="CY324" i="3" s="1"/>
  <c r="DC324" i="3" l="1"/>
  <c r="CT324" i="3"/>
  <c r="BY325" i="3" s="1"/>
  <c r="CA325" i="3" s="1"/>
  <c r="BL324" i="3"/>
  <c r="BM324" i="3" s="1"/>
  <c r="BE324" i="3"/>
  <c r="BR324" i="3" s="1"/>
  <c r="CN324" i="3"/>
  <c r="AR325" i="3"/>
  <c r="N315" i="3"/>
  <c r="O315" i="3"/>
  <c r="Q315" i="3" l="1"/>
  <c r="R315" i="3" s="1"/>
  <c r="AT325" i="3"/>
  <c r="AW325" i="3" s="1"/>
  <c r="AS325" i="3"/>
  <c r="CV324" i="3"/>
  <c r="CW324" i="3" s="1"/>
  <c r="CO324" i="3"/>
  <c r="DB324" i="3" s="1"/>
  <c r="CB325" i="3"/>
  <c r="CC325" i="3" s="1"/>
  <c r="CJ325" i="3" l="1"/>
  <c r="CP325" i="3"/>
  <c r="CZ325" i="3" s="1"/>
  <c r="CD325" i="3"/>
  <c r="CG325" i="3" s="1"/>
  <c r="AZ325" i="3"/>
  <c r="BF325" i="3"/>
  <c r="BP325" i="3" s="1"/>
  <c r="AU325" i="3"/>
  <c r="X315" i="3"/>
  <c r="AA315" i="3" s="1"/>
  <c r="F316" i="3" s="1"/>
  <c r="W315" i="3"/>
  <c r="S315" i="3"/>
  <c r="AE315" i="3" s="1"/>
  <c r="AI315" i="3" l="1"/>
  <c r="Z315" i="3"/>
  <c r="E316" i="3" s="1"/>
  <c r="G316" i="3" s="1"/>
  <c r="T315" i="3"/>
  <c r="CE325" i="3"/>
  <c r="BN325" i="3"/>
  <c r="AV325" i="3"/>
  <c r="AY325" i="3" l="1"/>
  <c r="AX325" i="3"/>
  <c r="CX325" i="3"/>
  <c r="CF325" i="3"/>
  <c r="AB315" i="3"/>
  <c r="AC315" i="3" s="1"/>
  <c r="U315" i="3"/>
  <c r="AH315" i="3" s="1"/>
  <c r="H316" i="3"/>
  <c r="I316" i="3" s="1"/>
  <c r="P316" i="3" l="1"/>
  <c r="V316" i="3"/>
  <c r="AF316" i="3" s="1"/>
  <c r="J316" i="3"/>
  <c r="M316" i="3" s="1"/>
  <c r="CH325" i="3"/>
  <c r="CI325" i="3"/>
  <c r="BA325" i="3"/>
  <c r="BB325" i="3" s="1"/>
  <c r="CK325" i="3" l="1"/>
  <c r="CL325" i="3" s="1"/>
  <c r="BH325" i="3"/>
  <c r="BK325" i="3" s="1"/>
  <c r="AP326" i="3" s="1"/>
  <c r="BG325" i="3"/>
  <c r="BC325" i="3"/>
  <c r="BO325" i="3" s="1"/>
  <c r="K316" i="3"/>
  <c r="AD316" i="3" l="1"/>
  <c r="L316" i="3"/>
  <c r="BS325" i="3"/>
  <c r="BJ325" i="3"/>
  <c r="AO326" i="3" s="1"/>
  <c r="AQ326" i="3" s="1"/>
  <c r="BD325" i="3"/>
  <c r="CR325" i="3"/>
  <c r="CU325" i="3" s="1"/>
  <c r="BZ326" i="3" s="1"/>
  <c r="CQ325" i="3"/>
  <c r="CM325" i="3"/>
  <c r="CY325" i="3" s="1"/>
  <c r="DC325" i="3" l="1"/>
  <c r="CT325" i="3"/>
  <c r="BY326" i="3" s="1"/>
  <c r="CA326" i="3" s="1"/>
  <c r="CN325" i="3"/>
  <c r="N316" i="3"/>
  <c r="O316" i="3"/>
  <c r="BL325" i="3"/>
  <c r="BM325" i="3" s="1"/>
  <c r="BE325" i="3"/>
  <c r="BR325" i="3" s="1"/>
  <c r="AR326" i="3"/>
  <c r="AS326" i="3" s="1"/>
  <c r="AZ326" i="3" l="1"/>
  <c r="BF326" i="3"/>
  <c r="BP326" i="3" s="1"/>
  <c r="Q316" i="3"/>
  <c r="R316" i="3" s="1"/>
  <c r="CV325" i="3"/>
  <c r="CW325" i="3" s="1"/>
  <c r="CO325" i="3"/>
  <c r="DB325" i="3" s="1"/>
  <c r="AT326" i="3"/>
  <c r="AW326" i="3" s="1"/>
  <c r="CB326" i="3"/>
  <c r="CD326" i="3" l="1"/>
  <c r="CG326" i="3" s="1"/>
  <c r="CC326" i="3"/>
  <c r="AU326" i="3"/>
  <c r="X316" i="3"/>
  <c r="AA316" i="3" s="1"/>
  <c r="F317" i="3" s="1"/>
  <c r="W316" i="3"/>
  <c r="S316" i="3"/>
  <c r="AE316" i="3" s="1"/>
  <c r="Z316" i="3" l="1"/>
  <c r="E317" i="3" s="1"/>
  <c r="G317" i="3" s="1"/>
  <c r="AI316" i="3"/>
  <c r="T316" i="3"/>
  <c r="CJ326" i="3"/>
  <c r="CP326" i="3"/>
  <c r="CZ326" i="3" s="1"/>
  <c r="BN326" i="3"/>
  <c r="AV326" i="3"/>
  <c r="CE326" i="3"/>
  <c r="CX326" i="3" l="1"/>
  <c r="CF326" i="3"/>
  <c r="AB316" i="3"/>
  <c r="AC316" i="3" s="1"/>
  <c r="U316" i="3"/>
  <c r="AH316" i="3" s="1"/>
  <c r="AX326" i="3"/>
  <c r="AY326" i="3"/>
  <c r="H317" i="3"/>
  <c r="I317" i="3" s="1"/>
  <c r="P317" i="3" l="1"/>
  <c r="V317" i="3"/>
  <c r="AF317" i="3" s="1"/>
  <c r="BA326" i="3"/>
  <c r="BB326" i="3" s="1"/>
  <c r="J317" i="3"/>
  <c r="M317" i="3" s="1"/>
  <c r="CH326" i="3"/>
  <c r="CI326" i="3"/>
  <c r="K317" i="3" l="1"/>
  <c r="AD317" i="3" s="1"/>
  <c r="CK326" i="3"/>
  <c r="CL326" i="3" s="1"/>
  <c r="L317" i="3"/>
  <c r="BH326" i="3"/>
  <c r="BK326" i="3" s="1"/>
  <c r="AP327" i="3" s="1"/>
  <c r="BG326" i="3"/>
  <c r="BC326" i="3"/>
  <c r="BO326" i="3" s="1"/>
  <c r="BS326" i="3" l="1"/>
  <c r="BJ326" i="3"/>
  <c r="AO327" i="3" s="1"/>
  <c r="AQ327" i="3" s="1"/>
  <c r="N317" i="3"/>
  <c r="O317" i="3"/>
  <c r="BD326" i="3"/>
  <c r="CR326" i="3"/>
  <c r="CU326" i="3" s="1"/>
  <c r="BZ327" i="3" s="1"/>
  <c r="CQ326" i="3"/>
  <c r="CM326" i="3"/>
  <c r="CY326" i="3" s="1"/>
  <c r="CT326" i="3" l="1"/>
  <c r="BY327" i="3" s="1"/>
  <c r="CA327" i="3" s="1"/>
  <c r="DC326" i="3"/>
  <c r="CN326" i="3"/>
  <c r="BL326" i="3"/>
  <c r="BM326" i="3" s="1"/>
  <c r="BE326" i="3"/>
  <c r="BR326" i="3" s="1"/>
  <c r="Q317" i="3"/>
  <c r="R317" i="3" s="1"/>
  <c r="AR327" i="3"/>
  <c r="AT327" i="3" l="1"/>
  <c r="AW327" i="3" s="1"/>
  <c r="AU327" i="3"/>
  <c r="BN327" i="3" s="1"/>
  <c r="AS327" i="3"/>
  <c r="X317" i="3"/>
  <c r="AA317" i="3" s="1"/>
  <c r="F318" i="3" s="1"/>
  <c r="W317" i="3"/>
  <c r="S317" i="3"/>
  <c r="AE317" i="3" s="1"/>
  <c r="CV326" i="3"/>
  <c r="CW326" i="3" s="1"/>
  <c r="CO326" i="3"/>
  <c r="DB326" i="3" s="1"/>
  <c r="CB327" i="3"/>
  <c r="CD327" i="3" l="1"/>
  <c r="CG327" i="3" s="1"/>
  <c r="Z317" i="3"/>
  <c r="E318" i="3" s="1"/>
  <c r="G318" i="3" s="1"/>
  <c r="AI317" i="3"/>
  <c r="T317" i="3"/>
  <c r="BF327" i="3"/>
  <c r="BP327" i="3" s="1"/>
  <c r="AZ327" i="3"/>
  <c r="CC327" i="3"/>
  <c r="AV327" i="3"/>
  <c r="CP327" i="3" l="1"/>
  <c r="CZ327" i="3" s="1"/>
  <c r="CJ327" i="3"/>
  <c r="AX327" i="3"/>
  <c r="AY327" i="3"/>
  <c r="AB317" i="3"/>
  <c r="AC317" i="3" s="1"/>
  <c r="U317" i="3"/>
  <c r="AH317" i="3" s="1"/>
  <c r="H318" i="3"/>
  <c r="CE327" i="3"/>
  <c r="J318" i="3" l="1"/>
  <c r="M318" i="3" s="1"/>
  <c r="I318" i="3"/>
  <c r="CX327" i="3"/>
  <c r="CF327" i="3"/>
  <c r="BA327" i="3"/>
  <c r="BB327" i="3" s="1"/>
  <c r="CH327" i="3" l="1"/>
  <c r="CI327" i="3"/>
  <c r="V318" i="3"/>
  <c r="AF318" i="3" s="1"/>
  <c r="P318" i="3"/>
  <c r="BH327" i="3"/>
  <c r="BK327" i="3" s="1"/>
  <c r="AP328" i="3" s="1"/>
  <c r="BG327" i="3"/>
  <c r="BC327" i="3"/>
  <c r="BO327" i="3" s="1"/>
  <c r="K318" i="3"/>
  <c r="AD318" i="3" l="1"/>
  <c r="L318" i="3"/>
  <c r="BS327" i="3"/>
  <c r="BJ327" i="3"/>
  <c r="AO328" i="3" s="1"/>
  <c r="AQ328" i="3" s="1"/>
  <c r="BD327" i="3"/>
  <c r="CK327" i="3"/>
  <c r="CL327" i="3" s="1"/>
  <c r="N318" i="3" l="1"/>
  <c r="O318" i="3"/>
  <c r="CR327" i="3"/>
  <c r="CU327" i="3" s="1"/>
  <c r="BZ328" i="3" s="1"/>
  <c r="CQ327" i="3"/>
  <c r="CM327" i="3"/>
  <c r="CY327" i="3" s="1"/>
  <c r="BL327" i="3"/>
  <c r="BM327" i="3" s="1"/>
  <c r="BE327" i="3"/>
  <c r="BR327" i="3" s="1"/>
  <c r="AR328" i="3"/>
  <c r="CT327" i="3" l="1"/>
  <c r="BY328" i="3" s="1"/>
  <c r="CA328" i="3" s="1"/>
  <c r="DC327" i="3"/>
  <c r="CN327" i="3"/>
  <c r="AT328" i="3"/>
  <c r="AW328" i="3" s="1"/>
  <c r="AS328" i="3"/>
  <c r="Q318" i="3"/>
  <c r="R318" i="3" s="1"/>
  <c r="X318" i="3" l="1"/>
  <c r="AA318" i="3" s="1"/>
  <c r="F319" i="3" s="1"/>
  <c r="W318" i="3"/>
  <c r="S318" i="3"/>
  <c r="AE318" i="3" s="1"/>
  <c r="AZ328" i="3"/>
  <c r="BF328" i="3"/>
  <c r="BP328" i="3" s="1"/>
  <c r="AU328" i="3"/>
  <c r="CV327" i="3"/>
  <c r="CW327" i="3" s="1"/>
  <c r="CO327" i="3"/>
  <c r="DB327" i="3" s="1"/>
  <c r="CB328" i="3"/>
  <c r="CC328" i="3" s="1"/>
  <c r="CP328" i="3" l="1"/>
  <c r="CZ328" i="3" s="1"/>
  <c r="CJ328" i="3"/>
  <c r="AI318" i="3"/>
  <c r="Z318" i="3"/>
  <c r="E319" i="3" s="1"/>
  <c r="G319" i="3" s="1"/>
  <c r="CD328" i="3"/>
  <c r="CG328" i="3" s="1"/>
  <c r="BN328" i="3"/>
  <c r="AV328" i="3"/>
  <c r="T318" i="3"/>
  <c r="H319" i="3" l="1"/>
  <c r="AX328" i="3"/>
  <c r="AY328" i="3"/>
  <c r="CE328" i="3"/>
  <c r="AB318" i="3"/>
  <c r="AC318" i="3" s="1"/>
  <c r="U318" i="3"/>
  <c r="AH318" i="3" s="1"/>
  <c r="CX328" i="3" l="1"/>
  <c r="CF328" i="3"/>
  <c r="BA328" i="3"/>
  <c r="BB328" i="3" s="1"/>
  <c r="J319" i="3"/>
  <c r="M319" i="3" s="1"/>
  <c r="I319" i="3"/>
  <c r="V319" i="3" l="1"/>
  <c r="AF319" i="3" s="1"/>
  <c r="P319" i="3"/>
  <c r="K319" i="3"/>
  <c r="BH328" i="3"/>
  <c r="BK328" i="3" s="1"/>
  <c r="AP329" i="3" s="1"/>
  <c r="BG328" i="3"/>
  <c r="BC328" i="3"/>
  <c r="BO328" i="3" s="1"/>
  <c r="CH328" i="3"/>
  <c r="CI328" i="3"/>
  <c r="CK328" i="3" l="1"/>
  <c r="CL328" i="3" s="1"/>
  <c r="BS328" i="3"/>
  <c r="BJ328" i="3"/>
  <c r="AO329" i="3" s="1"/>
  <c r="AQ329" i="3" s="1"/>
  <c r="BD328" i="3"/>
  <c r="AD319" i="3"/>
  <c r="L319" i="3"/>
  <c r="J28" i="3"/>
  <c r="N319" i="3" l="1"/>
  <c r="O319" i="3"/>
  <c r="BL328" i="3"/>
  <c r="BM328" i="3" s="1"/>
  <c r="BE328" i="3"/>
  <c r="BR328" i="3" s="1"/>
  <c r="AR329" i="3"/>
  <c r="AS329" i="3" s="1"/>
  <c r="CR328" i="3"/>
  <c r="CU328" i="3" s="1"/>
  <c r="BZ329" i="3" s="1"/>
  <c r="CQ328" i="3"/>
  <c r="CM328" i="3"/>
  <c r="CY328" i="3" s="1"/>
  <c r="AZ329" i="3" l="1"/>
  <c r="BF329" i="3"/>
  <c r="BP329" i="3" s="1"/>
  <c r="CT328" i="3"/>
  <c r="BY329" i="3" s="1"/>
  <c r="CA329" i="3" s="1"/>
  <c r="DC328" i="3"/>
  <c r="Q319" i="3"/>
  <c r="R319" i="3" s="1"/>
  <c r="CN328" i="3"/>
  <c r="AT329" i="3"/>
  <c r="AW329" i="3" s="1"/>
  <c r="AU329" i="3" l="1"/>
  <c r="CB329" i="3"/>
  <c r="CC329" i="3"/>
  <c r="CV328" i="3"/>
  <c r="CW328" i="3" s="1"/>
  <c r="CO328" i="3"/>
  <c r="DB328" i="3" s="1"/>
  <c r="X319" i="3"/>
  <c r="AA319" i="3" s="1"/>
  <c r="W319" i="3"/>
  <c r="S319" i="3"/>
  <c r="AE319" i="3" s="1"/>
  <c r="F39" i="5" l="1"/>
  <c r="T319" i="3"/>
  <c r="Y319" i="3"/>
  <c r="Z319" i="3" s="1"/>
  <c r="AI319" i="3"/>
  <c r="F320" i="3"/>
  <c r="C28" i="3"/>
  <c r="CJ329" i="3"/>
  <c r="CP329" i="3"/>
  <c r="CZ329" i="3" s="1"/>
  <c r="CD329" i="3"/>
  <c r="CG329" i="3" s="1"/>
  <c r="BN329" i="3"/>
  <c r="AV329" i="3"/>
  <c r="B39" i="5" l="1"/>
  <c r="E320" i="3"/>
  <c r="G320" i="3" s="1"/>
  <c r="B28" i="3"/>
  <c r="D28" i="3" s="1"/>
  <c r="CE329" i="3"/>
  <c r="I28" i="3"/>
  <c r="AG319" i="3"/>
  <c r="AG320" i="3" s="1"/>
  <c r="AG321" i="3" s="1"/>
  <c r="AG322" i="3" s="1"/>
  <c r="AG323" i="3" s="1"/>
  <c r="AG324" i="3" s="1"/>
  <c r="AG325" i="3" s="1"/>
  <c r="AG326" i="3" s="1"/>
  <c r="AG327" i="3" s="1"/>
  <c r="AG328" i="3" s="1"/>
  <c r="AG329" i="3" s="1"/>
  <c r="AG330" i="3" s="1"/>
  <c r="AX329" i="3"/>
  <c r="AY329" i="3"/>
  <c r="AB319" i="3"/>
  <c r="AC319" i="3" s="1"/>
  <c r="U319" i="3"/>
  <c r="AH319" i="3" s="1"/>
  <c r="BA329" i="3" l="1"/>
  <c r="BB329" i="3" s="1"/>
  <c r="CX329" i="3"/>
  <c r="CF329" i="3"/>
  <c r="H320" i="3"/>
  <c r="I320" i="3" s="1"/>
  <c r="V320" i="3" l="1"/>
  <c r="AF320" i="3" s="1"/>
  <c r="P320" i="3"/>
  <c r="J320" i="3"/>
  <c r="M320" i="3" s="1"/>
  <c r="CH329" i="3"/>
  <c r="CI329" i="3"/>
  <c r="BH329" i="3"/>
  <c r="BK329" i="3" s="1"/>
  <c r="AP330" i="3" s="1"/>
  <c r="BG329" i="3"/>
  <c r="BC329" i="3"/>
  <c r="BO329" i="3" s="1"/>
  <c r="BJ329" i="3" l="1"/>
  <c r="AO330" i="3" s="1"/>
  <c r="AQ330" i="3" s="1"/>
  <c r="BS329" i="3"/>
  <c r="BD329" i="3"/>
  <c r="CK329" i="3"/>
  <c r="CL329" i="3" s="1"/>
  <c r="K320" i="3"/>
  <c r="AD320" i="3" l="1"/>
  <c r="L320" i="3"/>
  <c r="BL329" i="3"/>
  <c r="BM329" i="3" s="1"/>
  <c r="BE329" i="3"/>
  <c r="BR329" i="3" s="1"/>
  <c r="CR329" i="3"/>
  <c r="CU329" i="3" s="1"/>
  <c r="BZ330" i="3" s="1"/>
  <c r="CQ329" i="3"/>
  <c r="CM329" i="3"/>
  <c r="CY329" i="3" s="1"/>
  <c r="AR330" i="3"/>
  <c r="AS330" i="3"/>
  <c r="BF330" i="3" l="1"/>
  <c r="BP330" i="3" s="1"/>
  <c r="AZ330" i="3"/>
  <c r="DC329" i="3"/>
  <c r="CT329" i="3"/>
  <c r="BY330" i="3" s="1"/>
  <c r="CA330" i="3" s="1"/>
  <c r="CN329" i="3"/>
  <c r="N320" i="3"/>
  <c r="O320" i="3"/>
  <c r="AT330" i="3"/>
  <c r="AW330" i="3" s="1"/>
  <c r="AU330" i="3" l="1"/>
  <c r="Q320" i="3"/>
  <c r="R320" i="3" s="1"/>
  <c r="CV329" i="3"/>
  <c r="CW329" i="3" s="1"/>
  <c r="CO329" i="3"/>
  <c r="DB329" i="3" s="1"/>
  <c r="CB330" i="3"/>
  <c r="CD330" i="3" l="1"/>
  <c r="CG330" i="3" s="1"/>
  <c r="CE330" i="3"/>
  <c r="CX330" i="3" s="1"/>
  <c r="CC330" i="3"/>
  <c r="X320" i="3"/>
  <c r="AA320" i="3" s="1"/>
  <c r="F321" i="3" s="1"/>
  <c r="W320" i="3"/>
  <c r="S320" i="3"/>
  <c r="BN330" i="3"/>
  <c r="AV330" i="3"/>
  <c r="AY330" i="3" l="1"/>
  <c r="AX330" i="3"/>
  <c r="AI320" i="3"/>
  <c r="Z320" i="3"/>
  <c r="E321" i="3" s="1"/>
  <c r="G321" i="3" s="1"/>
  <c r="AE320" i="3"/>
  <c r="T320" i="3"/>
  <c r="CP330" i="3"/>
  <c r="CZ330" i="3" s="1"/>
  <c r="CJ330" i="3"/>
  <c r="CF330" i="3"/>
  <c r="CH330" i="3" l="1"/>
  <c r="CI330" i="3"/>
  <c r="H321" i="3"/>
  <c r="AB320" i="3"/>
  <c r="U320" i="3"/>
  <c r="AH320" i="3" s="1"/>
  <c r="BA330" i="3"/>
  <c r="BB330" i="3" s="1"/>
  <c r="J321" i="3" l="1"/>
  <c r="M321" i="3" s="1"/>
  <c r="BH330" i="3"/>
  <c r="BK330" i="3" s="1"/>
  <c r="AP331" i="3" s="1"/>
  <c r="BG330" i="3"/>
  <c r="BC330" i="3"/>
  <c r="BO330" i="3" s="1"/>
  <c r="AC320" i="3"/>
  <c r="I321" i="3"/>
  <c r="CK330" i="3"/>
  <c r="CL330" i="3" s="1"/>
  <c r="CR330" i="3" l="1"/>
  <c r="CU330" i="3" s="1"/>
  <c r="BZ331" i="3" s="1"/>
  <c r="CQ330" i="3"/>
  <c r="CM330" i="3"/>
  <c r="CY330" i="3" s="1"/>
  <c r="P321" i="3"/>
  <c r="V321" i="3"/>
  <c r="AF321" i="3" s="1"/>
  <c r="BJ330" i="3"/>
  <c r="AO331" i="3" s="1"/>
  <c r="AQ331" i="3" s="1"/>
  <c r="BS330" i="3"/>
  <c r="BD330" i="3"/>
  <c r="K321" i="3"/>
  <c r="CN330" i="3" l="1"/>
  <c r="AD321" i="3"/>
  <c r="L321" i="3"/>
  <c r="BL330" i="3"/>
  <c r="BM330" i="3" s="1"/>
  <c r="BE330" i="3"/>
  <c r="BR330" i="3" s="1"/>
  <c r="CV330" i="3"/>
  <c r="CW330" i="3" s="1"/>
  <c r="CO330" i="3"/>
  <c r="DB330" i="3" s="1"/>
  <c r="AR331" i="3"/>
  <c r="CT330" i="3"/>
  <c r="BY331" i="3" s="1"/>
  <c r="CA331" i="3" s="1"/>
  <c r="DC330" i="3"/>
  <c r="AT331" i="3" l="1"/>
  <c r="AW331" i="3" s="1"/>
  <c r="AS331" i="3"/>
  <c r="N321" i="3"/>
  <c r="O321" i="3"/>
  <c r="CB331" i="3"/>
  <c r="CC331" i="3" s="1"/>
  <c r="CP331" i="3" l="1"/>
  <c r="CZ331" i="3" s="1"/>
  <c r="CJ331" i="3"/>
  <c r="CD331" i="3"/>
  <c r="CG331" i="3" s="1"/>
  <c r="Q321" i="3"/>
  <c r="R321" i="3" s="1"/>
  <c r="AZ331" i="3"/>
  <c r="BF331" i="3"/>
  <c r="BP331" i="3" s="1"/>
  <c r="AU331" i="3"/>
  <c r="W29" i="3" l="1"/>
  <c r="BN331" i="3"/>
  <c r="AV331" i="3"/>
  <c r="X321" i="3"/>
  <c r="AA321" i="3" s="1"/>
  <c r="F322" i="3" s="1"/>
  <c r="W321" i="3"/>
  <c r="S321" i="3"/>
  <c r="CE331" i="3"/>
  <c r="AJ29" i="3"/>
  <c r="CX331" i="3" l="1"/>
  <c r="CF331" i="3"/>
  <c r="AE321" i="3"/>
  <c r="Z321" i="3"/>
  <c r="E322" i="3" s="1"/>
  <c r="G322" i="3" s="1"/>
  <c r="AI321" i="3"/>
  <c r="T321" i="3"/>
  <c r="AX331" i="3"/>
  <c r="AY331" i="3"/>
  <c r="BA331" i="3" l="1"/>
  <c r="BB331" i="3" s="1"/>
  <c r="AB321" i="3"/>
  <c r="U321" i="3"/>
  <c r="AH321" i="3" s="1"/>
  <c r="H322" i="3"/>
  <c r="I322" i="3" s="1"/>
  <c r="CH331" i="3"/>
  <c r="CI331" i="3"/>
  <c r="V322" i="3" l="1"/>
  <c r="AF322" i="3" s="1"/>
  <c r="P322" i="3"/>
  <c r="CK331" i="3"/>
  <c r="CL331" i="3" s="1"/>
  <c r="AC321" i="3"/>
  <c r="J322" i="3"/>
  <c r="M322" i="3" s="1"/>
  <c r="BH331" i="3"/>
  <c r="BK331" i="3" s="1"/>
  <c r="BG331" i="3"/>
  <c r="BC331" i="3"/>
  <c r="BO331" i="3" s="1"/>
  <c r="G40" i="5" l="1"/>
  <c r="BD331" i="3"/>
  <c r="BI331" i="3"/>
  <c r="BJ331" i="3" s="1"/>
  <c r="BS331" i="3"/>
  <c r="AP332" i="3"/>
  <c r="P29" i="3"/>
  <c r="K322" i="3"/>
  <c r="CR331" i="3"/>
  <c r="CU331" i="3" s="1"/>
  <c r="CQ331" i="3"/>
  <c r="CM331" i="3"/>
  <c r="CY331" i="3" s="1"/>
  <c r="CS331" i="3" l="1"/>
  <c r="CT331" i="3"/>
  <c r="DC331" i="3"/>
  <c r="BZ332" i="3"/>
  <c r="AC29" i="3"/>
  <c r="BL331" i="3"/>
  <c r="BM331" i="3" s="1"/>
  <c r="BE331" i="3"/>
  <c r="BR331" i="3" s="1"/>
  <c r="H40" i="5"/>
  <c r="CN331" i="3"/>
  <c r="AD322" i="3"/>
  <c r="L322" i="3"/>
  <c r="C40" i="5"/>
  <c r="AO332" i="3"/>
  <c r="AQ332" i="3" s="1"/>
  <c r="O29" i="3"/>
  <c r="Q29" i="3" s="1"/>
  <c r="V29" i="3"/>
  <c r="BQ331" i="3"/>
  <c r="BQ332" i="3" s="1"/>
  <c r="BQ333" i="3" s="1"/>
  <c r="BQ334" i="3" s="1"/>
  <c r="BQ335" i="3" s="1"/>
  <c r="BQ336" i="3" s="1"/>
  <c r="BQ337" i="3" s="1"/>
  <c r="BQ338" i="3" s="1"/>
  <c r="BQ339" i="3" s="1"/>
  <c r="BQ340" i="3" s="1"/>
  <c r="BQ341" i="3" s="1"/>
  <c r="BQ342" i="3" s="1"/>
  <c r="AR332" i="3" l="1"/>
  <c r="CV331" i="3"/>
  <c r="CW331" i="3" s="1"/>
  <c r="CO331" i="3"/>
  <c r="DB331" i="3" s="1"/>
  <c r="O322" i="3"/>
  <c r="N322" i="3"/>
  <c r="D40" i="5"/>
  <c r="BY332" i="3"/>
  <c r="CA332" i="3" s="1"/>
  <c r="AB29" i="3"/>
  <c r="AD29" i="3" s="1"/>
  <c r="AI29" i="3"/>
  <c r="DA331" i="3"/>
  <c r="DA332" i="3" s="1"/>
  <c r="DA333" i="3" s="1"/>
  <c r="DA334" i="3" s="1"/>
  <c r="DA335" i="3" s="1"/>
  <c r="DA336" i="3" s="1"/>
  <c r="DA337" i="3" s="1"/>
  <c r="DA338" i="3" s="1"/>
  <c r="DA339" i="3" s="1"/>
  <c r="DA340" i="3" s="1"/>
  <c r="DA341" i="3" s="1"/>
  <c r="DA342" i="3" s="1"/>
  <c r="CB332" i="3" l="1"/>
  <c r="Q322" i="3"/>
  <c r="R322" i="3" s="1"/>
  <c r="AT332" i="3"/>
  <c r="AW332" i="3" s="1"/>
  <c r="AS332" i="3"/>
  <c r="BF332" i="3" l="1"/>
  <c r="BP332" i="3" s="1"/>
  <c r="AZ332" i="3"/>
  <c r="AU332" i="3"/>
  <c r="X322" i="3"/>
  <c r="AA322" i="3" s="1"/>
  <c r="F323" i="3" s="1"/>
  <c r="W322" i="3"/>
  <c r="S322" i="3"/>
  <c r="CD332" i="3"/>
  <c r="CG332" i="3" s="1"/>
  <c r="CC332" i="3"/>
  <c r="CP332" i="3" l="1"/>
  <c r="CZ332" i="3" s="1"/>
  <c r="CJ332" i="3"/>
  <c r="Z322" i="3"/>
  <c r="E323" i="3" s="1"/>
  <c r="G323" i="3" s="1"/>
  <c r="AI322" i="3"/>
  <c r="CE332" i="3"/>
  <c r="AE322" i="3"/>
  <c r="T322" i="3"/>
  <c r="BN332" i="3"/>
  <c r="AV332" i="3"/>
  <c r="AX332" i="3" l="1"/>
  <c r="AY332" i="3"/>
  <c r="AB322" i="3"/>
  <c r="U322" i="3"/>
  <c r="AH322" i="3" s="1"/>
  <c r="H323" i="3"/>
  <c r="CX332" i="3"/>
  <c r="CF332" i="3"/>
  <c r="CH332" i="3" l="1"/>
  <c r="CI332" i="3"/>
  <c r="J323" i="3"/>
  <c r="M323" i="3" s="1"/>
  <c r="I323" i="3"/>
  <c r="AC322" i="3"/>
  <c r="BA332" i="3"/>
  <c r="BB332" i="3" s="1"/>
  <c r="BH332" i="3" l="1"/>
  <c r="BK332" i="3" s="1"/>
  <c r="AP333" i="3" s="1"/>
  <c r="BG332" i="3"/>
  <c r="BC332" i="3"/>
  <c r="BD332" i="3" s="1"/>
  <c r="V323" i="3"/>
  <c r="AF323" i="3" s="1"/>
  <c r="P323" i="3"/>
  <c r="K323" i="3"/>
  <c r="CK332" i="3"/>
  <c r="CL332" i="3" s="1"/>
  <c r="BL332" i="3" l="1"/>
  <c r="BE332" i="3"/>
  <c r="BR332" i="3" s="1"/>
  <c r="AD323" i="3"/>
  <c r="L323" i="3"/>
  <c r="BJ332" i="3"/>
  <c r="AO333" i="3" s="1"/>
  <c r="AQ333" i="3" s="1"/>
  <c r="BS332" i="3"/>
  <c r="CR332" i="3"/>
  <c r="CU332" i="3" s="1"/>
  <c r="BZ333" i="3" s="1"/>
  <c r="CQ332" i="3"/>
  <c r="CM332" i="3"/>
  <c r="BO332" i="3"/>
  <c r="DC332" i="3" l="1"/>
  <c r="CT332" i="3"/>
  <c r="BY333" i="3" s="1"/>
  <c r="CA333" i="3" s="1"/>
  <c r="N323" i="3"/>
  <c r="O323" i="3"/>
  <c r="CY332" i="3"/>
  <c r="CN332" i="3"/>
  <c r="AR333" i="3"/>
  <c r="BM332" i="3"/>
  <c r="AT333" i="3" l="1"/>
  <c r="AW333" i="3" s="1"/>
  <c r="AS333" i="3"/>
  <c r="CV332" i="3"/>
  <c r="CO332" i="3"/>
  <c r="DB332" i="3" s="1"/>
  <c r="Q323" i="3"/>
  <c r="R323" i="3" s="1"/>
  <c r="CB333" i="3"/>
  <c r="CD333" i="3" l="1"/>
  <c r="CG333" i="3" s="1"/>
  <c r="CE333" i="3"/>
  <c r="CC333" i="3"/>
  <c r="X323" i="3"/>
  <c r="AA323" i="3" s="1"/>
  <c r="F324" i="3" s="1"/>
  <c r="W323" i="3"/>
  <c r="S323" i="3"/>
  <c r="CW332" i="3"/>
  <c r="BF333" i="3"/>
  <c r="BP333" i="3" s="1"/>
  <c r="AZ333" i="3"/>
  <c r="AU333" i="3"/>
  <c r="BN333" i="3" l="1"/>
  <c r="AV333" i="3"/>
  <c r="AE323" i="3"/>
  <c r="AI323" i="3"/>
  <c r="Z323" i="3"/>
  <c r="E324" i="3" s="1"/>
  <c r="G324" i="3" s="1"/>
  <c r="T323" i="3"/>
  <c r="CJ333" i="3"/>
  <c r="CP333" i="3"/>
  <c r="CZ333" i="3" s="1"/>
  <c r="CX333" i="3"/>
  <c r="CF333" i="3"/>
  <c r="H324" i="3" l="1"/>
  <c r="AB323" i="3"/>
  <c r="U323" i="3"/>
  <c r="AH323" i="3" s="1"/>
  <c r="AY333" i="3"/>
  <c r="AX333" i="3"/>
  <c r="CI333" i="3"/>
  <c r="CH333" i="3"/>
  <c r="CK333" i="3" l="1"/>
  <c r="CL333" i="3" s="1"/>
  <c r="BA333" i="3"/>
  <c r="BB333" i="3" s="1"/>
  <c r="AC323" i="3"/>
  <c r="J324" i="3"/>
  <c r="M324" i="3" s="1"/>
  <c r="I324" i="3"/>
  <c r="P324" i="3" l="1"/>
  <c r="V324" i="3"/>
  <c r="AF324" i="3" s="1"/>
  <c r="K324" i="3"/>
  <c r="BH333" i="3"/>
  <c r="BK333" i="3" s="1"/>
  <c r="AP334" i="3" s="1"/>
  <c r="BG333" i="3"/>
  <c r="BC333" i="3"/>
  <c r="CR333" i="3"/>
  <c r="CU333" i="3" s="1"/>
  <c r="BZ334" i="3" s="1"/>
  <c r="CQ333" i="3"/>
  <c r="CM333" i="3"/>
  <c r="CY333" i="3" l="1"/>
  <c r="CN333" i="3"/>
  <c r="BS333" i="3"/>
  <c r="BJ333" i="3"/>
  <c r="AO334" i="3" s="1"/>
  <c r="AQ334" i="3" s="1"/>
  <c r="AD324" i="3"/>
  <c r="L324" i="3"/>
  <c r="DC333" i="3"/>
  <c r="CT333" i="3"/>
  <c r="BY334" i="3" s="1"/>
  <c r="CA334" i="3" s="1"/>
  <c r="BO333" i="3"/>
  <c r="BD333" i="3"/>
  <c r="BL333" i="3" l="1"/>
  <c r="BE333" i="3"/>
  <c r="BR333" i="3" s="1"/>
  <c r="CB334" i="3"/>
  <c r="N324" i="3"/>
  <c r="O324" i="3"/>
  <c r="AR334" i="3"/>
  <c r="CV333" i="3"/>
  <c r="CO333" i="3"/>
  <c r="DB333" i="3" s="1"/>
  <c r="Q324" i="3" l="1"/>
  <c r="R324" i="3" s="1"/>
  <c r="AT334" i="3"/>
  <c r="AW334" i="3" s="1"/>
  <c r="AS334" i="3"/>
  <c r="CW333" i="3"/>
  <c r="CD334" i="3"/>
  <c r="CG334" i="3" s="1"/>
  <c r="CC334" i="3"/>
  <c r="BM333" i="3"/>
  <c r="CP334" i="3" l="1"/>
  <c r="CZ334" i="3" s="1"/>
  <c r="CJ334" i="3"/>
  <c r="CE334" i="3"/>
  <c r="AU334" i="3"/>
  <c r="AZ334" i="3"/>
  <c r="BF334" i="3"/>
  <c r="BP334" i="3" s="1"/>
  <c r="X324" i="3"/>
  <c r="AA324" i="3" s="1"/>
  <c r="F325" i="3" s="1"/>
  <c r="W324" i="3"/>
  <c r="S324" i="3"/>
  <c r="AE324" i="3" s="1"/>
  <c r="T324" i="3" l="1"/>
  <c r="CX334" i="3"/>
  <c r="CF334" i="3"/>
  <c r="Z324" i="3"/>
  <c r="E325" i="3" s="1"/>
  <c r="G325" i="3" s="1"/>
  <c r="AI324" i="3"/>
  <c r="BN334" i="3"/>
  <c r="AV334" i="3"/>
  <c r="AX334" i="3" l="1"/>
  <c r="AY334" i="3"/>
  <c r="H325" i="3"/>
  <c r="CH334" i="3"/>
  <c r="CI334" i="3"/>
  <c r="AB324" i="3"/>
  <c r="AC324" i="3" s="1"/>
  <c r="U324" i="3"/>
  <c r="AH324" i="3" s="1"/>
  <c r="CK334" i="3" l="1"/>
  <c r="CL334" i="3" s="1"/>
  <c r="J325" i="3"/>
  <c r="M325" i="3" s="1"/>
  <c r="I325" i="3"/>
  <c r="BA334" i="3"/>
  <c r="BB334" i="3" s="1"/>
  <c r="BH334" i="3" l="1"/>
  <c r="BK334" i="3" s="1"/>
  <c r="AP335" i="3" s="1"/>
  <c r="BG334" i="3"/>
  <c r="BC334" i="3"/>
  <c r="V325" i="3"/>
  <c r="AF325" i="3" s="1"/>
  <c r="P325" i="3"/>
  <c r="K325" i="3"/>
  <c r="CR334" i="3"/>
  <c r="CU334" i="3" s="1"/>
  <c r="BZ335" i="3" s="1"/>
  <c r="CQ334" i="3"/>
  <c r="CM334" i="3"/>
  <c r="CY334" i="3" l="1"/>
  <c r="CN334" i="3"/>
  <c r="BO334" i="3"/>
  <c r="BD334" i="3"/>
  <c r="CT334" i="3"/>
  <c r="BY335" i="3" s="1"/>
  <c r="CA335" i="3" s="1"/>
  <c r="DC334" i="3"/>
  <c r="AD325" i="3"/>
  <c r="L325" i="3"/>
  <c r="BJ334" i="3"/>
  <c r="AO335" i="3" s="1"/>
  <c r="AQ335" i="3" s="1"/>
  <c r="BS334" i="3"/>
  <c r="AR335" i="3" l="1"/>
  <c r="O325" i="3"/>
  <c r="N325" i="3"/>
  <c r="CB335" i="3"/>
  <c r="CC335" i="3"/>
  <c r="BL334" i="3"/>
  <c r="BE334" i="3"/>
  <c r="BR334" i="3" s="1"/>
  <c r="CV334" i="3"/>
  <c r="CO334" i="3"/>
  <c r="DB334" i="3" s="1"/>
  <c r="CW334" i="3" l="1"/>
  <c r="BM334" i="3"/>
  <c r="CP335" i="3"/>
  <c r="CZ335" i="3" s="1"/>
  <c r="CJ335" i="3"/>
  <c r="CD335" i="3"/>
  <c r="CG335" i="3" s="1"/>
  <c r="Q325" i="3"/>
  <c r="R325" i="3" s="1"/>
  <c r="AT335" i="3"/>
  <c r="AW335" i="3" s="1"/>
  <c r="AS335" i="3"/>
  <c r="CE335" i="3" l="1"/>
  <c r="X325" i="3"/>
  <c r="AA325" i="3" s="1"/>
  <c r="F326" i="3" s="1"/>
  <c r="W325" i="3"/>
  <c r="S325" i="3"/>
  <c r="AE325" i="3" s="1"/>
  <c r="BF335" i="3"/>
  <c r="BP335" i="3" s="1"/>
  <c r="AZ335" i="3"/>
  <c r="AU335" i="3"/>
  <c r="BN335" i="3" l="1"/>
  <c r="AV335" i="3"/>
  <c r="AI325" i="3"/>
  <c r="Z325" i="3"/>
  <c r="E326" i="3" s="1"/>
  <c r="G326" i="3" s="1"/>
  <c r="T325" i="3"/>
  <c r="CX335" i="3"/>
  <c r="CF335" i="3"/>
  <c r="CH335" i="3" l="1"/>
  <c r="CI335" i="3"/>
  <c r="H326" i="3"/>
  <c r="I326" i="3"/>
  <c r="AB325" i="3"/>
  <c r="AC325" i="3" s="1"/>
  <c r="U325" i="3"/>
  <c r="AH325" i="3" s="1"/>
  <c r="AX335" i="3"/>
  <c r="AY335" i="3"/>
  <c r="BA335" i="3" l="1"/>
  <c r="BB335" i="3" s="1"/>
  <c r="P326" i="3"/>
  <c r="V326" i="3"/>
  <c r="AF326" i="3" s="1"/>
  <c r="J326" i="3"/>
  <c r="M326" i="3" s="1"/>
  <c r="CK335" i="3"/>
  <c r="CL335" i="3" s="1"/>
  <c r="CR335" i="3" l="1"/>
  <c r="CU335" i="3" s="1"/>
  <c r="BZ336" i="3" s="1"/>
  <c r="CQ335" i="3"/>
  <c r="CM335" i="3"/>
  <c r="K326" i="3"/>
  <c r="BH335" i="3"/>
  <c r="BK335" i="3" s="1"/>
  <c r="AP336" i="3" s="1"/>
  <c r="BG335" i="3"/>
  <c r="BC335" i="3"/>
  <c r="BJ335" i="3" l="1"/>
  <c r="AO336" i="3" s="1"/>
  <c r="AQ336" i="3" s="1"/>
  <c r="BS335" i="3"/>
  <c r="BO335" i="3"/>
  <c r="BD335" i="3"/>
  <c r="CY335" i="3"/>
  <c r="CN335" i="3"/>
  <c r="AD326" i="3"/>
  <c r="L326" i="3"/>
  <c r="CT335" i="3"/>
  <c r="BY336" i="3" s="1"/>
  <c r="CA336" i="3" s="1"/>
  <c r="DC335" i="3"/>
  <c r="CB336" i="3" l="1"/>
  <c r="N326" i="3"/>
  <c r="O326" i="3"/>
  <c r="CV335" i="3"/>
  <c r="CO335" i="3"/>
  <c r="DB335" i="3" s="1"/>
  <c r="BL335" i="3"/>
  <c r="BE335" i="3"/>
  <c r="BR335" i="3" s="1"/>
  <c r="AR336" i="3"/>
  <c r="AT336" i="3" l="1"/>
  <c r="AW336" i="3" s="1"/>
  <c r="AU336" i="3"/>
  <c r="BN336" i="3" s="1"/>
  <c r="AS336" i="3"/>
  <c r="BM335" i="3"/>
  <c r="CW335" i="3"/>
  <c r="Q326" i="3"/>
  <c r="R326" i="3" s="1"/>
  <c r="CD336" i="3"/>
  <c r="CG336" i="3" s="1"/>
  <c r="CC336" i="3"/>
  <c r="CE336" i="3" l="1"/>
  <c r="CJ336" i="3"/>
  <c r="CP336" i="3"/>
  <c r="CZ336" i="3" s="1"/>
  <c r="X326" i="3"/>
  <c r="AA326" i="3" s="1"/>
  <c r="F327" i="3" s="1"/>
  <c r="W326" i="3"/>
  <c r="S326" i="3"/>
  <c r="AE326" i="3" s="1"/>
  <c r="AZ336" i="3"/>
  <c r="BF336" i="3"/>
  <c r="BP336" i="3" s="1"/>
  <c r="AV336" i="3"/>
  <c r="AI326" i="3" l="1"/>
  <c r="Z326" i="3"/>
  <c r="E327" i="3" s="1"/>
  <c r="G327" i="3" s="1"/>
  <c r="AX336" i="3"/>
  <c r="AY336" i="3"/>
  <c r="T326" i="3"/>
  <c r="CX336" i="3"/>
  <c r="CF336" i="3"/>
  <c r="CH336" i="3" l="1"/>
  <c r="CI336" i="3"/>
  <c r="AB326" i="3"/>
  <c r="AC326" i="3" s="1"/>
  <c r="U326" i="3"/>
  <c r="AH326" i="3" s="1"/>
  <c r="BA336" i="3"/>
  <c r="BB336" i="3" s="1"/>
  <c r="H327" i="3"/>
  <c r="J327" i="3" l="1"/>
  <c r="M327" i="3" s="1"/>
  <c r="I327" i="3"/>
  <c r="BH336" i="3"/>
  <c r="BK336" i="3" s="1"/>
  <c r="AP337" i="3" s="1"/>
  <c r="BG336" i="3"/>
  <c r="BC336" i="3"/>
  <c r="BO336" i="3" s="1"/>
  <c r="CK336" i="3"/>
  <c r="CL336" i="3" s="1"/>
  <c r="CR336" i="3" l="1"/>
  <c r="CU336" i="3" s="1"/>
  <c r="BZ337" i="3" s="1"/>
  <c r="CQ336" i="3"/>
  <c r="CM336" i="3"/>
  <c r="CY336" i="3" s="1"/>
  <c r="BS336" i="3"/>
  <c r="BJ336" i="3"/>
  <c r="AO337" i="3" s="1"/>
  <c r="AQ337" i="3" s="1"/>
  <c r="P327" i="3"/>
  <c r="V327" i="3"/>
  <c r="AF327" i="3" s="1"/>
  <c r="BD336" i="3"/>
  <c r="K327" i="3"/>
  <c r="CN336" i="3" l="1"/>
  <c r="AD327" i="3"/>
  <c r="L327" i="3"/>
  <c r="BL336" i="3"/>
  <c r="BM336" i="3" s="1"/>
  <c r="BE336" i="3"/>
  <c r="BR336" i="3" s="1"/>
  <c r="AR337" i="3"/>
  <c r="DC336" i="3"/>
  <c r="CT336" i="3"/>
  <c r="BY337" i="3" s="1"/>
  <c r="CA337" i="3" s="1"/>
  <c r="AT337" i="3" l="1"/>
  <c r="AW337" i="3" s="1"/>
  <c r="CB337" i="3"/>
  <c r="CC337" i="3" s="1"/>
  <c r="AS337" i="3"/>
  <c r="N327" i="3"/>
  <c r="O327" i="3"/>
  <c r="CV336" i="3"/>
  <c r="CW336" i="3" s="1"/>
  <c r="CO336" i="3"/>
  <c r="DB336" i="3" s="1"/>
  <c r="CJ337" i="3" l="1"/>
  <c r="CP337" i="3"/>
  <c r="CZ337" i="3" s="1"/>
  <c r="Q327" i="3"/>
  <c r="R327" i="3" s="1"/>
  <c r="AZ337" i="3"/>
  <c r="BF337" i="3"/>
  <c r="BP337" i="3" s="1"/>
  <c r="CD337" i="3"/>
  <c r="CG337" i="3" s="1"/>
  <c r="CE337" i="3"/>
  <c r="CX337" i="3" s="1"/>
  <c r="AU337" i="3"/>
  <c r="BN337" i="3" l="1"/>
  <c r="AV337" i="3"/>
  <c r="X327" i="3"/>
  <c r="AA327" i="3" s="1"/>
  <c r="F328" i="3" s="1"/>
  <c r="W327" i="3"/>
  <c r="S327" i="3"/>
  <c r="AE327" i="3" s="1"/>
  <c r="CF337" i="3"/>
  <c r="CH337" i="3" l="1"/>
  <c r="CI337" i="3"/>
  <c r="AI327" i="3"/>
  <c r="Z327" i="3"/>
  <c r="E328" i="3" s="1"/>
  <c r="G328" i="3" s="1"/>
  <c r="T327" i="3"/>
  <c r="AX337" i="3"/>
  <c r="AY337" i="3"/>
  <c r="AB327" i="3" l="1"/>
  <c r="AC327" i="3" s="1"/>
  <c r="U327" i="3"/>
  <c r="AH327" i="3" s="1"/>
  <c r="CK337" i="3"/>
  <c r="CL337" i="3" s="1"/>
  <c r="BA337" i="3"/>
  <c r="BB337" i="3" s="1"/>
  <c r="H328" i="3"/>
  <c r="J328" i="3" l="1"/>
  <c r="M328" i="3" s="1"/>
  <c r="I328" i="3"/>
  <c r="BH337" i="3"/>
  <c r="BK337" i="3" s="1"/>
  <c r="AP338" i="3" s="1"/>
  <c r="BG337" i="3"/>
  <c r="BC337" i="3"/>
  <c r="BO337" i="3" s="1"/>
  <c r="CR337" i="3"/>
  <c r="CU337" i="3" s="1"/>
  <c r="BZ338" i="3" s="1"/>
  <c r="CQ337" i="3"/>
  <c r="CM337" i="3"/>
  <c r="CY337" i="3" s="1"/>
  <c r="CT337" i="3" l="1"/>
  <c r="BY338" i="3" s="1"/>
  <c r="CA338" i="3" s="1"/>
  <c r="DC337" i="3"/>
  <c r="CN337" i="3"/>
  <c r="BJ337" i="3"/>
  <c r="AO338" i="3" s="1"/>
  <c r="AQ338" i="3" s="1"/>
  <c r="BS337" i="3"/>
  <c r="V328" i="3"/>
  <c r="AF328" i="3" s="1"/>
  <c r="P328" i="3"/>
  <c r="BD337" i="3"/>
  <c r="K328" i="3"/>
  <c r="AD328" i="3" l="1"/>
  <c r="L328" i="3"/>
  <c r="BL337" i="3"/>
  <c r="BM337" i="3" s="1"/>
  <c r="BE337" i="3"/>
  <c r="BR337" i="3" s="1"/>
  <c r="AR338" i="3"/>
  <c r="AS338" i="3" s="1"/>
  <c r="CV337" i="3"/>
  <c r="CW337" i="3" s="1"/>
  <c r="CO337" i="3"/>
  <c r="DB337" i="3" s="1"/>
  <c r="CB338" i="3"/>
  <c r="BF338" i="3" l="1"/>
  <c r="BP338" i="3" s="1"/>
  <c r="AZ338" i="3"/>
  <c r="CD338" i="3"/>
  <c r="CG338" i="3" s="1"/>
  <c r="CC338" i="3"/>
  <c r="AT338" i="3"/>
  <c r="AW338" i="3" s="1"/>
  <c r="N328" i="3"/>
  <c r="O328" i="3"/>
  <c r="CP338" i="3" l="1"/>
  <c r="CZ338" i="3" s="1"/>
  <c r="CJ338" i="3"/>
  <c r="AU338" i="3"/>
  <c r="CE338" i="3"/>
  <c r="Q328" i="3"/>
  <c r="R328" i="3" s="1"/>
  <c r="BN338" i="3" l="1"/>
  <c r="AV338" i="3"/>
  <c r="X328" i="3"/>
  <c r="AA328" i="3" s="1"/>
  <c r="F329" i="3" s="1"/>
  <c r="W328" i="3"/>
  <c r="S328" i="3"/>
  <c r="AE328" i="3" s="1"/>
  <c r="CX338" i="3"/>
  <c r="CF338" i="3"/>
  <c r="CI338" i="3" l="1"/>
  <c r="CH338" i="3"/>
  <c r="Z328" i="3"/>
  <c r="E329" i="3" s="1"/>
  <c r="G329" i="3" s="1"/>
  <c r="AI328" i="3"/>
  <c r="T328" i="3"/>
  <c r="AX338" i="3"/>
  <c r="AY338" i="3"/>
  <c r="AB328" i="3" l="1"/>
  <c r="AC328" i="3" s="1"/>
  <c r="U328" i="3"/>
  <c r="AH328" i="3" s="1"/>
  <c r="BA338" i="3"/>
  <c r="BB338" i="3" s="1"/>
  <c r="H329" i="3"/>
  <c r="CK338" i="3"/>
  <c r="CL338" i="3" s="1"/>
  <c r="CR338" i="3" l="1"/>
  <c r="CU338" i="3" s="1"/>
  <c r="BZ339" i="3" s="1"/>
  <c r="CQ338" i="3"/>
  <c r="CM338" i="3"/>
  <c r="CY338" i="3" s="1"/>
  <c r="J329" i="3"/>
  <c r="M329" i="3" s="1"/>
  <c r="I329" i="3"/>
  <c r="BH338" i="3"/>
  <c r="BK338" i="3" s="1"/>
  <c r="AP339" i="3" s="1"/>
  <c r="BG338" i="3"/>
  <c r="BC338" i="3"/>
  <c r="BO338" i="3" s="1"/>
  <c r="BS338" i="3" l="1"/>
  <c r="BJ338" i="3"/>
  <c r="AO339" i="3" s="1"/>
  <c r="AQ339" i="3" s="1"/>
  <c r="BD338" i="3"/>
  <c r="K329" i="3"/>
  <c r="DC338" i="3"/>
  <c r="CT338" i="3"/>
  <c r="BY339" i="3" s="1"/>
  <c r="CA339" i="3" s="1"/>
  <c r="P329" i="3"/>
  <c r="V329" i="3"/>
  <c r="AF329" i="3" s="1"/>
  <c r="CN338" i="3"/>
  <c r="CV338" i="3" l="1"/>
  <c r="CW338" i="3" s="1"/>
  <c r="CO338" i="3"/>
  <c r="DB338" i="3" s="1"/>
  <c r="CB339" i="3"/>
  <c r="AD329" i="3"/>
  <c r="L329" i="3"/>
  <c r="BL338" i="3"/>
  <c r="BM338" i="3" s="1"/>
  <c r="BE338" i="3"/>
  <c r="BR338" i="3" s="1"/>
  <c r="AR339" i="3"/>
  <c r="N329" i="3" l="1"/>
  <c r="O329" i="3"/>
  <c r="AT339" i="3"/>
  <c r="AW339" i="3" s="1"/>
  <c r="AU339" i="3"/>
  <c r="BN339" i="3" s="1"/>
  <c r="AS339" i="3"/>
  <c r="CD339" i="3"/>
  <c r="CG339" i="3" s="1"/>
  <c r="CE339" i="3"/>
  <c r="CX339" i="3" s="1"/>
  <c r="CC339" i="3"/>
  <c r="AZ339" i="3" l="1"/>
  <c r="BF339" i="3"/>
  <c r="BP339" i="3" s="1"/>
  <c r="CJ339" i="3"/>
  <c r="CP339" i="3"/>
  <c r="CZ339" i="3" s="1"/>
  <c r="Q329" i="3"/>
  <c r="R329" i="3" s="1"/>
  <c r="CF339" i="3"/>
  <c r="AV339" i="3"/>
  <c r="CH339" i="3" l="1"/>
  <c r="CI339" i="3"/>
  <c r="AY339" i="3"/>
  <c r="AX339" i="3"/>
  <c r="X329" i="3"/>
  <c r="AA329" i="3" s="1"/>
  <c r="F330" i="3" s="1"/>
  <c r="W329" i="3"/>
  <c r="S329" i="3"/>
  <c r="AE329" i="3" s="1"/>
  <c r="AI329" i="3" l="1"/>
  <c r="Z329" i="3"/>
  <c r="E330" i="3" s="1"/>
  <c r="G330" i="3" s="1"/>
  <c r="CK339" i="3"/>
  <c r="CL339" i="3" s="1"/>
  <c r="T329" i="3"/>
  <c r="BA339" i="3"/>
  <c r="BB339" i="3" s="1"/>
  <c r="CR339" i="3" l="1"/>
  <c r="CU339" i="3" s="1"/>
  <c r="BZ340" i="3" s="1"/>
  <c r="CQ339" i="3"/>
  <c r="CM339" i="3"/>
  <c r="CY339" i="3" s="1"/>
  <c r="BH339" i="3"/>
  <c r="BK339" i="3" s="1"/>
  <c r="AP340" i="3" s="1"/>
  <c r="BG339" i="3"/>
  <c r="BC339" i="3"/>
  <c r="BO339" i="3" s="1"/>
  <c r="AB329" i="3"/>
  <c r="AC329" i="3" s="1"/>
  <c r="U329" i="3"/>
  <c r="AH329" i="3" s="1"/>
  <c r="H330" i="3"/>
  <c r="CN339" i="3" l="1"/>
  <c r="J330" i="3"/>
  <c r="M330" i="3" s="1"/>
  <c r="I330" i="3"/>
  <c r="BS339" i="3"/>
  <c r="BJ339" i="3"/>
  <c r="AO340" i="3" s="1"/>
  <c r="AQ340" i="3" s="1"/>
  <c r="BD339" i="3"/>
  <c r="DC339" i="3"/>
  <c r="CT339" i="3"/>
  <c r="BY340" i="3" s="1"/>
  <c r="CA340" i="3" s="1"/>
  <c r="CB340" i="3" l="1"/>
  <c r="AR340" i="3"/>
  <c r="AS340" i="3"/>
  <c r="V330" i="3"/>
  <c r="AF330" i="3" s="1"/>
  <c r="P330" i="3"/>
  <c r="BL339" i="3"/>
  <c r="BM339" i="3" s="1"/>
  <c r="BE339" i="3"/>
  <c r="BR339" i="3" s="1"/>
  <c r="K330" i="3"/>
  <c r="CV339" i="3"/>
  <c r="CW339" i="3" s="1"/>
  <c r="CO339" i="3"/>
  <c r="DB339" i="3" s="1"/>
  <c r="AD330" i="3" l="1"/>
  <c r="L330" i="3"/>
  <c r="AZ340" i="3"/>
  <c r="BF340" i="3"/>
  <c r="BP340" i="3" s="1"/>
  <c r="AT340" i="3"/>
  <c r="AW340" i="3" s="1"/>
  <c r="CD340" i="3"/>
  <c r="CG340" i="3" s="1"/>
  <c r="CC340" i="3"/>
  <c r="AU340" i="3" l="1"/>
  <c r="N330" i="3"/>
  <c r="O330" i="3"/>
  <c r="CP340" i="3"/>
  <c r="CZ340" i="3" s="1"/>
  <c r="CJ340" i="3"/>
  <c r="CE340" i="3"/>
  <c r="CX340" i="3" l="1"/>
  <c r="CF340" i="3"/>
  <c r="Q330" i="3"/>
  <c r="R330" i="3" s="1"/>
  <c r="BN340" i="3"/>
  <c r="AV340" i="3"/>
  <c r="AX340" i="3" l="1"/>
  <c r="AY340" i="3"/>
  <c r="X330" i="3"/>
  <c r="AA330" i="3" s="1"/>
  <c r="F331" i="3" s="1"/>
  <c r="W330" i="3"/>
  <c r="S330" i="3"/>
  <c r="AE330" i="3" s="1"/>
  <c r="CH340" i="3"/>
  <c r="CI340" i="3"/>
  <c r="CK340" i="3" l="1"/>
  <c r="CL340" i="3" s="1"/>
  <c r="T330" i="3"/>
  <c r="BA340" i="3"/>
  <c r="BB340" i="3" s="1"/>
  <c r="AI330" i="3"/>
  <c r="Z330" i="3"/>
  <c r="E331" i="3" s="1"/>
  <c r="G331" i="3" s="1"/>
  <c r="AB330" i="3" l="1"/>
  <c r="AC330" i="3" s="1"/>
  <c r="U330" i="3"/>
  <c r="AH330" i="3" s="1"/>
  <c r="H331" i="3"/>
  <c r="BH340" i="3"/>
  <c r="BK340" i="3" s="1"/>
  <c r="AP341" i="3" s="1"/>
  <c r="BG340" i="3"/>
  <c r="BC340" i="3"/>
  <c r="BO340" i="3" s="1"/>
  <c r="CR340" i="3"/>
  <c r="CU340" i="3" s="1"/>
  <c r="BZ341" i="3" s="1"/>
  <c r="CQ340" i="3"/>
  <c r="CM340" i="3"/>
  <c r="CY340" i="3" s="1"/>
  <c r="BD340" i="3" l="1"/>
  <c r="CT340" i="3"/>
  <c r="BY341" i="3" s="1"/>
  <c r="CA341" i="3" s="1"/>
  <c r="DC340" i="3"/>
  <c r="CN340" i="3"/>
  <c r="BJ340" i="3"/>
  <c r="AO341" i="3" s="1"/>
  <c r="AQ341" i="3" s="1"/>
  <c r="BS340" i="3"/>
  <c r="J331" i="3"/>
  <c r="M331" i="3" s="1"/>
  <c r="I331" i="3"/>
  <c r="P331" i="3" l="1"/>
  <c r="V331" i="3"/>
  <c r="AF331" i="3" s="1"/>
  <c r="CB341" i="3"/>
  <c r="K331" i="3"/>
  <c r="AR341" i="3"/>
  <c r="CV340" i="3"/>
  <c r="CW340" i="3" s="1"/>
  <c r="CO340" i="3"/>
  <c r="DB340" i="3" s="1"/>
  <c r="BL340" i="3"/>
  <c r="BM340" i="3" s="1"/>
  <c r="BE340" i="3"/>
  <c r="BR340" i="3" s="1"/>
  <c r="AD331" i="3" l="1"/>
  <c r="L331" i="3"/>
  <c r="AT341" i="3"/>
  <c r="AW341" i="3" s="1"/>
  <c r="AU341" i="3"/>
  <c r="BN341" i="3" s="1"/>
  <c r="AS341" i="3"/>
  <c r="CD341" i="3"/>
  <c r="CG341" i="3" s="1"/>
  <c r="CC341" i="3"/>
  <c r="J29" i="3"/>
  <c r="N331" i="3" l="1"/>
  <c r="O331" i="3"/>
  <c r="CJ341" i="3"/>
  <c r="CP341" i="3"/>
  <c r="CZ341" i="3" s="1"/>
  <c r="CE341" i="3"/>
  <c r="BF341" i="3"/>
  <c r="BP341" i="3" s="1"/>
  <c r="AZ341" i="3"/>
  <c r="AV341" i="3"/>
  <c r="AX341" i="3" l="1"/>
  <c r="AY341" i="3"/>
  <c r="CX341" i="3"/>
  <c r="CF341" i="3"/>
  <c r="Q331" i="3"/>
  <c r="R331" i="3" s="1"/>
  <c r="BA341" i="3" l="1"/>
  <c r="BB341" i="3" s="1"/>
  <c r="X331" i="3"/>
  <c r="AA331" i="3" s="1"/>
  <c r="W331" i="3"/>
  <c r="S331" i="3"/>
  <c r="AE331" i="3" s="1"/>
  <c r="CH341" i="3"/>
  <c r="CI341" i="3"/>
  <c r="F332" i="3" l="1"/>
  <c r="C29" i="3"/>
  <c r="CK341" i="3"/>
  <c r="CL341" i="3" s="1"/>
  <c r="F40" i="5"/>
  <c r="AI331" i="3"/>
  <c r="Y331" i="3"/>
  <c r="T331" i="3"/>
  <c r="BH341" i="3"/>
  <c r="BK341" i="3" s="1"/>
  <c r="AP342" i="3" s="1"/>
  <c r="BG341" i="3"/>
  <c r="BC341" i="3"/>
  <c r="BO341" i="3" s="1"/>
  <c r="AB331" i="3" l="1"/>
  <c r="AC331" i="3" s="1"/>
  <c r="U331" i="3"/>
  <c r="AH331" i="3" s="1"/>
  <c r="BS341" i="3"/>
  <c r="BJ341" i="3"/>
  <c r="AO342" i="3" s="1"/>
  <c r="AQ342" i="3" s="1"/>
  <c r="BD341" i="3"/>
  <c r="I29" i="3"/>
  <c r="AG331" i="3"/>
  <c r="AG332" i="3" s="1"/>
  <c r="AG333" i="3" s="1"/>
  <c r="AG334" i="3" s="1"/>
  <c r="AG335" i="3" s="1"/>
  <c r="AG336" i="3" s="1"/>
  <c r="AG337" i="3" s="1"/>
  <c r="AG338" i="3" s="1"/>
  <c r="AG339" i="3" s="1"/>
  <c r="AG340" i="3" s="1"/>
  <c r="AG341" i="3" s="1"/>
  <c r="AG342" i="3" s="1"/>
  <c r="Z331" i="3"/>
  <c r="CR341" i="3"/>
  <c r="CU341" i="3" s="1"/>
  <c r="BZ342" i="3" s="1"/>
  <c r="CQ341" i="3"/>
  <c r="CM341" i="3"/>
  <c r="CY341" i="3" s="1"/>
  <c r="B40" i="5" l="1"/>
  <c r="E332" i="3"/>
  <c r="G332" i="3" s="1"/>
  <c r="B29" i="3"/>
  <c r="D29" i="3" s="1"/>
  <c r="DC341" i="3"/>
  <c r="CT341" i="3"/>
  <c r="BY342" i="3" s="1"/>
  <c r="CA342" i="3" s="1"/>
  <c r="CN341" i="3"/>
  <c r="BL341" i="3"/>
  <c r="BM341" i="3" s="1"/>
  <c r="BE341" i="3"/>
  <c r="BR341" i="3" s="1"/>
  <c r="AR342" i="3"/>
  <c r="CV341" i="3" l="1"/>
  <c r="CW341" i="3" s="1"/>
  <c r="CO341" i="3"/>
  <c r="DB341" i="3" s="1"/>
  <c r="AT342" i="3"/>
  <c r="AW342" i="3" s="1"/>
  <c r="AU342" i="3"/>
  <c r="BN342" i="3" s="1"/>
  <c r="AS342" i="3"/>
  <c r="CB342" i="3"/>
  <c r="H332" i="3"/>
  <c r="J332" i="3" l="1"/>
  <c r="M332" i="3" s="1"/>
  <c r="CD342" i="3"/>
  <c r="CG342" i="3" s="1"/>
  <c r="CC342" i="3"/>
  <c r="AZ342" i="3"/>
  <c r="BF342" i="3"/>
  <c r="BP342" i="3" s="1"/>
  <c r="I332" i="3"/>
  <c r="AV342" i="3"/>
  <c r="CP342" i="3" l="1"/>
  <c r="CZ342" i="3" s="1"/>
  <c r="CJ342" i="3"/>
  <c r="AX342" i="3"/>
  <c r="AY342" i="3"/>
  <c r="P332" i="3"/>
  <c r="V332" i="3"/>
  <c r="AF332" i="3" s="1"/>
  <c r="CE342" i="3"/>
  <c r="K332" i="3"/>
  <c r="CX342" i="3" l="1"/>
  <c r="CF342" i="3"/>
  <c r="AD332" i="3"/>
  <c r="L332" i="3"/>
  <c r="BA342" i="3"/>
  <c r="BB342" i="3" s="1"/>
  <c r="BH342" i="3" l="1"/>
  <c r="BK342" i="3" s="1"/>
  <c r="AP343" i="3" s="1"/>
  <c r="BG342" i="3"/>
  <c r="BC342" i="3"/>
  <c r="BO342" i="3" s="1"/>
  <c r="N332" i="3"/>
  <c r="O332" i="3"/>
  <c r="CH342" i="3"/>
  <c r="CI342" i="3"/>
  <c r="CK342" i="3" l="1"/>
  <c r="CL342" i="3" s="1"/>
  <c r="Q332" i="3"/>
  <c r="R332" i="3" s="1"/>
  <c r="BS342" i="3"/>
  <c r="BJ342" i="3"/>
  <c r="AO343" i="3" s="1"/>
  <c r="AQ343" i="3" s="1"/>
  <c r="BD342" i="3"/>
  <c r="X332" i="3" l="1"/>
  <c r="AA332" i="3" s="1"/>
  <c r="F333" i="3" s="1"/>
  <c r="W332" i="3"/>
  <c r="S332" i="3"/>
  <c r="T332" i="3" s="1"/>
  <c r="BL342" i="3"/>
  <c r="BM342" i="3" s="1"/>
  <c r="BE342" i="3"/>
  <c r="BR342" i="3" s="1"/>
  <c r="AR343" i="3"/>
  <c r="CR342" i="3"/>
  <c r="CU342" i="3" s="1"/>
  <c r="BZ343" i="3" s="1"/>
  <c r="CQ342" i="3"/>
  <c r="CM342" i="3"/>
  <c r="CY342" i="3" s="1"/>
  <c r="AB332" i="3" l="1"/>
  <c r="U332" i="3"/>
  <c r="AH332" i="3" s="1"/>
  <c r="CT342" i="3"/>
  <c r="BY343" i="3" s="1"/>
  <c r="CA343" i="3" s="1"/>
  <c r="DC342" i="3"/>
  <c r="CN342" i="3"/>
  <c r="AT343" i="3"/>
  <c r="AW343" i="3" s="1"/>
  <c r="AS343" i="3"/>
  <c r="AE332" i="3"/>
  <c r="Z332" i="3"/>
  <c r="E333" i="3" s="1"/>
  <c r="G333" i="3" s="1"/>
  <c r="AI332" i="3"/>
  <c r="BF343" i="3" l="1"/>
  <c r="BP343" i="3" s="1"/>
  <c r="AZ343" i="3"/>
  <c r="H333" i="3"/>
  <c r="I333" i="3" s="1"/>
  <c r="AU343" i="3"/>
  <c r="CV342" i="3"/>
  <c r="CW342" i="3" s="1"/>
  <c r="CO342" i="3"/>
  <c r="DB342" i="3" s="1"/>
  <c r="CB343" i="3"/>
  <c r="AC332" i="3"/>
  <c r="V333" i="3" l="1"/>
  <c r="AF333" i="3" s="1"/>
  <c r="P333" i="3"/>
  <c r="CD343" i="3"/>
  <c r="CG343" i="3" s="1"/>
  <c r="CC343" i="3"/>
  <c r="BN343" i="3"/>
  <c r="AV343" i="3"/>
  <c r="J333" i="3"/>
  <c r="M333" i="3" s="1"/>
  <c r="W30" i="3"/>
  <c r="CP343" i="3" l="1"/>
  <c r="CZ343" i="3" s="1"/>
  <c r="CJ343" i="3"/>
  <c r="K333" i="3"/>
  <c r="AX343" i="3"/>
  <c r="AY343" i="3"/>
  <c r="CE343" i="3"/>
  <c r="BA343" i="3" l="1"/>
  <c r="BB343" i="3" s="1"/>
  <c r="AD333" i="3"/>
  <c r="L333" i="3"/>
  <c r="CX343" i="3"/>
  <c r="CF343" i="3"/>
  <c r="AJ30" i="3"/>
  <c r="CH343" i="3" l="1"/>
  <c r="CI343" i="3"/>
  <c r="N333" i="3"/>
  <c r="O333" i="3"/>
  <c r="BH343" i="3"/>
  <c r="BK343" i="3" s="1"/>
  <c r="BG343" i="3"/>
  <c r="BC343" i="3"/>
  <c r="BO343" i="3" s="1"/>
  <c r="BI343" i="3" l="1"/>
  <c r="BS343" i="3"/>
  <c r="BD343" i="3"/>
  <c r="G41" i="5"/>
  <c r="AP344" i="3"/>
  <c r="P30" i="3"/>
  <c r="Q333" i="3"/>
  <c r="R333" i="3" s="1"/>
  <c r="CK343" i="3"/>
  <c r="CL343" i="3" s="1"/>
  <c r="CR343" i="3" l="1"/>
  <c r="CU343" i="3" s="1"/>
  <c r="CQ343" i="3"/>
  <c r="CM343" i="3"/>
  <c r="CY343" i="3" s="1"/>
  <c r="X333" i="3"/>
  <c r="AA333" i="3" s="1"/>
  <c r="F334" i="3" s="1"/>
  <c r="W333" i="3"/>
  <c r="S333" i="3"/>
  <c r="BL343" i="3"/>
  <c r="BM343" i="3" s="1"/>
  <c r="BE343" i="3"/>
  <c r="BR343" i="3" s="1"/>
  <c r="V30" i="3"/>
  <c r="BQ343" i="3"/>
  <c r="BQ344" i="3" s="1"/>
  <c r="BQ345" i="3" s="1"/>
  <c r="BQ346" i="3" s="1"/>
  <c r="BQ347" i="3" s="1"/>
  <c r="BQ348" i="3" s="1"/>
  <c r="BQ349" i="3" s="1"/>
  <c r="BQ350" i="3" s="1"/>
  <c r="BQ351" i="3" s="1"/>
  <c r="BQ352" i="3" s="1"/>
  <c r="BQ353" i="3" s="1"/>
  <c r="BQ354" i="3" s="1"/>
  <c r="BJ343" i="3"/>
  <c r="C41" i="5" l="1"/>
  <c r="AO344" i="3"/>
  <c r="AQ344" i="3" s="1"/>
  <c r="O30" i="3"/>
  <c r="Q30" i="3" s="1"/>
  <c r="AE333" i="3"/>
  <c r="AI333" i="3"/>
  <c r="Z333" i="3"/>
  <c r="E334" i="3" s="1"/>
  <c r="G334" i="3" s="1"/>
  <c r="T333" i="3"/>
  <c r="CN343" i="3"/>
  <c r="H41" i="5"/>
  <c r="DC343" i="3"/>
  <c r="CS343" i="3"/>
  <c r="BZ344" i="3"/>
  <c r="AC30" i="3"/>
  <c r="CV343" i="3" l="1"/>
  <c r="CW343" i="3" s="1"/>
  <c r="CO343" i="3"/>
  <c r="DB343" i="3" s="1"/>
  <c r="H334" i="3"/>
  <c r="AR344" i="3"/>
  <c r="AB333" i="3"/>
  <c r="U333" i="3"/>
  <c r="AH333" i="3" s="1"/>
  <c r="AI30" i="3"/>
  <c r="DA343" i="3"/>
  <c r="DA344" i="3" s="1"/>
  <c r="DA345" i="3" s="1"/>
  <c r="DA346" i="3" s="1"/>
  <c r="DA347" i="3" s="1"/>
  <c r="DA348" i="3" s="1"/>
  <c r="DA349" i="3" s="1"/>
  <c r="DA350" i="3" s="1"/>
  <c r="DA351" i="3" s="1"/>
  <c r="DA352" i="3" s="1"/>
  <c r="DA353" i="3" s="1"/>
  <c r="DA354" i="3" s="1"/>
  <c r="CT343" i="3"/>
  <c r="D41" i="5" l="1"/>
  <c r="BY344" i="3"/>
  <c r="CA344" i="3" s="1"/>
  <c r="AB30" i="3"/>
  <c r="AD30" i="3" s="1"/>
  <c r="AC333" i="3"/>
  <c r="AT344" i="3"/>
  <c r="AW344" i="3" s="1"/>
  <c r="AS344" i="3"/>
  <c r="J334" i="3"/>
  <c r="M334" i="3" s="1"/>
  <c r="I334" i="3"/>
  <c r="CB344" i="3" l="1"/>
  <c r="K334" i="3"/>
  <c r="AZ344" i="3"/>
  <c r="BF344" i="3"/>
  <c r="BP344" i="3" s="1"/>
  <c r="P334" i="3"/>
  <c r="V334" i="3"/>
  <c r="AF334" i="3" s="1"/>
  <c r="AU344" i="3"/>
  <c r="BN344" i="3" l="1"/>
  <c r="AV344" i="3"/>
  <c r="AD334" i="3"/>
  <c r="L334" i="3"/>
  <c r="CD344" i="3"/>
  <c r="CG344" i="3" s="1"/>
  <c r="CC344" i="3"/>
  <c r="CJ344" i="3" l="1"/>
  <c r="CP344" i="3"/>
  <c r="CZ344" i="3" s="1"/>
  <c r="CE344" i="3"/>
  <c r="N334" i="3"/>
  <c r="O334" i="3"/>
  <c r="AX344" i="3"/>
  <c r="AY344" i="3"/>
  <c r="Q334" i="3" l="1"/>
  <c r="R334" i="3" s="1"/>
  <c r="BA344" i="3"/>
  <c r="BB344" i="3" s="1"/>
  <c r="CX344" i="3"/>
  <c r="CF344" i="3"/>
  <c r="CH344" i="3" l="1"/>
  <c r="CI344" i="3"/>
  <c r="BH344" i="3"/>
  <c r="BK344" i="3" s="1"/>
  <c r="AP345" i="3" s="1"/>
  <c r="BG344" i="3"/>
  <c r="BC344" i="3"/>
  <c r="X334" i="3"/>
  <c r="AA334" i="3" s="1"/>
  <c r="F335" i="3" s="1"/>
  <c r="W334" i="3"/>
  <c r="S334" i="3"/>
  <c r="T334" i="3" s="1"/>
  <c r="AB334" i="3" l="1"/>
  <c r="U334" i="3"/>
  <c r="AH334" i="3" s="1"/>
  <c r="AI334" i="3"/>
  <c r="Z334" i="3"/>
  <c r="E335" i="3" s="1"/>
  <c r="G335" i="3" s="1"/>
  <c r="AE334" i="3"/>
  <c r="BO344" i="3"/>
  <c r="BS344" i="3"/>
  <c r="BJ344" i="3"/>
  <c r="AO345" i="3" s="1"/>
  <c r="AQ345" i="3" s="1"/>
  <c r="BD344" i="3"/>
  <c r="CK344" i="3"/>
  <c r="CL344" i="3" s="1"/>
  <c r="CR344" i="3" l="1"/>
  <c r="CU344" i="3" s="1"/>
  <c r="BZ345" i="3" s="1"/>
  <c r="CQ344" i="3"/>
  <c r="CM344" i="3"/>
  <c r="BL344" i="3"/>
  <c r="BE344" i="3"/>
  <c r="BR344" i="3" s="1"/>
  <c r="AR345" i="3"/>
  <c r="H335" i="3"/>
  <c r="AC334" i="3"/>
  <c r="J335" i="3" l="1"/>
  <c r="M335" i="3" s="1"/>
  <c r="K335" i="3"/>
  <c r="AT345" i="3"/>
  <c r="AW345" i="3" s="1"/>
  <c r="AS345" i="3"/>
  <c r="CY344" i="3"/>
  <c r="CN344" i="3"/>
  <c r="I335" i="3"/>
  <c r="BM344" i="3"/>
  <c r="DC344" i="3"/>
  <c r="CT344" i="3"/>
  <c r="BY345" i="3" s="1"/>
  <c r="CA345" i="3" s="1"/>
  <c r="P335" i="3" l="1"/>
  <c r="V335" i="3"/>
  <c r="AF335" i="3" s="1"/>
  <c r="CV344" i="3"/>
  <c r="CO344" i="3"/>
  <c r="DB344" i="3" s="1"/>
  <c r="AU345" i="3"/>
  <c r="BF345" i="3"/>
  <c r="BP345" i="3" s="1"/>
  <c r="AZ345" i="3"/>
  <c r="AD335" i="3"/>
  <c r="CB345" i="3"/>
  <c r="CC345" i="3" s="1"/>
  <c r="L335" i="3"/>
  <c r="N335" i="3" l="1"/>
  <c r="O335" i="3"/>
  <c r="CP345" i="3"/>
  <c r="CZ345" i="3" s="1"/>
  <c r="CJ345" i="3"/>
  <c r="CD345" i="3"/>
  <c r="CG345" i="3" s="1"/>
  <c r="BN345" i="3"/>
  <c r="AV345" i="3"/>
  <c r="CW344" i="3"/>
  <c r="CE345" i="3" l="1"/>
  <c r="Q335" i="3"/>
  <c r="R335" i="3" s="1"/>
  <c r="AX345" i="3"/>
  <c r="AY345" i="3"/>
  <c r="BA345" i="3" l="1"/>
  <c r="BB345" i="3" s="1"/>
  <c r="X335" i="3"/>
  <c r="AA335" i="3" s="1"/>
  <c r="F336" i="3" s="1"/>
  <c r="W335" i="3"/>
  <c r="S335" i="3"/>
  <c r="CX345" i="3"/>
  <c r="CF345" i="3"/>
  <c r="CH345" i="3" l="1"/>
  <c r="CI345" i="3"/>
  <c r="AE335" i="3"/>
  <c r="Z335" i="3"/>
  <c r="E336" i="3" s="1"/>
  <c r="G336" i="3" s="1"/>
  <c r="AI335" i="3"/>
  <c r="T335" i="3"/>
  <c r="BH345" i="3"/>
  <c r="BK345" i="3" s="1"/>
  <c r="AP346" i="3" s="1"/>
  <c r="BG345" i="3"/>
  <c r="BC345" i="3"/>
  <c r="BD345" i="3" s="1"/>
  <c r="BL345" i="3" l="1"/>
  <c r="BE345" i="3"/>
  <c r="BR345" i="3" s="1"/>
  <c r="BJ345" i="3"/>
  <c r="AO346" i="3" s="1"/>
  <c r="AQ346" i="3" s="1"/>
  <c r="BS345" i="3"/>
  <c r="BO345" i="3"/>
  <c r="AB335" i="3"/>
  <c r="U335" i="3"/>
  <c r="AH335" i="3" s="1"/>
  <c r="H336" i="3"/>
  <c r="CK345" i="3"/>
  <c r="CL345" i="3" s="1"/>
  <c r="CR345" i="3" l="1"/>
  <c r="CU345" i="3" s="1"/>
  <c r="BZ346" i="3" s="1"/>
  <c r="CQ345" i="3"/>
  <c r="CM345" i="3"/>
  <c r="CN345" i="3" s="1"/>
  <c r="J336" i="3"/>
  <c r="M336" i="3" s="1"/>
  <c r="I336" i="3"/>
  <c r="AC335" i="3"/>
  <c r="AR346" i="3"/>
  <c r="BM345" i="3"/>
  <c r="CV345" i="3" l="1"/>
  <c r="CO345" i="3"/>
  <c r="DB345" i="3" s="1"/>
  <c r="AT346" i="3"/>
  <c r="AW346" i="3" s="1"/>
  <c r="AU346" i="3"/>
  <c r="CT345" i="3"/>
  <c r="BY346" i="3" s="1"/>
  <c r="CA346" i="3" s="1"/>
  <c r="DC345" i="3"/>
  <c r="AS346" i="3"/>
  <c r="V336" i="3"/>
  <c r="AF336" i="3" s="1"/>
  <c r="P336" i="3"/>
  <c r="K336" i="3"/>
  <c r="CY345" i="3"/>
  <c r="AD336" i="3" l="1"/>
  <c r="L336" i="3"/>
  <c r="BF346" i="3"/>
  <c r="BP346" i="3" s="1"/>
  <c r="AZ346" i="3"/>
  <c r="CB346" i="3"/>
  <c r="BN346" i="3"/>
  <c r="AV346" i="3"/>
  <c r="CW345" i="3"/>
  <c r="AX346" i="3" l="1"/>
  <c r="AY346" i="3"/>
  <c r="CD346" i="3"/>
  <c r="CG346" i="3" s="1"/>
  <c r="CC346" i="3"/>
  <c r="N336" i="3"/>
  <c r="O336" i="3"/>
  <c r="CE346" i="3" l="1"/>
  <c r="Q336" i="3"/>
  <c r="R336" i="3" s="1"/>
  <c r="CP346" i="3"/>
  <c r="CZ346" i="3" s="1"/>
  <c r="CJ346" i="3"/>
  <c r="BA346" i="3"/>
  <c r="BB346" i="3" s="1"/>
  <c r="BH346" i="3" l="1"/>
  <c r="BK346" i="3" s="1"/>
  <c r="AP347" i="3" s="1"/>
  <c r="BG346" i="3"/>
  <c r="BC346" i="3"/>
  <c r="X336" i="3"/>
  <c r="AA336" i="3" s="1"/>
  <c r="F337" i="3" s="1"/>
  <c r="W336" i="3"/>
  <c r="S336" i="3"/>
  <c r="AE336" i="3" s="1"/>
  <c r="CX346" i="3"/>
  <c r="CF346" i="3"/>
  <c r="AI336" i="3" l="1"/>
  <c r="Z336" i="3"/>
  <c r="E337" i="3" s="1"/>
  <c r="G337" i="3" s="1"/>
  <c r="BO346" i="3"/>
  <c r="BD346" i="3"/>
  <c r="CI346" i="3"/>
  <c r="CH346" i="3"/>
  <c r="T336" i="3"/>
  <c r="BS346" i="3"/>
  <c r="BJ346" i="3"/>
  <c r="AO347" i="3" s="1"/>
  <c r="AQ347" i="3" s="1"/>
  <c r="AR347" i="3" l="1"/>
  <c r="AB336" i="3"/>
  <c r="U336" i="3"/>
  <c r="AH336" i="3" s="1"/>
  <c r="CK346" i="3"/>
  <c r="CL346" i="3" s="1"/>
  <c r="BL346" i="3"/>
  <c r="BE346" i="3"/>
  <c r="BR346" i="3" s="1"/>
  <c r="H337" i="3"/>
  <c r="I337" i="3" s="1"/>
  <c r="P337" i="3" l="1"/>
  <c r="V337" i="3"/>
  <c r="AF337" i="3" s="1"/>
  <c r="CR346" i="3"/>
  <c r="CU346" i="3" s="1"/>
  <c r="BZ347" i="3" s="1"/>
  <c r="CQ346" i="3"/>
  <c r="CM346" i="3"/>
  <c r="J337" i="3"/>
  <c r="M337" i="3" s="1"/>
  <c r="BM346" i="3"/>
  <c r="AC336" i="3"/>
  <c r="AT347" i="3"/>
  <c r="AW347" i="3" s="1"/>
  <c r="AU347" i="3"/>
  <c r="AS347" i="3"/>
  <c r="K337" i="3" l="1"/>
  <c r="CY346" i="3"/>
  <c r="CT346" i="3"/>
  <c r="BY347" i="3" s="1"/>
  <c r="CA347" i="3" s="1"/>
  <c r="DC346" i="3"/>
  <c r="AZ347" i="3"/>
  <c r="BF347" i="3"/>
  <c r="BP347" i="3" s="1"/>
  <c r="CN346" i="3"/>
  <c r="BN347" i="3"/>
  <c r="AV347" i="3"/>
  <c r="AX347" i="3" l="1"/>
  <c r="AY347" i="3"/>
  <c r="CV346" i="3"/>
  <c r="CO346" i="3"/>
  <c r="DB346" i="3" s="1"/>
  <c r="CB347" i="3"/>
  <c r="AD337" i="3"/>
  <c r="L337" i="3"/>
  <c r="N337" i="3" l="1"/>
  <c r="O337" i="3"/>
  <c r="CD347" i="3"/>
  <c r="CG347" i="3" s="1"/>
  <c r="CE347" i="3"/>
  <c r="CC347" i="3"/>
  <c r="CW346" i="3"/>
  <c r="BA347" i="3"/>
  <c r="BB347" i="3" s="1"/>
  <c r="BH347" i="3" l="1"/>
  <c r="BK347" i="3" s="1"/>
  <c r="AP348" i="3" s="1"/>
  <c r="BG347" i="3"/>
  <c r="BC347" i="3"/>
  <c r="CJ347" i="3"/>
  <c r="CP347" i="3"/>
  <c r="CZ347" i="3" s="1"/>
  <c r="CX347" i="3"/>
  <c r="CF347" i="3"/>
  <c r="Q337" i="3"/>
  <c r="R337" i="3" s="1"/>
  <c r="X337" i="3" l="1"/>
  <c r="AA337" i="3" s="1"/>
  <c r="F338" i="3" s="1"/>
  <c r="W337" i="3"/>
  <c r="S337" i="3"/>
  <c r="AE337" i="3" s="1"/>
  <c r="CH347" i="3"/>
  <c r="CI347" i="3"/>
  <c r="BO347" i="3"/>
  <c r="BD347" i="3"/>
  <c r="BS347" i="3"/>
  <c r="BJ347" i="3"/>
  <c r="AO348" i="3" s="1"/>
  <c r="AQ348" i="3" s="1"/>
  <c r="BL347" i="3" l="1"/>
  <c r="BE347" i="3"/>
  <c r="BR347" i="3" s="1"/>
  <c r="AR348" i="3"/>
  <c r="Z337" i="3"/>
  <c r="E338" i="3" s="1"/>
  <c r="G338" i="3" s="1"/>
  <c r="AI337" i="3"/>
  <c r="T337" i="3"/>
  <c r="CK347" i="3"/>
  <c r="CL347" i="3" s="1"/>
  <c r="AB337" i="3" l="1"/>
  <c r="AC337" i="3" s="1"/>
  <c r="U337" i="3"/>
  <c r="AH337" i="3" s="1"/>
  <c r="AT348" i="3"/>
  <c r="AW348" i="3" s="1"/>
  <c r="CR347" i="3"/>
  <c r="CU347" i="3" s="1"/>
  <c r="BZ348" i="3" s="1"/>
  <c r="CQ347" i="3"/>
  <c r="CM347" i="3"/>
  <c r="H338" i="3"/>
  <c r="I338" i="3" s="1"/>
  <c r="AS348" i="3"/>
  <c r="BM347" i="3"/>
  <c r="BF348" i="3" l="1"/>
  <c r="BP348" i="3" s="1"/>
  <c r="AZ348" i="3"/>
  <c r="V338" i="3"/>
  <c r="AF338" i="3" s="1"/>
  <c r="P338" i="3"/>
  <c r="J338" i="3"/>
  <c r="M338" i="3" s="1"/>
  <c r="CY347" i="3"/>
  <c r="DC347" i="3"/>
  <c r="CT347" i="3"/>
  <c r="BY348" i="3" s="1"/>
  <c r="CA348" i="3" s="1"/>
  <c r="CN347" i="3"/>
  <c r="AU348" i="3"/>
  <c r="CV347" i="3" l="1"/>
  <c r="CO347" i="3"/>
  <c r="DB347" i="3" s="1"/>
  <c r="CB348" i="3"/>
  <c r="BN348" i="3"/>
  <c r="AV348" i="3"/>
  <c r="K338" i="3"/>
  <c r="AX348" i="3" l="1"/>
  <c r="AY348" i="3"/>
  <c r="AD338" i="3"/>
  <c r="L338" i="3"/>
  <c r="CD348" i="3"/>
  <c r="CG348" i="3" s="1"/>
  <c r="CC348" i="3"/>
  <c r="CW347" i="3"/>
  <c r="CP348" i="3" l="1"/>
  <c r="CZ348" i="3" s="1"/>
  <c r="CJ348" i="3"/>
  <c r="CE348" i="3"/>
  <c r="N338" i="3"/>
  <c r="O338" i="3"/>
  <c r="BA348" i="3"/>
  <c r="BB348" i="3" s="1"/>
  <c r="Q338" i="3" l="1"/>
  <c r="R338" i="3" s="1"/>
  <c r="BH348" i="3"/>
  <c r="BK348" i="3" s="1"/>
  <c r="AP349" i="3" s="1"/>
  <c r="BG348" i="3"/>
  <c r="BC348" i="3"/>
  <c r="BO348" i="3" s="1"/>
  <c r="CX348" i="3"/>
  <c r="CF348" i="3"/>
  <c r="CH348" i="3" l="1"/>
  <c r="CI348" i="3"/>
  <c r="BJ348" i="3"/>
  <c r="AO349" i="3" s="1"/>
  <c r="AQ349" i="3" s="1"/>
  <c r="BS348" i="3"/>
  <c r="BD348" i="3"/>
  <c r="X338" i="3"/>
  <c r="AA338" i="3" s="1"/>
  <c r="F339" i="3" s="1"/>
  <c r="W338" i="3"/>
  <c r="S338" i="3"/>
  <c r="AE338" i="3" s="1"/>
  <c r="T338" i="3" l="1"/>
  <c r="Z338" i="3"/>
  <c r="E339" i="3" s="1"/>
  <c r="G339" i="3" s="1"/>
  <c r="AI338" i="3"/>
  <c r="BL348" i="3"/>
  <c r="BM348" i="3" s="1"/>
  <c r="BE348" i="3"/>
  <c r="BR348" i="3" s="1"/>
  <c r="AR349" i="3"/>
  <c r="CK348" i="3"/>
  <c r="CL348" i="3" s="1"/>
  <c r="CR348" i="3" l="1"/>
  <c r="CU348" i="3" s="1"/>
  <c r="BZ349" i="3" s="1"/>
  <c r="CQ348" i="3"/>
  <c r="CM348" i="3"/>
  <c r="CY348" i="3" s="1"/>
  <c r="AT349" i="3"/>
  <c r="AW349" i="3" s="1"/>
  <c r="AS349" i="3"/>
  <c r="H339" i="3"/>
  <c r="I339" i="3" s="1"/>
  <c r="AB338" i="3"/>
  <c r="AC338" i="3" s="1"/>
  <c r="U338" i="3"/>
  <c r="AH338" i="3" s="1"/>
  <c r="P339" i="3" l="1"/>
  <c r="V339" i="3"/>
  <c r="AF339" i="3" s="1"/>
  <c r="J339" i="3"/>
  <c r="M339" i="3" s="1"/>
  <c r="BF349" i="3"/>
  <c r="BP349" i="3" s="1"/>
  <c r="AZ349" i="3"/>
  <c r="AU349" i="3"/>
  <c r="CN348" i="3"/>
  <c r="CT348" i="3"/>
  <c r="BY349" i="3" s="1"/>
  <c r="CA349" i="3" s="1"/>
  <c r="DC348" i="3"/>
  <c r="CB349" i="3" l="1"/>
  <c r="CV348" i="3"/>
  <c r="CW348" i="3" s="1"/>
  <c r="CO348" i="3"/>
  <c r="DB348" i="3" s="1"/>
  <c r="BN349" i="3"/>
  <c r="AV349" i="3"/>
  <c r="K339" i="3"/>
  <c r="AD339" i="3" l="1"/>
  <c r="L339" i="3"/>
  <c r="AX349" i="3"/>
  <c r="AY349" i="3"/>
  <c r="CD349" i="3"/>
  <c r="CG349" i="3" s="1"/>
  <c r="CC349" i="3"/>
  <c r="CJ349" i="3" l="1"/>
  <c r="CP349" i="3"/>
  <c r="CZ349" i="3" s="1"/>
  <c r="CE349" i="3"/>
  <c r="BA349" i="3"/>
  <c r="BB349" i="3" s="1"/>
  <c r="N339" i="3"/>
  <c r="O339" i="3"/>
  <c r="Q339" i="3" l="1"/>
  <c r="R339" i="3" s="1"/>
  <c r="BH349" i="3"/>
  <c r="BK349" i="3" s="1"/>
  <c r="AP350" i="3" s="1"/>
  <c r="BG349" i="3"/>
  <c r="BC349" i="3"/>
  <c r="BO349" i="3" s="1"/>
  <c r="CX349" i="3"/>
  <c r="CF349" i="3"/>
  <c r="BJ349" i="3" l="1"/>
  <c r="AO350" i="3" s="1"/>
  <c r="AQ350" i="3" s="1"/>
  <c r="BS349" i="3"/>
  <c r="CH349" i="3"/>
  <c r="CI349" i="3"/>
  <c r="BD349" i="3"/>
  <c r="X339" i="3"/>
  <c r="AA339" i="3" s="1"/>
  <c r="F340" i="3" s="1"/>
  <c r="W339" i="3"/>
  <c r="S339" i="3"/>
  <c r="AE339" i="3" s="1"/>
  <c r="AI339" i="3" l="1"/>
  <c r="Z339" i="3"/>
  <c r="E340" i="3" s="1"/>
  <c r="G340" i="3" s="1"/>
  <c r="T339" i="3"/>
  <c r="BL349" i="3"/>
  <c r="BM349" i="3" s="1"/>
  <c r="BE349" i="3"/>
  <c r="BR349" i="3" s="1"/>
  <c r="CK349" i="3"/>
  <c r="CL349" i="3" s="1"/>
  <c r="AR350" i="3"/>
  <c r="AS350" i="3" s="1"/>
  <c r="AZ350" i="3" l="1"/>
  <c r="BF350" i="3"/>
  <c r="BP350" i="3" s="1"/>
  <c r="AT350" i="3"/>
  <c r="AW350" i="3" s="1"/>
  <c r="CR349" i="3"/>
  <c r="CU349" i="3" s="1"/>
  <c r="BZ350" i="3" s="1"/>
  <c r="CQ349" i="3"/>
  <c r="CM349" i="3"/>
  <c r="CY349" i="3" s="1"/>
  <c r="AB339" i="3"/>
  <c r="AC339" i="3" s="1"/>
  <c r="U339" i="3"/>
  <c r="AH339" i="3" s="1"/>
  <c r="H340" i="3"/>
  <c r="J340" i="3" l="1"/>
  <c r="M340" i="3" s="1"/>
  <c r="I340" i="3"/>
  <c r="DC349" i="3"/>
  <c r="CT349" i="3"/>
  <c r="BY350" i="3" s="1"/>
  <c r="CA350" i="3" s="1"/>
  <c r="CN349" i="3"/>
  <c r="AU350" i="3"/>
  <c r="CV349" i="3" l="1"/>
  <c r="CW349" i="3" s="1"/>
  <c r="CO349" i="3"/>
  <c r="DB349" i="3" s="1"/>
  <c r="BN350" i="3"/>
  <c r="AV350" i="3"/>
  <c r="V340" i="3"/>
  <c r="AF340" i="3" s="1"/>
  <c r="P340" i="3"/>
  <c r="CB350" i="3"/>
  <c r="CC350" i="3" s="1"/>
  <c r="K340" i="3"/>
  <c r="CJ350" i="3" l="1"/>
  <c r="CP350" i="3"/>
  <c r="CZ350" i="3" s="1"/>
  <c r="AD340" i="3"/>
  <c r="L340" i="3"/>
  <c r="CD350" i="3"/>
  <c r="CG350" i="3" s="1"/>
  <c r="AX350" i="3"/>
  <c r="AY350" i="3"/>
  <c r="BA350" i="3" l="1"/>
  <c r="BB350" i="3" s="1"/>
  <c r="CE350" i="3"/>
  <c r="N340" i="3"/>
  <c r="O340" i="3"/>
  <c r="Q340" i="3" l="1"/>
  <c r="R340" i="3" s="1"/>
  <c r="CX350" i="3"/>
  <c r="CF350" i="3"/>
  <c r="BH350" i="3"/>
  <c r="BK350" i="3" s="1"/>
  <c r="AP351" i="3" s="1"/>
  <c r="BG350" i="3"/>
  <c r="BC350" i="3"/>
  <c r="BO350" i="3" s="1"/>
  <c r="BJ350" i="3" l="1"/>
  <c r="AO351" i="3" s="1"/>
  <c r="AQ351" i="3" s="1"/>
  <c r="BS350" i="3"/>
  <c r="BD350" i="3"/>
  <c r="CH350" i="3"/>
  <c r="CI350" i="3"/>
  <c r="X340" i="3"/>
  <c r="AA340" i="3" s="1"/>
  <c r="F341" i="3" s="1"/>
  <c r="W340" i="3"/>
  <c r="S340" i="3"/>
  <c r="AE340" i="3" s="1"/>
  <c r="Z340" i="3" l="1"/>
  <c r="E341" i="3" s="1"/>
  <c r="G341" i="3" s="1"/>
  <c r="AI340" i="3"/>
  <c r="T340" i="3"/>
  <c r="CK350" i="3"/>
  <c r="CL350" i="3" s="1"/>
  <c r="BL350" i="3"/>
  <c r="BM350" i="3" s="1"/>
  <c r="BE350" i="3"/>
  <c r="BR350" i="3" s="1"/>
  <c r="AR351" i="3"/>
  <c r="AT351" i="3" l="1"/>
  <c r="AW351" i="3" s="1"/>
  <c r="AS351" i="3"/>
  <c r="AB340" i="3"/>
  <c r="AC340" i="3" s="1"/>
  <c r="U340" i="3"/>
  <c r="AH340" i="3" s="1"/>
  <c r="CR350" i="3"/>
  <c r="CU350" i="3" s="1"/>
  <c r="BZ351" i="3" s="1"/>
  <c r="CQ350" i="3"/>
  <c r="CM350" i="3"/>
  <c r="CY350" i="3" s="1"/>
  <c r="H341" i="3"/>
  <c r="I341" i="3"/>
  <c r="V341" i="3" l="1"/>
  <c r="AF341" i="3" s="1"/>
  <c r="P341" i="3"/>
  <c r="J341" i="3"/>
  <c r="M341" i="3" s="1"/>
  <c r="CT350" i="3"/>
  <c r="BY351" i="3" s="1"/>
  <c r="CA351" i="3" s="1"/>
  <c r="DC350" i="3"/>
  <c r="CN350" i="3"/>
  <c r="BF351" i="3"/>
  <c r="BP351" i="3" s="1"/>
  <c r="AZ351" i="3"/>
  <c r="AU351" i="3"/>
  <c r="CV350" i="3" l="1"/>
  <c r="CW350" i="3" s="1"/>
  <c r="CO350" i="3"/>
  <c r="DB350" i="3" s="1"/>
  <c r="CB351" i="3"/>
  <c r="CC351" i="3"/>
  <c r="K341" i="3"/>
  <c r="BN351" i="3"/>
  <c r="AV351" i="3"/>
  <c r="AX351" i="3" l="1"/>
  <c r="AY351" i="3"/>
  <c r="AD341" i="3"/>
  <c r="L341" i="3"/>
  <c r="CP351" i="3"/>
  <c r="CZ351" i="3" s="1"/>
  <c r="CJ351" i="3"/>
  <c r="CD351" i="3"/>
  <c r="CG351" i="3" s="1"/>
  <c r="CE351" i="3" l="1"/>
  <c r="BA351" i="3"/>
  <c r="BB351" i="3" s="1"/>
  <c r="N341" i="3"/>
  <c r="O341" i="3"/>
  <c r="Q341" i="3" l="1"/>
  <c r="R341" i="3" s="1"/>
  <c r="BH351" i="3"/>
  <c r="BK351" i="3" s="1"/>
  <c r="AP352" i="3" s="1"/>
  <c r="BG351" i="3"/>
  <c r="BC351" i="3"/>
  <c r="BO351" i="3" s="1"/>
  <c r="CX351" i="3"/>
  <c r="CF351" i="3"/>
  <c r="BJ351" i="3" l="1"/>
  <c r="AO352" i="3" s="1"/>
  <c r="AQ352" i="3" s="1"/>
  <c r="BS351" i="3"/>
  <c r="BD351" i="3"/>
  <c r="CH351" i="3"/>
  <c r="CI351" i="3"/>
  <c r="X341" i="3"/>
  <c r="AA341" i="3" s="1"/>
  <c r="F342" i="3" s="1"/>
  <c r="W341" i="3"/>
  <c r="S341" i="3"/>
  <c r="AE341" i="3" s="1"/>
  <c r="AI341" i="3" l="1"/>
  <c r="Z341" i="3"/>
  <c r="E342" i="3" s="1"/>
  <c r="G342" i="3" s="1"/>
  <c r="T341" i="3"/>
  <c r="CK351" i="3"/>
  <c r="CL351" i="3" s="1"/>
  <c r="BL351" i="3"/>
  <c r="BM351" i="3" s="1"/>
  <c r="BE351" i="3"/>
  <c r="BR351" i="3" s="1"/>
  <c r="AR352" i="3"/>
  <c r="AT352" i="3" l="1"/>
  <c r="AW352" i="3" s="1"/>
  <c r="AU352" i="3"/>
  <c r="BN352" i="3" s="1"/>
  <c r="AS352" i="3"/>
  <c r="CR351" i="3"/>
  <c r="CU351" i="3" s="1"/>
  <c r="BZ352" i="3" s="1"/>
  <c r="CQ351" i="3"/>
  <c r="CM351" i="3"/>
  <c r="CY351" i="3" s="1"/>
  <c r="AB341" i="3"/>
  <c r="AC341" i="3" s="1"/>
  <c r="U341" i="3"/>
  <c r="AH341" i="3" s="1"/>
  <c r="H342" i="3"/>
  <c r="J342" i="3" l="1"/>
  <c r="M342" i="3" s="1"/>
  <c r="DC351" i="3"/>
  <c r="CT351" i="3"/>
  <c r="BY352" i="3" s="1"/>
  <c r="CA352" i="3" s="1"/>
  <c r="CN351" i="3"/>
  <c r="AZ352" i="3"/>
  <c r="BF352" i="3"/>
  <c r="BP352" i="3" s="1"/>
  <c r="I342" i="3"/>
  <c r="AV352" i="3"/>
  <c r="AX352" i="3" l="1"/>
  <c r="AY352" i="3"/>
  <c r="P342" i="3"/>
  <c r="V342" i="3"/>
  <c r="AF342" i="3" s="1"/>
  <c r="CB352" i="3"/>
  <c r="CC352" i="3" s="1"/>
  <c r="CV351" i="3"/>
  <c r="CW351" i="3" s="1"/>
  <c r="CO351" i="3"/>
  <c r="DB351" i="3" s="1"/>
  <c r="K342" i="3"/>
  <c r="CJ352" i="3" l="1"/>
  <c r="CP352" i="3"/>
  <c r="CZ352" i="3" s="1"/>
  <c r="AD342" i="3"/>
  <c r="L342" i="3"/>
  <c r="BA352" i="3"/>
  <c r="BB352" i="3" s="1"/>
  <c r="CD352" i="3"/>
  <c r="CG352" i="3" s="1"/>
  <c r="CE352" i="3" l="1"/>
  <c r="N342" i="3"/>
  <c r="O342" i="3"/>
  <c r="BH352" i="3"/>
  <c r="BK352" i="3" s="1"/>
  <c r="AP353" i="3" s="1"/>
  <c r="BG352" i="3"/>
  <c r="BC352" i="3"/>
  <c r="BO352" i="3" s="1"/>
  <c r="BS352" i="3" l="1"/>
  <c r="BJ352" i="3"/>
  <c r="AO353" i="3" s="1"/>
  <c r="AQ353" i="3" s="1"/>
  <c r="BD352" i="3"/>
  <c r="Q342" i="3"/>
  <c r="R342" i="3" s="1"/>
  <c r="CX352" i="3"/>
  <c r="CF352" i="3"/>
  <c r="CH352" i="3" l="1"/>
  <c r="CI352" i="3"/>
  <c r="X342" i="3"/>
  <c r="AA342" i="3" s="1"/>
  <c r="F343" i="3" s="1"/>
  <c r="W342" i="3"/>
  <c r="S342" i="3"/>
  <c r="AE342" i="3" s="1"/>
  <c r="BL352" i="3"/>
  <c r="BM352" i="3" s="1"/>
  <c r="BE352" i="3"/>
  <c r="BR352" i="3" s="1"/>
  <c r="AR353" i="3"/>
  <c r="AT353" i="3" l="1"/>
  <c r="AW353" i="3" s="1"/>
  <c r="AS353" i="3"/>
  <c r="AI342" i="3"/>
  <c r="Z342" i="3"/>
  <c r="E343" i="3" s="1"/>
  <c r="G343" i="3" s="1"/>
  <c r="CK352" i="3"/>
  <c r="CL352" i="3" s="1"/>
  <c r="T342" i="3"/>
  <c r="CR352" i="3" l="1"/>
  <c r="CU352" i="3" s="1"/>
  <c r="BZ353" i="3" s="1"/>
  <c r="CQ352" i="3"/>
  <c r="CM352" i="3"/>
  <c r="CY352" i="3" s="1"/>
  <c r="BF353" i="3"/>
  <c r="BP353" i="3" s="1"/>
  <c r="AZ353" i="3"/>
  <c r="AB342" i="3"/>
  <c r="AC342" i="3" s="1"/>
  <c r="U342" i="3"/>
  <c r="AH342" i="3" s="1"/>
  <c r="H343" i="3"/>
  <c r="I343" i="3"/>
  <c r="AU353" i="3"/>
  <c r="J343" i="3" l="1"/>
  <c r="M343" i="3" s="1"/>
  <c r="P343" i="3"/>
  <c r="V343" i="3"/>
  <c r="AF343" i="3" s="1"/>
  <c r="BN353" i="3"/>
  <c r="AV353" i="3"/>
  <c r="CT352" i="3"/>
  <c r="BY353" i="3" s="1"/>
  <c r="CA353" i="3" s="1"/>
  <c r="DC352" i="3"/>
  <c r="CN352" i="3"/>
  <c r="AX353" i="3" l="1"/>
  <c r="AY353" i="3"/>
  <c r="CB353" i="3"/>
  <c r="CC353" i="3"/>
  <c r="J30" i="3"/>
  <c r="CV352" i="3"/>
  <c r="CW352" i="3" s="1"/>
  <c r="CO352" i="3"/>
  <c r="DB352" i="3" s="1"/>
  <c r="K343" i="3"/>
  <c r="AD343" i="3" l="1"/>
  <c r="L343" i="3"/>
  <c r="CP353" i="3"/>
  <c r="CZ353" i="3" s="1"/>
  <c r="CJ353" i="3"/>
  <c r="CD353" i="3"/>
  <c r="CG353" i="3" s="1"/>
  <c r="CE353" i="3"/>
  <c r="CX353" i="3" s="1"/>
  <c r="BA353" i="3"/>
  <c r="BB353" i="3" s="1"/>
  <c r="BH353" i="3" l="1"/>
  <c r="BK353" i="3" s="1"/>
  <c r="AP354" i="3" s="1"/>
  <c r="BG353" i="3"/>
  <c r="BC353" i="3"/>
  <c r="BO353" i="3" s="1"/>
  <c r="CF353" i="3"/>
  <c r="N343" i="3"/>
  <c r="O343" i="3"/>
  <c r="Q343" i="3" l="1"/>
  <c r="R343" i="3" s="1"/>
  <c r="BD353" i="3"/>
  <c r="CH353" i="3"/>
  <c r="CI353" i="3"/>
  <c r="BJ353" i="3"/>
  <c r="AO354" i="3" s="1"/>
  <c r="AQ354" i="3" s="1"/>
  <c r="BS353" i="3"/>
  <c r="CK353" i="3" l="1"/>
  <c r="CL353" i="3" s="1"/>
  <c r="BL353" i="3"/>
  <c r="BM353" i="3" s="1"/>
  <c r="BE353" i="3"/>
  <c r="BR353" i="3" s="1"/>
  <c r="AR354" i="3"/>
  <c r="X343" i="3"/>
  <c r="AA343" i="3" s="1"/>
  <c r="W343" i="3"/>
  <c r="S343" i="3"/>
  <c r="AE343" i="3" s="1"/>
  <c r="AI343" i="3" l="1"/>
  <c r="Y343" i="3"/>
  <c r="F344" i="3"/>
  <c r="C30" i="3"/>
  <c r="F41" i="5"/>
  <c r="T343" i="3"/>
  <c r="AT354" i="3"/>
  <c r="AW354" i="3" s="1"/>
  <c r="AS354" i="3"/>
  <c r="CR353" i="3"/>
  <c r="CU353" i="3" s="1"/>
  <c r="BZ354" i="3" s="1"/>
  <c r="CQ353" i="3"/>
  <c r="CM353" i="3"/>
  <c r="CY353" i="3" s="1"/>
  <c r="CN353" i="3" l="1"/>
  <c r="AB343" i="3"/>
  <c r="AC343" i="3" s="1"/>
  <c r="U343" i="3"/>
  <c r="AH343" i="3" s="1"/>
  <c r="CV353" i="3"/>
  <c r="CW353" i="3" s="1"/>
  <c r="CO353" i="3"/>
  <c r="DB353" i="3" s="1"/>
  <c r="AZ354" i="3"/>
  <c r="BF354" i="3"/>
  <c r="BP354" i="3" s="1"/>
  <c r="AU354" i="3"/>
  <c r="I30" i="3"/>
  <c r="AG343" i="3"/>
  <c r="AG344" i="3" s="1"/>
  <c r="AG345" i="3" s="1"/>
  <c r="AG346" i="3" s="1"/>
  <c r="AG347" i="3" s="1"/>
  <c r="AG348" i="3" s="1"/>
  <c r="AG349" i="3" s="1"/>
  <c r="AG350" i="3" s="1"/>
  <c r="AG351" i="3" s="1"/>
  <c r="AG352" i="3" s="1"/>
  <c r="AG353" i="3" s="1"/>
  <c r="AG354" i="3" s="1"/>
  <c r="CT353" i="3"/>
  <c r="BY354" i="3" s="1"/>
  <c r="CA354" i="3" s="1"/>
  <c r="DC353" i="3"/>
  <c r="Z343" i="3"/>
  <c r="B41" i="5" l="1"/>
  <c r="E344" i="3"/>
  <c r="G344" i="3" s="1"/>
  <c r="B30" i="3"/>
  <c r="D30" i="3" s="1"/>
  <c r="CB354" i="3"/>
  <c r="CC354" i="3" s="1"/>
  <c r="BN354" i="3"/>
  <c r="AV354" i="3"/>
  <c r="CP354" i="3" l="1"/>
  <c r="CZ354" i="3" s="1"/>
  <c r="CJ354" i="3"/>
  <c r="AX354" i="3"/>
  <c r="AY354" i="3"/>
  <c r="H344" i="3"/>
  <c r="CD354" i="3"/>
  <c r="CG354" i="3" s="1"/>
  <c r="CE354" i="3" l="1"/>
  <c r="J344" i="3"/>
  <c r="M344" i="3" s="1"/>
  <c r="I344" i="3"/>
  <c r="BA354" i="3"/>
  <c r="BB354" i="3" s="1"/>
  <c r="BH354" i="3" l="1"/>
  <c r="BK354" i="3" s="1"/>
  <c r="AP355" i="3" s="1"/>
  <c r="BG354" i="3"/>
  <c r="BC354" i="3"/>
  <c r="BO354" i="3" s="1"/>
  <c r="V344" i="3"/>
  <c r="AF344" i="3" s="1"/>
  <c r="P344" i="3"/>
  <c r="K344" i="3"/>
  <c r="CX354" i="3"/>
  <c r="CF354" i="3"/>
  <c r="AD344" i="3" l="1"/>
  <c r="L344" i="3"/>
  <c r="BJ354" i="3"/>
  <c r="AO355" i="3" s="1"/>
  <c r="AQ355" i="3" s="1"/>
  <c r="BS354" i="3"/>
  <c r="BD354" i="3"/>
  <c r="CH354" i="3"/>
  <c r="CI354" i="3"/>
  <c r="CK354" i="3" l="1"/>
  <c r="CL354" i="3" s="1"/>
  <c r="BL354" i="3"/>
  <c r="BM354" i="3" s="1"/>
  <c r="BE354" i="3"/>
  <c r="BR354" i="3" s="1"/>
  <c r="AR355" i="3"/>
  <c r="O344" i="3"/>
  <c r="N344" i="3"/>
  <c r="Q344" i="3" l="1"/>
  <c r="R344" i="3" s="1"/>
  <c r="AT355" i="3"/>
  <c r="AW355" i="3" s="1"/>
  <c r="AU355" i="3"/>
  <c r="BN355" i="3" s="1"/>
  <c r="AS355" i="3"/>
  <c r="CR354" i="3"/>
  <c r="CU354" i="3" s="1"/>
  <c r="BZ355" i="3" s="1"/>
  <c r="CQ354" i="3"/>
  <c r="CM354" i="3"/>
  <c r="CY354" i="3" s="1"/>
  <c r="AV355" i="3" l="1"/>
  <c r="CT354" i="3"/>
  <c r="BY355" i="3" s="1"/>
  <c r="CA355" i="3" s="1"/>
  <c r="DC354" i="3"/>
  <c r="CN354" i="3"/>
  <c r="BF355" i="3"/>
  <c r="BP355" i="3" s="1"/>
  <c r="AZ355" i="3"/>
  <c r="X344" i="3"/>
  <c r="AA344" i="3" s="1"/>
  <c r="F345" i="3" s="1"/>
  <c r="W344" i="3"/>
  <c r="S344" i="3"/>
  <c r="T344" i="3" s="1"/>
  <c r="AB344" i="3" l="1"/>
  <c r="U344" i="3"/>
  <c r="AH344" i="3" s="1"/>
  <c r="CB355" i="3"/>
  <c r="CC355" i="3" s="1"/>
  <c r="AE344" i="3"/>
  <c r="Z344" i="3"/>
  <c r="E345" i="3" s="1"/>
  <c r="G345" i="3" s="1"/>
  <c r="AI344" i="3"/>
  <c r="W31" i="3"/>
  <c r="CV354" i="3"/>
  <c r="CW354" i="3" s="1"/>
  <c r="CO354" i="3"/>
  <c r="DB354" i="3" s="1"/>
  <c r="AY355" i="3"/>
  <c r="AX355" i="3"/>
  <c r="BA355" i="3" l="1"/>
  <c r="BB355" i="3" s="1"/>
  <c r="H345" i="3"/>
  <c r="CP355" i="3"/>
  <c r="CZ355" i="3" s="1"/>
  <c r="CJ355" i="3"/>
  <c r="CD355" i="3"/>
  <c r="CG355" i="3" s="1"/>
  <c r="CE355" i="3"/>
  <c r="CX355" i="3" s="1"/>
  <c r="AC344" i="3"/>
  <c r="CF355" i="3" l="1"/>
  <c r="J345" i="3"/>
  <c r="M345" i="3" s="1"/>
  <c r="AJ31" i="3"/>
  <c r="I345" i="3"/>
  <c r="BH355" i="3"/>
  <c r="BK355" i="3" s="1"/>
  <c r="BG355" i="3"/>
  <c r="BC355" i="3"/>
  <c r="BO355" i="3" s="1"/>
  <c r="G42" i="5" l="1"/>
  <c r="BS355" i="3"/>
  <c r="BI355" i="3"/>
  <c r="P345" i="3"/>
  <c r="V345" i="3"/>
  <c r="AF345" i="3" s="1"/>
  <c r="CI355" i="3"/>
  <c r="CH355" i="3"/>
  <c r="AP356" i="3"/>
  <c r="P31" i="3"/>
  <c r="BD355" i="3"/>
  <c r="K345" i="3"/>
  <c r="BL355" i="3" l="1"/>
  <c r="BM355" i="3" s="1"/>
  <c r="BE355" i="3"/>
  <c r="BR355" i="3" s="1"/>
  <c r="AD345" i="3"/>
  <c r="L345" i="3"/>
  <c r="CK355" i="3"/>
  <c r="CL355" i="3" s="1"/>
  <c r="V31" i="3"/>
  <c r="BQ355" i="3"/>
  <c r="BQ356" i="3" s="1"/>
  <c r="BQ357" i="3" s="1"/>
  <c r="BQ358" i="3" s="1"/>
  <c r="BQ359" i="3" s="1"/>
  <c r="BQ360" i="3" s="1"/>
  <c r="BQ361" i="3" s="1"/>
  <c r="BQ362" i="3" s="1"/>
  <c r="BQ363" i="3" s="1"/>
  <c r="BQ364" i="3" s="1"/>
  <c r="BQ365" i="3" s="1"/>
  <c r="BQ366" i="3" s="1"/>
  <c r="BJ355" i="3"/>
  <c r="N345" i="3" l="1"/>
  <c r="O345" i="3"/>
  <c r="CR355" i="3"/>
  <c r="CU355" i="3" s="1"/>
  <c r="CQ355" i="3"/>
  <c r="CM355" i="3"/>
  <c r="CY355" i="3" s="1"/>
  <c r="C42" i="5"/>
  <c r="AO356" i="3"/>
  <c r="AQ356" i="3" s="1"/>
  <c r="O31" i="3"/>
  <c r="Q31" i="3" s="1"/>
  <c r="AR356" i="3" l="1"/>
  <c r="DC355" i="3"/>
  <c r="CS355" i="3"/>
  <c r="H42" i="5"/>
  <c r="CN355" i="3"/>
  <c r="BZ356" i="3"/>
  <c r="AC31" i="3"/>
  <c r="Q345" i="3"/>
  <c r="R345" i="3" s="1"/>
  <c r="X345" i="3" l="1"/>
  <c r="AA345" i="3" s="1"/>
  <c r="F346" i="3" s="1"/>
  <c r="W345" i="3"/>
  <c r="S345" i="3"/>
  <c r="CV355" i="3"/>
  <c r="CW355" i="3" s="1"/>
  <c r="CO355" i="3"/>
  <c r="DB355" i="3" s="1"/>
  <c r="AI31" i="3"/>
  <c r="DA355" i="3"/>
  <c r="DA356" i="3" s="1"/>
  <c r="DA357" i="3" s="1"/>
  <c r="DA358" i="3" s="1"/>
  <c r="DA359" i="3" s="1"/>
  <c r="DA360" i="3" s="1"/>
  <c r="DA361" i="3" s="1"/>
  <c r="DA362" i="3" s="1"/>
  <c r="DA363" i="3" s="1"/>
  <c r="DA364" i="3" s="1"/>
  <c r="DA365" i="3" s="1"/>
  <c r="DA366" i="3" s="1"/>
  <c r="CT355" i="3"/>
  <c r="AT356" i="3"/>
  <c r="AW356" i="3" s="1"/>
  <c r="AU356" i="3"/>
  <c r="AS356" i="3"/>
  <c r="AZ356" i="3" l="1"/>
  <c r="BF356" i="3"/>
  <c r="BP356" i="3" s="1"/>
  <c r="BN356" i="3"/>
  <c r="AV356" i="3"/>
  <c r="D42" i="5"/>
  <c r="BY356" i="3"/>
  <c r="CA356" i="3" s="1"/>
  <c r="AB31" i="3"/>
  <c r="AD31" i="3" s="1"/>
  <c r="AI345" i="3"/>
  <c r="Z345" i="3"/>
  <c r="E346" i="3" s="1"/>
  <c r="G346" i="3" s="1"/>
  <c r="AE345" i="3"/>
  <c r="T345" i="3"/>
  <c r="H346" i="3" l="1"/>
  <c r="CB356" i="3"/>
  <c r="CC356" i="3"/>
  <c r="AX356" i="3"/>
  <c r="AY356" i="3"/>
  <c r="AB345" i="3"/>
  <c r="U345" i="3"/>
  <c r="AH345" i="3" s="1"/>
  <c r="CP356" i="3" l="1"/>
  <c r="CZ356" i="3" s="1"/>
  <c r="CJ356" i="3"/>
  <c r="AC345" i="3"/>
  <c r="BA356" i="3"/>
  <c r="BB356" i="3" s="1"/>
  <c r="CD356" i="3"/>
  <c r="CG356" i="3" s="1"/>
  <c r="J346" i="3"/>
  <c r="M346" i="3" s="1"/>
  <c r="I346" i="3"/>
  <c r="K346" i="3" l="1"/>
  <c r="CE356" i="3"/>
  <c r="BH356" i="3"/>
  <c r="BK356" i="3" s="1"/>
  <c r="AP357" i="3" s="1"/>
  <c r="BG356" i="3"/>
  <c r="BC356" i="3"/>
  <c r="V346" i="3"/>
  <c r="AF346" i="3" s="1"/>
  <c r="P346" i="3"/>
  <c r="BS356" i="3" l="1"/>
  <c r="BJ356" i="3"/>
  <c r="AO357" i="3" s="1"/>
  <c r="AQ357" i="3" s="1"/>
  <c r="CX356" i="3"/>
  <c r="CF356" i="3"/>
  <c r="BO356" i="3"/>
  <c r="BD356" i="3"/>
  <c r="AD346" i="3"/>
  <c r="L346" i="3"/>
  <c r="N346" i="3" l="1"/>
  <c r="O346" i="3"/>
  <c r="BL356" i="3"/>
  <c r="BE356" i="3"/>
  <c r="BR356" i="3" s="1"/>
  <c r="CH356" i="3"/>
  <c r="CI356" i="3"/>
  <c r="AR357" i="3"/>
  <c r="AS357" i="3" s="1"/>
  <c r="BF357" i="3" l="1"/>
  <c r="BP357" i="3" s="1"/>
  <c r="AZ357" i="3"/>
  <c r="AT357" i="3"/>
  <c r="AW357" i="3" s="1"/>
  <c r="CK356" i="3"/>
  <c r="CL356" i="3" s="1"/>
  <c r="BM356" i="3"/>
  <c r="Q346" i="3"/>
  <c r="R346" i="3" s="1"/>
  <c r="X346" i="3" l="1"/>
  <c r="AA346" i="3" s="1"/>
  <c r="F347" i="3" s="1"/>
  <c r="W346" i="3"/>
  <c r="S346" i="3"/>
  <c r="CR356" i="3"/>
  <c r="CU356" i="3" s="1"/>
  <c r="BZ357" i="3" s="1"/>
  <c r="CQ356" i="3"/>
  <c r="CM356" i="3"/>
  <c r="CN356" i="3" s="1"/>
  <c r="AU357" i="3"/>
  <c r="CV356" i="3" l="1"/>
  <c r="CO356" i="3"/>
  <c r="DB356" i="3" s="1"/>
  <c r="CT356" i="3"/>
  <c r="BY357" i="3" s="1"/>
  <c r="CA357" i="3" s="1"/>
  <c r="DC356" i="3"/>
  <c r="BN357" i="3"/>
  <c r="AV357" i="3"/>
  <c r="AE346" i="3"/>
  <c r="T346" i="3"/>
  <c r="CY356" i="3"/>
  <c r="Z346" i="3"/>
  <c r="E347" i="3" s="1"/>
  <c r="G347" i="3" s="1"/>
  <c r="AI346" i="3"/>
  <c r="H347" i="3" l="1"/>
  <c r="AB346" i="3"/>
  <c r="U346" i="3"/>
  <c r="AH346" i="3" s="1"/>
  <c r="AX357" i="3"/>
  <c r="AY357" i="3"/>
  <c r="CB357" i="3"/>
  <c r="CC357" i="3" s="1"/>
  <c r="CW356" i="3"/>
  <c r="BA357" i="3" l="1"/>
  <c r="BB357" i="3" s="1"/>
  <c r="CP357" i="3"/>
  <c r="CZ357" i="3" s="1"/>
  <c r="CJ357" i="3"/>
  <c r="CD357" i="3"/>
  <c r="CG357" i="3" s="1"/>
  <c r="CE357" i="3"/>
  <c r="AC346" i="3"/>
  <c r="J347" i="3"/>
  <c r="M347" i="3" s="1"/>
  <c r="I347" i="3"/>
  <c r="K347" i="3" l="1"/>
  <c r="CX357" i="3"/>
  <c r="CF357" i="3"/>
  <c r="BH357" i="3"/>
  <c r="BK357" i="3" s="1"/>
  <c r="AP358" i="3" s="1"/>
  <c r="BG357" i="3"/>
  <c r="BC357" i="3"/>
  <c r="P347" i="3"/>
  <c r="V347" i="3"/>
  <c r="AF347" i="3" s="1"/>
  <c r="BO357" i="3" l="1"/>
  <c r="BJ357" i="3"/>
  <c r="AO358" i="3" s="1"/>
  <c r="AQ358" i="3" s="1"/>
  <c r="BS357" i="3"/>
  <c r="BD357" i="3"/>
  <c r="CH357" i="3"/>
  <c r="CI357" i="3"/>
  <c r="AD347" i="3"/>
  <c r="L347" i="3"/>
  <c r="N347" i="3" l="1"/>
  <c r="O347" i="3"/>
  <c r="CK357" i="3"/>
  <c r="CL357" i="3" s="1"/>
  <c r="BL357" i="3"/>
  <c r="BE357" i="3"/>
  <c r="BR357" i="3" s="1"/>
  <c r="AR358" i="3"/>
  <c r="AS358" i="3" s="1"/>
  <c r="BF358" i="3" l="1"/>
  <c r="BP358" i="3" s="1"/>
  <c r="AZ358" i="3"/>
  <c r="BM357" i="3"/>
  <c r="AT358" i="3"/>
  <c r="AW358" i="3" s="1"/>
  <c r="AU358" i="3"/>
  <c r="CR357" i="3"/>
  <c r="CU357" i="3" s="1"/>
  <c r="BZ358" i="3" s="1"/>
  <c r="CQ357" i="3"/>
  <c r="CM357" i="3"/>
  <c r="Q347" i="3"/>
  <c r="R347" i="3" s="1"/>
  <c r="X347" i="3" l="1"/>
  <c r="AA347" i="3" s="1"/>
  <c r="F348" i="3" s="1"/>
  <c r="W347" i="3"/>
  <c r="S347" i="3"/>
  <c r="CY357" i="3"/>
  <c r="CT357" i="3"/>
  <c r="BY358" i="3" s="1"/>
  <c r="CA358" i="3" s="1"/>
  <c r="DC357" i="3"/>
  <c r="CN357" i="3"/>
  <c r="BN358" i="3"/>
  <c r="AV358" i="3"/>
  <c r="AI347" i="3" l="1"/>
  <c r="Z347" i="3"/>
  <c r="E348" i="3" s="1"/>
  <c r="G348" i="3" s="1"/>
  <c r="AY358" i="3"/>
  <c r="AX358" i="3"/>
  <c r="CV357" i="3"/>
  <c r="CO357" i="3"/>
  <c r="DB357" i="3" s="1"/>
  <c r="CB358" i="3"/>
  <c r="AE347" i="3"/>
  <c r="T347" i="3"/>
  <c r="AB347" i="3" l="1"/>
  <c r="U347" i="3"/>
  <c r="AH347" i="3" s="1"/>
  <c r="CD358" i="3"/>
  <c r="CG358" i="3" s="1"/>
  <c r="CE358" i="3"/>
  <c r="CC358" i="3"/>
  <c r="CW357" i="3"/>
  <c r="BA358" i="3"/>
  <c r="BB358" i="3" s="1"/>
  <c r="H348" i="3"/>
  <c r="J348" i="3" l="1"/>
  <c r="M348" i="3" s="1"/>
  <c r="I348" i="3"/>
  <c r="BH358" i="3"/>
  <c r="BK358" i="3" s="1"/>
  <c r="AP359" i="3" s="1"/>
  <c r="BG358" i="3"/>
  <c r="BC358" i="3"/>
  <c r="CP358" i="3"/>
  <c r="CZ358" i="3" s="1"/>
  <c r="CJ358" i="3"/>
  <c r="CX358" i="3"/>
  <c r="CF358" i="3"/>
  <c r="AC347" i="3"/>
  <c r="K348" i="3" l="1"/>
  <c r="AD348" i="3" s="1"/>
  <c r="CI358" i="3"/>
  <c r="CH358" i="3"/>
  <c r="BO358" i="3"/>
  <c r="V348" i="3"/>
  <c r="AF348" i="3" s="1"/>
  <c r="P348" i="3"/>
  <c r="BS358" i="3"/>
  <c r="BJ358" i="3"/>
  <c r="AO359" i="3" s="1"/>
  <c r="AQ359" i="3" s="1"/>
  <c r="BD358" i="3"/>
  <c r="L348" i="3"/>
  <c r="BL358" i="3" l="1"/>
  <c r="BE358" i="3"/>
  <c r="BR358" i="3" s="1"/>
  <c r="AR359" i="3"/>
  <c r="CK358" i="3"/>
  <c r="CL358" i="3" s="1"/>
  <c r="N348" i="3"/>
  <c r="O348" i="3"/>
  <c r="CR358" i="3" l="1"/>
  <c r="CU358" i="3" s="1"/>
  <c r="BZ359" i="3" s="1"/>
  <c r="CQ358" i="3"/>
  <c r="CM358" i="3"/>
  <c r="Q348" i="3"/>
  <c r="R348" i="3" s="1"/>
  <c r="AT359" i="3"/>
  <c r="AW359" i="3" s="1"/>
  <c r="AS359" i="3"/>
  <c r="BM358" i="3"/>
  <c r="AU359" i="3" l="1"/>
  <c r="BN359" i="3"/>
  <c r="AV359" i="3"/>
  <c r="BF359" i="3"/>
  <c r="BP359" i="3" s="1"/>
  <c r="AZ359" i="3"/>
  <c r="CY358" i="3"/>
  <c r="CN358" i="3"/>
  <c r="X348" i="3"/>
  <c r="AA348" i="3" s="1"/>
  <c r="F349" i="3" s="1"/>
  <c r="W348" i="3"/>
  <c r="S348" i="3"/>
  <c r="AE348" i="3" s="1"/>
  <c r="CT358" i="3"/>
  <c r="BY359" i="3" s="1"/>
  <c r="CA359" i="3" s="1"/>
  <c r="DC358" i="3"/>
  <c r="T348" i="3" l="1"/>
  <c r="CB359" i="3"/>
  <c r="CC359" i="3" s="1"/>
  <c r="Z348" i="3"/>
  <c r="E349" i="3" s="1"/>
  <c r="G349" i="3" s="1"/>
  <c r="AI348" i="3"/>
  <c r="CV358" i="3"/>
  <c r="CO358" i="3"/>
  <c r="DB358" i="3" s="1"/>
  <c r="AX359" i="3"/>
  <c r="AY359" i="3"/>
  <c r="CJ359" i="3" l="1"/>
  <c r="CP359" i="3"/>
  <c r="CZ359" i="3" s="1"/>
  <c r="H349" i="3"/>
  <c r="I349" i="3" s="1"/>
  <c r="BA359" i="3"/>
  <c r="BB359" i="3" s="1"/>
  <c r="CW358" i="3"/>
  <c r="CD359" i="3"/>
  <c r="CG359" i="3" s="1"/>
  <c r="AB348" i="3"/>
  <c r="AC348" i="3" s="1"/>
  <c r="U348" i="3"/>
  <c r="AH348" i="3" s="1"/>
  <c r="CE359" i="3" l="1"/>
  <c r="BH359" i="3"/>
  <c r="BK359" i="3" s="1"/>
  <c r="AP360" i="3" s="1"/>
  <c r="BG359" i="3"/>
  <c r="BC359" i="3"/>
  <c r="V349" i="3"/>
  <c r="AF349" i="3" s="1"/>
  <c r="P349" i="3"/>
  <c r="J349" i="3"/>
  <c r="M349" i="3" s="1"/>
  <c r="K349" i="3" l="1"/>
  <c r="BO359" i="3"/>
  <c r="BJ359" i="3"/>
  <c r="AO360" i="3" s="1"/>
  <c r="AQ360" i="3" s="1"/>
  <c r="BS359" i="3"/>
  <c r="BD359" i="3"/>
  <c r="CX359" i="3"/>
  <c r="CF359" i="3"/>
  <c r="CH359" i="3" l="1"/>
  <c r="CI359" i="3"/>
  <c r="BL359" i="3"/>
  <c r="BE359" i="3"/>
  <c r="BR359" i="3" s="1"/>
  <c r="AR360" i="3"/>
  <c r="AS360" i="3"/>
  <c r="AD349" i="3"/>
  <c r="L349" i="3"/>
  <c r="N349" i="3" l="1"/>
  <c r="O349" i="3"/>
  <c r="BM359" i="3"/>
  <c r="BF360" i="3"/>
  <c r="BP360" i="3" s="1"/>
  <c r="AZ360" i="3"/>
  <c r="AT360" i="3"/>
  <c r="AW360" i="3" s="1"/>
  <c r="CK359" i="3"/>
  <c r="CL359" i="3" s="1"/>
  <c r="CR359" i="3" l="1"/>
  <c r="CU359" i="3" s="1"/>
  <c r="BZ360" i="3" s="1"/>
  <c r="CQ359" i="3"/>
  <c r="CM359" i="3"/>
  <c r="AU360" i="3"/>
  <c r="Q349" i="3"/>
  <c r="R349" i="3" s="1"/>
  <c r="X349" i="3" l="1"/>
  <c r="AA349" i="3" s="1"/>
  <c r="F350" i="3" s="1"/>
  <c r="W349" i="3"/>
  <c r="S349" i="3"/>
  <c r="AE349" i="3" s="1"/>
  <c r="CY359" i="3"/>
  <c r="CN359" i="3"/>
  <c r="BN360" i="3"/>
  <c r="AV360" i="3"/>
  <c r="CT359" i="3"/>
  <c r="BY360" i="3" s="1"/>
  <c r="CA360" i="3" s="1"/>
  <c r="DC359" i="3"/>
  <c r="CB360" i="3" l="1"/>
  <c r="CV359" i="3"/>
  <c r="CO359" i="3"/>
  <c r="DB359" i="3" s="1"/>
  <c r="T349" i="3"/>
  <c r="AX360" i="3"/>
  <c r="AY360" i="3"/>
  <c r="AI349" i="3"/>
  <c r="Z349" i="3"/>
  <c r="E350" i="3" s="1"/>
  <c r="G350" i="3" s="1"/>
  <c r="H350" i="3" l="1"/>
  <c r="BA360" i="3"/>
  <c r="BB360" i="3" s="1"/>
  <c r="AB349" i="3"/>
  <c r="AC349" i="3" s="1"/>
  <c r="U349" i="3"/>
  <c r="AH349" i="3" s="1"/>
  <c r="CW359" i="3"/>
  <c r="CD360" i="3"/>
  <c r="CG360" i="3" s="1"/>
  <c r="CC360" i="3"/>
  <c r="CE360" i="3" l="1"/>
  <c r="CP360" i="3"/>
  <c r="CZ360" i="3" s="1"/>
  <c r="CJ360" i="3"/>
  <c r="BH360" i="3"/>
  <c r="BK360" i="3" s="1"/>
  <c r="AP361" i="3" s="1"/>
  <c r="BG360" i="3"/>
  <c r="BC360" i="3"/>
  <c r="BO360" i="3" s="1"/>
  <c r="J350" i="3"/>
  <c r="M350" i="3" s="1"/>
  <c r="I350" i="3"/>
  <c r="P350" i="3" l="1"/>
  <c r="V350" i="3"/>
  <c r="AF350" i="3" s="1"/>
  <c r="BJ360" i="3"/>
  <c r="AO361" i="3" s="1"/>
  <c r="AQ361" i="3" s="1"/>
  <c r="BS360" i="3"/>
  <c r="BD360" i="3"/>
  <c r="K350" i="3"/>
  <c r="CX360" i="3"/>
  <c r="CF360" i="3"/>
  <c r="CH360" i="3" l="1"/>
  <c r="CI360" i="3"/>
  <c r="AD350" i="3"/>
  <c r="L350" i="3"/>
  <c r="BL360" i="3"/>
  <c r="BM360" i="3" s="1"/>
  <c r="BE360" i="3"/>
  <c r="BR360" i="3" s="1"/>
  <c r="AR361" i="3"/>
  <c r="AS361" i="3" s="1"/>
  <c r="BF361" i="3" l="1"/>
  <c r="BP361" i="3" s="1"/>
  <c r="AZ361" i="3"/>
  <c r="N350" i="3"/>
  <c r="O350" i="3"/>
  <c r="AT361" i="3"/>
  <c r="AW361" i="3" s="1"/>
  <c r="CK360" i="3"/>
  <c r="CL360" i="3" s="1"/>
  <c r="CR360" i="3" l="1"/>
  <c r="CU360" i="3" s="1"/>
  <c r="BZ361" i="3" s="1"/>
  <c r="CQ360" i="3"/>
  <c r="CM360" i="3"/>
  <c r="AU361" i="3"/>
  <c r="Q350" i="3"/>
  <c r="R350" i="3" s="1"/>
  <c r="BN361" i="3" l="1"/>
  <c r="AV361" i="3"/>
  <c r="CY360" i="3"/>
  <c r="CT360" i="3"/>
  <c r="BY361" i="3" s="1"/>
  <c r="CA361" i="3" s="1"/>
  <c r="DC360" i="3"/>
  <c r="X350" i="3"/>
  <c r="AA350" i="3" s="1"/>
  <c r="F351" i="3" s="1"/>
  <c r="W350" i="3"/>
  <c r="S350" i="3"/>
  <c r="AE350" i="3" s="1"/>
  <c r="CN360" i="3"/>
  <c r="CV360" i="3" l="1"/>
  <c r="CW360" i="3" s="1"/>
  <c r="CO360" i="3"/>
  <c r="DB360" i="3" s="1"/>
  <c r="T350" i="3"/>
  <c r="AI350" i="3"/>
  <c r="Z350" i="3"/>
  <c r="E351" i="3" s="1"/>
  <c r="G351" i="3" s="1"/>
  <c r="CB361" i="3"/>
  <c r="CC361" i="3" s="1"/>
  <c r="AY361" i="3"/>
  <c r="AX361" i="3"/>
  <c r="CJ361" i="3" l="1"/>
  <c r="CP361" i="3"/>
  <c r="CZ361" i="3" s="1"/>
  <c r="H351" i="3"/>
  <c r="I351" i="3"/>
  <c r="AB350" i="3"/>
  <c r="AC350" i="3" s="1"/>
  <c r="U350" i="3"/>
  <c r="AH350" i="3" s="1"/>
  <c r="CD361" i="3"/>
  <c r="CG361" i="3" s="1"/>
  <c r="BA361" i="3"/>
  <c r="BB361" i="3" s="1"/>
  <c r="CE361" i="3" l="1"/>
  <c r="V351" i="3"/>
  <c r="AF351" i="3" s="1"/>
  <c r="P351" i="3"/>
  <c r="BH361" i="3"/>
  <c r="BK361" i="3" s="1"/>
  <c r="AP362" i="3" s="1"/>
  <c r="BG361" i="3"/>
  <c r="BC361" i="3"/>
  <c r="BO361" i="3" s="1"/>
  <c r="J351" i="3"/>
  <c r="M351" i="3" s="1"/>
  <c r="BD361" i="3" l="1"/>
  <c r="K351" i="3"/>
  <c r="BJ361" i="3"/>
  <c r="AO362" i="3" s="1"/>
  <c r="AQ362" i="3" s="1"/>
  <c r="BS361" i="3"/>
  <c r="CX361" i="3"/>
  <c r="CF361" i="3"/>
  <c r="CH361" i="3" l="1"/>
  <c r="CI361" i="3"/>
  <c r="AD351" i="3"/>
  <c r="L351" i="3"/>
  <c r="AR362" i="3"/>
  <c r="BL361" i="3"/>
  <c r="BM361" i="3" s="1"/>
  <c r="BE361" i="3"/>
  <c r="BR361" i="3" s="1"/>
  <c r="AT362" i="3" l="1"/>
  <c r="AW362" i="3" s="1"/>
  <c r="AS362" i="3"/>
  <c r="N351" i="3"/>
  <c r="O351" i="3"/>
  <c r="CK361" i="3"/>
  <c r="CL361" i="3" s="1"/>
  <c r="Q351" i="3" l="1"/>
  <c r="R351" i="3" s="1"/>
  <c r="CR361" i="3"/>
  <c r="CU361" i="3" s="1"/>
  <c r="BZ362" i="3" s="1"/>
  <c r="CQ361" i="3"/>
  <c r="CM361" i="3"/>
  <c r="CY361" i="3" s="1"/>
  <c r="AZ362" i="3"/>
  <c r="BF362" i="3"/>
  <c r="BP362" i="3" s="1"/>
  <c r="AU362" i="3"/>
  <c r="DC361" i="3" l="1"/>
  <c r="CT361" i="3"/>
  <c r="BY362" i="3" s="1"/>
  <c r="CA362" i="3" s="1"/>
  <c r="CN361" i="3"/>
  <c r="BN362" i="3"/>
  <c r="AV362" i="3"/>
  <c r="X351" i="3"/>
  <c r="AA351" i="3" s="1"/>
  <c r="F352" i="3" s="1"/>
  <c r="W351" i="3"/>
  <c r="S351" i="3"/>
  <c r="AE351" i="3" s="1"/>
  <c r="Z351" i="3" l="1"/>
  <c r="E352" i="3" s="1"/>
  <c r="G352" i="3" s="1"/>
  <c r="AI351" i="3"/>
  <c r="T351" i="3"/>
  <c r="CB362" i="3"/>
  <c r="AX362" i="3"/>
  <c r="AY362" i="3"/>
  <c r="CV361" i="3"/>
  <c r="CW361" i="3" s="1"/>
  <c r="CO361" i="3"/>
  <c r="DB361" i="3" s="1"/>
  <c r="AB351" i="3" l="1"/>
  <c r="AC351" i="3" s="1"/>
  <c r="U351" i="3"/>
  <c r="AH351" i="3" s="1"/>
  <c r="BA362" i="3"/>
  <c r="BB362" i="3" s="1"/>
  <c r="CD362" i="3"/>
  <c r="CG362" i="3" s="1"/>
  <c r="CE362" i="3"/>
  <c r="CX362" i="3" s="1"/>
  <c r="CC362" i="3"/>
  <c r="H352" i="3"/>
  <c r="CF362" i="3" l="1"/>
  <c r="J352" i="3"/>
  <c r="M352" i="3" s="1"/>
  <c r="CP362" i="3"/>
  <c r="CZ362" i="3" s="1"/>
  <c r="CJ362" i="3"/>
  <c r="I352" i="3"/>
  <c r="BH362" i="3"/>
  <c r="BK362" i="3" s="1"/>
  <c r="AP363" i="3" s="1"/>
  <c r="BG362" i="3"/>
  <c r="BC362" i="3"/>
  <c r="BO362" i="3" s="1"/>
  <c r="V352" i="3" l="1"/>
  <c r="AF352" i="3" s="1"/>
  <c r="P352" i="3"/>
  <c r="BJ362" i="3"/>
  <c r="AO363" i="3" s="1"/>
  <c r="AQ363" i="3" s="1"/>
  <c r="BS362" i="3"/>
  <c r="BD362" i="3"/>
  <c r="K352" i="3"/>
  <c r="CH362" i="3"/>
  <c r="CI362" i="3"/>
  <c r="CK362" i="3" l="1"/>
  <c r="CL362" i="3" s="1"/>
  <c r="AD352" i="3"/>
  <c r="L352" i="3"/>
  <c r="AR363" i="3"/>
  <c r="BL362" i="3"/>
  <c r="BM362" i="3" s="1"/>
  <c r="BE362" i="3"/>
  <c r="BR362" i="3" s="1"/>
  <c r="AT363" i="3" l="1"/>
  <c r="AW363" i="3" s="1"/>
  <c r="AS363" i="3"/>
  <c r="N352" i="3"/>
  <c r="O352" i="3"/>
  <c r="CR362" i="3"/>
  <c r="CU362" i="3" s="1"/>
  <c r="BZ363" i="3" s="1"/>
  <c r="CQ362" i="3"/>
  <c r="CM362" i="3"/>
  <c r="CY362" i="3" s="1"/>
  <c r="CT362" i="3" l="1"/>
  <c r="BY363" i="3" s="1"/>
  <c r="CA363" i="3" s="1"/>
  <c r="DC362" i="3"/>
  <c r="CN362" i="3"/>
  <c r="Q352" i="3"/>
  <c r="R352" i="3" s="1"/>
  <c r="BF363" i="3"/>
  <c r="BP363" i="3" s="1"/>
  <c r="AZ363" i="3"/>
  <c r="AU363" i="3"/>
  <c r="X352" i="3" l="1"/>
  <c r="AA352" i="3" s="1"/>
  <c r="F353" i="3" s="1"/>
  <c r="W352" i="3"/>
  <c r="S352" i="3"/>
  <c r="AE352" i="3" s="1"/>
  <c r="BN363" i="3"/>
  <c r="AV363" i="3"/>
  <c r="CV362" i="3"/>
  <c r="CW362" i="3" s="1"/>
  <c r="CO362" i="3"/>
  <c r="DB362" i="3" s="1"/>
  <c r="CB363" i="3"/>
  <c r="CD363" i="3" l="1"/>
  <c r="CG363" i="3" s="1"/>
  <c r="CE363" i="3"/>
  <c r="CX363" i="3" s="1"/>
  <c r="AX363" i="3"/>
  <c r="AY363" i="3"/>
  <c r="CC363" i="3"/>
  <c r="Z352" i="3"/>
  <c r="E353" i="3" s="1"/>
  <c r="G353" i="3" s="1"/>
  <c r="AI352" i="3"/>
  <c r="T352" i="3"/>
  <c r="H353" i="3" l="1"/>
  <c r="I353" i="3"/>
  <c r="CP363" i="3"/>
  <c r="CZ363" i="3" s="1"/>
  <c r="CJ363" i="3"/>
  <c r="AB352" i="3"/>
  <c r="AC352" i="3" s="1"/>
  <c r="U352" i="3"/>
  <c r="AH352" i="3" s="1"/>
  <c r="BA363" i="3"/>
  <c r="BB363" i="3" s="1"/>
  <c r="CF363" i="3"/>
  <c r="CI363" i="3" l="1"/>
  <c r="CH363" i="3"/>
  <c r="BH363" i="3"/>
  <c r="BK363" i="3" s="1"/>
  <c r="AP364" i="3" s="1"/>
  <c r="BG363" i="3"/>
  <c r="BC363" i="3"/>
  <c r="BO363" i="3" s="1"/>
  <c r="P353" i="3"/>
  <c r="V353" i="3"/>
  <c r="AF353" i="3" s="1"/>
  <c r="J353" i="3"/>
  <c r="M353" i="3" s="1"/>
  <c r="K353" i="3" l="1"/>
  <c r="AD353" i="3" s="1"/>
  <c r="BJ363" i="3"/>
  <c r="AO364" i="3" s="1"/>
  <c r="AQ364" i="3" s="1"/>
  <c r="BS363" i="3"/>
  <c r="L353" i="3"/>
  <c r="BD363" i="3"/>
  <c r="CK363" i="3"/>
  <c r="CL363" i="3" s="1"/>
  <c r="N353" i="3" l="1"/>
  <c r="O353" i="3"/>
  <c r="CR363" i="3"/>
  <c r="CU363" i="3" s="1"/>
  <c r="BZ364" i="3" s="1"/>
  <c r="CQ363" i="3"/>
  <c r="CM363" i="3"/>
  <c r="CY363" i="3" s="1"/>
  <c r="BL363" i="3"/>
  <c r="BM363" i="3" s="1"/>
  <c r="BE363" i="3"/>
  <c r="BR363" i="3" s="1"/>
  <c r="AR364" i="3"/>
  <c r="AT364" i="3" l="1"/>
  <c r="AW364" i="3" s="1"/>
  <c r="AU364" i="3"/>
  <c r="BN364" i="3" s="1"/>
  <c r="AS364" i="3"/>
  <c r="DC363" i="3"/>
  <c r="CT363" i="3"/>
  <c r="BY364" i="3" s="1"/>
  <c r="CA364" i="3" s="1"/>
  <c r="CN363" i="3"/>
  <c r="Q353" i="3"/>
  <c r="R353" i="3" s="1"/>
  <c r="CV363" i="3" l="1"/>
  <c r="CW363" i="3" s="1"/>
  <c r="CO363" i="3"/>
  <c r="DB363" i="3" s="1"/>
  <c r="X353" i="3"/>
  <c r="AA353" i="3" s="1"/>
  <c r="F354" i="3" s="1"/>
  <c r="W353" i="3"/>
  <c r="S353" i="3"/>
  <c r="AE353" i="3" s="1"/>
  <c r="CB364" i="3"/>
  <c r="CC364" i="3" s="1"/>
  <c r="AZ364" i="3"/>
  <c r="BF364" i="3"/>
  <c r="BP364" i="3" s="1"/>
  <c r="AV364" i="3"/>
  <c r="CP364" i="3" l="1"/>
  <c r="CZ364" i="3" s="1"/>
  <c r="CJ364" i="3"/>
  <c r="AX364" i="3"/>
  <c r="AY364" i="3"/>
  <c r="CD364" i="3"/>
  <c r="CG364" i="3" s="1"/>
  <c r="T353" i="3"/>
  <c r="Z353" i="3"/>
  <c r="E354" i="3" s="1"/>
  <c r="G354" i="3" s="1"/>
  <c r="AI353" i="3"/>
  <c r="AB353" i="3" l="1"/>
  <c r="AC353" i="3" s="1"/>
  <c r="U353" i="3"/>
  <c r="AH353" i="3" s="1"/>
  <c r="H354" i="3"/>
  <c r="CE364" i="3"/>
  <c r="BA364" i="3"/>
  <c r="BB364" i="3" s="1"/>
  <c r="BH364" i="3" l="1"/>
  <c r="BK364" i="3" s="1"/>
  <c r="AP365" i="3" s="1"/>
  <c r="BG364" i="3"/>
  <c r="BC364" i="3"/>
  <c r="BO364" i="3" s="1"/>
  <c r="CX364" i="3"/>
  <c r="CF364" i="3"/>
  <c r="J354" i="3"/>
  <c r="M354" i="3" s="1"/>
  <c r="I354" i="3"/>
  <c r="V354" i="3" l="1"/>
  <c r="AF354" i="3" s="1"/>
  <c r="P354" i="3"/>
  <c r="K354" i="3"/>
  <c r="BS364" i="3"/>
  <c r="BJ364" i="3"/>
  <c r="AO365" i="3" s="1"/>
  <c r="AQ365" i="3" s="1"/>
  <c r="CH364" i="3"/>
  <c r="CI364" i="3"/>
  <c r="BD364" i="3"/>
  <c r="CK364" i="3" l="1"/>
  <c r="CL364" i="3" s="1"/>
  <c r="AD354" i="3"/>
  <c r="L354" i="3"/>
  <c r="BL364" i="3"/>
  <c r="BM364" i="3" s="1"/>
  <c r="BE364" i="3"/>
  <c r="BR364" i="3" s="1"/>
  <c r="AR365" i="3"/>
  <c r="AT365" i="3" l="1"/>
  <c r="AW365" i="3" s="1"/>
  <c r="AS365" i="3"/>
  <c r="N354" i="3"/>
  <c r="O354" i="3"/>
  <c r="CR364" i="3"/>
  <c r="CU364" i="3" s="1"/>
  <c r="BZ365" i="3" s="1"/>
  <c r="CQ364" i="3"/>
  <c r="CM364" i="3"/>
  <c r="CY364" i="3" s="1"/>
  <c r="CT364" i="3" l="1"/>
  <c r="BY365" i="3" s="1"/>
  <c r="CA365" i="3" s="1"/>
  <c r="DC364" i="3"/>
  <c r="BF365" i="3"/>
  <c r="BP365" i="3" s="1"/>
  <c r="AZ365" i="3"/>
  <c r="CN364" i="3"/>
  <c r="Q354" i="3"/>
  <c r="R354" i="3" s="1"/>
  <c r="AU365" i="3"/>
  <c r="X354" i="3" l="1"/>
  <c r="AA354" i="3" s="1"/>
  <c r="F355" i="3" s="1"/>
  <c r="W354" i="3"/>
  <c r="S354" i="3"/>
  <c r="AE354" i="3" s="1"/>
  <c r="BN365" i="3"/>
  <c r="AV365" i="3"/>
  <c r="CV364" i="3"/>
  <c r="CW364" i="3" s="1"/>
  <c r="CO364" i="3"/>
  <c r="DB364" i="3" s="1"/>
  <c r="CB365" i="3"/>
  <c r="CC365" i="3" s="1"/>
  <c r="CP365" i="3" l="1"/>
  <c r="CZ365" i="3" s="1"/>
  <c r="CJ365" i="3"/>
  <c r="Z354" i="3"/>
  <c r="E355" i="3" s="1"/>
  <c r="G355" i="3" s="1"/>
  <c r="AI354" i="3"/>
  <c r="T354" i="3"/>
  <c r="CD365" i="3"/>
  <c r="CG365" i="3" s="1"/>
  <c r="AX365" i="3"/>
  <c r="AY365" i="3"/>
  <c r="CE365" i="3" l="1"/>
  <c r="BA365" i="3"/>
  <c r="BB365" i="3" s="1"/>
  <c r="AB354" i="3"/>
  <c r="AC354" i="3" s="1"/>
  <c r="U354" i="3"/>
  <c r="AH354" i="3" s="1"/>
  <c r="H355" i="3"/>
  <c r="J355" i="3" l="1"/>
  <c r="M355" i="3" s="1"/>
  <c r="I355" i="3"/>
  <c r="BH365" i="3"/>
  <c r="BK365" i="3" s="1"/>
  <c r="AP366" i="3" s="1"/>
  <c r="BG365" i="3"/>
  <c r="BC365" i="3"/>
  <c r="BO365" i="3" s="1"/>
  <c r="CX365" i="3"/>
  <c r="CF365" i="3"/>
  <c r="BJ365" i="3" l="1"/>
  <c r="AO366" i="3" s="1"/>
  <c r="AQ366" i="3" s="1"/>
  <c r="BS365" i="3"/>
  <c r="BD365" i="3"/>
  <c r="V355" i="3"/>
  <c r="AF355" i="3" s="1"/>
  <c r="P355" i="3"/>
  <c r="CH365" i="3"/>
  <c r="CI365" i="3"/>
  <c r="K355" i="3"/>
  <c r="CK365" i="3" l="1"/>
  <c r="CL365" i="3" s="1"/>
  <c r="AD355" i="3"/>
  <c r="L355" i="3"/>
  <c r="J31" i="3"/>
  <c r="BL365" i="3"/>
  <c r="BM365" i="3" s="1"/>
  <c r="BE365" i="3"/>
  <c r="BR365" i="3" s="1"/>
  <c r="AR366" i="3"/>
  <c r="AS366" i="3" s="1"/>
  <c r="BF366" i="3" l="1"/>
  <c r="BP366" i="3" s="1"/>
  <c r="AZ366" i="3"/>
  <c r="AT366" i="3"/>
  <c r="AW366" i="3" s="1"/>
  <c r="N355" i="3"/>
  <c r="O355" i="3"/>
  <c r="CR365" i="3"/>
  <c r="CU365" i="3" s="1"/>
  <c r="BZ366" i="3" s="1"/>
  <c r="CQ365" i="3"/>
  <c r="CM365" i="3"/>
  <c r="CY365" i="3" s="1"/>
  <c r="CN365" i="3" l="1"/>
  <c r="DC365" i="3"/>
  <c r="CT365" i="3"/>
  <c r="BY366" i="3" s="1"/>
  <c r="CA366" i="3" s="1"/>
  <c r="AU366" i="3"/>
  <c r="CV365" i="3"/>
  <c r="CW365" i="3" s="1"/>
  <c r="CO365" i="3"/>
  <c r="DB365" i="3" s="1"/>
  <c r="Q355" i="3"/>
  <c r="R355" i="3" s="1"/>
  <c r="X355" i="3" l="1"/>
  <c r="AA355" i="3" s="1"/>
  <c r="W355" i="3"/>
  <c r="S355" i="3"/>
  <c r="AE355" i="3" s="1"/>
  <c r="BN366" i="3"/>
  <c r="AV366" i="3"/>
  <c r="CB366" i="3"/>
  <c r="CC366" i="3" s="1"/>
  <c r="CP366" i="3" l="1"/>
  <c r="CZ366" i="3" s="1"/>
  <c r="CJ366" i="3"/>
  <c r="F42" i="5"/>
  <c r="T355" i="3"/>
  <c r="CD366" i="3"/>
  <c r="CG366" i="3" s="1"/>
  <c r="AX366" i="3"/>
  <c r="AY366" i="3"/>
  <c r="AI355" i="3"/>
  <c r="Y355" i="3"/>
  <c r="F356" i="3"/>
  <c r="C31" i="3"/>
  <c r="CE366" i="3" l="1"/>
  <c r="I31" i="3"/>
  <c r="AG355" i="3"/>
  <c r="AG356" i="3" s="1"/>
  <c r="AG357" i="3" s="1"/>
  <c r="AG358" i="3" s="1"/>
  <c r="AG359" i="3" s="1"/>
  <c r="AG360" i="3" s="1"/>
  <c r="AG361" i="3" s="1"/>
  <c r="AG362" i="3" s="1"/>
  <c r="AG363" i="3" s="1"/>
  <c r="AG364" i="3" s="1"/>
  <c r="AG365" i="3" s="1"/>
  <c r="AG366" i="3" s="1"/>
  <c r="BA366" i="3"/>
  <c r="BB366" i="3" s="1"/>
  <c r="AB355" i="3"/>
  <c r="AC355" i="3" s="1"/>
  <c r="U355" i="3"/>
  <c r="AH355" i="3" s="1"/>
  <c r="Z355" i="3"/>
  <c r="BH366" i="3" l="1"/>
  <c r="BK366" i="3" s="1"/>
  <c r="AP367" i="3" s="1"/>
  <c r="BG366" i="3"/>
  <c r="BC366" i="3"/>
  <c r="BO366" i="3" s="1"/>
  <c r="B42" i="5"/>
  <c r="E356" i="3"/>
  <c r="G356" i="3" s="1"/>
  <c r="B31" i="3"/>
  <c r="D31" i="3" s="1"/>
  <c r="CX366" i="3"/>
  <c r="CF366" i="3"/>
  <c r="CH366" i="3" l="1"/>
  <c r="CI366" i="3"/>
  <c r="H356" i="3"/>
  <c r="BD366" i="3"/>
  <c r="BS366" i="3"/>
  <c r="BJ366" i="3"/>
  <c r="AO367" i="3" s="1"/>
  <c r="AQ367" i="3" s="1"/>
  <c r="BL366" i="3" l="1"/>
  <c r="BM366" i="3" s="1"/>
  <c r="BE366" i="3"/>
  <c r="BR366" i="3" s="1"/>
  <c r="AR367" i="3"/>
  <c r="J356" i="3"/>
  <c r="M356" i="3" s="1"/>
  <c r="I356" i="3"/>
  <c r="CK366" i="3"/>
  <c r="CL366" i="3" s="1"/>
  <c r="V356" i="3" l="1"/>
  <c r="AF356" i="3" s="1"/>
  <c r="P356" i="3"/>
  <c r="CR366" i="3"/>
  <c r="CU366" i="3" s="1"/>
  <c r="BZ367" i="3" s="1"/>
  <c r="CQ366" i="3"/>
  <c r="CM366" i="3"/>
  <c r="CY366" i="3" s="1"/>
  <c r="K356" i="3"/>
  <c r="AT367" i="3"/>
  <c r="AW367" i="3" s="1"/>
  <c r="AS367" i="3"/>
  <c r="BF367" i="3" l="1"/>
  <c r="BP367" i="3" s="1"/>
  <c r="AZ367" i="3"/>
  <c r="AU367" i="3"/>
  <c r="AD356" i="3"/>
  <c r="L356" i="3"/>
  <c r="DC366" i="3"/>
  <c r="CT366" i="3"/>
  <c r="BY367" i="3" s="1"/>
  <c r="CA367" i="3" s="1"/>
  <c r="CN366" i="3"/>
  <c r="CV366" i="3" l="1"/>
  <c r="CW366" i="3" s="1"/>
  <c r="CO366" i="3"/>
  <c r="DB366" i="3" s="1"/>
  <c r="O356" i="3"/>
  <c r="N356" i="3"/>
  <c r="CB367" i="3"/>
  <c r="CC367" i="3"/>
  <c r="BN367" i="3"/>
  <c r="AV367" i="3"/>
  <c r="W32" i="3"/>
  <c r="AX367" i="3" l="1"/>
  <c r="AY367" i="3"/>
  <c r="CJ367" i="3"/>
  <c r="CP367" i="3"/>
  <c r="CZ367" i="3" s="1"/>
  <c r="CD367" i="3"/>
  <c r="CG367" i="3" s="1"/>
  <c r="Q356" i="3"/>
  <c r="R356" i="3" s="1"/>
  <c r="X356" i="3" l="1"/>
  <c r="AA356" i="3" s="1"/>
  <c r="F357" i="3" s="1"/>
  <c r="W356" i="3"/>
  <c r="S356" i="3"/>
  <c r="CE367" i="3"/>
  <c r="BA367" i="3"/>
  <c r="BB367" i="3" s="1"/>
  <c r="AJ32" i="3"/>
  <c r="AE356" i="3" l="1"/>
  <c r="T356" i="3"/>
  <c r="BH367" i="3"/>
  <c r="BK367" i="3" s="1"/>
  <c r="BG367" i="3"/>
  <c r="BC367" i="3"/>
  <c r="BO367" i="3" s="1"/>
  <c r="CX367" i="3"/>
  <c r="CF367" i="3"/>
  <c r="AI356" i="3"/>
  <c r="Z356" i="3"/>
  <c r="E357" i="3" s="1"/>
  <c r="G357" i="3" s="1"/>
  <c r="BD367" i="3" l="1"/>
  <c r="H357" i="3"/>
  <c r="I357" i="3" s="1"/>
  <c r="CH367" i="3"/>
  <c r="CI367" i="3"/>
  <c r="G43" i="5"/>
  <c r="BI367" i="3"/>
  <c r="BS367" i="3"/>
  <c r="AP368" i="3"/>
  <c r="P32" i="3"/>
  <c r="AB356" i="3"/>
  <c r="U356" i="3"/>
  <c r="AH356" i="3" s="1"/>
  <c r="P357" i="3" l="1"/>
  <c r="V357" i="3"/>
  <c r="AF357" i="3" s="1"/>
  <c r="CK367" i="3"/>
  <c r="CL367" i="3" s="1"/>
  <c r="AC356" i="3"/>
  <c r="V32" i="3"/>
  <c r="BQ367" i="3"/>
  <c r="BQ368" i="3" s="1"/>
  <c r="BQ369" i="3" s="1"/>
  <c r="BQ370" i="3" s="1"/>
  <c r="BQ371" i="3" s="1"/>
  <c r="BQ372" i="3" s="1"/>
  <c r="BQ373" i="3" s="1"/>
  <c r="BQ374" i="3" s="1"/>
  <c r="BQ375" i="3" s="1"/>
  <c r="BQ376" i="3" s="1"/>
  <c r="BQ377" i="3" s="1"/>
  <c r="BQ378" i="3" s="1"/>
  <c r="BJ367" i="3"/>
  <c r="J357" i="3"/>
  <c r="M357" i="3" s="1"/>
  <c r="BL367" i="3"/>
  <c r="BM367" i="3" s="1"/>
  <c r="BE367" i="3"/>
  <c r="BR367" i="3" s="1"/>
  <c r="K357" i="3" l="1"/>
  <c r="C43" i="5"/>
  <c r="AO368" i="3"/>
  <c r="AQ368" i="3" s="1"/>
  <c r="O32" i="3"/>
  <c r="Q32" i="3" s="1"/>
  <c r="CR367" i="3"/>
  <c r="CU367" i="3" s="1"/>
  <c r="CQ367" i="3"/>
  <c r="CM367" i="3"/>
  <c r="CY367" i="3" s="1"/>
  <c r="H43" i="5" l="1"/>
  <c r="BZ368" i="3"/>
  <c r="AC32" i="3"/>
  <c r="AR368" i="3"/>
  <c r="AS368" i="3" s="1"/>
  <c r="CS367" i="3"/>
  <c r="DC367" i="3"/>
  <c r="CN367" i="3"/>
  <c r="AD357" i="3"/>
  <c r="L357" i="3"/>
  <c r="CV367" i="3" l="1"/>
  <c r="CW367" i="3" s="1"/>
  <c r="CO367" i="3"/>
  <c r="DB367" i="3" s="1"/>
  <c r="N357" i="3"/>
  <c r="O357" i="3"/>
  <c r="AI32" i="3"/>
  <c r="DA367" i="3"/>
  <c r="DA368" i="3" s="1"/>
  <c r="DA369" i="3" s="1"/>
  <c r="DA370" i="3" s="1"/>
  <c r="DA371" i="3" s="1"/>
  <c r="DA372" i="3" s="1"/>
  <c r="DA373" i="3" s="1"/>
  <c r="DA374" i="3" s="1"/>
  <c r="DA375" i="3" s="1"/>
  <c r="DA376" i="3" s="1"/>
  <c r="DA377" i="3" s="1"/>
  <c r="DA378" i="3" s="1"/>
  <c r="CT367" i="3"/>
  <c r="BF368" i="3"/>
  <c r="BP368" i="3" s="1"/>
  <c r="AZ368" i="3"/>
  <c r="AT368" i="3"/>
  <c r="AW368" i="3" s="1"/>
  <c r="D43" i="5" l="1"/>
  <c r="BY368" i="3"/>
  <c r="CA368" i="3" s="1"/>
  <c r="AB32" i="3"/>
  <c r="AD32" i="3" s="1"/>
  <c r="Q357" i="3"/>
  <c r="R357" i="3" s="1"/>
  <c r="AU368" i="3"/>
  <c r="BN368" i="3" l="1"/>
  <c r="AV368" i="3"/>
  <c r="X357" i="3"/>
  <c r="AA357" i="3" s="1"/>
  <c r="F358" i="3" s="1"/>
  <c r="W357" i="3"/>
  <c r="S357" i="3"/>
  <c r="T357" i="3" s="1"/>
  <c r="CB368" i="3"/>
  <c r="AB357" i="3" l="1"/>
  <c r="U357" i="3"/>
  <c r="AH357" i="3" s="1"/>
  <c r="CD368" i="3"/>
  <c r="CG368" i="3" s="1"/>
  <c r="Z357" i="3"/>
  <c r="E358" i="3" s="1"/>
  <c r="G358" i="3" s="1"/>
  <c r="AI357" i="3"/>
  <c r="CC368" i="3"/>
  <c r="AE357" i="3"/>
  <c r="AX368" i="3"/>
  <c r="AY368" i="3"/>
  <c r="BA368" i="3" l="1"/>
  <c r="BB368" i="3" s="1"/>
  <c r="H358" i="3"/>
  <c r="CP368" i="3"/>
  <c r="CZ368" i="3" s="1"/>
  <c r="CJ368" i="3"/>
  <c r="CE368" i="3"/>
  <c r="AC357" i="3"/>
  <c r="CX368" i="3" l="1"/>
  <c r="CF368" i="3"/>
  <c r="J358" i="3"/>
  <c r="M358" i="3" s="1"/>
  <c r="I358" i="3"/>
  <c r="BH368" i="3"/>
  <c r="BK368" i="3" s="1"/>
  <c r="AP369" i="3" s="1"/>
  <c r="BG368" i="3"/>
  <c r="BC368" i="3"/>
  <c r="BD368" i="3" s="1"/>
  <c r="BL368" i="3" l="1"/>
  <c r="BE368" i="3"/>
  <c r="BR368" i="3" s="1"/>
  <c r="BS368" i="3"/>
  <c r="BJ368" i="3"/>
  <c r="AO369" i="3" s="1"/>
  <c r="AQ369" i="3" s="1"/>
  <c r="BO368" i="3"/>
  <c r="V358" i="3"/>
  <c r="AF358" i="3" s="1"/>
  <c r="P358" i="3"/>
  <c r="K358" i="3"/>
  <c r="CI368" i="3"/>
  <c r="CH368" i="3"/>
  <c r="CK368" i="3" l="1"/>
  <c r="CL368" i="3" s="1"/>
  <c r="AD358" i="3"/>
  <c r="L358" i="3"/>
  <c r="AR369" i="3"/>
  <c r="BM368" i="3"/>
  <c r="AT369" i="3" l="1"/>
  <c r="AW369" i="3" s="1"/>
  <c r="AS369" i="3"/>
  <c r="N358" i="3"/>
  <c r="O358" i="3"/>
  <c r="CR368" i="3"/>
  <c r="CU368" i="3" s="1"/>
  <c r="BZ369" i="3" s="1"/>
  <c r="CQ368" i="3"/>
  <c r="CM368" i="3"/>
  <c r="CY368" i="3" l="1"/>
  <c r="CT368" i="3"/>
  <c r="BY369" i="3" s="1"/>
  <c r="CA369" i="3" s="1"/>
  <c r="DC368" i="3"/>
  <c r="CN368" i="3"/>
  <c r="Q358" i="3"/>
  <c r="R358" i="3" s="1"/>
  <c r="BF369" i="3"/>
  <c r="BP369" i="3" s="1"/>
  <c r="AZ369" i="3"/>
  <c r="AU369" i="3"/>
  <c r="BN369" i="3" l="1"/>
  <c r="AV369" i="3"/>
  <c r="X358" i="3"/>
  <c r="AA358" i="3" s="1"/>
  <c r="F359" i="3" s="1"/>
  <c r="W358" i="3"/>
  <c r="S358" i="3"/>
  <c r="CV368" i="3"/>
  <c r="CO368" i="3"/>
  <c r="DB368" i="3" s="1"/>
  <c r="CB369" i="3"/>
  <c r="AE358" i="3" l="1"/>
  <c r="CD369" i="3"/>
  <c r="CG369" i="3" s="1"/>
  <c r="CE369" i="3"/>
  <c r="CW368" i="3"/>
  <c r="Z358" i="3"/>
  <c r="E359" i="3" s="1"/>
  <c r="G359" i="3" s="1"/>
  <c r="AI358" i="3"/>
  <c r="T358" i="3"/>
  <c r="CC369" i="3"/>
  <c r="AX369" i="3"/>
  <c r="AY369" i="3"/>
  <c r="H359" i="3" l="1"/>
  <c r="CX369" i="3"/>
  <c r="CF369" i="3"/>
  <c r="CJ369" i="3"/>
  <c r="CP369" i="3"/>
  <c r="CZ369" i="3" s="1"/>
  <c r="AB358" i="3"/>
  <c r="U358" i="3"/>
  <c r="AH358" i="3" s="1"/>
  <c r="BA369" i="3"/>
  <c r="BB369" i="3" s="1"/>
  <c r="BH369" i="3" l="1"/>
  <c r="BK369" i="3" s="1"/>
  <c r="AP370" i="3" s="1"/>
  <c r="BG369" i="3"/>
  <c r="BC369" i="3"/>
  <c r="AC358" i="3"/>
  <c r="CH369" i="3"/>
  <c r="CI369" i="3"/>
  <c r="J359" i="3"/>
  <c r="M359" i="3" s="1"/>
  <c r="I359" i="3"/>
  <c r="K359" i="3" l="1"/>
  <c r="AD359" i="3"/>
  <c r="L359" i="3"/>
  <c r="CK369" i="3"/>
  <c r="CL369" i="3" s="1"/>
  <c r="BO369" i="3"/>
  <c r="BD369" i="3"/>
  <c r="BS369" i="3"/>
  <c r="BJ369" i="3"/>
  <c r="AO370" i="3" s="1"/>
  <c r="AQ370" i="3" s="1"/>
  <c r="P359" i="3"/>
  <c r="V359" i="3"/>
  <c r="AF359" i="3" s="1"/>
  <c r="AR370" i="3" l="1"/>
  <c r="BL369" i="3"/>
  <c r="BE369" i="3"/>
  <c r="BR369" i="3" s="1"/>
  <c r="CR369" i="3"/>
  <c r="CU369" i="3" s="1"/>
  <c r="BZ370" i="3" s="1"/>
  <c r="CQ369" i="3"/>
  <c r="CM369" i="3"/>
  <c r="N359" i="3"/>
  <c r="O359" i="3"/>
  <c r="CY369" i="3" l="1"/>
  <c r="Q359" i="3"/>
  <c r="R359" i="3" s="1"/>
  <c r="DC369" i="3"/>
  <c r="CT369" i="3"/>
  <c r="BY370" i="3" s="1"/>
  <c r="CA370" i="3" s="1"/>
  <c r="CN369" i="3"/>
  <c r="BM369" i="3"/>
  <c r="AT370" i="3"/>
  <c r="AW370" i="3" s="1"/>
  <c r="AS370" i="3"/>
  <c r="AU370" i="3" l="1"/>
  <c r="AZ370" i="3"/>
  <c r="BF370" i="3"/>
  <c r="BP370" i="3" s="1"/>
  <c r="CV369" i="3"/>
  <c r="CO369" i="3"/>
  <c r="DB369" i="3" s="1"/>
  <c r="CB370" i="3"/>
  <c r="X359" i="3"/>
  <c r="AA359" i="3" s="1"/>
  <c r="F360" i="3" s="1"/>
  <c r="W359" i="3"/>
  <c r="S359" i="3"/>
  <c r="CD370" i="3" l="1"/>
  <c r="CG370" i="3" s="1"/>
  <c r="AE359" i="3"/>
  <c r="AI359" i="3"/>
  <c r="Z359" i="3"/>
  <c r="E360" i="3" s="1"/>
  <c r="G360" i="3" s="1"/>
  <c r="T359" i="3"/>
  <c r="CW369" i="3"/>
  <c r="CC370" i="3"/>
  <c r="BN370" i="3"/>
  <c r="AV370" i="3"/>
  <c r="CJ370" i="3" l="1"/>
  <c r="CP370" i="3"/>
  <c r="CZ370" i="3" s="1"/>
  <c r="AB359" i="3"/>
  <c r="U359" i="3"/>
  <c r="AH359" i="3" s="1"/>
  <c r="H360" i="3"/>
  <c r="AX370" i="3"/>
  <c r="AY370" i="3"/>
  <c r="CE370" i="3"/>
  <c r="BA370" i="3" l="1"/>
  <c r="BB370" i="3" s="1"/>
  <c r="CX370" i="3"/>
  <c r="CF370" i="3"/>
  <c r="J360" i="3"/>
  <c r="M360" i="3" s="1"/>
  <c r="I360" i="3"/>
  <c r="AC359" i="3"/>
  <c r="V360" i="3" l="1"/>
  <c r="AF360" i="3" s="1"/>
  <c r="P360" i="3"/>
  <c r="K360" i="3"/>
  <c r="CH370" i="3"/>
  <c r="CI370" i="3"/>
  <c r="BH370" i="3"/>
  <c r="BK370" i="3" s="1"/>
  <c r="AP371" i="3" s="1"/>
  <c r="BG370" i="3"/>
  <c r="BC370" i="3"/>
  <c r="BO370" i="3" l="1"/>
  <c r="BJ370" i="3"/>
  <c r="AO371" i="3" s="1"/>
  <c r="AQ371" i="3" s="1"/>
  <c r="BS370" i="3"/>
  <c r="BD370" i="3"/>
  <c r="CK370" i="3"/>
  <c r="CL370" i="3" s="1"/>
  <c r="AD360" i="3"/>
  <c r="L360" i="3"/>
  <c r="N360" i="3" l="1"/>
  <c r="O360" i="3"/>
  <c r="CR370" i="3"/>
  <c r="CU370" i="3" s="1"/>
  <c r="BZ371" i="3" s="1"/>
  <c r="CQ370" i="3"/>
  <c r="CM370" i="3"/>
  <c r="BL370" i="3"/>
  <c r="BE370" i="3"/>
  <c r="BR370" i="3" s="1"/>
  <c r="AR371" i="3"/>
  <c r="BM370" i="3" l="1"/>
  <c r="AT371" i="3"/>
  <c r="AW371" i="3" s="1"/>
  <c r="AS371" i="3"/>
  <c r="CY370" i="3"/>
  <c r="DC370" i="3"/>
  <c r="CT370" i="3"/>
  <c r="BY371" i="3" s="1"/>
  <c r="CA371" i="3" s="1"/>
  <c r="CN370" i="3"/>
  <c r="Q360" i="3"/>
  <c r="R360" i="3" s="1"/>
  <c r="X360" i="3" l="1"/>
  <c r="AA360" i="3" s="1"/>
  <c r="F361" i="3" s="1"/>
  <c r="W360" i="3"/>
  <c r="S360" i="3"/>
  <c r="AE360" i="3" s="1"/>
  <c r="CV370" i="3"/>
  <c r="CO370" i="3"/>
  <c r="DB370" i="3" s="1"/>
  <c r="CB371" i="3"/>
  <c r="CC371" i="3" s="1"/>
  <c r="BF371" i="3"/>
  <c r="BP371" i="3" s="1"/>
  <c r="AZ371" i="3"/>
  <c r="AU371" i="3"/>
  <c r="CJ371" i="3" l="1"/>
  <c r="CP371" i="3"/>
  <c r="CZ371" i="3" s="1"/>
  <c r="CD371" i="3"/>
  <c r="CG371" i="3" s="1"/>
  <c r="CW370" i="3"/>
  <c r="Z360" i="3"/>
  <c r="E361" i="3" s="1"/>
  <c r="G361" i="3" s="1"/>
  <c r="AI360" i="3"/>
  <c r="T360" i="3"/>
  <c r="BN371" i="3"/>
  <c r="AV371" i="3"/>
  <c r="AB360" i="3" l="1"/>
  <c r="AC360" i="3" s="1"/>
  <c r="U360" i="3"/>
  <c r="AH360" i="3" s="1"/>
  <c r="H361" i="3"/>
  <c r="I361" i="3"/>
  <c r="CE371" i="3"/>
  <c r="AX371" i="3"/>
  <c r="AY371" i="3"/>
  <c r="BA371" i="3" l="1"/>
  <c r="BB371" i="3" s="1"/>
  <c r="CX371" i="3"/>
  <c r="CF371" i="3"/>
  <c r="V361" i="3"/>
  <c r="AF361" i="3" s="1"/>
  <c r="P361" i="3"/>
  <c r="J361" i="3"/>
  <c r="M361" i="3" s="1"/>
  <c r="K361" i="3" l="1"/>
  <c r="CH371" i="3"/>
  <c r="CI371" i="3"/>
  <c r="BH371" i="3"/>
  <c r="BK371" i="3" s="1"/>
  <c r="AP372" i="3" s="1"/>
  <c r="BG371" i="3"/>
  <c r="BC371" i="3"/>
  <c r="BO371" i="3" l="1"/>
  <c r="BJ371" i="3"/>
  <c r="AO372" i="3" s="1"/>
  <c r="AQ372" i="3" s="1"/>
  <c r="BS371" i="3"/>
  <c r="BD371" i="3"/>
  <c r="CK371" i="3"/>
  <c r="CL371" i="3" s="1"/>
  <c r="AD361" i="3"/>
  <c r="L361" i="3"/>
  <c r="O361" i="3" l="1"/>
  <c r="N361" i="3"/>
  <c r="BL371" i="3"/>
  <c r="BE371" i="3"/>
  <c r="BR371" i="3" s="1"/>
  <c r="CR371" i="3"/>
  <c r="CU371" i="3" s="1"/>
  <c r="BZ372" i="3" s="1"/>
  <c r="CQ371" i="3"/>
  <c r="CM371" i="3"/>
  <c r="AR372" i="3"/>
  <c r="CY371" i="3" l="1"/>
  <c r="CN371" i="3"/>
  <c r="AT372" i="3"/>
  <c r="AW372" i="3" s="1"/>
  <c r="AS372" i="3"/>
  <c r="CT371" i="3"/>
  <c r="BY372" i="3" s="1"/>
  <c r="CA372" i="3" s="1"/>
  <c r="DC371" i="3"/>
  <c r="BM371" i="3"/>
  <c r="Q361" i="3"/>
  <c r="R361" i="3" s="1"/>
  <c r="X361" i="3" l="1"/>
  <c r="AA361" i="3" s="1"/>
  <c r="F362" i="3" s="1"/>
  <c r="W361" i="3"/>
  <c r="S361" i="3"/>
  <c r="AE361" i="3" s="1"/>
  <c r="CV371" i="3"/>
  <c r="CO371" i="3"/>
  <c r="DB371" i="3" s="1"/>
  <c r="CB372" i="3"/>
  <c r="CC372" i="3" s="1"/>
  <c r="BF372" i="3"/>
  <c r="BP372" i="3" s="1"/>
  <c r="AZ372" i="3"/>
  <c r="AU372" i="3"/>
  <c r="CJ372" i="3" l="1"/>
  <c r="CP372" i="3"/>
  <c r="CZ372" i="3" s="1"/>
  <c r="BN372" i="3"/>
  <c r="AV372" i="3"/>
  <c r="CD372" i="3"/>
  <c r="CG372" i="3" s="1"/>
  <c r="CE372" i="3"/>
  <c r="CX372" i="3" s="1"/>
  <c r="T361" i="3"/>
  <c r="CW371" i="3"/>
  <c r="AI361" i="3"/>
  <c r="Z361" i="3"/>
  <c r="E362" i="3" s="1"/>
  <c r="G362" i="3" s="1"/>
  <c r="CF372" i="3" l="1"/>
  <c r="AB361" i="3"/>
  <c r="AC361" i="3" s="1"/>
  <c r="U361" i="3"/>
  <c r="AH361" i="3" s="1"/>
  <c r="AX372" i="3"/>
  <c r="AY372" i="3"/>
  <c r="H362" i="3"/>
  <c r="J362" i="3" l="1"/>
  <c r="M362" i="3" s="1"/>
  <c r="BA372" i="3"/>
  <c r="BB372" i="3" s="1"/>
  <c r="I362" i="3"/>
  <c r="CH372" i="3"/>
  <c r="CI372" i="3"/>
  <c r="CK372" i="3" l="1"/>
  <c r="CL372" i="3" s="1"/>
  <c r="V362" i="3"/>
  <c r="AF362" i="3" s="1"/>
  <c r="P362" i="3"/>
  <c r="BH372" i="3"/>
  <c r="BK372" i="3" s="1"/>
  <c r="AP373" i="3" s="1"/>
  <c r="BG372" i="3"/>
  <c r="BC372" i="3"/>
  <c r="BO372" i="3" s="1"/>
  <c r="K362" i="3"/>
  <c r="AD362" i="3" l="1"/>
  <c r="L362" i="3"/>
  <c r="BJ372" i="3"/>
  <c r="AO373" i="3" s="1"/>
  <c r="AQ373" i="3" s="1"/>
  <c r="BS372" i="3"/>
  <c r="BD372" i="3"/>
  <c r="CR372" i="3"/>
  <c r="CU372" i="3" s="1"/>
  <c r="BZ373" i="3" s="1"/>
  <c r="CQ372" i="3"/>
  <c r="CM372" i="3"/>
  <c r="CY372" i="3" s="1"/>
  <c r="DC372" i="3" l="1"/>
  <c r="CT372" i="3"/>
  <c r="BY373" i="3" s="1"/>
  <c r="CA373" i="3" s="1"/>
  <c r="CN372" i="3"/>
  <c r="BL372" i="3"/>
  <c r="BM372" i="3" s="1"/>
  <c r="BE372" i="3"/>
  <c r="BR372" i="3" s="1"/>
  <c r="AR373" i="3"/>
  <c r="N362" i="3"/>
  <c r="O362" i="3"/>
  <c r="Q362" i="3" l="1"/>
  <c r="R362" i="3" s="1"/>
  <c r="AT373" i="3"/>
  <c r="AW373" i="3" s="1"/>
  <c r="AS373" i="3"/>
  <c r="CV372" i="3"/>
  <c r="CW372" i="3" s="1"/>
  <c r="CO372" i="3"/>
  <c r="DB372" i="3" s="1"/>
  <c r="CB373" i="3"/>
  <c r="CD373" i="3" l="1"/>
  <c r="CG373" i="3" s="1"/>
  <c r="CC373" i="3"/>
  <c r="AZ373" i="3"/>
  <c r="BF373" i="3"/>
  <c r="BP373" i="3" s="1"/>
  <c r="AU373" i="3"/>
  <c r="X362" i="3"/>
  <c r="AA362" i="3" s="1"/>
  <c r="F363" i="3" s="1"/>
  <c r="W362" i="3"/>
  <c r="S362" i="3"/>
  <c r="AE362" i="3" s="1"/>
  <c r="Z362" i="3" l="1"/>
  <c r="E363" i="3" s="1"/>
  <c r="G363" i="3" s="1"/>
  <c r="AI362" i="3"/>
  <c r="T362" i="3"/>
  <c r="CP373" i="3"/>
  <c r="CZ373" i="3" s="1"/>
  <c r="CJ373" i="3"/>
  <c r="BN373" i="3"/>
  <c r="AV373" i="3"/>
  <c r="CE373" i="3"/>
  <c r="AX373" i="3" l="1"/>
  <c r="AY373" i="3"/>
  <c r="CX373" i="3"/>
  <c r="CF373" i="3"/>
  <c r="AB362" i="3"/>
  <c r="AC362" i="3" s="1"/>
  <c r="U362" i="3"/>
  <c r="AH362" i="3" s="1"/>
  <c r="H363" i="3"/>
  <c r="J363" i="3" l="1"/>
  <c r="M363" i="3" s="1"/>
  <c r="BA373" i="3"/>
  <c r="BB373" i="3" s="1"/>
  <c r="I363" i="3"/>
  <c r="CH373" i="3"/>
  <c r="CI373" i="3"/>
  <c r="CK373" i="3" l="1"/>
  <c r="CL373" i="3" s="1"/>
  <c r="BH373" i="3"/>
  <c r="BK373" i="3" s="1"/>
  <c r="AP374" i="3" s="1"/>
  <c r="BG373" i="3"/>
  <c r="BC373" i="3"/>
  <c r="BO373" i="3" s="1"/>
  <c r="V363" i="3"/>
  <c r="AF363" i="3" s="1"/>
  <c r="P363" i="3"/>
  <c r="K363" i="3"/>
  <c r="BS373" i="3" l="1"/>
  <c r="BJ373" i="3"/>
  <c r="AO374" i="3" s="1"/>
  <c r="AQ374" i="3" s="1"/>
  <c r="BD373" i="3"/>
  <c r="AD363" i="3"/>
  <c r="L363" i="3"/>
  <c r="CR373" i="3"/>
  <c r="CU373" i="3" s="1"/>
  <c r="BZ374" i="3" s="1"/>
  <c r="CQ373" i="3"/>
  <c r="CM373" i="3"/>
  <c r="CY373" i="3" s="1"/>
  <c r="CT373" i="3" l="1"/>
  <c r="BY374" i="3" s="1"/>
  <c r="CA374" i="3" s="1"/>
  <c r="DC373" i="3"/>
  <c r="CN373" i="3"/>
  <c r="BL373" i="3"/>
  <c r="BM373" i="3" s="1"/>
  <c r="BE373" i="3"/>
  <c r="BR373" i="3" s="1"/>
  <c r="O363" i="3"/>
  <c r="N363" i="3"/>
  <c r="AR374" i="3"/>
  <c r="AT374" i="3" l="1"/>
  <c r="AW374" i="3" s="1"/>
  <c r="Q363" i="3"/>
  <c r="R363" i="3" s="1"/>
  <c r="CV373" i="3"/>
  <c r="CW373" i="3" s="1"/>
  <c r="CO373" i="3"/>
  <c r="DB373" i="3" s="1"/>
  <c r="AS374" i="3"/>
  <c r="CB374" i="3"/>
  <c r="BF374" i="3" l="1"/>
  <c r="BP374" i="3" s="1"/>
  <c r="AZ374" i="3"/>
  <c r="CD374" i="3"/>
  <c r="CG374" i="3" s="1"/>
  <c r="CE374" i="3"/>
  <c r="CX374" i="3" s="1"/>
  <c r="CC374" i="3"/>
  <c r="X363" i="3"/>
  <c r="AA363" i="3" s="1"/>
  <c r="F364" i="3" s="1"/>
  <c r="W363" i="3"/>
  <c r="S363" i="3"/>
  <c r="AE363" i="3" s="1"/>
  <c r="AU374" i="3"/>
  <c r="BN374" i="3" l="1"/>
  <c r="AV374" i="3"/>
  <c r="CJ374" i="3"/>
  <c r="CP374" i="3"/>
  <c r="CZ374" i="3" s="1"/>
  <c r="Z363" i="3"/>
  <c r="E364" i="3" s="1"/>
  <c r="G364" i="3" s="1"/>
  <c r="AI363" i="3"/>
  <c r="T363" i="3"/>
  <c r="CF374" i="3"/>
  <c r="AB363" i="3" l="1"/>
  <c r="AC363" i="3" s="1"/>
  <c r="U363" i="3"/>
  <c r="AH363" i="3" s="1"/>
  <c r="CH374" i="3"/>
  <c r="CI374" i="3"/>
  <c r="H364" i="3"/>
  <c r="AX374" i="3"/>
  <c r="AY374" i="3"/>
  <c r="BA374" i="3" l="1"/>
  <c r="BB374" i="3" s="1"/>
  <c r="CK374" i="3"/>
  <c r="CL374" i="3" s="1"/>
  <c r="J364" i="3"/>
  <c r="M364" i="3" s="1"/>
  <c r="I364" i="3"/>
  <c r="V364" i="3" l="1"/>
  <c r="AF364" i="3" s="1"/>
  <c r="P364" i="3"/>
  <c r="K364" i="3"/>
  <c r="CR374" i="3"/>
  <c r="CU374" i="3" s="1"/>
  <c r="BZ375" i="3" s="1"/>
  <c r="CQ374" i="3"/>
  <c r="CM374" i="3"/>
  <c r="CY374" i="3" s="1"/>
  <c r="BH374" i="3"/>
  <c r="BK374" i="3" s="1"/>
  <c r="AP375" i="3" s="1"/>
  <c r="BG374" i="3"/>
  <c r="BC374" i="3"/>
  <c r="BO374" i="3" s="1"/>
  <c r="BD374" i="3" l="1"/>
  <c r="BJ374" i="3"/>
  <c r="AO375" i="3" s="1"/>
  <c r="AQ375" i="3" s="1"/>
  <c r="BS374" i="3"/>
  <c r="DC374" i="3"/>
  <c r="CT374" i="3"/>
  <c r="BY375" i="3" s="1"/>
  <c r="CA375" i="3" s="1"/>
  <c r="CN374" i="3"/>
  <c r="AD364" i="3"/>
  <c r="L364" i="3"/>
  <c r="O364" i="3" l="1"/>
  <c r="N364" i="3"/>
  <c r="CB375" i="3"/>
  <c r="CV374" i="3"/>
  <c r="CW374" i="3" s="1"/>
  <c r="CO374" i="3"/>
  <c r="DB374" i="3" s="1"/>
  <c r="AR375" i="3"/>
  <c r="BL374" i="3"/>
  <c r="BM374" i="3" s="1"/>
  <c r="BE374" i="3"/>
  <c r="BR374" i="3" s="1"/>
  <c r="AT375" i="3" l="1"/>
  <c r="AW375" i="3" s="1"/>
  <c r="AS375" i="3"/>
  <c r="CD375" i="3"/>
  <c r="CG375" i="3" s="1"/>
  <c r="CE375" i="3"/>
  <c r="CX375" i="3" s="1"/>
  <c r="CC375" i="3"/>
  <c r="Q364" i="3"/>
  <c r="R364" i="3" s="1"/>
  <c r="CP375" i="3" l="1"/>
  <c r="CZ375" i="3" s="1"/>
  <c r="CJ375" i="3"/>
  <c r="CF375" i="3"/>
  <c r="X364" i="3"/>
  <c r="AA364" i="3" s="1"/>
  <c r="F365" i="3" s="1"/>
  <c r="W364" i="3"/>
  <c r="S364" i="3"/>
  <c r="AE364" i="3" s="1"/>
  <c r="AZ375" i="3"/>
  <c r="BF375" i="3"/>
  <c r="BP375" i="3" s="1"/>
  <c r="AU375" i="3"/>
  <c r="BN375" i="3" l="1"/>
  <c r="AV375" i="3"/>
  <c r="Z364" i="3"/>
  <c r="E365" i="3" s="1"/>
  <c r="G365" i="3" s="1"/>
  <c r="AI364" i="3"/>
  <c r="T364" i="3"/>
  <c r="CH375" i="3"/>
  <c r="CI375" i="3"/>
  <c r="CK375" i="3" l="1"/>
  <c r="CL375" i="3" s="1"/>
  <c r="AB364" i="3"/>
  <c r="AC364" i="3" s="1"/>
  <c r="U364" i="3"/>
  <c r="AH364" i="3" s="1"/>
  <c r="H365" i="3"/>
  <c r="AX375" i="3"/>
  <c r="AY375" i="3"/>
  <c r="BA375" i="3" l="1"/>
  <c r="BB375" i="3" s="1"/>
  <c r="J365" i="3"/>
  <c r="M365" i="3" s="1"/>
  <c r="I365" i="3"/>
  <c r="CR375" i="3"/>
  <c r="CU375" i="3" s="1"/>
  <c r="BZ376" i="3" s="1"/>
  <c r="CQ375" i="3"/>
  <c r="CM375" i="3"/>
  <c r="CY375" i="3" s="1"/>
  <c r="CN375" i="3" l="1"/>
  <c r="DC375" i="3"/>
  <c r="CT375" i="3"/>
  <c r="BY376" i="3" s="1"/>
  <c r="CA376" i="3" s="1"/>
  <c r="P365" i="3"/>
  <c r="V365" i="3"/>
  <c r="AF365" i="3" s="1"/>
  <c r="K365" i="3"/>
  <c r="BH375" i="3"/>
  <c r="BK375" i="3" s="1"/>
  <c r="AP376" i="3" s="1"/>
  <c r="BG375" i="3"/>
  <c r="BC375" i="3"/>
  <c r="BO375" i="3" s="1"/>
  <c r="BS375" i="3" l="1"/>
  <c r="BJ375" i="3"/>
  <c r="AO376" i="3" s="1"/>
  <c r="AQ376" i="3" s="1"/>
  <c r="BD375" i="3"/>
  <c r="AD365" i="3"/>
  <c r="L365" i="3"/>
  <c r="CB376" i="3"/>
  <c r="CC376" i="3" s="1"/>
  <c r="CV375" i="3"/>
  <c r="CW375" i="3" s="1"/>
  <c r="CO375" i="3"/>
  <c r="DB375" i="3" s="1"/>
  <c r="CP376" i="3" l="1"/>
  <c r="CZ376" i="3" s="1"/>
  <c r="CJ376" i="3"/>
  <c r="N365" i="3"/>
  <c r="O365" i="3"/>
  <c r="BL375" i="3"/>
  <c r="BM375" i="3" s="1"/>
  <c r="BE375" i="3"/>
  <c r="BR375" i="3" s="1"/>
  <c r="CD376" i="3"/>
  <c r="CG376" i="3" s="1"/>
  <c r="AR376" i="3"/>
  <c r="AT376" i="3" l="1"/>
  <c r="AW376" i="3" s="1"/>
  <c r="AU376" i="3"/>
  <c r="BN376" i="3" s="1"/>
  <c r="AS376" i="3"/>
  <c r="CE376" i="3"/>
  <c r="Q365" i="3"/>
  <c r="R365" i="3" s="1"/>
  <c r="AZ376" i="3" l="1"/>
  <c r="BF376" i="3"/>
  <c r="BP376" i="3" s="1"/>
  <c r="X365" i="3"/>
  <c r="AA365" i="3" s="1"/>
  <c r="F366" i="3" s="1"/>
  <c r="W365" i="3"/>
  <c r="S365" i="3"/>
  <c r="AE365" i="3" s="1"/>
  <c r="CX376" i="3"/>
  <c r="CF376" i="3"/>
  <c r="AV376" i="3"/>
  <c r="AX376" i="3" l="1"/>
  <c r="AY376" i="3"/>
  <c r="CI376" i="3"/>
  <c r="CH376" i="3"/>
  <c r="Z365" i="3"/>
  <c r="E366" i="3" s="1"/>
  <c r="G366" i="3" s="1"/>
  <c r="AI365" i="3"/>
  <c r="T365" i="3"/>
  <c r="AB365" i="3" l="1"/>
  <c r="AC365" i="3" s="1"/>
  <c r="U365" i="3"/>
  <c r="AH365" i="3" s="1"/>
  <c r="CK376" i="3"/>
  <c r="CL376" i="3" s="1"/>
  <c r="H366" i="3"/>
  <c r="I366" i="3" s="1"/>
  <c r="BA376" i="3"/>
  <c r="BB376" i="3" s="1"/>
  <c r="V366" i="3" l="1"/>
  <c r="AF366" i="3" s="1"/>
  <c r="P366" i="3"/>
  <c r="BH376" i="3"/>
  <c r="BK376" i="3" s="1"/>
  <c r="AP377" i="3" s="1"/>
  <c r="BG376" i="3"/>
  <c r="BC376" i="3"/>
  <c r="BO376" i="3" s="1"/>
  <c r="J366" i="3"/>
  <c r="M366" i="3" s="1"/>
  <c r="CR376" i="3"/>
  <c r="CU376" i="3" s="1"/>
  <c r="BZ377" i="3" s="1"/>
  <c r="CQ376" i="3"/>
  <c r="CM376" i="3"/>
  <c r="CY376" i="3" s="1"/>
  <c r="CT376" i="3" l="1"/>
  <c r="BY377" i="3" s="1"/>
  <c r="CA377" i="3" s="1"/>
  <c r="DC376" i="3"/>
  <c r="CN376" i="3"/>
  <c r="BJ376" i="3"/>
  <c r="AO377" i="3" s="1"/>
  <c r="AQ377" i="3" s="1"/>
  <c r="BS376" i="3"/>
  <c r="BD376" i="3"/>
  <c r="K366" i="3"/>
  <c r="AR377" i="3" l="1"/>
  <c r="AD366" i="3"/>
  <c r="L366" i="3"/>
  <c r="BL376" i="3"/>
  <c r="BM376" i="3" s="1"/>
  <c r="BE376" i="3"/>
  <c r="BR376" i="3" s="1"/>
  <c r="CV376" i="3"/>
  <c r="CW376" i="3" s="1"/>
  <c r="CO376" i="3"/>
  <c r="DB376" i="3" s="1"/>
  <c r="CB377" i="3"/>
  <c r="CD377" i="3" l="1"/>
  <c r="CG377" i="3" s="1"/>
  <c r="CC377" i="3"/>
  <c r="N366" i="3"/>
  <c r="O366" i="3"/>
  <c r="AT377" i="3"/>
  <c r="AW377" i="3" s="1"/>
  <c r="AS377" i="3"/>
  <c r="BF377" i="3" l="1"/>
  <c r="BP377" i="3" s="1"/>
  <c r="AZ377" i="3"/>
  <c r="AU377" i="3"/>
  <c r="Q366" i="3"/>
  <c r="R366" i="3" s="1"/>
  <c r="CP377" i="3"/>
  <c r="CZ377" i="3" s="1"/>
  <c r="CJ377" i="3"/>
  <c r="CE377" i="3"/>
  <c r="CX377" i="3" l="1"/>
  <c r="CF377" i="3"/>
  <c r="BN377" i="3"/>
  <c r="AV377" i="3"/>
  <c r="X366" i="3"/>
  <c r="AA366" i="3" s="1"/>
  <c r="F367" i="3" s="1"/>
  <c r="W366" i="3"/>
  <c r="S366" i="3"/>
  <c r="AE366" i="3" s="1"/>
  <c r="Z366" i="3" l="1"/>
  <c r="E367" i="3" s="1"/>
  <c r="G367" i="3" s="1"/>
  <c r="AI366" i="3"/>
  <c r="T366" i="3"/>
  <c r="CH377" i="3"/>
  <c r="CI377" i="3"/>
  <c r="AX377" i="3"/>
  <c r="AY377" i="3"/>
  <c r="BA377" i="3" l="1"/>
  <c r="BB377" i="3" s="1"/>
  <c r="CK377" i="3"/>
  <c r="CL377" i="3" s="1"/>
  <c r="AB366" i="3"/>
  <c r="AC366" i="3" s="1"/>
  <c r="U366" i="3"/>
  <c r="AH366" i="3" s="1"/>
  <c r="H367" i="3"/>
  <c r="J367" i="3" l="1"/>
  <c r="M367" i="3" s="1"/>
  <c r="K367" i="3"/>
  <c r="AD367" i="3" s="1"/>
  <c r="I367" i="3"/>
  <c r="CR377" i="3"/>
  <c r="CU377" i="3" s="1"/>
  <c r="BZ378" i="3" s="1"/>
  <c r="CQ377" i="3"/>
  <c r="CM377" i="3"/>
  <c r="CY377" i="3" s="1"/>
  <c r="BH377" i="3"/>
  <c r="BK377" i="3" s="1"/>
  <c r="AP378" i="3" s="1"/>
  <c r="BG377" i="3"/>
  <c r="BC377" i="3"/>
  <c r="BO377" i="3" s="1"/>
  <c r="CN377" i="3" l="1"/>
  <c r="DC377" i="3"/>
  <c r="CT377" i="3"/>
  <c r="BY378" i="3" s="1"/>
  <c r="CA378" i="3" s="1"/>
  <c r="BS377" i="3"/>
  <c r="BJ377" i="3"/>
  <c r="AO378" i="3" s="1"/>
  <c r="AQ378" i="3" s="1"/>
  <c r="BD377" i="3"/>
  <c r="P367" i="3"/>
  <c r="V367" i="3"/>
  <c r="AF367" i="3" s="1"/>
  <c r="L367" i="3"/>
  <c r="J32" i="3" l="1"/>
  <c r="N367" i="3"/>
  <c r="O367" i="3"/>
  <c r="BL377" i="3"/>
  <c r="BM377" i="3" s="1"/>
  <c r="BE377" i="3"/>
  <c r="BR377" i="3" s="1"/>
  <c r="AR378" i="3"/>
  <c r="AS378" i="3" s="1"/>
  <c r="CB378" i="3"/>
  <c r="CV377" i="3"/>
  <c r="CW377" i="3" s="1"/>
  <c r="CO377" i="3"/>
  <c r="DB377" i="3" s="1"/>
  <c r="BF378" i="3" l="1"/>
  <c r="BP378" i="3" s="1"/>
  <c r="AZ378" i="3"/>
  <c r="CD378" i="3"/>
  <c r="CG378" i="3" s="1"/>
  <c r="CE378" i="3"/>
  <c r="CX378" i="3" s="1"/>
  <c r="CC378" i="3"/>
  <c r="AT378" i="3"/>
  <c r="AW378" i="3" s="1"/>
  <c r="Q367" i="3"/>
  <c r="R367" i="3" s="1"/>
  <c r="AU378" i="3" l="1"/>
  <c r="CF378" i="3"/>
  <c r="X367" i="3"/>
  <c r="AA367" i="3" s="1"/>
  <c r="W367" i="3"/>
  <c r="S367" i="3"/>
  <c r="AE367" i="3" s="1"/>
  <c r="CJ378" i="3"/>
  <c r="CP378" i="3"/>
  <c r="CZ378" i="3" s="1"/>
  <c r="AI367" i="3" l="1"/>
  <c r="Y367" i="3"/>
  <c r="Z367" i="3" s="1"/>
  <c r="F43" i="5"/>
  <c r="F368" i="3"/>
  <c r="C32" i="3"/>
  <c r="T367" i="3"/>
  <c r="CH378" i="3"/>
  <c r="CI378" i="3"/>
  <c r="BN378" i="3"/>
  <c r="AV378" i="3"/>
  <c r="B43" i="5" l="1"/>
  <c r="E368" i="3"/>
  <c r="G368" i="3" s="1"/>
  <c r="B32" i="3"/>
  <c r="D32" i="3" s="1"/>
  <c r="AX378" i="3"/>
  <c r="AY378" i="3"/>
  <c r="CK378" i="3"/>
  <c r="CL378" i="3" s="1"/>
  <c r="AB367" i="3"/>
  <c r="AC367" i="3" s="1"/>
  <c r="U367" i="3"/>
  <c r="AH367" i="3" s="1"/>
  <c r="I32" i="3"/>
  <c r="AG367" i="3"/>
  <c r="AG368" i="3" s="1"/>
  <c r="AG369" i="3" s="1"/>
  <c r="AG370" i="3" s="1"/>
  <c r="AG371" i="3" s="1"/>
  <c r="AG372" i="3" s="1"/>
  <c r="AG373" i="3" s="1"/>
  <c r="AG374" i="3" s="1"/>
  <c r="AG375" i="3" s="1"/>
  <c r="AG376" i="3" s="1"/>
  <c r="AG377" i="3" s="1"/>
  <c r="AG378" i="3" s="1"/>
  <c r="BA378" i="3" l="1"/>
  <c r="BB378" i="3" s="1"/>
  <c r="CR378" i="3"/>
  <c r="CU378" i="3" s="1"/>
  <c r="BZ379" i="3" s="1"/>
  <c r="CQ378" i="3"/>
  <c r="CM378" i="3"/>
  <c r="CY378" i="3" s="1"/>
  <c r="H368" i="3"/>
  <c r="J368" i="3" l="1"/>
  <c r="M368" i="3" s="1"/>
  <c r="CT378" i="3"/>
  <c r="BY379" i="3" s="1"/>
  <c r="CA379" i="3" s="1"/>
  <c r="DC378" i="3"/>
  <c r="CN378" i="3"/>
  <c r="I368" i="3"/>
  <c r="BH378" i="3"/>
  <c r="BK378" i="3" s="1"/>
  <c r="AP379" i="3" s="1"/>
  <c r="BG378" i="3"/>
  <c r="BC378" i="3"/>
  <c r="BO378" i="3" s="1"/>
  <c r="BS378" i="3" l="1"/>
  <c r="BJ378" i="3"/>
  <c r="AO379" i="3" s="1"/>
  <c r="AQ379" i="3" s="1"/>
  <c r="BD378" i="3"/>
  <c r="V368" i="3"/>
  <c r="AF368" i="3" s="1"/>
  <c r="P368" i="3"/>
  <c r="CV378" i="3"/>
  <c r="CW378" i="3" s="1"/>
  <c r="CO378" i="3"/>
  <c r="DB378" i="3" s="1"/>
  <c r="CB379" i="3"/>
  <c r="CC379" i="3" s="1"/>
  <c r="K368" i="3"/>
  <c r="CP379" i="3" l="1"/>
  <c r="CZ379" i="3" s="1"/>
  <c r="CJ379" i="3"/>
  <c r="AD368" i="3"/>
  <c r="L368" i="3"/>
  <c r="CD379" i="3"/>
  <c r="CG379" i="3" s="1"/>
  <c r="CE379" i="3"/>
  <c r="CX379" i="3" s="1"/>
  <c r="BL378" i="3"/>
  <c r="BM378" i="3" s="1"/>
  <c r="BE378" i="3"/>
  <c r="BR378" i="3" s="1"/>
  <c r="AR379" i="3"/>
  <c r="AT379" i="3" l="1"/>
  <c r="AW379" i="3" s="1"/>
  <c r="CF379" i="3"/>
  <c r="N368" i="3"/>
  <c r="O368" i="3"/>
  <c r="AS379" i="3"/>
  <c r="AJ33" i="3"/>
  <c r="BF379" i="3" l="1"/>
  <c r="BP379" i="3" s="1"/>
  <c r="AZ379" i="3"/>
  <c r="Q368" i="3"/>
  <c r="R368" i="3" s="1"/>
  <c r="CH379" i="3"/>
  <c r="CI379" i="3"/>
  <c r="AU379" i="3"/>
  <c r="BN379" i="3" l="1"/>
  <c r="AV379" i="3"/>
  <c r="CK379" i="3"/>
  <c r="CL379" i="3" s="1"/>
  <c r="X368" i="3"/>
  <c r="AA368" i="3" s="1"/>
  <c r="F369" i="3" s="1"/>
  <c r="W368" i="3"/>
  <c r="S368" i="3"/>
  <c r="W33" i="3"/>
  <c r="AE368" i="3" l="1"/>
  <c r="Z368" i="3"/>
  <c r="E369" i="3" s="1"/>
  <c r="G369" i="3" s="1"/>
  <c r="AI368" i="3"/>
  <c r="T368" i="3"/>
  <c r="CR379" i="3"/>
  <c r="CU379" i="3" s="1"/>
  <c r="CQ379" i="3"/>
  <c r="CM379" i="3"/>
  <c r="CY379" i="3" s="1"/>
  <c r="AX379" i="3"/>
  <c r="AY379" i="3"/>
  <c r="CS379" i="3" l="1"/>
  <c r="DC379" i="3"/>
  <c r="CN379" i="3"/>
  <c r="H369" i="3"/>
  <c r="I369" i="3"/>
  <c r="H44" i="5"/>
  <c r="AB368" i="3"/>
  <c r="U368" i="3"/>
  <c r="AH368" i="3" s="1"/>
  <c r="BA379" i="3"/>
  <c r="BB379" i="3" s="1"/>
  <c r="BZ380" i="3"/>
  <c r="AC33" i="3"/>
  <c r="AC368" i="3" l="1"/>
  <c r="CV379" i="3"/>
  <c r="CW379" i="3" s="1"/>
  <c r="CO379" i="3"/>
  <c r="DB379" i="3" s="1"/>
  <c r="BH379" i="3"/>
  <c r="BK379" i="3" s="1"/>
  <c r="BG379" i="3"/>
  <c r="BC379" i="3"/>
  <c r="BO379" i="3" s="1"/>
  <c r="P369" i="3"/>
  <c r="V369" i="3"/>
  <c r="AF369" i="3" s="1"/>
  <c r="J369" i="3"/>
  <c r="M369" i="3" s="1"/>
  <c r="AI33" i="3"/>
  <c r="DA379" i="3"/>
  <c r="DA380" i="3" s="1"/>
  <c r="DA381" i="3" s="1"/>
  <c r="DA382" i="3" s="1"/>
  <c r="DA383" i="3" s="1"/>
  <c r="DA384" i="3" s="1"/>
  <c r="DA385" i="3" s="1"/>
  <c r="DA386" i="3" s="1"/>
  <c r="DA387" i="3" s="1"/>
  <c r="DA388" i="3" s="1"/>
  <c r="DA389" i="3" s="1"/>
  <c r="DA390" i="3" s="1"/>
  <c r="CT379" i="3"/>
  <c r="K369" i="3" l="1"/>
  <c r="L369" i="3" s="1"/>
  <c r="N369" i="3"/>
  <c r="O369" i="3"/>
  <c r="AD369" i="3"/>
  <c r="G44" i="5"/>
  <c r="BS379" i="3"/>
  <c r="BI379" i="3"/>
  <c r="BD379" i="3"/>
  <c r="AP380" i="3"/>
  <c r="P33" i="3"/>
  <c r="D44" i="5"/>
  <c r="BY380" i="3"/>
  <c r="CA380" i="3" s="1"/>
  <c r="AB33" i="3"/>
  <c r="AD33" i="3" s="1"/>
  <c r="BL379" i="3" l="1"/>
  <c r="BM379" i="3" s="1"/>
  <c r="BE379" i="3"/>
  <c r="BR379" i="3" s="1"/>
  <c r="V33" i="3"/>
  <c r="BQ379" i="3"/>
  <c r="BQ380" i="3" s="1"/>
  <c r="BQ381" i="3" s="1"/>
  <c r="BQ382" i="3" s="1"/>
  <c r="BQ383" i="3" s="1"/>
  <c r="BQ384" i="3" s="1"/>
  <c r="BQ385" i="3" s="1"/>
  <c r="BQ386" i="3" s="1"/>
  <c r="BQ387" i="3" s="1"/>
  <c r="BQ388" i="3" s="1"/>
  <c r="BQ389" i="3" s="1"/>
  <c r="BQ390" i="3" s="1"/>
  <c r="BJ379" i="3"/>
  <c r="CB380" i="3"/>
  <c r="CC380" i="3"/>
  <c r="Q369" i="3"/>
  <c r="R369" i="3" s="1"/>
  <c r="X369" i="3" l="1"/>
  <c r="AA369" i="3" s="1"/>
  <c r="F370" i="3" s="1"/>
  <c r="W369" i="3"/>
  <c r="S369" i="3"/>
  <c r="CJ380" i="3"/>
  <c r="CP380" i="3"/>
  <c r="CZ380" i="3" s="1"/>
  <c r="CD380" i="3"/>
  <c r="CG380" i="3" s="1"/>
  <c r="C44" i="5"/>
  <c r="AO380" i="3"/>
  <c r="AQ380" i="3" s="1"/>
  <c r="O33" i="3"/>
  <c r="Q33" i="3" s="1"/>
  <c r="CE380" i="3" l="1"/>
  <c r="CX380" i="3"/>
  <c r="CF380" i="3"/>
  <c r="AE369" i="3"/>
  <c r="T369" i="3"/>
  <c r="AR380" i="3"/>
  <c r="AI369" i="3"/>
  <c r="Z369" i="3"/>
  <c r="E370" i="3" s="1"/>
  <c r="G370" i="3" s="1"/>
  <c r="H370" i="3" l="1"/>
  <c r="AT380" i="3"/>
  <c r="AW380" i="3" s="1"/>
  <c r="AS380" i="3"/>
  <c r="AB369" i="3"/>
  <c r="U369" i="3"/>
  <c r="AH369" i="3" s="1"/>
  <c r="CH380" i="3"/>
  <c r="CI380" i="3"/>
  <c r="CK380" i="3" l="1"/>
  <c r="CL380" i="3" s="1"/>
  <c r="AC369" i="3"/>
  <c r="BF380" i="3"/>
  <c r="BP380" i="3" s="1"/>
  <c r="AZ380" i="3"/>
  <c r="AU380" i="3"/>
  <c r="J370" i="3"/>
  <c r="M370" i="3" s="1"/>
  <c r="I370" i="3"/>
  <c r="V370" i="3" l="1"/>
  <c r="AF370" i="3" s="1"/>
  <c r="P370" i="3"/>
  <c r="K370" i="3"/>
  <c r="BN380" i="3"/>
  <c r="AV380" i="3"/>
  <c r="CR380" i="3"/>
  <c r="CU380" i="3" s="1"/>
  <c r="BZ381" i="3" s="1"/>
  <c r="CQ380" i="3"/>
  <c r="CM380" i="3"/>
  <c r="CY380" i="3" l="1"/>
  <c r="DC380" i="3"/>
  <c r="CT380" i="3"/>
  <c r="BY381" i="3" s="1"/>
  <c r="CA381" i="3" s="1"/>
  <c r="AX380" i="3"/>
  <c r="AY380" i="3"/>
  <c r="CN380" i="3"/>
  <c r="AD370" i="3"/>
  <c r="L370" i="3"/>
  <c r="N370" i="3" l="1"/>
  <c r="O370" i="3"/>
  <c r="CV380" i="3"/>
  <c r="CO380" i="3"/>
  <c r="DB380" i="3" s="1"/>
  <c r="BA380" i="3"/>
  <c r="BB380" i="3" s="1"/>
  <c r="CB381" i="3"/>
  <c r="CC381" i="3" s="1"/>
  <c r="CP381" i="3" l="1"/>
  <c r="CZ381" i="3" s="1"/>
  <c r="CJ381" i="3"/>
  <c r="CD381" i="3"/>
  <c r="CG381" i="3" s="1"/>
  <c r="BH380" i="3"/>
  <c r="BK380" i="3" s="1"/>
  <c r="AP381" i="3" s="1"/>
  <c r="BG380" i="3"/>
  <c r="BC380" i="3"/>
  <c r="CW380" i="3"/>
  <c r="Q370" i="3"/>
  <c r="R370" i="3" s="1"/>
  <c r="BS380" i="3" l="1"/>
  <c r="BJ380" i="3"/>
  <c r="AO381" i="3" s="1"/>
  <c r="AQ381" i="3" s="1"/>
  <c r="X370" i="3"/>
  <c r="AA370" i="3" s="1"/>
  <c r="F371" i="3" s="1"/>
  <c r="W370" i="3"/>
  <c r="S370" i="3"/>
  <c r="BO380" i="3"/>
  <c r="BD380" i="3"/>
  <c r="CE381" i="3"/>
  <c r="CX381" i="3" l="1"/>
  <c r="CF381" i="3"/>
  <c r="BL380" i="3"/>
  <c r="BE380" i="3"/>
  <c r="BR380" i="3" s="1"/>
  <c r="AE370" i="3"/>
  <c r="AI370" i="3"/>
  <c r="Z370" i="3"/>
  <c r="E371" i="3" s="1"/>
  <c r="G371" i="3" s="1"/>
  <c r="T370" i="3"/>
  <c r="AR381" i="3"/>
  <c r="AS381" i="3" s="1"/>
  <c r="AZ381" i="3" l="1"/>
  <c r="BF381" i="3"/>
  <c r="BP381" i="3" s="1"/>
  <c r="AT381" i="3"/>
  <c r="AW381" i="3" s="1"/>
  <c r="AU381" i="3"/>
  <c r="AB370" i="3"/>
  <c r="U370" i="3"/>
  <c r="AH370" i="3" s="1"/>
  <c r="H371" i="3"/>
  <c r="I371" i="3"/>
  <c r="BM380" i="3"/>
  <c r="CH381" i="3"/>
  <c r="CI381" i="3"/>
  <c r="V371" i="3" l="1"/>
  <c r="AF371" i="3" s="1"/>
  <c r="P371" i="3"/>
  <c r="BN381" i="3"/>
  <c r="AV381" i="3"/>
  <c r="CK381" i="3"/>
  <c r="CL381" i="3" s="1"/>
  <c r="J371" i="3"/>
  <c r="M371" i="3" s="1"/>
  <c r="AC370" i="3"/>
  <c r="K371" i="3" l="1"/>
  <c r="AX381" i="3"/>
  <c r="AY381" i="3"/>
  <c r="CR381" i="3"/>
  <c r="CU381" i="3" s="1"/>
  <c r="BZ382" i="3" s="1"/>
  <c r="CQ381" i="3"/>
  <c r="CM381" i="3"/>
  <c r="CY381" i="3" l="1"/>
  <c r="CN381" i="3"/>
  <c r="CT381" i="3"/>
  <c r="BY382" i="3" s="1"/>
  <c r="CA382" i="3" s="1"/>
  <c r="DC381" i="3"/>
  <c r="BA381" i="3"/>
  <c r="BB381" i="3" s="1"/>
  <c r="AD371" i="3"/>
  <c r="L371" i="3"/>
  <c r="N371" i="3" l="1"/>
  <c r="O371" i="3"/>
  <c r="BH381" i="3"/>
  <c r="BK381" i="3" s="1"/>
  <c r="AP382" i="3" s="1"/>
  <c r="BG381" i="3"/>
  <c r="BC381" i="3"/>
  <c r="BD381" i="3" s="1"/>
  <c r="CB382" i="3"/>
  <c r="CC382" i="3" s="1"/>
  <c r="CV381" i="3"/>
  <c r="CO381" i="3"/>
  <c r="DB381" i="3" s="1"/>
  <c r="CJ382" i="3" l="1"/>
  <c r="CP382" i="3"/>
  <c r="CZ382" i="3" s="1"/>
  <c r="BL381" i="3"/>
  <c r="BE381" i="3"/>
  <c r="BR381" i="3" s="1"/>
  <c r="CD382" i="3"/>
  <c r="CG382" i="3" s="1"/>
  <c r="BJ381" i="3"/>
  <c r="AO382" i="3" s="1"/>
  <c r="AQ382" i="3" s="1"/>
  <c r="BS381" i="3"/>
  <c r="CW381" i="3"/>
  <c r="BO381" i="3"/>
  <c r="Q371" i="3"/>
  <c r="R371" i="3" s="1"/>
  <c r="AR382" i="3" l="1"/>
  <c r="CE382" i="3"/>
  <c r="BM381" i="3"/>
  <c r="X371" i="3"/>
  <c r="AA371" i="3" s="1"/>
  <c r="F372" i="3" s="1"/>
  <c r="W371" i="3"/>
  <c r="S371" i="3"/>
  <c r="AE371" i="3" l="1"/>
  <c r="Z371" i="3"/>
  <c r="E372" i="3" s="1"/>
  <c r="G372" i="3" s="1"/>
  <c r="AI371" i="3"/>
  <c r="T371" i="3"/>
  <c r="CX382" i="3"/>
  <c r="CF382" i="3"/>
  <c r="AT382" i="3"/>
  <c r="AW382" i="3" s="1"/>
  <c r="AS382" i="3"/>
  <c r="BF382" i="3" l="1"/>
  <c r="BP382" i="3" s="1"/>
  <c r="AZ382" i="3"/>
  <c r="AU382" i="3"/>
  <c r="CH382" i="3"/>
  <c r="CI382" i="3"/>
  <c r="AB371" i="3"/>
  <c r="U371" i="3"/>
  <c r="AH371" i="3" s="1"/>
  <c r="H372" i="3"/>
  <c r="J372" i="3" l="1"/>
  <c r="M372" i="3" s="1"/>
  <c r="I372" i="3"/>
  <c r="AC371" i="3"/>
  <c r="CK382" i="3"/>
  <c r="CL382" i="3" s="1"/>
  <c r="BN382" i="3"/>
  <c r="AV382" i="3"/>
  <c r="AY382" i="3" l="1"/>
  <c r="AX382" i="3"/>
  <c r="CR382" i="3"/>
  <c r="CU382" i="3" s="1"/>
  <c r="BZ383" i="3" s="1"/>
  <c r="CQ382" i="3"/>
  <c r="CM382" i="3"/>
  <c r="V372" i="3"/>
  <c r="AF372" i="3" s="1"/>
  <c r="P372" i="3"/>
  <c r="K372" i="3"/>
  <c r="CY382" i="3" l="1"/>
  <c r="AD372" i="3"/>
  <c r="L372" i="3"/>
  <c r="CT382" i="3"/>
  <c r="BY383" i="3" s="1"/>
  <c r="CA383" i="3" s="1"/>
  <c r="DC382" i="3"/>
  <c r="CN382" i="3"/>
  <c r="BA382" i="3"/>
  <c r="BB382" i="3" s="1"/>
  <c r="CV382" i="3" l="1"/>
  <c r="CO382" i="3"/>
  <c r="DB382" i="3" s="1"/>
  <c r="BH382" i="3"/>
  <c r="BK382" i="3" s="1"/>
  <c r="AP383" i="3" s="1"/>
  <c r="BG382" i="3"/>
  <c r="BC382" i="3"/>
  <c r="CB383" i="3"/>
  <c r="N372" i="3"/>
  <c r="O372" i="3"/>
  <c r="BO382" i="3" l="1"/>
  <c r="CD383" i="3"/>
  <c r="CG383" i="3" s="1"/>
  <c r="BJ382" i="3"/>
  <c r="AO383" i="3" s="1"/>
  <c r="AQ383" i="3" s="1"/>
  <c r="BS382" i="3"/>
  <c r="Q372" i="3"/>
  <c r="R372" i="3" s="1"/>
  <c r="CC383" i="3"/>
  <c r="BD382" i="3"/>
  <c r="CW382" i="3"/>
  <c r="CJ383" i="3" l="1"/>
  <c r="CP383" i="3"/>
  <c r="CZ383" i="3" s="1"/>
  <c r="AR383" i="3"/>
  <c r="BL382" i="3"/>
  <c r="BE382" i="3"/>
  <c r="BR382" i="3" s="1"/>
  <c r="X372" i="3"/>
  <c r="AA372" i="3" s="1"/>
  <c r="F373" i="3" s="1"/>
  <c r="W372" i="3"/>
  <c r="S372" i="3"/>
  <c r="AE372" i="3" s="1"/>
  <c r="CE383" i="3"/>
  <c r="CX383" i="3" l="1"/>
  <c r="CF383" i="3"/>
  <c r="AT383" i="3"/>
  <c r="AW383" i="3" s="1"/>
  <c r="AI372" i="3"/>
  <c r="Z372" i="3"/>
  <c r="E373" i="3" s="1"/>
  <c r="G373" i="3" s="1"/>
  <c r="T372" i="3"/>
  <c r="BM382" i="3"/>
  <c r="AS383" i="3"/>
  <c r="AZ383" i="3" l="1"/>
  <c r="BF383" i="3"/>
  <c r="BP383" i="3" s="1"/>
  <c r="AB372" i="3"/>
  <c r="AC372" i="3" s="1"/>
  <c r="U372" i="3"/>
  <c r="AH372" i="3" s="1"/>
  <c r="CH383" i="3"/>
  <c r="CI383" i="3"/>
  <c r="H373" i="3"/>
  <c r="AU383" i="3"/>
  <c r="BN383" i="3" l="1"/>
  <c r="AV383" i="3"/>
  <c r="J373" i="3"/>
  <c r="M373" i="3" s="1"/>
  <c r="I373" i="3"/>
  <c r="CK383" i="3"/>
  <c r="CL383" i="3" s="1"/>
  <c r="CR383" i="3" l="1"/>
  <c r="CU383" i="3" s="1"/>
  <c r="BZ384" i="3" s="1"/>
  <c r="CQ383" i="3"/>
  <c r="CM383" i="3"/>
  <c r="V373" i="3"/>
  <c r="AF373" i="3" s="1"/>
  <c r="P373" i="3"/>
  <c r="K373" i="3"/>
  <c r="AX383" i="3"/>
  <c r="AY383" i="3"/>
  <c r="AD373" i="3" l="1"/>
  <c r="L373" i="3"/>
  <c r="CY383" i="3"/>
  <c r="CN383" i="3"/>
  <c r="BA383" i="3"/>
  <c r="BB383" i="3" s="1"/>
  <c r="CT383" i="3"/>
  <c r="BY384" i="3" s="1"/>
  <c r="CA384" i="3" s="1"/>
  <c r="DC383" i="3"/>
  <c r="CB384" i="3" l="1"/>
  <c r="BH383" i="3"/>
  <c r="BK383" i="3" s="1"/>
  <c r="AP384" i="3" s="1"/>
  <c r="BG383" i="3"/>
  <c r="BC383" i="3"/>
  <c r="CV383" i="3"/>
  <c r="CO383" i="3"/>
  <c r="DB383" i="3" s="1"/>
  <c r="N373" i="3"/>
  <c r="O373" i="3"/>
  <c r="BO383" i="3" l="1"/>
  <c r="Q373" i="3"/>
  <c r="R373" i="3" s="1"/>
  <c r="CW383" i="3"/>
  <c r="BS383" i="3"/>
  <c r="BJ383" i="3"/>
  <c r="AO384" i="3" s="1"/>
  <c r="AQ384" i="3" s="1"/>
  <c r="BD383" i="3"/>
  <c r="CD384" i="3"/>
  <c r="CG384" i="3" s="1"/>
  <c r="CC384" i="3"/>
  <c r="BL383" i="3" l="1"/>
  <c r="BE383" i="3"/>
  <c r="BR383" i="3" s="1"/>
  <c r="CP384" i="3"/>
  <c r="CZ384" i="3" s="1"/>
  <c r="CJ384" i="3"/>
  <c r="CE384" i="3"/>
  <c r="AR384" i="3"/>
  <c r="X373" i="3"/>
  <c r="AA373" i="3" s="1"/>
  <c r="F374" i="3" s="1"/>
  <c r="W373" i="3"/>
  <c r="S373" i="3"/>
  <c r="AE373" i="3" s="1"/>
  <c r="AI373" i="3" l="1"/>
  <c r="Z373" i="3"/>
  <c r="E374" i="3" s="1"/>
  <c r="G374" i="3" s="1"/>
  <c r="T373" i="3"/>
  <c r="AT384" i="3"/>
  <c r="AW384" i="3" s="1"/>
  <c r="AS384" i="3"/>
  <c r="CX384" i="3"/>
  <c r="CF384" i="3"/>
  <c r="BM383" i="3"/>
  <c r="CI384" i="3" l="1"/>
  <c r="CH384" i="3"/>
  <c r="BF384" i="3"/>
  <c r="BP384" i="3" s="1"/>
  <c r="AZ384" i="3"/>
  <c r="AU384" i="3"/>
  <c r="AB373" i="3"/>
  <c r="AC373" i="3" s="1"/>
  <c r="U373" i="3"/>
  <c r="AH373" i="3" s="1"/>
  <c r="H374" i="3"/>
  <c r="I374" i="3"/>
  <c r="P374" i="3" l="1"/>
  <c r="V374" i="3"/>
  <c r="AF374" i="3" s="1"/>
  <c r="J374" i="3"/>
  <c r="M374" i="3" s="1"/>
  <c r="BN384" i="3"/>
  <c r="AV384" i="3"/>
  <c r="CK384" i="3"/>
  <c r="CL384" i="3" s="1"/>
  <c r="CR384" i="3" l="1"/>
  <c r="CU384" i="3" s="1"/>
  <c r="BZ385" i="3" s="1"/>
  <c r="CQ384" i="3"/>
  <c r="CM384" i="3"/>
  <c r="CY384" i="3" s="1"/>
  <c r="AX384" i="3"/>
  <c r="AY384" i="3"/>
  <c r="K374" i="3"/>
  <c r="AD374" i="3" l="1"/>
  <c r="L374" i="3"/>
  <c r="CT384" i="3"/>
  <c r="BY385" i="3" s="1"/>
  <c r="CA385" i="3" s="1"/>
  <c r="DC384" i="3"/>
  <c r="BA384" i="3"/>
  <c r="BB384" i="3" s="1"/>
  <c r="CN384" i="3"/>
  <c r="CV384" i="3" l="1"/>
  <c r="CW384" i="3" s="1"/>
  <c r="CO384" i="3"/>
  <c r="DB384" i="3" s="1"/>
  <c r="BH384" i="3"/>
  <c r="BK384" i="3" s="1"/>
  <c r="AP385" i="3" s="1"/>
  <c r="BG384" i="3"/>
  <c r="BC384" i="3"/>
  <c r="BO384" i="3" s="1"/>
  <c r="CB385" i="3"/>
  <c r="CC385" i="3" s="1"/>
  <c r="N374" i="3"/>
  <c r="O374" i="3"/>
  <c r="CP385" i="3" l="1"/>
  <c r="CZ385" i="3" s="1"/>
  <c r="CJ385" i="3"/>
  <c r="CD385" i="3"/>
  <c r="CG385" i="3" s="1"/>
  <c r="BJ384" i="3"/>
  <c r="AO385" i="3" s="1"/>
  <c r="AQ385" i="3" s="1"/>
  <c r="BS384" i="3"/>
  <c r="Q374" i="3"/>
  <c r="R374" i="3" s="1"/>
  <c r="BD384" i="3"/>
  <c r="BL384" i="3" l="1"/>
  <c r="BM384" i="3" s="1"/>
  <c r="BE384" i="3"/>
  <c r="BR384" i="3" s="1"/>
  <c r="AR385" i="3"/>
  <c r="X374" i="3"/>
  <c r="AA374" i="3" s="1"/>
  <c r="F375" i="3" s="1"/>
  <c r="W374" i="3"/>
  <c r="S374" i="3"/>
  <c r="AE374" i="3" s="1"/>
  <c r="CE385" i="3"/>
  <c r="T374" i="3" l="1"/>
  <c r="CX385" i="3"/>
  <c r="CF385" i="3"/>
  <c r="Z374" i="3"/>
  <c r="E375" i="3" s="1"/>
  <c r="G375" i="3" s="1"/>
  <c r="AI374" i="3"/>
  <c r="AT385" i="3"/>
  <c r="AW385" i="3" s="1"/>
  <c r="AS385" i="3"/>
  <c r="BF385" i="3" l="1"/>
  <c r="BP385" i="3" s="1"/>
  <c r="AZ385" i="3"/>
  <c r="AU385" i="3"/>
  <c r="CH385" i="3"/>
  <c r="CI385" i="3"/>
  <c r="H375" i="3"/>
  <c r="AB374" i="3"/>
  <c r="AC374" i="3" s="1"/>
  <c r="U374" i="3"/>
  <c r="AH374" i="3" s="1"/>
  <c r="CK385" i="3" l="1"/>
  <c r="CL385" i="3" s="1"/>
  <c r="BN385" i="3"/>
  <c r="AV385" i="3"/>
  <c r="J375" i="3"/>
  <c r="M375" i="3" s="1"/>
  <c r="I375" i="3"/>
  <c r="AX385" i="3" l="1"/>
  <c r="AY385" i="3"/>
  <c r="V375" i="3"/>
  <c r="AF375" i="3" s="1"/>
  <c r="P375" i="3"/>
  <c r="K375" i="3"/>
  <c r="CR385" i="3"/>
  <c r="CU385" i="3" s="1"/>
  <c r="BZ386" i="3" s="1"/>
  <c r="CQ385" i="3"/>
  <c r="CM385" i="3"/>
  <c r="CY385" i="3" s="1"/>
  <c r="DC385" i="3" l="1"/>
  <c r="CT385" i="3"/>
  <c r="BY386" i="3" s="1"/>
  <c r="CA386" i="3" s="1"/>
  <c r="CN385" i="3"/>
  <c r="AD375" i="3"/>
  <c r="L375" i="3"/>
  <c r="BA385" i="3"/>
  <c r="BB385" i="3" s="1"/>
  <c r="BH385" i="3" l="1"/>
  <c r="BK385" i="3" s="1"/>
  <c r="AP386" i="3" s="1"/>
  <c r="BG385" i="3"/>
  <c r="BC385" i="3"/>
  <c r="BO385" i="3" s="1"/>
  <c r="N375" i="3"/>
  <c r="O375" i="3"/>
  <c r="CV385" i="3"/>
  <c r="CW385" i="3" s="1"/>
  <c r="CO385" i="3"/>
  <c r="DB385" i="3" s="1"/>
  <c r="CB386" i="3"/>
  <c r="CD386" i="3" l="1"/>
  <c r="CG386" i="3" s="1"/>
  <c r="CC386" i="3"/>
  <c r="Q375" i="3"/>
  <c r="R375" i="3" s="1"/>
  <c r="BD385" i="3"/>
  <c r="BS385" i="3"/>
  <c r="BJ385" i="3"/>
  <c r="AO386" i="3" s="1"/>
  <c r="AQ386" i="3" s="1"/>
  <c r="BL385" i="3" l="1"/>
  <c r="BM385" i="3" s="1"/>
  <c r="BE385" i="3"/>
  <c r="BR385" i="3" s="1"/>
  <c r="CP386" i="3"/>
  <c r="CZ386" i="3" s="1"/>
  <c r="CJ386" i="3"/>
  <c r="AR386" i="3"/>
  <c r="AS386" i="3" s="1"/>
  <c r="X375" i="3"/>
  <c r="AA375" i="3" s="1"/>
  <c r="F376" i="3" s="1"/>
  <c r="W375" i="3"/>
  <c r="S375" i="3"/>
  <c r="AE375" i="3" s="1"/>
  <c r="CE386" i="3"/>
  <c r="AZ386" i="3" l="1"/>
  <c r="BF386" i="3"/>
  <c r="BP386" i="3" s="1"/>
  <c r="CX386" i="3"/>
  <c r="CF386" i="3"/>
  <c r="AI375" i="3"/>
  <c r="Z375" i="3"/>
  <c r="E376" i="3" s="1"/>
  <c r="G376" i="3" s="1"/>
  <c r="T375" i="3"/>
  <c r="AT386" i="3"/>
  <c r="AW386" i="3" s="1"/>
  <c r="AU386" i="3" l="1"/>
  <c r="AB375" i="3"/>
  <c r="AC375" i="3" s="1"/>
  <c r="U375" i="3"/>
  <c r="AH375" i="3" s="1"/>
  <c r="CH386" i="3"/>
  <c r="CI386" i="3"/>
  <c r="H376" i="3"/>
  <c r="CK386" i="3" l="1"/>
  <c r="CL386" i="3" s="1"/>
  <c r="J376" i="3"/>
  <c r="M376" i="3" s="1"/>
  <c r="I376" i="3"/>
  <c r="BN386" i="3"/>
  <c r="AV386" i="3"/>
  <c r="AX386" i="3" l="1"/>
  <c r="AY386" i="3"/>
  <c r="P376" i="3"/>
  <c r="V376" i="3"/>
  <c r="AF376" i="3" s="1"/>
  <c r="K376" i="3"/>
  <c r="CR386" i="3"/>
  <c r="CU386" i="3" s="1"/>
  <c r="BZ387" i="3" s="1"/>
  <c r="CQ386" i="3"/>
  <c r="CM386" i="3"/>
  <c r="CY386" i="3" s="1"/>
  <c r="AD376" i="3" l="1"/>
  <c r="L376" i="3"/>
  <c r="BA386" i="3"/>
  <c r="BB386" i="3" s="1"/>
  <c r="DC386" i="3"/>
  <c r="CT386" i="3"/>
  <c r="BY387" i="3" s="1"/>
  <c r="CA387" i="3" s="1"/>
  <c r="CN386" i="3"/>
  <c r="BH386" i="3" l="1"/>
  <c r="BK386" i="3" s="1"/>
  <c r="AP387" i="3" s="1"/>
  <c r="BG386" i="3"/>
  <c r="BC386" i="3"/>
  <c r="BO386" i="3" s="1"/>
  <c r="CV386" i="3"/>
  <c r="CW386" i="3" s="1"/>
  <c r="CO386" i="3"/>
  <c r="DB386" i="3" s="1"/>
  <c r="CB387" i="3"/>
  <c r="CC387" i="3" s="1"/>
  <c r="N376" i="3"/>
  <c r="O376" i="3"/>
  <c r="Q376" i="3" l="1"/>
  <c r="R376" i="3" s="1"/>
  <c r="CP387" i="3"/>
  <c r="CZ387" i="3" s="1"/>
  <c r="CJ387" i="3"/>
  <c r="BD386" i="3"/>
  <c r="CD387" i="3"/>
  <c r="CG387" i="3" s="1"/>
  <c r="BJ386" i="3"/>
  <c r="AO387" i="3" s="1"/>
  <c r="AQ387" i="3" s="1"/>
  <c r="BS386" i="3"/>
  <c r="AR387" i="3" l="1"/>
  <c r="CE387" i="3"/>
  <c r="BL386" i="3"/>
  <c r="BM386" i="3" s="1"/>
  <c r="BE386" i="3"/>
  <c r="BR386" i="3" s="1"/>
  <c r="X376" i="3"/>
  <c r="AA376" i="3" s="1"/>
  <c r="F377" i="3" s="1"/>
  <c r="W376" i="3"/>
  <c r="S376" i="3"/>
  <c r="AE376" i="3" s="1"/>
  <c r="Z376" i="3" l="1"/>
  <c r="E377" i="3" s="1"/>
  <c r="G377" i="3" s="1"/>
  <c r="AI376" i="3"/>
  <c r="T376" i="3"/>
  <c r="CX387" i="3"/>
  <c r="CF387" i="3"/>
  <c r="AT387" i="3"/>
  <c r="AW387" i="3" s="1"/>
  <c r="AS387" i="3"/>
  <c r="CH387" i="3" l="1"/>
  <c r="CI387" i="3"/>
  <c r="BF387" i="3"/>
  <c r="BP387" i="3" s="1"/>
  <c r="AZ387" i="3"/>
  <c r="AU387" i="3"/>
  <c r="AB376" i="3"/>
  <c r="AC376" i="3" s="1"/>
  <c r="U376" i="3"/>
  <c r="AH376" i="3" s="1"/>
  <c r="H377" i="3"/>
  <c r="J377" i="3" l="1"/>
  <c r="M377" i="3" s="1"/>
  <c r="I377" i="3"/>
  <c r="BN387" i="3"/>
  <c r="AV387" i="3"/>
  <c r="CK387" i="3"/>
  <c r="CL387" i="3" s="1"/>
  <c r="CR387" i="3" l="1"/>
  <c r="CU387" i="3" s="1"/>
  <c r="BZ388" i="3" s="1"/>
  <c r="CQ387" i="3"/>
  <c r="CM387" i="3"/>
  <c r="CY387" i="3" s="1"/>
  <c r="AX387" i="3"/>
  <c r="AY387" i="3"/>
  <c r="V377" i="3"/>
  <c r="AF377" i="3" s="1"/>
  <c r="P377" i="3"/>
  <c r="K377" i="3"/>
  <c r="AD377" i="3" l="1"/>
  <c r="L377" i="3"/>
  <c r="CN387" i="3"/>
  <c r="BA387" i="3"/>
  <c r="BB387" i="3" s="1"/>
  <c r="DC387" i="3"/>
  <c r="CT387" i="3"/>
  <c r="BY388" i="3" s="1"/>
  <c r="CA388" i="3" s="1"/>
  <c r="CB388" i="3" l="1"/>
  <c r="BH387" i="3"/>
  <c r="BK387" i="3" s="1"/>
  <c r="AP388" i="3" s="1"/>
  <c r="BG387" i="3"/>
  <c r="BC387" i="3"/>
  <c r="BO387" i="3" s="1"/>
  <c r="CV387" i="3"/>
  <c r="CW387" i="3" s="1"/>
  <c r="CO387" i="3"/>
  <c r="DB387" i="3" s="1"/>
  <c r="N377" i="3"/>
  <c r="O377" i="3"/>
  <c r="Q377" i="3" l="1"/>
  <c r="R377" i="3" s="1"/>
  <c r="BD387" i="3"/>
  <c r="BJ387" i="3"/>
  <c r="AO388" i="3" s="1"/>
  <c r="AQ388" i="3" s="1"/>
  <c r="BS387" i="3"/>
  <c r="CD388" i="3"/>
  <c r="CG388" i="3" s="1"/>
  <c r="CC388" i="3"/>
  <c r="CJ388" i="3" l="1"/>
  <c r="CP388" i="3"/>
  <c r="CZ388" i="3" s="1"/>
  <c r="BL387" i="3"/>
  <c r="BM387" i="3" s="1"/>
  <c r="BE387" i="3"/>
  <c r="BR387" i="3" s="1"/>
  <c r="CE388" i="3"/>
  <c r="AR388" i="3"/>
  <c r="X377" i="3"/>
  <c r="AA377" i="3" s="1"/>
  <c r="F378" i="3" s="1"/>
  <c r="W377" i="3"/>
  <c r="S377" i="3"/>
  <c r="AE377" i="3" s="1"/>
  <c r="T377" i="3" l="1"/>
  <c r="Z377" i="3"/>
  <c r="E378" i="3" s="1"/>
  <c r="G378" i="3" s="1"/>
  <c r="AI377" i="3"/>
  <c r="AT388" i="3"/>
  <c r="AW388" i="3" s="1"/>
  <c r="AS388" i="3"/>
  <c r="CX388" i="3"/>
  <c r="CF388" i="3"/>
  <c r="CH388" i="3" l="1"/>
  <c r="CI388" i="3"/>
  <c r="BF388" i="3"/>
  <c r="BP388" i="3" s="1"/>
  <c r="AZ388" i="3"/>
  <c r="AU388" i="3"/>
  <c r="H378" i="3"/>
  <c r="I378" i="3" s="1"/>
  <c r="AB377" i="3"/>
  <c r="AC377" i="3" s="1"/>
  <c r="U377" i="3"/>
  <c r="AH377" i="3" s="1"/>
  <c r="P378" i="3" l="1"/>
  <c r="V378" i="3"/>
  <c r="AF378" i="3" s="1"/>
  <c r="J378" i="3"/>
  <c r="M378" i="3" s="1"/>
  <c r="BN388" i="3"/>
  <c r="AV388" i="3"/>
  <c r="CK388" i="3"/>
  <c r="CL388" i="3" s="1"/>
  <c r="CR388" i="3" l="1"/>
  <c r="CU388" i="3" s="1"/>
  <c r="BZ389" i="3" s="1"/>
  <c r="CQ388" i="3"/>
  <c r="CM388" i="3"/>
  <c r="CY388" i="3" s="1"/>
  <c r="AX388" i="3"/>
  <c r="AY388" i="3"/>
  <c r="K378" i="3"/>
  <c r="BA388" i="3" l="1"/>
  <c r="BB388" i="3" s="1"/>
  <c r="CT388" i="3"/>
  <c r="BY389" i="3" s="1"/>
  <c r="CA389" i="3" s="1"/>
  <c r="DC388" i="3"/>
  <c r="AD378" i="3"/>
  <c r="L378" i="3"/>
  <c r="CN388" i="3"/>
  <c r="CV388" i="3" l="1"/>
  <c r="CW388" i="3" s="1"/>
  <c r="CO388" i="3"/>
  <c r="DB388" i="3" s="1"/>
  <c r="N378" i="3"/>
  <c r="O378" i="3"/>
  <c r="CB389" i="3"/>
  <c r="BH388" i="3"/>
  <c r="BK388" i="3" s="1"/>
  <c r="AP389" i="3" s="1"/>
  <c r="BG388" i="3"/>
  <c r="BC388" i="3"/>
  <c r="BO388" i="3" s="1"/>
  <c r="BD388" i="3" l="1"/>
  <c r="BJ388" i="3"/>
  <c r="AO389" i="3" s="1"/>
  <c r="AQ389" i="3" s="1"/>
  <c r="BS388" i="3"/>
  <c r="CD389" i="3"/>
  <c r="CG389" i="3" s="1"/>
  <c r="CE389" i="3"/>
  <c r="CX389" i="3" s="1"/>
  <c r="CC389" i="3"/>
  <c r="Q378" i="3"/>
  <c r="R378" i="3" s="1"/>
  <c r="X378" i="3" l="1"/>
  <c r="AA378" i="3" s="1"/>
  <c r="F379" i="3" s="1"/>
  <c r="W378" i="3"/>
  <c r="S378" i="3"/>
  <c r="AE378" i="3" s="1"/>
  <c r="CJ389" i="3"/>
  <c r="CP389" i="3"/>
  <c r="CZ389" i="3" s="1"/>
  <c r="CF389" i="3"/>
  <c r="AR389" i="3"/>
  <c r="AS389" i="3" s="1"/>
  <c r="BL388" i="3"/>
  <c r="BM388" i="3" s="1"/>
  <c r="BE388" i="3"/>
  <c r="BR388" i="3" s="1"/>
  <c r="BF389" i="3" l="1"/>
  <c r="BP389" i="3" s="1"/>
  <c r="AZ389" i="3"/>
  <c r="CH389" i="3"/>
  <c r="CI389" i="3"/>
  <c r="AI378" i="3"/>
  <c r="Z378" i="3"/>
  <c r="E379" i="3" s="1"/>
  <c r="G379" i="3" s="1"/>
  <c r="AT389" i="3"/>
  <c r="AW389" i="3" s="1"/>
  <c r="AU389" i="3"/>
  <c r="BN389" i="3" s="1"/>
  <c r="T378" i="3"/>
  <c r="H379" i="3" l="1"/>
  <c r="AV389" i="3"/>
  <c r="CK389" i="3"/>
  <c r="CL389" i="3" s="1"/>
  <c r="AB378" i="3"/>
  <c r="AC378" i="3" s="1"/>
  <c r="U378" i="3"/>
  <c r="AH378" i="3" s="1"/>
  <c r="CR389" i="3" l="1"/>
  <c r="CU389" i="3" s="1"/>
  <c r="BZ390" i="3" s="1"/>
  <c r="CQ389" i="3"/>
  <c r="CM389" i="3"/>
  <c r="CY389" i="3" s="1"/>
  <c r="AX389" i="3"/>
  <c r="AY389" i="3"/>
  <c r="J379" i="3"/>
  <c r="M379" i="3" s="1"/>
  <c r="I379" i="3"/>
  <c r="DC389" i="3" l="1"/>
  <c r="CT389" i="3"/>
  <c r="BY390" i="3" s="1"/>
  <c r="CA390" i="3" s="1"/>
  <c r="P379" i="3"/>
  <c r="V379" i="3"/>
  <c r="AF379" i="3" s="1"/>
  <c r="K379" i="3"/>
  <c r="BA389" i="3"/>
  <c r="BB389" i="3" s="1"/>
  <c r="CN389" i="3"/>
  <c r="CV389" i="3" l="1"/>
  <c r="CW389" i="3" s="1"/>
  <c r="CO389" i="3"/>
  <c r="DB389" i="3" s="1"/>
  <c r="J33" i="3"/>
  <c r="BH389" i="3"/>
  <c r="BK389" i="3" s="1"/>
  <c r="AP390" i="3" s="1"/>
  <c r="BG389" i="3"/>
  <c r="BC389" i="3"/>
  <c r="BO389" i="3" s="1"/>
  <c r="AD379" i="3"/>
  <c r="L379" i="3"/>
  <c r="CB390" i="3"/>
  <c r="CD390" i="3" l="1"/>
  <c r="CG390" i="3" s="1"/>
  <c r="CE390" i="3"/>
  <c r="CX390" i="3" s="1"/>
  <c r="BS389" i="3"/>
  <c r="BJ389" i="3"/>
  <c r="AO390" i="3" s="1"/>
  <c r="AQ390" i="3" s="1"/>
  <c r="BD389" i="3"/>
  <c r="CC390" i="3"/>
  <c r="N379" i="3"/>
  <c r="O379" i="3"/>
  <c r="AR390" i="3" l="1"/>
  <c r="Q379" i="3"/>
  <c r="R379" i="3" s="1"/>
  <c r="CJ390" i="3"/>
  <c r="CP390" i="3"/>
  <c r="CZ390" i="3" s="1"/>
  <c r="BL389" i="3"/>
  <c r="BM389" i="3" s="1"/>
  <c r="BE389" i="3"/>
  <c r="BR389" i="3" s="1"/>
  <c r="CF390" i="3"/>
  <c r="CH390" i="3" l="1"/>
  <c r="CI390" i="3"/>
  <c r="X379" i="3"/>
  <c r="AA379" i="3" s="1"/>
  <c r="W379" i="3"/>
  <c r="S379" i="3"/>
  <c r="AE379" i="3" s="1"/>
  <c r="AT390" i="3"/>
  <c r="AW390" i="3" s="1"/>
  <c r="AU390" i="3"/>
  <c r="BN390" i="3" s="1"/>
  <c r="AS390" i="3"/>
  <c r="F44" i="5" l="1"/>
  <c r="AZ390" i="3"/>
  <c r="BF390" i="3"/>
  <c r="BP390" i="3" s="1"/>
  <c r="F380" i="3"/>
  <c r="C33" i="3"/>
  <c r="AV390" i="3"/>
  <c r="Y379" i="3"/>
  <c r="Z379" i="3" s="1"/>
  <c r="AI379" i="3"/>
  <c r="T379" i="3"/>
  <c r="CK390" i="3"/>
  <c r="CL390" i="3" s="1"/>
  <c r="B44" i="5" l="1"/>
  <c r="E380" i="3"/>
  <c r="G380" i="3" s="1"/>
  <c r="B33" i="3"/>
  <c r="D33" i="3" s="1"/>
  <c r="AB379" i="3"/>
  <c r="AC379" i="3" s="1"/>
  <c r="U379" i="3"/>
  <c r="AH379" i="3" s="1"/>
  <c r="CR390" i="3"/>
  <c r="CU390" i="3" s="1"/>
  <c r="BZ391" i="3" s="1"/>
  <c r="CQ390" i="3"/>
  <c r="CM390" i="3"/>
  <c r="CY390" i="3" s="1"/>
  <c r="I33" i="3"/>
  <c r="AG379" i="3"/>
  <c r="AG380" i="3" s="1"/>
  <c r="AG381" i="3" s="1"/>
  <c r="AG382" i="3" s="1"/>
  <c r="AG383" i="3" s="1"/>
  <c r="AG384" i="3" s="1"/>
  <c r="AG385" i="3" s="1"/>
  <c r="AG386" i="3" s="1"/>
  <c r="AG387" i="3" s="1"/>
  <c r="AG388" i="3" s="1"/>
  <c r="AG389" i="3" s="1"/>
  <c r="AG390" i="3" s="1"/>
  <c r="AX390" i="3"/>
  <c r="AY390" i="3"/>
  <c r="DC390" i="3" l="1"/>
  <c r="CT390" i="3"/>
  <c r="BY391" i="3" s="1"/>
  <c r="CA391" i="3" s="1"/>
  <c r="CN390" i="3"/>
  <c r="H380" i="3"/>
  <c r="BA390" i="3"/>
  <c r="BB390" i="3" s="1"/>
  <c r="J380" i="3" l="1"/>
  <c r="M380" i="3" s="1"/>
  <c r="CV390" i="3"/>
  <c r="CW390" i="3" s="1"/>
  <c r="CO390" i="3"/>
  <c r="DB390" i="3" s="1"/>
  <c r="BH390" i="3"/>
  <c r="BK390" i="3" s="1"/>
  <c r="AP391" i="3" s="1"/>
  <c r="BG390" i="3"/>
  <c r="BC390" i="3"/>
  <c r="BO390" i="3" s="1"/>
  <c r="I380" i="3"/>
  <c r="CB391" i="3"/>
  <c r="CC391" i="3"/>
  <c r="CP391" i="3" l="1"/>
  <c r="CZ391" i="3" s="1"/>
  <c r="CJ391" i="3"/>
  <c r="CD391" i="3"/>
  <c r="CG391" i="3" s="1"/>
  <c r="CE391" i="3"/>
  <c r="CX391" i="3" s="1"/>
  <c r="P380" i="3"/>
  <c r="V380" i="3"/>
  <c r="AF380" i="3" s="1"/>
  <c r="BS390" i="3"/>
  <c r="BJ390" i="3"/>
  <c r="AO391" i="3" s="1"/>
  <c r="AQ391" i="3" s="1"/>
  <c r="BD390" i="3"/>
  <c r="K380" i="3"/>
  <c r="AR391" i="3" l="1"/>
  <c r="CF391" i="3"/>
  <c r="BL390" i="3"/>
  <c r="BM390" i="3" s="1"/>
  <c r="BE390" i="3"/>
  <c r="BR390" i="3" s="1"/>
  <c r="AJ34" i="3"/>
  <c r="AD380" i="3"/>
  <c r="L380" i="3"/>
  <c r="CH391" i="3" l="1"/>
  <c r="CI391" i="3"/>
  <c r="N380" i="3"/>
  <c r="O380" i="3"/>
  <c r="AT391" i="3"/>
  <c r="AW391" i="3" s="1"/>
  <c r="AS391" i="3"/>
  <c r="AZ391" i="3" l="1"/>
  <c r="BF391" i="3"/>
  <c r="BP391" i="3" s="1"/>
  <c r="AU391" i="3"/>
  <c r="Q380" i="3"/>
  <c r="R380" i="3" s="1"/>
  <c r="CK391" i="3"/>
  <c r="CL391" i="3" s="1"/>
  <c r="X380" i="3" l="1"/>
  <c r="AA380" i="3" s="1"/>
  <c r="F381" i="3" s="1"/>
  <c r="W380" i="3"/>
  <c r="S380" i="3"/>
  <c r="CR391" i="3"/>
  <c r="CU391" i="3" s="1"/>
  <c r="CQ391" i="3"/>
  <c r="CM391" i="3"/>
  <c r="CY391" i="3" s="1"/>
  <c r="BN391" i="3"/>
  <c r="AV391" i="3"/>
  <c r="W34" i="3"/>
  <c r="DC391" i="3" l="1"/>
  <c r="CS391" i="3"/>
  <c r="H45" i="5"/>
  <c r="CN391" i="3"/>
  <c r="AE380" i="3"/>
  <c r="T380" i="3"/>
  <c r="AX391" i="3"/>
  <c r="AY391" i="3"/>
  <c r="BZ392" i="3"/>
  <c r="AC34" i="3"/>
  <c r="AI380" i="3"/>
  <c r="Z380" i="3"/>
  <c r="E381" i="3" s="1"/>
  <c r="G381" i="3" s="1"/>
  <c r="BA391" i="3" l="1"/>
  <c r="BB391" i="3" s="1"/>
  <c r="AB380" i="3"/>
  <c r="U380" i="3"/>
  <c r="AH380" i="3" s="1"/>
  <c r="CV391" i="3"/>
  <c r="CW391" i="3" s="1"/>
  <c r="CO391" i="3"/>
  <c r="DB391" i="3" s="1"/>
  <c r="H381" i="3"/>
  <c r="AI34" i="3"/>
  <c r="DA391" i="3"/>
  <c r="DA392" i="3" s="1"/>
  <c r="DA393" i="3" s="1"/>
  <c r="DA394" i="3" s="1"/>
  <c r="DA395" i="3" s="1"/>
  <c r="DA396" i="3" s="1"/>
  <c r="DA397" i="3" s="1"/>
  <c r="DA398" i="3" s="1"/>
  <c r="DA399" i="3" s="1"/>
  <c r="DA400" i="3" s="1"/>
  <c r="DA401" i="3" s="1"/>
  <c r="DA402" i="3" s="1"/>
  <c r="CT391" i="3"/>
  <c r="D45" i="5" l="1"/>
  <c r="BY392" i="3"/>
  <c r="CA392" i="3" s="1"/>
  <c r="AB34" i="3"/>
  <c r="AD34" i="3" s="1"/>
  <c r="J381" i="3"/>
  <c r="M381" i="3" s="1"/>
  <c r="I381" i="3"/>
  <c r="AC380" i="3"/>
  <c r="BH391" i="3"/>
  <c r="BK391" i="3" s="1"/>
  <c r="BG391" i="3"/>
  <c r="BC391" i="3"/>
  <c r="BO391" i="3" s="1"/>
  <c r="BD391" i="3" l="1"/>
  <c r="AP392" i="3"/>
  <c r="P34" i="3"/>
  <c r="BL391" i="3"/>
  <c r="BM391" i="3" s="1"/>
  <c r="BE391" i="3"/>
  <c r="BR391" i="3" s="1"/>
  <c r="K381" i="3"/>
  <c r="CB392" i="3"/>
  <c r="P381" i="3"/>
  <c r="V381" i="3"/>
  <c r="AF381" i="3" s="1"/>
  <c r="G45" i="5"/>
  <c r="BI391" i="3"/>
  <c r="BS391" i="3"/>
  <c r="CD392" i="3" l="1"/>
  <c r="CG392" i="3" s="1"/>
  <c r="CE392" i="3"/>
  <c r="CC392" i="3"/>
  <c r="V34" i="3"/>
  <c r="BQ391" i="3"/>
  <c r="BQ392" i="3" s="1"/>
  <c r="BQ393" i="3" s="1"/>
  <c r="BQ394" i="3" s="1"/>
  <c r="BQ395" i="3" s="1"/>
  <c r="BQ396" i="3" s="1"/>
  <c r="BQ397" i="3" s="1"/>
  <c r="BQ398" i="3" s="1"/>
  <c r="BQ399" i="3" s="1"/>
  <c r="BQ400" i="3" s="1"/>
  <c r="BQ401" i="3" s="1"/>
  <c r="BQ402" i="3" s="1"/>
  <c r="BJ391" i="3"/>
  <c r="AD381" i="3"/>
  <c r="L381" i="3"/>
  <c r="C45" i="5" l="1"/>
  <c r="AO392" i="3"/>
  <c r="AQ392" i="3" s="1"/>
  <c r="O34" i="3"/>
  <c r="Q34" i="3" s="1"/>
  <c r="N381" i="3"/>
  <c r="O381" i="3"/>
  <c r="CP392" i="3"/>
  <c r="CZ392" i="3" s="1"/>
  <c r="CJ392" i="3"/>
  <c r="CX392" i="3"/>
  <c r="CF392" i="3"/>
  <c r="Q381" i="3" l="1"/>
  <c r="R381" i="3" s="1"/>
  <c r="AR392" i="3"/>
  <c r="CH392" i="3"/>
  <c r="CI392" i="3"/>
  <c r="AT392" i="3" l="1"/>
  <c r="AW392" i="3" s="1"/>
  <c r="AU392" i="3"/>
  <c r="CK392" i="3"/>
  <c r="CL392" i="3" s="1"/>
  <c r="AS392" i="3"/>
  <c r="X381" i="3"/>
  <c r="AA381" i="3" s="1"/>
  <c r="F382" i="3" s="1"/>
  <c r="W381" i="3"/>
  <c r="S381" i="3"/>
  <c r="T381" i="3" s="1"/>
  <c r="AB381" i="3" l="1"/>
  <c r="U381" i="3"/>
  <c r="AH381" i="3" s="1"/>
  <c r="AI381" i="3"/>
  <c r="Z381" i="3"/>
  <c r="E382" i="3" s="1"/>
  <c r="G382" i="3" s="1"/>
  <c r="AE381" i="3"/>
  <c r="AZ392" i="3"/>
  <c r="BF392" i="3"/>
  <c r="BP392" i="3" s="1"/>
  <c r="CR392" i="3"/>
  <c r="CU392" i="3" s="1"/>
  <c r="BZ393" i="3" s="1"/>
  <c r="CQ392" i="3"/>
  <c r="CM392" i="3"/>
  <c r="BN392" i="3"/>
  <c r="AV392" i="3"/>
  <c r="CY392" i="3" l="1"/>
  <c r="CN392" i="3"/>
  <c r="CT392" i="3"/>
  <c r="BY393" i="3" s="1"/>
  <c r="CA393" i="3" s="1"/>
  <c r="DC392" i="3"/>
  <c r="H382" i="3"/>
  <c r="AX392" i="3"/>
  <c r="AY392" i="3"/>
  <c r="AC381" i="3"/>
  <c r="J382" i="3" l="1"/>
  <c r="M382" i="3" s="1"/>
  <c r="BA392" i="3"/>
  <c r="BB392" i="3" s="1"/>
  <c r="I382" i="3"/>
  <c r="CB393" i="3"/>
  <c r="CV392" i="3"/>
  <c r="CO392" i="3"/>
  <c r="DB392" i="3" s="1"/>
  <c r="V382" i="3" l="1"/>
  <c r="AF382" i="3" s="1"/>
  <c r="P382" i="3"/>
  <c r="CW392" i="3"/>
  <c r="CD393" i="3"/>
  <c r="CG393" i="3" s="1"/>
  <c r="CC393" i="3"/>
  <c r="BH392" i="3"/>
  <c r="BK392" i="3" s="1"/>
  <c r="AP393" i="3" s="1"/>
  <c r="BG392" i="3"/>
  <c r="BC392" i="3"/>
  <c r="K382" i="3"/>
  <c r="BO392" i="3" l="1"/>
  <c r="AD382" i="3"/>
  <c r="L382" i="3"/>
  <c r="BS392" i="3"/>
  <c r="BJ392" i="3"/>
  <c r="AO393" i="3" s="1"/>
  <c r="AQ393" i="3" s="1"/>
  <c r="BD392" i="3"/>
  <c r="CP393" i="3"/>
  <c r="CZ393" i="3" s="1"/>
  <c r="CJ393" i="3"/>
  <c r="CE393" i="3"/>
  <c r="CX393" i="3" l="1"/>
  <c r="CF393" i="3"/>
  <c r="BL392" i="3"/>
  <c r="BE392" i="3"/>
  <c r="BR392" i="3" s="1"/>
  <c r="AR393" i="3"/>
  <c r="N382" i="3"/>
  <c r="O382" i="3"/>
  <c r="Q382" i="3" l="1"/>
  <c r="R382" i="3" s="1"/>
  <c r="AT393" i="3"/>
  <c r="AW393" i="3" s="1"/>
  <c r="AS393" i="3"/>
  <c r="BM392" i="3"/>
  <c r="CH393" i="3"/>
  <c r="CI393" i="3"/>
  <c r="AU393" i="3" l="1"/>
  <c r="CK393" i="3"/>
  <c r="CL393" i="3" s="1"/>
  <c r="BF393" i="3"/>
  <c r="BP393" i="3" s="1"/>
  <c r="AZ393" i="3"/>
  <c r="X382" i="3"/>
  <c r="AA382" i="3" s="1"/>
  <c r="F383" i="3" s="1"/>
  <c r="W382" i="3"/>
  <c r="S382" i="3"/>
  <c r="T382" i="3" s="1"/>
  <c r="AB382" i="3" l="1"/>
  <c r="U382" i="3"/>
  <c r="AH382" i="3" s="1"/>
  <c r="Z382" i="3"/>
  <c r="E383" i="3" s="1"/>
  <c r="G383" i="3" s="1"/>
  <c r="AI382" i="3"/>
  <c r="AE382" i="3"/>
  <c r="CR393" i="3"/>
  <c r="CU393" i="3" s="1"/>
  <c r="BZ394" i="3" s="1"/>
  <c r="CQ393" i="3"/>
  <c r="CM393" i="3"/>
  <c r="BN393" i="3"/>
  <c r="AV393" i="3"/>
  <c r="CY393" i="3" l="1"/>
  <c r="CT393" i="3"/>
  <c r="BY394" i="3" s="1"/>
  <c r="CA394" i="3" s="1"/>
  <c r="DC393" i="3"/>
  <c r="CN393" i="3"/>
  <c r="AX393" i="3"/>
  <c r="AY393" i="3"/>
  <c r="H383" i="3"/>
  <c r="I383" i="3" s="1"/>
  <c r="AC382" i="3"/>
  <c r="P383" i="3" l="1"/>
  <c r="V383" i="3"/>
  <c r="AF383" i="3" s="1"/>
  <c r="BA393" i="3"/>
  <c r="BB393" i="3" s="1"/>
  <c r="J383" i="3"/>
  <c r="M383" i="3" s="1"/>
  <c r="CV393" i="3"/>
  <c r="CO393" i="3"/>
  <c r="DB393" i="3" s="1"/>
  <c r="CB394" i="3"/>
  <c r="CC394" i="3" s="1"/>
  <c r="CP394" i="3" l="1"/>
  <c r="CZ394" i="3" s="1"/>
  <c r="CJ394" i="3"/>
  <c r="CW393" i="3"/>
  <c r="CD394" i="3"/>
  <c r="CG394" i="3" s="1"/>
  <c r="CE394" i="3"/>
  <c r="K383" i="3"/>
  <c r="BH393" i="3"/>
  <c r="BK393" i="3" s="1"/>
  <c r="AP394" i="3" s="1"/>
  <c r="BG393" i="3"/>
  <c r="BC393" i="3"/>
  <c r="BO393" i="3" l="1"/>
  <c r="BS393" i="3"/>
  <c r="BJ393" i="3"/>
  <c r="AO394" i="3" s="1"/>
  <c r="AQ394" i="3" s="1"/>
  <c r="AD383" i="3"/>
  <c r="L383" i="3"/>
  <c r="BD393" i="3"/>
  <c r="CX394" i="3"/>
  <c r="CF394" i="3"/>
  <c r="CH394" i="3" l="1"/>
  <c r="CI394" i="3"/>
  <c r="BL393" i="3"/>
  <c r="BE393" i="3"/>
  <c r="BR393" i="3" s="1"/>
  <c r="N383" i="3"/>
  <c r="O383" i="3"/>
  <c r="AR394" i="3"/>
  <c r="AT394" i="3" l="1"/>
  <c r="AW394" i="3" s="1"/>
  <c r="AU394" i="3"/>
  <c r="AS394" i="3"/>
  <c r="Q383" i="3"/>
  <c r="R383" i="3" s="1"/>
  <c r="BM393" i="3"/>
  <c r="CK394" i="3"/>
  <c r="CL394" i="3" s="1"/>
  <c r="CR394" i="3" l="1"/>
  <c r="CU394" i="3" s="1"/>
  <c r="BZ395" i="3" s="1"/>
  <c r="CQ394" i="3"/>
  <c r="CM394" i="3"/>
  <c r="X383" i="3"/>
  <c r="AA383" i="3" s="1"/>
  <c r="F384" i="3" s="1"/>
  <c r="W383" i="3"/>
  <c r="S383" i="3"/>
  <c r="BF394" i="3"/>
  <c r="BP394" i="3" s="1"/>
  <c r="AZ394" i="3"/>
  <c r="BN394" i="3"/>
  <c r="AV394" i="3"/>
  <c r="AE383" i="3" l="1"/>
  <c r="T383" i="3"/>
  <c r="Z383" i="3"/>
  <c r="E384" i="3" s="1"/>
  <c r="G384" i="3" s="1"/>
  <c r="AI383" i="3"/>
  <c r="CY394" i="3"/>
  <c r="CN394" i="3"/>
  <c r="AX394" i="3"/>
  <c r="AY394" i="3"/>
  <c r="DC394" i="3"/>
  <c r="CT394" i="3"/>
  <c r="BY395" i="3" s="1"/>
  <c r="CA395" i="3" s="1"/>
  <c r="CV394" i="3" l="1"/>
  <c r="CO394" i="3"/>
  <c r="DB394" i="3" s="1"/>
  <c r="H384" i="3"/>
  <c r="I384" i="3"/>
  <c r="AB383" i="3"/>
  <c r="U383" i="3"/>
  <c r="AH383" i="3" s="1"/>
  <c r="BA394" i="3"/>
  <c r="BB394" i="3" s="1"/>
  <c r="CB395" i="3"/>
  <c r="CD395" i="3" l="1"/>
  <c r="CG395" i="3" s="1"/>
  <c r="CC395" i="3"/>
  <c r="AC383" i="3"/>
  <c r="BH394" i="3"/>
  <c r="BK394" i="3" s="1"/>
  <c r="AP395" i="3" s="1"/>
  <c r="BG394" i="3"/>
  <c r="BC394" i="3"/>
  <c r="P384" i="3"/>
  <c r="V384" i="3"/>
  <c r="AF384" i="3" s="1"/>
  <c r="J384" i="3"/>
  <c r="M384" i="3" s="1"/>
  <c r="CW394" i="3"/>
  <c r="BO394" i="3" l="1"/>
  <c r="BJ394" i="3"/>
  <c r="AO395" i="3" s="1"/>
  <c r="AQ395" i="3" s="1"/>
  <c r="BS394" i="3"/>
  <c r="BD394" i="3"/>
  <c r="CJ395" i="3"/>
  <c r="CP395" i="3"/>
  <c r="CZ395" i="3" s="1"/>
  <c r="CE395" i="3"/>
  <c r="K384" i="3"/>
  <c r="AD384" i="3" l="1"/>
  <c r="L384" i="3"/>
  <c r="CX395" i="3"/>
  <c r="CF395" i="3"/>
  <c r="BL394" i="3"/>
  <c r="BE394" i="3"/>
  <c r="BR394" i="3" s="1"/>
  <c r="AR395" i="3"/>
  <c r="BM394" i="3" l="1"/>
  <c r="AT395" i="3"/>
  <c r="AW395" i="3" s="1"/>
  <c r="AU395" i="3"/>
  <c r="AS395" i="3"/>
  <c r="CH395" i="3"/>
  <c r="CI395" i="3"/>
  <c r="N384" i="3"/>
  <c r="O384" i="3"/>
  <c r="Q384" i="3" l="1"/>
  <c r="R384" i="3" s="1"/>
  <c r="CK395" i="3"/>
  <c r="CL395" i="3" s="1"/>
  <c r="BF395" i="3"/>
  <c r="BP395" i="3" s="1"/>
  <c r="AZ395" i="3"/>
  <c r="BN395" i="3"/>
  <c r="AV395" i="3"/>
  <c r="AX395" i="3" l="1"/>
  <c r="AY395" i="3"/>
  <c r="CR395" i="3"/>
  <c r="CU395" i="3" s="1"/>
  <c r="BZ396" i="3" s="1"/>
  <c r="CQ395" i="3"/>
  <c r="CM395" i="3"/>
  <c r="X384" i="3"/>
  <c r="AA384" i="3" s="1"/>
  <c r="F385" i="3" s="1"/>
  <c r="W384" i="3"/>
  <c r="S384" i="3"/>
  <c r="AE384" i="3" s="1"/>
  <c r="T384" i="3" l="1"/>
  <c r="Z384" i="3"/>
  <c r="E385" i="3" s="1"/>
  <c r="G385" i="3" s="1"/>
  <c r="AI384" i="3"/>
  <c r="CY395" i="3"/>
  <c r="DC395" i="3"/>
  <c r="CT395" i="3"/>
  <c r="BY396" i="3" s="1"/>
  <c r="CA396" i="3" s="1"/>
  <c r="CN395" i="3"/>
  <c r="BA395" i="3"/>
  <c r="BB395" i="3" s="1"/>
  <c r="CB396" i="3" l="1"/>
  <c r="BH395" i="3"/>
  <c r="BK395" i="3" s="1"/>
  <c r="AP396" i="3" s="1"/>
  <c r="BG395" i="3"/>
  <c r="BC395" i="3"/>
  <c r="BD395" i="3" s="1"/>
  <c r="CV395" i="3"/>
  <c r="CO395" i="3"/>
  <c r="DB395" i="3" s="1"/>
  <c r="H385" i="3"/>
  <c r="AB384" i="3"/>
  <c r="AC384" i="3" s="1"/>
  <c r="U384" i="3"/>
  <c r="AH384" i="3" s="1"/>
  <c r="BL395" i="3" l="1"/>
  <c r="BE395" i="3"/>
  <c r="BR395" i="3" s="1"/>
  <c r="J385" i="3"/>
  <c r="M385" i="3" s="1"/>
  <c r="I385" i="3"/>
  <c r="CW395" i="3"/>
  <c r="BS395" i="3"/>
  <c r="BJ395" i="3"/>
  <c r="AO396" i="3" s="1"/>
  <c r="AQ396" i="3" s="1"/>
  <c r="BO395" i="3"/>
  <c r="CD396" i="3"/>
  <c r="CG396" i="3" s="1"/>
  <c r="CC396" i="3"/>
  <c r="AR396" i="3" l="1"/>
  <c r="V385" i="3"/>
  <c r="AF385" i="3" s="1"/>
  <c r="P385" i="3"/>
  <c r="CJ396" i="3"/>
  <c r="CP396" i="3"/>
  <c r="CZ396" i="3" s="1"/>
  <c r="K385" i="3"/>
  <c r="CE396" i="3"/>
  <c r="BM395" i="3"/>
  <c r="AD385" i="3" l="1"/>
  <c r="L385" i="3"/>
  <c r="CX396" i="3"/>
  <c r="CF396" i="3"/>
  <c r="AT396" i="3"/>
  <c r="AW396" i="3" s="1"/>
  <c r="AS396" i="3"/>
  <c r="BF396" i="3" l="1"/>
  <c r="BP396" i="3" s="1"/>
  <c r="AZ396" i="3"/>
  <c r="CH396" i="3"/>
  <c r="CI396" i="3"/>
  <c r="AU396" i="3"/>
  <c r="N385" i="3"/>
  <c r="O385" i="3"/>
  <c r="Q385" i="3" l="1"/>
  <c r="R385" i="3" s="1"/>
  <c r="BN396" i="3"/>
  <c r="AV396" i="3"/>
  <c r="CK396" i="3"/>
  <c r="CL396" i="3" s="1"/>
  <c r="AX396" i="3" l="1"/>
  <c r="AY396" i="3"/>
  <c r="CR396" i="3"/>
  <c r="CU396" i="3" s="1"/>
  <c r="BZ397" i="3" s="1"/>
  <c r="CQ396" i="3"/>
  <c r="CM396" i="3"/>
  <c r="CY396" i="3" s="1"/>
  <c r="X385" i="3"/>
  <c r="AA385" i="3" s="1"/>
  <c r="F386" i="3" s="1"/>
  <c r="W385" i="3"/>
  <c r="S385" i="3"/>
  <c r="AE385" i="3" s="1"/>
  <c r="Z385" i="3" l="1"/>
  <c r="E386" i="3" s="1"/>
  <c r="G386" i="3" s="1"/>
  <c r="AI385" i="3"/>
  <c r="T385" i="3"/>
  <c r="CT396" i="3"/>
  <c r="BY397" i="3" s="1"/>
  <c r="CA397" i="3" s="1"/>
  <c r="DC396" i="3"/>
  <c r="CN396" i="3"/>
  <c r="BA396" i="3"/>
  <c r="BB396" i="3" s="1"/>
  <c r="BH396" i="3" l="1"/>
  <c r="BK396" i="3" s="1"/>
  <c r="AP397" i="3" s="1"/>
  <c r="BG396" i="3"/>
  <c r="BC396" i="3"/>
  <c r="BD396" i="3" s="1"/>
  <c r="CV396" i="3"/>
  <c r="CW396" i="3" s="1"/>
  <c r="CO396" i="3"/>
  <c r="DB396" i="3" s="1"/>
  <c r="CB397" i="3"/>
  <c r="AB385" i="3"/>
  <c r="AC385" i="3" s="1"/>
  <c r="U385" i="3"/>
  <c r="AH385" i="3" s="1"/>
  <c r="H386" i="3"/>
  <c r="BL396" i="3" l="1"/>
  <c r="BM396" i="3" s="1"/>
  <c r="BE396" i="3"/>
  <c r="BR396" i="3" s="1"/>
  <c r="J386" i="3"/>
  <c r="M386" i="3" s="1"/>
  <c r="I386" i="3"/>
  <c r="CD397" i="3"/>
  <c r="CG397" i="3" s="1"/>
  <c r="CC397" i="3"/>
  <c r="BO396" i="3"/>
  <c r="BJ396" i="3"/>
  <c r="AO397" i="3" s="1"/>
  <c r="AQ397" i="3" s="1"/>
  <c r="BS396" i="3"/>
  <c r="CP397" i="3" l="1"/>
  <c r="CZ397" i="3" s="1"/>
  <c r="CJ397" i="3"/>
  <c r="V386" i="3"/>
  <c r="AF386" i="3" s="1"/>
  <c r="P386" i="3"/>
  <c r="K386" i="3"/>
  <c r="CE397" i="3"/>
  <c r="AR397" i="3"/>
  <c r="AS397" i="3" s="1"/>
  <c r="BF397" i="3" l="1"/>
  <c r="BP397" i="3" s="1"/>
  <c r="AZ397" i="3"/>
  <c r="AT397" i="3"/>
  <c r="AW397" i="3" s="1"/>
  <c r="AU397" i="3"/>
  <c r="BN397" i="3" s="1"/>
  <c r="CX397" i="3"/>
  <c r="CF397" i="3"/>
  <c r="AD386" i="3"/>
  <c r="L386" i="3"/>
  <c r="CH397" i="3" l="1"/>
  <c r="CI397" i="3"/>
  <c r="N386" i="3"/>
  <c r="O386" i="3"/>
  <c r="AV397" i="3"/>
  <c r="AX397" i="3" l="1"/>
  <c r="AY397" i="3"/>
  <c r="Q386" i="3"/>
  <c r="R386" i="3" s="1"/>
  <c r="CK397" i="3"/>
  <c r="CL397" i="3" s="1"/>
  <c r="BA397" i="3" l="1"/>
  <c r="BB397" i="3" s="1"/>
  <c r="CR397" i="3"/>
  <c r="CU397" i="3" s="1"/>
  <c r="BZ398" i="3" s="1"/>
  <c r="CQ397" i="3"/>
  <c r="CM397" i="3"/>
  <c r="CY397" i="3" s="1"/>
  <c r="X386" i="3"/>
  <c r="AA386" i="3" s="1"/>
  <c r="F387" i="3" s="1"/>
  <c r="W386" i="3"/>
  <c r="S386" i="3"/>
  <c r="AE386" i="3" s="1"/>
  <c r="Z386" i="3" l="1"/>
  <c r="E387" i="3" s="1"/>
  <c r="G387" i="3" s="1"/>
  <c r="AI386" i="3"/>
  <c r="T386" i="3"/>
  <c r="DC397" i="3"/>
  <c r="CT397" i="3"/>
  <c r="BY398" i="3" s="1"/>
  <c r="CA398" i="3" s="1"/>
  <c r="CN397" i="3"/>
  <c r="BH397" i="3"/>
  <c r="BK397" i="3" s="1"/>
  <c r="AP398" i="3" s="1"/>
  <c r="BG397" i="3"/>
  <c r="BC397" i="3"/>
  <c r="BO397" i="3" s="1"/>
  <c r="BD397" i="3" l="1"/>
  <c r="BS397" i="3"/>
  <c r="BJ397" i="3"/>
  <c r="AO398" i="3" s="1"/>
  <c r="AQ398" i="3" s="1"/>
  <c r="CB398" i="3"/>
  <c r="CC398" i="3" s="1"/>
  <c r="CV397" i="3"/>
  <c r="CW397" i="3" s="1"/>
  <c r="CO397" i="3"/>
  <c r="DB397" i="3" s="1"/>
  <c r="AB386" i="3"/>
  <c r="AC386" i="3" s="1"/>
  <c r="U386" i="3"/>
  <c r="AH386" i="3" s="1"/>
  <c r="H387" i="3"/>
  <c r="CJ398" i="3" l="1"/>
  <c r="CP398" i="3"/>
  <c r="CZ398" i="3" s="1"/>
  <c r="J387" i="3"/>
  <c r="M387" i="3" s="1"/>
  <c r="I387" i="3"/>
  <c r="CD398" i="3"/>
  <c r="CG398" i="3" s="1"/>
  <c r="AR398" i="3"/>
  <c r="BL397" i="3"/>
  <c r="BM397" i="3" s="1"/>
  <c r="BE397" i="3"/>
  <c r="BR397" i="3" s="1"/>
  <c r="V387" i="3" l="1"/>
  <c r="AF387" i="3" s="1"/>
  <c r="P387" i="3"/>
  <c r="AT398" i="3"/>
  <c r="AW398" i="3" s="1"/>
  <c r="AS398" i="3"/>
  <c r="CE398" i="3"/>
  <c r="K387" i="3"/>
  <c r="AD387" i="3" l="1"/>
  <c r="L387" i="3"/>
  <c r="AZ398" i="3"/>
  <c r="BF398" i="3"/>
  <c r="BP398" i="3" s="1"/>
  <c r="AU398" i="3"/>
  <c r="CX398" i="3"/>
  <c r="CF398" i="3"/>
  <c r="BN398" i="3" l="1"/>
  <c r="AV398" i="3"/>
  <c r="CH398" i="3"/>
  <c r="CI398" i="3"/>
  <c r="N387" i="3"/>
  <c r="O387" i="3"/>
  <c r="Q387" i="3" l="1"/>
  <c r="R387" i="3" s="1"/>
  <c r="CK398" i="3"/>
  <c r="CL398" i="3" s="1"/>
  <c r="AX398" i="3"/>
  <c r="AY398" i="3"/>
  <c r="BA398" i="3" l="1"/>
  <c r="BB398" i="3" s="1"/>
  <c r="CR398" i="3"/>
  <c r="CU398" i="3" s="1"/>
  <c r="BZ399" i="3" s="1"/>
  <c r="CQ398" i="3"/>
  <c r="CM398" i="3"/>
  <c r="CY398" i="3" s="1"/>
  <c r="X387" i="3"/>
  <c r="AA387" i="3" s="1"/>
  <c r="F388" i="3" s="1"/>
  <c r="W387" i="3"/>
  <c r="S387" i="3"/>
  <c r="AE387" i="3" s="1"/>
  <c r="DC398" i="3" l="1"/>
  <c r="CT398" i="3"/>
  <c r="BY399" i="3" s="1"/>
  <c r="CA399" i="3" s="1"/>
  <c r="AI387" i="3"/>
  <c r="Z387" i="3"/>
  <c r="E388" i="3" s="1"/>
  <c r="G388" i="3" s="1"/>
  <c r="T387" i="3"/>
  <c r="CN398" i="3"/>
  <c r="BH398" i="3"/>
  <c r="BK398" i="3" s="1"/>
  <c r="AP399" i="3" s="1"/>
  <c r="BG398" i="3"/>
  <c r="BC398" i="3"/>
  <c r="BO398" i="3" s="1"/>
  <c r="BS398" i="3" l="1"/>
  <c r="BJ398" i="3"/>
  <c r="AO399" i="3" s="1"/>
  <c r="AQ399" i="3" s="1"/>
  <c r="BD398" i="3"/>
  <c r="CV398" i="3"/>
  <c r="CW398" i="3" s="1"/>
  <c r="CO398" i="3"/>
  <c r="DB398" i="3" s="1"/>
  <c r="AB387" i="3"/>
  <c r="AC387" i="3" s="1"/>
  <c r="U387" i="3"/>
  <c r="AH387" i="3" s="1"/>
  <c r="H388" i="3"/>
  <c r="CB399" i="3"/>
  <c r="CC399" i="3" s="1"/>
  <c r="CJ399" i="3" l="1"/>
  <c r="CP399" i="3"/>
  <c r="CZ399" i="3" s="1"/>
  <c r="J388" i="3"/>
  <c r="M388" i="3" s="1"/>
  <c r="I388" i="3"/>
  <c r="CD399" i="3"/>
  <c r="CG399" i="3" s="1"/>
  <c r="BL398" i="3"/>
  <c r="BM398" i="3" s="1"/>
  <c r="BE398" i="3"/>
  <c r="BR398" i="3" s="1"/>
  <c r="AR399" i="3"/>
  <c r="AT399" i="3" l="1"/>
  <c r="AW399" i="3" s="1"/>
  <c r="AU399" i="3"/>
  <c r="BN399" i="3" s="1"/>
  <c r="CE399" i="3"/>
  <c r="P388" i="3"/>
  <c r="V388" i="3"/>
  <c r="AF388" i="3" s="1"/>
  <c r="K388" i="3"/>
  <c r="AS399" i="3"/>
  <c r="AD388" i="3" l="1"/>
  <c r="L388" i="3"/>
  <c r="CX399" i="3"/>
  <c r="CF399" i="3"/>
  <c r="BF399" i="3"/>
  <c r="BP399" i="3" s="1"/>
  <c r="AZ399" i="3"/>
  <c r="AV399" i="3"/>
  <c r="AX399" i="3" l="1"/>
  <c r="AY399" i="3"/>
  <c r="CH399" i="3"/>
  <c r="CI399" i="3"/>
  <c r="N388" i="3"/>
  <c r="O388" i="3"/>
  <c r="CK399" i="3" l="1"/>
  <c r="CL399" i="3" s="1"/>
  <c r="Q388" i="3"/>
  <c r="R388" i="3" s="1"/>
  <c r="BA399" i="3"/>
  <c r="BB399" i="3" s="1"/>
  <c r="BH399" i="3" l="1"/>
  <c r="BK399" i="3" s="1"/>
  <c r="AP400" i="3" s="1"/>
  <c r="BG399" i="3"/>
  <c r="BC399" i="3"/>
  <c r="BO399" i="3" s="1"/>
  <c r="X388" i="3"/>
  <c r="AA388" i="3" s="1"/>
  <c r="F389" i="3" s="1"/>
  <c r="W388" i="3"/>
  <c r="S388" i="3"/>
  <c r="AE388" i="3" s="1"/>
  <c r="CR399" i="3"/>
  <c r="CU399" i="3" s="1"/>
  <c r="BZ400" i="3" s="1"/>
  <c r="CQ399" i="3"/>
  <c r="CM399" i="3"/>
  <c r="CY399" i="3" s="1"/>
  <c r="T388" i="3" l="1"/>
  <c r="BD399" i="3"/>
  <c r="DC399" i="3"/>
  <c r="CT399" i="3"/>
  <c r="BY400" i="3" s="1"/>
  <c r="CA400" i="3" s="1"/>
  <c r="CN399" i="3"/>
  <c r="AI388" i="3"/>
  <c r="Z388" i="3"/>
  <c r="E389" i="3" s="1"/>
  <c r="G389" i="3" s="1"/>
  <c r="BJ399" i="3"/>
  <c r="AO400" i="3" s="1"/>
  <c r="AQ400" i="3" s="1"/>
  <c r="BS399" i="3"/>
  <c r="H389" i="3" l="1"/>
  <c r="I389" i="3"/>
  <c r="CV399" i="3"/>
  <c r="CW399" i="3" s="1"/>
  <c r="CO399" i="3"/>
  <c r="DB399" i="3" s="1"/>
  <c r="BL399" i="3"/>
  <c r="BM399" i="3" s="1"/>
  <c r="BE399" i="3"/>
  <c r="BR399" i="3" s="1"/>
  <c r="AR400" i="3"/>
  <c r="CB400" i="3"/>
  <c r="CC400" i="3" s="1"/>
  <c r="AB388" i="3"/>
  <c r="AC388" i="3" s="1"/>
  <c r="U388" i="3"/>
  <c r="AH388" i="3" s="1"/>
  <c r="CP400" i="3" l="1"/>
  <c r="CZ400" i="3" s="1"/>
  <c r="CJ400" i="3"/>
  <c r="P389" i="3"/>
  <c r="V389" i="3"/>
  <c r="AF389" i="3" s="1"/>
  <c r="CD400" i="3"/>
  <c r="CG400" i="3" s="1"/>
  <c r="AT400" i="3"/>
  <c r="AW400" i="3" s="1"/>
  <c r="AS400" i="3"/>
  <c r="J389" i="3"/>
  <c r="M389" i="3" s="1"/>
  <c r="CE400" i="3" l="1"/>
  <c r="K389" i="3"/>
  <c r="AU400" i="3"/>
  <c r="BF400" i="3"/>
  <c r="BP400" i="3" s="1"/>
  <c r="AZ400" i="3"/>
  <c r="BN400" i="3" l="1"/>
  <c r="AV400" i="3"/>
  <c r="AD389" i="3"/>
  <c r="L389" i="3"/>
  <c r="CX400" i="3"/>
  <c r="CF400" i="3"/>
  <c r="CH400" i="3" l="1"/>
  <c r="CI400" i="3"/>
  <c r="N389" i="3"/>
  <c r="O389" i="3"/>
  <c r="AX400" i="3"/>
  <c r="AY400" i="3"/>
  <c r="BA400" i="3" l="1"/>
  <c r="BB400" i="3" s="1"/>
  <c r="Q389" i="3"/>
  <c r="R389" i="3" s="1"/>
  <c r="CK400" i="3"/>
  <c r="CL400" i="3" s="1"/>
  <c r="CR400" i="3" l="1"/>
  <c r="CU400" i="3" s="1"/>
  <c r="BZ401" i="3" s="1"/>
  <c r="CQ400" i="3"/>
  <c r="CM400" i="3"/>
  <c r="CY400" i="3" s="1"/>
  <c r="X389" i="3"/>
  <c r="AA389" i="3" s="1"/>
  <c r="F390" i="3" s="1"/>
  <c r="W389" i="3"/>
  <c r="S389" i="3"/>
  <c r="AE389" i="3" s="1"/>
  <c r="BH400" i="3"/>
  <c r="BK400" i="3" s="1"/>
  <c r="AP401" i="3" s="1"/>
  <c r="BG400" i="3"/>
  <c r="BC400" i="3"/>
  <c r="BO400" i="3" s="1"/>
  <c r="BD400" i="3" l="1"/>
  <c r="AI389" i="3"/>
  <c r="Z389" i="3"/>
  <c r="E390" i="3" s="1"/>
  <c r="G390" i="3" s="1"/>
  <c r="CN400" i="3"/>
  <c r="BS400" i="3"/>
  <c r="BJ400" i="3"/>
  <c r="AO401" i="3" s="1"/>
  <c r="AQ401" i="3" s="1"/>
  <c r="T389" i="3"/>
  <c r="DC400" i="3"/>
  <c r="CT400" i="3"/>
  <c r="BY401" i="3" s="1"/>
  <c r="CA401" i="3" s="1"/>
  <c r="AB389" i="3" l="1"/>
  <c r="AC389" i="3" s="1"/>
  <c r="U389" i="3"/>
  <c r="AH389" i="3" s="1"/>
  <c r="CV400" i="3"/>
  <c r="CW400" i="3" s="1"/>
  <c r="CO400" i="3"/>
  <c r="DB400" i="3" s="1"/>
  <c r="CB401" i="3"/>
  <c r="AR401" i="3"/>
  <c r="H390" i="3"/>
  <c r="BL400" i="3"/>
  <c r="BM400" i="3" s="1"/>
  <c r="BE400" i="3"/>
  <c r="BR400" i="3" s="1"/>
  <c r="CD401" i="3" l="1"/>
  <c r="CG401" i="3" s="1"/>
  <c r="AT401" i="3"/>
  <c r="AW401" i="3" s="1"/>
  <c r="CC401" i="3"/>
  <c r="J390" i="3"/>
  <c r="M390" i="3" s="1"/>
  <c r="I390" i="3"/>
  <c r="AS401" i="3"/>
  <c r="V390" i="3" l="1"/>
  <c r="AF390" i="3" s="1"/>
  <c r="P390" i="3"/>
  <c r="CJ401" i="3"/>
  <c r="CP401" i="3"/>
  <c r="CZ401" i="3" s="1"/>
  <c r="BF401" i="3"/>
  <c r="BP401" i="3" s="1"/>
  <c r="AZ401" i="3"/>
  <c r="K390" i="3"/>
  <c r="AU401" i="3"/>
  <c r="CE401" i="3"/>
  <c r="CX401" i="3" l="1"/>
  <c r="CF401" i="3"/>
  <c r="AD390" i="3"/>
  <c r="L390" i="3"/>
  <c r="BN401" i="3"/>
  <c r="AV401" i="3"/>
  <c r="AX401" i="3" l="1"/>
  <c r="AY401" i="3"/>
  <c r="N390" i="3"/>
  <c r="O390" i="3"/>
  <c r="CH401" i="3"/>
  <c r="CI401" i="3"/>
  <c r="CK401" i="3" l="1"/>
  <c r="CL401" i="3" s="1"/>
  <c r="Q390" i="3"/>
  <c r="R390" i="3" s="1"/>
  <c r="BA401" i="3"/>
  <c r="BB401" i="3" s="1"/>
  <c r="BH401" i="3" l="1"/>
  <c r="BK401" i="3" s="1"/>
  <c r="AP402" i="3" s="1"/>
  <c r="BG401" i="3"/>
  <c r="BC401" i="3"/>
  <c r="BO401" i="3" s="1"/>
  <c r="X390" i="3"/>
  <c r="AA390" i="3" s="1"/>
  <c r="F391" i="3" s="1"/>
  <c r="W390" i="3"/>
  <c r="S390" i="3"/>
  <c r="AE390" i="3" s="1"/>
  <c r="CR401" i="3"/>
  <c r="CU401" i="3" s="1"/>
  <c r="BZ402" i="3" s="1"/>
  <c r="CQ401" i="3"/>
  <c r="CM401" i="3"/>
  <c r="CY401" i="3" s="1"/>
  <c r="CT401" i="3" l="1"/>
  <c r="BY402" i="3" s="1"/>
  <c r="CA402" i="3" s="1"/>
  <c r="DC401" i="3"/>
  <c r="CN401" i="3"/>
  <c r="T390" i="3"/>
  <c r="BD401" i="3"/>
  <c r="AI390" i="3"/>
  <c r="Z390" i="3"/>
  <c r="E391" i="3" s="1"/>
  <c r="G391" i="3" s="1"/>
  <c r="BS401" i="3"/>
  <c r="BJ401" i="3"/>
  <c r="AO402" i="3" s="1"/>
  <c r="AQ402" i="3" s="1"/>
  <c r="H391" i="3" l="1"/>
  <c r="AR402" i="3"/>
  <c r="AS402" i="3"/>
  <c r="BL401" i="3"/>
  <c r="BM401" i="3" s="1"/>
  <c r="BE401" i="3"/>
  <c r="BR401" i="3" s="1"/>
  <c r="AB390" i="3"/>
  <c r="AC390" i="3" s="1"/>
  <c r="U390" i="3"/>
  <c r="AH390" i="3" s="1"/>
  <c r="CV401" i="3"/>
  <c r="CW401" i="3" s="1"/>
  <c r="CO401" i="3"/>
  <c r="DB401" i="3" s="1"/>
  <c r="CB402" i="3"/>
  <c r="CD402" i="3" l="1"/>
  <c r="CG402" i="3" s="1"/>
  <c r="CC402" i="3"/>
  <c r="AZ402" i="3"/>
  <c r="BF402" i="3"/>
  <c r="BP402" i="3" s="1"/>
  <c r="AT402" i="3"/>
  <c r="AW402" i="3" s="1"/>
  <c r="AU402" i="3"/>
  <c r="BN402" i="3" s="1"/>
  <c r="J391" i="3"/>
  <c r="M391" i="3" s="1"/>
  <c r="I391" i="3"/>
  <c r="AV402" i="3" l="1"/>
  <c r="CP402" i="3"/>
  <c r="CZ402" i="3" s="1"/>
  <c r="CJ402" i="3"/>
  <c r="V391" i="3"/>
  <c r="AF391" i="3" s="1"/>
  <c r="P391" i="3"/>
  <c r="K391" i="3"/>
  <c r="CE402" i="3"/>
  <c r="CX402" i="3" l="1"/>
  <c r="CF402" i="3"/>
  <c r="AD391" i="3"/>
  <c r="L391" i="3"/>
  <c r="J34" i="3"/>
  <c r="AX402" i="3"/>
  <c r="AY402" i="3"/>
  <c r="CH402" i="3" l="1"/>
  <c r="CI402" i="3"/>
  <c r="BA402" i="3"/>
  <c r="BB402" i="3" s="1"/>
  <c r="N391" i="3"/>
  <c r="O391" i="3"/>
  <c r="Q391" i="3" l="1"/>
  <c r="R391" i="3" s="1"/>
  <c r="CK402" i="3"/>
  <c r="CL402" i="3" s="1"/>
  <c r="BH402" i="3"/>
  <c r="BK402" i="3" s="1"/>
  <c r="AP403" i="3" s="1"/>
  <c r="BG402" i="3"/>
  <c r="BC402" i="3"/>
  <c r="BO402" i="3" s="1"/>
  <c r="CR402" i="3" l="1"/>
  <c r="CU402" i="3" s="1"/>
  <c r="BZ403" i="3" s="1"/>
  <c r="CQ402" i="3"/>
  <c r="CM402" i="3"/>
  <c r="CY402" i="3" s="1"/>
  <c r="BS402" i="3"/>
  <c r="BJ402" i="3"/>
  <c r="AO403" i="3" s="1"/>
  <c r="AQ403" i="3" s="1"/>
  <c r="BD402" i="3"/>
  <c r="X391" i="3"/>
  <c r="AA391" i="3" s="1"/>
  <c r="W391" i="3"/>
  <c r="S391" i="3"/>
  <c r="AE391" i="3" s="1"/>
  <c r="F45" i="5" l="1"/>
  <c r="F392" i="3"/>
  <c r="C34" i="3"/>
  <c r="BL402" i="3"/>
  <c r="BM402" i="3" s="1"/>
  <c r="BE402" i="3"/>
  <c r="BR402" i="3" s="1"/>
  <c r="CN402" i="3"/>
  <c r="Y391" i="3"/>
  <c r="AI391" i="3"/>
  <c r="T391" i="3"/>
  <c r="AR403" i="3"/>
  <c r="CT402" i="3"/>
  <c r="BY403" i="3" s="1"/>
  <c r="CA403" i="3" s="1"/>
  <c r="DC402" i="3"/>
  <c r="CB403" i="3" l="1"/>
  <c r="AT403" i="3"/>
  <c r="AW403" i="3" s="1"/>
  <c r="AU403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CV402" i="3"/>
  <c r="CW402" i="3" s="1"/>
  <c r="CO402" i="3"/>
  <c r="DB402" i="3" s="1"/>
  <c r="AB391" i="3"/>
  <c r="AC391" i="3" s="1"/>
  <c r="U391" i="3"/>
  <c r="AH391" i="3" s="1"/>
  <c r="AS403" i="3"/>
  <c r="I34" i="3"/>
  <c r="AG391" i="3"/>
  <c r="AG392" i="3" s="1"/>
  <c r="AG393" i="3" s="1"/>
  <c r="AG394" i="3" s="1"/>
  <c r="AG395" i="3" s="1"/>
  <c r="AG396" i="3" s="1"/>
  <c r="AG397" i="3" s="1"/>
  <c r="AG398" i="3" s="1"/>
  <c r="AG399" i="3" s="1"/>
  <c r="AG400" i="3" s="1"/>
  <c r="AG401" i="3" s="1"/>
  <c r="AG402" i="3" s="1"/>
  <c r="Z391" i="3"/>
  <c r="BF403" i="3" l="1"/>
  <c r="BP403" i="3" s="1"/>
  <c r="AZ403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BN403" i="3"/>
  <c r="AV403" i="3"/>
  <c r="CD403" i="3"/>
  <c r="CG403" i="3" s="1"/>
  <c r="AE6" i="3"/>
  <c r="AE7" i="3"/>
  <c r="AE8" i="3"/>
  <c r="AE9" i="3"/>
  <c r="AE10" i="3"/>
  <c r="AE11" i="3"/>
  <c r="AE12" i="3"/>
  <c r="AE13" i="3"/>
  <c r="AE14" i="3"/>
  <c r="AE15" i="3"/>
  <c r="AE16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B45" i="5"/>
  <c r="E392" i="3"/>
  <c r="G392" i="3" s="1"/>
  <c r="B34" i="3"/>
  <c r="D34" i="3" s="1"/>
  <c r="CC403" i="3"/>
  <c r="CE403" i="3" l="1"/>
  <c r="AX403" i="3"/>
  <c r="AY403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CJ403" i="3"/>
  <c r="CP403" i="3"/>
  <c r="CZ403" i="3" s="1"/>
  <c r="E9" i="5"/>
  <c r="G9" i="5"/>
  <c r="W35" i="3"/>
  <c r="H392" i="3"/>
  <c r="BA403" i="3" l="1"/>
  <c r="BB403" i="3" s="1"/>
  <c r="G10" i="5"/>
  <c r="AJ35" i="3"/>
  <c r="J392" i="3"/>
  <c r="M392" i="3" s="1"/>
  <c r="K392" i="3"/>
  <c r="I392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CX403" i="3"/>
  <c r="CF403" i="3"/>
  <c r="V392" i="3" l="1"/>
  <c r="AF392" i="3" s="1"/>
  <c r="P392" i="3"/>
  <c r="E10" i="5"/>
  <c r="CH403" i="3"/>
  <c r="CI403" i="3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AF28" i="3"/>
  <c r="AF29" i="3"/>
  <c r="AF30" i="3"/>
  <c r="AF31" i="3"/>
  <c r="AF32" i="3"/>
  <c r="AF33" i="3"/>
  <c r="AF34" i="3"/>
  <c r="AF35" i="3"/>
  <c r="AD392" i="3"/>
  <c r="L392" i="3"/>
  <c r="BH403" i="3"/>
  <c r="BK403" i="3" s="1"/>
  <c r="P35" i="3" s="1"/>
  <c r="BG403" i="3"/>
  <c r="BC403" i="3"/>
  <c r="BD403" i="3" s="1"/>
  <c r="BL403" i="3" l="1"/>
  <c r="BE403" i="3"/>
  <c r="BR403" i="3" s="1"/>
  <c r="CK403" i="3"/>
  <c r="CL403" i="3" s="1"/>
  <c r="BS403" i="3"/>
  <c r="B9" i="5" s="1"/>
  <c r="C9" i="5" s="1"/>
  <c r="BI403" i="3"/>
  <c r="N392" i="3"/>
  <c r="O392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BO403" i="3"/>
  <c r="V35" i="3" l="1"/>
  <c r="BQ403" i="3"/>
  <c r="BJ403" i="3"/>
  <c r="F9" i="5"/>
  <c r="G46" i="5"/>
  <c r="D9" i="5"/>
  <c r="CR403" i="3"/>
  <c r="CU403" i="3" s="1"/>
  <c r="AC35" i="3" s="1"/>
  <c r="CQ403" i="3"/>
  <c r="CM403" i="3"/>
  <c r="Q392" i="3"/>
  <c r="R392" i="3" s="1"/>
  <c r="X6" i="3"/>
  <c r="Y6" i="3" s="1"/>
  <c r="X7" i="3"/>
  <c r="Y7" i="3" s="1"/>
  <c r="X8" i="3"/>
  <c r="Y8" i="3" s="1"/>
  <c r="X9" i="3"/>
  <c r="Y9" i="3" s="1"/>
  <c r="X10" i="3"/>
  <c r="Y10" i="3" s="1"/>
  <c r="X11" i="3"/>
  <c r="Y11" i="3" s="1"/>
  <c r="X12" i="3"/>
  <c r="Y12" i="3" s="1"/>
  <c r="X13" i="3"/>
  <c r="Y13" i="3" s="1"/>
  <c r="X14" i="3"/>
  <c r="Y14" i="3" s="1"/>
  <c r="X15" i="3"/>
  <c r="Y15" i="3" s="1"/>
  <c r="X16" i="3"/>
  <c r="Y16" i="3" s="1"/>
  <c r="X17" i="3"/>
  <c r="Y17" i="3" s="1"/>
  <c r="X18" i="3"/>
  <c r="Y18" i="3" s="1"/>
  <c r="X19" i="3"/>
  <c r="Y19" i="3" s="1"/>
  <c r="X20" i="3"/>
  <c r="Y20" i="3" s="1"/>
  <c r="X21" i="3"/>
  <c r="Y21" i="3" s="1"/>
  <c r="X22" i="3"/>
  <c r="Y22" i="3" s="1"/>
  <c r="X23" i="3"/>
  <c r="Y23" i="3" s="1"/>
  <c r="X24" i="3"/>
  <c r="Y24" i="3" s="1"/>
  <c r="X25" i="3"/>
  <c r="Y25" i="3" s="1"/>
  <c r="X26" i="3"/>
  <c r="Y26" i="3" s="1"/>
  <c r="X27" i="3"/>
  <c r="Y27" i="3" s="1"/>
  <c r="X28" i="3"/>
  <c r="Y28" i="3" s="1"/>
  <c r="X29" i="3"/>
  <c r="Y29" i="3" s="1"/>
  <c r="X30" i="3"/>
  <c r="Y30" i="3" s="1"/>
  <c r="X31" i="3"/>
  <c r="Y31" i="3" s="1"/>
  <c r="X32" i="3"/>
  <c r="Y32" i="3" s="1"/>
  <c r="X33" i="3"/>
  <c r="Y33" i="3" s="1"/>
  <c r="X34" i="3"/>
  <c r="Y34" i="3" s="1"/>
  <c r="X35" i="3"/>
  <c r="Y35" i="3" s="1"/>
  <c r="BM403" i="3"/>
  <c r="X392" i="3" l="1"/>
  <c r="AA392" i="3" s="1"/>
  <c r="F393" i="3" s="1"/>
  <c r="W392" i="3"/>
  <c r="S392" i="3"/>
  <c r="AH6" i="3"/>
  <c r="AH7" i="3"/>
  <c r="AH8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2" i="3"/>
  <c r="AH33" i="3"/>
  <c r="AH34" i="3"/>
  <c r="AH35" i="3"/>
  <c r="CY403" i="3"/>
  <c r="DC403" i="3"/>
  <c r="B10" i="5" s="1"/>
  <c r="CS403" i="3"/>
  <c r="CT403" i="3"/>
  <c r="CN403" i="3"/>
  <c r="L9" i="5"/>
  <c r="C46" i="5"/>
  <c r="O35" i="3"/>
  <c r="Q35" i="3" s="1"/>
  <c r="L10" i="5" l="1"/>
  <c r="D46" i="5"/>
  <c r="AB35" i="3"/>
  <c r="AD35" i="3" s="1"/>
  <c r="AI35" i="3"/>
  <c r="DA403" i="3"/>
  <c r="AE392" i="3"/>
  <c r="CV403" i="3"/>
  <c r="CO403" i="3"/>
  <c r="DB403" i="3" s="1"/>
  <c r="C10" i="5"/>
  <c r="F10" i="5"/>
  <c r="H46" i="5"/>
  <c r="D10" i="5"/>
  <c r="Z392" i="3"/>
  <c r="E393" i="3" s="1"/>
  <c r="G393" i="3" s="1"/>
  <c r="AI392" i="3"/>
  <c r="T392" i="3"/>
  <c r="H393" i="3" l="1"/>
  <c r="AK6" i="3"/>
  <c r="AL6" i="3" s="1"/>
  <c r="AK7" i="3"/>
  <c r="AL7" i="3" s="1"/>
  <c r="AK8" i="3"/>
  <c r="AL8" i="3" s="1"/>
  <c r="AK9" i="3"/>
  <c r="AL9" i="3" s="1"/>
  <c r="AK10" i="3"/>
  <c r="AL10" i="3" s="1"/>
  <c r="AK11" i="3"/>
  <c r="AL11" i="3" s="1"/>
  <c r="AK12" i="3"/>
  <c r="AL12" i="3" s="1"/>
  <c r="AK13" i="3"/>
  <c r="AL13" i="3" s="1"/>
  <c r="AK14" i="3"/>
  <c r="AL14" i="3" s="1"/>
  <c r="AK15" i="3"/>
  <c r="AL15" i="3" s="1"/>
  <c r="AK16" i="3"/>
  <c r="AL16" i="3" s="1"/>
  <c r="AK17" i="3"/>
  <c r="AL17" i="3" s="1"/>
  <c r="AK18" i="3"/>
  <c r="AL18" i="3" s="1"/>
  <c r="AK19" i="3"/>
  <c r="AL19" i="3" s="1"/>
  <c r="AK20" i="3"/>
  <c r="AL20" i="3" s="1"/>
  <c r="AK21" i="3"/>
  <c r="AL21" i="3" s="1"/>
  <c r="AK22" i="3"/>
  <c r="AL22" i="3" s="1"/>
  <c r="AK23" i="3"/>
  <c r="AL23" i="3" s="1"/>
  <c r="AK24" i="3"/>
  <c r="AL24" i="3" s="1"/>
  <c r="AK25" i="3"/>
  <c r="AL25" i="3" s="1"/>
  <c r="AK26" i="3"/>
  <c r="AL26" i="3" s="1"/>
  <c r="AK27" i="3"/>
  <c r="AL27" i="3" s="1"/>
  <c r="AK28" i="3"/>
  <c r="AL28" i="3" s="1"/>
  <c r="AK29" i="3"/>
  <c r="AL29" i="3" s="1"/>
  <c r="AK30" i="3"/>
  <c r="AL30" i="3" s="1"/>
  <c r="AK31" i="3"/>
  <c r="AL31" i="3" s="1"/>
  <c r="AK32" i="3"/>
  <c r="AL32" i="3" s="1"/>
  <c r="AK33" i="3"/>
  <c r="AL33" i="3" s="1"/>
  <c r="AK34" i="3"/>
  <c r="AL34" i="3" s="1"/>
  <c r="AK35" i="3"/>
  <c r="AL35" i="3" s="1"/>
  <c r="CW403" i="3"/>
  <c r="AB392" i="3"/>
  <c r="U392" i="3"/>
  <c r="AH392" i="3" s="1"/>
  <c r="J393" i="3" l="1"/>
  <c r="M393" i="3" s="1"/>
  <c r="AC392" i="3"/>
  <c r="I393" i="3"/>
  <c r="P393" i="3" l="1"/>
  <c r="V393" i="3"/>
  <c r="AF393" i="3" s="1"/>
  <c r="K393" i="3"/>
  <c r="AD393" i="3" l="1"/>
  <c r="L393" i="3"/>
  <c r="N393" i="3" l="1"/>
  <c r="O393" i="3"/>
  <c r="Q393" i="3" l="1"/>
  <c r="R393" i="3" s="1"/>
  <c r="X393" i="3" l="1"/>
  <c r="AA393" i="3" s="1"/>
  <c r="F394" i="3" s="1"/>
  <c r="W393" i="3"/>
  <c r="S393" i="3"/>
  <c r="AE393" i="3" l="1"/>
  <c r="T393" i="3"/>
  <c r="AI393" i="3"/>
  <c r="Z393" i="3"/>
  <c r="E394" i="3" s="1"/>
  <c r="G394" i="3" s="1"/>
  <c r="AB393" i="3" l="1"/>
  <c r="U393" i="3"/>
  <c r="AH393" i="3" s="1"/>
  <c r="H394" i="3"/>
  <c r="I394" i="3" s="1"/>
  <c r="P394" i="3" l="1"/>
  <c r="V394" i="3"/>
  <c r="AF394" i="3" s="1"/>
  <c r="J394" i="3"/>
  <c r="M394" i="3" s="1"/>
  <c r="AC393" i="3"/>
  <c r="K394" i="3" l="1"/>
  <c r="AD394" i="3" l="1"/>
  <c r="L394" i="3"/>
  <c r="N394" i="3" l="1"/>
  <c r="O394" i="3"/>
  <c r="Q394" i="3" l="1"/>
  <c r="R394" i="3" s="1"/>
  <c r="X394" i="3" l="1"/>
  <c r="AA394" i="3" s="1"/>
  <c r="F395" i="3" s="1"/>
  <c r="W394" i="3"/>
  <c r="S394" i="3"/>
  <c r="AE394" i="3" l="1"/>
  <c r="T394" i="3"/>
  <c r="Z394" i="3"/>
  <c r="E395" i="3" s="1"/>
  <c r="G395" i="3" s="1"/>
  <c r="AI394" i="3"/>
  <c r="AB394" i="3" l="1"/>
  <c r="U394" i="3"/>
  <c r="AH394" i="3" s="1"/>
  <c r="H395" i="3"/>
  <c r="I395" i="3" s="1"/>
  <c r="V395" i="3" l="1"/>
  <c r="AF395" i="3" s="1"/>
  <c r="P395" i="3"/>
  <c r="J395" i="3"/>
  <c r="M395" i="3" s="1"/>
  <c r="AC394" i="3"/>
  <c r="K395" i="3" l="1"/>
  <c r="AD395" i="3" l="1"/>
  <c r="L395" i="3"/>
  <c r="N395" i="3" l="1"/>
  <c r="O395" i="3"/>
  <c r="Q395" i="3" l="1"/>
  <c r="R395" i="3" s="1"/>
  <c r="X395" i="3" l="1"/>
  <c r="AA395" i="3" s="1"/>
  <c r="F396" i="3" s="1"/>
  <c r="W395" i="3"/>
  <c r="S395" i="3"/>
  <c r="AI395" i="3" l="1"/>
  <c r="Z395" i="3"/>
  <c r="E396" i="3" s="1"/>
  <c r="G396" i="3" s="1"/>
  <c r="AE395" i="3"/>
  <c r="T395" i="3"/>
  <c r="AB395" i="3" l="1"/>
  <c r="U395" i="3"/>
  <c r="AH395" i="3" s="1"/>
  <c r="H396" i="3"/>
  <c r="J396" i="3" l="1"/>
  <c r="M396" i="3" s="1"/>
  <c r="I396" i="3"/>
  <c r="AC395" i="3"/>
  <c r="P396" i="3" l="1"/>
  <c r="V396" i="3"/>
  <c r="AF396" i="3" s="1"/>
  <c r="K396" i="3"/>
  <c r="AD396" i="3" l="1"/>
  <c r="L396" i="3"/>
  <c r="N396" i="3" l="1"/>
  <c r="O396" i="3"/>
  <c r="Q396" i="3" l="1"/>
  <c r="R396" i="3" s="1"/>
  <c r="X396" i="3" l="1"/>
  <c r="AA396" i="3" s="1"/>
  <c r="F397" i="3" s="1"/>
  <c r="W396" i="3"/>
  <c r="S396" i="3"/>
  <c r="AE396" i="3" s="1"/>
  <c r="T396" i="3" l="1"/>
  <c r="AI396" i="3"/>
  <c r="Z396" i="3"/>
  <c r="E397" i="3" s="1"/>
  <c r="G397" i="3" s="1"/>
  <c r="H397" i="3" l="1"/>
  <c r="I397" i="3"/>
  <c r="AB396" i="3"/>
  <c r="AC396" i="3" s="1"/>
  <c r="U396" i="3"/>
  <c r="AH396" i="3" s="1"/>
  <c r="P397" i="3" l="1"/>
  <c r="V397" i="3"/>
  <c r="AF397" i="3" s="1"/>
  <c r="J397" i="3"/>
  <c r="M397" i="3" s="1"/>
  <c r="K397" i="3" l="1"/>
  <c r="AD397" i="3" l="1"/>
  <c r="L397" i="3"/>
  <c r="N397" i="3" l="1"/>
  <c r="O397" i="3"/>
  <c r="Q397" i="3" l="1"/>
  <c r="R397" i="3" s="1"/>
  <c r="X397" i="3" l="1"/>
  <c r="AA397" i="3" s="1"/>
  <c r="F398" i="3" s="1"/>
  <c r="W397" i="3"/>
  <c r="S397" i="3"/>
  <c r="AE397" i="3" s="1"/>
  <c r="Z397" i="3" l="1"/>
  <c r="E398" i="3" s="1"/>
  <c r="G398" i="3" s="1"/>
  <c r="AI397" i="3"/>
  <c r="T397" i="3"/>
  <c r="AB397" i="3" l="1"/>
  <c r="AC397" i="3" s="1"/>
  <c r="U397" i="3"/>
  <c r="AH397" i="3" s="1"/>
  <c r="H398" i="3"/>
  <c r="J398" i="3" l="1"/>
  <c r="M398" i="3" s="1"/>
  <c r="I398" i="3"/>
  <c r="V398" i="3" l="1"/>
  <c r="AF398" i="3" s="1"/>
  <c r="P398" i="3"/>
  <c r="K398" i="3"/>
  <c r="AD398" i="3" l="1"/>
  <c r="L398" i="3"/>
  <c r="N398" i="3" l="1"/>
  <c r="O398" i="3"/>
  <c r="Q398" i="3" l="1"/>
  <c r="R398" i="3" s="1"/>
  <c r="X398" i="3" l="1"/>
  <c r="AA398" i="3" s="1"/>
  <c r="F399" i="3" s="1"/>
  <c r="W398" i="3"/>
  <c r="S398" i="3"/>
  <c r="AE398" i="3" s="1"/>
  <c r="AI398" i="3" l="1"/>
  <c r="Z398" i="3"/>
  <c r="E399" i="3" s="1"/>
  <c r="G399" i="3" s="1"/>
  <c r="T398" i="3"/>
  <c r="AB398" i="3" l="1"/>
  <c r="AC398" i="3" s="1"/>
  <c r="U398" i="3"/>
  <c r="AH398" i="3" s="1"/>
  <c r="H399" i="3"/>
  <c r="J399" i="3" l="1"/>
  <c r="M399" i="3" s="1"/>
  <c r="I399" i="3"/>
  <c r="V399" i="3" l="1"/>
  <c r="AF399" i="3" s="1"/>
  <c r="P399" i="3"/>
  <c r="K399" i="3"/>
  <c r="AD399" i="3" l="1"/>
  <c r="L399" i="3"/>
  <c r="N399" i="3" l="1"/>
  <c r="O399" i="3"/>
  <c r="Q399" i="3" l="1"/>
  <c r="R399" i="3" s="1"/>
  <c r="X399" i="3" l="1"/>
  <c r="AA399" i="3" s="1"/>
  <c r="F400" i="3" s="1"/>
  <c r="W399" i="3"/>
  <c r="S399" i="3"/>
  <c r="AE399" i="3" s="1"/>
  <c r="T399" i="3" l="1"/>
  <c r="AI399" i="3"/>
  <c r="Z399" i="3"/>
  <c r="E400" i="3" s="1"/>
  <c r="G400" i="3" s="1"/>
  <c r="H400" i="3" l="1"/>
  <c r="AB399" i="3"/>
  <c r="AC399" i="3" s="1"/>
  <c r="U399" i="3"/>
  <c r="AH399" i="3" s="1"/>
  <c r="J400" i="3" l="1"/>
  <c r="M400" i="3" s="1"/>
  <c r="I400" i="3"/>
  <c r="V400" i="3" l="1"/>
  <c r="AF400" i="3" s="1"/>
  <c r="P400" i="3"/>
  <c r="K400" i="3"/>
  <c r="AD400" i="3" l="1"/>
  <c r="L400" i="3"/>
  <c r="N400" i="3" l="1"/>
  <c r="O400" i="3"/>
  <c r="Q400" i="3" l="1"/>
  <c r="R400" i="3" s="1"/>
  <c r="X400" i="3" l="1"/>
  <c r="AA400" i="3" s="1"/>
  <c r="F401" i="3" s="1"/>
  <c r="W400" i="3"/>
  <c r="S400" i="3"/>
  <c r="AE400" i="3" s="1"/>
  <c r="Z400" i="3" l="1"/>
  <c r="E401" i="3" s="1"/>
  <c r="G401" i="3" s="1"/>
  <c r="AI400" i="3"/>
  <c r="T400" i="3"/>
  <c r="AB400" i="3" l="1"/>
  <c r="AC400" i="3" s="1"/>
  <c r="U400" i="3"/>
  <c r="AH400" i="3" s="1"/>
  <c r="H401" i="3"/>
  <c r="J401" i="3" l="1"/>
  <c r="M401" i="3" s="1"/>
  <c r="I401" i="3"/>
  <c r="P401" i="3" l="1"/>
  <c r="V401" i="3"/>
  <c r="AF401" i="3" s="1"/>
  <c r="K401" i="3"/>
  <c r="AD401" i="3" l="1"/>
  <c r="L401" i="3"/>
  <c r="N401" i="3" l="1"/>
  <c r="O401" i="3"/>
  <c r="Q401" i="3" l="1"/>
  <c r="R401" i="3" s="1"/>
  <c r="X401" i="3" l="1"/>
  <c r="AA401" i="3" s="1"/>
  <c r="F402" i="3" s="1"/>
  <c r="W401" i="3"/>
  <c r="S401" i="3"/>
  <c r="AE401" i="3" s="1"/>
  <c r="AI401" i="3" l="1"/>
  <c r="Z401" i="3"/>
  <c r="E402" i="3" s="1"/>
  <c r="G402" i="3" s="1"/>
  <c r="T401" i="3"/>
  <c r="AB401" i="3" l="1"/>
  <c r="AC401" i="3" s="1"/>
  <c r="U401" i="3"/>
  <c r="AH401" i="3" s="1"/>
  <c r="H402" i="3"/>
  <c r="J402" i="3" l="1"/>
  <c r="M402" i="3" s="1"/>
  <c r="I402" i="3"/>
  <c r="V402" i="3" l="1"/>
  <c r="AF402" i="3" s="1"/>
  <c r="P402" i="3"/>
  <c r="K402" i="3"/>
  <c r="AD402" i="3" l="1"/>
  <c r="L402" i="3"/>
  <c r="N402" i="3" l="1"/>
  <c r="O402" i="3"/>
  <c r="Q402" i="3" l="1"/>
  <c r="R402" i="3" s="1"/>
  <c r="X402" i="3" l="1"/>
  <c r="AA402" i="3" s="1"/>
  <c r="F403" i="3" s="1"/>
  <c r="W402" i="3"/>
  <c r="S402" i="3"/>
  <c r="AE402" i="3" s="1"/>
  <c r="Z402" i="3" l="1"/>
  <c r="E403" i="3" s="1"/>
  <c r="G403" i="3" s="1"/>
  <c r="AI402" i="3"/>
  <c r="T402" i="3"/>
  <c r="AB402" i="3" l="1"/>
  <c r="AC402" i="3" s="1"/>
  <c r="U402" i="3"/>
  <c r="AH402" i="3" s="1"/>
  <c r="H403" i="3"/>
  <c r="J403" i="3" l="1"/>
  <c r="M403" i="3" s="1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I403" i="3"/>
  <c r="V403" i="3" l="1"/>
  <c r="AF403" i="3" s="1"/>
  <c r="P403" i="3"/>
  <c r="K403" i="3"/>
  <c r="G6" i="3" l="1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AD403" i="3"/>
  <c r="L403" i="3"/>
  <c r="G8" i="5"/>
  <c r="J35" i="3"/>
  <c r="E8" i="5" l="1"/>
  <c r="N403" i="3"/>
  <c r="O403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Q403" i="3" l="1"/>
  <c r="R403" i="3" s="1"/>
  <c r="X403" i="3" l="1"/>
  <c r="AA403" i="3" s="1"/>
  <c r="C35" i="3" s="1"/>
  <c r="W403" i="3"/>
  <c r="S403" i="3"/>
  <c r="T403" i="3" s="1"/>
  <c r="AB403" i="3" l="1"/>
  <c r="U403" i="3"/>
  <c r="AH403" i="3" s="1"/>
  <c r="Y403" i="3"/>
  <c r="Z403" i="3" s="1"/>
  <c r="AI403" i="3"/>
  <c r="B8" i="5" s="1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AE403" i="3"/>
  <c r="L8" i="5" l="1"/>
  <c r="B46" i="5"/>
  <c r="B35" i="3"/>
  <c r="D35" i="3" s="1"/>
  <c r="C8" i="5"/>
  <c r="B13" i="5"/>
  <c r="C13" i="5" s="1"/>
  <c r="I35" i="3"/>
  <c r="AG403" i="3"/>
  <c r="F8" i="5"/>
  <c r="D8" i="5"/>
  <c r="F46" i="5"/>
  <c r="K6" i="3"/>
  <c r="L6" i="3" s="1"/>
  <c r="K7" i="3"/>
  <c r="L7" i="3" s="1"/>
  <c r="K8" i="3"/>
  <c r="L8" i="3" s="1"/>
  <c r="K9" i="3"/>
  <c r="L9" i="3" s="1"/>
  <c r="K10" i="3"/>
  <c r="L10" i="3" s="1"/>
  <c r="K11" i="3"/>
  <c r="L11" i="3" s="1"/>
  <c r="K12" i="3"/>
  <c r="L12" i="3" s="1"/>
  <c r="K13" i="3"/>
  <c r="L13" i="3" s="1"/>
  <c r="K14" i="3"/>
  <c r="L14" i="3" s="1"/>
  <c r="K15" i="3"/>
  <c r="L15" i="3" s="1"/>
  <c r="K16" i="3"/>
  <c r="L16" i="3" s="1"/>
  <c r="K17" i="3"/>
  <c r="L17" i="3" s="1"/>
  <c r="K18" i="3"/>
  <c r="L18" i="3" s="1"/>
  <c r="K19" i="3"/>
  <c r="L19" i="3" s="1"/>
  <c r="K20" i="3"/>
  <c r="L20" i="3" s="1"/>
  <c r="K21" i="3"/>
  <c r="L21" i="3" s="1"/>
  <c r="K22" i="3"/>
  <c r="L22" i="3" s="1"/>
  <c r="K23" i="3"/>
  <c r="L23" i="3" s="1"/>
  <c r="K24" i="3"/>
  <c r="L24" i="3" s="1"/>
  <c r="K25" i="3"/>
  <c r="L25" i="3" s="1"/>
  <c r="K26" i="3"/>
  <c r="L26" i="3" s="1"/>
  <c r="K27" i="3"/>
  <c r="L27" i="3" s="1"/>
  <c r="K28" i="3"/>
  <c r="L28" i="3" s="1"/>
  <c r="K29" i="3"/>
  <c r="L29" i="3" s="1"/>
  <c r="K30" i="3"/>
  <c r="L30" i="3" s="1"/>
  <c r="K31" i="3"/>
  <c r="L31" i="3" s="1"/>
  <c r="K32" i="3"/>
  <c r="L32" i="3" s="1"/>
  <c r="K33" i="3"/>
  <c r="L33" i="3" s="1"/>
  <c r="K34" i="3"/>
  <c r="L34" i="3" s="1"/>
  <c r="K35" i="3"/>
  <c r="L35" i="3" s="1"/>
  <c r="AC403" i="3"/>
</calcChain>
</file>

<file path=xl/sharedStrings.xml><?xml version="1.0" encoding="utf-8"?>
<sst xmlns="http://schemas.openxmlformats.org/spreadsheetml/2006/main" count="341" uniqueCount="179">
  <si>
    <t>Dividendo mensile: rendita o capitale che torna indietro? Il caso di Renata (caso inventato e illustrativo)</t>
  </si>
  <si>
    <t>Caso inventato e illustrativo, non è consulenza e non è una previsione. Fotografia di ottobre 2026, regole fiscali di oggi. Prima di decidere fai i conti sul tuo caso e parlane con professionisti abilitati.</t>
  </si>
  <si>
    <t>Indice</t>
  </si>
  <si>
    <t>0 - Indice</t>
  </si>
  <si>
    <t>Questo indice</t>
  </si>
  <si>
    <t>1 - Input</t>
  </si>
  <si>
    <t>Il caso di Renata e le ipotesi (celle gialle): capitale, spesa, distribuzione, quota Q, fisco, scenario</t>
  </si>
  <si>
    <t>2 - Distribuzione</t>
  </si>
  <si>
    <t>Tre percorsi con distribuzione: caso atteso (Q = 0%), Q scelta, limite teorico (Q = 100%)</t>
  </si>
  <si>
    <t>3 - Accumulo</t>
  </si>
  <si>
    <t>La stessa strategia ad accumulo, con sole vendite</t>
  </si>
  <si>
    <t>4 - Confronto</t>
  </si>
  <si>
    <t>Confronto: durate, imposte, minusvalenze, capitale a 10 e 15 anni</t>
  </si>
  <si>
    <t>5 - Annualizzatore</t>
  </si>
  <si>
    <t>Annualizzatore di uno stacco e quota che è capitale che torna indietro</t>
  </si>
  <si>
    <t>Come usare</t>
  </si>
  <si>
    <t>1. Le celle GIALLE sono input — modificale coi tuoi numeri.</t>
  </si>
  <si>
    <t>2. Le celle VERDI sono output — si aggiornano automaticamente.</t>
  </si>
  <si>
    <t>3. Tutti i numeri di default sono al 2026 da fonti pubbliche.</t>
  </si>
  <si>
    <t>4. Niente codice nascosto: l'Excel è solo formule modificabili.</t>
  </si>
  <si>
    <t>Fonti dati</t>
  </si>
  <si>
    <t>• Regole fiscali di ottobre 2026: D.L. 66/2014 (26%), D.P.R. 642/1972 (bollo), art. 10-ter L. 77/1983 (proventi dei fondi) (P)</t>
  </si>
  <si>
    <t>• Rimborso di capitale: Agenzia delle Entrate, risposta 161/2022 e circolare 33/E del 2011, per analogia su un fondo chiuso italiano (P)</t>
  </si>
  <si>
    <t>• Serie storica dell'indice a opzioni di acquisto coperte, 2002-2026, per gli scenari piatto, crollo e rialzo (P)</t>
  </si>
  <si>
    <t>• CALCOLI MIEI (E): il caso di Renata, il motore mensile, gli scenari. Gradi: P = fonte primaria, E = stima o calcolo mio</t>
  </si>
  <si>
    <t>Aggiornamenti: github.com/marcofire-it/marco-fire-simulatori</t>
  </si>
  <si>
    <t>Note e limiti</t>
  </si>
  <si>
    <t>Caso inventato e illustrativo: non è un consiglio e non è una previsione. Prima di decidere, fai i conti sul tuo caso e parlane con professionisti abilitati.</t>
  </si>
  <si>
    <t>Come si usa: cambia le celle gialle del foglio 1 e leggi i risultati nel foglio 4. La quota Q è sempre visibile accanto ai risultati.</t>
  </si>
  <si>
    <t>Convenzioni: spesa netta di imposta e in cassa; bollo a parte; nessun costo del fondo; costo fiscale uguale al valore al via se non cambiato.</t>
  </si>
  <si>
    <t>La quota Q va letta nel rendiconto del fondo. Q = 100% è un limite teorico, senza fonte per gli ETF esteri.</t>
  </si>
  <si>
    <t>Il motore del calcolo è in fondo ai fogli 2 e 3: non modificare. Nessuna macro, solo formule.</t>
  </si>
  <si>
    <t>Input (celle gialle)</t>
  </si>
  <si>
    <t>Voce</t>
  </si>
  <si>
    <t>Valore</t>
  </si>
  <si>
    <t>Nota</t>
  </si>
  <si>
    <t>Capitale iniziale</t>
  </si>
  <si>
    <t>Capitale investito nel fondo al via.</t>
  </si>
  <si>
    <t>Spesa netta mensile</t>
  </si>
  <si>
    <t>Netta di imposta, in cassa, indicizzata all'inflazione. Il bollo è a parte.</t>
  </si>
  <si>
    <t>Distribuzione annua (% del valore)</t>
  </si>
  <si>
    <t>Versata in dodici rate uguali a distribuzione/12, sul valore di fine mese.</t>
  </si>
  <si>
    <t>Quota Q: parte della distribuzione qualificata come rimborso di capitale</t>
  </si>
  <si>
    <t>Dipende dalla delibera e dal rendiconto del fondo. 0% = tutto provento, tassato per intero. 100% = tutto rimborso: limite teorico, senza fonte per gli ETF esteri. Leggi il rendiconto.</t>
  </si>
  <si>
    <t>Aliquota sui proventi e sulle plusvalenze</t>
  </si>
  <si>
    <t>Fotografia di ottobre 2026.</t>
  </si>
  <si>
    <t>Bollo annuo sul valore</t>
  </si>
  <si>
    <t>Pagato a dicembre dal portafoglio, non sulla spesa.</t>
  </si>
  <si>
    <t>Inflazione (indicizzazione della spesa)</t>
  </si>
  <si>
    <t>Ipotesi di base.</t>
  </si>
  <si>
    <t>Rendimento reale dell'ipotesi di base</t>
  </si>
  <si>
    <t>Serve a generare il vettore dei rendimenti base e piatto.</t>
  </si>
  <si>
    <t>Orizzonte in anni (1-30)</t>
  </si>
  <si>
    <t>Per i risultati a fine orizzonte del foglio 4.</t>
  </si>
  <si>
    <t>Costo fiscale diviso valore al via</t>
  </si>
  <si>
    <t>Con una plusvalenza latente (meno di 100%) il percorso ad accumulo perde parte del vantaggio.</t>
  </si>
  <si>
    <t>Scenario (1-4)</t>
  </si>
  <si>
    <t>1 base, 2 piatto, 3 crollo al primo anno, 4 rialzo forte per tre anni.</t>
  </si>
  <si>
    <t>Integra con vendite (1 = sì, 0 = solo distribuzioni)</t>
  </si>
  <si>
    <t>Con 0 si vede quanto vale la sola distribuzione.</t>
  </si>
  <si>
    <t>Rendimento del primo anno dello scenario 3</t>
  </si>
  <si>
    <t>Esempio dalla serie storica dell'indice a opzioni (2008), non è una previsione.</t>
  </si>
  <si>
    <t>Rendimento annuo dei primi tre anni dello scenario 4</t>
  </si>
  <si>
    <t>Miglior triennio della serie storica, non è una previsione.</t>
  </si>
  <si>
    <t>Interruttore: senza imposte e senza bollo (1 = sì)</t>
  </si>
  <si>
    <t>Con 1 aliquota e bollo valgono zero: serve a separare l'effetto del fisco.</t>
  </si>
  <si>
    <t>Parametri effettivi (formule)</t>
  </si>
  <si>
    <t>Aliquota effettiva</t>
  </si>
  <si>
    <t>Bollo effettivo</t>
  </si>
  <si>
    <t>Il vincolo aritmetico del caso</t>
  </si>
  <si>
    <t>Spesa netta annua</t>
  </si>
  <si>
    <t>Prelievo lordo necessario (spesa annua diviso uno meno l'aliquota)</t>
  </si>
  <si>
    <t>Il lordo necessario come distribuzione sul capitale</t>
  </si>
  <si>
    <t>Spesa annua diviso capitale</t>
  </si>
  <si>
    <t>Rendimento nominale dell'ipotesi di base</t>
  </si>
  <si>
    <t>Capitale con un prelievo del 3% (confronto indicativo: il tasso è lordo, la spesa è netta)</t>
  </si>
  <si>
    <t>Vettore dei rendimenti annui nominali (formule)</t>
  </si>
  <si>
    <t>Anno</t>
  </si>
  <si>
    <t>1 - Base</t>
  </si>
  <si>
    <t>2 - Piatto</t>
  </si>
  <si>
    <t>3 - Crollo al via</t>
  </si>
  <si>
    <t>4 - Rialzo forte</t>
  </si>
  <si>
    <t>Tre percorsi dello stesso motore mensile. La tabella annua è in alto, il motore del calcolo è in fondo (non modificare). Il blocco B è un limite teorico, senza fonte per gli ETF esteri.</t>
  </si>
  <si>
    <t>A: caso atteso, Q = 0% (tutto provento)</t>
  </si>
  <si>
    <t>U: Q scelta nel foglio 1</t>
  </si>
  <si>
    <t>B: limite teorico, senza fonte per gli ETF esteri, Q = 100%</t>
  </si>
  <si>
    <t>Valore a fine anno (dopo bollo)</t>
  </si>
  <si>
    <t>Costo fiscale a fine anno</t>
  </si>
  <si>
    <t>Valore in euro di oggi</t>
  </si>
  <si>
    <t>Distribuzioni lorde</t>
  </si>
  <si>
    <t>Distribuzioni nette</t>
  </si>
  <si>
    <t>Imposte sulle distribuzioni</t>
  </si>
  <si>
    <t>Imposte sulle vendite</t>
  </si>
  <si>
    <t>Bollo</t>
  </si>
  <si>
    <t>Minusvalenze cumulate</t>
  </si>
  <si>
    <t>Spesa netta media al mese, euro correnti</t>
  </si>
  <si>
    <t>Spesa netta media al mese, euro di oggi</t>
  </si>
  <si>
    <t>Motore del calcolo, non modificare. A: caso atteso, Q = 0% (tutto provento)</t>
  </si>
  <si>
    <t>Motore del calcolo, non modificare. U: Q scelta nel foglio 1</t>
  </si>
  <si>
    <t>Motore del calcolo, non modificare. B: limite teorico, senza fonte per gli ETF esteri, Q = 100%</t>
  </si>
  <si>
    <t>Quota Q del blocco</t>
  </si>
  <si>
    <t>Mese k</t>
  </si>
  <si>
    <t>Rendimento mensile</t>
  </si>
  <si>
    <t>Spesa del mese</t>
  </si>
  <si>
    <t>Valore prima</t>
  </si>
  <si>
    <t>Costo prima</t>
  </si>
  <si>
    <t>Valore con rendimento</t>
  </si>
  <si>
    <t>Distribuzione lorda</t>
  </si>
  <si>
    <t>Valore dopo lo stacco</t>
  </si>
  <si>
    <t>Rimborso di capitale</t>
  </si>
  <si>
    <t>Imposta sulla distribuzione</t>
  </si>
  <si>
    <t>Distribuzione netta</t>
  </si>
  <si>
    <t>Costo dopo rimborso</t>
  </si>
  <si>
    <t>Avanzo reinvestito</t>
  </si>
  <si>
    <t>Fabbisogno</t>
  </si>
  <si>
    <t>Quota di guadagno nel valore</t>
  </si>
  <si>
    <t>Vendita necessaria lorda</t>
  </si>
  <si>
    <t>Vendita effettiva</t>
  </si>
  <si>
    <t>Imposta sulla vendita</t>
  </si>
  <si>
    <t>Vendita netta</t>
  </si>
  <si>
    <t>Spesa non coperta</t>
  </si>
  <si>
    <t>Minusvalenza realizzata</t>
  </si>
  <si>
    <t>Valore a fine mese</t>
  </si>
  <si>
    <t>Costo a fine mese</t>
  </si>
  <si>
    <t>Valore dopo bollo</t>
  </si>
  <si>
    <t>Costo dopo bollo</t>
  </si>
  <si>
    <t>Speso nel mese</t>
  </si>
  <si>
    <t>Speso cumulato</t>
  </si>
  <si>
    <t>Imposte distribuzione cumulate</t>
  </si>
  <si>
    <t>Imposte vendita cumulate</t>
  </si>
  <si>
    <t>Bollo cumulato</t>
  </si>
  <si>
    <t>Non coperto cumulato</t>
  </si>
  <si>
    <t>Esaurito (1 = sì)</t>
  </si>
  <si>
    <t>Stessa strategia in versione ad accumulo: nessuna distribuzione, solo vendite di quote per pagare la spesa. La tabella annua è in alto, il motore del calcolo è in fondo (non modificare).</t>
  </si>
  <si>
    <t>Accumulo con vendite</t>
  </si>
  <si>
    <t>Motore del calcolo, non modificare. Accumulo con vendite</t>
  </si>
  <si>
    <t>Quota Q usata nel percorso U (foglio 1)</t>
  </si>
  <si>
    <t>Dipende dalla delibera e dal rendiconto del fondo. Per i fondi esteri nessuna norma assicura una quota diversa da zero: Q = 100% è un limite teorico, senza fonte per gli ETF esteri. Leggi il rendiconto.</t>
  </si>
  <si>
    <t>Interruttore senza imposte e senza bollo (foglio 1)</t>
  </si>
  <si>
    <t>Percorso</t>
  </si>
  <si>
    <t>Durata in mesi</t>
  </si>
  <si>
    <t>Durata</t>
  </si>
  <si>
    <t>Imposte cumulate (orizzonte)</t>
  </si>
  <si>
    <t>di cui sulle distribuzioni</t>
  </si>
  <si>
    <t>di cui sulle vendite</t>
  </si>
  <si>
    <t>Minusvalenze realizzate</t>
  </si>
  <si>
    <t>Capitale a 10 anni</t>
  </si>
  <si>
    <t>Imposte a 10 anni</t>
  </si>
  <si>
    <t>Capitale a 15 anni</t>
  </si>
  <si>
    <t>Imposte a 15 anni</t>
  </si>
  <si>
    <t>Capitale a fine orizzonte</t>
  </si>
  <si>
    <t>A: caso atteso, Q = 0%</t>
  </si>
  <si>
    <t>Differenza di durata tra B e A</t>
  </si>
  <si>
    <t>Per anno: capitale a fine anno (dopo bollo) e imposte cumulate</t>
  </si>
  <si>
    <t>Capitale A</t>
  </si>
  <si>
    <t>Capitale U</t>
  </si>
  <si>
    <t>Capitale B</t>
  </si>
  <si>
    <t>Capitale Accumulo con vendite</t>
  </si>
  <si>
    <t>Imposte A</t>
  </si>
  <si>
    <t>Imposte U</t>
  </si>
  <si>
    <t>Imposte B</t>
  </si>
  <si>
    <t>Imposte Accumulo con vendite</t>
  </si>
  <si>
    <t>Annualizzare uno stacco</t>
  </si>
  <si>
    <t>Stacco per periodo (%)</t>
  </si>
  <si>
    <t>Esempio: lo stacco di un mese del fondo che guardi.</t>
  </si>
  <si>
    <t>Periodi in un anno</t>
  </si>
  <si>
    <t>12 per uno stacco mensile.</t>
  </si>
  <si>
    <t>Annualizzato semplice (stacco per periodi)</t>
  </si>
  <si>
    <t>Annualizzato composto</t>
  </si>
  <si>
    <t>Rendimento nominale dell'ipotesi di base (foglio 1)</t>
  </si>
  <si>
    <t>Avviso</t>
  </si>
  <si>
    <t>Quanta parte della distribuzione è capitale che torna indietro</t>
  </si>
  <si>
    <t>Rendimento totale annuo (nominale)</t>
  </si>
  <si>
    <t>Per default quello dell'ipotesi di base; scrivi un'altra formula o un altro valore per un tuo caso.</t>
  </si>
  <si>
    <t>Distribuzione annua del fondo (foglio 1)</t>
  </si>
  <si>
    <t>Distribuzione che lascia fermo il prezzo (nominale)</t>
  </si>
  <si>
    <t>Parte della distribuzione che è capitale che torna indietro</t>
  </si>
  <si>
    <t>Lettura economica, non fiscale. Un valore negativo vuol dire che il prezzo sale. Una sola convenzione: tutto nominale.</t>
  </si>
  <si>
    <t>Il fisco guarda la stessa somma in modo diverso: leggi il rendiconto del fondo. Limite teorico, senza fonte per gli etf esteri per la quota Q.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</si>
</sst>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&quot; €&quot;"/>
    <numFmt numFmtId="165" formatCode="0.0000000000"/>
    <numFmt numFmtId="166" formatCode="0.000%"/>
  </numFmts>
  <fonts count="8">
    <font>
      <sz val="11"/>
      <color theme="1"/>
      <name val="Calibri"/>
      <family val="2"/>
      <scheme val="minor"/>
    </font>
    <font>
      <b/>
      <sz val="16"/>
      <color rgb="FF1E40AF"/>
      <name val="Calibri"/>
    </font>
    <font>
      <i/>
      <sz val="10"/>
      <color rgb="FF991B1B"/>
      <name val="Calibri"/>
    </font>
    <font>
      <b/>
      <sz val="14"/>
      <name val="Calibri"/>
    </font>
    <font>
      <b/>
      <sz val="11"/>
      <name val="Calibri"/>
    </font>
    <font>
      <sz val="11"/>
      <name val="Calibri"/>
    </font>
    <font>
      <i/>
      <sz val="9"/>
      <color rgb="FF666666"/>
      <name val="Calibri"/>
    </font>
    <font>
      <b/>
      <sz val="13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EE2E2"/>
      </patternFill>
    </fill>
    <fill>
      <patternFill patternType="solid">
        <fgColor rgb="FF1E40AF"/>
      </patternFill>
    </fill>
    <fill>
      <patternFill patternType="solid">
        <fgColor rgb="FFDBEAFE"/>
      </patternFill>
    </fill>
    <fill>
      <patternFill patternType="solid">
        <fgColor rgb="FFFFF59D"/>
      </patternFill>
    </fill>
    <fill>
      <patternFill patternType="solid">
        <fgColor rgb="FFC8E6C9"/>
      </patternFill>
    </fill>
  </fills>
  <borders count="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4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64" fontId="5" fillId="5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10" fontId="5" fillId="5" borderId="1" xfId="0" applyNumberFormat="1" applyFont="1" applyFill="1" applyBorder="1" applyAlignment="1">
      <alignment horizontal="right" vertical="center"/>
    </xf>
    <xf numFmtId="1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10" fontId="5" fillId="6" borderId="1" xfId="0" applyNumberFormat="1" applyFont="1" applyFill="1" applyBorder="1" applyAlignment="1">
      <alignment horizontal="right" vertical="center"/>
    </xf>
    <xf numFmtId="164" fontId="5" fillId="6" borderId="1" xfId="0" applyNumberFormat="1" applyFont="1" applyFill="1" applyBorder="1" applyAlignment="1">
      <alignment horizontal="right" vertical="center"/>
    </xf>
    <xf numFmtId="1" fontId="5" fillId="0" borderId="0" xfId="0" applyNumberFormat="1" applyFont="1"/>
    <xf numFmtId="1" fontId="5" fillId="6" borderId="0" xfId="0" applyNumberFormat="1" applyFont="1" applyFill="1"/>
    <xf numFmtId="165" fontId="5" fillId="6" borderId="0" xfId="0" applyNumberFormat="1" applyFont="1" applyFill="1"/>
    <xf numFmtId="4" fontId="5" fillId="6" borderId="0" xfId="0" applyNumberFormat="1" applyFont="1" applyFill="1"/>
    <xf numFmtId="1" fontId="5" fillId="6" borderId="1" xfId="0" applyNumberFormat="1" applyFont="1" applyFill="1" applyBorder="1" applyAlignment="1">
      <alignment horizontal="left" vertical="center"/>
    </xf>
    <xf numFmtId="1" fontId="5" fillId="6" borderId="1" xfId="0" applyNumberFormat="1" applyFont="1" applyFill="1" applyBorder="1" applyAlignment="1">
      <alignment horizontal="right" vertical="center"/>
    </xf>
    <xf numFmtId="2" fontId="5" fillId="6" borderId="1" xfId="0" applyNumberFormat="1" applyFont="1" applyFill="1" applyBorder="1" applyAlignment="1">
      <alignment horizontal="righ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left" vertical="center" wrapText="1"/>
    </xf>
    <xf numFmtId="0" fontId="0" fillId="0" borderId="0" xfId="0"/>
    <xf numFmtId="0" fontId="1" fillId="0" borderId="0" xfId="0" applyFont="1"/>
    <xf numFmtId="0" fontId="7" fillId="3" borderId="0" xfId="0" applyFont="1" applyFill="1" applyAlignment="1">
      <alignment horizontal="center" vertical="center" wrapText="1"/>
    </xf>
    <xf numFmtId="0" fontId="7" fillId="3" borderId="0" xfId="0" applyFont="1" applyFill="1"/>
    <xf numFmtId="0" fontId="6" fillId="0" borderId="0" xfId="0" applyFont="1" applyAlignment="1">
      <alignment horizontal="left" vertical="center" wrapText="1"/>
    </xf>
    <xf numFmtId="1" fontId="5" fillId="6" borderId="1" xfId="0" applyNumberFormat="1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tabSelected="1" workbookViewId="0">
      <selection sqref="A1:B1"/>
    </sheetView>
  </sheetViews>
  <sheetFormatPr defaultRowHeight="15"/>
  <cols>
    <col min="1" max="1" width="112" customWidth="1"/>
    <col min="2" max="2" width="106" customWidth="1"/>
  </cols>
  <sheetData>
    <row r="1" spans="1:2" ht="32.1" customHeight="1">
      <c r="A1" s="24" t="s">
        <v>0</v>
      </c>
      <c r="B1" s="23"/>
    </row>
    <row r="2" spans="1:2" ht="44.1" customHeight="1">
      <c r="A2" s="22" t="s">
        <v>1</v>
      </c>
      <c r="B2" s="23"/>
    </row>
    <row r="4" spans="1:2" ht="18.75">
      <c r="A4" s="1" t="s">
        <v>2</v>
      </c>
    </row>
    <row r="5" spans="1:2" ht="21.95" customHeight="1">
      <c r="A5" s="2" t="s">
        <v>3</v>
      </c>
      <c r="B5" s="3" t="s">
        <v>4</v>
      </c>
    </row>
    <row r="6" spans="1:2" ht="21.95" customHeight="1">
      <c r="A6" s="2" t="s">
        <v>5</v>
      </c>
      <c r="B6" s="3" t="s">
        <v>6</v>
      </c>
    </row>
    <row r="7" spans="1:2" ht="21.95" customHeight="1">
      <c r="A7" s="2" t="s">
        <v>7</v>
      </c>
      <c r="B7" s="3" t="s">
        <v>8</v>
      </c>
    </row>
    <row r="8" spans="1:2" ht="21.95" customHeight="1">
      <c r="A8" s="2" t="s">
        <v>9</v>
      </c>
      <c r="B8" s="3" t="s">
        <v>10</v>
      </c>
    </row>
    <row r="9" spans="1:2" ht="21.95" customHeight="1">
      <c r="A9" s="2" t="s">
        <v>11</v>
      </c>
      <c r="B9" s="3" t="s">
        <v>12</v>
      </c>
    </row>
    <row r="10" spans="1:2" ht="21.95" customHeight="1">
      <c r="A10" s="2" t="s">
        <v>13</v>
      </c>
      <c r="B10" s="3" t="s">
        <v>14</v>
      </c>
    </row>
    <row r="12" spans="1:2" ht="18.75">
      <c r="A12" s="1" t="s">
        <v>15</v>
      </c>
    </row>
    <row r="13" spans="1:2">
      <c r="A13" s="3" t="s">
        <v>16</v>
      </c>
    </row>
    <row r="14" spans="1:2">
      <c r="A14" s="3" t="s">
        <v>17</v>
      </c>
    </row>
    <row r="15" spans="1:2">
      <c r="A15" s="3" t="s">
        <v>18</v>
      </c>
    </row>
    <row r="16" spans="1:2">
      <c r="A16" s="3" t="s">
        <v>19</v>
      </c>
    </row>
    <row r="18" spans="1:1" ht="18.75">
      <c r="A18" s="1" t="s">
        <v>20</v>
      </c>
    </row>
    <row r="19" spans="1:1">
      <c r="A19" s="3" t="s">
        <v>21</v>
      </c>
    </row>
    <row r="20" spans="1:1">
      <c r="A20" s="3" t="s">
        <v>22</v>
      </c>
    </row>
    <row r="21" spans="1:1">
      <c r="A21" s="3" t="s">
        <v>23</v>
      </c>
    </row>
    <row r="22" spans="1:1">
      <c r="A22" s="3" t="s">
        <v>24</v>
      </c>
    </row>
    <row r="24" spans="1:1">
      <c r="A24" s="4" t="s">
        <v>25</v>
      </c>
    </row>
    <row r="25" spans="1:1">
      <c r="A25" s="2" t="s">
        <v>26</v>
      </c>
    </row>
    <row r="26" spans="1:1">
      <c r="A26" s="3" t="s">
        <v>27</v>
      </c>
    </row>
    <row r="27" spans="1:1">
      <c r="A27" s="3" t="s">
        <v>28</v>
      </c>
    </row>
    <row r="28" spans="1:1">
      <c r="A28" s="3" t="s">
        <v>29</v>
      </c>
    </row>
    <row r="29" spans="1:1">
      <c r="A29" s="3" t="s">
        <v>30</v>
      </c>
    </row>
    <row r="30" spans="1:1">
      <c r="A30" s="3" t="s">
        <v>31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3"/>
  <sheetViews>
    <sheetView workbookViewId="0"/>
  </sheetViews>
  <sheetFormatPr defaultRowHeight="15"/>
  <cols>
    <col min="1" max="1" width="62" customWidth="1"/>
    <col min="2" max="2" width="17" customWidth="1"/>
    <col min="3" max="3" width="70" customWidth="1"/>
    <col min="4" max="4" width="20" customWidth="1"/>
    <col min="5" max="5" width="19" customWidth="1"/>
  </cols>
  <sheetData>
    <row r="1" spans="1:3" ht="24.95" customHeight="1">
      <c r="A1" s="24" t="s">
        <v>0</v>
      </c>
      <c r="B1" s="23"/>
      <c r="C1" s="23"/>
    </row>
    <row r="2" spans="1:3" ht="44.1" customHeight="1">
      <c r="A2" s="22" t="s">
        <v>1</v>
      </c>
      <c r="B2" s="23"/>
      <c r="C2" s="23"/>
    </row>
    <row r="4" spans="1:3">
      <c r="A4" s="25" t="s">
        <v>32</v>
      </c>
      <c r="B4" s="23"/>
      <c r="C4" s="23"/>
    </row>
    <row r="5" spans="1:3">
      <c r="A5" s="5" t="s">
        <v>33</v>
      </c>
      <c r="B5" s="5" t="s">
        <v>34</v>
      </c>
      <c r="C5" s="5" t="s">
        <v>35</v>
      </c>
    </row>
    <row r="6" spans="1:3">
      <c r="A6" s="6" t="s">
        <v>36</v>
      </c>
      <c r="B6" s="7">
        <v>486500</v>
      </c>
      <c r="C6" s="8" t="s">
        <v>37</v>
      </c>
    </row>
    <row r="7" spans="1:3">
      <c r="A7" s="6" t="s">
        <v>38</v>
      </c>
      <c r="B7" s="7">
        <v>2700</v>
      </c>
      <c r="C7" s="8" t="s">
        <v>39</v>
      </c>
    </row>
    <row r="8" spans="1:3">
      <c r="A8" s="6" t="s">
        <v>40</v>
      </c>
      <c r="B8" s="9">
        <v>0.09</v>
      </c>
      <c r="C8" s="8" t="s">
        <v>41</v>
      </c>
    </row>
    <row r="9" spans="1:3" ht="48" customHeight="1">
      <c r="A9" s="6" t="s">
        <v>42</v>
      </c>
      <c r="B9" s="9">
        <v>0</v>
      </c>
      <c r="C9" s="8" t="s">
        <v>43</v>
      </c>
    </row>
    <row r="10" spans="1:3">
      <c r="A10" s="6" t="s">
        <v>44</v>
      </c>
      <c r="B10" s="9">
        <v>0.26</v>
      </c>
      <c r="C10" s="8" t="s">
        <v>45</v>
      </c>
    </row>
    <row r="11" spans="1:3">
      <c r="A11" s="6" t="s">
        <v>46</v>
      </c>
      <c r="B11" s="9">
        <v>2E-3</v>
      </c>
      <c r="C11" s="8" t="s">
        <v>47</v>
      </c>
    </row>
    <row r="12" spans="1:3">
      <c r="A12" s="6" t="s">
        <v>48</v>
      </c>
      <c r="B12" s="9">
        <v>0.02</v>
      </c>
      <c r="C12" s="8" t="s">
        <v>49</v>
      </c>
    </row>
    <row r="13" spans="1:3">
      <c r="A13" s="6" t="s">
        <v>50</v>
      </c>
      <c r="B13" s="9">
        <v>0.03</v>
      </c>
      <c r="C13" s="8" t="s">
        <v>51</v>
      </c>
    </row>
    <row r="14" spans="1:3">
      <c r="A14" s="6" t="s">
        <v>52</v>
      </c>
      <c r="B14" s="10">
        <v>30</v>
      </c>
      <c r="C14" s="8" t="s">
        <v>53</v>
      </c>
    </row>
    <row r="15" spans="1:3" ht="24">
      <c r="A15" s="6" t="s">
        <v>54</v>
      </c>
      <c r="B15" s="9">
        <v>1</v>
      </c>
      <c r="C15" s="8" t="s">
        <v>55</v>
      </c>
    </row>
    <row r="16" spans="1:3">
      <c r="A16" s="6" t="s">
        <v>56</v>
      </c>
      <c r="B16" s="10">
        <v>1</v>
      </c>
      <c r="C16" s="8" t="s">
        <v>57</v>
      </c>
    </row>
    <row r="17" spans="1:5">
      <c r="A17" s="6" t="s">
        <v>58</v>
      </c>
      <c r="B17" s="10">
        <v>1</v>
      </c>
      <c r="C17" s="8" t="s">
        <v>59</v>
      </c>
    </row>
    <row r="18" spans="1:5">
      <c r="A18" s="6" t="s">
        <v>60</v>
      </c>
      <c r="B18" s="11">
        <v>-0.2865467592</v>
      </c>
      <c r="C18" s="8" t="s">
        <v>61</v>
      </c>
    </row>
    <row r="19" spans="1:5">
      <c r="A19" s="6" t="s">
        <v>62</v>
      </c>
      <c r="B19" s="11">
        <v>0.17386738979999999</v>
      </c>
      <c r="C19" s="8" t="s">
        <v>63</v>
      </c>
    </row>
    <row r="20" spans="1:5">
      <c r="A20" s="6" t="s">
        <v>64</v>
      </c>
      <c r="B20" s="10">
        <v>0</v>
      </c>
      <c r="C20" s="8" t="s">
        <v>65</v>
      </c>
    </row>
    <row r="21" spans="1:5">
      <c r="A21" s="25" t="s">
        <v>66</v>
      </c>
      <c r="B21" s="23"/>
      <c r="C21" s="23"/>
    </row>
    <row r="22" spans="1:5">
      <c r="A22" s="6" t="s">
        <v>67</v>
      </c>
      <c r="B22" s="12">
        <f>IF('1 - Input'!$B$20=1,0,'1 - Input'!$B$10)</f>
        <v>0.26</v>
      </c>
    </row>
    <row r="23" spans="1:5">
      <c r="A23" s="6" t="s">
        <v>68</v>
      </c>
      <c r="B23" s="12">
        <f>IF('1 - Input'!$B$20=1,0,'1 - Input'!$B$11)</f>
        <v>2E-3</v>
      </c>
    </row>
    <row r="25" spans="1:5">
      <c r="A25" s="25" t="s">
        <v>69</v>
      </c>
      <c r="B25" s="23"/>
      <c r="C25" s="23"/>
    </row>
    <row r="26" spans="1:5">
      <c r="A26" s="6" t="s">
        <v>70</v>
      </c>
      <c r="B26" s="13">
        <f>12*'1 - Input'!$B$7</f>
        <v>32400</v>
      </c>
    </row>
    <row r="27" spans="1:5">
      <c r="A27" s="6" t="s">
        <v>71</v>
      </c>
      <c r="B27" s="13">
        <f>B26/(1-'1 - Input'!$B$10)</f>
        <v>43783.783783783787</v>
      </c>
    </row>
    <row r="28" spans="1:5">
      <c r="A28" s="6" t="s">
        <v>72</v>
      </c>
      <c r="B28" s="12">
        <f>B27/'1 - Input'!$B$6</f>
        <v>8.9997500069442515E-2</v>
      </c>
    </row>
    <row r="29" spans="1:5">
      <c r="A29" s="6" t="s">
        <v>73</v>
      </c>
      <c r="B29" s="12">
        <f>B26/'1 - Input'!$B$6</f>
        <v>6.6598150051387459E-2</v>
      </c>
    </row>
    <row r="30" spans="1:5">
      <c r="A30" s="6" t="s">
        <v>74</v>
      </c>
      <c r="B30" s="12">
        <f>(1+'1 - Input'!$B$13)*(1+'1 - Input'!$B$12)-1</f>
        <v>5.0599999999999978E-2</v>
      </c>
    </row>
    <row r="31" spans="1:5" ht="30">
      <c r="A31" s="6" t="s">
        <v>75</v>
      </c>
      <c r="B31" s="13">
        <f>B26/0.03</f>
        <v>1080000</v>
      </c>
    </row>
    <row r="32" spans="1:5">
      <c r="A32" s="25" t="s">
        <v>76</v>
      </c>
      <c r="B32" s="23"/>
      <c r="C32" s="23"/>
      <c r="D32" s="23"/>
      <c r="E32" s="23"/>
    </row>
    <row r="33" spans="1:5">
      <c r="A33" s="5" t="s">
        <v>77</v>
      </c>
      <c r="B33" s="5" t="s">
        <v>78</v>
      </c>
      <c r="C33" s="5" t="s">
        <v>79</v>
      </c>
      <c r="D33" s="5" t="s">
        <v>80</v>
      </c>
      <c r="E33" s="5" t="s">
        <v>81</v>
      </c>
    </row>
    <row r="34" spans="1:5">
      <c r="A34" s="3">
        <v>1</v>
      </c>
      <c r="B34" s="12">
        <f>(1+'1 - Input'!$B$13)*(1+'1 - Input'!$B$12)-1</f>
        <v>5.0599999999999978E-2</v>
      </c>
      <c r="C34" s="12">
        <f>'1 - Input'!$B$12</f>
        <v>0.02</v>
      </c>
      <c r="D34" s="12">
        <f>'1 - Input'!$B$18</f>
        <v>-0.2865467592</v>
      </c>
      <c r="E34" s="12">
        <f>'1 - Input'!$B$19</f>
        <v>0.17386738979999999</v>
      </c>
    </row>
    <row r="35" spans="1:5">
      <c r="A35" s="3">
        <v>2</v>
      </c>
      <c r="B35" s="12">
        <f>(1+'1 - Input'!$B$13)*(1+'1 - Input'!$B$12)-1</f>
        <v>5.0599999999999978E-2</v>
      </c>
      <c r="C35" s="12">
        <f>'1 - Input'!$B$12</f>
        <v>0.02</v>
      </c>
      <c r="D35" s="12">
        <f t="shared" ref="D35:D63" si="0">$B$30</f>
        <v>5.0599999999999978E-2</v>
      </c>
      <c r="E35" s="12">
        <f>'1 - Input'!$B$19</f>
        <v>0.17386738979999999</v>
      </c>
    </row>
    <row r="36" spans="1:5">
      <c r="A36" s="3">
        <v>3</v>
      </c>
      <c r="B36" s="12">
        <f>(1+'1 - Input'!$B$13)*(1+'1 - Input'!$B$12)-1</f>
        <v>5.0599999999999978E-2</v>
      </c>
      <c r="C36" s="12">
        <f>'1 - Input'!$B$12</f>
        <v>0.02</v>
      </c>
      <c r="D36" s="12">
        <f t="shared" si="0"/>
        <v>5.0599999999999978E-2</v>
      </c>
      <c r="E36" s="12">
        <f>'1 - Input'!$B$19</f>
        <v>0.17386738979999999</v>
      </c>
    </row>
    <row r="37" spans="1:5">
      <c r="A37" s="3">
        <v>4</v>
      </c>
      <c r="B37" s="12">
        <f>(1+'1 - Input'!$B$13)*(1+'1 - Input'!$B$12)-1</f>
        <v>5.0599999999999978E-2</v>
      </c>
      <c r="C37" s="12">
        <f>'1 - Input'!$B$12</f>
        <v>0.02</v>
      </c>
      <c r="D37" s="12">
        <f t="shared" si="0"/>
        <v>5.0599999999999978E-2</v>
      </c>
      <c r="E37" s="12">
        <f t="shared" ref="E37:E63" si="1">$B$30</f>
        <v>5.0599999999999978E-2</v>
      </c>
    </row>
    <row r="38" spans="1:5">
      <c r="A38" s="3">
        <v>5</v>
      </c>
      <c r="B38" s="12">
        <f>(1+'1 - Input'!$B$13)*(1+'1 - Input'!$B$12)-1</f>
        <v>5.0599999999999978E-2</v>
      </c>
      <c r="C38" s="12">
        <f>'1 - Input'!$B$12</f>
        <v>0.02</v>
      </c>
      <c r="D38" s="12">
        <f t="shared" si="0"/>
        <v>5.0599999999999978E-2</v>
      </c>
      <c r="E38" s="12">
        <f t="shared" si="1"/>
        <v>5.0599999999999978E-2</v>
      </c>
    </row>
    <row r="39" spans="1:5">
      <c r="A39" s="3">
        <v>6</v>
      </c>
      <c r="B39" s="12">
        <f>(1+'1 - Input'!$B$13)*(1+'1 - Input'!$B$12)-1</f>
        <v>5.0599999999999978E-2</v>
      </c>
      <c r="C39" s="12">
        <f>'1 - Input'!$B$12</f>
        <v>0.02</v>
      </c>
      <c r="D39" s="12">
        <f t="shared" si="0"/>
        <v>5.0599999999999978E-2</v>
      </c>
      <c r="E39" s="12">
        <f t="shared" si="1"/>
        <v>5.0599999999999978E-2</v>
      </c>
    </row>
    <row r="40" spans="1:5">
      <c r="A40" s="3">
        <v>7</v>
      </c>
      <c r="B40" s="12">
        <f>(1+'1 - Input'!$B$13)*(1+'1 - Input'!$B$12)-1</f>
        <v>5.0599999999999978E-2</v>
      </c>
      <c r="C40" s="12">
        <f>'1 - Input'!$B$12</f>
        <v>0.02</v>
      </c>
      <c r="D40" s="12">
        <f t="shared" si="0"/>
        <v>5.0599999999999978E-2</v>
      </c>
      <c r="E40" s="12">
        <f t="shared" si="1"/>
        <v>5.0599999999999978E-2</v>
      </c>
    </row>
    <row r="41" spans="1:5">
      <c r="A41" s="3">
        <v>8</v>
      </c>
      <c r="B41" s="12">
        <f>(1+'1 - Input'!$B$13)*(1+'1 - Input'!$B$12)-1</f>
        <v>5.0599999999999978E-2</v>
      </c>
      <c r="C41" s="12">
        <f>'1 - Input'!$B$12</f>
        <v>0.02</v>
      </c>
      <c r="D41" s="12">
        <f t="shared" si="0"/>
        <v>5.0599999999999978E-2</v>
      </c>
      <c r="E41" s="12">
        <f t="shared" si="1"/>
        <v>5.0599999999999978E-2</v>
      </c>
    </row>
    <row r="42" spans="1:5">
      <c r="A42" s="3">
        <v>9</v>
      </c>
      <c r="B42" s="12">
        <f>(1+'1 - Input'!$B$13)*(1+'1 - Input'!$B$12)-1</f>
        <v>5.0599999999999978E-2</v>
      </c>
      <c r="C42" s="12">
        <f>'1 - Input'!$B$12</f>
        <v>0.02</v>
      </c>
      <c r="D42" s="12">
        <f t="shared" si="0"/>
        <v>5.0599999999999978E-2</v>
      </c>
      <c r="E42" s="12">
        <f t="shared" si="1"/>
        <v>5.0599999999999978E-2</v>
      </c>
    </row>
    <row r="43" spans="1:5">
      <c r="A43" s="3">
        <v>10</v>
      </c>
      <c r="B43" s="12">
        <f>(1+'1 - Input'!$B$13)*(1+'1 - Input'!$B$12)-1</f>
        <v>5.0599999999999978E-2</v>
      </c>
      <c r="C43" s="12">
        <f>'1 - Input'!$B$12</f>
        <v>0.02</v>
      </c>
      <c r="D43" s="12">
        <f t="shared" si="0"/>
        <v>5.0599999999999978E-2</v>
      </c>
      <c r="E43" s="12">
        <f t="shared" si="1"/>
        <v>5.0599999999999978E-2</v>
      </c>
    </row>
    <row r="44" spans="1:5">
      <c r="A44" s="3">
        <v>11</v>
      </c>
      <c r="B44" s="12">
        <f>(1+'1 - Input'!$B$13)*(1+'1 - Input'!$B$12)-1</f>
        <v>5.0599999999999978E-2</v>
      </c>
      <c r="C44" s="12">
        <f>'1 - Input'!$B$12</f>
        <v>0.02</v>
      </c>
      <c r="D44" s="12">
        <f t="shared" si="0"/>
        <v>5.0599999999999978E-2</v>
      </c>
      <c r="E44" s="12">
        <f t="shared" si="1"/>
        <v>5.0599999999999978E-2</v>
      </c>
    </row>
    <row r="45" spans="1:5">
      <c r="A45" s="3">
        <v>12</v>
      </c>
      <c r="B45" s="12">
        <f>(1+'1 - Input'!$B$13)*(1+'1 - Input'!$B$12)-1</f>
        <v>5.0599999999999978E-2</v>
      </c>
      <c r="C45" s="12">
        <f>'1 - Input'!$B$12</f>
        <v>0.02</v>
      </c>
      <c r="D45" s="12">
        <f t="shared" si="0"/>
        <v>5.0599999999999978E-2</v>
      </c>
      <c r="E45" s="12">
        <f t="shared" si="1"/>
        <v>5.0599999999999978E-2</v>
      </c>
    </row>
    <row r="46" spans="1:5">
      <c r="A46" s="3">
        <v>13</v>
      </c>
      <c r="B46" s="12">
        <f>(1+'1 - Input'!$B$13)*(1+'1 - Input'!$B$12)-1</f>
        <v>5.0599999999999978E-2</v>
      </c>
      <c r="C46" s="12">
        <f>'1 - Input'!$B$12</f>
        <v>0.02</v>
      </c>
      <c r="D46" s="12">
        <f t="shared" si="0"/>
        <v>5.0599999999999978E-2</v>
      </c>
      <c r="E46" s="12">
        <f t="shared" si="1"/>
        <v>5.0599999999999978E-2</v>
      </c>
    </row>
    <row r="47" spans="1:5">
      <c r="A47" s="3">
        <v>14</v>
      </c>
      <c r="B47" s="12">
        <f>(1+'1 - Input'!$B$13)*(1+'1 - Input'!$B$12)-1</f>
        <v>5.0599999999999978E-2</v>
      </c>
      <c r="C47" s="12">
        <f>'1 - Input'!$B$12</f>
        <v>0.02</v>
      </c>
      <c r="D47" s="12">
        <f t="shared" si="0"/>
        <v>5.0599999999999978E-2</v>
      </c>
      <c r="E47" s="12">
        <f t="shared" si="1"/>
        <v>5.0599999999999978E-2</v>
      </c>
    </row>
    <row r="48" spans="1:5">
      <c r="A48" s="3">
        <v>15</v>
      </c>
      <c r="B48" s="12">
        <f>(1+'1 - Input'!$B$13)*(1+'1 - Input'!$B$12)-1</f>
        <v>5.0599999999999978E-2</v>
      </c>
      <c r="C48" s="12">
        <f>'1 - Input'!$B$12</f>
        <v>0.02</v>
      </c>
      <c r="D48" s="12">
        <f t="shared" si="0"/>
        <v>5.0599999999999978E-2</v>
      </c>
      <c r="E48" s="12">
        <f t="shared" si="1"/>
        <v>5.0599999999999978E-2</v>
      </c>
    </row>
    <row r="49" spans="1:5">
      <c r="A49" s="3">
        <v>16</v>
      </c>
      <c r="B49" s="12">
        <f>(1+'1 - Input'!$B$13)*(1+'1 - Input'!$B$12)-1</f>
        <v>5.0599999999999978E-2</v>
      </c>
      <c r="C49" s="12">
        <f>'1 - Input'!$B$12</f>
        <v>0.02</v>
      </c>
      <c r="D49" s="12">
        <f t="shared" si="0"/>
        <v>5.0599999999999978E-2</v>
      </c>
      <c r="E49" s="12">
        <f t="shared" si="1"/>
        <v>5.0599999999999978E-2</v>
      </c>
    </row>
    <row r="50" spans="1:5">
      <c r="A50" s="3">
        <v>17</v>
      </c>
      <c r="B50" s="12">
        <f>(1+'1 - Input'!$B$13)*(1+'1 - Input'!$B$12)-1</f>
        <v>5.0599999999999978E-2</v>
      </c>
      <c r="C50" s="12">
        <f>'1 - Input'!$B$12</f>
        <v>0.02</v>
      </c>
      <c r="D50" s="12">
        <f t="shared" si="0"/>
        <v>5.0599999999999978E-2</v>
      </c>
      <c r="E50" s="12">
        <f t="shared" si="1"/>
        <v>5.0599999999999978E-2</v>
      </c>
    </row>
    <row r="51" spans="1:5">
      <c r="A51" s="3">
        <v>18</v>
      </c>
      <c r="B51" s="12">
        <f>(1+'1 - Input'!$B$13)*(1+'1 - Input'!$B$12)-1</f>
        <v>5.0599999999999978E-2</v>
      </c>
      <c r="C51" s="12">
        <f>'1 - Input'!$B$12</f>
        <v>0.02</v>
      </c>
      <c r="D51" s="12">
        <f t="shared" si="0"/>
        <v>5.0599999999999978E-2</v>
      </c>
      <c r="E51" s="12">
        <f t="shared" si="1"/>
        <v>5.0599999999999978E-2</v>
      </c>
    </row>
    <row r="52" spans="1:5">
      <c r="A52" s="3">
        <v>19</v>
      </c>
      <c r="B52" s="12">
        <f>(1+'1 - Input'!$B$13)*(1+'1 - Input'!$B$12)-1</f>
        <v>5.0599999999999978E-2</v>
      </c>
      <c r="C52" s="12">
        <f>'1 - Input'!$B$12</f>
        <v>0.02</v>
      </c>
      <c r="D52" s="12">
        <f t="shared" si="0"/>
        <v>5.0599999999999978E-2</v>
      </c>
      <c r="E52" s="12">
        <f t="shared" si="1"/>
        <v>5.0599999999999978E-2</v>
      </c>
    </row>
    <row r="53" spans="1:5">
      <c r="A53" s="3">
        <v>20</v>
      </c>
      <c r="B53" s="12">
        <f>(1+'1 - Input'!$B$13)*(1+'1 - Input'!$B$12)-1</f>
        <v>5.0599999999999978E-2</v>
      </c>
      <c r="C53" s="12">
        <f>'1 - Input'!$B$12</f>
        <v>0.02</v>
      </c>
      <c r="D53" s="12">
        <f t="shared" si="0"/>
        <v>5.0599999999999978E-2</v>
      </c>
      <c r="E53" s="12">
        <f t="shared" si="1"/>
        <v>5.0599999999999978E-2</v>
      </c>
    </row>
    <row r="54" spans="1:5">
      <c r="A54" s="3">
        <v>21</v>
      </c>
      <c r="B54" s="12">
        <f>(1+'1 - Input'!$B$13)*(1+'1 - Input'!$B$12)-1</f>
        <v>5.0599999999999978E-2</v>
      </c>
      <c r="C54" s="12">
        <f>'1 - Input'!$B$12</f>
        <v>0.02</v>
      </c>
      <c r="D54" s="12">
        <f t="shared" si="0"/>
        <v>5.0599999999999978E-2</v>
      </c>
      <c r="E54" s="12">
        <f t="shared" si="1"/>
        <v>5.0599999999999978E-2</v>
      </c>
    </row>
    <row r="55" spans="1:5">
      <c r="A55" s="3">
        <v>22</v>
      </c>
      <c r="B55" s="12">
        <f>(1+'1 - Input'!$B$13)*(1+'1 - Input'!$B$12)-1</f>
        <v>5.0599999999999978E-2</v>
      </c>
      <c r="C55" s="12">
        <f>'1 - Input'!$B$12</f>
        <v>0.02</v>
      </c>
      <c r="D55" s="12">
        <f t="shared" si="0"/>
        <v>5.0599999999999978E-2</v>
      </c>
      <c r="E55" s="12">
        <f t="shared" si="1"/>
        <v>5.0599999999999978E-2</v>
      </c>
    </row>
    <row r="56" spans="1:5">
      <c r="A56" s="3">
        <v>23</v>
      </c>
      <c r="B56" s="12">
        <f>(1+'1 - Input'!$B$13)*(1+'1 - Input'!$B$12)-1</f>
        <v>5.0599999999999978E-2</v>
      </c>
      <c r="C56" s="12">
        <f>'1 - Input'!$B$12</f>
        <v>0.02</v>
      </c>
      <c r="D56" s="12">
        <f t="shared" si="0"/>
        <v>5.0599999999999978E-2</v>
      </c>
      <c r="E56" s="12">
        <f t="shared" si="1"/>
        <v>5.0599999999999978E-2</v>
      </c>
    </row>
    <row r="57" spans="1:5">
      <c r="A57" s="3">
        <v>24</v>
      </c>
      <c r="B57" s="12">
        <f>(1+'1 - Input'!$B$13)*(1+'1 - Input'!$B$12)-1</f>
        <v>5.0599999999999978E-2</v>
      </c>
      <c r="C57" s="12">
        <f>'1 - Input'!$B$12</f>
        <v>0.02</v>
      </c>
      <c r="D57" s="12">
        <f t="shared" si="0"/>
        <v>5.0599999999999978E-2</v>
      </c>
      <c r="E57" s="12">
        <f t="shared" si="1"/>
        <v>5.0599999999999978E-2</v>
      </c>
    </row>
    <row r="58" spans="1:5">
      <c r="A58" s="3">
        <v>25</v>
      </c>
      <c r="B58" s="12">
        <f>(1+'1 - Input'!$B$13)*(1+'1 - Input'!$B$12)-1</f>
        <v>5.0599999999999978E-2</v>
      </c>
      <c r="C58" s="12">
        <f>'1 - Input'!$B$12</f>
        <v>0.02</v>
      </c>
      <c r="D58" s="12">
        <f t="shared" si="0"/>
        <v>5.0599999999999978E-2</v>
      </c>
      <c r="E58" s="12">
        <f t="shared" si="1"/>
        <v>5.0599999999999978E-2</v>
      </c>
    </row>
    <row r="59" spans="1:5">
      <c r="A59" s="3">
        <v>26</v>
      </c>
      <c r="B59" s="12">
        <f>(1+'1 - Input'!$B$13)*(1+'1 - Input'!$B$12)-1</f>
        <v>5.0599999999999978E-2</v>
      </c>
      <c r="C59" s="12">
        <f>'1 - Input'!$B$12</f>
        <v>0.02</v>
      </c>
      <c r="D59" s="12">
        <f t="shared" si="0"/>
        <v>5.0599999999999978E-2</v>
      </c>
      <c r="E59" s="12">
        <f t="shared" si="1"/>
        <v>5.0599999999999978E-2</v>
      </c>
    </row>
    <row r="60" spans="1:5">
      <c r="A60" s="3">
        <v>27</v>
      </c>
      <c r="B60" s="12">
        <f>(1+'1 - Input'!$B$13)*(1+'1 - Input'!$B$12)-1</f>
        <v>5.0599999999999978E-2</v>
      </c>
      <c r="C60" s="12">
        <f>'1 - Input'!$B$12</f>
        <v>0.02</v>
      </c>
      <c r="D60" s="12">
        <f t="shared" si="0"/>
        <v>5.0599999999999978E-2</v>
      </c>
      <c r="E60" s="12">
        <f t="shared" si="1"/>
        <v>5.0599999999999978E-2</v>
      </c>
    </row>
    <row r="61" spans="1:5">
      <c r="A61" s="3">
        <v>28</v>
      </c>
      <c r="B61" s="12">
        <f>(1+'1 - Input'!$B$13)*(1+'1 - Input'!$B$12)-1</f>
        <v>5.0599999999999978E-2</v>
      </c>
      <c r="C61" s="12">
        <f>'1 - Input'!$B$12</f>
        <v>0.02</v>
      </c>
      <c r="D61" s="12">
        <f t="shared" si="0"/>
        <v>5.0599999999999978E-2</v>
      </c>
      <c r="E61" s="12">
        <f t="shared" si="1"/>
        <v>5.0599999999999978E-2</v>
      </c>
    </row>
    <row r="62" spans="1:5">
      <c r="A62" s="3">
        <v>29</v>
      </c>
      <c r="B62" s="12">
        <f>(1+'1 - Input'!$B$13)*(1+'1 - Input'!$B$12)-1</f>
        <v>5.0599999999999978E-2</v>
      </c>
      <c r="C62" s="12">
        <f>'1 - Input'!$B$12</f>
        <v>0.02</v>
      </c>
      <c r="D62" s="12">
        <f t="shared" si="0"/>
        <v>5.0599999999999978E-2</v>
      </c>
      <c r="E62" s="12">
        <f t="shared" si="1"/>
        <v>5.0599999999999978E-2</v>
      </c>
    </row>
    <row r="63" spans="1:5">
      <c r="A63" s="3">
        <v>30</v>
      </c>
      <c r="B63" s="12">
        <f>(1+'1 - Input'!$B$13)*(1+'1 - Input'!$B$12)-1</f>
        <v>5.0599999999999978E-2</v>
      </c>
      <c r="C63" s="12">
        <f>'1 - Input'!$B$12</f>
        <v>0.02</v>
      </c>
      <c r="D63" s="12">
        <f t="shared" si="0"/>
        <v>5.0599999999999978E-2</v>
      </c>
      <c r="E63" s="12">
        <f t="shared" si="1"/>
        <v>5.0599999999999978E-2</v>
      </c>
    </row>
  </sheetData>
  <mergeCells count="6">
    <mergeCell ref="A25:C25"/>
    <mergeCell ref="A1:C1"/>
    <mergeCell ref="A21:C21"/>
    <mergeCell ref="A32:E32"/>
    <mergeCell ref="A4:C4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403"/>
  <sheetViews>
    <sheetView workbookViewId="0"/>
  </sheetViews>
  <sheetFormatPr defaultRowHeight="15"/>
  <cols>
    <col min="1" max="1" width="21" customWidth="1"/>
    <col min="2" max="13" width="22" customWidth="1"/>
    <col min="14" max="14" width="21" customWidth="1"/>
    <col min="15" max="25" width="22" customWidth="1"/>
    <col min="26" max="26" width="20" customWidth="1"/>
    <col min="27" max="27" width="19" customWidth="1"/>
    <col min="28" max="34" width="22" customWidth="1"/>
    <col min="35" max="35" width="20" customWidth="1"/>
    <col min="36" max="38" width="22" customWidth="1"/>
    <col min="39" max="39" width="21" customWidth="1"/>
    <col min="40" max="42" width="17" customWidth="1"/>
    <col min="43" max="49" width="22" customWidth="1"/>
    <col min="50" max="50" width="21" customWidth="1"/>
    <col min="51" max="51" width="17" customWidth="1"/>
    <col min="52" max="53" width="22" customWidth="1"/>
    <col min="54" max="54" width="20" customWidth="1"/>
    <col min="55" max="55" width="22" customWidth="1"/>
    <col min="56" max="56" width="17" customWidth="1"/>
    <col min="57" max="57" width="20" customWidth="1"/>
    <col min="58" max="58" width="22" customWidth="1"/>
    <col min="59" max="59" width="21" customWidth="1"/>
    <col min="60" max="60" width="20" customWidth="1"/>
    <col min="61" max="61" width="17" customWidth="1"/>
    <col min="62" max="62" width="20" customWidth="1"/>
    <col min="63" max="63" width="19" customWidth="1"/>
    <col min="64" max="65" width="17" customWidth="1"/>
    <col min="66" max="68" width="22" customWidth="1"/>
    <col min="69" max="69" width="17" customWidth="1"/>
    <col min="70" max="70" width="22" customWidth="1"/>
    <col min="71" max="71" width="20" customWidth="1"/>
    <col min="73" max="73" width="21" customWidth="1"/>
    <col min="74" max="74" width="17" customWidth="1"/>
    <col min="75" max="75" width="21" customWidth="1"/>
    <col min="76" max="78" width="17" customWidth="1"/>
    <col min="79" max="85" width="22" customWidth="1"/>
    <col min="86" max="86" width="21" customWidth="1"/>
    <col min="87" max="87" width="17" customWidth="1"/>
    <col min="88" max="89" width="22" customWidth="1"/>
    <col min="90" max="90" width="20" customWidth="1"/>
    <col min="91" max="91" width="22" customWidth="1"/>
    <col min="92" max="92" width="17" customWidth="1"/>
    <col min="93" max="93" width="20" customWidth="1"/>
    <col min="94" max="94" width="22" customWidth="1"/>
    <col min="95" max="95" width="21" customWidth="1"/>
    <col min="96" max="96" width="20" customWidth="1"/>
    <col min="97" max="97" width="17" customWidth="1"/>
    <col min="98" max="98" width="20" customWidth="1"/>
    <col min="99" max="99" width="19" customWidth="1"/>
    <col min="100" max="101" width="17" customWidth="1"/>
    <col min="102" max="104" width="22" customWidth="1"/>
    <col min="105" max="105" width="17" customWidth="1"/>
    <col min="106" max="106" width="22" customWidth="1"/>
    <col min="107" max="107" width="20" customWidth="1"/>
  </cols>
  <sheetData>
    <row r="1" spans="1:38" ht="24.95" customHeight="1">
      <c r="A1" s="24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38" ht="44.1" customHeight="1">
      <c r="A2" s="22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38" ht="32.1" customHeight="1">
      <c r="A3" s="27" t="s">
        <v>82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</row>
    <row r="4" spans="1:38" ht="17.25">
      <c r="A4" s="26" t="s">
        <v>83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N4" s="26" t="s">
        <v>84</v>
      </c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AA4" s="26" t="s">
        <v>85</v>
      </c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</row>
    <row r="5" spans="1:38" ht="62.1" customHeight="1">
      <c r="A5" s="5" t="s">
        <v>77</v>
      </c>
      <c r="B5" s="5" t="s">
        <v>86</v>
      </c>
      <c r="C5" s="5" t="s">
        <v>87</v>
      </c>
      <c r="D5" s="5" t="s">
        <v>88</v>
      </c>
      <c r="E5" s="5" t="s">
        <v>89</v>
      </c>
      <c r="F5" s="5" t="s">
        <v>90</v>
      </c>
      <c r="G5" s="5" t="s">
        <v>91</v>
      </c>
      <c r="H5" s="5" t="s">
        <v>92</v>
      </c>
      <c r="I5" s="5" t="s">
        <v>93</v>
      </c>
      <c r="J5" s="5" t="s">
        <v>94</v>
      </c>
      <c r="K5" s="5" t="s">
        <v>95</v>
      </c>
      <c r="L5" s="5" t="s">
        <v>96</v>
      </c>
      <c r="N5" s="5" t="s">
        <v>77</v>
      </c>
      <c r="O5" s="5" t="s">
        <v>86</v>
      </c>
      <c r="P5" s="5" t="s">
        <v>87</v>
      </c>
      <c r="Q5" s="5" t="s">
        <v>88</v>
      </c>
      <c r="R5" s="5" t="s">
        <v>89</v>
      </c>
      <c r="S5" s="5" t="s">
        <v>90</v>
      </c>
      <c r="T5" s="5" t="s">
        <v>91</v>
      </c>
      <c r="U5" s="5" t="s">
        <v>92</v>
      </c>
      <c r="V5" s="5" t="s">
        <v>93</v>
      </c>
      <c r="W5" s="5" t="s">
        <v>94</v>
      </c>
      <c r="X5" s="5" t="s">
        <v>95</v>
      </c>
      <c r="Y5" s="5" t="s">
        <v>96</v>
      </c>
      <c r="AA5" s="5" t="s">
        <v>77</v>
      </c>
      <c r="AB5" s="5" t="s">
        <v>86</v>
      </c>
      <c r="AC5" s="5" t="s">
        <v>87</v>
      </c>
      <c r="AD5" s="5" t="s">
        <v>88</v>
      </c>
      <c r="AE5" s="5" t="s">
        <v>89</v>
      </c>
      <c r="AF5" s="5" t="s">
        <v>90</v>
      </c>
      <c r="AG5" s="5" t="s">
        <v>91</v>
      </c>
      <c r="AH5" s="5" t="s">
        <v>92</v>
      </c>
      <c r="AI5" s="5" t="s">
        <v>93</v>
      </c>
      <c r="AJ5" s="5" t="s">
        <v>94</v>
      </c>
      <c r="AK5" s="5" t="s">
        <v>95</v>
      </c>
      <c r="AL5" s="5" t="s">
        <v>96</v>
      </c>
    </row>
    <row r="6" spans="1:38">
      <c r="A6" s="3">
        <v>1</v>
      </c>
      <c r="B6" s="13">
        <f>INDEX('2 - Distribuzione'!$Z$44:$Z$403,12*$A6)</f>
        <v>465562.81573045242</v>
      </c>
      <c r="C6" s="13">
        <f>INDEX('2 - Distribuzione'!$AA$44:$AA$403,12*$A6)</f>
        <v>485036.7640952472</v>
      </c>
      <c r="D6" s="13">
        <f>B6/(1+'1 - Input'!$B$12)^$A6</f>
        <v>456434.13306907099</v>
      </c>
      <c r="E6" s="13">
        <f>SUMIFS('2 - Distribuzione'!$H$44:$H$403,'2 - Distribuzione'!$B$44:$B$403,$A6)</f>
        <v>43140.784672890513</v>
      </c>
      <c r="F6" s="13">
        <f>SUMIFS('2 - Distribuzione'!$L$44:$L$403,'2 - Distribuzione'!$B$44:$B$403,$A6)</f>
        <v>31924.180657938981</v>
      </c>
      <c r="G6" s="13">
        <f>SUMIFS('2 - Distribuzione'!$K$44:$K$403,'2 - Distribuzione'!$B$44:$B$403,$A6)</f>
        <v>11216.604014951532</v>
      </c>
      <c r="H6" s="13">
        <f>SUMIFS('2 - Distribuzione'!$S$44:$S$403,'2 - Distribuzione'!$B$44:$B$403,$A6)</f>
        <v>0</v>
      </c>
      <c r="I6" s="13">
        <f>SUMIFS('2 - Distribuzione'!$Y$44:$Y$403,'2 - Distribuzione'!$B$44:$B$403,$A6)</f>
        <v>932.99161469028547</v>
      </c>
      <c r="J6" s="13">
        <f>INDEX('2 - Distribuzione'!$AF$44:$AF$403,12*$A6)</f>
        <v>15.3989993745736</v>
      </c>
      <c r="K6" s="13">
        <f>SUMIFS('2 - Distribuzione'!$AB$44:$AB$403,'2 - Distribuzione'!$B$44:$B$403,$A6)/12</f>
        <v>2700</v>
      </c>
      <c r="L6" s="13">
        <f>K6/(1+'1 - Input'!$B$12)^($A6-0.5)</f>
        <v>2673.3983660370204</v>
      </c>
      <c r="N6" s="3">
        <v>1</v>
      </c>
      <c r="O6" s="13">
        <f>INDEX('2 - Distribuzione'!$BJ$44:$BJ$403,12*$N6)</f>
        <v>465562.81573045242</v>
      </c>
      <c r="P6" s="13">
        <f>INDEX('2 - Distribuzione'!$BK$44:$BK$403,12*$N6)</f>
        <v>485036.7640952472</v>
      </c>
      <c r="Q6" s="13">
        <f>O6/(1+'1 - Input'!$B$12)^$N6</f>
        <v>456434.13306907099</v>
      </c>
      <c r="R6" s="13">
        <f>SUMIFS('2 - Distribuzione'!$AR$44:$AR$403,'2 - Distribuzione'!$AL$44:$AL$403,$N6)</f>
        <v>43140.784672890513</v>
      </c>
      <c r="S6" s="13">
        <f>SUMIFS('2 - Distribuzione'!$AV$44:$AV$403,'2 - Distribuzione'!$AL$44:$AL$403,$N6)</f>
        <v>31924.180657938981</v>
      </c>
      <c r="T6" s="13">
        <f>SUMIFS('2 - Distribuzione'!$AU$44:$AU$403,'2 - Distribuzione'!$AL$44:$AL$403,$N6)</f>
        <v>11216.604014951532</v>
      </c>
      <c r="U6" s="13">
        <f>SUMIFS('2 - Distribuzione'!$BC$44:$BC$403,'2 - Distribuzione'!$AL$44:$AL$403,$N6)</f>
        <v>0</v>
      </c>
      <c r="V6" s="13">
        <f>SUMIFS('2 - Distribuzione'!$BI$44:$BI$403,'2 - Distribuzione'!$AL$44:$AL$403,$N6)</f>
        <v>932.99161469028547</v>
      </c>
      <c r="W6" s="13">
        <f>INDEX('2 - Distribuzione'!$BP$44:$BP$403,12*$N6)</f>
        <v>15.3989993745736</v>
      </c>
      <c r="X6" s="13">
        <f>SUMIFS('2 - Distribuzione'!$BL$44:$BL$403,'2 - Distribuzione'!$AL$44:$AL$403,$N6)/12</f>
        <v>2700</v>
      </c>
      <c r="Y6" s="13">
        <f>X6/(1+'1 - Input'!$B$12)^($N6-0.5)</f>
        <v>2673.3983660370204</v>
      </c>
      <c r="AA6" s="3">
        <v>1</v>
      </c>
      <c r="AB6" s="13">
        <f>INDEX('2 - Distribuzione'!$CT$44:$CT$403,12*$AA6)</f>
        <v>477016.24227971135</v>
      </c>
      <c r="AC6" s="13">
        <f>INDEX('2 - Distribuzione'!$CU$44:$CU$403,12*$AA6)</f>
        <v>453191.8</v>
      </c>
      <c r="AD6" s="13">
        <f>AB6/(1+'1 - Input'!$B$12)^$AA6</f>
        <v>467662.98262716801</v>
      </c>
      <c r="AE6" s="13">
        <f>SUMIFS('2 - Distribuzione'!$CB$44:$CB$403,'2 - Distribuzione'!$BV$44:$BV$403,$AA6)</f>
        <v>43615.404134851997</v>
      </c>
      <c r="AF6" s="13">
        <f>SUMIFS('2 - Distribuzione'!$CF$44:$CF$403,'2 - Distribuzione'!$BV$44:$BV$403,$AA6)</f>
        <v>43615.404134851997</v>
      </c>
      <c r="AG6" s="13">
        <f>SUMIFS('2 - Distribuzione'!$CE$44:$CE$403,'2 - Distribuzione'!$BV$44:$BV$403,$AA6)</f>
        <v>0</v>
      </c>
      <c r="AH6" s="13">
        <f>SUMIFS('2 - Distribuzione'!$CM$44:$CM$403,'2 - Distribuzione'!$BV$44:$BV$403,$AA6)</f>
        <v>0</v>
      </c>
      <c r="AI6" s="13">
        <f>SUMIFS('2 - Distribuzione'!$CS$44:$CS$403,'2 - Distribuzione'!$BV$44:$BV$403,$AA6)</f>
        <v>955.94437330603489</v>
      </c>
      <c r="AJ6" s="13">
        <f>INDEX('2 - Distribuzione'!$CZ$44:$CZ$403,12*$AA6)</f>
        <v>0</v>
      </c>
      <c r="AK6" s="13">
        <f>SUMIFS('2 - Distribuzione'!$CV$44:$CV$403,'2 - Distribuzione'!$BV$44:$BV$403,$AA6)/12</f>
        <v>2700</v>
      </c>
      <c r="AL6" s="13">
        <f>AK6/(1+'1 - Input'!$B$12)^($AA6-0.5)</f>
        <v>2673.3983660370204</v>
      </c>
    </row>
    <row r="7" spans="1:38">
      <c r="A7" s="3">
        <v>2</v>
      </c>
      <c r="B7" s="13">
        <f>INDEX('2 - Distribuzione'!$Z$44:$Z$403,12*$A7)</f>
        <v>443463.96414502867</v>
      </c>
      <c r="C7" s="13">
        <f>INDEX('2 - Distribuzione'!$AA$44:$AA$403,12*$A7)</f>
        <v>481339.08147691604</v>
      </c>
      <c r="D7" s="13">
        <f>B7/(1+'1 - Input'!$B$12)^$A7</f>
        <v>426243.71794024284</v>
      </c>
      <c r="E7" s="13">
        <f>SUMIFS('2 - Distribuzione'!$H$44:$H$403,'2 - Distribuzione'!$B$44:$B$403,$A7)</f>
        <v>41198.954255362958</v>
      </c>
      <c r="F7" s="13">
        <f>SUMIFS('2 - Distribuzione'!$L$44:$L$403,'2 - Distribuzione'!$B$44:$B$403,$A7)</f>
        <v>30487.226148968592</v>
      </c>
      <c r="G7" s="13">
        <f>SUMIFS('2 - Distribuzione'!$K$44:$K$403,'2 - Distribuzione'!$B$44:$B$403,$A7)</f>
        <v>10711.728106394368</v>
      </c>
      <c r="H7" s="13">
        <f>SUMIFS('2 - Distribuzione'!$S$44:$S$403,'2 - Distribuzione'!$B$44:$B$403,$A7)</f>
        <v>0</v>
      </c>
      <c r="I7" s="13">
        <f>SUMIFS('2 - Distribuzione'!$Y$44:$Y$403,'2 - Distribuzione'!$B$44:$B$403,$A7)</f>
        <v>888.70533896799338</v>
      </c>
      <c r="J7" s="13">
        <f>INDEX('2 - Distribuzione'!$AF$44:$AF$403,12*$A7)</f>
        <v>187.70038896509692</v>
      </c>
      <c r="K7" s="13">
        <f>SUMIFS('2 - Distribuzione'!$AB$44:$AB$403,'2 - Distribuzione'!$B$44:$B$403,$A7)/12</f>
        <v>2754</v>
      </c>
      <c r="L7" s="13">
        <f>K7/(1+'1 - Input'!$B$12)^($A7-0.5)</f>
        <v>2673.3983660370204</v>
      </c>
      <c r="N7" s="3">
        <v>2</v>
      </c>
      <c r="O7" s="13">
        <f>INDEX('2 - Distribuzione'!$BJ$44:$BJ$403,12*$N7)</f>
        <v>443463.96414502867</v>
      </c>
      <c r="P7" s="13">
        <f>INDEX('2 - Distribuzione'!$BK$44:$BK$403,12*$N7)</f>
        <v>481339.08147691604</v>
      </c>
      <c r="Q7" s="13">
        <f>O7/(1+'1 - Input'!$B$12)^$N7</f>
        <v>426243.71794024284</v>
      </c>
      <c r="R7" s="13">
        <f>SUMIFS('2 - Distribuzione'!$AR$44:$AR$403,'2 - Distribuzione'!$AL$44:$AL$403,$N7)</f>
        <v>41198.954255362958</v>
      </c>
      <c r="S7" s="13">
        <f>SUMIFS('2 - Distribuzione'!$AV$44:$AV$403,'2 - Distribuzione'!$AL$44:$AL$403,$N7)</f>
        <v>30487.226148968592</v>
      </c>
      <c r="T7" s="13">
        <f>SUMIFS('2 - Distribuzione'!$AU$44:$AU$403,'2 - Distribuzione'!$AL$44:$AL$403,$N7)</f>
        <v>10711.728106394368</v>
      </c>
      <c r="U7" s="13">
        <f>SUMIFS('2 - Distribuzione'!$BC$44:$BC$403,'2 - Distribuzione'!$AL$44:$AL$403,$N7)</f>
        <v>0</v>
      </c>
      <c r="V7" s="13">
        <f>SUMIFS('2 - Distribuzione'!$BI$44:$BI$403,'2 - Distribuzione'!$AL$44:$AL$403,$N7)</f>
        <v>888.70533896799338</v>
      </c>
      <c r="W7" s="13">
        <f>INDEX('2 - Distribuzione'!$BP$44:$BP$403,12*$N7)</f>
        <v>187.70038896509692</v>
      </c>
      <c r="X7" s="13">
        <f>SUMIFS('2 - Distribuzione'!$BL$44:$BL$403,'2 - Distribuzione'!$AL$44:$AL$403,$N7)/12</f>
        <v>2754</v>
      </c>
      <c r="Y7" s="13">
        <f>X7/(1+'1 - Input'!$B$12)^($N7-0.5)</f>
        <v>2673.3983660370204</v>
      </c>
      <c r="AA7" s="3">
        <v>2</v>
      </c>
      <c r="AB7" s="13">
        <f>INDEX('2 - Distribuzione'!$CT$44:$CT$403,12*$AA7)</f>
        <v>466410.96521209244</v>
      </c>
      <c r="AC7" s="13">
        <f>INDEX('2 - Distribuzione'!$CU$44:$CU$403,12*$AA7)</f>
        <v>419303.51240000001</v>
      </c>
      <c r="AD7" s="13">
        <f>AB7/(1+'1 - Input'!$B$12)^$AA7</f>
        <v>448299.65898893931</v>
      </c>
      <c r="AE7" s="13">
        <f>SUMIFS('2 - Distribuzione'!$CB$44:$CB$403,'2 - Distribuzione'!$BV$44:$BV$403,$AA7)</f>
        <v>42711.435896612718</v>
      </c>
      <c r="AF7" s="13">
        <f>SUMIFS('2 - Distribuzione'!$CF$44:$CF$403,'2 - Distribuzione'!$BV$44:$BV$403,$AA7)</f>
        <v>42711.435896612718</v>
      </c>
      <c r="AG7" s="13">
        <f>SUMIFS('2 - Distribuzione'!$CE$44:$CE$403,'2 - Distribuzione'!$BV$44:$BV$403,$AA7)</f>
        <v>0</v>
      </c>
      <c r="AH7" s="13">
        <f>SUMIFS('2 - Distribuzione'!$CM$44:$CM$403,'2 - Distribuzione'!$BV$44:$BV$403,$AA7)</f>
        <v>0</v>
      </c>
      <c r="AI7" s="13">
        <f>SUMIFS('2 - Distribuzione'!$CS$44:$CS$403,'2 - Distribuzione'!$BV$44:$BV$403,$AA7)</f>
        <v>934.69131305028543</v>
      </c>
      <c r="AJ7" s="13">
        <f>INDEX('2 - Distribuzione'!$CZ$44:$CZ$403,12*$AA7)</f>
        <v>0</v>
      </c>
      <c r="AK7" s="13">
        <f>SUMIFS('2 - Distribuzione'!$CV$44:$CV$403,'2 - Distribuzione'!$BV$44:$BV$403,$AA7)/12</f>
        <v>2754</v>
      </c>
      <c r="AL7" s="13">
        <f>AK7/(1+'1 - Input'!$B$12)^($AA7-0.5)</f>
        <v>2673.3983660370204</v>
      </c>
    </row>
    <row r="8" spans="1:38">
      <c r="A8" s="3">
        <v>3</v>
      </c>
      <c r="B8" s="13">
        <f>INDEX('2 - Distribuzione'!$Z$44:$Z$403,12*$A8)</f>
        <v>420162.21430376614</v>
      </c>
      <c r="C8" s="13">
        <f>INDEX('2 - Distribuzione'!$AA$44:$AA$403,12*$A8)</f>
        <v>475123.16087811283</v>
      </c>
      <c r="D8" s="13">
        <f>B8/(1+'1 - Input'!$B$12)^$A8</f>
        <v>395928.23867118056</v>
      </c>
      <c r="E8" s="13">
        <f>SUMIFS('2 - Distribuzione'!$H$44:$H$403,'2 - Distribuzione'!$B$44:$B$403,$A8)</f>
        <v>39150.343663075721</v>
      </c>
      <c r="F8" s="13">
        <f>SUMIFS('2 - Distribuzione'!$L$44:$L$403,'2 - Distribuzione'!$B$44:$B$403,$A8)</f>
        <v>28971.254310676024</v>
      </c>
      <c r="G8" s="13">
        <f>SUMIFS('2 - Distribuzione'!$K$44:$K$403,'2 - Distribuzione'!$B$44:$B$403,$A8)</f>
        <v>10179.089352399686</v>
      </c>
      <c r="H8" s="13">
        <f>SUMIFS('2 - Distribuzione'!$S$44:$S$403,'2 - Distribuzione'!$B$44:$B$403,$A8)</f>
        <v>0</v>
      </c>
      <c r="I8" s="13">
        <f>SUMIFS('2 - Distribuzione'!$Y$44:$Y$403,'2 - Distribuzione'!$B$44:$B$403,$A8)</f>
        <v>842.00844549852934</v>
      </c>
      <c r="J8" s="13">
        <f>INDEX('2 - Distribuzione'!$AF$44:$AF$403,12*$A8)</f>
        <v>713.76467544215041</v>
      </c>
      <c r="K8" s="13">
        <f>SUMIFS('2 - Distribuzione'!$AB$44:$AB$403,'2 - Distribuzione'!$B$44:$B$403,$A8)/12</f>
        <v>2809.0800000000004</v>
      </c>
      <c r="L8" s="13">
        <f>K8/(1+'1 - Input'!$B$12)^($A8-0.5)</f>
        <v>2673.3983660370209</v>
      </c>
      <c r="N8" s="3">
        <v>3</v>
      </c>
      <c r="O8" s="13">
        <f>INDEX('2 - Distribuzione'!$BJ$44:$BJ$403,12*$N8)</f>
        <v>420162.21430376614</v>
      </c>
      <c r="P8" s="13">
        <f>INDEX('2 - Distribuzione'!$BK$44:$BK$403,12*$N8)</f>
        <v>475123.16087811283</v>
      </c>
      <c r="Q8" s="13">
        <f>O8/(1+'1 - Input'!$B$12)^$N8</f>
        <v>395928.23867118056</v>
      </c>
      <c r="R8" s="13">
        <f>SUMIFS('2 - Distribuzione'!$AR$44:$AR$403,'2 - Distribuzione'!$AL$44:$AL$403,$N8)</f>
        <v>39150.343663075721</v>
      </c>
      <c r="S8" s="13">
        <f>SUMIFS('2 - Distribuzione'!$AV$44:$AV$403,'2 - Distribuzione'!$AL$44:$AL$403,$N8)</f>
        <v>28971.254310676024</v>
      </c>
      <c r="T8" s="13">
        <f>SUMIFS('2 - Distribuzione'!$AU$44:$AU$403,'2 - Distribuzione'!$AL$44:$AL$403,$N8)</f>
        <v>10179.089352399686</v>
      </c>
      <c r="U8" s="13">
        <f>SUMIFS('2 - Distribuzione'!$BC$44:$BC$403,'2 - Distribuzione'!$AL$44:$AL$403,$N8)</f>
        <v>0</v>
      </c>
      <c r="V8" s="13">
        <f>SUMIFS('2 - Distribuzione'!$BI$44:$BI$403,'2 - Distribuzione'!$AL$44:$AL$403,$N8)</f>
        <v>842.00844549852934</v>
      </c>
      <c r="W8" s="13">
        <f>INDEX('2 - Distribuzione'!$BP$44:$BP$403,12*$N8)</f>
        <v>713.76467544215041</v>
      </c>
      <c r="X8" s="13">
        <f>SUMIFS('2 - Distribuzione'!$BL$44:$BL$403,'2 - Distribuzione'!$AL$44:$AL$403,$N8)/12</f>
        <v>2809.0800000000004</v>
      </c>
      <c r="Y8" s="13">
        <f>X8/(1+'1 - Input'!$B$12)^($N8-0.5)</f>
        <v>2673.3983660370209</v>
      </c>
      <c r="AA8" s="3">
        <v>3</v>
      </c>
      <c r="AB8" s="13">
        <f>INDEX('2 - Distribuzione'!$CT$44:$CT$403,12*$AA8)</f>
        <v>454616.54508505267</v>
      </c>
      <c r="AC8" s="13">
        <f>INDEX('2 - Distribuzione'!$CU$44:$CU$403,12*$AA8)</f>
        <v>384823.36329520011</v>
      </c>
      <c r="AD8" s="13">
        <f>AB8/(1+'1 - Input'!$B$12)^$AA8</f>
        <v>428395.32408825855</v>
      </c>
      <c r="AE8" s="13">
        <f>SUMIFS('2 - Distribuzione'!$CB$44:$CB$403,'2 - Distribuzione'!$BV$44:$BV$403,$AA8)</f>
        <v>41703.241023574839</v>
      </c>
      <c r="AF8" s="13">
        <f>SUMIFS('2 - Distribuzione'!$CF$44:$CF$403,'2 - Distribuzione'!$BV$44:$BV$403,$AA8)</f>
        <v>41703.241023574839</v>
      </c>
      <c r="AG8" s="13">
        <f>SUMIFS('2 - Distribuzione'!$CE$44:$CE$403,'2 - Distribuzione'!$BV$44:$BV$403,$AA8)</f>
        <v>0</v>
      </c>
      <c r="AH8" s="13">
        <f>SUMIFS('2 - Distribuzione'!$CM$44:$CM$403,'2 - Distribuzione'!$BV$44:$BV$403,$AA8)</f>
        <v>0</v>
      </c>
      <c r="AI8" s="13">
        <f>SUMIFS('2 - Distribuzione'!$CS$44:$CS$403,'2 - Distribuzione'!$BV$44:$BV$403,$AA8)</f>
        <v>911.05520057124784</v>
      </c>
      <c r="AJ8" s="13">
        <f>INDEX('2 - Distribuzione'!$CZ$44:$CZ$403,12*$AA8)</f>
        <v>0</v>
      </c>
      <c r="AK8" s="13">
        <f>SUMIFS('2 - Distribuzione'!$CV$44:$CV$403,'2 - Distribuzione'!$BV$44:$BV$403,$AA8)/12</f>
        <v>2809.0800000000004</v>
      </c>
      <c r="AL8" s="13">
        <f>AK8/(1+'1 - Input'!$B$12)^($AA8-0.5)</f>
        <v>2673.3983660370209</v>
      </c>
    </row>
    <row r="9" spans="1:38">
      <c r="A9" s="3">
        <v>4</v>
      </c>
      <c r="B9" s="13">
        <f>INDEX('2 - Distribuzione'!$Z$44:$Z$403,12*$A9)</f>
        <v>395615.07464968698</v>
      </c>
      <c r="C9" s="13">
        <f>INDEX('2 - Distribuzione'!$AA$44:$AA$403,12*$A9)</f>
        <v>466077.84408268478</v>
      </c>
      <c r="D9" s="13">
        <f>B9/(1+'1 - Input'!$B$12)^$A9</f>
        <v>365487.1771822513</v>
      </c>
      <c r="E9" s="13">
        <f>SUMIFS('2 - Distribuzione'!$H$44:$H$403,'2 - Distribuzione'!$B$44:$B$403,$A9)</f>
        <v>36991.171335063853</v>
      </c>
      <c r="F9" s="13">
        <f>SUMIFS('2 - Distribuzione'!$L$44:$L$403,'2 - Distribuzione'!$B$44:$B$403,$A9)</f>
        <v>27373.466787947247</v>
      </c>
      <c r="G9" s="13">
        <f>SUMIFS('2 - Distribuzione'!$K$44:$K$403,'2 - Distribuzione'!$B$44:$B$403,$A9)</f>
        <v>9617.7045471166002</v>
      </c>
      <c r="H9" s="13">
        <f>SUMIFS('2 - Distribuzione'!$S$44:$S$403,'2 - Distribuzione'!$B$44:$B$403,$A9)</f>
        <v>0</v>
      </c>
      <c r="I9" s="13">
        <f>SUMIFS('2 - Distribuzione'!$Y$44:$Y$403,'2 - Distribuzione'!$B$44:$B$403,$A9)</f>
        <v>792.81578086109607</v>
      </c>
      <c r="J9" s="13">
        <f>INDEX('2 - Distribuzione'!$AF$44:$AF$403,12*$A9)</f>
        <v>1815.3853231808132</v>
      </c>
      <c r="K9" s="13">
        <f>SUMIFS('2 - Distribuzione'!$AB$44:$AB$403,'2 - Distribuzione'!$B$44:$B$403,$A9)/12</f>
        <v>2865.2615999999994</v>
      </c>
      <c r="L9" s="13">
        <f>K9/(1+'1 - Input'!$B$12)^($A9-0.5)</f>
        <v>2673.39836603702</v>
      </c>
      <c r="N9" s="3">
        <v>4</v>
      </c>
      <c r="O9" s="13">
        <f>INDEX('2 - Distribuzione'!$BJ$44:$BJ$403,12*$N9)</f>
        <v>395615.07464968698</v>
      </c>
      <c r="P9" s="13">
        <f>INDEX('2 - Distribuzione'!$BK$44:$BK$403,12*$N9)</f>
        <v>466077.84408268478</v>
      </c>
      <c r="Q9" s="13">
        <f>O9/(1+'1 - Input'!$B$12)^$N9</f>
        <v>365487.1771822513</v>
      </c>
      <c r="R9" s="13">
        <f>SUMIFS('2 - Distribuzione'!$AR$44:$AR$403,'2 - Distribuzione'!$AL$44:$AL$403,$N9)</f>
        <v>36991.171335063853</v>
      </c>
      <c r="S9" s="13">
        <f>SUMIFS('2 - Distribuzione'!$AV$44:$AV$403,'2 - Distribuzione'!$AL$44:$AL$403,$N9)</f>
        <v>27373.466787947247</v>
      </c>
      <c r="T9" s="13">
        <f>SUMIFS('2 - Distribuzione'!$AU$44:$AU$403,'2 - Distribuzione'!$AL$44:$AL$403,$N9)</f>
        <v>9617.7045471166002</v>
      </c>
      <c r="U9" s="13">
        <f>SUMIFS('2 - Distribuzione'!$BC$44:$BC$403,'2 - Distribuzione'!$AL$44:$AL$403,$N9)</f>
        <v>0</v>
      </c>
      <c r="V9" s="13">
        <f>SUMIFS('2 - Distribuzione'!$BI$44:$BI$403,'2 - Distribuzione'!$AL$44:$AL$403,$N9)</f>
        <v>792.81578086109607</v>
      </c>
      <c r="W9" s="13">
        <f>INDEX('2 - Distribuzione'!$BP$44:$BP$403,12*$N9)</f>
        <v>1815.3853231808132</v>
      </c>
      <c r="X9" s="13">
        <f>SUMIFS('2 - Distribuzione'!$BL$44:$BL$403,'2 - Distribuzione'!$AL$44:$AL$403,$N9)/12</f>
        <v>2865.2615999999994</v>
      </c>
      <c r="Y9" s="13">
        <f>X9/(1+'1 - Input'!$B$12)^($N9-0.5)</f>
        <v>2673.39836603702</v>
      </c>
      <c r="AA9" s="3">
        <v>4</v>
      </c>
      <c r="AB9" s="13">
        <f>INDEX('2 - Distribuzione'!$CT$44:$CT$403,12*$AA9)</f>
        <v>441561.81389022223</v>
      </c>
      <c r="AC9" s="13">
        <f>INDEX('2 - Distribuzione'!$CU$44:$CU$403,12*$AA9)</f>
        <v>349739.34364700981</v>
      </c>
      <c r="AD9" s="13">
        <f>AB9/(1+'1 - Input'!$B$12)^$AA9</f>
        <v>407934.86207045277</v>
      </c>
      <c r="AE9" s="13">
        <f>SUMIFS('2 - Distribuzione'!$CB$44:$CB$403,'2 - Distribuzione'!$BV$44:$BV$403,$AA9)</f>
        <v>40584.556943822456</v>
      </c>
      <c r="AF9" s="13">
        <f>SUMIFS('2 - Distribuzione'!$CF$44:$CF$403,'2 - Distribuzione'!$BV$44:$BV$403,$AA9)</f>
        <v>40584.556943822456</v>
      </c>
      <c r="AG9" s="13">
        <f>SUMIFS('2 - Distribuzione'!$CE$44:$CE$403,'2 - Distribuzione'!$BV$44:$BV$403,$AA9)</f>
        <v>0</v>
      </c>
      <c r="AH9" s="13">
        <f>SUMIFS('2 - Distribuzione'!$CM$44:$CM$403,'2 - Distribuzione'!$BV$44:$BV$403,$AA9)</f>
        <v>0</v>
      </c>
      <c r="AI9" s="13">
        <f>SUMIFS('2 - Distribuzione'!$CS$44:$CS$403,'2 - Distribuzione'!$BV$44:$BV$403,$AA9)</f>
        <v>884.89341460966375</v>
      </c>
      <c r="AJ9" s="13">
        <f>INDEX('2 - Distribuzione'!$CZ$44:$CZ$403,12*$AA9)</f>
        <v>0</v>
      </c>
      <c r="AK9" s="13">
        <f>SUMIFS('2 - Distribuzione'!$CV$44:$CV$403,'2 - Distribuzione'!$BV$44:$BV$403,$AA9)/12</f>
        <v>2865.2615999999994</v>
      </c>
      <c r="AL9" s="13">
        <f>AK9/(1+'1 - Input'!$B$12)^($AA9-0.5)</f>
        <v>2673.39836603702</v>
      </c>
    </row>
    <row r="10" spans="1:38">
      <c r="A10" s="3">
        <v>5</v>
      </c>
      <c r="B10" s="13">
        <f>INDEX('2 - Distribuzione'!$Z$44:$Z$403,12*$A10)</f>
        <v>369778.75723424449</v>
      </c>
      <c r="C10" s="13">
        <f>INDEX('2 - Distribuzione'!$AA$44:$AA$403,12*$A10)</f>
        <v>453862.18906022114</v>
      </c>
      <c r="D10" s="13">
        <f>B10/(1+'1 - Input'!$B$12)^$A10</f>
        <v>334920.01324767212</v>
      </c>
      <c r="E10" s="13">
        <f>SUMIFS('2 - Distribuzione'!$H$44:$H$403,'2 - Distribuzione'!$B$44:$B$403,$A10)</f>
        <v>34717.540205228099</v>
      </c>
      <c r="F10" s="13">
        <f>SUMIFS('2 - Distribuzione'!$L$44:$L$403,'2 - Distribuzione'!$B$44:$B$403,$A10)</f>
        <v>25690.979751868792</v>
      </c>
      <c r="G10" s="13">
        <f>SUMIFS('2 - Distribuzione'!$K$44:$K$403,'2 - Distribuzione'!$B$44:$B$403,$A10)</f>
        <v>9026.560453359305</v>
      </c>
      <c r="H10" s="13">
        <f>SUMIFS('2 - Distribuzione'!$S$44:$S$403,'2 - Distribuzione'!$B$44:$B$403,$A10)</f>
        <v>0</v>
      </c>
      <c r="I10" s="13">
        <f>SUMIFS('2 - Distribuzione'!$Y$44:$Y$403,'2 - Distribuzione'!$B$44:$B$403,$A10)</f>
        <v>741.03959365580056</v>
      </c>
      <c r="J10" s="13">
        <f>INDEX('2 - Distribuzione'!$AF$44:$AF$403,12*$A10)</f>
        <v>3741.6746484627388</v>
      </c>
      <c r="K10" s="13">
        <f>SUMIFS('2 - Distribuzione'!$AB$44:$AB$403,'2 - Distribuzione'!$B$44:$B$403,$A10)/12</f>
        <v>2922.566832</v>
      </c>
      <c r="L10" s="13">
        <f>K10/(1+'1 - Input'!$B$12)^($A10-0.5)</f>
        <v>2673.3983660370204</v>
      </c>
      <c r="N10" s="3">
        <v>5</v>
      </c>
      <c r="O10" s="13">
        <f>INDEX('2 - Distribuzione'!$BJ$44:$BJ$403,12*$N10)</f>
        <v>369778.75723424449</v>
      </c>
      <c r="P10" s="13">
        <f>INDEX('2 - Distribuzione'!$BK$44:$BK$403,12*$N10)</f>
        <v>453862.18906022114</v>
      </c>
      <c r="Q10" s="13">
        <f>O10/(1+'1 - Input'!$B$12)^$N10</f>
        <v>334920.01324767212</v>
      </c>
      <c r="R10" s="13">
        <f>SUMIFS('2 - Distribuzione'!$AR$44:$AR$403,'2 - Distribuzione'!$AL$44:$AL$403,$N10)</f>
        <v>34717.540205228099</v>
      </c>
      <c r="S10" s="13">
        <f>SUMIFS('2 - Distribuzione'!$AV$44:$AV$403,'2 - Distribuzione'!$AL$44:$AL$403,$N10)</f>
        <v>25690.979751868792</v>
      </c>
      <c r="T10" s="13">
        <f>SUMIFS('2 - Distribuzione'!$AU$44:$AU$403,'2 - Distribuzione'!$AL$44:$AL$403,$N10)</f>
        <v>9026.560453359305</v>
      </c>
      <c r="U10" s="13">
        <f>SUMIFS('2 - Distribuzione'!$BC$44:$BC$403,'2 - Distribuzione'!$AL$44:$AL$403,$N10)</f>
        <v>0</v>
      </c>
      <c r="V10" s="13">
        <f>SUMIFS('2 - Distribuzione'!$BI$44:$BI$403,'2 - Distribuzione'!$AL$44:$AL$403,$N10)</f>
        <v>741.03959365580056</v>
      </c>
      <c r="W10" s="13">
        <f>INDEX('2 - Distribuzione'!$BP$44:$BP$403,12*$N10)</f>
        <v>3741.6746484627388</v>
      </c>
      <c r="X10" s="13">
        <f>SUMIFS('2 - Distribuzione'!$BL$44:$BL$403,'2 - Distribuzione'!$AL$44:$AL$403,$N10)/12</f>
        <v>2922.566832</v>
      </c>
      <c r="Y10" s="13">
        <f>X10/(1+'1 - Input'!$B$12)^($N10-0.5)</f>
        <v>2673.3983660370204</v>
      </c>
      <c r="AA10" s="3">
        <v>5</v>
      </c>
      <c r="AB10" s="13">
        <f>INDEX('2 - Distribuzione'!$CT$44:$CT$403,12*$AA10)</f>
        <v>427171.88213628763</v>
      </c>
      <c r="AC10" s="13">
        <f>INDEX('2 - Distribuzione'!$CU$44:$CU$403,12*$AA10)</f>
        <v>314039.20457968366</v>
      </c>
      <c r="AD10" s="13">
        <f>AB10/(1+'1 - Input'!$B$12)^$AA10</f>
        <v>386902.73474386916</v>
      </c>
      <c r="AE10" s="13">
        <f>SUMIFS('2 - Distribuzione'!$CB$44:$CB$403,'2 - Distribuzione'!$BV$44:$BV$403,$AA10)</f>
        <v>39348.793204112852</v>
      </c>
      <c r="AF10" s="13">
        <f>SUMIFS('2 - Distribuzione'!$CF$44:$CF$403,'2 - Distribuzione'!$BV$44:$BV$403,$AA10)</f>
        <v>39348.793204112852</v>
      </c>
      <c r="AG10" s="13">
        <f>SUMIFS('2 - Distribuzione'!$CE$44:$CE$403,'2 - Distribuzione'!$BV$44:$BV$403,$AA10)</f>
        <v>0</v>
      </c>
      <c r="AH10" s="13">
        <f>SUMIFS('2 - Distribuzione'!$CM$44:$CM$403,'2 - Distribuzione'!$BV$44:$BV$403,$AA10)</f>
        <v>0</v>
      </c>
      <c r="AI10" s="13">
        <f>SUMIFS('2 - Distribuzione'!$CS$44:$CS$403,'2 - Distribuzione'!$BV$44:$BV$403,$AA10)</f>
        <v>856.05587602462458</v>
      </c>
      <c r="AJ10" s="13">
        <f>INDEX('2 - Distribuzione'!$CZ$44:$CZ$403,12*$AA10)</f>
        <v>0</v>
      </c>
      <c r="AK10" s="13">
        <f>SUMIFS('2 - Distribuzione'!$CV$44:$CV$403,'2 - Distribuzione'!$BV$44:$BV$403,$AA10)/12</f>
        <v>2922.566832</v>
      </c>
      <c r="AL10" s="13">
        <f>AK10/(1+'1 - Input'!$B$12)^($AA10-0.5)</f>
        <v>2673.3983660370204</v>
      </c>
    </row>
    <row r="11" spans="1:38">
      <c r="A11" s="3">
        <v>6</v>
      </c>
      <c r="B11" s="13">
        <f>INDEX('2 - Distribuzione'!$Z$44:$Z$403,12*$A11)</f>
        <v>342608.14097140293</v>
      </c>
      <c r="C11" s="13">
        <f>INDEX('2 - Distribuzione'!$AA$44:$AA$403,12*$A11)</f>
        <v>438102.91376247362</v>
      </c>
      <c r="D11" s="13">
        <f>B11/(1+'1 - Input'!$B$12)^$A11</f>
        <v>304226.22448661836</v>
      </c>
      <c r="E11" s="13">
        <f>SUMIFS('2 - Distribuzione'!$H$44:$H$403,'2 - Distribuzione'!$B$44:$B$403,$A11)</f>
        <v>32325.434426272215</v>
      </c>
      <c r="F11" s="13">
        <f>SUMIFS('2 - Distribuzione'!$L$44:$L$403,'2 - Distribuzione'!$B$44:$B$403,$A11)</f>
        <v>23920.821475441444</v>
      </c>
      <c r="G11" s="13">
        <f>SUMIFS('2 - Distribuzione'!$K$44:$K$403,'2 - Distribuzione'!$B$44:$B$403,$A11)</f>
        <v>8404.6129508307768</v>
      </c>
      <c r="H11" s="13">
        <f>SUMIFS('2 - Distribuzione'!$S$44:$S$403,'2 - Distribuzione'!$B$44:$B$403,$A11)</f>
        <v>0</v>
      </c>
      <c r="I11" s="13">
        <f>SUMIFS('2 - Distribuzione'!$Y$44:$Y$403,'2 - Distribuzione'!$B$44:$B$403,$A11)</f>
        <v>686.589460864535</v>
      </c>
      <c r="J11" s="13">
        <f>INDEX('2 - Distribuzione'!$AF$44:$AF$403,12*$A11)</f>
        <v>6771.5916469447957</v>
      </c>
      <c r="K11" s="13">
        <f>SUMIFS('2 - Distribuzione'!$AB$44:$AB$403,'2 - Distribuzione'!$B$44:$B$403,$A11)/12</f>
        <v>2981.0181686399997</v>
      </c>
      <c r="L11" s="13">
        <f>K11/(1+'1 - Input'!$B$12)^($A11-0.5)</f>
        <v>2673.3983660370204</v>
      </c>
      <c r="N11" s="3">
        <v>6</v>
      </c>
      <c r="O11" s="13">
        <f>INDEX('2 - Distribuzione'!$BJ$44:$BJ$403,12*$N11)</f>
        <v>342608.14097140293</v>
      </c>
      <c r="P11" s="13">
        <f>INDEX('2 - Distribuzione'!$BK$44:$BK$403,12*$N11)</f>
        <v>438102.91376247362</v>
      </c>
      <c r="Q11" s="13">
        <f>O11/(1+'1 - Input'!$B$12)^$N11</f>
        <v>304226.22448661836</v>
      </c>
      <c r="R11" s="13">
        <f>SUMIFS('2 - Distribuzione'!$AR$44:$AR$403,'2 - Distribuzione'!$AL$44:$AL$403,$N11)</f>
        <v>32325.434426272215</v>
      </c>
      <c r="S11" s="13">
        <f>SUMIFS('2 - Distribuzione'!$AV$44:$AV$403,'2 - Distribuzione'!$AL$44:$AL$403,$N11)</f>
        <v>23920.821475441444</v>
      </c>
      <c r="T11" s="13">
        <f>SUMIFS('2 - Distribuzione'!$AU$44:$AU$403,'2 - Distribuzione'!$AL$44:$AL$403,$N11)</f>
        <v>8404.6129508307768</v>
      </c>
      <c r="U11" s="13">
        <f>SUMIFS('2 - Distribuzione'!$BC$44:$BC$403,'2 - Distribuzione'!$AL$44:$AL$403,$N11)</f>
        <v>0</v>
      </c>
      <c r="V11" s="13">
        <f>SUMIFS('2 - Distribuzione'!$BI$44:$BI$403,'2 - Distribuzione'!$AL$44:$AL$403,$N11)</f>
        <v>686.589460864535</v>
      </c>
      <c r="W11" s="13">
        <f>INDEX('2 - Distribuzione'!$BP$44:$BP$403,12*$N11)</f>
        <v>6771.5916469447957</v>
      </c>
      <c r="X11" s="13">
        <f>SUMIFS('2 - Distribuzione'!$BL$44:$BL$403,'2 - Distribuzione'!$AL$44:$AL$403,$N11)/12</f>
        <v>2981.0181686399997</v>
      </c>
      <c r="Y11" s="13">
        <f>X11/(1+'1 - Input'!$B$12)^($N11-0.5)</f>
        <v>2673.3983660370204</v>
      </c>
      <c r="AA11" s="3">
        <v>6</v>
      </c>
      <c r="AB11" s="13">
        <f>INDEX('2 - Distribuzione'!$CT$44:$CT$403,12*$AA11)</f>
        <v>411367.95296313684</v>
      </c>
      <c r="AC11" s="13">
        <f>INDEX('2 - Distribuzione'!$CU$44:$CU$403,12*$AA11)</f>
        <v>277710.45258289162</v>
      </c>
      <c r="AD11" s="13">
        <f>AB11/(1+'1 - Input'!$B$12)^$AA11</f>
        <v>365282.96977978101</v>
      </c>
      <c r="AE11" s="13">
        <f>SUMIFS('2 - Distribuzione'!$CB$44:$CB$403,'2 - Distribuzione'!$BV$44:$BV$403,$AA11)</f>
        <v>37989.01508494345</v>
      </c>
      <c r="AF11" s="13">
        <f>SUMIFS('2 - Distribuzione'!$CF$44:$CF$403,'2 - Distribuzione'!$BV$44:$BV$403,$AA11)</f>
        <v>37989.01508494345</v>
      </c>
      <c r="AG11" s="13">
        <f>SUMIFS('2 - Distribuzione'!$CE$44:$CE$403,'2 - Distribuzione'!$BV$44:$BV$403,$AA11)</f>
        <v>0</v>
      </c>
      <c r="AH11" s="13">
        <f>SUMIFS('2 - Distribuzione'!$CM$44:$CM$403,'2 - Distribuzione'!$BV$44:$BV$403,$AA11)</f>
        <v>0</v>
      </c>
      <c r="AI11" s="13">
        <f>SUMIFS('2 - Distribuzione'!$CS$44:$CS$403,'2 - Distribuzione'!$BV$44:$BV$403,$AA11)</f>
        <v>824.38467527682735</v>
      </c>
      <c r="AJ11" s="13">
        <f>INDEX('2 - Distribuzione'!$CZ$44:$CZ$403,12*$AA11)</f>
        <v>0</v>
      </c>
      <c r="AK11" s="13">
        <f>SUMIFS('2 - Distribuzione'!$CV$44:$CV$403,'2 - Distribuzione'!$BV$44:$BV$403,$AA11)/12</f>
        <v>2981.0181686399997</v>
      </c>
      <c r="AL11" s="13">
        <f>AK11/(1+'1 - Input'!$B$12)^($AA11-0.5)</f>
        <v>2673.3983660370204</v>
      </c>
    </row>
    <row r="12" spans="1:38">
      <c r="A12" s="3">
        <v>7</v>
      </c>
      <c r="B12" s="13">
        <f>INDEX('2 - Distribuzione'!$Z$44:$Z$403,12*$A12)</f>
        <v>314056.73389472836</v>
      </c>
      <c r="C12" s="13">
        <f>INDEX('2 - Distribuzione'!$AA$44:$AA$403,12*$A12)</f>
        <v>418391.6334716822</v>
      </c>
      <c r="D12" s="13">
        <f>B12/(1+'1 - Input'!$B$12)^$A12</f>
        <v>273405.28635429713</v>
      </c>
      <c r="E12" s="13">
        <f>SUMIFS('2 - Distribuzione'!$H$44:$H$403,'2 - Distribuzione'!$B$44:$B$403,$A12)</f>
        <v>29810.716004718241</v>
      </c>
      <c r="F12" s="13">
        <f>SUMIFS('2 - Distribuzione'!$L$44:$L$403,'2 - Distribuzione'!$B$44:$B$403,$A12)</f>
        <v>22059.9298434915</v>
      </c>
      <c r="G12" s="13">
        <f>SUMIFS('2 - Distribuzione'!$K$44:$K$403,'2 - Distribuzione'!$B$44:$B$403,$A12)</f>
        <v>7750.7861612267434</v>
      </c>
      <c r="H12" s="13">
        <f>SUMIFS('2 - Distribuzione'!$S$44:$S$403,'2 - Distribuzione'!$B$44:$B$403,$A12)</f>
        <v>0</v>
      </c>
      <c r="I12" s="13">
        <f>SUMIFS('2 - Distribuzione'!$Y$44:$Y$403,'2 - Distribuzione'!$B$44:$B$403,$A12)</f>
        <v>629.3722122138845</v>
      </c>
      <c r="J12" s="13">
        <f>INDEX('2 - Distribuzione'!$AF$44:$AF$403,12*$A12)</f>
        <v>11216.679209756207</v>
      </c>
      <c r="K12" s="13">
        <f>SUMIFS('2 - Distribuzione'!$AB$44:$AB$403,'2 - Distribuzione'!$B$44:$B$403,$A12)/12</f>
        <v>3040.6385320127997</v>
      </c>
      <c r="L12" s="13">
        <f>K12/(1+'1 - Input'!$B$12)^($A12-0.5)</f>
        <v>2673.39836603702</v>
      </c>
      <c r="N12" s="3">
        <v>7</v>
      </c>
      <c r="O12" s="13">
        <f>INDEX('2 - Distribuzione'!$BJ$44:$BJ$403,12*$N12)</f>
        <v>314056.73389472836</v>
      </c>
      <c r="P12" s="13">
        <f>INDEX('2 - Distribuzione'!$BK$44:$BK$403,12*$N12)</f>
        <v>418391.6334716822</v>
      </c>
      <c r="Q12" s="13">
        <f>O12/(1+'1 - Input'!$B$12)^$N12</f>
        <v>273405.28635429713</v>
      </c>
      <c r="R12" s="13">
        <f>SUMIFS('2 - Distribuzione'!$AR$44:$AR$403,'2 - Distribuzione'!$AL$44:$AL$403,$N12)</f>
        <v>29810.716004718241</v>
      </c>
      <c r="S12" s="13">
        <f>SUMIFS('2 - Distribuzione'!$AV$44:$AV$403,'2 - Distribuzione'!$AL$44:$AL$403,$N12)</f>
        <v>22059.9298434915</v>
      </c>
      <c r="T12" s="13">
        <f>SUMIFS('2 - Distribuzione'!$AU$44:$AU$403,'2 - Distribuzione'!$AL$44:$AL$403,$N12)</f>
        <v>7750.7861612267434</v>
      </c>
      <c r="U12" s="13">
        <f>SUMIFS('2 - Distribuzione'!$BC$44:$BC$403,'2 - Distribuzione'!$AL$44:$AL$403,$N12)</f>
        <v>0</v>
      </c>
      <c r="V12" s="13">
        <f>SUMIFS('2 - Distribuzione'!$BI$44:$BI$403,'2 - Distribuzione'!$AL$44:$AL$403,$N12)</f>
        <v>629.3722122138845</v>
      </c>
      <c r="W12" s="13">
        <f>INDEX('2 - Distribuzione'!$BP$44:$BP$403,12*$N12)</f>
        <v>11216.679209756207</v>
      </c>
      <c r="X12" s="13">
        <f>SUMIFS('2 - Distribuzione'!$BL$44:$BL$403,'2 - Distribuzione'!$AL$44:$AL$403,$N12)/12</f>
        <v>3040.6385320127997</v>
      </c>
      <c r="Y12" s="13">
        <f>X12/(1+'1 - Input'!$B$12)^($N12-0.5)</f>
        <v>2673.39836603702</v>
      </c>
      <c r="AA12" s="3">
        <v>7</v>
      </c>
      <c r="AB12" s="13">
        <f>INDEX('2 - Distribuzione'!$CT$44:$CT$403,12*$AA12)</f>
        <v>394047.13132082543</v>
      </c>
      <c r="AC12" s="13">
        <f>INDEX('2 - Distribuzione'!$CU$44:$CU$403,12*$AA12)</f>
        <v>240796.9147750095</v>
      </c>
      <c r="AD12" s="13">
        <f>AB12/(1+'1 - Input'!$B$12)^$AA12</f>
        <v>343041.7410249582</v>
      </c>
      <c r="AE12" s="13">
        <f>SUMIFS('2 - Distribuzione'!$CB$44:$CB$403,'2 - Distribuzione'!$BV$44:$BV$403,$AA12)</f>
        <v>36497.707073365775</v>
      </c>
      <c r="AF12" s="13">
        <f>SUMIFS('2 - Distribuzione'!$CF$44:$CF$403,'2 - Distribuzione'!$BV$44:$BV$403,$AA12)</f>
        <v>36497.707073365775</v>
      </c>
      <c r="AG12" s="13">
        <f>SUMIFS('2 - Distribuzione'!$CE$44:$CE$403,'2 - Distribuzione'!$BV$44:$BV$403,$AA12)</f>
        <v>0</v>
      </c>
      <c r="AH12" s="13">
        <f>SUMIFS('2 - Distribuzione'!$CM$44:$CM$403,'2 - Distribuzione'!$BV$44:$BV$403,$AA12)</f>
        <v>19.915832657108712</v>
      </c>
      <c r="AI12" s="13">
        <f>SUMIFS('2 - Distribuzione'!$CS$44:$CS$403,'2 - Distribuzione'!$BV$44:$BV$403,$AA12)</f>
        <v>789.67360986137362</v>
      </c>
      <c r="AJ12" s="13">
        <f>INDEX('2 - Distribuzione'!$CZ$44:$CZ$403,12*$AA12)</f>
        <v>0</v>
      </c>
      <c r="AK12" s="13">
        <f>SUMIFS('2 - Distribuzione'!$CV$44:$CV$403,'2 - Distribuzione'!$BV$44:$BV$403,$AA12)/12</f>
        <v>3040.6385320127997</v>
      </c>
      <c r="AL12" s="13">
        <f>AK12/(1+'1 - Input'!$B$12)^($AA12-0.5)</f>
        <v>2673.39836603702</v>
      </c>
    </row>
    <row r="13" spans="1:38">
      <c r="A13" s="3">
        <v>8</v>
      </c>
      <c r="B13" s="13">
        <f>INDEX('2 - Distribuzione'!$Z$44:$Z$403,12*$A13)</f>
        <v>284076.63439119922</v>
      </c>
      <c r="C13" s="13">
        <f>INDEX('2 - Distribuzione'!$AA$44:$AA$403,12*$A13)</f>
        <v>394281.87566092884</v>
      </c>
      <c r="D13" s="13">
        <f>B13/(1+'1 - Input'!$B$12)^$A13</f>
        <v>242456.67213298223</v>
      </c>
      <c r="E13" s="13">
        <f>SUMIFS('2 - Distribuzione'!$H$44:$H$403,'2 - Distribuzione'!$B$44:$B$403,$A13)</f>
        <v>27169.121344654552</v>
      </c>
      <c r="F13" s="13">
        <f>SUMIFS('2 - Distribuzione'!$L$44:$L$403,'2 - Distribuzione'!$B$44:$B$403,$A13)</f>
        <v>20105.149795044366</v>
      </c>
      <c r="G13" s="13">
        <f>SUMIFS('2 - Distribuzione'!$K$44:$K$403,'2 - Distribuzione'!$B$44:$B$403,$A13)</f>
        <v>7063.9715496101844</v>
      </c>
      <c r="H13" s="13">
        <f>SUMIFS('2 - Distribuzione'!$S$44:$S$403,'2 - Distribuzione'!$B$44:$B$403,$A13)</f>
        <v>0</v>
      </c>
      <c r="I13" s="13">
        <f>SUMIFS('2 - Distribuzione'!$Y$44:$Y$403,'2 - Distribuzione'!$B$44:$B$403,$A13)</f>
        <v>569.29185248737315</v>
      </c>
      <c r="J13" s="13">
        <f>INDEX('2 - Distribuzione'!$AF$44:$AF$403,12*$A13)</f>
        <v>17424.02714431666</v>
      </c>
      <c r="K13" s="13">
        <f>SUMIFS('2 - Distribuzione'!$AB$44:$AB$403,'2 - Distribuzione'!$B$44:$B$403,$A13)/12</f>
        <v>3101.4513026530553</v>
      </c>
      <c r="L13" s="13">
        <f>K13/(1+'1 - Input'!$B$12)^($A13-0.5)</f>
        <v>2673.39836603702</v>
      </c>
      <c r="N13" s="3">
        <v>8</v>
      </c>
      <c r="O13" s="13">
        <f>INDEX('2 - Distribuzione'!$BJ$44:$BJ$403,12*$N13)</f>
        <v>284076.63439119922</v>
      </c>
      <c r="P13" s="13">
        <f>INDEX('2 - Distribuzione'!$BK$44:$BK$403,12*$N13)</f>
        <v>394281.87566092884</v>
      </c>
      <c r="Q13" s="13">
        <f>O13/(1+'1 - Input'!$B$12)^$N13</f>
        <v>242456.67213298223</v>
      </c>
      <c r="R13" s="13">
        <f>SUMIFS('2 - Distribuzione'!$AR$44:$AR$403,'2 - Distribuzione'!$AL$44:$AL$403,$N13)</f>
        <v>27169.121344654552</v>
      </c>
      <c r="S13" s="13">
        <f>SUMIFS('2 - Distribuzione'!$AV$44:$AV$403,'2 - Distribuzione'!$AL$44:$AL$403,$N13)</f>
        <v>20105.149795044366</v>
      </c>
      <c r="T13" s="13">
        <f>SUMIFS('2 - Distribuzione'!$AU$44:$AU$403,'2 - Distribuzione'!$AL$44:$AL$403,$N13)</f>
        <v>7063.9715496101844</v>
      </c>
      <c r="U13" s="13">
        <f>SUMIFS('2 - Distribuzione'!$BC$44:$BC$403,'2 - Distribuzione'!$AL$44:$AL$403,$N13)</f>
        <v>0</v>
      </c>
      <c r="V13" s="13">
        <f>SUMIFS('2 - Distribuzione'!$BI$44:$BI$403,'2 - Distribuzione'!$AL$44:$AL$403,$N13)</f>
        <v>569.29185248737315</v>
      </c>
      <c r="W13" s="13">
        <f>INDEX('2 - Distribuzione'!$BP$44:$BP$403,12*$N13)</f>
        <v>17424.02714431666</v>
      </c>
      <c r="X13" s="13">
        <f>SUMIFS('2 - Distribuzione'!$BL$44:$BL$403,'2 - Distribuzione'!$AL$44:$AL$403,$N13)/12</f>
        <v>3101.4513026530553</v>
      </c>
      <c r="Y13" s="13">
        <f>X13/(1+'1 - Input'!$B$12)^($N13-0.5)</f>
        <v>2673.39836603702</v>
      </c>
      <c r="AA13" s="3">
        <v>8</v>
      </c>
      <c r="AB13" s="13">
        <f>INDEX('2 - Distribuzione'!$CT$44:$CT$403,12*$AA13)</f>
        <v>374859.66535955004</v>
      </c>
      <c r="AC13" s="13">
        <f>INDEX('2 - Distribuzione'!$CU$44:$CU$403,12*$AA13)</f>
        <v>204014.36165963128</v>
      </c>
      <c r="AD13" s="13">
        <f>AB13/(1+'1 - Input'!$B$12)^$AA13</f>
        <v>319939.1149319234</v>
      </c>
      <c r="AE13" s="13">
        <f>SUMIFS('2 - Distribuzione'!$CB$44:$CB$403,'2 - Distribuzione'!$BV$44:$BV$403,$AA13)</f>
        <v>34855.527476027884</v>
      </c>
      <c r="AF13" s="13">
        <f>SUMIFS('2 - Distribuzione'!$CF$44:$CF$403,'2 - Distribuzione'!$BV$44:$BV$403,$AA13)</f>
        <v>34855.527476027884</v>
      </c>
      <c r="AG13" s="13">
        <f>SUMIFS('2 - Distribuzione'!$CE$44:$CE$403,'2 - Distribuzione'!$BV$44:$BV$403,$AA13)</f>
        <v>0</v>
      </c>
      <c r="AH13" s="13">
        <f>SUMIFS('2 - Distribuzione'!$CM$44:$CM$403,'2 - Distribuzione'!$BV$44:$BV$403,$AA13)</f>
        <v>296.43827361973865</v>
      </c>
      <c r="AI13" s="13">
        <f>SUMIFS('2 - Distribuzione'!$CS$44:$CS$403,'2 - Distribuzione'!$BV$44:$BV$403,$AA13)</f>
        <v>751.22177426763528</v>
      </c>
      <c r="AJ13" s="13">
        <f>INDEX('2 - Distribuzione'!$CZ$44:$CZ$403,12*$AA13)</f>
        <v>0</v>
      </c>
      <c r="AK13" s="13">
        <f>SUMIFS('2 - Distribuzione'!$CV$44:$CV$403,'2 - Distribuzione'!$BV$44:$BV$403,$AA13)/12</f>
        <v>3101.4513026530553</v>
      </c>
      <c r="AL13" s="13">
        <f>AK13/(1+'1 - Input'!$B$12)^($AA13-0.5)</f>
        <v>2673.39836603702</v>
      </c>
    </row>
    <row r="14" spans="1:38">
      <c r="A14" s="3">
        <v>9</v>
      </c>
      <c r="B14" s="13">
        <f>INDEX('2 - Distribuzione'!$Z$44:$Z$403,12*$A14)</f>
        <v>252618.49138477095</v>
      </c>
      <c r="C14" s="13">
        <f>INDEX('2 - Distribuzione'!$AA$44:$AA$403,12*$A14)</f>
        <v>365285.85511340282</v>
      </c>
      <c r="D14" s="13">
        <f>B14/(1+'1 - Input'!$B$12)^$A14</f>
        <v>211379.85292301388</v>
      </c>
      <c r="E14" s="13">
        <f>SUMIFS('2 - Distribuzione'!$H$44:$H$403,'2 - Distribuzione'!$B$44:$B$403,$A14)</f>
        <v>24396.257697810535</v>
      </c>
      <c r="F14" s="13">
        <f>SUMIFS('2 - Distribuzione'!$L$44:$L$403,'2 - Distribuzione'!$B$44:$B$403,$A14)</f>
        <v>18053.230696379796</v>
      </c>
      <c r="G14" s="13">
        <f>SUMIFS('2 - Distribuzione'!$K$44:$K$403,'2 - Distribuzione'!$B$44:$B$403,$A14)</f>
        <v>6343.0270014307407</v>
      </c>
      <c r="H14" s="13">
        <f>SUMIFS('2 - Distribuzione'!$S$44:$S$403,'2 - Distribuzione'!$B$44:$B$403,$A14)</f>
        <v>0</v>
      </c>
      <c r="I14" s="13">
        <f>SUMIFS('2 - Distribuzione'!$Y$44:$Y$403,'2 - Distribuzione'!$B$44:$B$403,$A14)</f>
        <v>506.24948173300794</v>
      </c>
      <c r="J14" s="13">
        <f>INDEX('2 - Distribuzione'!$AF$44:$AF$403,12*$A14)</f>
        <v>25779.478661958739</v>
      </c>
      <c r="K14" s="13">
        <f>SUMIFS('2 - Distribuzione'!$AB$44:$AB$403,'2 - Distribuzione'!$B$44:$B$403,$A14)/12</f>
        <v>3163.4803287061163</v>
      </c>
      <c r="L14" s="13">
        <f>K14/(1+'1 - Input'!$B$12)^($A14-0.5)</f>
        <v>2673.3983660370195</v>
      </c>
      <c r="N14" s="3">
        <v>9</v>
      </c>
      <c r="O14" s="13">
        <f>INDEX('2 - Distribuzione'!$BJ$44:$BJ$403,12*$N14)</f>
        <v>252618.49138477095</v>
      </c>
      <c r="P14" s="13">
        <f>INDEX('2 - Distribuzione'!$BK$44:$BK$403,12*$N14)</f>
        <v>365285.85511340282</v>
      </c>
      <c r="Q14" s="13">
        <f>O14/(1+'1 - Input'!$B$12)^$N14</f>
        <v>211379.85292301388</v>
      </c>
      <c r="R14" s="13">
        <f>SUMIFS('2 - Distribuzione'!$AR$44:$AR$403,'2 - Distribuzione'!$AL$44:$AL$403,$N14)</f>
        <v>24396.257697810535</v>
      </c>
      <c r="S14" s="13">
        <f>SUMIFS('2 - Distribuzione'!$AV$44:$AV$403,'2 - Distribuzione'!$AL$44:$AL$403,$N14)</f>
        <v>18053.230696379796</v>
      </c>
      <c r="T14" s="13">
        <f>SUMIFS('2 - Distribuzione'!$AU$44:$AU$403,'2 - Distribuzione'!$AL$44:$AL$403,$N14)</f>
        <v>6343.0270014307407</v>
      </c>
      <c r="U14" s="13">
        <f>SUMIFS('2 - Distribuzione'!$BC$44:$BC$403,'2 - Distribuzione'!$AL$44:$AL$403,$N14)</f>
        <v>0</v>
      </c>
      <c r="V14" s="13">
        <f>SUMIFS('2 - Distribuzione'!$BI$44:$BI$403,'2 - Distribuzione'!$AL$44:$AL$403,$N14)</f>
        <v>506.24948173300794</v>
      </c>
      <c r="W14" s="13">
        <f>INDEX('2 - Distribuzione'!$BP$44:$BP$403,12*$N14)</f>
        <v>25779.478661958739</v>
      </c>
      <c r="X14" s="13">
        <f>SUMIFS('2 - Distribuzione'!$BL$44:$BL$403,'2 - Distribuzione'!$AL$44:$AL$403,$N14)/12</f>
        <v>3163.4803287061163</v>
      </c>
      <c r="Y14" s="13">
        <f>X14/(1+'1 - Input'!$B$12)^($N14-0.5)</f>
        <v>2673.3983660370195</v>
      </c>
      <c r="AA14" s="3">
        <v>9</v>
      </c>
      <c r="AB14" s="13">
        <f>INDEX('2 - Distribuzione'!$CT$44:$CT$403,12*$AA14)</f>
        <v>353540.7347826077</v>
      </c>
      <c r="AC14" s="13">
        <f>INDEX('2 - Distribuzione'!$CU$44:$CU$403,12*$AA14)</f>
        <v>167790.89665042574</v>
      </c>
      <c r="AD14" s="13">
        <f>AB14/(1+'1 - Input'!$B$12)^$AA14</f>
        <v>295827.07152983593</v>
      </c>
      <c r="AE14" s="13">
        <f>SUMIFS('2 - Distribuzione'!$CB$44:$CB$403,'2 - Distribuzione'!$BV$44:$BV$403,$AA14)</f>
        <v>33033.274351581786</v>
      </c>
      <c r="AF14" s="13">
        <f>SUMIFS('2 - Distribuzione'!$CF$44:$CF$403,'2 - Distribuzione'!$BV$44:$BV$403,$AA14)</f>
        <v>33033.274351581786</v>
      </c>
      <c r="AG14" s="13">
        <f>SUMIFS('2 - Distribuzione'!$CE$44:$CE$403,'2 - Distribuzione'!$BV$44:$BV$403,$AA14)</f>
        <v>0</v>
      </c>
      <c r="AH14" s="13">
        <f>SUMIFS('2 - Distribuzione'!$CM$44:$CM$403,'2 - Distribuzione'!$BV$44:$BV$403,$AA14)</f>
        <v>728.89708333087788</v>
      </c>
      <c r="AI14" s="13">
        <f>SUMIFS('2 - Distribuzione'!$CS$44:$CS$403,'2 - Distribuzione'!$BV$44:$BV$403,$AA14)</f>
        <v>708.49846649821188</v>
      </c>
      <c r="AJ14" s="13">
        <f>INDEX('2 - Distribuzione'!$CZ$44:$CZ$403,12*$AA14)</f>
        <v>0</v>
      </c>
      <c r="AK14" s="13">
        <f>SUMIFS('2 - Distribuzione'!$CV$44:$CV$403,'2 - Distribuzione'!$BV$44:$BV$403,$AA14)/12</f>
        <v>3163.4803287061163</v>
      </c>
      <c r="AL14" s="13">
        <f>AK14/(1+'1 - Input'!$B$12)^($AA14-0.5)</f>
        <v>2673.3983660370195</v>
      </c>
    </row>
    <row r="15" spans="1:38">
      <c r="A15" s="3">
        <v>10</v>
      </c>
      <c r="B15" s="13">
        <f>INDEX('2 - Distribuzione'!$Z$44:$Z$403,12*$A15)</f>
        <v>219631.46344202693</v>
      </c>
      <c r="C15" s="13">
        <f>INDEX('2 - Distribuzione'!$AA$44:$AA$403,12*$A15)</f>
        <v>330870.99074423965</v>
      </c>
      <c r="D15" s="13">
        <f>B15/(1+'1 - Input'!$B$12)^$A15</f>
        <v>180174.29763375912</v>
      </c>
      <c r="E15" s="13">
        <f>SUMIFS('2 - Distribuzione'!$H$44:$H$403,'2 - Distribuzione'!$B$44:$B$403,$A15)</f>
        <v>21487.599517489904</v>
      </c>
      <c r="F15" s="13">
        <f>SUMIFS('2 - Distribuzione'!$L$44:$L$403,'2 - Distribuzione'!$B$44:$B$403,$A15)</f>
        <v>15900.823642942529</v>
      </c>
      <c r="G15" s="13">
        <f>SUMIFS('2 - Distribuzione'!$K$44:$K$403,'2 - Distribuzione'!$B$44:$B$403,$A15)</f>
        <v>5586.7758745473757</v>
      </c>
      <c r="H15" s="13">
        <f>SUMIFS('2 - Distribuzione'!$S$44:$S$403,'2 - Distribuzione'!$B$44:$B$403,$A15)</f>
        <v>0</v>
      </c>
      <c r="I15" s="13">
        <f>SUMIFS('2 - Distribuzione'!$Y$44:$Y$403,'2 - Distribuzione'!$B$44:$B$403,$A15)</f>
        <v>440.14321331067526</v>
      </c>
      <c r="J15" s="13">
        <f>INDEX('2 - Distribuzione'!$AF$44:$AF$403,12*$A15)</f>
        <v>36711.099332977668</v>
      </c>
      <c r="K15" s="13">
        <f>SUMIFS('2 - Distribuzione'!$AB$44:$AB$403,'2 - Distribuzione'!$B$44:$B$403,$A15)/12</f>
        <v>3226.7499352802402</v>
      </c>
      <c r="L15" s="13">
        <f>K15/(1+'1 - Input'!$B$12)^($A15-0.5)</f>
        <v>2673.3983660370209</v>
      </c>
      <c r="N15" s="3">
        <v>10</v>
      </c>
      <c r="O15" s="13">
        <f>INDEX('2 - Distribuzione'!$BJ$44:$BJ$403,12*$N15)</f>
        <v>219631.46344202693</v>
      </c>
      <c r="P15" s="13">
        <f>INDEX('2 - Distribuzione'!$BK$44:$BK$403,12*$N15)</f>
        <v>330870.99074423965</v>
      </c>
      <c r="Q15" s="13">
        <f>O15/(1+'1 - Input'!$B$12)^$N15</f>
        <v>180174.29763375912</v>
      </c>
      <c r="R15" s="13">
        <f>SUMIFS('2 - Distribuzione'!$AR$44:$AR$403,'2 - Distribuzione'!$AL$44:$AL$403,$N15)</f>
        <v>21487.599517489904</v>
      </c>
      <c r="S15" s="13">
        <f>SUMIFS('2 - Distribuzione'!$AV$44:$AV$403,'2 - Distribuzione'!$AL$44:$AL$403,$N15)</f>
        <v>15900.823642942529</v>
      </c>
      <c r="T15" s="13">
        <f>SUMIFS('2 - Distribuzione'!$AU$44:$AU$403,'2 - Distribuzione'!$AL$44:$AL$403,$N15)</f>
        <v>5586.7758745473757</v>
      </c>
      <c r="U15" s="13">
        <f>SUMIFS('2 - Distribuzione'!$BC$44:$BC$403,'2 - Distribuzione'!$AL$44:$AL$403,$N15)</f>
        <v>0</v>
      </c>
      <c r="V15" s="13">
        <f>SUMIFS('2 - Distribuzione'!$BI$44:$BI$403,'2 - Distribuzione'!$AL$44:$AL$403,$N15)</f>
        <v>440.14321331067526</v>
      </c>
      <c r="W15" s="13">
        <f>INDEX('2 - Distribuzione'!$BP$44:$BP$403,12*$N15)</f>
        <v>36711.099332977668</v>
      </c>
      <c r="X15" s="13">
        <f>SUMIFS('2 - Distribuzione'!$BL$44:$BL$403,'2 - Distribuzione'!$AL$44:$AL$403,$N15)/12</f>
        <v>3226.7499352802402</v>
      </c>
      <c r="Y15" s="13">
        <f>X15/(1+'1 - Input'!$B$12)^($N15-0.5)</f>
        <v>2673.3983660370209</v>
      </c>
      <c r="AA15" s="3">
        <v>10</v>
      </c>
      <c r="AB15" s="13">
        <f>INDEX('2 - Distribuzione'!$CT$44:$CT$403,12*$AA15)</f>
        <v>329797.96453692106</v>
      </c>
      <c r="AC15" s="13">
        <f>INDEX('2 - Distribuzione'!$CU$44:$CU$403,12*$AA15)</f>
        <v>132594.50069646537</v>
      </c>
      <c r="AD15" s="13">
        <f>AB15/(1+'1 - Input'!$B$12)^$AA15</f>
        <v>270549.19951014995</v>
      </c>
      <c r="AE15" s="13">
        <f>SUMIFS('2 - Distribuzione'!$CB$44:$CB$403,'2 - Distribuzione'!$BV$44:$BV$403,$AA15)</f>
        <v>31006.455005324206</v>
      </c>
      <c r="AF15" s="13">
        <f>SUMIFS('2 - Distribuzione'!$CF$44:$CF$403,'2 - Distribuzione'!$BV$44:$BV$403,$AA15)</f>
        <v>31006.455005324206</v>
      </c>
      <c r="AG15" s="13">
        <f>SUMIFS('2 - Distribuzione'!$CE$44:$CE$403,'2 - Distribuzione'!$BV$44:$BV$403,$AA15)</f>
        <v>0</v>
      </c>
      <c r="AH15" s="13">
        <f>SUMIFS('2 - Distribuzione'!$CM$44:$CM$403,'2 - Distribuzione'!$BV$44:$BV$403,$AA15)</f>
        <v>1331.73535815782</v>
      </c>
      <c r="AI15" s="13">
        <f>SUMIFS('2 - Distribuzione'!$CS$44:$CS$403,'2 - Distribuzione'!$BV$44:$BV$403,$AA15)</f>
        <v>660.91776460304823</v>
      </c>
      <c r="AJ15" s="13">
        <f>INDEX('2 - Distribuzione'!$CZ$44:$CZ$403,12*$AA15)</f>
        <v>0</v>
      </c>
      <c r="AK15" s="13">
        <f>SUMIFS('2 - Distribuzione'!$CV$44:$CV$403,'2 - Distribuzione'!$BV$44:$BV$403,$AA15)/12</f>
        <v>3226.7499352802402</v>
      </c>
      <c r="AL15" s="13">
        <f>AK15/(1+'1 - Input'!$B$12)^($AA15-0.5)</f>
        <v>2673.3983660370209</v>
      </c>
    </row>
    <row r="16" spans="1:38">
      <c r="A16" s="3">
        <v>11</v>
      </c>
      <c r="B16" s="13">
        <f>INDEX('2 - Distribuzione'!$Z$44:$Z$403,12*$A16)</f>
        <v>185063.17677153813</v>
      </c>
      <c r="C16" s="13">
        <f>INDEX('2 - Distribuzione'!$AA$44:$AA$403,12*$A16)</f>
        <v>290456.144168814</v>
      </c>
      <c r="D16" s="13">
        <f>B16/(1+'1 - Input'!$B$12)^$A16</f>
        <v>148839.47297453595</v>
      </c>
      <c r="E16" s="13">
        <f>SUMIFS('2 - Distribuzione'!$H$44:$H$403,'2 - Distribuzione'!$B$44:$B$403,$A16)</f>
        <v>18438.484713830567</v>
      </c>
      <c r="F16" s="13">
        <f>SUMIFS('2 - Distribuzione'!$L$44:$L$403,'2 - Distribuzione'!$B$44:$B$403,$A16)</f>
        <v>13644.47868823462</v>
      </c>
      <c r="G16" s="13">
        <f>SUMIFS('2 - Distribuzione'!$K$44:$K$403,'2 - Distribuzione'!$B$44:$B$403,$A16)</f>
        <v>4794.0060255959479</v>
      </c>
      <c r="H16" s="13">
        <f>SUMIFS('2 - Distribuzione'!$S$44:$S$403,'2 - Distribuzione'!$B$44:$B$403,$A16)</f>
        <v>0</v>
      </c>
      <c r="I16" s="13">
        <f>SUMIFS('2 - Distribuzione'!$Y$44:$Y$403,'2 - Distribuzione'!$B$44:$B$403,$A16)</f>
        <v>370.86808972252135</v>
      </c>
      <c r="J16" s="13">
        <f>INDEX('2 - Distribuzione'!$AF$44:$AF$403,12*$A16)</f>
        <v>50692.928947587774</v>
      </c>
      <c r="K16" s="13">
        <f>SUMIFS('2 - Distribuzione'!$AB$44:$AB$403,'2 - Distribuzione'!$B$44:$B$403,$A16)/12</f>
        <v>3291.284933985844</v>
      </c>
      <c r="L16" s="13">
        <f>K16/(1+'1 - Input'!$B$12)^($A16-0.5)</f>
        <v>2673.3983660370195</v>
      </c>
      <c r="N16" s="3">
        <v>11</v>
      </c>
      <c r="O16" s="13">
        <f>INDEX('2 - Distribuzione'!$BJ$44:$BJ$403,12*$N16)</f>
        <v>185063.17677153813</v>
      </c>
      <c r="P16" s="13">
        <f>INDEX('2 - Distribuzione'!$BK$44:$BK$403,12*$N16)</f>
        <v>290456.144168814</v>
      </c>
      <c r="Q16" s="13">
        <f>O16/(1+'1 - Input'!$B$12)^$N16</f>
        <v>148839.47297453595</v>
      </c>
      <c r="R16" s="13">
        <f>SUMIFS('2 - Distribuzione'!$AR$44:$AR$403,'2 - Distribuzione'!$AL$44:$AL$403,$N16)</f>
        <v>18438.484713830567</v>
      </c>
      <c r="S16" s="13">
        <f>SUMIFS('2 - Distribuzione'!$AV$44:$AV$403,'2 - Distribuzione'!$AL$44:$AL$403,$N16)</f>
        <v>13644.47868823462</v>
      </c>
      <c r="T16" s="13">
        <f>SUMIFS('2 - Distribuzione'!$AU$44:$AU$403,'2 - Distribuzione'!$AL$44:$AL$403,$N16)</f>
        <v>4794.0060255959479</v>
      </c>
      <c r="U16" s="13">
        <f>SUMIFS('2 - Distribuzione'!$BC$44:$BC$403,'2 - Distribuzione'!$AL$44:$AL$403,$N16)</f>
        <v>0</v>
      </c>
      <c r="V16" s="13">
        <f>SUMIFS('2 - Distribuzione'!$BI$44:$BI$403,'2 - Distribuzione'!$AL$44:$AL$403,$N16)</f>
        <v>370.86808972252135</v>
      </c>
      <c r="W16" s="13">
        <f>INDEX('2 - Distribuzione'!$BP$44:$BP$403,12*$N16)</f>
        <v>50692.928947587774</v>
      </c>
      <c r="X16" s="13">
        <f>SUMIFS('2 - Distribuzione'!$BL$44:$BL$403,'2 - Distribuzione'!$AL$44:$AL$403,$N16)/12</f>
        <v>3291.284933985844</v>
      </c>
      <c r="Y16" s="13">
        <f>X16/(1+'1 - Input'!$B$12)^($N16-0.5)</f>
        <v>2673.3983660370195</v>
      </c>
      <c r="AA16" s="3">
        <v>11</v>
      </c>
      <c r="AB16" s="13">
        <f>INDEX('2 - Distribuzione'!$CT$44:$CT$403,12*$AA16)</f>
        <v>303282.34493691445</v>
      </c>
      <c r="AC16" s="13">
        <f>INDEX('2 - Distribuzione'!$CU$44:$CU$403,12*$AA16)</f>
        <v>99009.302618809161</v>
      </c>
      <c r="AD16" s="13">
        <f>AB16/(1+'1 - Input'!$B$12)^$AA16</f>
        <v>243918.78044230217</v>
      </c>
      <c r="AE16" s="13">
        <f>SUMIFS('2 - Distribuzione'!$CB$44:$CB$403,'2 - Distribuzione'!$BV$44:$BV$403,$AA16)</f>
        <v>28746.363561902352</v>
      </c>
      <c r="AF16" s="13">
        <f>SUMIFS('2 - Distribuzione'!$CF$44:$CF$403,'2 - Distribuzione'!$BV$44:$BV$403,$AA16)</f>
        <v>28746.363561902352</v>
      </c>
      <c r="AG16" s="13">
        <f>SUMIFS('2 - Distribuzione'!$CE$44:$CE$403,'2 - Distribuzione'!$BV$44:$BV$403,$AA16)</f>
        <v>0</v>
      </c>
      <c r="AH16" s="13">
        <f>SUMIFS('2 - Distribuzione'!$CM$44:$CM$403,'2 - Distribuzione'!$BV$44:$BV$403,$AA16)</f>
        <v>2146.2777124780687</v>
      </c>
      <c r="AI16" s="13">
        <f>SUMIFS('2 - Distribuzione'!$CS$44:$CS$403,'2 - Distribuzione'!$BV$44:$BV$403,$AA16)</f>
        <v>607.78025037457803</v>
      </c>
      <c r="AJ16" s="13">
        <f>INDEX('2 - Distribuzione'!$CZ$44:$CZ$403,12*$AA16)</f>
        <v>0</v>
      </c>
      <c r="AK16" s="13">
        <f>SUMIFS('2 - Distribuzione'!$CV$44:$CV$403,'2 - Distribuzione'!$BV$44:$BV$403,$AA16)/12</f>
        <v>3291.284933985844</v>
      </c>
      <c r="AL16" s="13">
        <f>AK16/(1+'1 - Input'!$B$12)^($AA16-0.5)</f>
        <v>2673.3983660370195</v>
      </c>
    </row>
    <row r="17" spans="1:38">
      <c r="A17" s="3">
        <v>12</v>
      </c>
      <c r="B17" s="13">
        <f>INDEX('2 - Distribuzione'!$Z$44:$Z$403,12*$A17)</f>
        <v>148859.68208781834</v>
      </c>
      <c r="C17" s="13">
        <f>INDEX('2 - Distribuzione'!$AA$44:$AA$403,12*$A17)</f>
        <v>243407.55855797566</v>
      </c>
      <c r="D17" s="13">
        <f>B17/(1+'1 - Input'!$B$12)^$A17</f>
        <v>117374.84344549969</v>
      </c>
      <c r="E17" s="13">
        <f>SUMIFS('2 - Distribuzione'!$H$44:$H$403,'2 - Distribuzione'!$B$44:$B$403,$A17)</f>
        <v>15244.110807793861</v>
      </c>
      <c r="F17" s="13">
        <f>SUMIFS('2 - Distribuzione'!$L$44:$L$403,'2 - Distribuzione'!$B$44:$B$403,$A17)</f>
        <v>11280.641997767456</v>
      </c>
      <c r="G17" s="13">
        <f>SUMIFS('2 - Distribuzione'!$K$44:$K$403,'2 - Distribuzione'!$B$44:$B$403,$A17)</f>
        <v>3963.4688100264038</v>
      </c>
      <c r="H17" s="13">
        <f>SUMIFS('2 - Distribuzione'!$S$44:$S$403,'2 - Distribuzione'!$B$44:$B$403,$A17)</f>
        <v>0</v>
      </c>
      <c r="I17" s="13">
        <f>SUMIFS('2 - Distribuzione'!$Y$44:$Y$403,'2 - Distribuzione'!$B$44:$B$403,$A17)</f>
        <v>298.31599616797263</v>
      </c>
      <c r="J17" s="13">
        <f>INDEX('2 - Distribuzione'!$AF$44:$AF$403,12*$A17)</f>
        <v>68249.038265693816</v>
      </c>
      <c r="K17" s="13">
        <f>SUMIFS('2 - Distribuzione'!$AB$44:$AB$403,'2 - Distribuzione'!$B$44:$B$403,$A17)/12</f>
        <v>3357.1106326655595</v>
      </c>
      <c r="L17" s="13">
        <f>K17/(1+'1 - Input'!$B$12)^($A17-0.5)</f>
        <v>2673.3983660370186</v>
      </c>
      <c r="N17" s="3">
        <v>12</v>
      </c>
      <c r="O17" s="13">
        <f>INDEX('2 - Distribuzione'!$BJ$44:$BJ$403,12*$N17)</f>
        <v>148859.68208781834</v>
      </c>
      <c r="P17" s="13">
        <f>INDEX('2 - Distribuzione'!$BK$44:$BK$403,12*$N17)</f>
        <v>243407.55855797566</v>
      </c>
      <c r="Q17" s="13">
        <f>O17/(1+'1 - Input'!$B$12)^$N17</f>
        <v>117374.84344549969</v>
      </c>
      <c r="R17" s="13">
        <f>SUMIFS('2 - Distribuzione'!$AR$44:$AR$403,'2 - Distribuzione'!$AL$44:$AL$403,$N17)</f>
        <v>15244.110807793861</v>
      </c>
      <c r="S17" s="13">
        <f>SUMIFS('2 - Distribuzione'!$AV$44:$AV$403,'2 - Distribuzione'!$AL$44:$AL$403,$N17)</f>
        <v>11280.641997767456</v>
      </c>
      <c r="T17" s="13">
        <f>SUMIFS('2 - Distribuzione'!$AU$44:$AU$403,'2 - Distribuzione'!$AL$44:$AL$403,$N17)</f>
        <v>3963.4688100264038</v>
      </c>
      <c r="U17" s="13">
        <f>SUMIFS('2 - Distribuzione'!$BC$44:$BC$403,'2 - Distribuzione'!$AL$44:$AL$403,$N17)</f>
        <v>0</v>
      </c>
      <c r="V17" s="13">
        <f>SUMIFS('2 - Distribuzione'!$BI$44:$BI$403,'2 - Distribuzione'!$AL$44:$AL$403,$N17)</f>
        <v>298.31599616797263</v>
      </c>
      <c r="W17" s="13">
        <f>INDEX('2 - Distribuzione'!$BP$44:$BP$403,12*$N17)</f>
        <v>68249.038265693816</v>
      </c>
      <c r="X17" s="13">
        <f>SUMIFS('2 - Distribuzione'!$BL$44:$BL$403,'2 - Distribuzione'!$AL$44:$AL$403,$N17)/12</f>
        <v>3357.1106326655595</v>
      </c>
      <c r="Y17" s="13">
        <f>X17/(1+'1 - Input'!$B$12)^($N17-0.5)</f>
        <v>2673.3983660370186</v>
      </c>
      <c r="AA17" s="3">
        <v>12</v>
      </c>
      <c r="AB17" s="13">
        <f>INDEX('2 - Distribuzione'!$CT$44:$CT$403,12*$AA17)</f>
        <v>273574.19792475289</v>
      </c>
      <c r="AC17" s="13">
        <f>INDEX('2 - Distribuzione'!$CU$44:$CU$403,12*$AA17)</f>
        <v>67766.761175443506</v>
      </c>
      <c r="AD17" s="13">
        <f>AB17/(1+'1 - Input'!$B$12)^$AA17</f>
        <v>215711.38807889301</v>
      </c>
      <c r="AE17" s="13">
        <f>SUMIFS('2 - Distribuzione'!$CB$44:$CB$403,'2 - Distribuzione'!$BV$44:$BV$403,$AA17)</f>
        <v>26218.616230160256</v>
      </c>
      <c r="AF17" s="13">
        <f>SUMIFS('2 - Distribuzione'!$CF$44:$CF$403,'2 - Distribuzione'!$BV$44:$BV$403,$AA17)</f>
        <v>26218.616230160256</v>
      </c>
      <c r="AG17" s="13">
        <f>SUMIFS('2 - Distribuzione'!$CE$44:$CE$403,'2 - Distribuzione'!$BV$44:$BV$403,$AA17)</f>
        <v>0</v>
      </c>
      <c r="AH17" s="13">
        <f>SUMIFS('2 - Distribuzione'!$CM$44:$CM$403,'2 - Distribuzione'!$BV$44:$BV$403,$AA17)</f>
        <v>3224.9104501644251</v>
      </c>
      <c r="AI17" s="13">
        <f>SUMIFS('2 - Distribuzione'!$CS$44:$CS$403,'2 - Distribuzione'!$BV$44:$BV$403,$AA17)</f>
        <v>548.24488562074725</v>
      </c>
      <c r="AJ17" s="13">
        <f>INDEX('2 - Distribuzione'!$CZ$44:$CZ$403,12*$AA17)</f>
        <v>0</v>
      </c>
      <c r="AK17" s="13">
        <f>SUMIFS('2 - Distribuzione'!$CV$44:$CV$403,'2 - Distribuzione'!$BV$44:$BV$403,$AA17)/12</f>
        <v>3357.1106326655595</v>
      </c>
      <c r="AL17" s="13">
        <f>AK17/(1+'1 - Input'!$B$12)^($AA17-0.5)</f>
        <v>2673.3983660370186</v>
      </c>
    </row>
    <row r="18" spans="1:38">
      <c r="A18" s="3">
        <v>13</v>
      </c>
      <c r="B18" s="13">
        <f>INDEX('2 - Distribuzione'!$Z$44:$Z$403,12*$A18)</f>
        <v>110965.41031000992</v>
      </c>
      <c r="C18" s="13">
        <f>INDEX('2 - Distribuzione'!$AA$44:$AA$403,12*$A18)</f>
        <v>189034.47470616081</v>
      </c>
      <c r="D18" s="13">
        <f>B18/(1+'1 - Input'!$B$12)^$A18</f>
        <v>85779.871328491368</v>
      </c>
      <c r="E18" s="13">
        <f>SUMIFS('2 - Distribuzione'!$H$44:$H$403,'2 - Distribuzione'!$B$44:$B$403,$A18)</f>
        <v>11899.530981218717</v>
      </c>
      <c r="F18" s="13">
        <f>SUMIFS('2 - Distribuzione'!$L$44:$L$403,'2 - Distribuzione'!$B$44:$B$403,$A18)</f>
        <v>8805.6529261018513</v>
      </c>
      <c r="G18" s="13">
        <f>SUMIFS('2 - Distribuzione'!$K$44:$K$403,'2 - Distribuzione'!$B$44:$B$403,$A18)</f>
        <v>3093.8780551168666</v>
      </c>
      <c r="H18" s="13">
        <f>SUMIFS('2 - Distribuzione'!$S$44:$S$403,'2 - Distribuzione'!$B$44:$B$403,$A18)</f>
        <v>0</v>
      </c>
      <c r="I18" s="13">
        <f>SUMIFS('2 - Distribuzione'!$Y$44:$Y$403,'2 - Distribuzione'!$B$44:$B$403,$A18)</f>
        <v>222.37557176354693</v>
      </c>
      <c r="J18" s="13">
        <f>INDEX('2 - Distribuzione'!$AF$44:$AF$403,12*$A18)</f>
        <v>89957.914297166484</v>
      </c>
      <c r="K18" s="13">
        <f>SUMIFS('2 - Distribuzione'!$AB$44:$AB$403,'2 - Distribuzione'!$B$44:$B$403,$A18)/12</f>
        <v>3424.2528453188716</v>
      </c>
      <c r="L18" s="13">
        <f>K18/(1+'1 - Input'!$B$12)^($A18-0.5)</f>
        <v>2673.3983660370195</v>
      </c>
      <c r="N18" s="3">
        <v>13</v>
      </c>
      <c r="O18" s="13">
        <f>INDEX('2 - Distribuzione'!$BJ$44:$BJ$403,12*$N18)</f>
        <v>110965.41031000992</v>
      </c>
      <c r="P18" s="13">
        <f>INDEX('2 - Distribuzione'!$BK$44:$BK$403,12*$N18)</f>
        <v>189034.47470616081</v>
      </c>
      <c r="Q18" s="13">
        <f>O18/(1+'1 - Input'!$B$12)^$N18</f>
        <v>85779.871328491368</v>
      </c>
      <c r="R18" s="13">
        <f>SUMIFS('2 - Distribuzione'!$AR$44:$AR$403,'2 - Distribuzione'!$AL$44:$AL$403,$N18)</f>
        <v>11899.530981218717</v>
      </c>
      <c r="S18" s="13">
        <f>SUMIFS('2 - Distribuzione'!$AV$44:$AV$403,'2 - Distribuzione'!$AL$44:$AL$403,$N18)</f>
        <v>8805.6529261018513</v>
      </c>
      <c r="T18" s="13">
        <f>SUMIFS('2 - Distribuzione'!$AU$44:$AU$403,'2 - Distribuzione'!$AL$44:$AL$403,$N18)</f>
        <v>3093.8780551168666</v>
      </c>
      <c r="U18" s="13">
        <f>SUMIFS('2 - Distribuzione'!$BC$44:$BC$403,'2 - Distribuzione'!$AL$44:$AL$403,$N18)</f>
        <v>0</v>
      </c>
      <c r="V18" s="13">
        <f>SUMIFS('2 - Distribuzione'!$BI$44:$BI$403,'2 - Distribuzione'!$AL$44:$AL$403,$N18)</f>
        <v>222.37557176354693</v>
      </c>
      <c r="W18" s="13">
        <f>INDEX('2 - Distribuzione'!$BP$44:$BP$403,12*$N18)</f>
        <v>89957.914297166484</v>
      </c>
      <c r="X18" s="13">
        <f>SUMIFS('2 - Distribuzione'!$BL$44:$BL$403,'2 - Distribuzione'!$AL$44:$AL$403,$N18)/12</f>
        <v>3424.2528453188716</v>
      </c>
      <c r="Y18" s="13">
        <f>X18/(1+'1 - Input'!$B$12)^($N18-0.5)</f>
        <v>2673.3983660370195</v>
      </c>
      <c r="AA18" s="3">
        <v>13</v>
      </c>
      <c r="AB18" s="13">
        <f>INDEX('2 - Distribuzione'!$CT$44:$CT$403,12*$AA18)</f>
        <v>240164.86410326741</v>
      </c>
      <c r="AC18" s="13">
        <f>INDEX('2 - Distribuzione'!$CU$44:$CU$403,12*$AA18)</f>
        <v>39786.809190337583</v>
      </c>
      <c r="AD18" s="13">
        <f>AB18/(1+'1 - Input'!$B$12)^$AA18</f>
        <v>185655.25133325715</v>
      </c>
      <c r="AE18" s="13">
        <f>SUMIFS('2 - Distribuzione'!$CB$44:$CB$403,'2 - Distribuzione'!$BV$44:$BV$403,$AA18)</f>
        <v>23381.714134578022</v>
      </c>
      <c r="AF18" s="13">
        <f>SUMIFS('2 - Distribuzione'!$CF$44:$CF$403,'2 - Distribuzione'!$BV$44:$BV$403,$AA18)</f>
        <v>23381.714134578022</v>
      </c>
      <c r="AG18" s="13">
        <f>SUMIFS('2 - Distribuzione'!$CE$44:$CE$403,'2 - Distribuzione'!$BV$44:$BV$403,$AA18)</f>
        <v>0</v>
      </c>
      <c r="AH18" s="13">
        <f>SUMIFS('2 - Distribuzione'!$CM$44:$CM$403,'2 - Distribuzione'!$BV$44:$BV$403,$AA18)</f>
        <v>4634.6107611490343</v>
      </c>
      <c r="AI18" s="13">
        <f>SUMIFS('2 - Distribuzione'!$CS$44:$CS$403,'2 - Distribuzione'!$BV$44:$BV$403,$AA18)</f>
        <v>481.29231283219923</v>
      </c>
      <c r="AJ18" s="13">
        <f>INDEX('2 - Distribuzione'!$CZ$44:$CZ$403,12*$AA18)</f>
        <v>0</v>
      </c>
      <c r="AK18" s="13">
        <f>SUMIFS('2 - Distribuzione'!$CV$44:$CV$403,'2 - Distribuzione'!$BV$44:$BV$403,$AA18)/12</f>
        <v>3424.252845318872</v>
      </c>
      <c r="AL18" s="13">
        <f>AK18/(1+'1 - Input'!$B$12)^($AA18-0.5)</f>
        <v>2673.39836603702</v>
      </c>
    </row>
    <row r="19" spans="1:38">
      <c r="A19" s="3">
        <v>14</v>
      </c>
      <c r="B19" s="13">
        <f>INDEX('2 - Distribuzione'!$Z$44:$Z$403,12*$A19)</f>
        <v>71323.127064667206</v>
      </c>
      <c r="C19" s="13">
        <f>INDEX('2 - Distribuzione'!$AA$44:$AA$403,12*$A19)</f>
        <v>126584.39950447928</v>
      </c>
      <c r="D19" s="13">
        <f>B19/(1+'1 - Input'!$B$12)^$A19</f>
        <v>54054.016677848354</v>
      </c>
      <c r="E19" s="13">
        <f>SUMIFS('2 - Distribuzione'!$H$44:$H$403,'2 - Distribuzione'!$B$44:$B$403,$A19)</f>
        <v>8399.6500202075476</v>
      </c>
      <c r="F19" s="13">
        <f>SUMIFS('2 - Distribuzione'!$L$44:$L$403,'2 - Distribuzione'!$B$44:$B$403,$A19)</f>
        <v>6215.7410149535863</v>
      </c>
      <c r="G19" s="13">
        <f>SUMIFS('2 - Distribuzione'!$K$44:$K$403,'2 - Distribuzione'!$B$44:$B$403,$A19)</f>
        <v>2183.9090052539627</v>
      </c>
      <c r="H19" s="13">
        <f>SUMIFS('2 - Distribuzione'!$S$44:$S$403,'2 - Distribuzione'!$B$44:$B$403,$A19)</f>
        <v>0</v>
      </c>
      <c r="I19" s="13">
        <f>SUMIFS('2 - Distribuzione'!$Y$44:$Y$403,'2 - Distribuzione'!$B$44:$B$403,$A19)</f>
        <v>142.93211836606653</v>
      </c>
      <c r="J19" s="13">
        <f>INDEX('2 - Distribuzione'!$AF$44:$AF$403,12*$A19)</f>
        <v>116457.19953578702</v>
      </c>
      <c r="K19" s="13">
        <f>SUMIFS('2 - Distribuzione'!$AB$44:$AB$403,'2 - Distribuzione'!$B$44:$B$403,$A19)/12</f>
        <v>3492.7379022252499</v>
      </c>
      <c r="L19" s="13">
        <f>K19/(1+'1 - Input'!$B$12)^($A19-0.5)</f>
        <v>2673.39836603702</v>
      </c>
      <c r="N19" s="3">
        <v>14</v>
      </c>
      <c r="O19" s="13">
        <f>INDEX('2 - Distribuzione'!$BJ$44:$BJ$403,12*$N19)</f>
        <v>71323.127064667206</v>
      </c>
      <c r="P19" s="13">
        <f>INDEX('2 - Distribuzione'!$BK$44:$BK$403,12*$N19)</f>
        <v>126584.39950447928</v>
      </c>
      <c r="Q19" s="13">
        <f>O19/(1+'1 - Input'!$B$12)^$N19</f>
        <v>54054.016677848354</v>
      </c>
      <c r="R19" s="13">
        <f>SUMIFS('2 - Distribuzione'!$AR$44:$AR$403,'2 - Distribuzione'!$AL$44:$AL$403,$N19)</f>
        <v>8399.6500202075476</v>
      </c>
      <c r="S19" s="13">
        <f>SUMIFS('2 - Distribuzione'!$AV$44:$AV$403,'2 - Distribuzione'!$AL$44:$AL$403,$N19)</f>
        <v>6215.7410149535863</v>
      </c>
      <c r="T19" s="13">
        <f>SUMIFS('2 - Distribuzione'!$AU$44:$AU$403,'2 - Distribuzione'!$AL$44:$AL$403,$N19)</f>
        <v>2183.9090052539627</v>
      </c>
      <c r="U19" s="13">
        <f>SUMIFS('2 - Distribuzione'!$BC$44:$BC$403,'2 - Distribuzione'!$AL$44:$AL$403,$N19)</f>
        <v>0</v>
      </c>
      <c r="V19" s="13">
        <f>SUMIFS('2 - Distribuzione'!$BI$44:$BI$403,'2 - Distribuzione'!$AL$44:$AL$403,$N19)</f>
        <v>142.93211836606653</v>
      </c>
      <c r="W19" s="13">
        <f>INDEX('2 - Distribuzione'!$BP$44:$BP$403,12*$N19)</f>
        <v>116457.19953578702</v>
      </c>
      <c r="X19" s="13">
        <f>SUMIFS('2 - Distribuzione'!$BL$44:$BL$403,'2 - Distribuzione'!$AL$44:$AL$403,$N19)/12</f>
        <v>3492.7379022252499</v>
      </c>
      <c r="Y19" s="13">
        <f>X19/(1+'1 - Input'!$B$12)^($N19-0.5)</f>
        <v>2673.39836603702</v>
      </c>
      <c r="AA19" s="3">
        <v>14</v>
      </c>
      <c r="AB19" s="13">
        <f>INDEX('2 - Distribuzione'!$CT$44:$CT$403,12*$AA19)</f>
        <v>202432.53694136909</v>
      </c>
      <c r="AC19" s="13">
        <f>INDEX('2 - Distribuzione'!$CU$44:$CU$403,12*$AA19)</f>
        <v>16232.746084114113</v>
      </c>
      <c r="AD19" s="13">
        <f>AB19/(1+'1 - Input'!$B$12)^$AA19</f>
        <v>153418.56391190991</v>
      </c>
      <c r="AE19" s="13">
        <f>SUMIFS('2 - Distribuzione'!$CB$44:$CB$403,'2 - Distribuzione'!$BV$44:$BV$403,$AA19)</f>
        <v>20185.157954264858</v>
      </c>
      <c r="AF19" s="13">
        <f>SUMIFS('2 - Distribuzione'!$CF$44:$CF$403,'2 - Distribuzione'!$BV$44:$BV$403,$AA19)</f>
        <v>20185.157954264858</v>
      </c>
      <c r="AG19" s="13">
        <f>SUMIFS('2 - Distribuzione'!$CE$44:$CE$403,'2 - Distribuzione'!$BV$44:$BV$403,$AA19)</f>
        <v>0</v>
      </c>
      <c r="AH19" s="13">
        <f>SUMIFS('2 - Distribuzione'!$CM$44:$CM$403,'2 - Distribuzione'!$BV$44:$BV$403,$AA19)</f>
        <v>6461.8159340217808</v>
      </c>
      <c r="AI19" s="13">
        <f>SUMIFS('2 - Distribuzione'!$CS$44:$CS$403,'2 - Distribuzione'!$BV$44:$BV$403,$AA19)</f>
        <v>405.6764267362106</v>
      </c>
      <c r="AJ19" s="13">
        <f>INDEX('2 - Distribuzione'!$CZ$44:$CZ$403,12*$AA19)</f>
        <v>0</v>
      </c>
      <c r="AK19" s="13">
        <f>SUMIFS('2 - Distribuzione'!$CV$44:$CV$403,'2 - Distribuzione'!$BV$44:$BV$403,$AA19)/12</f>
        <v>3492.7379022252494</v>
      </c>
      <c r="AL19" s="13">
        <f>AK19/(1+'1 - Input'!$B$12)^($AA19-0.5)</f>
        <v>2673.3983660370195</v>
      </c>
    </row>
    <row r="20" spans="1:38">
      <c r="A20" s="3">
        <v>15</v>
      </c>
      <c r="B20" s="13">
        <f>INDEX('2 - Distribuzione'!$Z$44:$Z$403,12*$A20)</f>
        <v>29873.885961210937</v>
      </c>
      <c r="C20" s="13">
        <f>INDEX('2 - Distribuzione'!$AA$44:$AA$403,12*$A20)</f>
        <v>55238.000149093939</v>
      </c>
      <c r="D20" s="13">
        <f>B20/(1+'1 - Input'!$B$12)^$A20</f>
        <v>22196.737311176963</v>
      </c>
      <c r="E20" s="13">
        <f>SUMIFS('2 - Distribuzione'!$H$44:$H$403,'2 - Distribuzione'!$B$44:$B$403,$A20)</f>
        <v>4739.2201490403822</v>
      </c>
      <c r="F20" s="13">
        <f>SUMIFS('2 - Distribuzione'!$L$44:$L$403,'2 - Distribuzione'!$B$44:$B$403,$A20)</f>
        <v>3507.0229102898829</v>
      </c>
      <c r="G20" s="13">
        <f>SUMIFS('2 - Distribuzione'!$K$44:$K$403,'2 - Distribuzione'!$B$44:$B$403,$A20)</f>
        <v>1232.1972387504993</v>
      </c>
      <c r="H20" s="13">
        <f>SUMIFS('2 - Distribuzione'!$S$44:$S$403,'2 - Distribuzione'!$B$44:$B$403,$A20)</f>
        <v>0</v>
      </c>
      <c r="I20" s="13">
        <f>SUMIFS('2 - Distribuzione'!$Y$44:$Y$403,'2 - Distribuzione'!$B$44:$B$403,$A20)</f>
        <v>59.867506936294461</v>
      </c>
      <c r="J20" s="13">
        <f>INDEX('2 - Distribuzione'!$AF$44:$AF$403,12*$A20)</f>
        <v>148448.81248313677</v>
      </c>
      <c r="K20" s="13">
        <f>SUMIFS('2 - Distribuzione'!$AB$44:$AB$403,'2 - Distribuzione'!$B$44:$B$403,$A20)/12</f>
        <v>3562.5926602697559</v>
      </c>
      <c r="L20" s="13">
        <f>K20/(1+'1 - Input'!$B$12)^($A20-0.5)</f>
        <v>2673.3983660370209</v>
      </c>
      <c r="N20" s="3">
        <v>15</v>
      </c>
      <c r="O20" s="13">
        <f>INDEX('2 - Distribuzione'!$BJ$44:$BJ$403,12*$N20)</f>
        <v>29873.885961210937</v>
      </c>
      <c r="P20" s="13">
        <f>INDEX('2 - Distribuzione'!$BK$44:$BK$403,12*$N20)</f>
        <v>55238.000149093939</v>
      </c>
      <c r="Q20" s="13">
        <f>O20/(1+'1 - Input'!$B$12)^$N20</f>
        <v>22196.737311176963</v>
      </c>
      <c r="R20" s="13">
        <f>SUMIFS('2 - Distribuzione'!$AR$44:$AR$403,'2 - Distribuzione'!$AL$44:$AL$403,$N20)</f>
        <v>4739.2201490403822</v>
      </c>
      <c r="S20" s="13">
        <f>SUMIFS('2 - Distribuzione'!$AV$44:$AV$403,'2 - Distribuzione'!$AL$44:$AL$403,$N20)</f>
        <v>3507.0229102898829</v>
      </c>
      <c r="T20" s="13">
        <f>SUMIFS('2 - Distribuzione'!$AU$44:$AU$403,'2 - Distribuzione'!$AL$44:$AL$403,$N20)</f>
        <v>1232.1972387504993</v>
      </c>
      <c r="U20" s="13">
        <f>SUMIFS('2 - Distribuzione'!$BC$44:$BC$403,'2 - Distribuzione'!$AL$44:$AL$403,$N20)</f>
        <v>0</v>
      </c>
      <c r="V20" s="13">
        <f>SUMIFS('2 - Distribuzione'!$BI$44:$BI$403,'2 - Distribuzione'!$AL$44:$AL$403,$N20)</f>
        <v>59.867506936294461</v>
      </c>
      <c r="W20" s="13">
        <f>INDEX('2 - Distribuzione'!$BP$44:$BP$403,12*$N20)</f>
        <v>148448.81248313677</v>
      </c>
      <c r="X20" s="13">
        <f>SUMIFS('2 - Distribuzione'!$BL$44:$BL$403,'2 - Distribuzione'!$AL$44:$AL$403,$N20)/12</f>
        <v>3562.5926602697559</v>
      </c>
      <c r="Y20" s="13">
        <f>X20/(1+'1 - Input'!$B$12)^($N20-0.5)</f>
        <v>2673.3983660370209</v>
      </c>
      <c r="AA20" s="3">
        <v>15</v>
      </c>
      <c r="AB20" s="13">
        <f>INDEX('2 - Distribuzione'!$CT$44:$CT$403,12*$AA20)</f>
        <v>159112.63972857204</v>
      </c>
      <c r="AC20" s="13">
        <f>INDEX('2 - Distribuzione'!$CU$44:$CU$403,12*$AA20)</f>
        <v>0</v>
      </c>
      <c r="AD20" s="13">
        <f>AB20/(1+'1 - Input'!$B$12)^$AA20</f>
        <v>118223.03504568551</v>
      </c>
      <c r="AE20" s="13">
        <f>SUMIFS('2 - Distribuzione'!$CB$44:$CB$403,'2 - Distribuzione'!$BV$44:$BV$403,$AA20)</f>
        <v>16566.381825975739</v>
      </c>
      <c r="AF20" s="13">
        <f>SUMIFS('2 - Distribuzione'!$CF$44:$CF$403,'2 - Distribuzione'!$BV$44:$BV$403,$AA20)</f>
        <v>16189.652366791897</v>
      </c>
      <c r="AG20" s="13">
        <f>SUMIFS('2 - Distribuzione'!$CE$44:$CE$403,'2 - Distribuzione'!$BV$44:$BV$403,$AA20)</f>
        <v>376.72945918384318</v>
      </c>
      <c r="AH20" s="13">
        <f>SUMIFS('2 - Distribuzione'!$CM$44:$CM$403,'2 - Distribuzione'!$BV$44:$BV$403,$AA20)</f>
        <v>8940.534214021518</v>
      </c>
      <c r="AI20" s="13">
        <f>SUMIFS('2 - Distribuzione'!$CS$44:$CS$403,'2 - Distribuzione'!$BV$44:$BV$403,$AA20)</f>
        <v>318.86300546808025</v>
      </c>
      <c r="AJ20" s="13">
        <f>INDEX('2 - Distribuzione'!$CZ$44:$CZ$403,12*$AA20)</f>
        <v>0</v>
      </c>
      <c r="AK20" s="13">
        <f>SUMIFS('2 - Distribuzione'!$CV$44:$CV$403,'2 - Distribuzione'!$BV$44:$BV$403,$AA20)/12</f>
        <v>3562.592660269755</v>
      </c>
      <c r="AL20" s="13">
        <f>AK20/(1+'1 - Input'!$B$12)^($AA20-0.5)</f>
        <v>2673.39836603702</v>
      </c>
    </row>
    <row r="21" spans="1:38">
      <c r="A21" s="3">
        <v>16</v>
      </c>
      <c r="B21" s="13">
        <f>INDEX('2 - Distribuzione'!$Z$44:$Z$403,12*$A21)</f>
        <v>0</v>
      </c>
      <c r="C21" s="13">
        <f>INDEX('2 - Distribuzione'!$AA$44:$AA$403,12*$A21)</f>
        <v>0</v>
      </c>
      <c r="D21" s="13">
        <f>B21/(1+'1 - Input'!$B$12)^$A21</f>
        <v>0</v>
      </c>
      <c r="E21" s="13">
        <f>SUMIFS('2 - Distribuzione'!$H$44:$H$403,'2 - Distribuzione'!$B$44:$B$403,$A21)</f>
        <v>1052.2410009279322</v>
      </c>
      <c r="F21" s="13">
        <f>SUMIFS('2 - Distribuzione'!$L$44:$L$403,'2 - Distribuzione'!$B$44:$B$403,$A21)</f>
        <v>778.65834068666982</v>
      </c>
      <c r="G21" s="13">
        <f>SUMIFS('2 - Distribuzione'!$K$44:$K$403,'2 - Distribuzione'!$B$44:$B$403,$A21)</f>
        <v>273.58266024126243</v>
      </c>
      <c r="H21" s="13">
        <f>SUMIFS('2 - Distribuzione'!$S$44:$S$403,'2 - Distribuzione'!$B$44:$B$403,$A21)</f>
        <v>0</v>
      </c>
      <c r="I21" s="13">
        <f>SUMIFS('2 - Distribuzione'!$Y$44:$Y$403,'2 - Distribuzione'!$B$44:$B$403,$A21)</f>
        <v>0</v>
      </c>
      <c r="J21" s="13">
        <f>INDEX('2 - Distribuzione'!$AF$44:$AF$403,12*$A21)</f>
        <v>174289.24056370757</v>
      </c>
      <c r="K21" s="13">
        <f>SUMIFS('2 - Distribuzione'!$AB$44:$AB$403,'2 - Distribuzione'!$B$44:$B$403,$A21)/12</f>
        <v>2514.6858674341497</v>
      </c>
      <c r="L21" s="13">
        <f>K21/(1+'1 - Input'!$B$12)^($A21-0.5)</f>
        <v>1850.03983086378</v>
      </c>
      <c r="N21" s="3">
        <v>16</v>
      </c>
      <c r="O21" s="13">
        <f>INDEX('2 - Distribuzione'!$BJ$44:$BJ$403,12*$N21)</f>
        <v>0</v>
      </c>
      <c r="P21" s="13">
        <f>INDEX('2 - Distribuzione'!$BK$44:$BK$403,12*$N21)</f>
        <v>0</v>
      </c>
      <c r="Q21" s="13">
        <f>O21/(1+'1 - Input'!$B$12)^$N21</f>
        <v>0</v>
      </c>
      <c r="R21" s="13">
        <f>SUMIFS('2 - Distribuzione'!$AR$44:$AR$403,'2 - Distribuzione'!$AL$44:$AL$403,$N21)</f>
        <v>1052.2410009279322</v>
      </c>
      <c r="S21" s="13">
        <f>SUMIFS('2 - Distribuzione'!$AV$44:$AV$403,'2 - Distribuzione'!$AL$44:$AL$403,$N21)</f>
        <v>778.65834068666982</v>
      </c>
      <c r="T21" s="13">
        <f>SUMIFS('2 - Distribuzione'!$AU$44:$AU$403,'2 - Distribuzione'!$AL$44:$AL$403,$N21)</f>
        <v>273.58266024126243</v>
      </c>
      <c r="U21" s="13">
        <f>SUMIFS('2 - Distribuzione'!$BC$44:$BC$403,'2 - Distribuzione'!$AL$44:$AL$403,$N21)</f>
        <v>0</v>
      </c>
      <c r="V21" s="13">
        <f>SUMIFS('2 - Distribuzione'!$BI$44:$BI$403,'2 - Distribuzione'!$AL$44:$AL$403,$N21)</f>
        <v>0</v>
      </c>
      <c r="W21" s="13">
        <f>INDEX('2 - Distribuzione'!$BP$44:$BP$403,12*$N21)</f>
        <v>174289.24056370757</v>
      </c>
      <c r="X21" s="13">
        <f>SUMIFS('2 - Distribuzione'!$BL$44:$BL$403,'2 - Distribuzione'!$AL$44:$AL$403,$N21)/12</f>
        <v>2514.6858674341497</v>
      </c>
      <c r="Y21" s="13">
        <f>X21/(1+'1 - Input'!$B$12)^($N21-0.5)</f>
        <v>1850.03983086378</v>
      </c>
      <c r="AA21" s="3">
        <v>16</v>
      </c>
      <c r="AB21" s="13">
        <f>INDEX('2 - Distribuzione'!$CT$44:$CT$403,12*$AA21)</f>
        <v>106668.32609594353</v>
      </c>
      <c r="AC21" s="13">
        <f>INDEX('2 - Distribuzione'!$CU$44:$CU$403,12*$AA21)</f>
        <v>0</v>
      </c>
      <c r="AD21" s="13">
        <f>AB21/(1+'1 - Input'!$B$12)^$AA21</f>
        <v>77702.095600494897</v>
      </c>
      <c r="AE21" s="13">
        <f>SUMIFS('2 - Distribuzione'!$CB$44:$CB$403,'2 - Distribuzione'!$BV$44:$BV$403,$AA21)</f>
        <v>12235.05359655659</v>
      </c>
      <c r="AF21" s="13">
        <f>SUMIFS('2 - Distribuzione'!$CF$44:$CF$403,'2 - Distribuzione'!$BV$44:$BV$403,$AA21)</f>
        <v>9053.9396614518773</v>
      </c>
      <c r="AG21" s="13">
        <f>SUMIFS('2 - Distribuzione'!$CE$44:$CE$403,'2 - Distribuzione'!$BV$44:$BV$403,$AA21)</f>
        <v>3181.1139351047136</v>
      </c>
      <c r="AH21" s="13">
        <f>SUMIFS('2 - Distribuzione'!$CM$44:$CM$403,'2 - Distribuzione'!$BV$44:$BV$403,$AA21)</f>
        <v>12139.960229817534</v>
      </c>
      <c r="AI21" s="13">
        <f>SUMIFS('2 - Distribuzione'!$CS$44:$CS$403,'2 - Distribuzione'!$BV$44:$BV$403,$AA21)</f>
        <v>213.76418055299305</v>
      </c>
      <c r="AJ21" s="13">
        <f>INDEX('2 - Distribuzione'!$CZ$44:$CZ$403,12*$AA21)</f>
        <v>0</v>
      </c>
      <c r="AK21" s="13">
        <f>SUMIFS('2 - Distribuzione'!$CV$44:$CV$403,'2 - Distribuzione'!$BV$44:$BV$403,$AA21)/12</f>
        <v>3633.8445134751487</v>
      </c>
      <c r="AL21" s="13">
        <f>AK21/(1+'1 - Input'!$B$12)^($AA21-0.5)</f>
        <v>2673.3983660370191</v>
      </c>
    </row>
    <row r="22" spans="1:38">
      <c r="A22" s="3">
        <v>17</v>
      </c>
      <c r="B22" s="13">
        <f>INDEX('2 - Distribuzione'!$Z$44:$Z$403,12*$A22)</f>
        <v>0</v>
      </c>
      <c r="C22" s="13">
        <f>INDEX('2 - Distribuzione'!$AA$44:$AA$403,12*$A22)</f>
        <v>0</v>
      </c>
      <c r="D22" s="13">
        <f>B22/(1+'1 - Input'!$B$12)^$A22</f>
        <v>0</v>
      </c>
      <c r="E22" s="13">
        <f>SUMIFS('2 - Distribuzione'!$H$44:$H$403,'2 - Distribuzione'!$B$44:$B$403,$A22)</f>
        <v>0</v>
      </c>
      <c r="F22" s="13">
        <f>SUMIFS('2 - Distribuzione'!$L$44:$L$403,'2 - Distribuzione'!$B$44:$B$403,$A22)</f>
        <v>0</v>
      </c>
      <c r="G22" s="13">
        <f>SUMIFS('2 - Distribuzione'!$K$44:$K$403,'2 - Distribuzione'!$B$44:$B$403,$A22)</f>
        <v>0</v>
      </c>
      <c r="H22" s="13">
        <f>SUMIFS('2 - Distribuzione'!$S$44:$S$403,'2 - Distribuzione'!$B$44:$B$403,$A22)</f>
        <v>0</v>
      </c>
      <c r="I22" s="13">
        <f>SUMIFS('2 - Distribuzione'!$Y$44:$Y$403,'2 - Distribuzione'!$B$44:$B$403,$A22)</f>
        <v>0</v>
      </c>
      <c r="J22" s="13">
        <f>INDEX('2 - Distribuzione'!$AF$44:$AF$403,12*$A22)</f>
        <v>174289.24056370757</v>
      </c>
      <c r="K22" s="13">
        <f>SUMIFS('2 - Distribuzione'!$AB$44:$AB$403,'2 - Distribuzione'!$B$44:$B$403,$A22)/12</f>
        <v>0</v>
      </c>
      <c r="L22" s="13">
        <f>K22/(1+'1 - Input'!$B$12)^($A22-0.5)</f>
        <v>0</v>
      </c>
      <c r="N22" s="3">
        <v>17</v>
      </c>
      <c r="O22" s="13">
        <f>INDEX('2 - Distribuzione'!$BJ$44:$BJ$403,12*$N22)</f>
        <v>0</v>
      </c>
      <c r="P22" s="13">
        <f>INDEX('2 - Distribuzione'!$BK$44:$BK$403,12*$N22)</f>
        <v>0</v>
      </c>
      <c r="Q22" s="13">
        <f>O22/(1+'1 - Input'!$B$12)^$N22</f>
        <v>0</v>
      </c>
      <c r="R22" s="13">
        <f>SUMIFS('2 - Distribuzione'!$AR$44:$AR$403,'2 - Distribuzione'!$AL$44:$AL$403,$N22)</f>
        <v>0</v>
      </c>
      <c r="S22" s="13">
        <f>SUMIFS('2 - Distribuzione'!$AV$44:$AV$403,'2 - Distribuzione'!$AL$44:$AL$403,$N22)</f>
        <v>0</v>
      </c>
      <c r="T22" s="13">
        <f>SUMIFS('2 - Distribuzione'!$AU$44:$AU$403,'2 - Distribuzione'!$AL$44:$AL$403,$N22)</f>
        <v>0</v>
      </c>
      <c r="U22" s="13">
        <f>SUMIFS('2 - Distribuzione'!$BC$44:$BC$403,'2 - Distribuzione'!$AL$44:$AL$403,$N22)</f>
        <v>0</v>
      </c>
      <c r="V22" s="13">
        <f>SUMIFS('2 - Distribuzione'!$BI$44:$BI$403,'2 - Distribuzione'!$AL$44:$AL$403,$N22)</f>
        <v>0</v>
      </c>
      <c r="W22" s="13">
        <f>INDEX('2 - Distribuzione'!$BP$44:$BP$403,12*$N22)</f>
        <v>174289.24056370757</v>
      </c>
      <c r="X22" s="13">
        <f>SUMIFS('2 - Distribuzione'!$BL$44:$BL$403,'2 - Distribuzione'!$AL$44:$AL$403,$N22)/12</f>
        <v>0</v>
      </c>
      <c r="Y22" s="13">
        <f>X22/(1+'1 - Input'!$B$12)^($N22-0.5)</f>
        <v>0</v>
      </c>
      <c r="AA22" s="3">
        <v>17</v>
      </c>
      <c r="AB22" s="13">
        <f>INDEX('2 - Distribuzione'!$CT$44:$CT$403,12*$AA22)</f>
        <v>50477.304470822884</v>
      </c>
      <c r="AC22" s="13">
        <f>INDEX('2 - Distribuzione'!$CU$44:$CU$403,12*$AA22)</f>
        <v>0</v>
      </c>
      <c r="AD22" s="13">
        <f>AB22/(1+'1 - Input'!$B$12)^$AA22</f>
        <v>36049.00110720563</v>
      </c>
      <c r="AE22" s="13">
        <f>SUMIFS('2 - Distribuzione'!$CB$44:$CB$403,'2 - Distribuzione'!$BV$44:$BV$403,$AA22)</f>
        <v>7337.1816123441295</v>
      </c>
      <c r="AF22" s="13">
        <f>SUMIFS('2 - Distribuzione'!$CF$44:$CF$403,'2 - Distribuzione'!$BV$44:$BV$403,$AA22)</f>
        <v>5429.5143931346565</v>
      </c>
      <c r="AG22" s="13">
        <f>SUMIFS('2 - Distribuzione'!$CE$44:$CE$403,'2 - Distribuzione'!$BV$44:$BV$403,$AA22)</f>
        <v>1907.6672192094736</v>
      </c>
      <c r="AH22" s="13">
        <f>SUMIFS('2 - Distribuzione'!$CM$44:$CM$403,'2 - Distribuzione'!$BV$44:$BV$403,$AA22)</f>
        <v>13719.828429011224</v>
      </c>
      <c r="AI22" s="13">
        <f>SUMIFS('2 - Distribuzione'!$CS$44:$CS$403,'2 - Distribuzione'!$BV$44:$BV$403,$AA22)</f>
        <v>101.15692278722021</v>
      </c>
      <c r="AJ22" s="13">
        <f>INDEX('2 - Distribuzione'!$CZ$44:$CZ$403,12*$AA22)</f>
        <v>0</v>
      </c>
      <c r="AK22" s="13">
        <f>SUMIFS('2 - Distribuzione'!$CV$44:$CV$403,'2 - Distribuzione'!$BV$44:$BV$403,$AA22)/12</f>
        <v>3706.5214037446517</v>
      </c>
      <c r="AL22" s="13">
        <f>AK22/(1+'1 - Input'!$B$12)^($AA22-0.5)</f>
        <v>2673.3983660370191</v>
      </c>
    </row>
    <row r="23" spans="1:38">
      <c r="A23" s="3">
        <v>18</v>
      </c>
      <c r="B23" s="13">
        <f>INDEX('2 - Distribuzione'!$Z$44:$Z$403,12*$A23)</f>
        <v>0</v>
      </c>
      <c r="C23" s="13">
        <f>INDEX('2 - Distribuzione'!$AA$44:$AA$403,12*$A23)</f>
        <v>0</v>
      </c>
      <c r="D23" s="13">
        <f>B23/(1+'1 - Input'!$B$12)^$A23</f>
        <v>0</v>
      </c>
      <c r="E23" s="13">
        <f>SUMIFS('2 - Distribuzione'!$H$44:$H$403,'2 - Distribuzione'!$B$44:$B$403,$A23)</f>
        <v>0</v>
      </c>
      <c r="F23" s="13">
        <f>SUMIFS('2 - Distribuzione'!$L$44:$L$403,'2 - Distribuzione'!$B$44:$B$403,$A23)</f>
        <v>0</v>
      </c>
      <c r="G23" s="13">
        <f>SUMIFS('2 - Distribuzione'!$K$44:$K$403,'2 - Distribuzione'!$B$44:$B$403,$A23)</f>
        <v>0</v>
      </c>
      <c r="H23" s="13">
        <f>SUMIFS('2 - Distribuzione'!$S$44:$S$403,'2 - Distribuzione'!$B$44:$B$403,$A23)</f>
        <v>0</v>
      </c>
      <c r="I23" s="13">
        <f>SUMIFS('2 - Distribuzione'!$Y$44:$Y$403,'2 - Distribuzione'!$B$44:$B$403,$A23)</f>
        <v>0</v>
      </c>
      <c r="J23" s="13">
        <f>INDEX('2 - Distribuzione'!$AF$44:$AF$403,12*$A23)</f>
        <v>174289.24056370757</v>
      </c>
      <c r="K23" s="13">
        <f>SUMIFS('2 - Distribuzione'!$AB$44:$AB$403,'2 - Distribuzione'!$B$44:$B$403,$A23)/12</f>
        <v>0</v>
      </c>
      <c r="L23" s="13">
        <f>K23/(1+'1 - Input'!$B$12)^($A23-0.5)</f>
        <v>0</v>
      </c>
      <c r="N23" s="3">
        <v>18</v>
      </c>
      <c r="O23" s="13">
        <f>INDEX('2 - Distribuzione'!$BJ$44:$BJ$403,12*$N23)</f>
        <v>0</v>
      </c>
      <c r="P23" s="13">
        <f>INDEX('2 - Distribuzione'!$BK$44:$BK$403,12*$N23)</f>
        <v>0</v>
      </c>
      <c r="Q23" s="13">
        <f>O23/(1+'1 - Input'!$B$12)^$N23</f>
        <v>0</v>
      </c>
      <c r="R23" s="13">
        <f>SUMIFS('2 - Distribuzione'!$AR$44:$AR$403,'2 - Distribuzione'!$AL$44:$AL$403,$N23)</f>
        <v>0</v>
      </c>
      <c r="S23" s="13">
        <f>SUMIFS('2 - Distribuzione'!$AV$44:$AV$403,'2 - Distribuzione'!$AL$44:$AL$403,$N23)</f>
        <v>0</v>
      </c>
      <c r="T23" s="13">
        <f>SUMIFS('2 - Distribuzione'!$AU$44:$AU$403,'2 - Distribuzione'!$AL$44:$AL$403,$N23)</f>
        <v>0</v>
      </c>
      <c r="U23" s="13">
        <f>SUMIFS('2 - Distribuzione'!$BC$44:$BC$403,'2 - Distribuzione'!$AL$44:$AL$403,$N23)</f>
        <v>0</v>
      </c>
      <c r="V23" s="13">
        <f>SUMIFS('2 - Distribuzione'!$BI$44:$BI$403,'2 - Distribuzione'!$AL$44:$AL$403,$N23)</f>
        <v>0</v>
      </c>
      <c r="W23" s="13">
        <f>INDEX('2 - Distribuzione'!$BP$44:$BP$403,12*$N23)</f>
        <v>174289.24056370757</v>
      </c>
      <c r="X23" s="13">
        <f>SUMIFS('2 - Distribuzione'!$BL$44:$BL$403,'2 - Distribuzione'!$AL$44:$AL$403,$N23)/12</f>
        <v>0</v>
      </c>
      <c r="Y23" s="13">
        <f>X23/(1+'1 - Input'!$B$12)^($N23-0.5)</f>
        <v>0</v>
      </c>
      <c r="AA23" s="3">
        <v>18</v>
      </c>
      <c r="AB23" s="13">
        <f>INDEX('2 - Distribuzione'!$CT$44:$CT$403,12*$AA23)</f>
        <v>0</v>
      </c>
      <c r="AC23" s="13">
        <f>INDEX('2 - Distribuzione'!$CU$44:$CU$403,12*$AA23)</f>
        <v>0</v>
      </c>
      <c r="AD23" s="13">
        <f>AB23/(1+'1 - Input'!$B$12)^$AA23</f>
        <v>0</v>
      </c>
      <c r="AE23" s="13">
        <f>SUMIFS('2 - Distribuzione'!$CB$44:$CB$403,'2 - Distribuzione'!$BV$44:$BV$403,$AA23)</f>
        <v>2126.2679358412138</v>
      </c>
      <c r="AF23" s="13">
        <f>SUMIFS('2 - Distribuzione'!$CF$44:$CF$403,'2 - Distribuzione'!$BV$44:$BV$403,$AA23)</f>
        <v>1573.4382725224982</v>
      </c>
      <c r="AG23" s="13">
        <f>SUMIFS('2 - Distribuzione'!$CE$44:$CE$403,'2 - Distribuzione'!$BV$44:$BV$403,$AA23)</f>
        <v>552.82966331871557</v>
      </c>
      <c r="AH23" s="13">
        <f>SUMIFS('2 - Distribuzione'!$CM$44:$CM$403,'2 - Distribuzione'!$BV$44:$BV$403,$AA23)</f>
        <v>12873.851881898923</v>
      </c>
      <c r="AI23" s="13">
        <f>SUMIFS('2 - Distribuzione'!$CS$44:$CS$403,'2 - Distribuzione'!$BV$44:$BV$403,$AA23)</f>
        <v>0</v>
      </c>
      <c r="AJ23" s="13">
        <f>INDEX('2 - Distribuzione'!$CZ$44:$CZ$403,12*$AA23)</f>
        <v>0</v>
      </c>
      <c r="AK23" s="13">
        <f>SUMIFS('2 - Distribuzione'!$CV$44:$CV$403,'2 - Distribuzione'!$BV$44:$BV$403,$AA23)/12</f>
        <v>3184.5334434170036</v>
      </c>
      <c r="AL23" s="13">
        <f>AK23/(1+'1 - Input'!$B$12)^($AA23-0.5)</f>
        <v>2251.8673718028899</v>
      </c>
    </row>
    <row r="24" spans="1:38">
      <c r="A24" s="3">
        <v>19</v>
      </c>
      <c r="B24" s="13">
        <f>INDEX('2 - Distribuzione'!$Z$44:$Z$403,12*$A24)</f>
        <v>0</v>
      </c>
      <c r="C24" s="13">
        <f>INDEX('2 - Distribuzione'!$AA$44:$AA$403,12*$A24)</f>
        <v>0</v>
      </c>
      <c r="D24" s="13">
        <f>B24/(1+'1 - Input'!$B$12)^$A24</f>
        <v>0</v>
      </c>
      <c r="E24" s="13">
        <f>SUMIFS('2 - Distribuzione'!$H$44:$H$403,'2 - Distribuzione'!$B$44:$B$403,$A24)</f>
        <v>0</v>
      </c>
      <c r="F24" s="13">
        <f>SUMIFS('2 - Distribuzione'!$L$44:$L$403,'2 - Distribuzione'!$B$44:$B$403,$A24)</f>
        <v>0</v>
      </c>
      <c r="G24" s="13">
        <f>SUMIFS('2 - Distribuzione'!$K$44:$K$403,'2 - Distribuzione'!$B$44:$B$403,$A24)</f>
        <v>0</v>
      </c>
      <c r="H24" s="13">
        <f>SUMIFS('2 - Distribuzione'!$S$44:$S$403,'2 - Distribuzione'!$B$44:$B$403,$A24)</f>
        <v>0</v>
      </c>
      <c r="I24" s="13">
        <f>SUMIFS('2 - Distribuzione'!$Y$44:$Y$403,'2 - Distribuzione'!$B$44:$B$403,$A24)</f>
        <v>0</v>
      </c>
      <c r="J24" s="13">
        <f>INDEX('2 - Distribuzione'!$AF$44:$AF$403,12*$A24)</f>
        <v>174289.24056370757</v>
      </c>
      <c r="K24" s="13">
        <f>SUMIFS('2 - Distribuzione'!$AB$44:$AB$403,'2 - Distribuzione'!$B$44:$B$403,$A24)/12</f>
        <v>0</v>
      </c>
      <c r="L24" s="13">
        <f>K24/(1+'1 - Input'!$B$12)^($A24-0.5)</f>
        <v>0</v>
      </c>
      <c r="N24" s="3">
        <v>19</v>
      </c>
      <c r="O24" s="13">
        <f>INDEX('2 - Distribuzione'!$BJ$44:$BJ$403,12*$N24)</f>
        <v>0</v>
      </c>
      <c r="P24" s="13">
        <f>INDEX('2 - Distribuzione'!$BK$44:$BK$403,12*$N24)</f>
        <v>0</v>
      </c>
      <c r="Q24" s="13">
        <f>O24/(1+'1 - Input'!$B$12)^$N24</f>
        <v>0</v>
      </c>
      <c r="R24" s="13">
        <f>SUMIFS('2 - Distribuzione'!$AR$44:$AR$403,'2 - Distribuzione'!$AL$44:$AL$403,$N24)</f>
        <v>0</v>
      </c>
      <c r="S24" s="13">
        <f>SUMIFS('2 - Distribuzione'!$AV$44:$AV$403,'2 - Distribuzione'!$AL$44:$AL$403,$N24)</f>
        <v>0</v>
      </c>
      <c r="T24" s="13">
        <f>SUMIFS('2 - Distribuzione'!$AU$44:$AU$403,'2 - Distribuzione'!$AL$44:$AL$403,$N24)</f>
        <v>0</v>
      </c>
      <c r="U24" s="13">
        <f>SUMIFS('2 - Distribuzione'!$BC$44:$BC$403,'2 - Distribuzione'!$AL$44:$AL$403,$N24)</f>
        <v>0</v>
      </c>
      <c r="V24" s="13">
        <f>SUMIFS('2 - Distribuzione'!$BI$44:$BI$403,'2 - Distribuzione'!$AL$44:$AL$403,$N24)</f>
        <v>0</v>
      </c>
      <c r="W24" s="13">
        <f>INDEX('2 - Distribuzione'!$BP$44:$BP$403,12*$N24)</f>
        <v>174289.24056370757</v>
      </c>
      <c r="X24" s="13">
        <f>SUMIFS('2 - Distribuzione'!$BL$44:$BL$403,'2 - Distribuzione'!$AL$44:$AL$403,$N24)/12</f>
        <v>0</v>
      </c>
      <c r="Y24" s="13">
        <f>X24/(1+'1 - Input'!$B$12)^($N24-0.5)</f>
        <v>0</v>
      </c>
      <c r="AA24" s="3">
        <v>19</v>
      </c>
      <c r="AB24" s="13">
        <f>INDEX('2 - Distribuzione'!$CT$44:$CT$403,12*$AA24)</f>
        <v>0</v>
      </c>
      <c r="AC24" s="13">
        <f>INDEX('2 - Distribuzione'!$CU$44:$CU$403,12*$AA24)</f>
        <v>0</v>
      </c>
      <c r="AD24" s="13">
        <f>AB24/(1+'1 - Input'!$B$12)^$AA24</f>
        <v>0</v>
      </c>
      <c r="AE24" s="13">
        <f>SUMIFS('2 - Distribuzione'!$CB$44:$CB$403,'2 - Distribuzione'!$BV$44:$BV$403,$AA24)</f>
        <v>0</v>
      </c>
      <c r="AF24" s="13">
        <f>SUMIFS('2 - Distribuzione'!$CF$44:$CF$403,'2 - Distribuzione'!$BV$44:$BV$403,$AA24)</f>
        <v>0</v>
      </c>
      <c r="AG24" s="13">
        <f>SUMIFS('2 - Distribuzione'!$CE$44:$CE$403,'2 - Distribuzione'!$BV$44:$BV$403,$AA24)</f>
        <v>0</v>
      </c>
      <c r="AH24" s="13">
        <f>SUMIFS('2 - Distribuzione'!$CM$44:$CM$403,'2 - Distribuzione'!$BV$44:$BV$403,$AA24)</f>
        <v>0</v>
      </c>
      <c r="AI24" s="13">
        <f>SUMIFS('2 - Distribuzione'!$CS$44:$CS$403,'2 - Distribuzione'!$BV$44:$BV$403,$AA24)</f>
        <v>0</v>
      </c>
      <c r="AJ24" s="13">
        <f>INDEX('2 - Distribuzione'!$CZ$44:$CZ$403,12*$AA24)</f>
        <v>0</v>
      </c>
      <c r="AK24" s="13">
        <f>SUMIFS('2 - Distribuzione'!$CV$44:$CV$403,'2 - Distribuzione'!$BV$44:$BV$403,$AA24)/12</f>
        <v>0</v>
      </c>
      <c r="AL24" s="13">
        <f>AK24/(1+'1 - Input'!$B$12)^($AA24-0.5)</f>
        <v>0</v>
      </c>
    </row>
    <row r="25" spans="1:38">
      <c r="A25" s="3">
        <v>20</v>
      </c>
      <c r="B25" s="13">
        <f>INDEX('2 - Distribuzione'!$Z$44:$Z$403,12*$A25)</f>
        <v>0</v>
      </c>
      <c r="C25" s="13">
        <f>INDEX('2 - Distribuzione'!$AA$44:$AA$403,12*$A25)</f>
        <v>0</v>
      </c>
      <c r="D25" s="13">
        <f>B25/(1+'1 - Input'!$B$12)^$A25</f>
        <v>0</v>
      </c>
      <c r="E25" s="13">
        <f>SUMIFS('2 - Distribuzione'!$H$44:$H$403,'2 - Distribuzione'!$B$44:$B$403,$A25)</f>
        <v>0</v>
      </c>
      <c r="F25" s="13">
        <f>SUMIFS('2 - Distribuzione'!$L$44:$L$403,'2 - Distribuzione'!$B$44:$B$403,$A25)</f>
        <v>0</v>
      </c>
      <c r="G25" s="13">
        <f>SUMIFS('2 - Distribuzione'!$K$44:$K$403,'2 - Distribuzione'!$B$44:$B$403,$A25)</f>
        <v>0</v>
      </c>
      <c r="H25" s="13">
        <f>SUMIFS('2 - Distribuzione'!$S$44:$S$403,'2 - Distribuzione'!$B$44:$B$403,$A25)</f>
        <v>0</v>
      </c>
      <c r="I25" s="13">
        <f>SUMIFS('2 - Distribuzione'!$Y$44:$Y$403,'2 - Distribuzione'!$B$44:$B$403,$A25)</f>
        <v>0</v>
      </c>
      <c r="J25" s="13">
        <f>INDEX('2 - Distribuzione'!$AF$44:$AF$403,12*$A25)</f>
        <v>174289.24056370757</v>
      </c>
      <c r="K25" s="13">
        <f>SUMIFS('2 - Distribuzione'!$AB$44:$AB$403,'2 - Distribuzione'!$B$44:$B$403,$A25)/12</f>
        <v>0</v>
      </c>
      <c r="L25" s="13">
        <f>K25/(1+'1 - Input'!$B$12)^($A25-0.5)</f>
        <v>0</v>
      </c>
      <c r="N25" s="3">
        <v>20</v>
      </c>
      <c r="O25" s="13">
        <f>INDEX('2 - Distribuzione'!$BJ$44:$BJ$403,12*$N25)</f>
        <v>0</v>
      </c>
      <c r="P25" s="13">
        <f>INDEX('2 - Distribuzione'!$BK$44:$BK$403,12*$N25)</f>
        <v>0</v>
      </c>
      <c r="Q25" s="13">
        <f>O25/(1+'1 - Input'!$B$12)^$N25</f>
        <v>0</v>
      </c>
      <c r="R25" s="13">
        <f>SUMIFS('2 - Distribuzione'!$AR$44:$AR$403,'2 - Distribuzione'!$AL$44:$AL$403,$N25)</f>
        <v>0</v>
      </c>
      <c r="S25" s="13">
        <f>SUMIFS('2 - Distribuzione'!$AV$44:$AV$403,'2 - Distribuzione'!$AL$44:$AL$403,$N25)</f>
        <v>0</v>
      </c>
      <c r="T25" s="13">
        <f>SUMIFS('2 - Distribuzione'!$AU$44:$AU$403,'2 - Distribuzione'!$AL$44:$AL$403,$N25)</f>
        <v>0</v>
      </c>
      <c r="U25" s="13">
        <f>SUMIFS('2 - Distribuzione'!$BC$44:$BC$403,'2 - Distribuzione'!$AL$44:$AL$403,$N25)</f>
        <v>0</v>
      </c>
      <c r="V25" s="13">
        <f>SUMIFS('2 - Distribuzione'!$BI$44:$BI$403,'2 - Distribuzione'!$AL$44:$AL$403,$N25)</f>
        <v>0</v>
      </c>
      <c r="W25" s="13">
        <f>INDEX('2 - Distribuzione'!$BP$44:$BP$403,12*$N25)</f>
        <v>174289.24056370757</v>
      </c>
      <c r="X25" s="13">
        <f>SUMIFS('2 - Distribuzione'!$BL$44:$BL$403,'2 - Distribuzione'!$AL$44:$AL$403,$N25)/12</f>
        <v>0</v>
      </c>
      <c r="Y25" s="13">
        <f>X25/(1+'1 - Input'!$B$12)^($N25-0.5)</f>
        <v>0</v>
      </c>
      <c r="AA25" s="3">
        <v>20</v>
      </c>
      <c r="AB25" s="13">
        <f>INDEX('2 - Distribuzione'!$CT$44:$CT$403,12*$AA25)</f>
        <v>0</v>
      </c>
      <c r="AC25" s="13">
        <f>INDEX('2 - Distribuzione'!$CU$44:$CU$403,12*$AA25)</f>
        <v>0</v>
      </c>
      <c r="AD25" s="13">
        <f>AB25/(1+'1 - Input'!$B$12)^$AA25</f>
        <v>0</v>
      </c>
      <c r="AE25" s="13">
        <f>SUMIFS('2 - Distribuzione'!$CB$44:$CB$403,'2 - Distribuzione'!$BV$44:$BV$403,$AA25)</f>
        <v>0</v>
      </c>
      <c r="AF25" s="13">
        <f>SUMIFS('2 - Distribuzione'!$CF$44:$CF$403,'2 - Distribuzione'!$BV$44:$BV$403,$AA25)</f>
        <v>0</v>
      </c>
      <c r="AG25" s="13">
        <f>SUMIFS('2 - Distribuzione'!$CE$44:$CE$403,'2 - Distribuzione'!$BV$44:$BV$403,$AA25)</f>
        <v>0</v>
      </c>
      <c r="AH25" s="13">
        <f>SUMIFS('2 - Distribuzione'!$CM$44:$CM$403,'2 - Distribuzione'!$BV$44:$BV$403,$AA25)</f>
        <v>0</v>
      </c>
      <c r="AI25" s="13">
        <f>SUMIFS('2 - Distribuzione'!$CS$44:$CS$403,'2 - Distribuzione'!$BV$44:$BV$403,$AA25)</f>
        <v>0</v>
      </c>
      <c r="AJ25" s="13">
        <f>INDEX('2 - Distribuzione'!$CZ$44:$CZ$403,12*$AA25)</f>
        <v>0</v>
      </c>
      <c r="AK25" s="13">
        <f>SUMIFS('2 - Distribuzione'!$CV$44:$CV$403,'2 - Distribuzione'!$BV$44:$BV$403,$AA25)/12</f>
        <v>0</v>
      </c>
      <c r="AL25" s="13">
        <f>AK25/(1+'1 - Input'!$B$12)^($AA25-0.5)</f>
        <v>0</v>
      </c>
    </row>
    <row r="26" spans="1:38">
      <c r="A26" s="3">
        <v>21</v>
      </c>
      <c r="B26" s="13">
        <f>INDEX('2 - Distribuzione'!$Z$44:$Z$403,12*$A26)</f>
        <v>0</v>
      </c>
      <c r="C26" s="13">
        <f>INDEX('2 - Distribuzione'!$AA$44:$AA$403,12*$A26)</f>
        <v>0</v>
      </c>
      <c r="D26" s="13">
        <f>B26/(1+'1 - Input'!$B$12)^$A26</f>
        <v>0</v>
      </c>
      <c r="E26" s="13">
        <f>SUMIFS('2 - Distribuzione'!$H$44:$H$403,'2 - Distribuzione'!$B$44:$B$403,$A26)</f>
        <v>0</v>
      </c>
      <c r="F26" s="13">
        <f>SUMIFS('2 - Distribuzione'!$L$44:$L$403,'2 - Distribuzione'!$B$44:$B$403,$A26)</f>
        <v>0</v>
      </c>
      <c r="G26" s="13">
        <f>SUMIFS('2 - Distribuzione'!$K$44:$K$403,'2 - Distribuzione'!$B$44:$B$403,$A26)</f>
        <v>0</v>
      </c>
      <c r="H26" s="13">
        <f>SUMIFS('2 - Distribuzione'!$S$44:$S$403,'2 - Distribuzione'!$B$44:$B$403,$A26)</f>
        <v>0</v>
      </c>
      <c r="I26" s="13">
        <f>SUMIFS('2 - Distribuzione'!$Y$44:$Y$403,'2 - Distribuzione'!$B$44:$B$403,$A26)</f>
        <v>0</v>
      </c>
      <c r="J26" s="13">
        <f>INDEX('2 - Distribuzione'!$AF$44:$AF$403,12*$A26)</f>
        <v>174289.24056370757</v>
      </c>
      <c r="K26" s="13">
        <f>SUMIFS('2 - Distribuzione'!$AB$44:$AB$403,'2 - Distribuzione'!$B$44:$B$403,$A26)/12</f>
        <v>0</v>
      </c>
      <c r="L26" s="13">
        <f>K26/(1+'1 - Input'!$B$12)^($A26-0.5)</f>
        <v>0</v>
      </c>
      <c r="N26" s="3">
        <v>21</v>
      </c>
      <c r="O26" s="13">
        <f>INDEX('2 - Distribuzione'!$BJ$44:$BJ$403,12*$N26)</f>
        <v>0</v>
      </c>
      <c r="P26" s="13">
        <f>INDEX('2 - Distribuzione'!$BK$44:$BK$403,12*$N26)</f>
        <v>0</v>
      </c>
      <c r="Q26" s="13">
        <f>O26/(1+'1 - Input'!$B$12)^$N26</f>
        <v>0</v>
      </c>
      <c r="R26" s="13">
        <f>SUMIFS('2 - Distribuzione'!$AR$44:$AR$403,'2 - Distribuzione'!$AL$44:$AL$403,$N26)</f>
        <v>0</v>
      </c>
      <c r="S26" s="13">
        <f>SUMIFS('2 - Distribuzione'!$AV$44:$AV$403,'2 - Distribuzione'!$AL$44:$AL$403,$N26)</f>
        <v>0</v>
      </c>
      <c r="T26" s="13">
        <f>SUMIFS('2 - Distribuzione'!$AU$44:$AU$403,'2 - Distribuzione'!$AL$44:$AL$403,$N26)</f>
        <v>0</v>
      </c>
      <c r="U26" s="13">
        <f>SUMIFS('2 - Distribuzione'!$BC$44:$BC$403,'2 - Distribuzione'!$AL$44:$AL$403,$N26)</f>
        <v>0</v>
      </c>
      <c r="V26" s="13">
        <f>SUMIFS('2 - Distribuzione'!$BI$44:$BI$403,'2 - Distribuzione'!$AL$44:$AL$403,$N26)</f>
        <v>0</v>
      </c>
      <c r="W26" s="13">
        <f>INDEX('2 - Distribuzione'!$BP$44:$BP$403,12*$N26)</f>
        <v>174289.24056370757</v>
      </c>
      <c r="X26" s="13">
        <f>SUMIFS('2 - Distribuzione'!$BL$44:$BL$403,'2 - Distribuzione'!$AL$44:$AL$403,$N26)/12</f>
        <v>0</v>
      </c>
      <c r="Y26" s="13">
        <f>X26/(1+'1 - Input'!$B$12)^($N26-0.5)</f>
        <v>0</v>
      </c>
      <c r="AA26" s="3">
        <v>21</v>
      </c>
      <c r="AB26" s="13">
        <f>INDEX('2 - Distribuzione'!$CT$44:$CT$403,12*$AA26)</f>
        <v>0</v>
      </c>
      <c r="AC26" s="13">
        <f>INDEX('2 - Distribuzione'!$CU$44:$CU$403,12*$AA26)</f>
        <v>0</v>
      </c>
      <c r="AD26" s="13">
        <f>AB26/(1+'1 - Input'!$B$12)^$AA26</f>
        <v>0</v>
      </c>
      <c r="AE26" s="13">
        <f>SUMIFS('2 - Distribuzione'!$CB$44:$CB$403,'2 - Distribuzione'!$BV$44:$BV$403,$AA26)</f>
        <v>0</v>
      </c>
      <c r="AF26" s="13">
        <f>SUMIFS('2 - Distribuzione'!$CF$44:$CF$403,'2 - Distribuzione'!$BV$44:$BV$403,$AA26)</f>
        <v>0</v>
      </c>
      <c r="AG26" s="13">
        <f>SUMIFS('2 - Distribuzione'!$CE$44:$CE$403,'2 - Distribuzione'!$BV$44:$BV$403,$AA26)</f>
        <v>0</v>
      </c>
      <c r="AH26" s="13">
        <f>SUMIFS('2 - Distribuzione'!$CM$44:$CM$403,'2 - Distribuzione'!$BV$44:$BV$403,$AA26)</f>
        <v>0</v>
      </c>
      <c r="AI26" s="13">
        <f>SUMIFS('2 - Distribuzione'!$CS$44:$CS$403,'2 - Distribuzione'!$BV$44:$BV$403,$AA26)</f>
        <v>0</v>
      </c>
      <c r="AJ26" s="13">
        <f>INDEX('2 - Distribuzione'!$CZ$44:$CZ$403,12*$AA26)</f>
        <v>0</v>
      </c>
      <c r="AK26" s="13">
        <f>SUMIFS('2 - Distribuzione'!$CV$44:$CV$403,'2 - Distribuzione'!$BV$44:$BV$403,$AA26)/12</f>
        <v>0</v>
      </c>
      <c r="AL26" s="13">
        <f>AK26/(1+'1 - Input'!$B$12)^($AA26-0.5)</f>
        <v>0</v>
      </c>
    </row>
    <row r="27" spans="1:38">
      <c r="A27" s="3">
        <v>22</v>
      </c>
      <c r="B27" s="13">
        <f>INDEX('2 - Distribuzione'!$Z$44:$Z$403,12*$A27)</f>
        <v>0</v>
      </c>
      <c r="C27" s="13">
        <f>INDEX('2 - Distribuzione'!$AA$44:$AA$403,12*$A27)</f>
        <v>0</v>
      </c>
      <c r="D27" s="13">
        <f>B27/(1+'1 - Input'!$B$12)^$A27</f>
        <v>0</v>
      </c>
      <c r="E27" s="13">
        <f>SUMIFS('2 - Distribuzione'!$H$44:$H$403,'2 - Distribuzione'!$B$44:$B$403,$A27)</f>
        <v>0</v>
      </c>
      <c r="F27" s="13">
        <f>SUMIFS('2 - Distribuzione'!$L$44:$L$403,'2 - Distribuzione'!$B$44:$B$403,$A27)</f>
        <v>0</v>
      </c>
      <c r="G27" s="13">
        <f>SUMIFS('2 - Distribuzione'!$K$44:$K$403,'2 - Distribuzione'!$B$44:$B$403,$A27)</f>
        <v>0</v>
      </c>
      <c r="H27" s="13">
        <f>SUMIFS('2 - Distribuzione'!$S$44:$S$403,'2 - Distribuzione'!$B$44:$B$403,$A27)</f>
        <v>0</v>
      </c>
      <c r="I27" s="13">
        <f>SUMIFS('2 - Distribuzione'!$Y$44:$Y$403,'2 - Distribuzione'!$B$44:$B$403,$A27)</f>
        <v>0</v>
      </c>
      <c r="J27" s="13">
        <f>INDEX('2 - Distribuzione'!$AF$44:$AF$403,12*$A27)</f>
        <v>174289.24056370757</v>
      </c>
      <c r="K27" s="13">
        <f>SUMIFS('2 - Distribuzione'!$AB$44:$AB$403,'2 - Distribuzione'!$B$44:$B$403,$A27)/12</f>
        <v>0</v>
      </c>
      <c r="L27" s="13">
        <f>K27/(1+'1 - Input'!$B$12)^($A27-0.5)</f>
        <v>0</v>
      </c>
      <c r="N27" s="3">
        <v>22</v>
      </c>
      <c r="O27" s="13">
        <f>INDEX('2 - Distribuzione'!$BJ$44:$BJ$403,12*$N27)</f>
        <v>0</v>
      </c>
      <c r="P27" s="13">
        <f>INDEX('2 - Distribuzione'!$BK$44:$BK$403,12*$N27)</f>
        <v>0</v>
      </c>
      <c r="Q27" s="13">
        <f>O27/(1+'1 - Input'!$B$12)^$N27</f>
        <v>0</v>
      </c>
      <c r="R27" s="13">
        <f>SUMIFS('2 - Distribuzione'!$AR$44:$AR$403,'2 - Distribuzione'!$AL$44:$AL$403,$N27)</f>
        <v>0</v>
      </c>
      <c r="S27" s="13">
        <f>SUMIFS('2 - Distribuzione'!$AV$44:$AV$403,'2 - Distribuzione'!$AL$44:$AL$403,$N27)</f>
        <v>0</v>
      </c>
      <c r="T27" s="13">
        <f>SUMIFS('2 - Distribuzione'!$AU$44:$AU$403,'2 - Distribuzione'!$AL$44:$AL$403,$N27)</f>
        <v>0</v>
      </c>
      <c r="U27" s="13">
        <f>SUMIFS('2 - Distribuzione'!$BC$44:$BC$403,'2 - Distribuzione'!$AL$44:$AL$403,$N27)</f>
        <v>0</v>
      </c>
      <c r="V27" s="13">
        <f>SUMIFS('2 - Distribuzione'!$BI$44:$BI$403,'2 - Distribuzione'!$AL$44:$AL$403,$N27)</f>
        <v>0</v>
      </c>
      <c r="W27" s="13">
        <f>INDEX('2 - Distribuzione'!$BP$44:$BP$403,12*$N27)</f>
        <v>174289.24056370757</v>
      </c>
      <c r="X27" s="13">
        <f>SUMIFS('2 - Distribuzione'!$BL$44:$BL$403,'2 - Distribuzione'!$AL$44:$AL$403,$N27)/12</f>
        <v>0</v>
      </c>
      <c r="Y27" s="13">
        <f>X27/(1+'1 - Input'!$B$12)^($N27-0.5)</f>
        <v>0</v>
      </c>
      <c r="AA27" s="3">
        <v>22</v>
      </c>
      <c r="AB27" s="13">
        <f>INDEX('2 - Distribuzione'!$CT$44:$CT$403,12*$AA27)</f>
        <v>0</v>
      </c>
      <c r="AC27" s="13">
        <f>INDEX('2 - Distribuzione'!$CU$44:$CU$403,12*$AA27)</f>
        <v>0</v>
      </c>
      <c r="AD27" s="13">
        <f>AB27/(1+'1 - Input'!$B$12)^$AA27</f>
        <v>0</v>
      </c>
      <c r="AE27" s="13">
        <f>SUMIFS('2 - Distribuzione'!$CB$44:$CB$403,'2 - Distribuzione'!$BV$44:$BV$403,$AA27)</f>
        <v>0</v>
      </c>
      <c r="AF27" s="13">
        <f>SUMIFS('2 - Distribuzione'!$CF$44:$CF$403,'2 - Distribuzione'!$BV$44:$BV$403,$AA27)</f>
        <v>0</v>
      </c>
      <c r="AG27" s="13">
        <f>SUMIFS('2 - Distribuzione'!$CE$44:$CE$403,'2 - Distribuzione'!$BV$44:$BV$403,$AA27)</f>
        <v>0</v>
      </c>
      <c r="AH27" s="13">
        <f>SUMIFS('2 - Distribuzione'!$CM$44:$CM$403,'2 - Distribuzione'!$BV$44:$BV$403,$AA27)</f>
        <v>0</v>
      </c>
      <c r="AI27" s="13">
        <f>SUMIFS('2 - Distribuzione'!$CS$44:$CS$403,'2 - Distribuzione'!$BV$44:$BV$403,$AA27)</f>
        <v>0</v>
      </c>
      <c r="AJ27" s="13">
        <f>INDEX('2 - Distribuzione'!$CZ$44:$CZ$403,12*$AA27)</f>
        <v>0</v>
      </c>
      <c r="AK27" s="13">
        <f>SUMIFS('2 - Distribuzione'!$CV$44:$CV$403,'2 - Distribuzione'!$BV$44:$BV$403,$AA27)/12</f>
        <v>0</v>
      </c>
      <c r="AL27" s="13">
        <f>AK27/(1+'1 - Input'!$B$12)^($AA27-0.5)</f>
        <v>0</v>
      </c>
    </row>
    <row r="28" spans="1:38">
      <c r="A28" s="3">
        <v>23</v>
      </c>
      <c r="B28" s="13">
        <f>INDEX('2 - Distribuzione'!$Z$44:$Z$403,12*$A28)</f>
        <v>0</v>
      </c>
      <c r="C28" s="13">
        <f>INDEX('2 - Distribuzione'!$AA$44:$AA$403,12*$A28)</f>
        <v>0</v>
      </c>
      <c r="D28" s="13">
        <f>B28/(1+'1 - Input'!$B$12)^$A28</f>
        <v>0</v>
      </c>
      <c r="E28" s="13">
        <f>SUMIFS('2 - Distribuzione'!$H$44:$H$403,'2 - Distribuzione'!$B$44:$B$403,$A28)</f>
        <v>0</v>
      </c>
      <c r="F28" s="13">
        <f>SUMIFS('2 - Distribuzione'!$L$44:$L$403,'2 - Distribuzione'!$B$44:$B$403,$A28)</f>
        <v>0</v>
      </c>
      <c r="G28" s="13">
        <f>SUMIFS('2 - Distribuzione'!$K$44:$K$403,'2 - Distribuzione'!$B$44:$B$403,$A28)</f>
        <v>0</v>
      </c>
      <c r="H28" s="13">
        <f>SUMIFS('2 - Distribuzione'!$S$44:$S$403,'2 - Distribuzione'!$B$44:$B$403,$A28)</f>
        <v>0</v>
      </c>
      <c r="I28" s="13">
        <f>SUMIFS('2 - Distribuzione'!$Y$44:$Y$403,'2 - Distribuzione'!$B$44:$B$403,$A28)</f>
        <v>0</v>
      </c>
      <c r="J28" s="13">
        <f>INDEX('2 - Distribuzione'!$AF$44:$AF$403,12*$A28)</f>
        <v>174289.24056370757</v>
      </c>
      <c r="K28" s="13">
        <f>SUMIFS('2 - Distribuzione'!$AB$44:$AB$403,'2 - Distribuzione'!$B$44:$B$403,$A28)/12</f>
        <v>0</v>
      </c>
      <c r="L28" s="13">
        <f>K28/(1+'1 - Input'!$B$12)^($A28-0.5)</f>
        <v>0</v>
      </c>
      <c r="N28" s="3">
        <v>23</v>
      </c>
      <c r="O28" s="13">
        <f>INDEX('2 - Distribuzione'!$BJ$44:$BJ$403,12*$N28)</f>
        <v>0</v>
      </c>
      <c r="P28" s="13">
        <f>INDEX('2 - Distribuzione'!$BK$44:$BK$403,12*$N28)</f>
        <v>0</v>
      </c>
      <c r="Q28" s="13">
        <f>O28/(1+'1 - Input'!$B$12)^$N28</f>
        <v>0</v>
      </c>
      <c r="R28" s="13">
        <f>SUMIFS('2 - Distribuzione'!$AR$44:$AR$403,'2 - Distribuzione'!$AL$44:$AL$403,$N28)</f>
        <v>0</v>
      </c>
      <c r="S28" s="13">
        <f>SUMIFS('2 - Distribuzione'!$AV$44:$AV$403,'2 - Distribuzione'!$AL$44:$AL$403,$N28)</f>
        <v>0</v>
      </c>
      <c r="T28" s="13">
        <f>SUMIFS('2 - Distribuzione'!$AU$44:$AU$403,'2 - Distribuzione'!$AL$44:$AL$403,$N28)</f>
        <v>0</v>
      </c>
      <c r="U28" s="13">
        <f>SUMIFS('2 - Distribuzione'!$BC$44:$BC$403,'2 - Distribuzione'!$AL$44:$AL$403,$N28)</f>
        <v>0</v>
      </c>
      <c r="V28" s="13">
        <f>SUMIFS('2 - Distribuzione'!$BI$44:$BI$403,'2 - Distribuzione'!$AL$44:$AL$403,$N28)</f>
        <v>0</v>
      </c>
      <c r="W28" s="13">
        <f>INDEX('2 - Distribuzione'!$BP$44:$BP$403,12*$N28)</f>
        <v>174289.24056370757</v>
      </c>
      <c r="X28" s="13">
        <f>SUMIFS('2 - Distribuzione'!$BL$44:$BL$403,'2 - Distribuzione'!$AL$44:$AL$403,$N28)/12</f>
        <v>0</v>
      </c>
      <c r="Y28" s="13">
        <f>X28/(1+'1 - Input'!$B$12)^($N28-0.5)</f>
        <v>0</v>
      </c>
      <c r="AA28" s="3">
        <v>23</v>
      </c>
      <c r="AB28" s="13">
        <f>INDEX('2 - Distribuzione'!$CT$44:$CT$403,12*$AA28)</f>
        <v>0</v>
      </c>
      <c r="AC28" s="13">
        <f>INDEX('2 - Distribuzione'!$CU$44:$CU$403,12*$AA28)</f>
        <v>0</v>
      </c>
      <c r="AD28" s="13">
        <f>AB28/(1+'1 - Input'!$B$12)^$AA28</f>
        <v>0</v>
      </c>
      <c r="AE28" s="13">
        <f>SUMIFS('2 - Distribuzione'!$CB$44:$CB$403,'2 - Distribuzione'!$BV$44:$BV$403,$AA28)</f>
        <v>0</v>
      </c>
      <c r="AF28" s="13">
        <f>SUMIFS('2 - Distribuzione'!$CF$44:$CF$403,'2 - Distribuzione'!$BV$44:$BV$403,$AA28)</f>
        <v>0</v>
      </c>
      <c r="AG28" s="13">
        <f>SUMIFS('2 - Distribuzione'!$CE$44:$CE$403,'2 - Distribuzione'!$BV$44:$BV$403,$AA28)</f>
        <v>0</v>
      </c>
      <c r="AH28" s="13">
        <f>SUMIFS('2 - Distribuzione'!$CM$44:$CM$403,'2 - Distribuzione'!$BV$44:$BV$403,$AA28)</f>
        <v>0</v>
      </c>
      <c r="AI28" s="13">
        <f>SUMIFS('2 - Distribuzione'!$CS$44:$CS$403,'2 - Distribuzione'!$BV$44:$BV$403,$AA28)</f>
        <v>0</v>
      </c>
      <c r="AJ28" s="13">
        <f>INDEX('2 - Distribuzione'!$CZ$44:$CZ$403,12*$AA28)</f>
        <v>0</v>
      </c>
      <c r="AK28" s="13">
        <f>SUMIFS('2 - Distribuzione'!$CV$44:$CV$403,'2 - Distribuzione'!$BV$44:$BV$403,$AA28)/12</f>
        <v>0</v>
      </c>
      <c r="AL28" s="13">
        <f>AK28/(1+'1 - Input'!$B$12)^($AA28-0.5)</f>
        <v>0</v>
      </c>
    </row>
    <row r="29" spans="1:38">
      <c r="A29" s="3">
        <v>24</v>
      </c>
      <c r="B29" s="13">
        <f>INDEX('2 - Distribuzione'!$Z$44:$Z$403,12*$A29)</f>
        <v>0</v>
      </c>
      <c r="C29" s="13">
        <f>INDEX('2 - Distribuzione'!$AA$44:$AA$403,12*$A29)</f>
        <v>0</v>
      </c>
      <c r="D29" s="13">
        <f>B29/(1+'1 - Input'!$B$12)^$A29</f>
        <v>0</v>
      </c>
      <c r="E29" s="13">
        <f>SUMIFS('2 - Distribuzione'!$H$44:$H$403,'2 - Distribuzione'!$B$44:$B$403,$A29)</f>
        <v>0</v>
      </c>
      <c r="F29" s="13">
        <f>SUMIFS('2 - Distribuzione'!$L$44:$L$403,'2 - Distribuzione'!$B$44:$B$403,$A29)</f>
        <v>0</v>
      </c>
      <c r="G29" s="13">
        <f>SUMIFS('2 - Distribuzione'!$K$44:$K$403,'2 - Distribuzione'!$B$44:$B$403,$A29)</f>
        <v>0</v>
      </c>
      <c r="H29" s="13">
        <f>SUMIFS('2 - Distribuzione'!$S$44:$S$403,'2 - Distribuzione'!$B$44:$B$403,$A29)</f>
        <v>0</v>
      </c>
      <c r="I29" s="13">
        <f>SUMIFS('2 - Distribuzione'!$Y$44:$Y$403,'2 - Distribuzione'!$B$44:$B$403,$A29)</f>
        <v>0</v>
      </c>
      <c r="J29" s="13">
        <f>INDEX('2 - Distribuzione'!$AF$44:$AF$403,12*$A29)</f>
        <v>174289.24056370757</v>
      </c>
      <c r="K29" s="13">
        <f>SUMIFS('2 - Distribuzione'!$AB$44:$AB$403,'2 - Distribuzione'!$B$44:$B$403,$A29)/12</f>
        <v>0</v>
      </c>
      <c r="L29" s="13">
        <f>K29/(1+'1 - Input'!$B$12)^($A29-0.5)</f>
        <v>0</v>
      </c>
      <c r="N29" s="3">
        <v>24</v>
      </c>
      <c r="O29" s="13">
        <f>INDEX('2 - Distribuzione'!$BJ$44:$BJ$403,12*$N29)</f>
        <v>0</v>
      </c>
      <c r="P29" s="13">
        <f>INDEX('2 - Distribuzione'!$BK$44:$BK$403,12*$N29)</f>
        <v>0</v>
      </c>
      <c r="Q29" s="13">
        <f>O29/(1+'1 - Input'!$B$12)^$N29</f>
        <v>0</v>
      </c>
      <c r="R29" s="13">
        <f>SUMIFS('2 - Distribuzione'!$AR$44:$AR$403,'2 - Distribuzione'!$AL$44:$AL$403,$N29)</f>
        <v>0</v>
      </c>
      <c r="S29" s="13">
        <f>SUMIFS('2 - Distribuzione'!$AV$44:$AV$403,'2 - Distribuzione'!$AL$44:$AL$403,$N29)</f>
        <v>0</v>
      </c>
      <c r="T29" s="13">
        <f>SUMIFS('2 - Distribuzione'!$AU$44:$AU$403,'2 - Distribuzione'!$AL$44:$AL$403,$N29)</f>
        <v>0</v>
      </c>
      <c r="U29" s="13">
        <f>SUMIFS('2 - Distribuzione'!$BC$44:$BC$403,'2 - Distribuzione'!$AL$44:$AL$403,$N29)</f>
        <v>0</v>
      </c>
      <c r="V29" s="13">
        <f>SUMIFS('2 - Distribuzione'!$BI$44:$BI$403,'2 - Distribuzione'!$AL$44:$AL$403,$N29)</f>
        <v>0</v>
      </c>
      <c r="W29" s="13">
        <f>INDEX('2 - Distribuzione'!$BP$44:$BP$403,12*$N29)</f>
        <v>174289.24056370757</v>
      </c>
      <c r="X29" s="13">
        <f>SUMIFS('2 - Distribuzione'!$BL$44:$BL$403,'2 - Distribuzione'!$AL$44:$AL$403,$N29)/12</f>
        <v>0</v>
      </c>
      <c r="Y29" s="13">
        <f>X29/(1+'1 - Input'!$B$12)^($N29-0.5)</f>
        <v>0</v>
      </c>
      <c r="AA29" s="3">
        <v>24</v>
      </c>
      <c r="AB29" s="13">
        <f>INDEX('2 - Distribuzione'!$CT$44:$CT$403,12*$AA29)</f>
        <v>0</v>
      </c>
      <c r="AC29" s="13">
        <f>INDEX('2 - Distribuzione'!$CU$44:$CU$403,12*$AA29)</f>
        <v>0</v>
      </c>
      <c r="AD29" s="13">
        <f>AB29/(1+'1 - Input'!$B$12)^$AA29</f>
        <v>0</v>
      </c>
      <c r="AE29" s="13">
        <f>SUMIFS('2 - Distribuzione'!$CB$44:$CB$403,'2 - Distribuzione'!$BV$44:$BV$403,$AA29)</f>
        <v>0</v>
      </c>
      <c r="AF29" s="13">
        <f>SUMIFS('2 - Distribuzione'!$CF$44:$CF$403,'2 - Distribuzione'!$BV$44:$BV$403,$AA29)</f>
        <v>0</v>
      </c>
      <c r="AG29" s="13">
        <f>SUMIFS('2 - Distribuzione'!$CE$44:$CE$403,'2 - Distribuzione'!$BV$44:$BV$403,$AA29)</f>
        <v>0</v>
      </c>
      <c r="AH29" s="13">
        <f>SUMIFS('2 - Distribuzione'!$CM$44:$CM$403,'2 - Distribuzione'!$BV$44:$BV$403,$AA29)</f>
        <v>0</v>
      </c>
      <c r="AI29" s="13">
        <f>SUMIFS('2 - Distribuzione'!$CS$44:$CS$403,'2 - Distribuzione'!$BV$44:$BV$403,$AA29)</f>
        <v>0</v>
      </c>
      <c r="AJ29" s="13">
        <f>INDEX('2 - Distribuzione'!$CZ$44:$CZ$403,12*$AA29)</f>
        <v>0</v>
      </c>
      <c r="AK29" s="13">
        <f>SUMIFS('2 - Distribuzione'!$CV$44:$CV$403,'2 - Distribuzione'!$BV$44:$BV$403,$AA29)/12</f>
        <v>0</v>
      </c>
      <c r="AL29" s="13">
        <f>AK29/(1+'1 - Input'!$B$12)^($AA29-0.5)</f>
        <v>0</v>
      </c>
    </row>
    <row r="30" spans="1:38">
      <c r="A30" s="3">
        <v>25</v>
      </c>
      <c r="B30" s="13">
        <f>INDEX('2 - Distribuzione'!$Z$44:$Z$403,12*$A30)</f>
        <v>0</v>
      </c>
      <c r="C30" s="13">
        <f>INDEX('2 - Distribuzione'!$AA$44:$AA$403,12*$A30)</f>
        <v>0</v>
      </c>
      <c r="D30" s="13">
        <f>B30/(1+'1 - Input'!$B$12)^$A30</f>
        <v>0</v>
      </c>
      <c r="E30" s="13">
        <f>SUMIFS('2 - Distribuzione'!$H$44:$H$403,'2 - Distribuzione'!$B$44:$B$403,$A30)</f>
        <v>0</v>
      </c>
      <c r="F30" s="13">
        <f>SUMIFS('2 - Distribuzione'!$L$44:$L$403,'2 - Distribuzione'!$B$44:$B$403,$A30)</f>
        <v>0</v>
      </c>
      <c r="G30" s="13">
        <f>SUMIFS('2 - Distribuzione'!$K$44:$K$403,'2 - Distribuzione'!$B$44:$B$403,$A30)</f>
        <v>0</v>
      </c>
      <c r="H30" s="13">
        <f>SUMIFS('2 - Distribuzione'!$S$44:$S$403,'2 - Distribuzione'!$B$44:$B$403,$A30)</f>
        <v>0</v>
      </c>
      <c r="I30" s="13">
        <f>SUMIFS('2 - Distribuzione'!$Y$44:$Y$403,'2 - Distribuzione'!$B$44:$B$403,$A30)</f>
        <v>0</v>
      </c>
      <c r="J30" s="13">
        <f>INDEX('2 - Distribuzione'!$AF$44:$AF$403,12*$A30)</f>
        <v>174289.24056370757</v>
      </c>
      <c r="K30" s="13">
        <f>SUMIFS('2 - Distribuzione'!$AB$44:$AB$403,'2 - Distribuzione'!$B$44:$B$403,$A30)/12</f>
        <v>0</v>
      </c>
      <c r="L30" s="13">
        <f>K30/(1+'1 - Input'!$B$12)^($A30-0.5)</f>
        <v>0</v>
      </c>
      <c r="N30" s="3">
        <v>25</v>
      </c>
      <c r="O30" s="13">
        <f>INDEX('2 - Distribuzione'!$BJ$44:$BJ$403,12*$N30)</f>
        <v>0</v>
      </c>
      <c r="P30" s="13">
        <f>INDEX('2 - Distribuzione'!$BK$44:$BK$403,12*$N30)</f>
        <v>0</v>
      </c>
      <c r="Q30" s="13">
        <f>O30/(1+'1 - Input'!$B$12)^$N30</f>
        <v>0</v>
      </c>
      <c r="R30" s="13">
        <f>SUMIFS('2 - Distribuzione'!$AR$44:$AR$403,'2 - Distribuzione'!$AL$44:$AL$403,$N30)</f>
        <v>0</v>
      </c>
      <c r="S30" s="13">
        <f>SUMIFS('2 - Distribuzione'!$AV$44:$AV$403,'2 - Distribuzione'!$AL$44:$AL$403,$N30)</f>
        <v>0</v>
      </c>
      <c r="T30" s="13">
        <f>SUMIFS('2 - Distribuzione'!$AU$44:$AU$403,'2 - Distribuzione'!$AL$44:$AL$403,$N30)</f>
        <v>0</v>
      </c>
      <c r="U30" s="13">
        <f>SUMIFS('2 - Distribuzione'!$BC$44:$BC$403,'2 - Distribuzione'!$AL$44:$AL$403,$N30)</f>
        <v>0</v>
      </c>
      <c r="V30" s="13">
        <f>SUMIFS('2 - Distribuzione'!$BI$44:$BI$403,'2 - Distribuzione'!$AL$44:$AL$403,$N30)</f>
        <v>0</v>
      </c>
      <c r="W30" s="13">
        <f>INDEX('2 - Distribuzione'!$BP$44:$BP$403,12*$N30)</f>
        <v>174289.24056370757</v>
      </c>
      <c r="X30" s="13">
        <f>SUMIFS('2 - Distribuzione'!$BL$44:$BL$403,'2 - Distribuzione'!$AL$44:$AL$403,$N30)/12</f>
        <v>0</v>
      </c>
      <c r="Y30" s="13">
        <f>X30/(1+'1 - Input'!$B$12)^($N30-0.5)</f>
        <v>0</v>
      </c>
      <c r="AA30" s="3">
        <v>25</v>
      </c>
      <c r="AB30" s="13">
        <f>INDEX('2 - Distribuzione'!$CT$44:$CT$403,12*$AA30)</f>
        <v>0</v>
      </c>
      <c r="AC30" s="13">
        <f>INDEX('2 - Distribuzione'!$CU$44:$CU$403,12*$AA30)</f>
        <v>0</v>
      </c>
      <c r="AD30" s="13">
        <f>AB30/(1+'1 - Input'!$B$12)^$AA30</f>
        <v>0</v>
      </c>
      <c r="AE30" s="13">
        <f>SUMIFS('2 - Distribuzione'!$CB$44:$CB$403,'2 - Distribuzione'!$BV$44:$BV$403,$AA30)</f>
        <v>0</v>
      </c>
      <c r="AF30" s="13">
        <f>SUMIFS('2 - Distribuzione'!$CF$44:$CF$403,'2 - Distribuzione'!$BV$44:$BV$403,$AA30)</f>
        <v>0</v>
      </c>
      <c r="AG30" s="13">
        <f>SUMIFS('2 - Distribuzione'!$CE$44:$CE$403,'2 - Distribuzione'!$BV$44:$BV$403,$AA30)</f>
        <v>0</v>
      </c>
      <c r="AH30" s="13">
        <f>SUMIFS('2 - Distribuzione'!$CM$44:$CM$403,'2 - Distribuzione'!$BV$44:$BV$403,$AA30)</f>
        <v>0</v>
      </c>
      <c r="AI30" s="13">
        <f>SUMIFS('2 - Distribuzione'!$CS$44:$CS$403,'2 - Distribuzione'!$BV$44:$BV$403,$AA30)</f>
        <v>0</v>
      </c>
      <c r="AJ30" s="13">
        <f>INDEX('2 - Distribuzione'!$CZ$44:$CZ$403,12*$AA30)</f>
        <v>0</v>
      </c>
      <c r="AK30" s="13">
        <f>SUMIFS('2 - Distribuzione'!$CV$44:$CV$403,'2 - Distribuzione'!$BV$44:$BV$403,$AA30)/12</f>
        <v>0</v>
      </c>
      <c r="AL30" s="13">
        <f>AK30/(1+'1 - Input'!$B$12)^($AA30-0.5)</f>
        <v>0</v>
      </c>
    </row>
    <row r="31" spans="1:38">
      <c r="A31" s="3">
        <v>26</v>
      </c>
      <c r="B31" s="13">
        <f>INDEX('2 - Distribuzione'!$Z$44:$Z$403,12*$A31)</f>
        <v>0</v>
      </c>
      <c r="C31" s="13">
        <f>INDEX('2 - Distribuzione'!$AA$44:$AA$403,12*$A31)</f>
        <v>0</v>
      </c>
      <c r="D31" s="13">
        <f>B31/(1+'1 - Input'!$B$12)^$A31</f>
        <v>0</v>
      </c>
      <c r="E31" s="13">
        <f>SUMIFS('2 - Distribuzione'!$H$44:$H$403,'2 - Distribuzione'!$B$44:$B$403,$A31)</f>
        <v>0</v>
      </c>
      <c r="F31" s="13">
        <f>SUMIFS('2 - Distribuzione'!$L$44:$L$403,'2 - Distribuzione'!$B$44:$B$403,$A31)</f>
        <v>0</v>
      </c>
      <c r="G31" s="13">
        <f>SUMIFS('2 - Distribuzione'!$K$44:$K$403,'2 - Distribuzione'!$B$44:$B$403,$A31)</f>
        <v>0</v>
      </c>
      <c r="H31" s="13">
        <f>SUMIFS('2 - Distribuzione'!$S$44:$S$403,'2 - Distribuzione'!$B$44:$B$403,$A31)</f>
        <v>0</v>
      </c>
      <c r="I31" s="13">
        <f>SUMIFS('2 - Distribuzione'!$Y$44:$Y$403,'2 - Distribuzione'!$B$44:$B$403,$A31)</f>
        <v>0</v>
      </c>
      <c r="J31" s="13">
        <f>INDEX('2 - Distribuzione'!$AF$44:$AF$403,12*$A31)</f>
        <v>174289.24056370757</v>
      </c>
      <c r="K31" s="13">
        <f>SUMIFS('2 - Distribuzione'!$AB$44:$AB$403,'2 - Distribuzione'!$B$44:$B$403,$A31)/12</f>
        <v>0</v>
      </c>
      <c r="L31" s="13">
        <f>K31/(1+'1 - Input'!$B$12)^($A31-0.5)</f>
        <v>0</v>
      </c>
      <c r="N31" s="3">
        <v>26</v>
      </c>
      <c r="O31" s="13">
        <f>INDEX('2 - Distribuzione'!$BJ$44:$BJ$403,12*$N31)</f>
        <v>0</v>
      </c>
      <c r="P31" s="13">
        <f>INDEX('2 - Distribuzione'!$BK$44:$BK$403,12*$N31)</f>
        <v>0</v>
      </c>
      <c r="Q31" s="13">
        <f>O31/(1+'1 - Input'!$B$12)^$N31</f>
        <v>0</v>
      </c>
      <c r="R31" s="13">
        <f>SUMIFS('2 - Distribuzione'!$AR$44:$AR$403,'2 - Distribuzione'!$AL$44:$AL$403,$N31)</f>
        <v>0</v>
      </c>
      <c r="S31" s="13">
        <f>SUMIFS('2 - Distribuzione'!$AV$44:$AV$403,'2 - Distribuzione'!$AL$44:$AL$403,$N31)</f>
        <v>0</v>
      </c>
      <c r="T31" s="13">
        <f>SUMIFS('2 - Distribuzione'!$AU$44:$AU$403,'2 - Distribuzione'!$AL$44:$AL$403,$N31)</f>
        <v>0</v>
      </c>
      <c r="U31" s="13">
        <f>SUMIFS('2 - Distribuzione'!$BC$44:$BC$403,'2 - Distribuzione'!$AL$44:$AL$403,$N31)</f>
        <v>0</v>
      </c>
      <c r="V31" s="13">
        <f>SUMIFS('2 - Distribuzione'!$BI$44:$BI$403,'2 - Distribuzione'!$AL$44:$AL$403,$N31)</f>
        <v>0</v>
      </c>
      <c r="W31" s="13">
        <f>INDEX('2 - Distribuzione'!$BP$44:$BP$403,12*$N31)</f>
        <v>174289.24056370757</v>
      </c>
      <c r="X31" s="13">
        <f>SUMIFS('2 - Distribuzione'!$BL$44:$BL$403,'2 - Distribuzione'!$AL$44:$AL$403,$N31)/12</f>
        <v>0</v>
      </c>
      <c r="Y31" s="13">
        <f>X31/(1+'1 - Input'!$B$12)^($N31-0.5)</f>
        <v>0</v>
      </c>
      <c r="AA31" s="3">
        <v>26</v>
      </c>
      <c r="AB31" s="13">
        <f>INDEX('2 - Distribuzione'!$CT$44:$CT$403,12*$AA31)</f>
        <v>0</v>
      </c>
      <c r="AC31" s="13">
        <f>INDEX('2 - Distribuzione'!$CU$44:$CU$403,12*$AA31)</f>
        <v>0</v>
      </c>
      <c r="AD31" s="13">
        <f>AB31/(1+'1 - Input'!$B$12)^$AA31</f>
        <v>0</v>
      </c>
      <c r="AE31" s="13">
        <f>SUMIFS('2 - Distribuzione'!$CB$44:$CB$403,'2 - Distribuzione'!$BV$44:$BV$403,$AA31)</f>
        <v>0</v>
      </c>
      <c r="AF31" s="13">
        <f>SUMIFS('2 - Distribuzione'!$CF$44:$CF$403,'2 - Distribuzione'!$BV$44:$BV$403,$AA31)</f>
        <v>0</v>
      </c>
      <c r="AG31" s="13">
        <f>SUMIFS('2 - Distribuzione'!$CE$44:$CE$403,'2 - Distribuzione'!$BV$44:$BV$403,$AA31)</f>
        <v>0</v>
      </c>
      <c r="AH31" s="13">
        <f>SUMIFS('2 - Distribuzione'!$CM$44:$CM$403,'2 - Distribuzione'!$BV$44:$BV$403,$AA31)</f>
        <v>0</v>
      </c>
      <c r="AI31" s="13">
        <f>SUMIFS('2 - Distribuzione'!$CS$44:$CS$403,'2 - Distribuzione'!$BV$44:$BV$403,$AA31)</f>
        <v>0</v>
      </c>
      <c r="AJ31" s="13">
        <f>INDEX('2 - Distribuzione'!$CZ$44:$CZ$403,12*$AA31)</f>
        <v>0</v>
      </c>
      <c r="AK31" s="13">
        <f>SUMIFS('2 - Distribuzione'!$CV$44:$CV$403,'2 - Distribuzione'!$BV$44:$BV$403,$AA31)/12</f>
        <v>0</v>
      </c>
      <c r="AL31" s="13">
        <f>AK31/(1+'1 - Input'!$B$12)^($AA31-0.5)</f>
        <v>0</v>
      </c>
    </row>
    <row r="32" spans="1:38">
      <c r="A32" s="3">
        <v>27</v>
      </c>
      <c r="B32" s="13">
        <f>INDEX('2 - Distribuzione'!$Z$44:$Z$403,12*$A32)</f>
        <v>0</v>
      </c>
      <c r="C32" s="13">
        <f>INDEX('2 - Distribuzione'!$AA$44:$AA$403,12*$A32)</f>
        <v>0</v>
      </c>
      <c r="D32" s="13">
        <f>B32/(1+'1 - Input'!$B$12)^$A32</f>
        <v>0</v>
      </c>
      <c r="E32" s="13">
        <f>SUMIFS('2 - Distribuzione'!$H$44:$H$403,'2 - Distribuzione'!$B$44:$B$403,$A32)</f>
        <v>0</v>
      </c>
      <c r="F32" s="13">
        <f>SUMIFS('2 - Distribuzione'!$L$44:$L$403,'2 - Distribuzione'!$B$44:$B$403,$A32)</f>
        <v>0</v>
      </c>
      <c r="G32" s="13">
        <f>SUMIFS('2 - Distribuzione'!$K$44:$K$403,'2 - Distribuzione'!$B$44:$B$403,$A32)</f>
        <v>0</v>
      </c>
      <c r="H32" s="13">
        <f>SUMIFS('2 - Distribuzione'!$S$44:$S$403,'2 - Distribuzione'!$B$44:$B$403,$A32)</f>
        <v>0</v>
      </c>
      <c r="I32" s="13">
        <f>SUMIFS('2 - Distribuzione'!$Y$44:$Y$403,'2 - Distribuzione'!$B$44:$B$403,$A32)</f>
        <v>0</v>
      </c>
      <c r="J32" s="13">
        <f>INDEX('2 - Distribuzione'!$AF$44:$AF$403,12*$A32)</f>
        <v>174289.24056370757</v>
      </c>
      <c r="K32" s="13">
        <f>SUMIFS('2 - Distribuzione'!$AB$44:$AB$403,'2 - Distribuzione'!$B$44:$B$403,$A32)/12</f>
        <v>0</v>
      </c>
      <c r="L32" s="13">
        <f>K32/(1+'1 - Input'!$B$12)^($A32-0.5)</f>
        <v>0</v>
      </c>
      <c r="N32" s="3">
        <v>27</v>
      </c>
      <c r="O32" s="13">
        <f>INDEX('2 - Distribuzione'!$BJ$44:$BJ$403,12*$N32)</f>
        <v>0</v>
      </c>
      <c r="P32" s="13">
        <f>INDEX('2 - Distribuzione'!$BK$44:$BK$403,12*$N32)</f>
        <v>0</v>
      </c>
      <c r="Q32" s="13">
        <f>O32/(1+'1 - Input'!$B$12)^$N32</f>
        <v>0</v>
      </c>
      <c r="R32" s="13">
        <f>SUMIFS('2 - Distribuzione'!$AR$44:$AR$403,'2 - Distribuzione'!$AL$44:$AL$403,$N32)</f>
        <v>0</v>
      </c>
      <c r="S32" s="13">
        <f>SUMIFS('2 - Distribuzione'!$AV$44:$AV$403,'2 - Distribuzione'!$AL$44:$AL$403,$N32)</f>
        <v>0</v>
      </c>
      <c r="T32" s="13">
        <f>SUMIFS('2 - Distribuzione'!$AU$44:$AU$403,'2 - Distribuzione'!$AL$44:$AL$403,$N32)</f>
        <v>0</v>
      </c>
      <c r="U32" s="13">
        <f>SUMIFS('2 - Distribuzione'!$BC$44:$BC$403,'2 - Distribuzione'!$AL$44:$AL$403,$N32)</f>
        <v>0</v>
      </c>
      <c r="V32" s="13">
        <f>SUMIFS('2 - Distribuzione'!$BI$44:$BI$403,'2 - Distribuzione'!$AL$44:$AL$403,$N32)</f>
        <v>0</v>
      </c>
      <c r="W32" s="13">
        <f>INDEX('2 - Distribuzione'!$BP$44:$BP$403,12*$N32)</f>
        <v>174289.24056370757</v>
      </c>
      <c r="X32" s="13">
        <f>SUMIFS('2 - Distribuzione'!$BL$44:$BL$403,'2 - Distribuzione'!$AL$44:$AL$403,$N32)/12</f>
        <v>0</v>
      </c>
      <c r="Y32" s="13">
        <f>X32/(1+'1 - Input'!$B$12)^($N32-0.5)</f>
        <v>0</v>
      </c>
      <c r="AA32" s="3">
        <v>27</v>
      </c>
      <c r="AB32" s="13">
        <f>INDEX('2 - Distribuzione'!$CT$44:$CT$403,12*$AA32)</f>
        <v>0</v>
      </c>
      <c r="AC32" s="13">
        <f>INDEX('2 - Distribuzione'!$CU$44:$CU$403,12*$AA32)</f>
        <v>0</v>
      </c>
      <c r="AD32" s="13">
        <f>AB32/(1+'1 - Input'!$B$12)^$AA32</f>
        <v>0</v>
      </c>
      <c r="AE32" s="13">
        <f>SUMIFS('2 - Distribuzione'!$CB$44:$CB$403,'2 - Distribuzione'!$BV$44:$BV$403,$AA32)</f>
        <v>0</v>
      </c>
      <c r="AF32" s="13">
        <f>SUMIFS('2 - Distribuzione'!$CF$44:$CF$403,'2 - Distribuzione'!$BV$44:$BV$403,$AA32)</f>
        <v>0</v>
      </c>
      <c r="AG32" s="13">
        <f>SUMIFS('2 - Distribuzione'!$CE$44:$CE$403,'2 - Distribuzione'!$BV$44:$BV$403,$AA32)</f>
        <v>0</v>
      </c>
      <c r="AH32" s="13">
        <f>SUMIFS('2 - Distribuzione'!$CM$44:$CM$403,'2 - Distribuzione'!$BV$44:$BV$403,$AA32)</f>
        <v>0</v>
      </c>
      <c r="AI32" s="13">
        <f>SUMIFS('2 - Distribuzione'!$CS$44:$CS$403,'2 - Distribuzione'!$BV$44:$BV$403,$AA32)</f>
        <v>0</v>
      </c>
      <c r="AJ32" s="13">
        <f>INDEX('2 - Distribuzione'!$CZ$44:$CZ$403,12*$AA32)</f>
        <v>0</v>
      </c>
      <c r="AK32" s="13">
        <f>SUMIFS('2 - Distribuzione'!$CV$44:$CV$403,'2 - Distribuzione'!$BV$44:$BV$403,$AA32)/12</f>
        <v>0</v>
      </c>
      <c r="AL32" s="13">
        <f>AK32/(1+'1 - Input'!$B$12)^($AA32-0.5)</f>
        <v>0</v>
      </c>
    </row>
    <row r="33" spans="1:107">
      <c r="A33" s="3">
        <v>28</v>
      </c>
      <c r="B33" s="13">
        <f>INDEX('2 - Distribuzione'!$Z$44:$Z$403,12*$A33)</f>
        <v>0</v>
      </c>
      <c r="C33" s="13">
        <f>INDEX('2 - Distribuzione'!$AA$44:$AA$403,12*$A33)</f>
        <v>0</v>
      </c>
      <c r="D33" s="13">
        <f>B33/(1+'1 - Input'!$B$12)^$A33</f>
        <v>0</v>
      </c>
      <c r="E33" s="13">
        <f>SUMIFS('2 - Distribuzione'!$H$44:$H$403,'2 - Distribuzione'!$B$44:$B$403,$A33)</f>
        <v>0</v>
      </c>
      <c r="F33" s="13">
        <f>SUMIFS('2 - Distribuzione'!$L$44:$L$403,'2 - Distribuzione'!$B$44:$B$403,$A33)</f>
        <v>0</v>
      </c>
      <c r="G33" s="13">
        <f>SUMIFS('2 - Distribuzione'!$K$44:$K$403,'2 - Distribuzione'!$B$44:$B$403,$A33)</f>
        <v>0</v>
      </c>
      <c r="H33" s="13">
        <f>SUMIFS('2 - Distribuzione'!$S$44:$S$403,'2 - Distribuzione'!$B$44:$B$403,$A33)</f>
        <v>0</v>
      </c>
      <c r="I33" s="13">
        <f>SUMIFS('2 - Distribuzione'!$Y$44:$Y$403,'2 - Distribuzione'!$B$44:$B$403,$A33)</f>
        <v>0</v>
      </c>
      <c r="J33" s="13">
        <f>INDEX('2 - Distribuzione'!$AF$44:$AF$403,12*$A33)</f>
        <v>174289.24056370757</v>
      </c>
      <c r="K33" s="13">
        <f>SUMIFS('2 - Distribuzione'!$AB$44:$AB$403,'2 - Distribuzione'!$B$44:$B$403,$A33)/12</f>
        <v>0</v>
      </c>
      <c r="L33" s="13">
        <f>K33/(1+'1 - Input'!$B$12)^($A33-0.5)</f>
        <v>0</v>
      </c>
      <c r="N33" s="3">
        <v>28</v>
      </c>
      <c r="O33" s="13">
        <f>INDEX('2 - Distribuzione'!$BJ$44:$BJ$403,12*$N33)</f>
        <v>0</v>
      </c>
      <c r="P33" s="13">
        <f>INDEX('2 - Distribuzione'!$BK$44:$BK$403,12*$N33)</f>
        <v>0</v>
      </c>
      <c r="Q33" s="13">
        <f>O33/(1+'1 - Input'!$B$12)^$N33</f>
        <v>0</v>
      </c>
      <c r="R33" s="13">
        <f>SUMIFS('2 - Distribuzione'!$AR$44:$AR$403,'2 - Distribuzione'!$AL$44:$AL$403,$N33)</f>
        <v>0</v>
      </c>
      <c r="S33" s="13">
        <f>SUMIFS('2 - Distribuzione'!$AV$44:$AV$403,'2 - Distribuzione'!$AL$44:$AL$403,$N33)</f>
        <v>0</v>
      </c>
      <c r="T33" s="13">
        <f>SUMIFS('2 - Distribuzione'!$AU$44:$AU$403,'2 - Distribuzione'!$AL$44:$AL$403,$N33)</f>
        <v>0</v>
      </c>
      <c r="U33" s="13">
        <f>SUMIFS('2 - Distribuzione'!$BC$44:$BC$403,'2 - Distribuzione'!$AL$44:$AL$403,$N33)</f>
        <v>0</v>
      </c>
      <c r="V33" s="13">
        <f>SUMIFS('2 - Distribuzione'!$BI$44:$BI$403,'2 - Distribuzione'!$AL$44:$AL$403,$N33)</f>
        <v>0</v>
      </c>
      <c r="W33" s="13">
        <f>INDEX('2 - Distribuzione'!$BP$44:$BP$403,12*$N33)</f>
        <v>174289.24056370757</v>
      </c>
      <c r="X33" s="13">
        <f>SUMIFS('2 - Distribuzione'!$BL$44:$BL$403,'2 - Distribuzione'!$AL$44:$AL$403,$N33)/12</f>
        <v>0</v>
      </c>
      <c r="Y33" s="13">
        <f>X33/(1+'1 - Input'!$B$12)^($N33-0.5)</f>
        <v>0</v>
      </c>
      <c r="AA33" s="3">
        <v>28</v>
      </c>
      <c r="AB33" s="13">
        <f>INDEX('2 - Distribuzione'!$CT$44:$CT$403,12*$AA33)</f>
        <v>0</v>
      </c>
      <c r="AC33" s="13">
        <f>INDEX('2 - Distribuzione'!$CU$44:$CU$403,12*$AA33)</f>
        <v>0</v>
      </c>
      <c r="AD33" s="13">
        <f>AB33/(1+'1 - Input'!$B$12)^$AA33</f>
        <v>0</v>
      </c>
      <c r="AE33" s="13">
        <f>SUMIFS('2 - Distribuzione'!$CB$44:$CB$403,'2 - Distribuzione'!$BV$44:$BV$403,$AA33)</f>
        <v>0</v>
      </c>
      <c r="AF33" s="13">
        <f>SUMIFS('2 - Distribuzione'!$CF$44:$CF$403,'2 - Distribuzione'!$BV$44:$BV$403,$AA33)</f>
        <v>0</v>
      </c>
      <c r="AG33" s="13">
        <f>SUMIFS('2 - Distribuzione'!$CE$44:$CE$403,'2 - Distribuzione'!$BV$44:$BV$403,$AA33)</f>
        <v>0</v>
      </c>
      <c r="AH33" s="13">
        <f>SUMIFS('2 - Distribuzione'!$CM$44:$CM$403,'2 - Distribuzione'!$BV$44:$BV$403,$AA33)</f>
        <v>0</v>
      </c>
      <c r="AI33" s="13">
        <f>SUMIFS('2 - Distribuzione'!$CS$44:$CS$403,'2 - Distribuzione'!$BV$44:$BV$403,$AA33)</f>
        <v>0</v>
      </c>
      <c r="AJ33" s="13">
        <f>INDEX('2 - Distribuzione'!$CZ$44:$CZ$403,12*$AA33)</f>
        <v>0</v>
      </c>
      <c r="AK33" s="13">
        <f>SUMIFS('2 - Distribuzione'!$CV$44:$CV$403,'2 - Distribuzione'!$BV$44:$BV$403,$AA33)/12</f>
        <v>0</v>
      </c>
      <c r="AL33" s="13">
        <f>AK33/(1+'1 - Input'!$B$12)^($AA33-0.5)</f>
        <v>0</v>
      </c>
    </row>
    <row r="34" spans="1:107">
      <c r="A34" s="3">
        <v>29</v>
      </c>
      <c r="B34" s="13">
        <f>INDEX('2 - Distribuzione'!$Z$44:$Z$403,12*$A34)</f>
        <v>0</v>
      </c>
      <c r="C34" s="13">
        <f>INDEX('2 - Distribuzione'!$AA$44:$AA$403,12*$A34)</f>
        <v>0</v>
      </c>
      <c r="D34" s="13">
        <f>B34/(1+'1 - Input'!$B$12)^$A34</f>
        <v>0</v>
      </c>
      <c r="E34" s="13">
        <f>SUMIFS('2 - Distribuzione'!$H$44:$H$403,'2 - Distribuzione'!$B$44:$B$403,$A34)</f>
        <v>0</v>
      </c>
      <c r="F34" s="13">
        <f>SUMIFS('2 - Distribuzione'!$L$44:$L$403,'2 - Distribuzione'!$B$44:$B$403,$A34)</f>
        <v>0</v>
      </c>
      <c r="G34" s="13">
        <f>SUMIFS('2 - Distribuzione'!$K$44:$K$403,'2 - Distribuzione'!$B$44:$B$403,$A34)</f>
        <v>0</v>
      </c>
      <c r="H34" s="13">
        <f>SUMIFS('2 - Distribuzione'!$S$44:$S$403,'2 - Distribuzione'!$B$44:$B$403,$A34)</f>
        <v>0</v>
      </c>
      <c r="I34" s="13">
        <f>SUMIFS('2 - Distribuzione'!$Y$44:$Y$403,'2 - Distribuzione'!$B$44:$B$403,$A34)</f>
        <v>0</v>
      </c>
      <c r="J34" s="13">
        <f>INDEX('2 - Distribuzione'!$AF$44:$AF$403,12*$A34)</f>
        <v>174289.24056370757</v>
      </c>
      <c r="K34" s="13">
        <f>SUMIFS('2 - Distribuzione'!$AB$44:$AB$403,'2 - Distribuzione'!$B$44:$B$403,$A34)/12</f>
        <v>0</v>
      </c>
      <c r="L34" s="13">
        <f>K34/(1+'1 - Input'!$B$12)^($A34-0.5)</f>
        <v>0</v>
      </c>
      <c r="N34" s="3">
        <v>29</v>
      </c>
      <c r="O34" s="13">
        <f>INDEX('2 - Distribuzione'!$BJ$44:$BJ$403,12*$N34)</f>
        <v>0</v>
      </c>
      <c r="P34" s="13">
        <f>INDEX('2 - Distribuzione'!$BK$44:$BK$403,12*$N34)</f>
        <v>0</v>
      </c>
      <c r="Q34" s="13">
        <f>O34/(1+'1 - Input'!$B$12)^$N34</f>
        <v>0</v>
      </c>
      <c r="R34" s="13">
        <f>SUMIFS('2 - Distribuzione'!$AR$44:$AR$403,'2 - Distribuzione'!$AL$44:$AL$403,$N34)</f>
        <v>0</v>
      </c>
      <c r="S34" s="13">
        <f>SUMIFS('2 - Distribuzione'!$AV$44:$AV$403,'2 - Distribuzione'!$AL$44:$AL$403,$N34)</f>
        <v>0</v>
      </c>
      <c r="T34" s="13">
        <f>SUMIFS('2 - Distribuzione'!$AU$44:$AU$403,'2 - Distribuzione'!$AL$44:$AL$403,$N34)</f>
        <v>0</v>
      </c>
      <c r="U34" s="13">
        <f>SUMIFS('2 - Distribuzione'!$BC$44:$BC$403,'2 - Distribuzione'!$AL$44:$AL$403,$N34)</f>
        <v>0</v>
      </c>
      <c r="V34" s="13">
        <f>SUMIFS('2 - Distribuzione'!$BI$44:$BI$403,'2 - Distribuzione'!$AL$44:$AL$403,$N34)</f>
        <v>0</v>
      </c>
      <c r="W34" s="13">
        <f>INDEX('2 - Distribuzione'!$BP$44:$BP$403,12*$N34)</f>
        <v>174289.24056370757</v>
      </c>
      <c r="X34" s="13">
        <f>SUMIFS('2 - Distribuzione'!$BL$44:$BL$403,'2 - Distribuzione'!$AL$44:$AL$403,$N34)/12</f>
        <v>0</v>
      </c>
      <c r="Y34" s="13">
        <f>X34/(1+'1 - Input'!$B$12)^($N34-0.5)</f>
        <v>0</v>
      </c>
      <c r="AA34" s="3">
        <v>29</v>
      </c>
      <c r="AB34" s="13">
        <f>INDEX('2 - Distribuzione'!$CT$44:$CT$403,12*$AA34)</f>
        <v>0</v>
      </c>
      <c r="AC34" s="13">
        <f>INDEX('2 - Distribuzione'!$CU$44:$CU$403,12*$AA34)</f>
        <v>0</v>
      </c>
      <c r="AD34" s="13">
        <f>AB34/(1+'1 - Input'!$B$12)^$AA34</f>
        <v>0</v>
      </c>
      <c r="AE34" s="13">
        <f>SUMIFS('2 - Distribuzione'!$CB$44:$CB$403,'2 - Distribuzione'!$BV$44:$BV$403,$AA34)</f>
        <v>0</v>
      </c>
      <c r="AF34" s="13">
        <f>SUMIFS('2 - Distribuzione'!$CF$44:$CF$403,'2 - Distribuzione'!$BV$44:$BV$403,$AA34)</f>
        <v>0</v>
      </c>
      <c r="AG34" s="13">
        <f>SUMIFS('2 - Distribuzione'!$CE$44:$CE$403,'2 - Distribuzione'!$BV$44:$BV$403,$AA34)</f>
        <v>0</v>
      </c>
      <c r="AH34" s="13">
        <f>SUMIFS('2 - Distribuzione'!$CM$44:$CM$403,'2 - Distribuzione'!$BV$44:$BV$403,$AA34)</f>
        <v>0</v>
      </c>
      <c r="AI34" s="13">
        <f>SUMIFS('2 - Distribuzione'!$CS$44:$CS$403,'2 - Distribuzione'!$BV$44:$BV$403,$AA34)</f>
        <v>0</v>
      </c>
      <c r="AJ34" s="13">
        <f>INDEX('2 - Distribuzione'!$CZ$44:$CZ$403,12*$AA34)</f>
        <v>0</v>
      </c>
      <c r="AK34" s="13">
        <f>SUMIFS('2 - Distribuzione'!$CV$44:$CV$403,'2 - Distribuzione'!$BV$44:$BV$403,$AA34)/12</f>
        <v>0</v>
      </c>
      <c r="AL34" s="13">
        <f>AK34/(1+'1 - Input'!$B$12)^($AA34-0.5)</f>
        <v>0</v>
      </c>
    </row>
    <row r="35" spans="1:107">
      <c r="A35" s="3">
        <v>30</v>
      </c>
      <c r="B35" s="13">
        <f>INDEX('2 - Distribuzione'!$Z$44:$Z$403,12*$A35)</f>
        <v>0</v>
      </c>
      <c r="C35" s="13">
        <f>INDEX('2 - Distribuzione'!$AA$44:$AA$403,12*$A35)</f>
        <v>0</v>
      </c>
      <c r="D35" s="13">
        <f>B35/(1+'1 - Input'!$B$12)^$A35</f>
        <v>0</v>
      </c>
      <c r="E35" s="13">
        <f>SUMIFS('2 - Distribuzione'!$H$44:$H$403,'2 - Distribuzione'!$B$44:$B$403,$A35)</f>
        <v>0</v>
      </c>
      <c r="F35" s="13">
        <f>SUMIFS('2 - Distribuzione'!$L$44:$L$403,'2 - Distribuzione'!$B$44:$B$403,$A35)</f>
        <v>0</v>
      </c>
      <c r="G35" s="13">
        <f>SUMIFS('2 - Distribuzione'!$K$44:$K$403,'2 - Distribuzione'!$B$44:$B$403,$A35)</f>
        <v>0</v>
      </c>
      <c r="H35" s="13">
        <f>SUMIFS('2 - Distribuzione'!$S$44:$S$403,'2 - Distribuzione'!$B$44:$B$403,$A35)</f>
        <v>0</v>
      </c>
      <c r="I35" s="13">
        <f>SUMIFS('2 - Distribuzione'!$Y$44:$Y$403,'2 - Distribuzione'!$B$44:$B$403,$A35)</f>
        <v>0</v>
      </c>
      <c r="J35" s="13">
        <f>INDEX('2 - Distribuzione'!$AF$44:$AF$403,12*$A35)</f>
        <v>174289.24056370757</v>
      </c>
      <c r="K35" s="13">
        <f>SUMIFS('2 - Distribuzione'!$AB$44:$AB$403,'2 - Distribuzione'!$B$44:$B$403,$A35)/12</f>
        <v>0</v>
      </c>
      <c r="L35" s="13">
        <f>K35/(1+'1 - Input'!$B$12)^($A35-0.5)</f>
        <v>0</v>
      </c>
      <c r="N35" s="3">
        <v>30</v>
      </c>
      <c r="O35" s="13">
        <f>INDEX('2 - Distribuzione'!$BJ$44:$BJ$403,12*$N35)</f>
        <v>0</v>
      </c>
      <c r="P35" s="13">
        <f>INDEX('2 - Distribuzione'!$BK$44:$BK$403,12*$N35)</f>
        <v>0</v>
      </c>
      <c r="Q35" s="13">
        <f>O35/(1+'1 - Input'!$B$12)^$N35</f>
        <v>0</v>
      </c>
      <c r="R35" s="13">
        <f>SUMIFS('2 - Distribuzione'!$AR$44:$AR$403,'2 - Distribuzione'!$AL$44:$AL$403,$N35)</f>
        <v>0</v>
      </c>
      <c r="S35" s="13">
        <f>SUMIFS('2 - Distribuzione'!$AV$44:$AV$403,'2 - Distribuzione'!$AL$44:$AL$403,$N35)</f>
        <v>0</v>
      </c>
      <c r="T35" s="13">
        <f>SUMIFS('2 - Distribuzione'!$AU$44:$AU$403,'2 - Distribuzione'!$AL$44:$AL$403,$N35)</f>
        <v>0</v>
      </c>
      <c r="U35" s="13">
        <f>SUMIFS('2 - Distribuzione'!$BC$44:$BC$403,'2 - Distribuzione'!$AL$44:$AL$403,$N35)</f>
        <v>0</v>
      </c>
      <c r="V35" s="13">
        <f>SUMIFS('2 - Distribuzione'!$BI$44:$BI$403,'2 - Distribuzione'!$AL$44:$AL$403,$N35)</f>
        <v>0</v>
      </c>
      <c r="W35" s="13">
        <f>INDEX('2 - Distribuzione'!$BP$44:$BP$403,12*$N35)</f>
        <v>174289.24056370757</v>
      </c>
      <c r="X35" s="13">
        <f>SUMIFS('2 - Distribuzione'!$BL$44:$BL$403,'2 - Distribuzione'!$AL$44:$AL$403,$N35)/12</f>
        <v>0</v>
      </c>
      <c r="Y35" s="13">
        <f>X35/(1+'1 - Input'!$B$12)^($N35-0.5)</f>
        <v>0</v>
      </c>
      <c r="AA35" s="3">
        <v>30</v>
      </c>
      <c r="AB35" s="13">
        <f>INDEX('2 - Distribuzione'!$CT$44:$CT$403,12*$AA35)</f>
        <v>0</v>
      </c>
      <c r="AC35" s="13">
        <f>INDEX('2 - Distribuzione'!$CU$44:$CU$403,12*$AA35)</f>
        <v>0</v>
      </c>
      <c r="AD35" s="13">
        <f>AB35/(1+'1 - Input'!$B$12)^$AA35</f>
        <v>0</v>
      </c>
      <c r="AE35" s="13">
        <f>SUMIFS('2 - Distribuzione'!$CB$44:$CB$403,'2 - Distribuzione'!$BV$44:$BV$403,$AA35)</f>
        <v>0</v>
      </c>
      <c r="AF35" s="13">
        <f>SUMIFS('2 - Distribuzione'!$CF$44:$CF$403,'2 - Distribuzione'!$BV$44:$BV$403,$AA35)</f>
        <v>0</v>
      </c>
      <c r="AG35" s="13">
        <f>SUMIFS('2 - Distribuzione'!$CE$44:$CE$403,'2 - Distribuzione'!$BV$44:$BV$403,$AA35)</f>
        <v>0</v>
      </c>
      <c r="AH35" s="13">
        <f>SUMIFS('2 - Distribuzione'!$CM$44:$CM$403,'2 - Distribuzione'!$BV$44:$BV$403,$AA35)</f>
        <v>0</v>
      </c>
      <c r="AI35" s="13">
        <f>SUMIFS('2 - Distribuzione'!$CS$44:$CS$403,'2 - Distribuzione'!$BV$44:$BV$403,$AA35)</f>
        <v>0</v>
      </c>
      <c r="AJ35" s="13">
        <f>INDEX('2 - Distribuzione'!$CZ$44:$CZ$403,12*$AA35)</f>
        <v>0</v>
      </c>
      <c r="AK35" s="13">
        <f>SUMIFS('2 - Distribuzione'!$CV$44:$CV$403,'2 - Distribuzione'!$BV$44:$BV$403,$AA35)/12</f>
        <v>0</v>
      </c>
      <c r="AL35" s="13">
        <f>AK35/(1+'1 - Input'!$B$12)^($AA35-0.5)</f>
        <v>0</v>
      </c>
    </row>
    <row r="40" spans="1:107" ht="17.25">
      <c r="A40" s="26" t="s">
        <v>97</v>
      </c>
      <c r="B40" s="23"/>
      <c r="C40" s="23"/>
      <c r="D40" s="23"/>
      <c r="E40" s="23"/>
      <c r="F40" s="23"/>
      <c r="G40" s="23"/>
      <c r="AK40" s="26" t="s">
        <v>98</v>
      </c>
      <c r="AL40" s="23"/>
      <c r="AM40" s="23"/>
      <c r="AN40" s="23"/>
      <c r="AO40" s="23"/>
      <c r="AP40" s="23"/>
      <c r="AQ40" s="23"/>
      <c r="BU40" s="26" t="s">
        <v>99</v>
      </c>
      <c r="BV40" s="23"/>
      <c r="BW40" s="23"/>
      <c r="BX40" s="23"/>
      <c r="BY40" s="23"/>
      <c r="BZ40" s="23"/>
      <c r="CA40" s="23"/>
    </row>
    <row r="41" spans="1:107">
      <c r="A41" s="6" t="s">
        <v>100</v>
      </c>
      <c r="B41" s="12">
        <f>0</f>
        <v>0</v>
      </c>
      <c r="AK41" s="6" t="s">
        <v>100</v>
      </c>
      <c r="AL41" s="12">
        <f>'1 - Input'!$B$9</f>
        <v>0</v>
      </c>
      <c r="BU41" s="6" t="s">
        <v>100</v>
      </c>
      <c r="BV41" s="12">
        <f>1</f>
        <v>1</v>
      </c>
    </row>
    <row r="43" spans="1:107" ht="48" customHeight="1">
      <c r="A43" s="5" t="s">
        <v>101</v>
      </c>
      <c r="B43" s="5" t="s">
        <v>77</v>
      </c>
      <c r="C43" s="5" t="s">
        <v>102</v>
      </c>
      <c r="D43" s="5" t="s">
        <v>103</v>
      </c>
      <c r="E43" s="5" t="s">
        <v>104</v>
      </c>
      <c r="F43" s="5" t="s">
        <v>105</v>
      </c>
      <c r="G43" s="5" t="s">
        <v>106</v>
      </c>
      <c r="H43" s="5" t="s">
        <v>107</v>
      </c>
      <c r="I43" s="5" t="s">
        <v>108</v>
      </c>
      <c r="J43" s="5" t="s">
        <v>109</v>
      </c>
      <c r="K43" s="5" t="s">
        <v>110</v>
      </c>
      <c r="L43" s="5" t="s">
        <v>111</v>
      </c>
      <c r="M43" s="5" t="s">
        <v>112</v>
      </c>
      <c r="N43" s="5" t="s">
        <v>113</v>
      </c>
      <c r="O43" s="5" t="s">
        <v>114</v>
      </c>
      <c r="P43" s="5" t="s">
        <v>115</v>
      </c>
      <c r="Q43" s="5" t="s">
        <v>116</v>
      </c>
      <c r="R43" s="5" t="s">
        <v>117</v>
      </c>
      <c r="S43" s="5" t="s">
        <v>118</v>
      </c>
      <c r="T43" s="5" t="s">
        <v>119</v>
      </c>
      <c r="U43" s="5" t="s">
        <v>120</v>
      </c>
      <c r="V43" s="5" t="s">
        <v>121</v>
      </c>
      <c r="W43" s="5" t="s">
        <v>122</v>
      </c>
      <c r="X43" s="5" t="s">
        <v>123</v>
      </c>
      <c r="Y43" s="5" t="s">
        <v>93</v>
      </c>
      <c r="Z43" s="5" t="s">
        <v>124</v>
      </c>
      <c r="AA43" s="5" t="s">
        <v>125</v>
      </c>
      <c r="AB43" s="5" t="s">
        <v>126</v>
      </c>
      <c r="AC43" s="5" t="s">
        <v>127</v>
      </c>
      <c r="AD43" s="5" t="s">
        <v>128</v>
      </c>
      <c r="AE43" s="5" t="s">
        <v>129</v>
      </c>
      <c r="AF43" s="5" t="s">
        <v>94</v>
      </c>
      <c r="AG43" s="5" t="s">
        <v>130</v>
      </c>
      <c r="AH43" s="5" t="s">
        <v>131</v>
      </c>
      <c r="AI43" s="5" t="s">
        <v>132</v>
      </c>
      <c r="AK43" s="5" t="s">
        <v>101</v>
      </c>
      <c r="AL43" s="5" t="s">
        <v>77</v>
      </c>
      <c r="AM43" s="5" t="s">
        <v>102</v>
      </c>
      <c r="AN43" s="5" t="s">
        <v>103</v>
      </c>
      <c r="AO43" s="5" t="s">
        <v>104</v>
      </c>
      <c r="AP43" s="5" t="s">
        <v>105</v>
      </c>
      <c r="AQ43" s="5" t="s">
        <v>106</v>
      </c>
      <c r="AR43" s="5" t="s">
        <v>107</v>
      </c>
      <c r="AS43" s="5" t="s">
        <v>108</v>
      </c>
      <c r="AT43" s="5" t="s">
        <v>109</v>
      </c>
      <c r="AU43" s="5" t="s">
        <v>110</v>
      </c>
      <c r="AV43" s="5" t="s">
        <v>111</v>
      </c>
      <c r="AW43" s="5" t="s">
        <v>112</v>
      </c>
      <c r="AX43" s="5" t="s">
        <v>113</v>
      </c>
      <c r="AY43" s="5" t="s">
        <v>114</v>
      </c>
      <c r="AZ43" s="5" t="s">
        <v>115</v>
      </c>
      <c r="BA43" s="5" t="s">
        <v>116</v>
      </c>
      <c r="BB43" s="5" t="s">
        <v>117</v>
      </c>
      <c r="BC43" s="5" t="s">
        <v>118</v>
      </c>
      <c r="BD43" s="5" t="s">
        <v>119</v>
      </c>
      <c r="BE43" s="5" t="s">
        <v>120</v>
      </c>
      <c r="BF43" s="5" t="s">
        <v>121</v>
      </c>
      <c r="BG43" s="5" t="s">
        <v>122</v>
      </c>
      <c r="BH43" s="5" t="s">
        <v>123</v>
      </c>
      <c r="BI43" s="5" t="s">
        <v>93</v>
      </c>
      <c r="BJ43" s="5" t="s">
        <v>124</v>
      </c>
      <c r="BK43" s="5" t="s">
        <v>125</v>
      </c>
      <c r="BL43" s="5" t="s">
        <v>126</v>
      </c>
      <c r="BM43" s="5" t="s">
        <v>127</v>
      </c>
      <c r="BN43" s="5" t="s">
        <v>128</v>
      </c>
      <c r="BO43" s="5" t="s">
        <v>129</v>
      </c>
      <c r="BP43" s="5" t="s">
        <v>94</v>
      </c>
      <c r="BQ43" s="5" t="s">
        <v>130</v>
      </c>
      <c r="BR43" s="5" t="s">
        <v>131</v>
      </c>
      <c r="BS43" s="5" t="s">
        <v>132</v>
      </c>
      <c r="BU43" s="5" t="s">
        <v>101</v>
      </c>
      <c r="BV43" s="5" t="s">
        <v>77</v>
      </c>
      <c r="BW43" s="5" t="s">
        <v>102</v>
      </c>
      <c r="BX43" s="5" t="s">
        <v>103</v>
      </c>
      <c r="BY43" s="5" t="s">
        <v>104</v>
      </c>
      <c r="BZ43" s="5" t="s">
        <v>105</v>
      </c>
      <c r="CA43" s="5" t="s">
        <v>106</v>
      </c>
      <c r="CB43" s="5" t="s">
        <v>107</v>
      </c>
      <c r="CC43" s="5" t="s">
        <v>108</v>
      </c>
      <c r="CD43" s="5" t="s">
        <v>109</v>
      </c>
      <c r="CE43" s="5" t="s">
        <v>110</v>
      </c>
      <c r="CF43" s="5" t="s">
        <v>111</v>
      </c>
      <c r="CG43" s="5" t="s">
        <v>112</v>
      </c>
      <c r="CH43" s="5" t="s">
        <v>113</v>
      </c>
      <c r="CI43" s="5" t="s">
        <v>114</v>
      </c>
      <c r="CJ43" s="5" t="s">
        <v>115</v>
      </c>
      <c r="CK43" s="5" t="s">
        <v>116</v>
      </c>
      <c r="CL43" s="5" t="s">
        <v>117</v>
      </c>
      <c r="CM43" s="5" t="s">
        <v>118</v>
      </c>
      <c r="CN43" s="5" t="s">
        <v>119</v>
      </c>
      <c r="CO43" s="5" t="s">
        <v>120</v>
      </c>
      <c r="CP43" s="5" t="s">
        <v>121</v>
      </c>
      <c r="CQ43" s="5" t="s">
        <v>122</v>
      </c>
      <c r="CR43" s="5" t="s">
        <v>123</v>
      </c>
      <c r="CS43" s="5" t="s">
        <v>93</v>
      </c>
      <c r="CT43" s="5" t="s">
        <v>124</v>
      </c>
      <c r="CU43" s="5" t="s">
        <v>125</v>
      </c>
      <c r="CV43" s="5" t="s">
        <v>126</v>
      </c>
      <c r="CW43" s="5" t="s">
        <v>127</v>
      </c>
      <c r="CX43" s="5" t="s">
        <v>128</v>
      </c>
      <c r="CY43" s="5" t="s">
        <v>129</v>
      </c>
      <c r="CZ43" s="5" t="s">
        <v>94</v>
      </c>
      <c r="DA43" s="5" t="s">
        <v>130</v>
      </c>
      <c r="DB43" s="5" t="s">
        <v>131</v>
      </c>
      <c r="DC43" s="5" t="s">
        <v>132</v>
      </c>
    </row>
    <row r="44" spans="1:107">
      <c r="A44" s="14">
        <v>1</v>
      </c>
      <c r="B44" s="15">
        <f t="shared" ref="B44:B107" si="0">ROUNDUP(A44/12,0)</f>
        <v>1</v>
      </c>
      <c r="C44" s="16">
        <f>(1+INDEX('1 - Input'!$B$34:$E$63,B44,'1 - Input'!$B$16))^(1/12)-1</f>
        <v>4.1219243192651689E-3</v>
      </c>
      <c r="D44" s="17">
        <f>'1 - Input'!$B$7*(1+'1 - Input'!$B$12)^(B44-1)</f>
        <v>2700</v>
      </c>
      <c r="E44" s="17">
        <f>'1 - Input'!$B$6</f>
        <v>486500</v>
      </c>
      <c r="F44" s="17">
        <f>'1 - Input'!$B$6*'1 - Input'!$B$15</f>
        <v>486500</v>
      </c>
      <c r="G44" s="17">
        <f t="shared" ref="G44:G107" si="1">E44*(1+C44)</f>
        <v>488505.3161813225</v>
      </c>
      <c r="H44" s="17">
        <f>IF(G44&gt;0,'1 - Input'!$B$8/12*G44,0)</f>
        <v>3663.7898713599188</v>
      </c>
      <c r="I44" s="17">
        <f t="shared" ref="I44:I107" si="2">G44-H44</f>
        <v>484841.52630996256</v>
      </c>
      <c r="J44" s="17">
        <f t="shared" ref="J44:J107" si="3">MIN($B$41*H44,F44)</f>
        <v>0</v>
      </c>
      <c r="K44" s="17">
        <f>'1 - Input'!$B$22*(H44-J44)</f>
        <v>952.58536655357898</v>
      </c>
      <c r="L44" s="17">
        <f t="shared" ref="L44:L107" si="4">H44-K44</f>
        <v>2711.2045048063401</v>
      </c>
      <c r="M44" s="17">
        <f t="shared" ref="M44:M107" si="5">F44-J44</f>
        <v>486500</v>
      </c>
      <c r="N44" s="17">
        <f>IF('1 - Input'!$B$17=1,MAX(0,L44-D44),0)</f>
        <v>11.204504806340083</v>
      </c>
      <c r="O44" s="17">
        <f>IF('1 - Input'!$B$17=1,MAX(0,D44-L44),0)</f>
        <v>0</v>
      </c>
      <c r="P44" s="17">
        <f t="shared" ref="P44:P107" si="6">IF(I44&gt;0,MAX(0,1-M44/I44),0)</f>
        <v>0</v>
      </c>
      <c r="Q44" s="17">
        <f>IF(AND(O44&gt;0,I44&gt;0),O44/(1-'1 - Input'!$B$22*P44),0)</f>
        <v>0</v>
      </c>
      <c r="R44" s="17">
        <f t="shared" ref="R44:R107" si="7">MIN(Q44,I44)</f>
        <v>0</v>
      </c>
      <c r="S44" s="17">
        <f>'1 - Input'!$B$22*P44*R44</f>
        <v>0</v>
      </c>
      <c r="T44" s="17">
        <f t="shared" ref="T44:T107" si="8">R44-S44</f>
        <v>0</v>
      </c>
      <c r="U44" s="17">
        <f t="shared" ref="U44:U107" si="9">O44-T44</f>
        <v>0</v>
      </c>
      <c r="V44" s="17">
        <f t="shared" ref="V44:V107" si="10">IF(I44&gt;0,R44*MAX(0,M44/I44-1),0)</f>
        <v>0</v>
      </c>
      <c r="W44" s="17">
        <f t="shared" ref="W44:W107" si="11">I44-R44+N44</f>
        <v>484852.73081476887</v>
      </c>
      <c r="X44" s="17">
        <f t="shared" ref="X44:X107" si="12">IF(R44&gt;0,M44*(1-R44/I44),M44)+N44</f>
        <v>486511.20450480632</v>
      </c>
      <c r="Y44" s="17">
        <f>IF(MOD(A44,12)=0,W44*'1 - Input'!$B$23,0)</f>
        <v>0</v>
      </c>
      <c r="Z44" s="17">
        <f t="shared" ref="Z44:Z107" si="13">W44-Y44</f>
        <v>484852.73081476887</v>
      </c>
      <c r="AA44" s="17">
        <f>IF(MOD(A44,12)=0,X44*(1-'1 - Input'!$B$23),X44)</f>
        <v>486511.20450480632</v>
      </c>
      <c r="AB44" s="17">
        <f>IF('1 - Input'!$B$17=1,MIN(L44,D44)+T44,L44)</f>
        <v>2700</v>
      </c>
      <c r="AC44" s="17">
        <f>AB44</f>
        <v>2700</v>
      </c>
      <c r="AD44" s="17">
        <f>K44</f>
        <v>952.58536655357898</v>
      </c>
      <c r="AE44" s="17">
        <f>S44</f>
        <v>0</v>
      </c>
      <c r="AF44" s="17">
        <f>V44</f>
        <v>0</v>
      </c>
      <c r="AG44" s="17">
        <f>Y44</f>
        <v>0</v>
      </c>
      <c r="AH44" s="17">
        <f>U44</f>
        <v>0</v>
      </c>
      <c r="AI44" s="15">
        <f t="shared" ref="AI44:AI107" si="14">IF(W44&lt;=0.000001,1,0)</f>
        <v>0</v>
      </c>
      <c r="AK44" s="14">
        <v>1</v>
      </c>
      <c r="AL44" s="15">
        <f t="shared" ref="AL44:AL107" si="15">ROUNDUP(AK44/12,0)</f>
        <v>1</v>
      </c>
      <c r="AM44" s="16">
        <f>(1+INDEX('1 - Input'!$B$34:$E$63,AL44,'1 - Input'!$B$16))^(1/12)-1</f>
        <v>4.1219243192651689E-3</v>
      </c>
      <c r="AN44" s="17">
        <f>'1 - Input'!$B$7*(1+'1 - Input'!$B$12)^(AL44-1)</f>
        <v>2700</v>
      </c>
      <c r="AO44" s="17">
        <f>'1 - Input'!$B$6</f>
        <v>486500</v>
      </c>
      <c r="AP44" s="17">
        <f>'1 - Input'!$B$6*'1 - Input'!$B$15</f>
        <v>486500</v>
      </c>
      <c r="AQ44" s="17">
        <f t="shared" ref="AQ44:AQ107" si="16">AO44*(1+AM44)</f>
        <v>488505.3161813225</v>
      </c>
      <c r="AR44" s="17">
        <f>IF(AQ44&gt;0,'1 - Input'!$B$8/12*AQ44,0)</f>
        <v>3663.7898713599188</v>
      </c>
      <c r="AS44" s="17">
        <f t="shared" ref="AS44:AS107" si="17">AQ44-AR44</f>
        <v>484841.52630996256</v>
      </c>
      <c r="AT44" s="17">
        <f t="shared" ref="AT44:AT107" si="18">MIN($AL$41*AR44,AP44)</f>
        <v>0</v>
      </c>
      <c r="AU44" s="17">
        <f>'1 - Input'!$B$22*(AR44-AT44)</f>
        <v>952.58536655357898</v>
      </c>
      <c r="AV44" s="17">
        <f t="shared" ref="AV44:AV107" si="19">AR44-AU44</f>
        <v>2711.2045048063401</v>
      </c>
      <c r="AW44" s="17">
        <f t="shared" ref="AW44:AW107" si="20">AP44-AT44</f>
        <v>486500</v>
      </c>
      <c r="AX44" s="17">
        <f>IF('1 - Input'!$B$17=1,MAX(0,AV44-AN44),0)</f>
        <v>11.204504806340083</v>
      </c>
      <c r="AY44" s="17">
        <f>IF('1 - Input'!$B$17=1,MAX(0,AN44-AV44),0)</f>
        <v>0</v>
      </c>
      <c r="AZ44" s="17">
        <f t="shared" ref="AZ44:AZ107" si="21">IF(AS44&gt;0,MAX(0,1-AW44/AS44),0)</f>
        <v>0</v>
      </c>
      <c r="BA44" s="17">
        <f>IF(AND(AY44&gt;0,AS44&gt;0),AY44/(1-'1 - Input'!$B$22*AZ44),0)</f>
        <v>0</v>
      </c>
      <c r="BB44" s="17">
        <f t="shared" ref="BB44:BB107" si="22">MIN(BA44,AS44)</f>
        <v>0</v>
      </c>
      <c r="BC44" s="17">
        <f>'1 - Input'!$B$22*AZ44*BB44</f>
        <v>0</v>
      </c>
      <c r="BD44" s="17">
        <f t="shared" ref="BD44:BD107" si="23">BB44-BC44</f>
        <v>0</v>
      </c>
      <c r="BE44" s="17">
        <f t="shared" ref="BE44:BE107" si="24">AY44-BD44</f>
        <v>0</v>
      </c>
      <c r="BF44" s="17">
        <f t="shared" ref="BF44:BF107" si="25">IF(AS44&gt;0,BB44*MAX(0,AW44/AS44-1),0)</f>
        <v>0</v>
      </c>
      <c r="BG44" s="17">
        <f t="shared" ref="BG44:BG107" si="26">AS44-BB44+AX44</f>
        <v>484852.73081476887</v>
      </c>
      <c r="BH44" s="17">
        <f t="shared" ref="BH44:BH107" si="27">IF(BB44&gt;0,AW44*(1-BB44/AS44),AW44)+AX44</f>
        <v>486511.20450480632</v>
      </c>
      <c r="BI44" s="17">
        <f>IF(MOD(AK44,12)=0,BG44*'1 - Input'!$B$23,0)</f>
        <v>0</v>
      </c>
      <c r="BJ44" s="17">
        <f t="shared" ref="BJ44:BJ107" si="28">BG44-BI44</f>
        <v>484852.73081476887</v>
      </c>
      <c r="BK44" s="17">
        <f>IF(MOD(AK44,12)=0,BH44*(1-'1 - Input'!$B$23),BH44)</f>
        <v>486511.20450480632</v>
      </c>
      <c r="BL44" s="17">
        <f>IF('1 - Input'!$B$17=1,MIN(AV44,AN44)+BD44,AV44)</f>
        <v>2700</v>
      </c>
      <c r="BM44" s="17">
        <f>BL44</f>
        <v>2700</v>
      </c>
      <c r="BN44" s="17">
        <f>AU44</f>
        <v>952.58536655357898</v>
      </c>
      <c r="BO44" s="17">
        <f>BC44</f>
        <v>0</v>
      </c>
      <c r="BP44" s="17">
        <f>BF44</f>
        <v>0</v>
      </c>
      <c r="BQ44" s="17">
        <f>BI44</f>
        <v>0</v>
      </c>
      <c r="BR44" s="17">
        <f>BE44</f>
        <v>0</v>
      </c>
      <c r="BS44" s="15">
        <f t="shared" ref="BS44:BS107" si="29">IF(BG44&lt;=0.000001,1,0)</f>
        <v>0</v>
      </c>
      <c r="BU44" s="14">
        <v>1</v>
      </c>
      <c r="BV44" s="15">
        <f t="shared" ref="BV44:BV107" si="30">ROUNDUP(BU44/12,0)</f>
        <v>1</v>
      </c>
      <c r="BW44" s="16">
        <f>(1+INDEX('1 - Input'!$B$34:$E$63,BV44,'1 - Input'!$B$16))^(1/12)-1</f>
        <v>4.1219243192651689E-3</v>
      </c>
      <c r="BX44" s="17">
        <f>'1 - Input'!$B$7*(1+'1 - Input'!$B$12)^(BV44-1)</f>
        <v>2700</v>
      </c>
      <c r="BY44" s="17">
        <f>'1 - Input'!$B$6</f>
        <v>486500</v>
      </c>
      <c r="BZ44" s="17">
        <f>'1 - Input'!$B$6*'1 - Input'!$B$15</f>
        <v>486500</v>
      </c>
      <c r="CA44" s="17">
        <f t="shared" ref="CA44:CA107" si="31">BY44*(1+BW44)</f>
        <v>488505.3161813225</v>
      </c>
      <c r="CB44" s="17">
        <f>IF(CA44&gt;0,'1 - Input'!$B$8/12*CA44,0)</f>
        <v>3663.7898713599188</v>
      </c>
      <c r="CC44" s="17">
        <f t="shared" ref="CC44:CC107" si="32">CA44-CB44</f>
        <v>484841.52630996256</v>
      </c>
      <c r="CD44" s="17">
        <f t="shared" ref="CD44:CD107" si="33">MIN($BV$41*CB44,BZ44)</f>
        <v>3663.7898713599188</v>
      </c>
      <c r="CE44" s="17">
        <f>'1 - Input'!$B$22*(CB44-CD44)</f>
        <v>0</v>
      </c>
      <c r="CF44" s="17">
        <f t="shared" ref="CF44:CF107" si="34">CB44-CE44</f>
        <v>3663.7898713599188</v>
      </c>
      <c r="CG44" s="17">
        <f t="shared" ref="CG44:CG107" si="35">BZ44-CD44</f>
        <v>482836.21012864006</v>
      </c>
      <c r="CH44" s="17">
        <f>IF('1 - Input'!$B$17=1,MAX(0,CF44-BX44),0)</f>
        <v>963.78987135991883</v>
      </c>
      <c r="CI44" s="17">
        <f>IF('1 - Input'!$B$17=1,MAX(0,BX44-CF44),0)</f>
        <v>0</v>
      </c>
      <c r="CJ44" s="17">
        <f t="shared" ref="CJ44:CJ107" si="36">IF(CC44&gt;0,MAX(0,1-CG44/CC44),0)</f>
        <v>4.1360239841347068E-3</v>
      </c>
      <c r="CK44" s="17">
        <f>IF(AND(CI44&gt;0,CC44&gt;0),CI44/(1-'1 - Input'!$B$22*CJ44),0)</f>
        <v>0</v>
      </c>
      <c r="CL44" s="17">
        <f t="shared" ref="CL44:CL107" si="37">MIN(CK44,CC44)</f>
        <v>0</v>
      </c>
      <c r="CM44" s="17">
        <f>'1 - Input'!$B$22*CJ44*CL44</f>
        <v>0</v>
      </c>
      <c r="CN44" s="17">
        <f t="shared" ref="CN44:CN107" si="38">CL44-CM44</f>
        <v>0</v>
      </c>
      <c r="CO44" s="17">
        <f t="shared" ref="CO44:CO107" si="39">CI44-CN44</f>
        <v>0</v>
      </c>
      <c r="CP44" s="17">
        <f t="shared" ref="CP44:CP107" si="40">IF(CC44&gt;0,CL44*MAX(0,CG44/CC44-1),0)</f>
        <v>0</v>
      </c>
      <c r="CQ44" s="17">
        <f t="shared" ref="CQ44:CQ107" si="41">CC44-CL44+CH44</f>
        <v>485805.3161813225</v>
      </c>
      <c r="CR44" s="17">
        <f t="shared" ref="CR44:CR107" si="42">IF(CL44&gt;0,CG44*(1-CL44/CC44),CG44)+CH44</f>
        <v>483800</v>
      </c>
      <c r="CS44" s="17">
        <f>IF(MOD(BU44,12)=0,CQ44*'1 - Input'!$B$23,0)</f>
        <v>0</v>
      </c>
      <c r="CT44" s="17">
        <f t="shared" ref="CT44:CT107" si="43">CQ44-CS44</f>
        <v>485805.3161813225</v>
      </c>
      <c r="CU44" s="17">
        <f>IF(MOD(BU44,12)=0,CR44*(1-'1 - Input'!$B$23),CR44)</f>
        <v>483800</v>
      </c>
      <c r="CV44" s="17">
        <f>IF('1 - Input'!$B$17=1,MIN(CF44,BX44)+CN44,CF44)</f>
        <v>2700</v>
      </c>
      <c r="CW44" s="17">
        <f>CV44</f>
        <v>2700</v>
      </c>
      <c r="CX44" s="17">
        <f>CE44</f>
        <v>0</v>
      </c>
      <c r="CY44" s="17">
        <f>CM44</f>
        <v>0</v>
      </c>
      <c r="CZ44" s="17">
        <f>CP44</f>
        <v>0</v>
      </c>
      <c r="DA44" s="17">
        <f>CS44</f>
        <v>0</v>
      </c>
      <c r="DB44" s="17">
        <f>CO44</f>
        <v>0</v>
      </c>
      <c r="DC44" s="15">
        <f t="shared" ref="DC44:DC107" si="44">IF(CQ44&lt;=0.000001,1,0)</f>
        <v>0</v>
      </c>
    </row>
    <row r="45" spans="1:107">
      <c r="A45" s="14">
        <v>2</v>
      </c>
      <c r="B45" s="15">
        <f t="shared" si="0"/>
        <v>1</v>
      </c>
      <c r="C45" s="16">
        <f>(1+INDEX('1 - Input'!$B$34:$E$63,B45,'1 - Input'!$B$16))^(1/12)-1</f>
        <v>4.1219243192651689E-3</v>
      </c>
      <c r="D45" s="17">
        <f>'1 - Input'!$B$7*(1+'1 - Input'!$B$12)^(B45-1)</f>
        <v>2700</v>
      </c>
      <c r="E45" s="17">
        <f t="shared" ref="E45:E108" si="45">Z44</f>
        <v>484852.73081476887</v>
      </c>
      <c r="F45" s="17">
        <f t="shared" ref="F45:F108" si="46">AA44</f>
        <v>486511.20450480632</v>
      </c>
      <c r="G45" s="17">
        <f t="shared" si="1"/>
        <v>486851.25707717641</v>
      </c>
      <c r="H45" s="17">
        <f>IF(G45&gt;0,'1 - Input'!$B$8/12*G45,0)</f>
        <v>3651.384428078823</v>
      </c>
      <c r="I45" s="17">
        <f t="shared" si="2"/>
        <v>483199.87264909758</v>
      </c>
      <c r="J45" s="17">
        <f t="shared" si="3"/>
        <v>0</v>
      </c>
      <c r="K45" s="17">
        <f>'1 - Input'!$B$22*(H45-J45)</f>
        <v>949.359951300494</v>
      </c>
      <c r="L45" s="17">
        <f t="shared" si="4"/>
        <v>2702.0244767783288</v>
      </c>
      <c r="M45" s="17">
        <f t="shared" si="5"/>
        <v>486511.20450480632</v>
      </c>
      <c r="N45" s="17">
        <f>IF('1 - Input'!$B$17=1,MAX(0,L45-D45),0)</f>
        <v>2.0244767783287898</v>
      </c>
      <c r="O45" s="17">
        <f>IF('1 - Input'!$B$17=1,MAX(0,D45-L45),0)</f>
        <v>0</v>
      </c>
      <c r="P45" s="17">
        <f t="shared" si="6"/>
        <v>0</v>
      </c>
      <c r="Q45" s="17">
        <f>IF(AND(O45&gt;0,I45&gt;0),O45/(1-'1 - Input'!$B$22*P45),0)</f>
        <v>0</v>
      </c>
      <c r="R45" s="17">
        <f t="shared" si="7"/>
        <v>0</v>
      </c>
      <c r="S45" s="17">
        <f>'1 - Input'!$B$22*P45*R45</f>
        <v>0</v>
      </c>
      <c r="T45" s="17">
        <f t="shared" si="8"/>
        <v>0</v>
      </c>
      <c r="U45" s="17">
        <f t="shared" si="9"/>
        <v>0</v>
      </c>
      <c r="V45" s="17">
        <f t="shared" si="10"/>
        <v>0</v>
      </c>
      <c r="W45" s="17">
        <f t="shared" si="11"/>
        <v>483201.89712587593</v>
      </c>
      <c r="X45" s="17">
        <f t="shared" si="12"/>
        <v>486513.22898158466</v>
      </c>
      <c r="Y45" s="17">
        <f>IF(MOD(A45,12)=0,W45*'1 - Input'!$B$23,0)</f>
        <v>0</v>
      </c>
      <c r="Z45" s="17">
        <f t="shared" si="13"/>
        <v>483201.89712587593</v>
      </c>
      <c r="AA45" s="17">
        <f>IF(MOD(A45,12)=0,X45*(1-'1 - Input'!$B$23),X45)</f>
        <v>486513.22898158466</v>
      </c>
      <c r="AB45" s="17">
        <f>IF('1 - Input'!$B$17=1,MIN(L45,D45)+T45,L45)</f>
        <v>2700</v>
      </c>
      <c r="AC45" s="17">
        <f t="shared" ref="AC45:AC108" si="47">AC44+AB45</f>
        <v>5400</v>
      </c>
      <c r="AD45" s="17">
        <f t="shared" ref="AD45:AD108" si="48">AD44+K45</f>
        <v>1901.945317854073</v>
      </c>
      <c r="AE45" s="17">
        <f t="shared" ref="AE45:AE108" si="49">AE44+S45</f>
        <v>0</v>
      </c>
      <c r="AF45" s="17">
        <f t="shared" ref="AF45:AF108" si="50">AF44+V45</f>
        <v>0</v>
      </c>
      <c r="AG45" s="17">
        <f t="shared" ref="AG45:AG108" si="51">AG44+Y45</f>
        <v>0</v>
      </c>
      <c r="AH45" s="17">
        <f t="shared" ref="AH45:AH108" si="52">AH44+U45</f>
        <v>0</v>
      </c>
      <c r="AI45" s="15">
        <f t="shared" si="14"/>
        <v>0</v>
      </c>
      <c r="AK45" s="14">
        <v>2</v>
      </c>
      <c r="AL45" s="15">
        <f t="shared" si="15"/>
        <v>1</v>
      </c>
      <c r="AM45" s="16">
        <f>(1+INDEX('1 - Input'!$B$34:$E$63,AL45,'1 - Input'!$B$16))^(1/12)-1</f>
        <v>4.1219243192651689E-3</v>
      </c>
      <c r="AN45" s="17">
        <f>'1 - Input'!$B$7*(1+'1 - Input'!$B$12)^(AL45-1)</f>
        <v>2700</v>
      </c>
      <c r="AO45" s="17">
        <f t="shared" ref="AO45:AO108" si="53">BJ44</f>
        <v>484852.73081476887</v>
      </c>
      <c r="AP45" s="17">
        <f t="shared" ref="AP45:AP108" si="54">BK44</f>
        <v>486511.20450480632</v>
      </c>
      <c r="AQ45" s="17">
        <f t="shared" si="16"/>
        <v>486851.25707717641</v>
      </c>
      <c r="AR45" s="17">
        <f>IF(AQ45&gt;0,'1 - Input'!$B$8/12*AQ45,0)</f>
        <v>3651.384428078823</v>
      </c>
      <c r="AS45" s="17">
        <f t="shared" si="17"/>
        <v>483199.87264909758</v>
      </c>
      <c r="AT45" s="17">
        <f t="shared" si="18"/>
        <v>0</v>
      </c>
      <c r="AU45" s="17">
        <f>'1 - Input'!$B$22*(AR45-AT45)</f>
        <v>949.359951300494</v>
      </c>
      <c r="AV45" s="17">
        <f t="shared" si="19"/>
        <v>2702.0244767783288</v>
      </c>
      <c r="AW45" s="17">
        <f t="shared" si="20"/>
        <v>486511.20450480632</v>
      </c>
      <c r="AX45" s="17">
        <f>IF('1 - Input'!$B$17=1,MAX(0,AV45-AN45),0)</f>
        <v>2.0244767783287898</v>
      </c>
      <c r="AY45" s="17">
        <f>IF('1 - Input'!$B$17=1,MAX(0,AN45-AV45),0)</f>
        <v>0</v>
      </c>
      <c r="AZ45" s="17">
        <f t="shared" si="21"/>
        <v>0</v>
      </c>
      <c r="BA45" s="17">
        <f>IF(AND(AY45&gt;0,AS45&gt;0),AY45/(1-'1 - Input'!$B$22*AZ45),0)</f>
        <v>0</v>
      </c>
      <c r="BB45" s="17">
        <f t="shared" si="22"/>
        <v>0</v>
      </c>
      <c r="BC45" s="17">
        <f>'1 - Input'!$B$22*AZ45*BB45</f>
        <v>0</v>
      </c>
      <c r="BD45" s="17">
        <f t="shared" si="23"/>
        <v>0</v>
      </c>
      <c r="BE45" s="17">
        <f t="shared" si="24"/>
        <v>0</v>
      </c>
      <c r="BF45" s="17">
        <f t="shared" si="25"/>
        <v>0</v>
      </c>
      <c r="BG45" s="17">
        <f t="shared" si="26"/>
        <v>483201.89712587593</v>
      </c>
      <c r="BH45" s="17">
        <f t="shared" si="27"/>
        <v>486513.22898158466</v>
      </c>
      <c r="BI45" s="17">
        <f>IF(MOD(AK45,12)=0,BG45*'1 - Input'!$B$23,0)</f>
        <v>0</v>
      </c>
      <c r="BJ45" s="17">
        <f t="shared" si="28"/>
        <v>483201.89712587593</v>
      </c>
      <c r="BK45" s="17">
        <f>IF(MOD(AK45,12)=0,BH45*(1-'1 - Input'!$B$23),BH45)</f>
        <v>486513.22898158466</v>
      </c>
      <c r="BL45" s="17">
        <f>IF('1 - Input'!$B$17=1,MIN(AV45,AN45)+BD45,AV45)</f>
        <v>2700</v>
      </c>
      <c r="BM45" s="17">
        <f t="shared" ref="BM45:BM108" si="55">BM44+BL45</f>
        <v>5400</v>
      </c>
      <c r="BN45" s="17">
        <f t="shared" ref="BN45:BN108" si="56">BN44+AU45</f>
        <v>1901.945317854073</v>
      </c>
      <c r="BO45" s="17">
        <f t="shared" ref="BO45:BO108" si="57">BO44+BC45</f>
        <v>0</v>
      </c>
      <c r="BP45" s="17">
        <f t="shared" ref="BP45:BP108" si="58">BP44+BF45</f>
        <v>0</v>
      </c>
      <c r="BQ45" s="17">
        <f t="shared" ref="BQ45:BQ108" si="59">BQ44+BI45</f>
        <v>0</v>
      </c>
      <c r="BR45" s="17">
        <f t="shared" ref="BR45:BR108" si="60">BR44+BE45</f>
        <v>0</v>
      </c>
      <c r="BS45" s="15">
        <f t="shared" si="29"/>
        <v>0</v>
      </c>
      <c r="BU45" s="14">
        <v>2</v>
      </c>
      <c r="BV45" s="15">
        <f t="shared" si="30"/>
        <v>1</v>
      </c>
      <c r="BW45" s="16">
        <f>(1+INDEX('1 - Input'!$B$34:$E$63,BV45,'1 - Input'!$B$16))^(1/12)-1</f>
        <v>4.1219243192651689E-3</v>
      </c>
      <c r="BX45" s="17">
        <f>'1 - Input'!$B$7*(1+'1 - Input'!$B$12)^(BV45-1)</f>
        <v>2700</v>
      </c>
      <c r="BY45" s="17">
        <f t="shared" ref="BY45:BY108" si="61">CT44</f>
        <v>485805.3161813225</v>
      </c>
      <c r="BZ45" s="17">
        <f t="shared" ref="BZ45:BZ108" si="62">CU44</f>
        <v>483800</v>
      </c>
      <c r="CA45" s="17">
        <f t="shared" si="31"/>
        <v>487807.76892851858</v>
      </c>
      <c r="CB45" s="17">
        <f>IF(CA45&gt;0,'1 - Input'!$B$8/12*CA45,0)</f>
        <v>3658.5582669638893</v>
      </c>
      <c r="CC45" s="17">
        <f t="shared" si="32"/>
        <v>484149.21066155471</v>
      </c>
      <c r="CD45" s="17">
        <f t="shared" si="33"/>
        <v>3658.5582669638893</v>
      </c>
      <c r="CE45" s="17">
        <f>'1 - Input'!$B$22*(CB45-CD45)</f>
        <v>0</v>
      </c>
      <c r="CF45" s="17">
        <f t="shared" si="34"/>
        <v>3658.5582669638893</v>
      </c>
      <c r="CG45" s="17">
        <f t="shared" si="35"/>
        <v>480141.44173303613</v>
      </c>
      <c r="CH45" s="17">
        <f>IF('1 - Input'!$B$17=1,MAX(0,CF45-BX45),0)</f>
        <v>958.55826696388931</v>
      </c>
      <c r="CI45" s="17">
        <f>IF('1 - Input'!$B$17=1,MAX(0,BX45-CF45),0)</f>
        <v>0</v>
      </c>
      <c r="CJ45" s="17">
        <f t="shared" si="36"/>
        <v>8.277962331162847E-3</v>
      </c>
      <c r="CK45" s="17">
        <f>IF(AND(CI45&gt;0,CC45&gt;0),CI45/(1-'1 - Input'!$B$22*CJ45),0)</f>
        <v>0</v>
      </c>
      <c r="CL45" s="17">
        <f t="shared" si="37"/>
        <v>0</v>
      </c>
      <c r="CM45" s="17">
        <f>'1 - Input'!$B$22*CJ45*CL45</f>
        <v>0</v>
      </c>
      <c r="CN45" s="17">
        <f t="shared" si="38"/>
        <v>0</v>
      </c>
      <c r="CO45" s="17">
        <f t="shared" si="39"/>
        <v>0</v>
      </c>
      <c r="CP45" s="17">
        <f t="shared" si="40"/>
        <v>0</v>
      </c>
      <c r="CQ45" s="17">
        <f t="shared" si="41"/>
        <v>485107.76892851858</v>
      </c>
      <c r="CR45" s="17">
        <f t="shared" si="42"/>
        <v>481100</v>
      </c>
      <c r="CS45" s="17">
        <f>IF(MOD(BU45,12)=0,CQ45*'1 - Input'!$B$23,0)</f>
        <v>0</v>
      </c>
      <c r="CT45" s="17">
        <f t="shared" si="43"/>
        <v>485107.76892851858</v>
      </c>
      <c r="CU45" s="17">
        <f>IF(MOD(BU45,12)=0,CR45*(1-'1 - Input'!$B$23),CR45)</f>
        <v>481100</v>
      </c>
      <c r="CV45" s="17">
        <f>IF('1 - Input'!$B$17=1,MIN(CF45,BX45)+CN45,CF45)</f>
        <v>2700</v>
      </c>
      <c r="CW45" s="17">
        <f t="shared" ref="CW45:CW108" si="63">CW44+CV45</f>
        <v>5400</v>
      </c>
      <c r="CX45" s="17">
        <f t="shared" ref="CX45:CX108" si="64">CX44+CE45</f>
        <v>0</v>
      </c>
      <c r="CY45" s="17">
        <f t="shared" ref="CY45:CY108" si="65">CY44+CM45</f>
        <v>0</v>
      </c>
      <c r="CZ45" s="17">
        <f t="shared" ref="CZ45:CZ108" si="66">CZ44+CP45</f>
        <v>0</v>
      </c>
      <c r="DA45" s="17">
        <f t="shared" ref="DA45:DA108" si="67">DA44+CS45</f>
        <v>0</v>
      </c>
      <c r="DB45" s="17">
        <f t="shared" ref="DB45:DB108" si="68">DB44+CO45</f>
        <v>0</v>
      </c>
      <c r="DC45" s="15">
        <f t="shared" si="44"/>
        <v>0</v>
      </c>
    </row>
    <row r="46" spans="1:107">
      <c r="A46" s="14">
        <v>3</v>
      </c>
      <c r="B46" s="15">
        <f t="shared" si="0"/>
        <v>1</v>
      </c>
      <c r="C46" s="16">
        <f>(1+INDEX('1 - Input'!$B$34:$E$63,B46,'1 - Input'!$B$16))^(1/12)-1</f>
        <v>4.1219243192651689E-3</v>
      </c>
      <c r="D46" s="17">
        <f>'1 - Input'!$B$7*(1+'1 - Input'!$B$12)^(B46-1)</f>
        <v>2700</v>
      </c>
      <c r="E46" s="17">
        <f t="shared" si="45"/>
        <v>483201.89712587593</v>
      </c>
      <c r="F46" s="17">
        <f t="shared" si="46"/>
        <v>486513.22898158466</v>
      </c>
      <c r="G46" s="17">
        <f t="shared" si="1"/>
        <v>485193.61877675413</v>
      </c>
      <c r="H46" s="17">
        <f>IF(G46&gt;0,'1 - Input'!$B$8/12*G46,0)</f>
        <v>3638.952140825656</v>
      </c>
      <c r="I46" s="17">
        <f t="shared" si="2"/>
        <v>481554.66663592844</v>
      </c>
      <c r="J46" s="17">
        <f t="shared" si="3"/>
        <v>0</v>
      </c>
      <c r="K46" s="17">
        <f>'1 - Input'!$B$22*(H46-J46)</f>
        <v>946.12755661467054</v>
      </c>
      <c r="L46" s="17">
        <f t="shared" si="4"/>
        <v>2692.8245842109854</v>
      </c>
      <c r="M46" s="17">
        <f t="shared" si="5"/>
        <v>486513.22898158466</v>
      </c>
      <c r="N46" s="17">
        <f>IF('1 - Input'!$B$17=1,MAX(0,L46-D46),0)</f>
        <v>0</v>
      </c>
      <c r="O46" s="17">
        <f>IF('1 - Input'!$B$17=1,MAX(0,D46-L46),0)</f>
        <v>7.1754157890145507</v>
      </c>
      <c r="P46" s="17">
        <f t="shared" si="6"/>
        <v>0</v>
      </c>
      <c r="Q46" s="17">
        <f>IF(AND(O46&gt;0,I46&gt;0),O46/(1-'1 - Input'!$B$22*P46),0)</f>
        <v>7.1754157890145507</v>
      </c>
      <c r="R46" s="17">
        <f t="shared" si="7"/>
        <v>7.1754157890145507</v>
      </c>
      <c r="S46" s="17">
        <f>'1 - Input'!$B$22*P46*R46</f>
        <v>0</v>
      </c>
      <c r="T46" s="17">
        <f t="shared" si="8"/>
        <v>7.1754157890145507</v>
      </c>
      <c r="U46" s="17">
        <f t="shared" si="9"/>
        <v>0</v>
      </c>
      <c r="V46" s="17">
        <f t="shared" si="10"/>
        <v>7.3885166131583468E-2</v>
      </c>
      <c r="W46" s="17">
        <f t="shared" si="11"/>
        <v>481547.49122013943</v>
      </c>
      <c r="X46" s="17">
        <f t="shared" si="12"/>
        <v>486505.97968062951</v>
      </c>
      <c r="Y46" s="17">
        <f>IF(MOD(A46,12)=0,W46*'1 - Input'!$B$23,0)</f>
        <v>0</v>
      </c>
      <c r="Z46" s="17">
        <f t="shared" si="13"/>
        <v>481547.49122013943</v>
      </c>
      <c r="AA46" s="17">
        <f>IF(MOD(A46,12)=0,X46*(1-'1 - Input'!$B$23),X46)</f>
        <v>486505.97968062951</v>
      </c>
      <c r="AB46" s="17">
        <f>IF('1 - Input'!$B$17=1,MIN(L46,D46)+T46,L46)</f>
        <v>2700</v>
      </c>
      <c r="AC46" s="17">
        <f t="shared" si="47"/>
        <v>8100</v>
      </c>
      <c r="AD46" s="17">
        <f t="shared" si="48"/>
        <v>2848.0728744687435</v>
      </c>
      <c r="AE46" s="17">
        <f t="shared" si="49"/>
        <v>0</v>
      </c>
      <c r="AF46" s="17">
        <f t="shared" si="50"/>
        <v>7.3885166131583468E-2</v>
      </c>
      <c r="AG46" s="17">
        <f t="shared" si="51"/>
        <v>0</v>
      </c>
      <c r="AH46" s="17">
        <f t="shared" si="52"/>
        <v>0</v>
      </c>
      <c r="AI46" s="15">
        <f t="shared" si="14"/>
        <v>0</v>
      </c>
      <c r="AK46" s="14">
        <v>3</v>
      </c>
      <c r="AL46" s="15">
        <f t="shared" si="15"/>
        <v>1</v>
      </c>
      <c r="AM46" s="16">
        <f>(1+INDEX('1 - Input'!$B$34:$E$63,AL46,'1 - Input'!$B$16))^(1/12)-1</f>
        <v>4.1219243192651689E-3</v>
      </c>
      <c r="AN46" s="17">
        <f>'1 - Input'!$B$7*(1+'1 - Input'!$B$12)^(AL46-1)</f>
        <v>2700</v>
      </c>
      <c r="AO46" s="17">
        <f t="shared" si="53"/>
        <v>483201.89712587593</v>
      </c>
      <c r="AP46" s="17">
        <f t="shared" si="54"/>
        <v>486513.22898158466</v>
      </c>
      <c r="AQ46" s="17">
        <f t="shared" si="16"/>
        <v>485193.61877675413</v>
      </c>
      <c r="AR46" s="17">
        <f>IF(AQ46&gt;0,'1 - Input'!$B$8/12*AQ46,0)</f>
        <v>3638.952140825656</v>
      </c>
      <c r="AS46" s="17">
        <f t="shared" si="17"/>
        <v>481554.66663592844</v>
      </c>
      <c r="AT46" s="17">
        <f t="shared" si="18"/>
        <v>0</v>
      </c>
      <c r="AU46" s="17">
        <f>'1 - Input'!$B$22*(AR46-AT46)</f>
        <v>946.12755661467054</v>
      </c>
      <c r="AV46" s="17">
        <f t="shared" si="19"/>
        <v>2692.8245842109854</v>
      </c>
      <c r="AW46" s="17">
        <f t="shared" si="20"/>
        <v>486513.22898158466</v>
      </c>
      <c r="AX46" s="17">
        <f>IF('1 - Input'!$B$17=1,MAX(0,AV46-AN46),0)</f>
        <v>0</v>
      </c>
      <c r="AY46" s="17">
        <f>IF('1 - Input'!$B$17=1,MAX(0,AN46-AV46),0)</f>
        <v>7.1754157890145507</v>
      </c>
      <c r="AZ46" s="17">
        <f t="shared" si="21"/>
        <v>0</v>
      </c>
      <c r="BA46" s="17">
        <f>IF(AND(AY46&gt;0,AS46&gt;0),AY46/(1-'1 - Input'!$B$22*AZ46),0)</f>
        <v>7.1754157890145507</v>
      </c>
      <c r="BB46" s="17">
        <f t="shared" si="22"/>
        <v>7.1754157890145507</v>
      </c>
      <c r="BC46" s="17">
        <f>'1 - Input'!$B$22*AZ46*BB46</f>
        <v>0</v>
      </c>
      <c r="BD46" s="17">
        <f t="shared" si="23"/>
        <v>7.1754157890145507</v>
      </c>
      <c r="BE46" s="17">
        <f t="shared" si="24"/>
        <v>0</v>
      </c>
      <c r="BF46" s="17">
        <f t="shared" si="25"/>
        <v>7.3885166131583468E-2</v>
      </c>
      <c r="BG46" s="17">
        <f t="shared" si="26"/>
        <v>481547.49122013943</v>
      </c>
      <c r="BH46" s="17">
        <f t="shared" si="27"/>
        <v>486505.97968062951</v>
      </c>
      <c r="BI46" s="17">
        <f>IF(MOD(AK46,12)=0,BG46*'1 - Input'!$B$23,0)</f>
        <v>0</v>
      </c>
      <c r="BJ46" s="17">
        <f t="shared" si="28"/>
        <v>481547.49122013943</v>
      </c>
      <c r="BK46" s="17">
        <f>IF(MOD(AK46,12)=0,BH46*(1-'1 - Input'!$B$23),BH46)</f>
        <v>486505.97968062951</v>
      </c>
      <c r="BL46" s="17">
        <f>IF('1 - Input'!$B$17=1,MIN(AV46,AN46)+BD46,AV46)</f>
        <v>2700</v>
      </c>
      <c r="BM46" s="17">
        <f t="shared" si="55"/>
        <v>8100</v>
      </c>
      <c r="BN46" s="17">
        <f t="shared" si="56"/>
        <v>2848.0728744687435</v>
      </c>
      <c r="BO46" s="17">
        <f t="shared" si="57"/>
        <v>0</v>
      </c>
      <c r="BP46" s="17">
        <f t="shared" si="58"/>
        <v>7.3885166131583468E-2</v>
      </c>
      <c r="BQ46" s="17">
        <f t="shared" si="59"/>
        <v>0</v>
      </c>
      <c r="BR46" s="17">
        <f t="shared" si="60"/>
        <v>0</v>
      </c>
      <c r="BS46" s="15">
        <f t="shared" si="29"/>
        <v>0</v>
      </c>
      <c r="BU46" s="14">
        <v>3</v>
      </c>
      <c r="BV46" s="15">
        <f t="shared" si="30"/>
        <v>1</v>
      </c>
      <c r="BW46" s="16">
        <f>(1+INDEX('1 - Input'!$B$34:$E$63,BV46,'1 - Input'!$B$16))^(1/12)-1</f>
        <v>4.1219243192651689E-3</v>
      </c>
      <c r="BX46" s="17">
        <f>'1 - Input'!$B$7*(1+'1 - Input'!$B$12)^(BV46-1)</f>
        <v>2700</v>
      </c>
      <c r="BY46" s="17">
        <f t="shared" si="61"/>
        <v>485107.76892851858</v>
      </c>
      <c r="BZ46" s="17">
        <f t="shared" si="62"/>
        <v>481100</v>
      </c>
      <c r="CA46" s="17">
        <f t="shared" si="31"/>
        <v>487107.3464387295</v>
      </c>
      <c r="CB46" s="17">
        <f>IF(CA46&gt;0,'1 - Input'!$B$8/12*CA46,0)</f>
        <v>3653.3050982904711</v>
      </c>
      <c r="CC46" s="17">
        <f t="shared" si="32"/>
        <v>483454.041340439</v>
      </c>
      <c r="CD46" s="17">
        <f t="shared" si="33"/>
        <v>3653.3050982904711</v>
      </c>
      <c r="CE46" s="17">
        <f>'1 - Input'!$B$22*(CB46-CD46)</f>
        <v>0</v>
      </c>
      <c r="CF46" s="17">
        <f t="shared" si="34"/>
        <v>3653.3050982904711</v>
      </c>
      <c r="CG46" s="17">
        <f t="shared" si="35"/>
        <v>477446.6949017095</v>
      </c>
      <c r="CH46" s="17">
        <f>IF('1 - Input'!$B$17=1,MAX(0,CF46-BX46),0)</f>
        <v>953.30509829047105</v>
      </c>
      <c r="CI46" s="17">
        <f>IF('1 - Input'!$B$17=1,MAX(0,BX46-CF46),0)</f>
        <v>0</v>
      </c>
      <c r="CJ46" s="17">
        <f t="shared" si="36"/>
        <v>1.2425889381487698E-2</v>
      </c>
      <c r="CK46" s="17">
        <f>IF(AND(CI46&gt;0,CC46&gt;0),CI46/(1-'1 - Input'!$B$22*CJ46),0)</f>
        <v>0</v>
      </c>
      <c r="CL46" s="17">
        <f t="shared" si="37"/>
        <v>0</v>
      </c>
      <c r="CM46" s="17">
        <f>'1 - Input'!$B$22*CJ46*CL46</f>
        <v>0</v>
      </c>
      <c r="CN46" s="17">
        <f t="shared" si="38"/>
        <v>0</v>
      </c>
      <c r="CO46" s="17">
        <f t="shared" si="39"/>
        <v>0</v>
      </c>
      <c r="CP46" s="17">
        <f t="shared" si="40"/>
        <v>0</v>
      </c>
      <c r="CQ46" s="17">
        <f t="shared" si="41"/>
        <v>484407.3464387295</v>
      </c>
      <c r="CR46" s="17">
        <f t="shared" si="42"/>
        <v>478400</v>
      </c>
      <c r="CS46" s="17">
        <f>IF(MOD(BU46,12)=0,CQ46*'1 - Input'!$B$23,0)</f>
        <v>0</v>
      </c>
      <c r="CT46" s="17">
        <f t="shared" si="43"/>
        <v>484407.3464387295</v>
      </c>
      <c r="CU46" s="17">
        <f>IF(MOD(BU46,12)=0,CR46*(1-'1 - Input'!$B$23),CR46)</f>
        <v>478400</v>
      </c>
      <c r="CV46" s="17">
        <f>IF('1 - Input'!$B$17=1,MIN(CF46,BX46)+CN46,CF46)</f>
        <v>2700</v>
      </c>
      <c r="CW46" s="17">
        <f t="shared" si="63"/>
        <v>8100</v>
      </c>
      <c r="CX46" s="17">
        <f t="shared" si="64"/>
        <v>0</v>
      </c>
      <c r="CY46" s="17">
        <f t="shared" si="65"/>
        <v>0</v>
      </c>
      <c r="CZ46" s="17">
        <f t="shared" si="66"/>
        <v>0</v>
      </c>
      <c r="DA46" s="17">
        <f t="shared" si="67"/>
        <v>0</v>
      </c>
      <c r="DB46" s="17">
        <f t="shared" si="68"/>
        <v>0</v>
      </c>
      <c r="DC46" s="15">
        <f t="shared" si="44"/>
        <v>0</v>
      </c>
    </row>
    <row r="47" spans="1:107">
      <c r="A47" s="14">
        <v>4</v>
      </c>
      <c r="B47" s="15">
        <f t="shared" si="0"/>
        <v>1</v>
      </c>
      <c r="C47" s="16">
        <f>(1+INDEX('1 - Input'!$B$34:$E$63,B47,'1 - Input'!$B$16))^(1/12)-1</f>
        <v>4.1219243192651689E-3</v>
      </c>
      <c r="D47" s="17">
        <f>'1 - Input'!$B$7*(1+'1 - Input'!$B$12)^(B47-1)</f>
        <v>2700</v>
      </c>
      <c r="E47" s="17">
        <f t="shared" si="45"/>
        <v>481547.49122013943</v>
      </c>
      <c r="F47" s="17">
        <f t="shared" si="46"/>
        <v>486505.97968062951</v>
      </c>
      <c r="G47" s="17">
        <f t="shared" si="1"/>
        <v>483532.39353508083</v>
      </c>
      <c r="H47" s="17">
        <f>IF(G47&gt;0,'1 - Input'!$B$8/12*G47,0)</f>
        <v>3626.4929515131062</v>
      </c>
      <c r="I47" s="17">
        <f t="shared" si="2"/>
        <v>479905.90058356774</v>
      </c>
      <c r="J47" s="17">
        <f t="shared" si="3"/>
        <v>0</v>
      </c>
      <c r="K47" s="17">
        <f>'1 - Input'!$B$22*(H47-J47)</f>
        <v>942.88816739340768</v>
      </c>
      <c r="L47" s="17">
        <f t="shared" si="4"/>
        <v>2683.6047841196987</v>
      </c>
      <c r="M47" s="17">
        <f t="shared" si="5"/>
        <v>486505.97968062951</v>
      </c>
      <c r="N47" s="17">
        <f>IF('1 - Input'!$B$17=1,MAX(0,L47-D47),0)</f>
        <v>0</v>
      </c>
      <c r="O47" s="17">
        <f>IF('1 - Input'!$B$17=1,MAX(0,D47-L47),0)</f>
        <v>16.395215880301294</v>
      </c>
      <c r="P47" s="17">
        <f t="shared" si="6"/>
        <v>0</v>
      </c>
      <c r="Q47" s="17">
        <f>IF(AND(O47&gt;0,I47&gt;0),O47/(1-'1 - Input'!$B$22*P47),0)</f>
        <v>16.395215880301294</v>
      </c>
      <c r="R47" s="17">
        <f t="shared" si="7"/>
        <v>16.395215880301294</v>
      </c>
      <c r="S47" s="17">
        <f>'1 - Input'!$B$22*P47*R47</f>
        <v>0</v>
      </c>
      <c r="T47" s="17">
        <f t="shared" si="8"/>
        <v>16.395215880301294</v>
      </c>
      <c r="U47" s="17">
        <f t="shared" si="9"/>
        <v>0</v>
      </c>
      <c r="V47" s="17">
        <f t="shared" si="10"/>
        <v>0.22548112346984728</v>
      </c>
      <c r="W47" s="17">
        <f t="shared" si="11"/>
        <v>479889.50536768744</v>
      </c>
      <c r="X47" s="17">
        <f t="shared" si="12"/>
        <v>486489.35898362572</v>
      </c>
      <c r="Y47" s="17">
        <f>IF(MOD(A47,12)=0,W47*'1 - Input'!$B$23,0)</f>
        <v>0</v>
      </c>
      <c r="Z47" s="17">
        <f t="shared" si="13"/>
        <v>479889.50536768744</v>
      </c>
      <c r="AA47" s="17">
        <f>IF(MOD(A47,12)=0,X47*(1-'1 - Input'!$B$23),X47)</f>
        <v>486489.35898362572</v>
      </c>
      <c r="AB47" s="17">
        <f>IF('1 - Input'!$B$17=1,MIN(L47,D47)+T47,L47)</f>
        <v>2700</v>
      </c>
      <c r="AC47" s="17">
        <f t="shared" si="47"/>
        <v>10800</v>
      </c>
      <c r="AD47" s="17">
        <f t="shared" si="48"/>
        <v>3790.9610418621514</v>
      </c>
      <c r="AE47" s="17">
        <f t="shared" si="49"/>
        <v>0</v>
      </c>
      <c r="AF47" s="17">
        <f t="shared" si="50"/>
        <v>0.29936628960143075</v>
      </c>
      <c r="AG47" s="17">
        <f t="shared" si="51"/>
        <v>0</v>
      </c>
      <c r="AH47" s="17">
        <f t="shared" si="52"/>
        <v>0</v>
      </c>
      <c r="AI47" s="15">
        <f t="shared" si="14"/>
        <v>0</v>
      </c>
      <c r="AK47" s="14">
        <v>4</v>
      </c>
      <c r="AL47" s="15">
        <f t="shared" si="15"/>
        <v>1</v>
      </c>
      <c r="AM47" s="16">
        <f>(1+INDEX('1 - Input'!$B$34:$E$63,AL47,'1 - Input'!$B$16))^(1/12)-1</f>
        <v>4.1219243192651689E-3</v>
      </c>
      <c r="AN47" s="17">
        <f>'1 - Input'!$B$7*(1+'1 - Input'!$B$12)^(AL47-1)</f>
        <v>2700</v>
      </c>
      <c r="AO47" s="17">
        <f t="shared" si="53"/>
        <v>481547.49122013943</v>
      </c>
      <c r="AP47" s="17">
        <f t="shared" si="54"/>
        <v>486505.97968062951</v>
      </c>
      <c r="AQ47" s="17">
        <f t="shared" si="16"/>
        <v>483532.39353508083</v>
      </c>
      <c r="AR47" s="17">
        <f>IF(AQ47&gt;0,'1 - Input'!$B$8/12*AQ47,0)</f>
        <v>3626.4929515131062</v>
      </c>
      <c r="AS47" s="17">
        <f t="shared" si="17"/>
        <v>479905.90058356774</v>
      </c>
      <c r="AT47" s="17">
        <f t="shared" si="18"/>
        <v>0</v>
      </c>
      <c r="AU47" s="17">
        <f>'1 - Input'!$B$22*(AR47-AT47)</f>
        <v>942.88816739340768</v>
      </c>
      <c r="AV47" s="17">
        <f t="shared" si="19"/>
        <v>2683.6047841196987</v>
      </c>
      <c r="AW47" s="17">
        <f t="shared" si="20"/>
        <v>486505.97968062951</v>
      </c>
      <c r="AX47" s="17">
        <f>IF('1 - Input'!$B$17=1,MAX(0,AV47-AN47),0)</f>
        <v>0</v>
      </c>
      <c r="AY47" s="17">
        <f>IF('1 - Input'!$B$17=1,MAX(0,AN47-AV47),0)</f>
        <v>16.395215880301294</v>
      </c>
      <c r="AZ47" s="17">
        <f t="shared" si="21"/>
        <v>0</v>
      </c>
      <c r="BA47" s="17">
        <f>IF(AND(AY47&gt;0,AS47&gt;0),AY47/(1-'1 - Input'!$B$22*AZ47),0)</f>
        <v>16.395215880301294</v>
      </c>
      <c r="BB47" s="17">
        <f t="shared" si="22"/>
        <v>16.395215880301294</v>
      </c>
      <c r="BC47" s="17">
        <f>'1 - Input'!$B$22*AZ47*BB47</f>
        <v>0</v>
      </c>
      <c r="BD47" s="17">
        <f t="shared" si="23"/>
        <v>16.395215880301294</v>
      </c>
      <c r="BE47" s="17">
        <f t="shared" si="24"/>
        <v>0</v>
      </c>
      <c r="BF47" s="17">
        <f t="shared" si="25"/>
        <v>0.22548112346984728</v>
      </c>
      <c r="BG47" s="17">
        <f t="shared" si="26"/>
        <v>479889.50536768744</v>
      </c>
      <c r="BH47" s="17">
        <f t="shared" si="27"/>
        <v>486489.35898362572</v>
      </c>
      <c r="BI47" s="17">
        <f>IF(MOD(AK47,12)=0,BG47*'1 - Input'!$B$23,0)</f>
        <v>0</v>
      </c>
      <c r="BJ47" s="17">
        <f t="shared" si="28"/>
        <v>479889.50536768744</v>
      </c>
      <c r="BK47" s="17">
        <f>IF(MOD(AK47,12)=0,BH47*(1-'1 - Input'!$B$23),BH47)</f>
        <v>486489.35898362572</v>
      </c>
      <c r="BL47" s="17">
        <f>IF('1 - Input'!$B$17=1,MIN(AV47,AN47)+BD47,AV47)</f>
        <v>2700</v>
      </c>
      <c r="BM47" s="17">
        <f t="shared" si="55"/>
        <v>10800</v>
      </c>
      <c r="BN47" s="17">
        <f t="shared" si="56"/>
        <v>3790.9610418621514</v>
      </c>
      <c r="BO47" s="17">
        <f t="shared" si="57"/>
        <v>0</v>
      </c>
      <c r="BP47" s="17">
        <f t="shared" si="58"/>
        <v>0.29936628960143075</v>
      </c>
      <c r="BQ47" s="17">
        <f t="shared" si="59"/>
        <v>0</v>
      </c>
      <c r="BR47" s="17">
        <f t="shared" si="60"/>
        <v>0</v>
      </c>
      <c r="BS47" s="15">
        <f t="shared" si="29"/>
        <v>0</v>
      </c>
      <c r="BU47" s="14">
        <v>4</v>
      </c>
      <c r="BV47" s="15">
        <f t="shared" si="30"/>
        <v>1</v>
      </c>
      <c r="BW47" s="16">
        <f>(1+INDEX('1 - Input'!$B$34:$E$63,BV47,'1 - Input'!$B$16))^(1/12)-1</f>
        <v>4.1219243192651689E-3</v>
      </c>
      <c r="BX47" s="17">
        <f>'1 - Input'!$B$7*(1+'1 - Input'!$B$12)^(BV47-1)</f>
        <v>2700</v>
      </c>
      <c r="BY47" s="17">
        <f t="shared" si="61"/>
        <v>484407.3464387295</v>
      </c>
      <c r="BZ47" s="17">
        <f t="shared" si="62"/>
        <v>478400</v>
      </c>
      <c r="CA47" s="17">
        <f t="shared" si="31"/>
        <v>486404.03686044598</v>
      </c>
      <c r="CB47" s="17">
        <f>IF(CA47&gt;0,'1 - Input'!$B$8/12*CA47,0)</f>
        <v>3648.0302764533449</v>
      </c>
      <c r="CC47" s="17">
        <f t="shared" si="32"/>
        <v>482756.00658399262</v>
      </c>
      <c r="CD47" s="17">
        <f t="shared" si="33"/>
        <v>3648.0302764533449</v>
      </c>
      <c r="CE47" s="17">
        <f>'1 - Input'!$B$22*(CB47-CD47)</f>
        <v>0</v>
      </c>
      <c r="CF47" s="17">
        <f t="shared" si="34"/>
        <v>3648.0302764533449</v>
      </c>
      <c r="CG47" s="17">
        <f t="shared" si="35"/>
        <v>474751.96972354664</v>
      </c>
      <c r="CH47" s="17">
        <f>IF('1 - Input'!$B$17=1,MAX(0,CF47-BX47),0)</f>
        <v>948.03027645334487</v>
      </c>
      <c r="CI47" s="17">
        <f>IF('1 - Input'!$B$17=1,MAX(0,BX47-CF47),0)</f>
        <v>0</v>
      </c>
      <c r="CJ47" s="17">
        <f t="shared" si="36"/>
        <v>1.6579880418439497E-2</v>
      </c>
      <c r="CK47" s="17">
        <f>IF(AND(CI47&gt;0,CC47&gt;0),CI47/(1-'1 - Input'!$B$22*CJ47),0)</f>
        <v>0</v>
      </c>
      <c r="CL47" s="17">
        <f t="shared" si="37"/>
        <v>0</v>
      </c>
      <c r="CM47" s="17">
        <f>'1 - Input'!$B$22*CJ47*CL47</f>
        <v>0</v>
      </c>
      <c r="CN47" s="17">
        <f t="shared" si="38"/>
        <v>0</v>
      </c>
      <c r="CO47" s="17">
        <f t="shared" si="39"/>
        <v>0</v>
      </c>
      <c r="CP47" s="17">
        <f t="shared" si="40"/>
        <v>0</v>
      </c>
      <c r="CQ47" s="17">
        <f t="shared" si="41"/>
        <v>483704.03686044598</v>
      </c>
      <c r="CR47" s="17">
        <f t="shared" si="42"/>
        <v>475700</v>
      </c>
      <c r="CS47" s="17">
        <f>IF(MOD(BU47,12)=0,CQ47*'1 - Input'!$B$23,0)</f>
        <v>0</v>
      </c>
      <c r="CT47" s="17">
        <f t="shared" si="43"/>
        <v>483704.03686044598</v>
      </c>
      <c r="CU47" s="17">
        <f>IF(MOD(BU47,12)=0,CR47*(1-'1 - Input'!$B$23),CR47)</f>
        <v>475700</v>
      </c>
      <c r="CV47" s="17">
        <f>IF('1 - Input'!$B$17=1,MIN(CF47,BX47)+CN47,CF47)</f>
        <v>2700</v>
      </c>
      <c r="CW47" s="17">
        <f t="shared" si="63"/>
        <v>10800</v>
      </c>
      <c r="CX47" s="17">
        <f t="shared" si="64"/>
        <v>0</v>
      </c>
      <c r="CY47" s="17">
        <f t="shared" si="65"/>
        <v>0</v>
      </c>
      <c r="CZ47" s="17">
        <f t="shared" si="66"/>
        <v>0</v>
      </c>
      <c r="DA47" s="17">
        <f t="shared" si="67"/>
        <v>0</v>
      </c>
      <c r="DB47" s="17">
        <f t="shared" si="68"/>
        <v>0</v>
      </c>
      <c r="DC47" s="15">
        <f t="shared" si="44"/>
        <v>0</v>
      </c>
    </row>
    <row r="48" spans="1:107">
      <c r="A48" s="14">
        <v>5</v>
      </c>
      <c r="B48" s="15">
        <f t="shared" si="0"/>
        <v>1</v>
      </c>
      <c r="C48" s="16">
        <f>(1+INDEX('1 - Input'!$B$34:$E$63,B48,'1 - Input'!$B$16))^(1/12)-1</f>
        <v>4.1219243192651689E-3</v>
      </c>
      <c r="D48" s="17">
        <f>'1 - Input'!$B$7*(1+'1 - Input'!$B$12)^(B48-1)</f>
        <v>2700</v>
      </c>
      <c r="E48" s="17">
        <f t="shared" si="45"/>
        <v>479889.50536768744</v>
      </c>
      <c r="F48" s="17">
        <f t="shared" si="46"/>
        <v>486489.35898362572</v>
      </c>
      <c r="G48" s="17">
        <f t="shared" si="1"/>
        <v>481867.57359042263</v>
      </c>
      <c r="H48" s="17">
        <f>IF(G48&gt;0,'1 - Input'!$B$8/12*G48,0)</f>
        <v>3614.0068019281698</v>
      </c>
      <c r="I48" s="17">
        <f t="shared" si="2"/>
        <v>478253.56678849447</v>
      </c>
      <c r="J48" s="17">
        <f t="shared" si="3"/>
        <v>0</v>
      </c>
      <c r="K48" s="17">
        <f>'1 - Input'!$B$22*(H48-J48)</f>
        <v>939.64176850132424</v>
      </c>
      <c r="L48" s="17">
        <f t="shared" si="4"/>
        <v>2674.3650334268455</v>
      </c>
      <c r="M48" s="17">
        <f t="shared" si="5"/>
        <v>486489.35898362572</v>
      </c>
      <c r="N48" s="17">
        <f>IF('1 - Input'!$B$17=1,MAX(0,L48-D48),0)</f>
        <v>0</v>
      </c>
      <c r="O48" s="17">
        <f>IF('1 - Input'!$B$17=1,MAX(0,D48-L48),0)</f>
        <v>25.634966573154543</v>
      </c>
      <c r="P48" s="17">
        <f t="shared" si="6"/>
        <v>0</v>
      </c>
      <c r="Q48" s="17">
        <f>IF(AND(O48&gt;0,I48&gt;0),O48/(1-'1 - Input'!$B$22*P48),0)</f>
        <v>25.634966573154543</v>
      </c>
      <c r="R48" s="17">
        <f t="shared" si="7"/>
        <v>25.634966573154543</v>
      </c>
      <c r="S48" s="17">
        <f>'1 - Input'!$B$22*P48*R48</f>
        <v>0</v>
      </c>
      <c r="T48" s="17">
        <f t="shared" si="8"/>
        <v>25.634966573154543</v>
      </c>
      <c r="U48" s="17">
        <f t="shared" si="9"/>
        <v>0</v>
      </c>
      <c r="V48" s="17">
        <f t="shared" si="10"/>
        <v>0.44144837025126843</v>
      </c>
      <c r="W48" s="17">
        <f t="shared" si="11"/>
        <v>478227.93182192132</v>
      </c>
      <c r="X48" s="17">
        <f t="shared" si="12"/>
        <v>486463.28256868228</v>
      </c>
      <c r="Y48" s="17">
        <f>IF(MOD(A48,12)=0,W48*'1 - Input'!$B$23,0)</f>
        <v>0</v>
      </c>
      <c r="Z48" s="17">
        <f t="shared" si="13"/>
        <v>478227.93182192132</v>
      </c>
      <c r="AA48" s="17">
        <f>IF(MOD(A48,12)=0,X48*(1-'1 - Input'!$B$23),X48)</f>
        <v>486463.28256868228</v>
      </c>
      <c r="AB48" s="17">
        <f>IF('1 - Input'!$B$17=1,MIN(L48,D48)+T48,L48)</f>
        <v>2700</v>
      </c>
      <c r="AC48" s="17">
        <f t="shared" si="47"/>
        <v>13500</v>
      </c>
      <c r="AD48" s="17">
        <f t="shared" si="48"/>
        <v>4730.6028103634753</v>
      </c>
      <c r="AE48" s="17">
        <f t="shared" si="49"/>
        <v>0</v>
      </c>
      <c r="AF48" s="17">
        <f t="shared" si="50"/>
        <v>0.74081465985269923</v>
      </c>
      <c r="AG48" s="17">
        <f t="shared" si="51"/>
        <v>0</v>
      </c>
      <c r="AH48" s="17">
        <f t="shared" si="52"/>
        <v>0</v>
      </c>
      <c r="AI48" s="15">
        <f t="shared" si="14"/>
        <v>0</v>
      </c>
      <c r="AK48" s="14">
        <v>5</v>
      </c>
      <c r="AL48" s="15">
        <f t="shared" si="15"/>
        <v>1</v>
      </c>
      <c r="AM48" s="16">
        <f>(1+INDEX('1 - Input'!$B$34:$E$63,AL48,'1 - Input'!$B$16))^(1/12)-1</f>
        <v>4.1219243192651689E-3</v>
      </c>
      <c r="AN48" s="17">
        <f>'1 - Input'!$B$7*(1+'1 - Input'!$B$12)^(AL48-1)</f>
        <v>2700</v>
      </c>
      <c r="AO48" s="17">
        <f t="shared" si="53"/>
        <v>479889.50536768744</v>
      </c>
      <c r="AP48" s="17">
        <f t="shared" si="54"/>
        <v>486489.35898362572</v>
      </c>
      <c r="AQ48" s="17">
        <f t="shared" si="16"/>
        <v>481867.57359042263</v>
      </c>
      <c r="AR48" s="17">
        <f>IF(AQ48&gt;0,'1 - Input'!$B$8/12*AQ48,0)</f>
        <v>3614.0068019281698</v>
      </c>
      <c r="AS48" s="17">
        <f t="shared" si="17"/>
        <v>478253.56678849447</v>
      </c>
      <c r="AT48" s="17">
        <f t="shared" si="18"/>
        <v>0</v>
      </c>
      <c r="AU48" s="17">
        <f>'1 - Input'!$B$22*(AR48-AT48)</f>
        <v>939.64176850132424</v>
      </c>
      <c r="AV48" s="17">
        <f t="shared" si="19"/>
        <v>2674.3650334268455</v>
      </c>
      <c r="AW48" s="17">
        <f t="shared" si="20"/>
        <v>486489.35898362572</v>
      </c>
      <c r="AX48" s="17">
        <f>IF('1 - Input'!$B$17=1,MAX(0,AV48-AN48),0)</f>
        <v>0</v>
      </c>
      <c r="AY48" s="17">
        <f>IF('1 - Input'!$B$17=1,MAX(0,AN48-AV48),0)</f>
        <v>25.634966573154543</v>
      </c>
      <c r="AZ48" s="17">
        <f t="shared" si="21"/>
        <v>0</v>
      </c>
      <c r="BA48" s="17">
        <f>IF(AND(AY48&gt;0,AS48&gt;0),AY48/(1-'1 - Input'!$B$22*AZ48),0)</f>
        <v>25.634966573154543</v>
      </c>
      <c r="BB48" s="17">
        <f t="shared" si="22"/>
        <v>25.634966573154543</v>
      </c>
      <c r="BC48" s="17">
        <f>'1 - Input'!$B$22*AZ48*BB48</f>
        <v>0</v>
      </c>
      <c r="BD48" s="17">
        <f t="shared" si="23"/>
        <v>25.634966573154543</v>
      </c>
      <c r="BE48" s="17">
        <f t="shared" si="24"/>
        <v>0</v>
      </c>
      <c r="BF48" s="17">
        <f t="shared" si="25"/>
        <v>0.44144837025126843</v>
      </c>
      <c r="BG48" s="17">
        <f t="shared" si="26"/>
        <v>478227.93182192132</v>
      </c>
      <c r="BH48" s="17">
        <f t="shared" si="27"/>
        <v>486463.28256868228</v>
      </c>
      <c r="BI48" s="17">
        <f>IF(MOD(AK48,12)=0,BG48*'1 - Input'!$B$23,0)</f>
        <v>0</v>
      </c>
      <c r="BJ48" s="17">
        <f t="shared" si="28"/>
        <v>478227.93182192132</v>
      </c>
      <c r="BK48" s="17">
        <f>IF(MOD(AK48,12)=0,BH48*(1-'1 - Input'!$B$23),BH48)</f>
        <v>486463.28256868228</v>
      </c>
      <c r="BL48" s="17">
        <f>IF('1 - Input'!$B$17=1,MIN(AV48,AN48)+BD48,AV48)</f>
        <v>2700</v>
      </c>
      <c r="BM48" s="17">
        <f t="shared" si="55"/>
        <v>13500</v>
      </c>
      <c r="BN48" s="17">
        <f t="shared" si="56"/>
        <v>4730.6028103634753</v>
      </c>
      <c r="BO48" s="17">
        <f t="shared" si="57"/>
        <v>0</v>
      </c>
      <c r="BP48" s="17">
        <f t="shared" si="58"/>
        <v>0.74081465985269923</v>
      </c>
      <c r="BQ48" s="17">
        <f t="shared" si="59"/>
        <v>0</v>
      </c>
      <c r="BR48" s="17">
        <f t="shared" si="60"/>
        <v>0</v>
      </c>
      <c r="BS48" s="15">
        <f t="shared" si="29"/>
        <v>0</v>
      </c>
      <c r="BU48" s="14">
        <v>5</v>
      </c>
      <c r="BV48" s="15">
        <f t="shared" si="30"/>
        <v>1</v>
      </c>
      <c r="BW48" s="16">
        <f>(1+INDEX('1 - Input'!$B$34:$E$63,BV48,'1 - Input'!$B$16))^(1/12)-1</f>
        <v>4.1219243192651689E-3</v>
      </c>
      <c r="BX48" s="17">
        <f>'1 - Input'!$B$7*(1+'1 - Input'!$B$12)^(BV48-1)</f>
        <v>2700</v>
      </c>
      <c r="BY48" s="17">
        <f t="shared" si="61"/>
        <v>483704.03686044598</v>
      </c>
      <c r="BZ48" s="17">
        <f t="shared" si="62"/>
        <v>475700</v>
      </c>
      <c r="CA48" s="17">
        <f t="shared" si="31"/>
        <v>485697.8282933078</v>
      </c>
      <c r="CB48" s="17">
        <f>IF(CA48&gt;0,'1 - Input'!$B$8/12*CA48,0)</f>
        <v>3642.7337121998085</v>
      </c>
      <c r="CC48" s="17">
        <f t="shared" si="32"/>
        <v>482055.09458110802</v>
      </c>
      <c r="CD48" s="17">
        <f t="shared" si="33"/>
        <v>3642.7337121998085</v>
      </c>
      <c r="CE48" s="17">
        <f>'1 - Input'!$B$22*(CB48-CD48)</f>
        <v>0</v>
      </c>
      <c r="CF48" s="17">
        <f t="shared" si="34"/>
        <v>3642.7337121998085</v>
      </c>
      <c r="CG48" s="17">
        <f t="shared" si="35"/>
        <v>472057.26628780022</v>
      </c>
      <c r="CH48" s="17">
        <f>IF('1 - Input'!$B$17=1,MAX(0,CF48-BX48),0)</f>
        <v>942.73371219980845</v>
      </c>
      <c r="CI48" s="17">
        <f>IF('1 - Input'!$B$17=1,MAX(0,BX48-CF48),0)</f>
        <v>0</v>
      </c>
      <c r="CJ48" s="17">
        <f t="shared" si="36"/>
        <v>2.074001168268047E-2</v>
      </c>
      <c r="CK48" s="17">
        <f>IF(AND(CI48&gt;0,CC48&gt;0),CI48/(1-'1 - Input'!$B$22*CJ48),0)</f>
        <v>0</v>
      </c>
      <c r="CL48" s="17">
        <f t="shared" si="37"/>
        <v>0</v>
      </c>
      <c r="CM48" s="17">
        <f>'1 - Input'!$B$22*CJ48*CL48</f>
        <v>0</v>
      </c>
      <c r="CN48" s="17">
        <f t="shared" si="38"/>
        <v>0</v>
      </c>
      <c r="CO48" s="17">
        <f t="shared" si="39"/>
        <v>0</v>
      </c>
      <c r="CP48" s="17">
        <f t="shared" si="40"/>
        <v>0</v>
      </c>
      <c r="CQ48" s="17">
        <f t="shared" si="41"/>
        <v>482997.8282933078</v>
      </c>
      <c r="CR48" s="17">
        <f t="shared" si="42"/>
        <v>473000</v>
      </c>
      <c r="CS48" s="17">
        <f>IF(MOD(BU48,12)=0,CQ48*'1 - Input'!$B$23,0)</f>
        <v>0</v>
      </c>
      <c r="CT48" s="17">
        <f t="shared" si="43"/>
        <v>482997.8282933078</v>
      </c>
      <c r="CU48" s="17">
        <f>IF(MOD(BU48,12)=0,CR48*(1-'1 - Input'!$B$23),CR48)</f>
        <v>473000</v>
      </c>
      <c r="CV48" s="17">
        <f>IF('1 - Input'!$B$17=1,MIN(CF48,BX48)+CN48,CF48)</f>
        <v>2700</v>
      </c>
      <c r="CW48" s="17">
        <f t="shared" si="63"/>
        <v>13500</v>
      </c>
      <c r="CX48" s="17">
        <f t="shared" si="64"/>
        <v>0</v>
      </c>
      <c r="CY48" s="17">
        <f t="shared" si="65"/>
        <v>0</v>
      </c>
      <c r="CZ48" s="17">
        <f t="shared" si="66"/>
        <v>0</v>
      </c>
      <c r="DA48" s="17">
        <f t="shared" si="67"/>
        <v>0</v>
      </c>
      <c r="DB48" s="17">
        <f t="shared" si="68"/>
        <v>0</v>
      </c>
      <c r="DC48" s="15">
        <f t="shared" si="44"/>
        <v>0</v>
      </c>
    </row>
    <row r="49" spans="1:107">
      <c r="A49" s="14">
        <v>6</v>
      </c>
      <c r="B49" s="15">
        <f t="shared" si="0"/>
        <v>1</v>
      </c>
      <c r="C49" s="16">
        <f>(1+INDEX('1 - Input'!$B$34:$E$63,B49,'1 - Input'!$B$16))^(1/12)-1</f>
        <v>4.1219243192651689E-3</v>
      </c>
      <c r="D49" s="17">
        <f>'1 - Input'!$B$7*(1+'1 - Input'!$B$12)^(B49-1)</f>
        <v>2700</v>
      </c>
      <c r="E49" s="17">
        <f t="shared" si="45"/>
        <v>478227.93182192132</v>
      </c>
      <c r="F49" s="17">
        <f t="shared" si="46"/>
        <v>486463.28256868228</v>
      </c>
      <c r="G49" s="17">
        <f t="shared" si="1"/>
        <v>480199.15116424998</v>
      </c>
      <c r="H49" s="17">
        <f>IF(G49&gt;0,'1 - Input'!$B$8/12*G49,0)</f>
        <v>3601.4936337318745</v>
      </c>
      <c r="I49" s="17">
        <f t="shared" si="2"/>
        <v>476597.65753051813</v>
      </c>
      <c r="J49" s="17">
        <f t="shared" si="3"/>
        <v>0</v>
      </c>
      <c r="K49" s="17">
        <f>'1 - Input'!$B$22*(H49-J49)</f>
        <v>936.3883447702874</v>
      </c>
      <c r="L49" s="17">
        <f t="shared" si="4"/>
        <v>2665.1052889615871</v>
      </c>
      <c r="M49" s="17">
        <f t="shared" si="5"/>
        <v>486463.28256868228</v>
      </c>
      <c r="N49" s="17">
        <f>IF('1 - Input'!$B$17=1,MAX(0,L49-D49),0)</f>
        <v>0</v>
      </c>
      <c r="O49" s="17">
        <f>IF('1 - Input'!$B$17=1,MAX(0,D49-L49),0)</f>
        <v>34.894711038412879</v>
      </c>
      <c r="P49" s="17">
        <f t="shared" si="6"/>
        <v>0</v>
      </c>
      <c r="Q49" s="17">
        <f>IF(AND(O49&gt;0,I49&gt;0),O49/(1-'1 - Input'!$B$22*P49),0)</f>
        <v>34.894711038412879</v>
      </c>
      <c r="R49" s="17">
        <f t="shared" si="7"/>
        <v>34.894711038412879</v>
      </c>
      <c r="S49" s="17">
        <f>'1 - Input'!$B$22*P49*R49</f>
        <v>0</v>
      </c>
      <c r="T49" s="17">
        <f t="shared" si="8"/>
        <v>34.894711038412879</v>
      </c>
      <c r="U49" s="17">
        <f t="shared" si="9"/>
        <v>0</v>
      </c>
      <c r="V49" s="17">
        <f t="shared" si="10"/>
        <v>0.72232443756403353</v>
      </c>
      <c r="W49" s="17">
        <f t="shared" si="11"/>
        <v>476562.76281947974</v>
      </c>
      <c r="X49" s="17">
        <f t="shared" si="12"/>
        <v>486427.66553320625</v>
      </c>
      <c r="Y49" s="17">
        <f>IF(MOD(A49,12)=0,W49*'1 - Input'!$B$23,0)</f>
        <v>0</v>
      </c>
      <c r="Z49" s="17">
        <f t="shared" si="13"/>
        <v>476562.76281947974</v>
      </c>
      <c r="AA49" s="17">
        <f>IF(MOD(A49,12)=0,X49*(1-'1 - Input'!$B$23),X49)</f>
        <v>486427.66553320625</v>
      </c>
      <c r="AB49" s="17">
        <f>IF('1 - Input'!$B$17=1,MIN(L49,D49)+T49,L49)</f>
        <v>2700</v>
      </c>
      <c r="AC49" s="17">
        <f t="shared" si="47"/>
        <v>16200</v>
      </c>
      <c r="AD49" s="17">
        <f t="shared" si="48"/>
        <v>5666.9911551337627</v>
      </c>
      <c r="AE49" s="17">
        <f t="shared" si="49"/>
        <v>0</v>
      </c>
      <c r="AF49" s="17">
        <f t="shared" si="50"/>
        <v>1.4631390974167329</v>
      </c>
      <c r="AG49" s="17">
        <f t="shared" si="51"/>
        <v>0</v>
      </c>
      <c r="AH49" s="17">
        <f t="shared" si="52"/>
        <v>0</v>
      </c>
      <c r="AI49" s="15">
        <f t="shared" si="14"/>
        <v>0</v>
      </c>
      <c r="AK49" s="14">
        <v>6</v>
      </c>
      <c r="AL49" s="15">
        <f t="shared" si="15"/>
        <v>1</v>
      </c>
      <c r="AM49" s="16">
        <f>(1+INDEX('1 - Input'!$B$34:$E$63,AL49,'1 - Input'!$B$16))^(1/12)-1</f>
        <v>4.1219243192651689E-3</v>
      </c>
      <c r="AN49" s="17">
        <f>'1 - Input'!$B$7*(1+'1 - Input'!$B$12)^(AL49-1)</f>
        <v>2700</v>
      </c>
      <c r="AO49" s="17">
        <f t="shared" si="53"/>
        <v>478227.93182192132</v>
      </c>
      <c r="AP49" s="17">
        <f t="shared" si="54"/>
        <v>486463.28256868228</v>
      </c>
      <c r="AQ49" s="17">
        <f t="shared" si="16"/>
        <v>480199.15116424998</v>
      </c>
      <c r="AR49" s="17">
        <f>IF(AQ49&gt;0,'1 - Input'!$B$8/12*AQ49,0)</f>
        <v>3601.4936337318745</v>
      </c>
      <c r="AS49" s="17">
        <f t="shared" si="17"/>
        <v>476597.65753051813</v>
      </c>
      <c r="AT49" s="17">
        <f t="shared" si="18"/>
        <v>0</v>
      </c>
      <c r="AU49" s="17">
        <f>'1 - Input'!$B$22*(AR49-AT49)</f>
        <v>936.3883447702874</v>
      </c>
      <c r="AV49" s="17">
        <f t="shared" si="19"/>
        <v>2665.1052889615871</v>
      </c>
      <c r="AW49" s="17">
        <f t="shared" si="20"/>
        <v>486463.28256868228</v>
      </c>
      <c r="AX49" s="17">
        <f>IF('1 - Input'!$B$17=1,MAX(0,AV49-AN49),0)</f>
        <v>0</v>
      </c>
      <c r="AY49" s="17">
        <f>IF('1 - Input'!$B$17=1,MAX(0,AN49-AV49),0)</f>
        <v>34.894711038412879</v>
      </c>
      <c r="AZ49" s="17">
        <f t="shared" si="21"/>
        <v>0</v>
      </c>
      <c r="BA49" s="17">
        <f>IF(AND(AY49&gt;0,AS49&gt;0),AY49/(1-'1 - Input'!$B$22*AZ49),0)</f>
        <v>34.894711038412879</v>
      </c>
      <c r="BB49" s="17">
        <f t="shared" si="22"/>
        <v>34.894711038412879</v>
      </c>
      <c r="BC49" s="17">
        <f>'1 - Input'!$B$22*AZ49*BB49</f>
        <v>0</v>
      </c>
      <c r="BD49" s="17">
        <f t="shared" si="23"/>
        <v>34.894711038412879</v>
      </c>
      <c r="BE49" s="17">
        <f t="shared" si="24"/>
        <v>0</v>
      </c>
      <c r="BF49" s="17">
        <f t="shared" si="25"/>
        <v>0.72232443756403353</v>
      </c>
      <c r="BG49" s="17">
        <f t="shared" si="26"/>
        <v>476562.76281947974</v>
      </c>
      <c r="BH49" s="17">
        <f t="shared" si="27"/>
        <v>486427.66553320625</v>
      </c>
      <c r="BI49" s="17">
        <f>IF(MOD(AK49,12)=0,BG49*'1 - Input'!$B$23,0)</f>
        <v>0</v>
      </c>
      <c r="BJ49" s="17">
        <f t="shared" si="28"/>
        <v>476562.76281947974</v>
      </c>
      <c r="BK49" s="17">
        <f>IF(MOD(AK49,12)=0,BH49*(1-'1 - Input'!$B$23),BH49)</f>
        <v>486427.66553320625</v>
      </c>
      <c r="BL49" s="17">
        <f>IF('1 - Input'!$B$17=1,MIN(AV49,AN49)+BD49,AV49)</f>
        <v>2700</v>
      </c>
      <c r="BM49" s="17">
        <f t="shared" si="55"/>
        <v>16200</v>
      </c>
      <c r="BN49" s="17">
        <f t="shared" si="56"/>
        <v>5666.9911551337627</v>
      </c>
      <c r="BO49" s="17">
        <f t="shared" si="57"/>
        <v>0</v>
      </c>
      <c r="BP49" s="17">
        <f t="shared" si="58"/>
        <v>1.4631390974167329</v>
      </c>
      <c r="BQ49" s="17">
        <f t="shared" si="59"/>
        <v>0</v>
      </c>
      <c r="BR49" s="17">
        <f t="shared" si="60"/>
        <v>0</v>
      </c>
      <c r="BS49" s="15">
        <f t="shared" si="29"/>
        <v>0</v>
      </c>
      <c r="BU49" s="14">
        <v>6</v>
      </c>
      <c r="BV49" s="15">
        <f t="shared" si="30"/>
        <v>1</v>
      </c>
      <c r="BW49" s="16">
        <f>(1+INDEX('1 - Input'!$B$34:$E$63,BV49,'1 - Input'!$B$16))^(1/12)-1</f>
        <v>4.1219243192651689E-3</v>
      </c>
      <c r="BX49" s="17">
        <f>'1 - Input'!$B$7*(1+'1 - Input'!$B$12)^(BV49-1)</f>
        <v>2700</v>
      </c>
      <c r="BY49" s="17">
        <f t="shared" si="61"/>
        <v>482997.8282933078</v>
      </c>
      <c r="BZ49" s="17">
        <f t="shared" si="62"/>
        <v>473000</v>
      </c>
      <c r="CA49" s="17">
        <f t="shared" si="31"/>
        <v>484988.70878790226</v>
      </c>
      <c r="CB49" s="17">
        <f>IF(CA49&gt;0,'1 - Input'!$B$8/12*CA49,0)</f>
        <v>3637.4153159092666</v>
      </c>
      <c r="CC49" s="17">
        <f t="shared" si="32"/>
        <v>481351.29347199301</v>
      </c>
      <c r="CD49" s="17">
        <f t="shared" si="33"/>
        <v>3637.4153159092666</v>
      </c>
      <c r="CE49" s="17">
        <f>'1 - Input'!$B$22*(CB49-CD49)</f>
        <v>0</v>
      </c>
      <c r="CF49" s="17">
        <f t="shared" si="34"/>
        <v>3637.4153159092666</v>
      </c>
      <c r="CG49" s="17">
        <f t="shared" si="35"/>
        <v>469362.58468409075</v>
      </c>
      <c r="CH49" s="17">
        <f>IF('1 - Input'!$B$17=1,MAX(0,CF49-BX49),0)</f>
        <v>937.41531590926661</v>
      </c>
      <c r="CI49" s="17">
        <f>IF('1 - Input'!$B$17=1,MAX(0,BX49-CF49),0)</f>
        <v>0</v>
      </c>
      <c r="CJ49" s="17">
        <f t="shared" si="36"/>
        <v>2.490636038687577E-2</v>
      </c>
      <c r="CK49" s="17">
        <f>IF(AND(CI49&gt;0,CC49&gt;0),CI49/(1-'1 - Input'!$B$22*CJ49),0)</f>
        <v>0</v>
      </c>
      <c r="CL49" s="17">
        <f t="shared" si="37"/>
        <v>0</v>
      </c>
      <c r="CM49" s="17">
        <f>'1 - Input'!$B$22*CJ49*CL49</f>
        <v>0</v>
      </c>
      <c r="CN49" s="17">
        <f t="shared" si="38"/>
        <v>0</v>
      </c>
      <c r="CO49" s="17">
        <f t="shared" si="39"/>
        <v>0</v>
      </c>
      <c r="CP49" s="17">
        <f t="shared" si="40"/>
        <v>0</v>
      </c>
      <c r="CQ49" s="17">
        <f t="shared" si="41"/>
        <v>482288.70878790226</v>
      </c>
      <c r="CR49" s="17">
        <f t="shared" si="42"/>
        <v>470300</v>
      </c>
      <c r="CS49" s="17">
        <f>IF(MOD(BU49,12)=0,CQ49*'1 - Input'!$B$23,0)</f>
        <v>0</v>
      </c>
      <c r="CT49" s="17">
        <f t="shared" si="43"/>
        <v>482288.70878790226</v>
      </c>
      <c r="CU49" s="17">
        <f>IF(MOD(BU49,12)=0,CR49*(1-'1 - Input'!$B$23),CR49)</f>
        <v>470300</v>
      </c>
      <c r="CV49" s="17">
        <f>IF('1 - Input'!$B$17=1,MIN(CF49,BX49)+CN49,CF49)</f>
        <v>2700</v>
      </c>
      <c r="CW49" s="17">
        <f t="shared" si="63"/>
        <v>16200</v>
      </c>
      <c r="CX49" s="17">
        <f t="shared" si="64"/>
        <v>0</v>
      </c>
      <c r="CY49" s="17">
        <f t="shared" si="65"/>
        <v>0</v>
      </c>
      <c r="CZ49" s="17">
        <f t="shared" si="66"/>
        <v>0</v>
      </c>
      <c r="DA49" s="17">
        <f t="shared" si="67"/>
        <v>0</v>
      </c>
      <c r="DB49" s="17">
        <f t="shared" si="68"/>
        <v>0</v>
      </c>
      <c r="DC49" s="15">
        <f t="shared" si="44"/>
        <v>0</v>
      </c>
    </row>
    <row r="50" spans="1:107">
      <c r="A50" s="14">
        <v>7</v>
      </c>
      <c r="B50" s="15">
        <f t="shared" si="0"/>
        <v>1</v>
      </c>
      <c r="C50" s="16">
        <f>(1+INDEX('1 - Input'!$B$34:$E$63,B50,'1 - Input'!$B$16))^(1/12)-1</f>
        <v>4.1219243192651689E-3</v>
      </c>
      <c r="D50" s="17">
        <f>'1 - Input'!$B$7*(1+'1 - Input'!$B$12)^(B50-1)</f>
        <v>2700</v>
      </c>
      <c r="E50" s="17">
        <f t="shared" si="45"/>
        <v>476562.76281947974</v>
      </c>
      <c r="F50" s="17">
        <f t="shared" si="46"/>
        <v>486427.66553320625</v>
      </c>
      <c r="G50" s="17">
        <f t="shared" si="1"/>
        <v>478527.11846120155</v>
      </c>
      <c r="H50" s="17">
        <f>IF(G50&gt;0,'1 - Input'!$B$8/12*G50,0)</f>
        <v>3588.9533884590114</v>
      </c>
      <c r="I50" s="17">
        <f t="shared" si="2"/>
        <v>474938.16507274256</v>
      </c>
      <c r="J50" s="17">
        <f t="shared" si="3"/>
        <v>0</v>
      </c>
      <c r="K50" s="17">
        <f>'1 - Input'!$B$22*(H50-J50)</f>
        <v>933.12788099934301</v>
      </c>
      <c r="L50" s="17">
        <f t="shared" si="4"/>
        <v>2655.8255074596682</v>
      </c>
      <c r="M50" s="17">
        <f t="shared" si="5"/>
        <v>486427.66553320625</v>
      </c>
      <c r="N50" s="17">
        <f>IF('1 - Input'!$B$17=1,MAX(0,L50-D50),0)</f>
        <v>0</v>
      </c>
      <c r="O50" s="17">
        <f>IF('1 - Input'!$B$17=1,MAX(0,D50-L50),0)</f>
        <v>44.174492540331812</v>
      </c>
      <c r="P50" s="17">
        <f t="shared" si="6"/>
        <v>0</v>
      </c>
      <c r="Q50" s="17">
        <f>IF(AND(O50&gt;0,I50&gt;0),O50/(1-'1 - Input'!$B$22*P50),0)</f>
        <v>44.174492540331812</v>
      </c>
      <c r="R50" s="17">
        <f t="shared" si="7"/>
        <v>44.174492540331812</v>
      </c>
      <c r="S50" s="17">
        <f>'1 - Input'!$B$22*P50*R50</f>
        <v>0</v>
      </c>
      <c r="T50" s="17">
        <f t="shared" si="8"/>
        <v>44.174492540331812</v>
      </c>
      <c r="U50" s="17">
        <f t="shared" si="9"/>
        <v>0</v>
      </c>
      <c r="V50" s="17">
        <f t="shared" si="10"/>
        <v>1.06865038379292</v>
      </c>
      <c r="W50" s="17">
        <f t="shared" si="11"/>
        <v>474893.99058020225</v>
      </c>
      <c r="X50" s="17">
        <f t="shared" si="12"/>
        <v>486382.42239028215</v>
      </c>
      <c r="Y50" s="17">
        <f>IF(MOD(A50,12)=0,W50*'1 - Input'!$B$23,0)</f>
        <v>0</v>
      </c>
      <c r="Z50" s="17">
        <f t="shared" si="13"/>
        <v>474893.99058020225</v>
      </c>
      <c r="AA50" s="17">
        <f>IF(MOD(A50,12)=0,X50*(1-'1 - Input'!$B$23),X50)</f>
        <v>486382.42239028215</v>
      </c>
      <c r="AB50" s="17">
        <f>IF('1 - Input'!$B$17=1,MIN(L50,D50)+T50,L50)</f>
        <v>2700</v>
      </c>
      <c r="AC50" s="17">
        <f t="shared" si="47"/>
        <v>18900</v>
      </c>
      <c r="AD50" s="17">
        <f t="shared" si="48"/>
        <v>6600.1190361331055</v>
      </c>
      <c r="AE50" s="17">
        <f t="shared" si="49"/>
        <v>0</v>
      </c>
      <c r="AF50" s="17">
        <f t="shared" si="50"/>
        <v>2.5317894812096529</v>
      </c>
      <c r="AG50" s="17">
        <f t="shared" si="51"/>
        <v>0</v>
      </c>
      <c r="AH50" s="17">
        <f t="shared" si="52"/>
        <v>0</v>
      </c>
      <c r="AI50" s="15">
        <f t="shared" si="14"/>
        <v>0</v>
      </c>
      <c r="AK50" s="14">
        <v>7</v>
      </c>
      <c r="AL50" s="15">
        <f t="shared" si="15"/>
        <v>1</v>
      </c>
      <c r="AM50" s="16">
        <f>(1+INDEX('1 - Input'!$B$34:$E$63,AL50,'1 - Input'!$B$16))^(1/12)-1</f>
        <v>4.1219243192651689E-3</v>
      </c>
      <c r="AN50" s="17">
        <f>'1 - Input'!$B$7*(1+'1 - Input'!$B$12)^(AL50-1)</f>
        <v>2700</v>
      </c>
      <c r="AO50" s="17">
        <f t="shared" si="53"/>
        <v>476562.76281947974</v>
      </c>
      <c r="AP50" s="17">
        <f t="shared" si="54"/>
        <v>486427.66553320625</v>
      </c>
      <c r="AQ50" s="17">
        <f t="shared" si="16"/>
        <v>478527.11846120155</v>
      </c>
      <c r="AR50" s="17">
        <f>IF(AQ50&gt;0,'1 - Input'!$B$8/12*AQ50,0)</f>
        <v>3588.9533884590114</v>
      </c>
      <c r="AS50" s="17">
        <f t="shared" si="17"/>
        <v>474938.16507274256</v>
      </c>
      <c r="AT50" s="17">
        <f t="shared" si="18"/>
        <v>0</v>
      </c>
      <c r="AU50" s="17">
        <f>'1 - Input'!$B$22*(AR50-AT50)</f>
        <v>933.12788099934301</v>
      </c>
      <c r="AV50" s="17">
        <f t="shared" si="19"/>
        <v>2655.8255074596682</v>
      </c>
      <c r="AW50" s="17">
        <f t="shared" si="20"/>
        <v>486427.66553320625</v>
      </c>
      <c r="AX50" s="17">
        <f>IF('1 - Input'!$B$17=1,MAX(0,AV50-AN50),0)</f>
        <v>0</v>
      </c>
      <c r="AY50" s="17">
        <f>IF('1 - Input'!$B$17=1,MAX(0,AN50-AV50),0)</f>
        <v>44.174492540331812</v>
      </c>
      <c r="AZ50" s="17">
        <f t="shared" si="21"/>
        <v>0</v>
      </c>
      <c r="BA50" s="17">
        <f>IF(AND(AY50&gt;0,AS50&gt;0),AY50/(1-'1 - Input'!$B$22*AZ50),0)</f>
        <v>44.174492540331812</v>
      </c>
      <c r="BB50" s="17">
        <f t="shared" si="22"/>
        <v>44.174492540331812</v>
      </c>
      <c r="BC50" s="17">
        <f>'1 - Input'!$B$22*AZ50*BB50</f>
        <v>0</v>
      </c>
      <c r="BD50" s="17">
        <f t="shared" si="23"/>
        <v>44.174492540331812</v>
      </c>
      <c r="BE50" s="17">
        <f t="shared" si="24"/>
        <v>0</v>
      </c>
      <c r="BF50" s="17">
        <f t="shared" si="25"/>
        <v>1.06865038379292</v>
      </c>
      <c r="BG50" s="17">
        <f t="shared" si="26"/>
        <v>474893.99058020225</v>
      </c>
      <c r="BH50" s="17">
        <f t="shared" si="27"/>
        <v>486382.42239028215</v>
      </c>
      <c r="BI50" s="17">
        <f>IF(MOD(AK50,12)=0,BG50*'1 - Input'!$B$23,0)</f>
        <v>0</v>
      </c>
      <c r="BJ50" s="17">
        <f t="shared" si="28"/>
        <v>474893.99058020225</v>
      </c>
      <c r="BK50" s="17">
        <f>IF(MOD(AK50,12)=0,BH50*(1-'1 - Input'!$B$23),BH50)</f>
        <v>486382.42239028215</v>
      </c>
      <c r="BL50" s="17">
        <f>IF('1 - Input'!$B$17=1,MIN(AV50,AN50)+BD50,AV50)</f>
        <v>2700</v>
      </c>
      <c r="BM50" s="17">
        <f t="shared" si="55"/>
        <v>18900</v>
      </c>
      <c r="BN50" s="17">
        <f t="shared" si="56"/>
        <v>6600.1190361331055</v>
      </c>
      <c r="BO50" s="17">
        <f t="shared" si="57"/>
        <v>0</v>
      </c>
      <c r="BP50" s="17">
        <f t="shared" si="58"/>
        <v>2.5317894812096529</v>
      </c>
      <c r="BQ50" s="17">
        <f t="shared" si="59"/>
        <v>0</v>
      </c>
      <c r="BR50" s="17">
        <f t="shared" si="60"/>
        <v>0</v>
      </c>
      <c r="BS50" s="15">
        <f t="shared" si="29"/>
        <v>0</v>
      </c>
      <c r="BU50" s="14">
        <v>7</v>
      </c>
      <c r="BV50" s="15">
        <f t="shared" si="30"/>
        <v>1</v>
      </c>
      <c r="BW50" s="16">
        <f>(1+INDEX('1 - Input'!$B$34:$E$63,BV50,'1 - Input'!$B$16))^(1/12)-1</f>
        <v>4.1219243192651689E-3</v>
      </c>
      <c r="BX50" s="17">
        <f>'1 - Input'!$B$7*(1+'1 - Input'!$B$12)^(BV50-1)</f>
        <v>2700</v>
      </c>
      <c r="BY50" s="17">
        <f t="shared" si="61"/>
        <v>482288.70878790226</v>
      </c>
      <c r="BZ50" s="17">
        <f t="shared" si="62"/>
        <v>470300</v>
      </c>
      <c r="CA50" s="17">
        <f t="shared" si="31"/>
        <v>484276.66634556209</v>
      </c>
      <c r="CB50" s="17">
        <f>IF(CA50&gt;0,'1 - Input'!$B$8/12*CA50,0)</f>
        <v>3632.0749975917156</v>
      </c>
      <c r="CC50" s="17">
        <f t="shared" si="32"/>
        <v>480644.59134797036</v>
      </c>
      <c r="CD50" s="17">
        <f t="shared" si="33"/>
        <v>3632.0749975917156</v>
      </c>
      <c r="CE50" s="17">
        <f>'1 - Input'!$B$22*(CB50-CD50)</f>
        <v>0</v>
      </c>
      <c r="CF50" s="17">
        <f t="shared" si="34"/>
        <v>3632.0749975917156</v>
      </c>
      <c r="CG50" s="17">
        <f t="shared" si="35"/>
        <v>466667.92500240827</v>
      </c>
      <c r="CH50" s="17">
        <f>IF('1 - Input'!$B$17=1,MAX(0,CF50-BX50),0)</f>
        <v>932.0749975917156</v>
      </c>
      <c r="CI50" s="17">
        <f>IF('1 - Input'!$B$17=1,MAX(0,BX50-CF50),0)</f>
        <v>0</v>
      </c>
      <c r="CJ50" s="17">
        <f t="shared" si="36"/>
        <v>2.9079004730635738E-2</v>
      </c>
      <c r="CK50" s="17">
        <f>IF(AND(CI50&gt;0,CC50&gt;0),CI50/(1-'1 - Input'!$B$22*CJ50),0)</f>
        <v>0</v>
      </c>
      <c r="CL50" s="17">
        <f t="shared" si="37"/>
        <v>0</v>
      </c>
      <c r="CM50" s="17">
        <f>'1 - Input'!$B$22*CJ50*CL50</f>
        <v>0</v>
      </c>
      <c r="CN50" s="17">
        <f t="shared" si="38"/>
        <v>0</v>
      </c>
      <c r="CO50" s="17">
        <f t="shared" si="39"/>
        <v>0</v>
      </c>
      <c r="CP50" s="17">
        <f t="shared" si="40"/>
        <v>0</v>
      </c>
      <c r="CQ50" s="17">
        <f t="shared" si="41"/>
        <v>481576.66634556209</v>
      </c>
      <c r="CR50" s="17">
        <f t="shared" si="42"/>
        <v>467600</v>
      </c>
      <c r="CS50" s="17">
        <f>IF(MOD(BU50,12)=0,CQ50*'1 - Input'!$B$23,0)</f>
        <v>0</v>
      </c>
      <c r="CT50" s="17">
        <f t="shared" si="43"/>
        <v>481576.66634556209</v>
      </c>
      <c r="CU50" s="17">
        <f>IF(MOD(BU50,12)=0,CR50*(1-'1 - Input'!$B$23),CR50)</f>
        <v>467600</v>
      </c>
      <c r="CV50" s="17">
        <f>IF('1 - Input'!$B$17=1,MIN(CF50,BX50)+CN50,CF50)</f>
        <v>2700</v>
      </c>
      <c r="CW50" s="17">
        <f t="shared" si="63"/>
        <v>18900</v>
      </c>
      <c r="CX50" s="17">
        <f t="shared" si="64"/>
        <v>0</v>
      </c>
      <c r="CY50" s="17">
        <f t="shared" si="65"/>
        <v>0</v>
      </c>
      <c r="CZ50" s="17">
        <f t="shared" si="66"/>
        <v>0</v>
      </c>
      <c r="DA50" s="17">
        <f t="shared" si="67"/>
        <v>0</v>
      </c>
      <c r="DB50" s="17">
        <f t="shared" si="68"/>
        <v>0</v>
      </c>
      <c r="DC50" s="15">
        <f t="shared" si="44"/>
        <v>0</v>
      </c>
    </row>
    <row r="51" spans="1:107">
      <c r="A51" s="14">
        <v>8</v>
      </c>
      <c r="B51" s="15">
        <f t="shared" si="0"/>
        <v>1</v>
      </c>
      <c r="C51" s="16">
        <f>(1+INDEX('1 - Input'!$B$34:$E$63,B51,'1 - Input'!$B$16))^(1/12)-1</f>
        <v>4.1219243192651689E-3</v>
      </c>
      <c r="D51" s="17">
        <f>'1 - Input'!$B$7*(1+'1 - Input'!$B$12)^(B51-1)</f>
        <v>2700</v>
      </c>
      <c r="E51" s="17">
        <f t="shared" si="45"/>
        <v>474893.99058020225</v>
      </c>
      <c r="F51" s="17">
        <f t="shared" si="46"/>
        <v>486382.42239028215</v>
      </c>
      <c r="G51" s="17">
        <f t="shared" si="1"/>
        <v>476851.46766904765</v>
      </c>
      <c r="H51" s="17">
        <f>IF(G51&gt;0,'1 - Input'!$B$8/12*G51,0)</f>
        <v>3576.3860075178573</v>
      </c>
      <c r="I51" s="17">
        <f t="shared" si="2"/>
        <v>473275.08166152978</v>
      </c>
      <c r="J51" s="17">
        <f t="shared" si="3"/>
        <v>0</v>
      </c>
      <c r="K51" s="17">
        <f>'1 - Input'!$B$22*(H51-J51)</f>
        <v>929.86036195464294</v>
      </c>
      <c r="L51" s="17">
        <f t="shared" si="4"/>
        <v>2646.5256455632143</v>
      </c>
      <c r="M51" s="17">
        <f t="shared" si="5"/>
        <v>486382.42239028215</v>
      </c>
      <c r="N51" s="17">
        <f>IF('1 - Input'!$B$17=1,MAX(0,L51-D51),0)</f>
        <v>0</v>
      </c>
      <c r="O51" s="17">
        <f>IF('1 - Input'!$B$17=1,MAX(0,D51-L51),0)</f>
        <v>53.474354436785688</v>
      </c>
      <c r="P51" s="17">
        <f t="shared" si="6"/>
        <v>0</v>
      </c>
      <c r="Q51" s="17">
        <f>IF(AND(O51&gt;0,I51&gt;0),O51/(1-'1 - Input'!$B$22*P51),0)</f>
        <v>53.474354436785688</v>
      </c>
      <c r="R51" s="17">
        <f t="shared" si="7"/>
        <v>53.474354436785688</v>
      </c>
      <c r="S51" s="17">
        <f>'1 - Input'!$B$22*P51*R51</f>
        <v>0</v>
      </c>
      <c r="T51" s="17">
        <f t="shared" si="8"/>
        <v>53.474354436785688</v>
      </c>
      <c r="U51" s="17">
        <f t="shared" si="9"/>
        <v>0</v>
      </c>
      <c r="V51" s="17">
        <f t="shared" si="10"/>
        <v>1.4809708159414223</v>
      </c>
      <c r="W51" s="17">
        <f t="shared" si="11"/>
        <v>473221.60730709299</v>
      </c>
      <c r="X51" s="17">
        <f t="shared" si="12"/>
        <v>486327.46706502943</v>
      </c>
      <c r="Y51" s="17">
        <f>IF(MOD(A51,12)=0,W51*'1 - Input'!$B$23,0)</f>
        <v>0</v>
      </c>
      <c r="Z51" s="17">
        <f t="shared" si="13"/>
        <v>473221.60730709299</v>
      </c>
      <c r="AA51" s="17">
        <f>IF(MOD(A51,12)=0,X51*(1-'1 - Input'!$B$23),X51)</f>
        <v>486327.46706502943</v>
      </c>
      <c r="AB51" s="17">
        <f>IF('1 - Input'!$B$17=1,MIN(L51,D51)+T51,L51)</f>
        <v>2700</v>
      </c>
      <c r="AC51" s="17">
        <f t="shared" si="47"/>
        <v>21600</v>
      </c>
      <c r="AD51" s="17">
        <f t="shared" si="48"/>
        <v>7529.9793980877485</v>
      </c>
      <c r="AE51" s="17">
        <f t="shared" si="49"/>
        <v>0</v>
      </c>
      <c r="AF51" s="17">
        <f t="shared" si="50"/>
        <v>4.0127602971510754</v>
      </c>
      <c r="AG51" s="17">
        <f t="shared" si="51"/>
        <v>0</v>
      </c>
      <c r="AH51" s="17">
        <f t="shared" si="52"/>
        <v>0</v>
      </c>
      <c r="AI51" s="15">
        <f t="shared" si="14"/>
        <v>0</v>
      </c>
      <c r="AK51" s="14">
        <v>8</v>
      </c>
      <c r="AL51" s="15">
        <f t="shared" si="15"/>
        <v>1</v>
      </c>
      <c r="AM51" s="16">
        <f>(1+INDEX('1 - Input'!$B$34:$E$63,AL51,'1 - Input'!$B$16))^(1/12)-1</f>
        <v>4.1219243192651689E-3</v>
      </c>
      <c r="AN51" s="17">
        <f>'1 - Input'!$B$7*(1+'1 - Input'!$B$12)^(AL51-1)</f>
        <v>2700</v>
      </c>
      <c r="AO51" s="17">
        <f t="shared" si="53"/>
        <v>474893.99058020225</v>
      </c>
      <c r="AP51" s="17">
        <f t="shared" si="54"/>
        <v>486382.42239028215</v>
      </c>
      <c r="AQ51" s="17">
        <f t="shared" si="16"/>
        <v>476851.46766904765</v>
      </c>
      <c r="AR51" s="17">
        <f>IF(AQ51&gt;0,'1 - Input'!$B$8/12*AQ51,0)</f>
        <v>3576.3860075178573</v>
      </c>
      <c r="AS51" s="17">
        <f t="shared" si="17"/>
        <v>473275.08166152978</v>
      </c>
      <c r="AT51" s="17">
        <f t="shared" si="18"/>
        <v>0</v>
      </c>
      <c r="AU51" s="17">
        <f>'1 - Input'!$B$22*(AR51-AT51)</f>
        <v>929.86036195464294</v>
      </c>
      <c r="AV51" s="17">
        <f t="shared" si="19"/>
        <v>2646.5256455632143</v>
      </c>
      <c r="AW51" s="17">
        <f t="shared" si="20"/>
        <v>486382.42239028215</v>
      </c>
      <c r="AX51" s="17">
        <f>IF('1 - Input'!$B$17=1,MAX(0,AV51-AN51),0)</f>
        <v>0</v>
      </c>
      <c r="AY51" s="17">
        <f>IF('1 - Input'!$B$17=1,MAX(0,AN51-AV51),0)</f>
        <v>53.474354436785688</v>
      </c>
      <c r="AZ51" s="17">
        <f t="shared" si="21"/>
        <v>0</v>
      </c>
      <c r="BA51" s="17">
        <f>IF(AND(AY51&gt;0,AS51&gt;0),AY51/(1-'1 - Input'!$B$22*AZ51),0)</f>
        <v>53.474354436785688</v>
      </c>
      <c r="BB51" s="17">
        <f t="shared" si="22"/>
        <v>53.474354436785688</v>
      </c>
      <c r="BC51" s="17">
        <f>'1 - Input'!$B$22*AZ51*BB51</f>
        <v>0</v>
      </c>
      <c r="BD51" s="17">
        <f t="shared" si="23"/>
        <v>53.474354436785688</v>
      </c>
      <c r="BE51" s="17">
        <f t="shared" si="24"/>
        <v>0</v>
      </c>
      <c r="BF51" s="17">
        <f t="shared" si="25"/>
        <v>1.4809708159414223</v>
      </c>
      <c r="BG51" s="17">
        <f t="shared" si="26"/>
        <v>473221.60730709299</v>
      </c>
      <c r="BH51" s="17">
        <f t="shared" si="27"/>
        <v>486327.46706502943</v>
      </c>
      <c r="BI51" s="17">
        <f>IF(MOD(AK51,12)=0,BG51*'1 - Input'!$B$23,0)</f>
        <v>0</v>
      </c>
      <c r="BJ51" s="17">
        <f t="shared" si="28"/>
        <v>473221.60730709299</v>
      </c>
      <c r="BK51" s="17">
        <f>IF(MOD(AK51,12)=0,BH51*(1-'1 - Input'!$B$23),BH51)</f>
        <v>486327.46706502943</v>
      </c>
      <c r="BL51" s="17">
        <f>IF('1 - Input'!$B$17=1,MIN(AV51,AN51)+BD51,AV51)</f>
        <v>2700</v>
      </c>
      <c r="BM51" s="17">
        <f t="shared" si="55"/>
        <v>21600</v>
      </c>
      <c r="BN51" s="17">
        <f t="shared" si="56"/>
        <v>7529.9793980877485</v>
      </c>
      <c r="BO51" s="17">
        <f t="shared" si="57"/>
        <v>0</v>
      </c>
      <c r="BP51" s="17">
        <f t="shared" si="58"/>
        <v>4.0127602971510754</v>
      </c>
      <c r="BQ51" s="17">
        <f t="shared" si="59"/>
        <v>0</v>
      </c>
      <c r="BR51" s="17">
        <f t="shared" si="60"/>
        <v>0</v>
      </c>
      <c r="BS51" s="15">
        <f t="shared" si="29"/>
        <v>0</v>
      </c>
      <c r="BU51" s="14">
        <v>8</v>
      </c>
      <c r="BV51" s="15">
        <f t="shared" si="30"/>
        <v>1</v>
      </c>
      <c r="BW51" s="16">
        <f>(1+INDEX('1 - Input'!$B$34:$E$63,BV51,'1 - Input'!$B$16))^(1/12)-1</f>
        <v>4.1219243192651689E-3</v>
      </c>
      <c r="BX51" s="17">
        <f>'1 - Input'!$B$7*(1+'1 - Input'!$B$12)^(BV51-1)</f>
        <v>2700</v>
      </c>
      <c r="BY51" s="17">
        <f t="shared" si="61"/>
        <v>481576.66634556209</v>
      </c>
      <c r="BZ51" s="17">
        <f t="shared" si="62"/>
        <v>467600</v>
      </c>
      <c r="CA51" s="17">
        <f t="shared" si="31"/>
        <v>483561.68891816249</v>
      </c>
      <c r="CB51" s="17">
        <f>IF(CA51&gt;0,'1 - Input'!$B$8/12*CA51,0)</f>
        <v>3626.7126668862184</v>
      </c>
      <c r="CC51" s="17">
        <f t="shared" si="32"/>
        <v>479934.97625127627</v>
      </c>
      <c r="CD51" s="17">
        <f t="shared" si="33"/>
        <v>3626.7126668862184</v>
      </c>
      <c r="CE51" s="17">
        <f>'1 - Input'!$B$22*(CB51-CD51)</f>
        <v>0</v>
      </c>
      <c r="CF51" s="17">
        <f t="shared" si="34"/>
        <v>3626.7126668862184</v>
      </c>
      <c r="CG51" s="17">
        <f t="shared" si="35"/>
        <v>463973.28733311378</v>
      </c>
      <c r="CH51" s="17">
        <f>IF('1 - Input'!$B$17=1,MAX(0,CF51-BX51),0)</f>
        <v>926.71266688621836</v>
      </c>
      <c r="CI51" s="17">
        <f>IF('1 - Input'!$B$17=1,MAX(0,BX51-CF51),0)</f>
        <v>0</v>
      </c>
      <c r="CJ51" s="17">
        <f t="shared" si="36"/>
        <v>3.3258023915734625E-2</v>
      </c>
      <c r="CK51" s="17">
        <f>IF(AND(CI51&gt;0,CC51&gt;0),CI51/(1-'1 - Input'!$B$22*CJ51),0)</f>
        <v>0</v>
      </c>
      <c r="CL51" s="17">
        <f t="shared" si="37"/>
        <v>0</v>
      </c>
      <c r="CM51" s="17">
        <f>'1 - Input'!$B$22*CJ51*CL51</f>
        <v>0</v>
      </c>
      <c r="CN51" s="17">
        <f t="shared" si="38"/>
        <v>0</v>
      </c>
      <c r="CO51" s="17">
        <f t="shared" si="39"/>
        <v>0</v>
      </c>
      <c r="CP51" s="17">
        <f t="shared" si="40"/>
        <v>0</v>
      </c>
      <c r="CQ51" s="17">
        <f t="shared" si="41"/>
        <v>480861.68891816249</v>
      </c>
      <c r="CR51" s="17">
        <f t="shared" si="42"/>
        <v>464900</v>
      </c>
      <c r="CS51" s="17">
        <f>IF(MOD(BU51,12)=0,CQ51*'1 - Input'!$B$23,0)</f>
        <v>0</v>
      </c>
      <c r="CT51" s="17">
        <f t="shared" si="43"/>
        <v>480861.68891816249</v>
      </c>
      <c r="CU51" s="17">
        <f>IF(MOD(BU51,12)=0,CR51*(1-'1 - Input'!$B$23),CR51)</f>
        <v>464900</v>
      </c>
      <c r="CV51" s="17">
        <f>IF('1 - Input'!$B$17=1,MIN(CF51,BX51)+CN51,CF51)</f>
        <v>2700</v>
      </c>
      <c r="CW51" s="17">
        <f t="shared" si="63"/>
        <v>21600</v>
      </c>
      <c r="CX51" s="17">
        <f t="shared" si="64"/>
        <v>0</v>
      </c>
      <c r="CY51" s="17">
        <f t="shared" si="65"/>
        <v>0</v>
      </c>
      <c r="CZ51" s="17">
        <f t="shared" si="66"/>
        <v>0</v>
      </c>
      <c r="DA51" s="17">
        <f t="shared" si="67"/>
        <v>0</v>
      </c>
      <c r="DB51" s="17">
        <f t="shared" si="68"/>
        <v>0</v>
      </c>
      <c r="DC51" s="15">
        <f t="shared" si="44"/>
        <v>0</v>
      </c>
    </row>
    <row r="52" spans="1:107">
      <c r="A52" s="14">
        <v>9</v>
      </c>
      <c r="B52" s="15">
        <f t="shared" si="0"/>
        <v>1</v>
      </c>
      <c r="C52" s="16">
        <f>(1+INDEX('1 - Input'!$B$34:$E$63,B52,'1 - Input'!$B$16))^(1/12)-1</f>
        <v>4.1219243192651689E-3</v>
      </c>
      <c r="D52" s="17">
        <f>'1 - Input'!$B$7*(1+'1 - Input'!$B$12)^(B52-1)</f>
        <v>2700</v>
      </c>
      <c r="E52" s="17">
        <f t="shared" si="45"/>
        <v>473221.60730709299</v>
      </c>
      <c r="F52" s="17">
        <f t="shared" si="46"/>
        <v>486327.46706502943</v>
      </c>
      <c r="G52" s="17">
        <f t="shared" si="1"/>
        <v>475172.19095865387</v>
      </c>
      <c r="H52" s="17">
        <f>IF(G52&gt;0,'1 - Input'!$B$8/12*G52,0)</f>
        <v>3563.7914321899038</v>
      </c>
      <c r="I52" s="17">
        <f t="shared" si="2"/>
        <v>471608.39952646394</v>
      </c>
      <c r="J52" s="17">
        <f t="shared" si="3"/>
        <v>0</v>
      </c>
      <c r="K52" s="17">
        <f>'1 - Input'!$B$22*(H52-J52)</f>
        <v>926.58577236937504</v>
      </c>
      <c r="L52" s="17">
        <f t="shared" si="4"/>
        <v>2637.205659820529</v>
      </c>
      <c r="M52" s="17">
        <f t="shared" si="5"/>
        <v>486327.46706502943</v>
      </c>
      <c r="N52" s="17">
        <f>IF('1 - Input'!$B$17=1,MAX(0,L52-D52),0)</f>
        <v>0</v>
      </c>
      <c r="O52" s="17">
        <f>IF('1 - Input'!$B$17=1,MAX(0,D52-L52),0)</f>
        <v>62.794340179470964</v>
      </c>
      <c r="P52" s="17">
        <f t="shared" si="6"/>
        <v>0</v>
      </c>
      <c r="Q52" s="17">
        <f>IF(AND(O52&gt;0,I52&gt;0),O52/(1-'1 - Input'!$B$22*P52),0)</f>
        <v>62.794340179470964</v>
      </c>
      <c r="R52" s="17">
        <f t="shared" si="7"/>
        <v>62.794340179470964</v>
      </c>
      <c r="S52" s="17">
        <f>'1 - Input'!$B$22*P52*R52</f>
        <v>0</v>
      </c>
      <c r="T52" s="17">
        <f t="shared" si="8"/>
        <v>62.794340179470964</v>
      </c>
      <c r="U52" s="17">
        <f t="shared" si="9"/>
        <v>0</v>
      </c>
      <c r="V52" s="17">
        <f t="shared" si="10"/>
        <v>1.959833911078217</v>
      </c>
      <c r="W52" s="17">
        <f t="shared" si="11"/>
        <v>471545.60518628446</v>
      </c>
      <c r="X52" s="17">
        <f t="shared" si="12"/>
        <v>486262.71289093886</v>
      </c>
      <c r="Y52" s="17">
        <f>IF(MOD(A52,12)=0,W52*'1 - Input'!$B$23,0)</f>
        <v>0</v>
      </c>
      <c r="Z52" s="17">
        <f t="shared" si="13"/>
        <v>471545.60518628446</v>
      </c>
      <c r="AA52" s="17">
        <f>IF(MOD(A52,12)=0,X52*(1-'1 - Input'!$B$23),X52)</f>
        <v>486262.71289093886</v>
      </c>
      <c r="AB52" s="17">
        <f>IF('1 - Input'!$B$17=1,MIN(L52,D52)+T52,L52)</f>
        <v>2700</v>
      </c>
      <c r="AC52" s="17">
        <f t="shared" si="47"/>
        <v>24300</v>
      </c>
      <c r="AD52" s="17">
        <f t="shared" si="48"/>
        <v>8456.5651704571228</v>
      </c>
      <c r="AE52" s="17">
        <f t="shared" si="49"/>
        <v>0</v>
      </c>
      <c r="AF52" s="17">
        <f t="shared" si="50"/>
        <v>5.9725942082292924</v>
      </c>
      <c r="AG52" s="17">
        <f t="shared" si="51"/>
        <v>0</v>
      </c>
      <c r="AH52" s="17">
        <f t="shared" si="52"/>
        <v>0</v>
      </c>
      <c r="AI52" s="15">
        <f t="shared" si="14"/>
        <v>0</v>
      </c>
      <c r="AK52" s="14">
        <v>9</v>
      </c>
      <c r="AL52" s="15">
        <f t="shared" si="15"/>
        <v>1</v>
      </c>
      <c r="AM52" s="16">
        <f>(1+INDEX('1 - Input'!$B$34:$E$63,AL52,'1 - Input'!$B$16))^(1/12)-1</f>
        <v>4.1219243192651689E-3</v>
      </c>
      <c r="AN52" s="17">
        <f>'1 - Input'!$B$7*(1+'1 - Input'!$B$12)^(AL52-1)</f>
        <v>2700</v>
      </c>
      <c r="AO52" s="17">
        <f t="shared" si="53"/>
        <v>473221.60730709299</v>
      </c>
      <c r="AP52" s="17">
        <f t="shared" si="54"/>
        <v>486327.46706502943</v>
      </c>
      <c r="AQ52" s="17">
        <f t="shared" si="16"/>
        <v>475172.19095865387</v>
      </c>
      <c r="AR52" s="17">
        <f>IF(AQ52&gt;0,'1 - Input'!$B$8/12*AQ52,0)</f>
        <v>3563.7914321899038</v>
      </c>
      <c r="AS52" s="17">
        <f t="shared" si="17"/>
        <v>471608.39952646394</v>
      </c>
      <c r="AT52" s="17">
        <f t="shared" si="18"/>
        <v>0</v>
      </c>
      <c r="AU52" s="17">
        <f>'1 - Input'!$B$22*(AR52-AT52)</f>
        <v>926.58577236937504</v>
      </c>
      <c r="AV52" s="17">
        <f t="shared" si="19"/>
        <v>2637.205659820529</v>
      </c>
      <c r="AW52" s="17">
        <f t="shared" si="20"/>
        <v>486327.46706502943</v>
      </c>
      <c r="AX52" s="17">
        <f>IF('1 - Input'!$B$17=1,MAX(0,AV52-AN52),0)</f>
        <v>0</v>
      </c>
      <c r="AY52" s="17">
        <f>IF('1 - Input'!$B$17=1,MAX(0,AN52-AV52),0)</f>
        <v>62.794340179470964</v>
      </c>
      <c r="AZ52" s="17">
        <f t="shared" si="21"/>
        <v>0</v>
      </c>
      <c r="BA52" s="17">
        <f>IF(AND(AY52&gt;0,AS52&gt;0),AY52/(1-'1 - Input'!$B$22*AZ52),0)</f>
        <v>62.794340179470964</v>
      </c>
      <c r="BB52" s="17">
        <f t="shared" si="22"/>
        <v>62.794340179470964</v>
      </c>
      <c r="BC52" s="17">
        <f>'1 - Input'!$B$22*AZ52*BB52</f>
        <v>0</v>
      </c>
      <c r="BD52" s="17">
        <f t="shared" si="23"/>
        <v>62.794340179470964</v>
      </c>
      <c r="BE52" s="17">
        <f t="shared" si="24"/>
        <v>0</v>
      </c>
      <c r="BF52" s="17">
        <f t="shared" si="25"/>
        <v>1.959833911078217</v>
      </c>
      <c r="BG52" s="17">
        <f t="shared" si="26"/>
        <v>471545.60518628446</v>
      </c>
      <c r="BH52" s="17">
        <f t="shared" si="27"/>
        <v>486262.71289093886</v>
      </c>
      <c r="BI52" s="17">
        <f>IF(MOD(AK52,12)=0,BG52*'1 - Input'!$B$23,0)</f>
        <v>0</v>
      </c>
      <c r="BJ52" s="17">
        <f t="shared" si="28"/>
        <v>471545.60518628446</v>
      </c>
      <c r="BK52" s="17">
        <f>IF(MOD(AK52,12)=0,BH52*(1-'1 - Input'!$B$23),BH52)</f>
        <v>486262.71289093886</v>
      </c>
      <c r="BL52" s="17">
        <f>IF('1 - Input'!$B$17=1,MIN(AV52,AN52)+BD52,AV52)</f>
        <v>2700</v>
      </c>
      <c r="BM52" s="17">
        <f t="shared" si="55"/>
        <v>24300</v>
      </c>
      <c r="BN52" s="17">
        <f t="shared" si="56"/>
        <v>8456.5651704571228</v>
      </c>
      <c r="BO52" s="17">
        <f t="shared" si="57"/>
        <v>0</v>
      </c>
      <c r="BP52" s="17">
        <f t="shared" si="58"/>
        <v>5.9725942082292924</v>
      </c>
      <c r="BQ52" s="17">
        <f t="shared" si="59"/>
        <v>0</v>
      </c>
      <c r="BR52" s="17">
        <f t="shared" si="60"/>
        <v>0</v>
      </c>
      <c r="BS52" s="15">
        <f t="shared" si="29"/>
        <v>0</v>
      </c>
      <c r="BU52" s="14">
        <v>9</v>
      </c>
      <c r="BV52" s="15">
        <f t="shared" si="30"/>
        <v>1</v>
      </c>
      <c r="BW52" s="16">
        <f>(1+INDEX('1 - Input'!$B$34:$E$63,BV52,'1 - Input'!$B$16))^(1/12)-1</f>
        <v>4.1219243192651689E-3</v>
      </c>
      <c r="BX52" s="17">
        <f>'1 - Input'!$B$7*(1+'1 - Input'!$B$12)^(BV52-1)</f>
        <v>2700</v>
      </c>
      <c r="BY52" s="17">
        <f t="shared" si="61"/>
        <v>480861.68891816249</v>
      </c>
      <c r="BZ52" s="17">
        <f t="shared" si="62"/>
        <v>464900</v>
      </c>
      <c r="CA52" s="17">
        <f t="shared" si="31"/>
        <v>482843.76440791716</v>
      </c>
      <c r="CB52" s="17">
        <f>IF(CA52&gt;0,'1 - Input'!$B$8/12*CA52,0)</f>
        <v>3621.3282330593784</v>
      </c>
      <c r="CC52" s="17">
        <f t="shared" si="32"/>
        <v>479222.43617485778</v>
      </c>
      <c r="CD52" s="17">
        <f t="shared" si="33"/>
        <v>3621.3282330593784</v>
      </c>
      <c r="CE52" s="17">
        <f>'1 - Input'!$B$22*(CB52-CD52)</f>
        <v>0</v>
      </c>
      <c r="CF52" s="17">
        <f t="shared" si="34"/>
        <v>3621.3282330593784</v>
      </c>
      <c r="CG52" s="17">
        <f t="shared" si="35"/>
        <v>461278.67176694062</v>
      </c>
      <c r="CH52" s="17">
        <f>IF('1 - Input'!$B$17=1,MAX(0,CF52-BX52),0)</f>
        <v>921.32823305937836</v>
      </c>
      <c r="CI52" s="17">
        <f>IF('1 - Input'!$B$17=1,MAX(0,BX52-CF52),0)</f>
        <v>0</v>
      </c>
      <c r="CJ52" s="17">
        <f t="shared" si="36"/>
        <v>3.7443498161613298E-2</v>
      </c>
      <c r="CK52" s="17">
        <f>IF(AND(CI52&gt;0,CC52&gt;0),CI52/(1-'1 - Input'!$B$22*CJ52),0)</f>
        <v>0</v>
      </c>
      <c r="CL52" s="17">
        <f t="shared" si="37"/>
        <v>0</v>
      </c>
      <c r="CM52" s="17">
        <f>'1 - Input'!$B$22*CJ52*CL52</f>
        <v>0</v>
      </c>
      <c r="CN52" s="17">
        <f t="shared" si="38"/>
        <v>0</v>
      </c>
      <c r="CO52" s="17">
        <f t="shared" si="39"/>
        <v>0</v>
      </c>
      <c r="CP52" s="17">
        <f t="shared" si="40"/>
        <v>0</v>
      </c>
      <c r="CQ52" s="17">
        <f t="shared" si="41"/>
        <v>480143.76440791716</v>
      </c>
      <c r="CR52" s="17">
        <f t="shared" si="42"/>
        <v>462200</v>
      </c>
      <c r="CS52" s="17">
        <f>IF(MOD(BU52,12)=0,CQ52*'1 - Input'!$B$23,0)</f>
        <v>0</v>
      </c>
      <c r="CT52" s="17">
        <f t="shared" si="43"/>
        <v>480143.76440791716</v>
      </c>
      <c r="CU52" s="17">
        <f>IF(MOD(BU52,12)=0,CR52*(1-'1 - Input'!$B$23),CR52)</f>
        <v>462200</v>
      </c>
      <c r="CV52" s="17">
        <f>IF('1 - Input'!$B$17=1,MIN(CF52,BX52)+CN52,CF52)</f>
        <v>2700</v>
      </c>
      <c r="CW52" s="17">
        <f t="shared" si="63"/>
        <v>24300</v>
      </c>
      <c r="CX52" s="17">
        <f t="shared" si="64"/>
        <v>0</v>
      </c>
      <c r="CY52" s="17">
        <f t="shared" si="65"/>
        <v>0</v>
      </c>
      <c r="CZ52" s="17">
        <f t="shared" si="66"/>
        <v>0</v>
      </c>
      <c r="DA52" s="17">
        <f t="shared" si="67"/>
        <v>0</v>
      </c>
      <c r="DB52" s="17">
        <f t="shared" si="68"/>
        <v>0</v>
      </c>
      <c r="DC52" s="15">
        <f t="shared" si="44"/>
        <v>0</v>
      </c>
    </row>
    <row r="53" spans="1:107">
      <c r="A53" s="14">
        <v>10</v>
      </c>
      <c r="B53" s="15">
        <f t="shared" si="0"/>
        <v>1</v>
      </c>
      <c r="C53" s="16">
        <f>(1+INDEX('1 - Input'!$B$34:$E$63,B53,'1 - Input'!$B$16))^(1/12)-1</f>
        <v>4.1219243192651689E-3</v>
      </c>
      <c r="D53" s="17">
        <f>'1 - Input'!$B$7*(1+'1 - Input'!$B$12)^(B53-1)</f>
        <v>2700</v>
      </c>
      <c r="E53" s="17">
        <f t="shared" si="45"/>
        <v>471545.60518628446</v>
      </c>
      <c r="F53" s="17">
        <f t="shared" si="46"/>
        <v>486262.71289093886</v>
      </c>
      <c r="G53" s="17">
        <f t="shared" si="1"/>
        <v>473489.2804839444</v>
      </c>
      <c r="H53" s="17">
        <f>IF(G53&gt;0,'1 - Input'!$B$8/12*G53,0)</f>
        <v>3551.169603629583</v>
      </c>
      <c r="I53" s="17">
        <f t="shared" si="2"/>
        <v>469938.11088031484</v>
      </c>
      <c r="J53" s="17">
        <f t="shared" si="3"/>
        <v>0</v>
      </c>
      <c r="K53" s="17">
        <f>'1 - Input'!$B$22*(H53-J53)</f>
        <v>923.30409694369166</v>
      </c>
      <c r="L53" s="17">
        <f t="shared" si="4"/>
        <v>2627.8655066858914</v>
      </c>
      <c r="M53" s="17">
        <f t="shared" si="5"/>
        <v>486262.71289093886</v>
      </c>
      <c r="N53" s="17">
        <f>IF('1 - Input'!$B$17=1,MAX(0,L53-D53),0)</f>
        <v>0</v>
      </c>
      <c r="O53" s="17">
        <f>IF('1 - Input'!$B$17=1,MAX(0,D53-L53),0)</f>
        <v>72.134493314108568</v>
      </c>
      <c r="P53" s="17">
        <f t="shared" si="6"/>
        <v>0</v>
      </c>
      <c r="Q53" s="17">
        <f>IF(AND(O53&gt;0,I53&gt;0),O53/(1-'1 - Input'!$B$22*P53),0)</f>
        <v>72.134493314108568</v>
      </c>
      <c r="R53" s="17">
        <f t="shared" si="7"/>
        <v>72.134493314108568</v>
      </c>
      <c r="S53" s="17">
        <f>'1 - Input'!$B$22*P53*R53</f>
        <v>0</v>
      </c>
      <c r="T53" s="17">
        <f t="shared" si="8"/>
        <v>72.134493314108568</v>
      </c>
      <c r="U53" s="17">
        <f t="shared" si="9"/>
        <v>0</v>
      </c>
      <c r="V53" s="17">
        <f t="shared" si="10"/>
        <v>2.5057914379086084</v>
      </c>
      <c r="W53" s="17">
        <f t="shared" si="11"/>
        <v>469865.9763870007</v>
      </c>
      <c r="X53" s="17">
        <f t="shared" si="12"/>
        <v>486188.07260618685</v>
      </c>
      <c r="Y53" s="17">
        <f>IF(MOD(A53,12)=0,W53*'1 - Input'!$B$23,0)</f>
        <v>0</v>
      </c>
      <c r="Z53" s="17">
        <f t="shared" si="13"/>
        <v>469865.9763870007</v>
      </c>
      <c r="AA53" s="17">
        <f>IF(MOD(A53,12)=0,X53*(1-'1 - Input'!$B$23),X53)</f>
        <v>486188.07260618685</v>
      </c>
      <c r="AB53" s="17">
        <f>IF('1 - Input'!$B$17=1,MIN(L53,D53)+T53,L53)</f>
        <v>2700</v>
      </c>
      <c r="AC53" s="17">
        <f t="shared" si="47"/>
        <v>27000</v>
      </c>
      <c r="AD53" s="17">
        <f t="shared" si="48"/>
        <v>9379.8692674008144</v>
      </c>
      <c r="AE53" s="17">
        <f t="shared" si="49"/>
        <v>0</v>
      </c>
      <c r="AF53" s="17">
        <f t="shared" si="50"/>
        <v>8.4783856461379017</v>
      </c>
      <c r="AG53" s="17">
        <f t="shared" si="51"/>
        <v>0</v>
      </c>
      <c r="AH53" s="17">
        <f t="shared" si="52"/>
        <v>0</v>
      </c>
      <c r="AI53" s="15">
        <f t="shared" si="14"/>
        <v>0</v>
      </c>
      <c r="AK53" s="14">
        <v>10</v>
      </c>
      <c r="AL53" s="15">
        <f t="shared" si="15"/>
        <v>1</v>
      </c>
      <c r="AM53" s="16">
        <f>(1+INDEX('1 - Input'!$B$34:$E$63,AL53,'1 - Input'!$B$16))^(1/12)-1</f>
        <v>4.1219243192651689E-3</v>
      </c>
      <c r="AN53" s="17">
        <f>'1 - Input'!$B$7*(1+'1 - Input'!$B$12)^(AL53-1)</f>
        <v>2700</v>
      </c>
      <c r="AO53" s="17">
        <f t="shared" si="53"/>
        <v>471545.60518628446</v>
      </c>
      <c r="AP53" s="17">
        <f t="shared" si="54"/>
        <v>486262.71289093886</v>
      </c>
      <c r="AQ53" s="17">
        <f t="shared" si="16"/>
        <v>473489.2804839444</v>
      </c>
      <c r="AR53" s="17">
        <f>IF(AQ53&gt;0,'1 - Input'!$B$8/12*AQ53,0)</f>
        <v>3551.169603629583</v>
      </c>
      <c r="AS53" s="17">
        <f t="shared" si="17"/>
        <v>469938.11088031484</v>
      </c>
      <c r="AT53" s="17">
        <f t="shared" si="18"/>
        <v>0</v>
      </c>
      <c r="AU53" s="17">
        <f>'1 - Input'!$B$22*(AR53-AT53)</f>
        <v>923.30409694369166</v>
      </c>
      <c r="AV53" s="17">
        <f t="shared" si="19"/>
        <v>2627.8655066858914</v>
      </c>
      <c r="AW53" s="17">
        <f t="shared" si="20"/>
        <v>486262.71289093886</v>
      </c>
      <c r="AX53" s="17">
        <f>IF('1 - Input'!$B$17=1,MAX(0,AV53-AN53),0)</f>
        <v>0</v>
      </c>
      <c r="AY53" s="17">
        <f>IF('1 - Input'!$B$17=1,MAX(0,AN53-AV53),0)</f>
        <v>72.134493314108568</v>
      </c>
      <c r="AZ53" s="17">
        <f t="shared" si="21"/>
        <v>0</v>
      </c>
      <c r="BA53" s="17">
        <f>IF(AND(AY53&gt;0,AS53&gt;0),AY53/(1-'1 - Input'!$B$22*AZ53),0)</f>
        <v>72.134493314108568</v>
      </c>
      <c r="BB53" s="17">
        <f t="shared" si="22"/>
        <v>72.134493314108568</v>
      </c>
      <c r="BC53" s="17">
        <f>'1 - Input'!$B$22*AZ53*BB53</f>
        <v>0</v>
      </c>
      <c r="BD53" s="17">
        <f t="shared" si="23"/>
        <v>72.134493314108568</v>
      </c>
      <c r="BE53" s="17">
        <f t="shared" si="24"/>
        <v>0</v>
      </c>
      <c r="BF53" s="17">
        <f t="shared" si="25"/>
        <v>2.5057914379086084</v>
      </c>
      <c r="BG53" s="17">
        <f t="shared" si="26"/>
        <v>469865.9763870007</v>
      </c>
      <c r="BH53" s="17">
        <f t="shared" si="27"/>
        <v>486188.07260618685</v>
      </c>
      <c r="BI53" s="17">
        <f>IF(MOD(AK53,12)=0,BG53*'1 - Input'!$B$23,0)</f>
        <v>0</v>
      </c>
      <c r="BJ53" s="17">
        <f t="shared" si="28"/>
        <v>469865.9763870007</v>
      </c>
      <c r="BK53" s="17">
        <f>IF(MOD(AK53,12)=0,BH53*(1-'1 - Input'!$B$23),BH53)</f>
        <v>486188.07260618685</v>
      </c>
      <c r="BL53" s="17">
        <f>IF('1 - Input'!$B$17=1,MIN(AV53,AN53)+BD53,AV53)</f>
        <v>2700</v>
      </c>
      <c r="BM53" s="17">
        <f t="shared" si="55"/>
        <v>27000</v>
      </c>
      <c r="BN53" s="17">
        <f t="shared" si="56"/>
        <v>9379.8692674008144</v>
      </c>
      <c r="BO53" s="17">
        <f t="shared" si="57"/>
        <v>0</v>
      </c>
      <c r="BP53" s="17">
        <f t="shared" si="58"/>
        <v>8.4783856461379017</v>
      </c>
      <c r="BQ53" s="17">
        <f t="shared" si="59"/>
        <v>0</v>
      </c>
      <c r="BR53" s="17">
        <f t="shared" si="60"/>
        <v>0</v>
      </c>
      <c r="BS53" s="15">
        <f t="shared" si="29"/>
        <v>0</v>
      </c>
      <c r="BU53" s="14">
        <v>10</v>
      </c>
      <c r="BV53" s="15">
        <f t="shared" si="30"/>
        <v>1</v>
      </c>
      <c r="BW53" s="16">
        <f>(1+INDEX('1 - Input'!$B$34:$E$63,BV53,'1 - Input'!$B$16))^(1/12)-1</f>
        <v>4.1219243192651689E-3</v>
      </c>
      <c r="BX53" s="17">
        <f>'1 - Input'!$B$7*(1+'1 - Input'!$B$12)^(BV53-1)</f>
        <v>2700</v>
      </c>
      <c r="BY53" s="17">
        <f t="shared" si="61"/>
        <v>480143.76440791716</v>
      </c>
      <c r="BZ53" s="17">
        <f t="shared" si="62"/>
        <v>462200</v>
      </c>
      <c r="CA53" s="17">
        <f t="shared" si="31"/>
        <v>482122.88066717365</v>
      </c>
      <c r="CB53" s="17">
        <f>IF(CA53&gt;0,'1 - Input'!$B$8/12*CA53,0)</f>
        <v>3615.9216050038021</v>
      </c>
      <c r="CC53" s="17">
        <f t="shared" si="32"/>
        <v>478506.95906216983</v>
      </c>
      <c r="CD53" s="17">
        <f t="shared" si="33"/>
        <v>3615.9216050038021</v>
      </c>
      <c r="CE53" s="17">
        <f>'1 - Input'!$B$22*(CB53-CD53)</f>
        <v>0</v>
      </c>
      <c r="CF53" s="17">
        <f t="shared" si="34"/>
        <v>3615.9216050038021</v>
      </c>
      <c r="CG53" s="17">
        <f t="shared" si="35"/>
        <v>458584.07839499618</v>
      </c>
      <c r="CH53" s="17">
        <f>IF('1 - Input'!$B$17=1,MAX(0,CF53-BX53),0)</f>
        <v>915.92160500380214</v>
      </c>
      <c r="CI53" s="17">
        <f>IF('1 - Input'!$B$17=1,MAX(0,BX53-CF53),0)</f>
        <v>0</v>
      </c>
      <c r="CJ53" s="17">
        <f t="shared" si="36"/>
        <v>4.1635508721170278E-2</v>
      </c>
      <c r="CK53" s="17">
        <f>IF(AND(CI53&gt;0,CC53&gt;0),CI53/(1-'1 - Input'!$B$22*CJ53),0)</f>
        <v>0</v>
      </c>
      <c r="CL53" s="17">
        <f t="shared" si="37"/>
        <v>0</v>
      </c>
      <c r="CM53" s="17">
        <f>'1 - Input'!$B$22*CJ53*CL53</f>
        <v>0</v>
      </c>
      <c r="CN53" s="17">
        <f t="shared" si="38"/>
        <v>0</v>
      </c>
      <c r="CO53" s="17">
        <f t="shared" si="39"/>
        <v>0</v>
      </c>
      <c r="CP53" s="17">
        <f t="shared" si="40"/>
        <v>0</v>
      </c>
      <c r="CQ53" s="17">
        <f t="shared" si="41"/>
        <v>479422.88066717365</v>
      </c>
      <c r="CR53" s="17">
        <f t="shared" si="42"/>
        <v>459500</v>
      </c>
      <c r="CS53" s="17">
        <f>IF(MOD(BU53,12)=0,CQ53*'1 - Input'!$B$23,0)</f>
        <v>0</v>
      </c>
      <c r="CT53" s="17">
        <f t="shared" si="43"/>
        <v>479422.88066717365</v>
      </c>
      <c r="CU53" s="17">
        <f>IF(MOD(BU53,12)=0,CR53*(1-'1 - Input'!$B$23),CR53)</f>
        <v>459500</v>
      </c>
      <c r="CV53" s="17">
        <f>IF('1 - Input'!$B$17=1,MIN(CF53,BX53)+CN53,CF53)</f>
        <v>2700</v>
      </c>
      <c r="CW53" s="17">
        <f t="shared" si="63"/>
        <v>27000</v>
      </c>
      <c r="CX53" s="17">
        <f t="shared" si="64"/>
        <v>0</v>
      </c>
      <c r="CY53" s="17">
        <f t="shared" si="65"/>
        <v>0</v>
      </c>
      <c r="CZ53" s="17">
        <f t="shared" si="66"/>
        <v>0</v>
      </c>
      <c r="DA53" s="17">
        <f t="shared" si="67"/>
        <v>0</v>
      </c>
      <c r="DB53" s="17">
        <f t="shared" si="68"/>
        <v>0</v>
      </c>
      <c r="DC53" s="15">
        <f t="shared" si="44"/>
        <v>0</v>
      </c>
    </row>
    <row r="54" spans="1:107">
      <c r="A54" s="14">
        <v>11</v>
      </c>
      <c r="B54" s="15">
        <f t="shared" si="0"/>
        <v>1</v>
      </c>
      <c r="C54" s="16">
        <f>(1+INDEX('1 - Input'!$B$34:$E$63,B54,'1 - Input'!$B$16))^(1/12)-1</f>
        <v>4.1219243192651689E-3</v>
      </c>
      <c r="D54" s="17">
        <f>'1 - Input'!$B$7*(1+'1 - Input'!$B$12)^(B54-1)</f>
        <v>2700</v>
      </c>
      <c r="E54" s="17">
        <f t="shared" si="45"/>
        <v>469865.9763870007</v>
      </c>
      <c r="F54" s="17">
        <f t="shared" si="46"/>
        <v>486188.07260618685</v>
      </c>
      <c r="G54" s="17">
        <f t="shared" si="1"/>
        <v>471802.72838186554</v>
      </c>
      <c r="H54" s="17">
        <f>IF(G54&gt;0,'1 - Input'!$B$8/12*G54,0)</f>
        <v>3538.5204628639913</v>
      </c>
      <c r="I54" s="17">
        <f t="shared" si="2"/>
        <v>468264.20791900158</v>
      </c>
      <c r="J54" s="17">
        <f t="shared" si="3"/>
        <v>0</v>
      </c>
      <c r="K54" s="17">
        <f>'1 - Input'!$B$22*(H54-J54)</f>
        <v>920.01532034463776</v>
      </c>
      <c r="L54" s="17">
        <f t="shared" si="4"/>
        <v>2618.5051425193533</v>
      </c>
      <c r="M54" s="17">
        <f t="shared" si="5"/>
        <v>486188.07260618685</v>
      </c>
      <c r="N54" s="17">
        <f>IF('1 - Input'!$B$17=1,MAX(0,L54-D54),0)</f>
        <v>0</v>
      </c>
      <c r="O54" s="17">
        <f>IF('1 - Input'!$B$17=1,MAX(0,D54-L54),0)</f>
        <v>81.494857480646715</v>
      </c>
      <c r="P54" s="17">
        <f t="shared" si="6"/>
        <v>0</v>
      </c>
      <c r="Q54" s="17">
        <f>IF(AND(O54&gt;0,I54&gt;0),O54/(1-'1 - Input'!$B$22*P54),0)</f>
        <v>81.494857480646715</v>
      </c>
      <c r="R54" s="17">
        <f t="shared" si="7"/>
        <v>81.494857480646715</v>
      </c>
      <c r="S54" s="17">
        <f>'1 - Input'!$B$22*P54*R54</f>
        <v>0</v>
      </c>
      <c r="T54" s="17">
        <f t="shared" si="8"/>
        <v>81.494857480646715</v>
      </c>
      <c r="U54" s="17">
        <f t="shared" si="9"/>
        <v>0</v>
      </c>
      <c r="V54" s="17">
        <f t="shared" si="10"/>
        <v>3.1193987784717172</v>
      </c>
      <c r="W54" s="17">
        <f t="shared" si="11"/>
        <v>468182.71306152095</v>
      </c>
      <c r="X54" s="17">
        <f t="shared" si="12"/>
        <v>486103.45834992774</v>
      </c>
      <c r="Y54" s="17">
        <f>IF(MOD(A54,12)=0,W54*'1 - Input'!$B$23,0)</f>
        <v>0</v>
      </c>
      <c r="Z54" s="17">
        <f t="shared" si="13"/>
        <v>468182.71306152095</v>
      </c>
      <c r="AA54" s="17">
        <f>IF(MOD(A54,12)=0,X54*(1-'1 - Input'!$B$23),X54)</f>
        <v>486103.45834992774</v>
      </c>
      <c r="AB54" s="17">
        <f>IF('1 - Input'!$B$17=1,MIN(L54,D54)+T54,L54)</f>
        <v>2700</v>
      </c>
      <c r="AC54" s="17">
        <f t="shared" si="47"/>
        <v>29700</v>
      </c>
      <c r="AD54" s="17">
        <f t="shared" si="48"/>
        <v>10299.884587745451</v>
      </c>
      <c r="AE54" s="17">
        <f t="shared" si="49"/>
        <v>0</v>
      </c>
      <c r="AF54" s="17">
        <f t="shared" si="50"/>
        <v>11.597784424609619</v>
      </c>
      <c r="AG54" s="17">
        <f t="shared" si="51"/>
        <v>0</v>
      </c>
      <c r="AH54" s="17">
        <f t="shared" si="52"/>
        <v>0</v>
      </c>
      <c r="AI54" s="15">
        <f t="shared" si="14"/>
        <v>0</v>
      </c>
      <c r="AK54" s="14">
        <v>11</v>
      </c>
      <c r="AL54" s="15">
        <f t="shared" si="15"/>
        <v>1</v>
      </c>
      <c r="AM54" s="16">
        <f>(1+INDEX('1 - Input'!$B$34:$E$63,AL54,'1 - Input'!$B$16))^(1/12)-1</f>
        <v>4.1219243192651689E-3</v>
      </c>
      <c r="AN54" s="17">
        <f>'1 - Input'!$B$7*(1+'1 - Input'!$B$12)^(AL54-1)</f>
        <v>2700</v>
      </c>
      <c r="AO54" s="17">
        <f t="shared" si="53"/>
        <v>469865.9763870007</v>
      </c>
      <c r="AP54" s="17">
        <f t="shared" si="54"/>
        <v>486188.07260618685</v>
      </c>
      <c r="AQ54" s="17">
        <f t="shared" si="16"/>
        <v>471802.72838186554</v>
      </c>
      <c r="AR54" s="17">
        <f>IF(AQ54&gt;0,'1 - Input'!$B$8/12*AQ54,0)</f>
        <v>3538.5204628639913</v>
      </c>
      <c r="AS54" s="17">
        <f t="shared" si="17"/>
        <v>468264.20791900158</v>
      </c>
      <c r="AT54" s="17">
        <f t="shared" si="18"/>
        <v>0</v>
      </c>
      <c r="AU54" s="17">
        <f>'1 - Input'!$B$22*(AR54-AT54)</f>
        <v>920.01532034463776</v>
      </c>
      <c r="AV54" s="17">
        <f t="shared" si="19"/>
        <v>2618.5051425193533</v>
      </c>
      <c r="AW54" s="17">
        <f t="shared" si="20"/>
        <v>486188.07260618685</v>
      </c>
      <c r="AX54" s="17">
        <f>IF('1 - Input'!$B$17=1,MAX(0,AV54-AN54),0)</f>
        <v>0</v>
      </c>
      <c r="AY54" s="17">
        <f>IF('1 - Input'!$B$17=1,MAX(0,AN54-AV54),0)</f>
        <v>81.494857480646715</v>
      </c>
      <c r="AZ54" s="17">
        <f t="shared" si="21"/>
        <v>0</v>
      </c>
      <c r="BA54" s="17">
        <f>IF(AND(AY54&gt;0,AS54&gt;0),AY54/(1-'1 - Input'!$B$22*AZ54),0)</f>
        <v>81.494857480646715</v>
      </c>
      <c r="BB54" s="17">
        <f t="shared" si="22"/>
        <v>81.494857480646715</v>
      </c>
      <c r="BC54" s="17">
        <f>'1 - Input'!$B$22*AZ54*BB54</f>
        <v>0</v>
      </c>
      <c r="BD54" s="17">
        <f t="shared" si="23"/>
        <v>81.494857480646715</v>
      </c>
      <c r="BE54" s="17">
        <f t="shared" si="24"/>
        <v>0</v>
      </c>
      <c r="BF54" s="17">
        <f t="shared" si="25"/>
        <v>3.1193987784717172</v>
      </c>
      <c r="BG54" s="17">
        <f t="shared" si="26"/>
        <v>468182.71306152095</v>
      </c>
      <c r="BH54" s="17">
        <f t="shared" si="27"/>
        <v>486103.45834992774</v>
      </c>
      <c r="BI54" s="17">
        <f>IF(MOD(AK54,12)=0,BG54*'1 - Input'!$B$23,0)</f>
        <v>0</v>
      </c>
      <c r="BJ54" s="17">
        <f t="shared" si="28"/>
        <v>468182.71306152095</v>
      </c>
      <c r="BK54" s="17">
        <f>IF(MOD(AK54,12)=0,BH54*(1-'1 - Input'!$B$23),BH54)</f>
        <v>486103.45834992774</v>
      </c>
      <c r="BL54" s="17">
        <f>IF('1 - Input'!$B$17=1,MIN(AV54,AN54)+BD54,AV54)</f>
        <v>2700</v>
      </c>
      <c r="BM54" s="17">
        <f t="shared" si="55"/>
        <v>29700</v>
      </c>
      <c r="BN54" s="17">
        <f t="shared" si="56"/>
        <v>10299.884587745451</v>
      </c>
      <c r="BO54" s="17">
        <f t="shared" si="57"/>
        <v>0</v>
      </c>
      <c r="BP54" s="17">
        <f t="shared" si="58"/>
        <v>11.597784424609619</v>
      </c>
      <c r="BQ54" s="17">
        <f t="shared" si="59"/>
        <v>0</v>
      </c>
      <c r="BR54" s="17">
        <f t="shared" si="60"/>
        <v>0</v>
      </c>
      <c r="BS54" s="15">
        <f t="shared" si="29"/>
        <v>0</v>
      </c>
      <c r="BU54" s="14">
        <v>11</v>
      </c>
      <c r="BV54" s="15">
        <f t="shared" si="30"/>
        <v>1</v>
      </c>
      <c r="BW54" s="16">
        <f>(1+INDEX('1 - Input'!$B$34:$E$63,BV54,'1 - Input'!$B$16))^(1/12)-1</f>
        <v>4.1219243192651689E-3</v>
      </c>
      <c r="BX54" s="17">
        <f>'1 - Input'!$B$7*(1+'1 - Input'!$B$12)^(BV54-1)</f>
        <v>2700</v>
      </c>
      <c r="BY54" s="17">
        <f t="shared" si="61"/>
        <v>479422.88066717365</v>
      </c>
      <c r="BZ54" s="17">
        <f t="shared" si="62"/>
        <v>459500</v>
      </c>
      <c r="CA54" s="17">
        <f t="shared" si="31"/>
        <v>481399.02549820783</v>
      </c>
      <c r="CB54" s="17">
        <f>IF(CA54&gt;0,'1 - Input'!$B$8/12*CA54,0)</f>
        <v>3610.4926912365586</v>
      </c>
      <c r="CC54" s="17">
        <f t="shared" si="32"/>
        <v>477788.53280697129</v>
      </c>
      <c r="CD54" s="17">
        <f t="shared" si="33"/>
        <v>3610.4926912365586</v>
      </c>
      <c r="CE54" s="17">
        <f>'1 - Input'!$B$22*(CB54-CD54)</f>
        <v>0</v>
      </c>
      <c r="CF54" s="17">
        <f t="shared" si="34"/>
        <v>3610.4926912365586</v>
      </c>
      <c r="CG54" s="17">
        <f t="shared" si="35"/>
        <v>455889.50730876345</v>
      </c>
      <c r="CH54" s="17">
        <f>IF('1 - Input'!$B$17=1,MAX(0,CF54-BX54),0)</f>
        <v>910.49269123655858</v>
      </c>
      <c r="CI54" s="17">
        <f>IF('1 - Input'!$B$17=1,MAX(0,BX54-CF54),0)</f>
        <v>0</v>
      </c>
      <c r="CJ54" s="17">
        <f t="shared" si="36"/>
        <v>4.583413789684887E-2</v>
      </c>
      <c r="CK54" s="17">
        <f>IF(AND(CI54&gt;0,CC54&gt;0),CI54/(1-'1 - Input'!$B$22*CJ54),0)</f>
        <v>0</v>
      </c>
      <c r="CL54" s="17">
        <f t="shared" si="37"/>
        <v>0</v>
      </c>
      <c r="CM54" s="17">
        <f>'1 - Input'!$B$22*CJ54*CL54</f>
        <v>0</v>
      </c>
      <c r="CN54" s="17">
        <f t="shared" si="38"/>
        <v>0</v>
      </c>
      <c r="CO54" s="17">
        <f t="shared" si="39"/>
        <v>0</v>
      </c>
      <c r="CP54" s="17">
        <f t="shared" si="40"/>
        <v>0</v>
      </c>
      <c r="CQ54" s="17">
        <f t="shared" si="41"/>
        <v>478699.02549820783</v>
      </c>
      <c r="CR54" s="17">
        <f t="shared" si="42"/>
        <v>456800</v>
      </c>
      <c r="CS54" s="17">
        <f>IF(MOD(BU54,12)=0,CQ54*'1 - Input'!$B$23,0)</f>
        <v>0</v>
      </c>
      <c r="CT54" s="17">
        <f t="shared" si="43"/>
        <v>478699.02549820783</v>
      </c>
      <c r="CU54" s="17">
        <f>IF(MOD(BU54,12)=0,CR54*(1-'1 - Input'!$B$23),CR54)</f>
        <v>456800</v>
      </c>
      <c r="CV54" s="17">
        <f>IF('1 - Input'!$B$17=1,MIN(CF54,BX54)+CN54,CF54)</f>
        <v>2700</v>
      </c>
      <c r="CW54" s="17">
        <f t="shared" si="63"/>
        <v>29700</v>
      </c>
      <c r="CX54" s="17">
        <f t="shared" si="64"/>
        <v>0</v>
      </c>
      <c r="CY54" s="17">
        <f t="shared" si="65"/>
        <v>0</v>
      </c>
      <c r="CZ54" s="17">
        <f t="shared" si="66"/>
        <v>0</v>
      </c>
      <c r="DA54" s="17">
        <f t="shared" si="67"/>
        <v>0</v>
      </c>
      <c r="DB54" s="17">
        <f t="shared" si="68"/>
        <v>0</v>
      </c>
      <c r="DC54" s="15">
        <f t="shared" si="44"/>
        <v>0</v>
      </c>
    </row>
    <row r="55" spans="1:107">
      <c r="A55" s="14">
        <v>12</v>
      </c>
      <c r="B55" s="15">
        <f t="shared" si="0"/>
        <v>1</v>
      </c>
      <c r="C55" s="16">
        <f>(1+INDEX('1 - Input'!$B$34:$E$63,B55,'1 - Input'!$B$16))^(1/12)-1</f>
        <v>4.1219243192651689E-3</v>
      </c>
      <c r="D55" s="17">
        <f>'1 - Input'!$B$7*(1+'1 - Input'!$B$12)^(B55-1)</f>
        <v>2700</v>
      </c>
      <c r="E55" s="17">
        <f t="shared" si="45"/>
        <v>468182.71306152095</v>
      </c>
      <c r="F55" s="17">
        <f t="shared" si="46"/>
        <v>486103.45834992774</v>
      </c>
      <c r="G55" s="17">
        <f t="shared" si="1"/>
        <v>470112.52677234879</v>
      </c>
      <c r="H55" s="17">
        <f>IF(G55&gt;0,'1 - Input'!$B$8/12*G55,0)</f>
        <v>3525.8439507926159</v>
      </c>
      <c r="I55" s="17">
        <f t="shared" si="2"/>
        <v>466586.68282155617</v>
      </c>
      <c r="J55" s="17">
        <f t="shared" si="3"/>
        <v>0</v>
      </c>
      <c r="K55" s="17">
        <f>'1 - Input'!$B$22*(H55-J55)</f>
        <v>916.71942720608013</v>
      </c>
      <c r="L55" s="17">
        <f t="shared" si="4"/>
        <v>2609.1245235865358</v>
      </c>
      <c r="M55" s="17">
        <f t="shared" si="5"/>
        <v>486103.45834992774</v>
      </c>
      <c r="N55" s="17">
        <f>IF('1 - Input'!$B$17=1,MAX(0,L55-D55),0)</f>
        <v>0</v>
      </c>
      <c r="O55" s="17">
        <f>IF('1 - Input'!$B$17=1,MAX(0,D55-L55),0)</f>
        <v>90.875476413464185</v>
      </c>
      <c r="P55" s="17">
        <f t="shared" si="6"/>
        <v>0</v>
      </c>
      <c r="Q55" s="17">
        <f>IF(AND(O55&gt;0,I55&gt;0),O55/(1-'1 - Input'!$B$22*P55),0)</f>
        <v>90.875476413464185</v>
      </c>
      <c r="R55" s="17">
        <f t="shared" si="7"/>
        <v>90.875476413464185</v>
      </c>
      <c r="S55" s="17">
        <f>'1 - Input'!$B$22*P55*R55</f>
        <v>0</v>
      </c>
      <c r="T55" s="17">
        <f t="shared" si="8"/>
        <v>90.875476413464185</v>
      </c>
      <c r="U55" s="17">
        <f t="shared" si="9"/>
        <v>0</v>
      </c>
      <c r="V55" s="17">
        <f t="shared" si="10"/>
        <v>3.8012149499639816</v>
      </c>
      <c r="W55" s="17">
        <f t="shared" si="11"/>
        <v>466495.8073451427</v>
      </c>
      <c r="X55" s="17">
        <f t="shared" si="12"/>
        <v>486008.78165856434</v>
      </c>
      <c r="Y55" s="17">
        <f>IF(MOD(A55,12)=0,W55*'1 - Input'!$B$23,0)</f>
        <v>932.99161469028547</v>
      </c>
      <c r="Z55" s="17">
        <f t="shared" si="13"/>
        <v>465562.81573045242</v>
      </c>
      <c r="AA55" s="17">
        <f>IF(MOD(A55,12)=0,X55*(1-'1 - Input'!$B$23),X55)</f>
        <v>485036.7640952472</v>
      </c>
      <c r="AB55" s="17">
        <f>IF('1 - Input'!$B$17=1,MIN(L55,D55)+T55,L55)</f>
        <v>2700</v>
      </c>
      <c r="AC55" s="17">
        <f t="shared" si="47"/>
        <v>32400</v>
      </c>
      <c r="AD55" s="17">
        <f t="shared" si="48"/>
        <v>11216.604014951532</v>
      </c>
      <c r="AE55" s="17">
        <f t="shared" si="49"/>
        <v>0</v>
      </c>
      <c r="AF55" s="17">
        <f t="shared" si="50"/>
        <v>15.3989993745736</v>
      </c>
      <c r="AG55" s="17">
        <f t="shared" si="51"/>
        <v>932.99161469028547</v>
      </c>
      <c r="AH55" s="17">
        <f t="shared" si="52"/>
        <v>0</v>
      </c>
      <c r="AI55" s="15">
        <f t="shared" si="14"/>
        <v>0</v>
      </c>
      <c r="AK55" s="14">
        <v>12</v>
      </c>
      <c r="AL55" s="15">
        <f t="shared" si="15"/>
        <v>1</v>
      </c>
      <c r="AM55" s="16">
        <f>(1+INDEX('1 - Input'!$B$34:$E$63,AL55,'1 - Input'!$B$16))^(1/12)-1</f>
        <v>4.1219243192651689E-3</v>
      </c>
      <c r="AN55" s="17">
        <f>'1 - Input'!$B$7*(1+'1 - Input'!$B$12)^(AL55-1)</f>
        <v>2700</v>
      </c>
      <c r="AO55" s="17">
        <f t="shared" si="53"/>
        <v>468182.71306152095</v>
      </c>
      <c r="AP55" s="17">
        <f t="shared" si="54"/>
        <v>486103.45834992774</v>
      </c>
      <c r="AQ55" s="17">
        <f t="shared" si="16"/>
        <v>470112.52677234879</v>
      </c>
      <c r="AR55" s="17">
        <f>IF(AQ55&gt;0,'1 - Input'!$B$8/12*AQ55,0)</f>
        <v>3525.8439507926159</v>
      </c>
      <c r="AS55" s="17">
        <f t="shared" si="17"/>
        <v>466586.68282155617</v>
      </c>
      <c r="AT55" s="17">
        <f t="shared" si="18"/>
        <v>0</v>
      </c>
      <c r="AU55" s="17">
        <f>'1 - Input'!$B$22*(AR55-AT55)</f>
        <v>916.71942720608013</v>
      </c>
      <c r="AV55" s="17">
        <f t="shared" si="19"/>
        <v>2609.1245235865358</v>
      </c>
      <c r="AW55" s="17">
        <f t="shared" si="20"/>
        <v>486103.45834992774</v>
      </c>
      <c r="AX55" s="17">
        <f>IF('1 - Input'!$B$17=1,MAX(0,AV55-AN55),0)</f>
        <v>0</v>
      </c>
      <c r="AY55" s="17">
        <f>IF('1 - Input'!$B$17=1,MAX(0,AN55-AV55),0)</f>
        <v>90.875476413464185</v>
      </c>
      <c r="AZ55" s="17">
        <f t="shared" si="21"/>
        <v>0</v>
      </c>
      <c r="BA55" s="17">
        <f>IF(AND(AY55&gt;0,AS55&gt;0),AY55/(1-'1 - Input'!$B$22*AZ55),0)</f>
        <v>90.875476413464185</v>
      </c>
      <c r="BB55" s="17">
        <f t="shared" si="22"/>
        <v>90.875476413464185</v>
      </c>
      <c r="BC55" s="17">
        <f>'1 - Input'!$B$22*AZ55*BB55</f>
        <v>0</v>
      </c>
      <c r="BD55" s="17">
        <f t="shared" si="23"/>
        <v>90.875476413464185</v>
      </c>
      <c r="BE55" s="17">
        <f t="shared" si="24"/>
        <v>0</v>
      </c>
      <c r="BF55" s="17">
        <f t="shared" si="25"/>
        <v>3.8012149499639816</v>
      </c>
      <c r="BG55" s="17">
        <f t="shared" si="26"/>
        <v>466495.8073451427</v>
      </c>
      <c r="BH55" s="17">
        <f t="shared" si="27"/>
        <v>486008.78165856434</v>
      </c>
      <c r="BI55" s="17">
        <f>IF(MOD(AK55,12)=0,BG55*'1 - Input'!$B$23,0)</f>
        <v>932.99161469028547</v>
      </c>
      <c r="BJ55" s="17">
        <f t="shared" si="28"/>
        <v>465562.81573045242</v>
      </c>
      <c r="BK55" s="17">
        <f>IF(MOD(AK55,12)=0,BH55*(1-'1 - Input'!$B$23),BH55)</f>
        <v>485036.7640952472</v>
      </c>
      <c r="BL55" s="17">
        <f>IF('1 - Input'!$B$17=1,MIN(AV55,AN55)+BD55,AV55)</f>
        <v>2700</v>
      </c>
      <c r="BM55" s="17">
        <f t="shared" si="55"/>
        <v>32400</v>
      </c>
      <c r="BN55" s="17">
        <f t="shared" si="56"/>
        <v>11216.604014951532</v>
      </c>
      <c r="BO55" s="17">
        <f t="shared" si="57"/>
        <v>0</v>
      </c>
      <c r="BP55" s="17">
        <f t="shared" si="58"/>
        <v>15.3989993745736</v>
      </c>
      <c r="BQ55" s="17">
        <f t="shared" si="59"/>
        <v>932.99161469028547</v>
      </c>
      <c r="BR55" s="17">
        <f t="shared" si="60"/>
        <v>0</v>
      </c>
      <c r="BS55" s="15">
        <f t="shared" si="29"/>
        <v>0</v>
      </c>
      <c r="BU55" s="14">
        <v>12</v>
      </c>
      <c r="BV55" s="15">
        <f t="shared" si="30"/>
        <v>1</v>
      </c>
      <c r="BW55" s="16">
        <f>(1+INDEX('1 - Input'!$B$34:$E$63,BV55,'1 - Input'!$B$16))^(1/12)-1</f>
        <v>4.1219243192651689E-3</v>
      </c>
      <c r="BX55" s="17">
        <f>'1 - Input'!$B$7*(1+'1 - Input'!$B$12)^(BV55-1)</f>
        <v>2700</v>
      </c>
      <c r="BY55" s="17">
        <f t="shared" si="61"/>
        <v>478699.02549820783</v>
      </c>
      <c r="BZ55" s="17">
        <f t="shared" si="62"/>
        <v>456800</v>
      </c>
      <c r="CA55" s="17">
        <f t="shared" si="31"/>
        <v>480672.18665301742</v>
      </c>
      <c r="CB55" s="17">
        <f>IF(CA55&gt;0,'1 - Input'!$B$8/12*CA55,0)</f>
        <v>3605.0413998976305</v>
      </c>
      <c r="CC55" s="17">
        <f t="shared" si="32"/>
        <v>477067.14525311976</v>
      </c>
      <c r="CD55" s="17">
        <f t="shared" si="33"/>
        <v>3605.0413998976305</v>
      </c>
      <c r="CE55" s="17">
        <f>'1 - Input'!$B$22*(CB55-CD55)</f>
        <v>0</v>
      </c>
      <c r="CF55" s="17">
        <f t="shared" si="34"/>
        <v>3605.0413998976305</v>
      </c>
      <c r="CG55" s="17">
        <f t="shared" si="35"/>
        <v>453194.95860010234</v>
      </c>
      <c r="CH55" s="17">
        <f>IF('1 - Input'!$B$17=1,MAX(0,CF55-BX55),0)</f>
        <v>905.04139989763053</v>
      </c>
      <c r="CI55" s="17">
        <f>IF('1 - Input'!$B$17=1,MAX(0,BX55-CF55),0)</f>
        <v>0</v>
      </c>
      <c r="CJ55" s="17">
        <f t="shared" si="36"/>
        <v>5.0039469057026387E-2</v>
      </c>
      <c r="CK55" s="17">
        <f>IF(AND(CI55&gt;0,CC55&gt;0),CI55/(1-'1 - Input'!$B$22*CJ55),0)</f>
        <v>0</v>
      </c>
      <c r="CL55" s="17">
        <f t="shared" si="37"/>
        <v>0</v>
      </c>
      <c r="CM55" s="17">
        <f>'1 - Input'!$B$22*CJ55*CL55</f>
        <v>0</v>
      </c>
      <c r="CN55" s="17">
        <f t="shared" si="38"/>
        <v>0</v>
      </c>
      <c r="CO55" s="17">
        <f t="shared" si="39"/>
        <v>0</v>
      </c>
      <c r="CP55" s="17">
        <f t="shared" si="40"/>
        <v>0</v>
      </c>
      <c r="CQ55" s="17">
        <f t="shared" si="41"/>
        <v>477972.18665301742</v>
      </c>
      <c r="CR55" s="17">
        <f t="shared" si="42"/>
        <v>454100</v>
      </c>
      <c r="CS55" s="17">
        <f>IF(MOD(BU55,12)=0,CQ55*'1 - Input'!$B$23,0)</f>
        <v>955.94437330603489</v>
      </c>
      <c r="CT55" s="17">
        <f t="shared" si="43"/>
        <v>477016.24227971135</v>
      </c>
      <c r="CU55" s="17">
        <f>IF(MOD(BU55,12)=0,CR55*(1-'1 - Input'!$B$23),CR55)</f>
        <v>453191.8</v>
      </c>
      <c r="CV55" s="17">
        <f>IF('1 - Input'!$B$17=1,MIN(CF55,BX55)+CN55,CF55)</f>
        <v>2700</v>
      </c>
      <c r="CW55" s="17">
        <f t="shared" si="63"/>
        <v>32400</v>
      </c>
      <c r="CX55" s="17">
        <f t="shared" si="64"/>
        <v>0</v>
      </c>
      <c r="CY55" s="17">
        <f t="shared" si="65"/>
        <v>0</v>
      </c>
      <c r="CZ55" s="17">
        <f t="shared" si="66"/>
        <v>0</v>
      </c>
      <c r="DA55" s="17">
        <f t="shared" si="67"/>
        <v>955.94437330603489</v>
      </c>
      <c r="DB55" s="17">
        <f t="shared" si="68"/>
        <v>0</v>
      </c>
      <c r="DC55" s="15">
        <f t="shared" si="44"/>
        <v>0</v>
      </c>
    </row>
    <row r="56" spans="1:107">
      <c r="A56" s="14">
        <v>13</v>
      </c>
      <c r="B56" s="15">
        <f t="shared" si="0"/>
        <v>2</v>
      </c>
      <c r="C56" s="16">
        <f>(1+INDEX('1 - Input'!$B$34:$E$63,B56,'1 - Input'!$B$16))^(1/12)-1</f>
        <v>4.1219243192651689E-3</v>
      </c>
      <c r="D56" s="17">
        <f>'1 - Input'!$B$7*(1+'1 - Input'!$B$12)^(B56-1)</f>
        <v>2754</v>
      </c>
      <c r="E56" s="17">
        <f t="shared" si="45"/>
        <v>465562.81573045242</v>
      </c>
      <c r="F56" s="17">
        <f t="shared" si="46"/>
        <v>485036.7640952472</v>
      </c>
      <c r="G56" s="17">
        <f t="shared" si="1"/>
        <v>467481.83042275737</v>
      </c>
      <c r="H56" s="17">
        <f>IF(G56&gt;0,'1 - Input'!$B$8/12*G56,0)</f>
        <v>3506.1137281706801</v>
      </c>
      <c r="I56" s="17">
        <f t="shared" si="2"/>
        <v>463975.71669458668</v>
      </c>
      <c r="J56" s="17">
        <f t="shared" si="3"/>
        <v>0</v>
      </c>
      <c r="K56" s="17">
        <f>'1 - Input'!$B$22*(H56-J56)</f>
        <v>911.58956932437684</v>
      </c>
      <c r="L56" s="17">
        <f t="shared" si="4"/>
        <v>2594.5241588463032</v>
      </c>
      <c r="M56" s="17">
        <f t="shared" si="5"/>
        <v>485036.7640952472</v>
      </c>
      <c r="N56" s="17">
        <f>IF('1 - Input'!$B$17=1,MAX(0,L56-D56),0)</f>
        <v>0</v>
      </c>
      <c r="O56" s="17">
        <f>IF('1 - Input'!$B$17=1,MAX(0,D56-L56),0)</f>
        <v>159.47584115369682</v>
      </c>
      <c r="P56" s="17">
        <f t="shared" si="6"/>
        <v>0</v>
      </c>
      <c r="Q56" s="17">
        <f>IF(AND(O56&gt;0,I56&gt;0),O56/(1-'1 - Input'!$B$22*P56),0)</f>
        <v>159.47584115369682</v>
      </c>
      <c r="R56" s="17">
        <f t="shared" si="7"/>
        <v>159.47584115369682</v>
      </c>
      <c r="S56" s="17">
        <f>'1 - Input'!$B$22*P56*R56</f>
        <v>0</v>
      </c>
      <c r="T56" s="17">
        <f t="shared" si="8"/>
        <v>159.47584115369682</v>
      </c>
      <c r="U56" s="17">
        <f t="shared" si="9"/>
        <v>0</v>
      </c>
      <c r="V56" s="17">
        <f t="shared" si="10"/>
        <v>7.2390173212644706</v>
      </c>
      <c r="W56" s="17">
        <f t="shared" si="11"/>
        <v>463816.24085343297</v>
      </c>
      <c r="X56" s="17">
        <f t="shared" si="12"/>
        <v>484870.04923677223</v>
      </c>
      <c r="Y56" s="17">
        <f>IF(MOD(A56,12)=0,W56*'1 - Input'!$B$23,0)</f>
        <v>0</v>
      </c>
      <c r="Z56" s="17">
        <f t="shared" si="13"/>
        <v>463816.24085343297</v>
      </c>
      <c r="AA56" s="17">
        <f>IF(MOD(A56,12)=0,X56*(1-'1 - Input'!$B$23),X56)</f>
        <v>484870.04923677223</v>
      </c>
      <c r="AB56" s="17">
        <f>IF('1 - Input'!$B$17=1,MIN(L56,D56)+T56,L56)</f>
        <v>2754</v>
      </c>
      <c r="AC56" s="17">
        <f t="shared" si="47"/>
        <v>35154</v>
      </c>
      <c r="AD56" s="17">
        <f t="shared" si="48"/>
        <v>12128.193584275909</v>
      </c>
      <c r="AE56" s="17">
        <f t="shared" si="49"/>
        <v>0</v>
      </c>
      <c r="AF56" s="17">
        <f t="shared" si="50"/>
        <v>22.638016695838072</v>
      </c>
      <c r="AG56" s="17">
        <f t="shared" si="51"/>
        <v>932.99161469028547</v>
      </c>
      <c r="AH56" s="17">
        <f t="shared" si="52"/>
        <v>0</v>
      </c>
      <c r="AI56" s="15">
        <f t="shared" si="14"/>
        <v>0</v>
      </c>
      <c r="AK56" s="14">
        <v>13</v>
      </c>
      <c r="AL56" s="15">
        <f t="shared" si="15"/>
        <v>2</v>
      </c>
      <c r="AM56" s="16">
        <f>(1+INDEX('1 - Input'!$B$34:$E$63,AL56,'1 - Input'!$B$16))^(1/12)-1</f>
        <v>4.1219243192651689E-3</v>
      </c>
      <c r="AN56" s="17">
        <f>'1 - Input'!$B$7*(1+'1 - Input'!$B$12)^(AL56-1)</f>
        <v>2754</v>
      </c>
      <c r="AO56" s="17">
        <f t="shared" si="53"/>
        <v>465562.81573045242</v>
      </c>
      <c r="AP56" s="17">
        <f t="shared" si="54"/>
        <v>485036.7640952472</v>
      </c>
      <c r="AQ56" s="17">
        <f t="shared" si="16"/>
        <v>467481.83042275737</v>
      </c>
      <c r="AR56" s="17">
        <f>IF(AQ56&gt;0,'1 - Input'!$B$8/12*AQ56,0)</f>
        <v>3506.1137281706801</v>
      </c>
      <c r="AS56" s="17">
        <f t="shared" si="17"/>
        <v>463975.71669458668</v>
      </c>
      <c r="AT56" s="17">
        <f t="shared" si="18"/>
        <v>0</v>
      </c>
      <c r="AU56" s="17">
        <f>'1 - Input'!$B$22*(AR56-AT56)</f>
        <v>911.58956932437684</v>
      </c>
      <c r="AV56" s="17">
        <f t="shared" si="19"/>
        <v>2594.5241588463032</v>
      </c>
      <c r="AW56" s="17">
        <f t="shared" si="20"/>
        <v>485036.7640952472</v>
      </c>
      <c r="AX56" s="17">
        <f>IF('1 - Input'!$B$17=1,MAX(0,AV56-AN56),0)</f>
        <v>0</v>
      </c>
      <c r="AY56" s="17">
        <f>IF('1 - Input'!$B$17=1,MAX(0,AN56-AV56),0)</f>
        <v>159.47584115369682</v>
      </c>
      <c r="AZ56" s="17">
        <f t="shared" si="21"/>
        <v>0</v>
      </c>
      <c r="BA56" s="17">
        <f>IF(AND(AY56&gt;0,AS56&gt;0),AY56/(1-'1 - Input'!$B$22*AZ56),0)</f>
        <v>159.47584115369682</v>
      </c>
      <c r="BB56" s="17">
        <f t="shared" si="22"/>
        <v>159.47584115369682</v>
      </c>
      <c r="BC56" s="17">
        <f>'1 - Input'!$B$22*AZ56*BB56</f>
        <v>0</v>
      </c>
      <c r="BD56" s="17">
        <f t="shared" si="23"/>
        <v>159.47584115369682</v>
      </c>
      <c r="BE56" s="17">
        <f t="shared" si="24"/>
        <v>0</v>
      </c>
      <c r="BF56" s="17">
        <f t="shared" si="25"/>
        <v>7.2390173212644706</v>
      </c>
      <c r="BG56" s="17">
        <f t="shared" si="26"/>
        <v>463816.24085343297</v>
      </c>
      <c r="BH56" s="17">
        <f t="shared" si="27"/>
        <v>484870.04923677223</v>
      </c>
      <c r="BI56" s="17">
        <f>IF(MOD(AK56,12)=0,BG56*'1 - Input'!$B$23,0)</f>
        <v>0</v>
      </c>
      <c r="BJ56" s="17">
        <f t="shared" si="28"/>
        <v>463816.24085343297</v>
      </c>
      <c r="BK56" s="17">
        <f>IF(MOD(AK56,12)=0,BH56*(1-'1 - Input'!$B$23),BH56)</f>
        <v>484870.04923677223</v>
      </c>
      <c r="BL56" s="17">
        <f>IF('1 - Input'!$B$17=1,MIN(AV56,AN56)+BD56,AV56)</f>
        <v>2754</v>
      </c>
      <c r="BM56" s="17">
        <f t="shared" si="55"/>
        <v>35154</v>
      </c>
      <c r="BN56" s="17">
        <f t="shared" si="56"/>
        <v>12128.193584275909</v>
      </c>
      <c r="BO56" s="17">
        <f t="shared" si="57"/>
        <v>0</v>
      </c>
      <c r="BP56" s="17">
        <f t="shared" si="58"/>
        <v>22.638016695838072</v>
      </c>
      <c r="BQ56" s="17">
        <f t="shared" si="59"/>
        <v>932.99161469028547</v>
      </c>
      <c r="BR56" s="17">
        <f t="shared" si="60"/>
        <v>0</v>
      </c>
      <c r="BS56" s="15">
        <f t="shared" si="29"/>
        <v>0</v>
      </c>
      <c r="BU56" s="14">
        <v>13</v>
      </c>
      <c r="BV56" s="15">
        <f t="shared" si="30"/>
        <v>2</v>
      </c>
      <c r="BW56" s="16">
        <f>(1+INDEX('1 - Input'!$B$34:$E$63,BV56,'1 - Input'!$B$16))^(1/12)-1</f>
        <v>4.1219243192651689E-3</v>
      </c>
      <c r="BX56" s="17">
        <f>'1 - Input'!$B$7*(1+'1 - Input'!$B$12)^(BV56-1)</f>
        <v>2754</v>
      </c>
      <c r="BY56" s="17">
        <f t="shared" si="61"/>
        <v>477016.24227971135</v>
      </c>
      <c r="BZ56" s="17">
        <f t="shared" si="62"/>
        <v>453191.8</v>
      </c>
      <c r="CA56" s="17">
        <f t="shared" si="31"/>
        <v>478982.4671294486</v>
      </c>
      <c r="CB56" s="17">
        <f>IF(CA56&gt;0,'1 - Input'!$B$8/12*CA56,0)</f>
        <v>3592.3685034708642</v>
      </c>
      <c r="CC56" s="17">
        <f t="shared" si="32"/>
        <v>475390.09862597776</v>
      </c>
      <c r="CD56" s="17">
        <f t="shared" si="33"/>
        <v>3592.3685034708642</v>
      </c>
      <c r="CE56" s="17">
        <f>'1 - Input'!$B$22*(CB56-CD56)</f>
        <v>0</v>
      </c>
      <c r="CF56" s="17">
        <f t="shared" si="34"/>
        <v>3592.3685034708642</v>
      </c>
      <c r="CG56" s="17">
        <f t="shared" si="35"/>
        <v>449599.43149652914</v>
      </c>
      <c r="CH56" s="17">
        <f>IF('1 - Input'!$B$17=1,MAX(0,CF56-BX56),0)</f>
        <v>838.3685034708642</v>
      </c>
      <c r="CI56" s="17">
        <f>IF('1 - Input'!$B$17=1,MAX(0,BX56-CF56),0)</f>
        <v>0</v>
      </c>
      <c r="CJ56" s="17">
        <f t="shared" si="36"/>
        <v>5.4251586652712125E-2</v>
      </c>
      <c r="CK56" s="17">
        <f>IF(AND(CI56&gt;0,CC56&gt;0),CI56/(1-'1 - Input'!$B$22*CJ56),0)</f>
        <v>0</v>
      </c>
      <c r="CL56" s="17">
        <f t="shared" si="37"/>
        <v>0</v>
      </c>
      <c r="CM56" s="17">
        <f>'1 - Input'!$B$22*CJ56*CL56</f>
        <v>0</v>
      </c>
      <c r="CN56" s="17">
        <f t="shared" si="38"/>
        <v>0</v>
      </c>
      <c r="CO56" s="17">
        <f t="shared" si="39"/>
        <v>0</v>
      </c>
      <c r="CP56" s="17">
        <f t="shared" si="40"/>
        <v>0</v>
      </c>
      <c r="CQ56" s="17">
        <f t="shared" si="41"/>
        <v>476228.4671294486</v>
      </c>
      <c r="CR56" s="17">
        <f t="shared" si="42"/>
        <v>450437.8</v>
      </c>
      <c r="CS56" s="17">
        <f>IF(MOD(BU56,12)=0,CQ56*'1 - Input'!$B$23,0)</f>
        <v>0</v>
      </c>
      <c r="CT56" s="17">
        <f t="shared" si="43"/>
        <v>476228.4671294486</v>
      </c>
      <c r="CU56" s="17">
        <f>IF(MOD(BU56,12)=0,CR56*(1-'1 - Input'!$B$23),CR56)</f>
        <v>450437.8</v>
      </c>
      <c r="CV56" s="17">
        <f>IF('1 - Input'!$B$17=1,MIN(CF56,BX56)+CN56,CF56)</f>
        <v>2754</v>
      </c>
      <c r="CW56" s="17">
        <f t="shared" si="63"/>
        <v>35154</v>
      </c>
      <c r="CX56" s="17">
        <f t="shared" si="64"/>
        <v>0</v>
      </c>
      <c r="CY56" s="17">
        <f t="shared" si="65"/>
        <v>0</v>
      </c>
      <c r="CZ56" s="17">
        <f t="shared" si="66"/>
        <v>0</v>
      </c>
      <c r="DA56" s="17">
        <f t="shared" si="67"/>
        <v>955.94437330603489</v>
      </c>
      <c r="DB56" s="17">
        <f t="shared" si="68"/>
        <v>0</v>
      </c>
      <c r="DC56" s="15">
        <f t="shared" si="44"/>
        <v>0</v>
      </c>
    </row>
    <row r="57" spans="1:107">
      <c r="A57" s="14">
        <v>14</v>
      </c>
      <c r="B57" s="15">
        <f t="shared" si="0"/>
        <v>2</v>
      </c>
      <c r="C57" s="16">
        <f>(1+INDEX('1 - Input'!$B$34:$E$63,B57,'1 - Input'!$B$16))^(1/12)-1</f>
        <v>4.1219243192651689E-3</v>
      </c>
      <c r="D57" s="17">
        <f>'1 - Input'!$B$7*(1+'1 - Input'!$B$12)^(B57-1)</f>
        <v>2754</v>
      </c>
      <c r="E57" s="17">
        <f t="shared" si="45"/>
        <v>463816.24085343297</v>
      </c>
      <c r="F57" s="17">
        <f t="shared" si="46"/>
        <v>484870.04923677223</v>
      </c>
      <c r="G57" s="17">
        <f t="shared" si="1"/>
        <v>465728.05629627692</v>
      </c>
      <c r="H57" s="17">
        <f>IF(G57&gt;0,'1 - Input'!$B$8/12*G57,0)</f>
        <v>3492.9604222220769</v>
      </c>
      <c r="I57" s="17">
        <f t="shared" si="2"/>
        <v>462235.09587405482</v>
      </c>
      <c r="J57" s="17">
        <f t="shared" si="3"/>
        <v>0</v>
      </c>
      <c r="K57" s="17">
        <f>'1 - Input'!$B$22*(H57-J57)</f>
        <v>908.16970977773997</v>
      </c>
      <c r="L57" s="17">
        <f t="shared" si="4"/>
        <v>2584.7907124443368</v>
      </c>
      <c r="M57" s="17">
        <f t="shared" si="5"/>
        <v>484870.04923677223</v>
      </c>
      <c r="N57" s="17">
        <f>IF('1 - Input'!$B$17=1,MAX(0,L57-D57),0)</f>
        <v>0</v>
      </c>
      <c r="O57" s="17">
        <f>IF('1 - Input'!$B$17=1,MAX(0,D57-L57),0)</f>
        <v>169.2092875556632</v>
      </c>
      <c r="P57" s="17">
        <f t="shared" si="6"/>
        <v>0</v>
      </c>
      <c r="Q57" s="17">
        <f>IF(AND(O57&gt;0,I57&gt;0),O57/(1-'1 - Input'!$B$22*P57),0)</f>
        <v>169.2092875556632</v>
      </c>
      <c r="R57" s="17">
        <f t="shared" si="7"/>
        <v>169.2092875556632</v>
      </c>
      <c r="S57" s="17">
        <f>'1 - Input'!$B$22*P57*R57</f>
        <v>0</v>
      </c>
      <c r="T57" s="17">
        <f t="shared" si="8"/>
        <v>169.2092875556632</v>
      </c>
      <c r="U57" s="17">
        <f t="shared" si="9"/>
        <v>0</v>
      </c>
      <c r="V57" s="17">
        <f t="shared" si="10"/>
        <v>8.2859228270383198</v>
      </c>
      <c r="W57" s="17">
        <f t="shared" si="11"/>
        <v>462065.88658649917</v>
      </c>
      <c r="X57" s="17">
        <f t="shared" si="12"/>
        <v>484692.55402638949</v>
      </c>
      <c r="Y57" s="17">
        <f>IF(MOD(A57,12)=0,W57*'1 - Input'!$B$23,0)</f>
        <v>0</v>
      </c>
      <c r="Z57" s="17">
        <f t="shared" si="13"/>
        <v>462065.88658649917</v>
      </c>
      <c r="AA57" s="17">
        <f>IF(MOD(A57,12)=0,X57*(1-'1 - Input'!$B$23),X57)</f>
        <v>484692.55402638949</v>
      </c>
      <c r="AB57" s="17">
        <f>IF('1 - Input'!$B$17=1,MIN(L57,D57)+T57,L57)</f>
        <v>2754</v>
      </c>
      <c r="AC57" s="17">
        <f t="shared" si="47"/>
        <v>37908</v>
      </c>
      <c r="AD57" s="17">
        <f t="shared" si="48"/>
        <v>13036.363294053648</v>
      </c>
      <c r="AE57" s="17">
        <f t="shared" si="49"/>
        <v>0</v>
      </c>
      <c r="AF57" s="17">
        <f t="shared" si="50"/>
        <v>30.923939522876392</v>
      </c>
      <c r="AG57" s="17">
        <f t="shared" si="51"/>
        <v>932.99161469028547</v>
      </c>
      <c r="AH57" s="17">
        <f t="shared" si="52"/>
        <v>0</v>
      </c>
      <c r="AI57" s="15">
        <f t="shared" si="14"/>
        <v>0</v>
      </c>
      <c r="AK57" s="14">
        <v>14</v>
      </c>
      <c r="AL57" s="15">
        <f t="shared" si="15"/>
        <v>2</v>
      </c>
      <c r="AM57" s="16">
        <f>(1+INDEX('1 - Input'!$B$34:$E$63,AL57,'1 - Input'!$B$16))^(1/12)-1</f>
        <v>4.1219243192651689E-3</v>
      </c>
      <c r="AN57" s="17">
        <f>'1 - Input'!$B$7*(1+'1 - Input'!$B$12)^(AL57-1)</f>
        <v>2754</v>
      </c>
      <c r="AO57" s="17">
        <f t="shared" si="53"/>
        <v>463816.24085343297</v>
      </c>
      <c r="AP57" s="17">
        <f t="shared" si="54"/>
        <v>484870.04923677223</v>
      </c>
      <c r="AQ57" s="17">
        <f t="shared" si="16"/>
        <v>465728.05629627692</v>
      </c>
      <c r="AR57" s="17">
        <f>IF(AQ57&gt;0,'1 - Input'!$B$8/12*AQ57,0)</f>
        <v>3492.9604222220769</v>
      </c>
      <c r="AS57" s="17">
        <f t="shared" si="17"/>
        <v>462235.09587405482</v>
      </c>
      <c r="AT57" s="17">
        <f t="shared" si="18"/>
        <v>0</v>
      </c>
      <c r="AU57" s="17">
        <f>'1 - Input'!$B$22*(AR57-AT57)</f>
        <v>908.16970977773997</v>
      </c>
      <c r="AV57" s="17">
        <f t="shared" si="19"/>
        <v>2584.7907124443368</v>
      </c>
      <c r="AW57" s="17">
        <f t="shared" si="20"/>
        <v>484870.04923677223</v>
      </c>
      <c r="AX57" s="17">
        <f>IF('1 - Input'!$B$17=1,MAX(0,AV57-AN57),0)</f>
        <v>0</v>
      </c>
      <c r="AY57" s="17">
        <f>IF('1 - Input'!$B$17=1,MAX(0,AN57-AV57),0)</f>
        <v>169.2092875556632</v>
      </c>
      <c r="AZ57" s="17">
        <f t="shared" si="21"/>
        <v>0</v>
      </c>
      <c r="BA57" s="17">
        <f>IF(AND(AY57&gt;0,AS57&gt;0),AY57/(1-'1 - Input'!$B$22*AZ57),0)</f>
        <v>169.2092875556632</v>
      </c>
      <c r="BB57" s="17">
        <f t="shared" si="22"/>
        <v>169.2092875556632</v>
      </c>
      <c r="BC57" s="17">
        <f>'1 - Input'!$B$22*AZ57*BB57</f>
        <v>0</v>
      </c>
      <c r="BD57" s="17">
        <f t="shared" si="23"/>
        <v>169.2092875556632</v>
      </c>
      <c r="BE57" s="17">
        <f t="shared" si="24"/>
        <v>0</v>
      </c>
      <c r="BF57" s="17">
        <f t="shared" si="25"/>
        <v>8.2859228270383198</v>
      </c>
      <c r="BG57" s="17">
        <f t="shared" si="26"/>
        <v>462065.88658649917</v>
      </c>
      <c r="BH57" s="17">
        <f t="shared" si="27"/>
        <v>484692.55402638949</v>
      </c>
      <c r="BI57" s="17">
        <f>IF(MOD(AK57,12)=0,BG57*'1 - Input'!$B$23,0)</f>
        <v>0</v>
      </c>
      <c r="BJ57" s="17">
        <f t="shared" si="28"/>
        <v>462065.88658649917</v>
      </c>
      <c r="BK57" s="17">
        <f>IF(MOD(AK57,12)=0,BH57*(1-'1 - Input'!$B$23),BH57)</f>
        <v>484692.55402638949</v>
      </c>
      <c r="BL57" s="17">
        <f>IF('1 - Input'!$B$17=1,MIN(AV57,AN57)+BD57,AV57)</f>
        <v>2754</v>
      </c>
      <c r="BM57" s="17">
        <f t="shared" si="55"/>
        <v>37908</v>
      </c>
      <c r="BN57" s="17">
        <f t="shared" si="56"/>
        <v>13036.363294053648</v>
      </c>
      <c r="BO57" s="17">
        <f t="shared" si="57"/>
        <v>0</v>
      </c>
      <c r="BP57" s="17">
        <f t="shared" si="58"/>
        <v>30.923939522876392</v>
      </c>
      <c r="BQ57" s="17">
        <f t="shared" si="59"/>
        <v>932.99161469028547</v>
      </c>
      <c r="BR57" s="17">
        <f t="shared" si="60"/>
        <v>0</v>
      </c>
      <c r="BS57" s="15">
        <f t="shared" si="29"/>
        <v>0</v>
      </c>
      <c r="BU57" s="14">
        <v>14</v>
      </c>
      <c r="BV57" s="15">
        <f t="shared" si="30"/>
        <v>2</v>
      </c>
      <c r="BW57" s="16">
        <f>(1+INDEX('1 - Input'!$B$34:$E$63,BV57,'1 - Input'!$B$16))^(1/12)-1</f>
        <v>4.1219243192651689E-3</v>
      </c>
      <c r="BX57" s="17">
        <f>'1 - Input'!$B$7*(1+'1 - Input'!$B$12)^(BV57-1)</f>
        <v>2754</v>
      </c>
      <c r="BY57" s="17">
        <f t="shared" si="61"/>
        <v>476228.4671294486</v>
      </c>
      <c r="BZ57" s="17">
        <f t="shared" si="62"/>
        <v>450437.8</v>
      </c>
      <c r="CA57" s="17">
        <f t="shared" si="31"/>
        <v>478191.44482963585</v>
      </c>
      <c r="CB57" s="17">
        <f>IF(CA57&gt;0,'1 - Input'!$B$8/12*CA57,0)</f>
        <v>3586.4358362222688</v>
      </c>
      <c r="CC57" s="17">
        <f t="shared" si="32"/>
        <v>474605.00899341359</v>
      </c>
      <c r="CD57" s="17">
        <f t="shared" si="33"/>
        <v>3586.4358362222688</v>
      </c>
      <c r="CE57" s="17">
        <f>'1 - Input'!$B$22*(CB57-CD57)</f>
        <v>0</v>
      </c>
      <c r="CF57" s="17">
        <f t="shared" si="34"/>
        <v>3586.4358362222688</v>
      </c>
      <c r="CG57" s="17">
        <f t="shared" si="35"/>
        <v>446851.36416377773</v>
      </c>
      <c r="CH57" s="17">
        <f>IF('1 - Input'!$B$17=1,MAX(0,CF57-BX57),0)</f>
        <v>832.43583622226879</v>
      </c>
      <c r="CI57" s="17">
        <f>IF('1 - Input'!$B$17=1,MAX(0,BX57-CF57),0)</f>
        <v>0</v>
      </c>
      <c r="CJ57" s="17">
        <f t="shared" si="36"/>
        <v>5.8477353385920527E-2</v>
      </c>
      <c r="CK57" s="17">
        <f>IF(AND(CI57&gt;0,CC57&gt;0),CI57/(1-'1 - Input'!$B$22*CJ57),0)</f>
        <v>0</v>
      </c>
      <c r="CL57" s="17">
        <f t="shared" si="37"/>
        <v>0</v>
      </c>
      <c r="CM57" s="17">
        <f>'1 - Input'!$B$22*CJ57*CL57</f>
        <v>0</v>
      </c>
      <c r="CN57" s="17">
        <f t="shared" si="38"/>
        <v>0</v>
      </c>
      <c r="CO57" s="17">
        <f t="shared" si="39"/>
        <v>0</v>
      </c>
      <c r="CP57" s="17">
        <f t="shared" si="40"/>
        <v>0</v>
      </c>
      <c r="CQ57" s="17">
        <f t="shared" si="41"/>
        <v>475437.44482963585</v>
      </c>
      <c r="CR57" s="17">
        <f t="shared" si="42"/>
        <v>447683.8</v>
      </c>
      <c r="CS57" s="17">
        <f>IF(MOD(BU57,12)=0,CQ57*'1 - Input'!$B$23,0)</f>
        <v>0</v>
      </c>
      <c r="CT57" s="17">
        <f t="shared" si="43"/>
        <v>475437.44482963585</v>
      </c>
      <c r="CU57" s="17">
        <f>IF(MOD(BU57,12)=0,CR57*(1-'1 - Input'!$B$23),CR57)</f>
        <v>447683.8</v>
      </c>
      <c r="CV57" s="17">
        <f>IF('1 - Input'!$B$17=1,MIN(CF57,BX57)+CN57,CF57)</f>
        <v>2754</v>
      </c>
      <c r="CW57" s="17">
        <f t="shared" si="63"/>
        <v>37908</v>
      </c>
      <c r="CX57" s="17">
        <f t="shared" si="64"/>
        <v>0</v>
      </c>
      <c r="CY57" s="17">
        <f t="shared" si="65"/>
        <v>0</v>
      </c>
      <c r="CZ57" s="17">
        <f t="shared" si="66"/>
        <v>0</v>
      </c>
      <c r="DA57" s="17">
        <f t="shared" si="67"/>
        <v>955.94437330603489</v>
      </c>
      <c r="DB57" s="17">
        <f t="shared" si="68"/>
        <v>0</v>
      </c>
      <c r="DC57" s="15">
        <f t="shared" si="44"/>
        <v>0</v>
      </c>
    </row>
    <row r="58" spans="1:107">
      <c r="A58" s="14">
        <v>15</v>
      </c>
      <c r="B58" s="15">
        <f t="shared" si="0"/>
        <v>2</v>
      </c>
      <c r="C58" s="16">
        <f>(1+INDEX('1 - Input'!$B$34:$E$63,B58,'1 - Input'!$B$16))^(1/12)-1</f>
        <v>4.1219243192651689E-3</v>
      </c>
      <c r="D58" s="17">
        <f>'1 - Input'!$B$7*(1+'1 - Input'!$B$12)^(B58-1)</f>
        <v>2754</v>
      </c>
      <c r="E58" s="17">
        <f t="shared" si="45"/>
        <v>462065.88658649917</v>
      </c>
      <c r="F58" s="17">
        <f t="shared" si="46"/>
        <v>484692.55402638949</v>
      </c>
      <c r="G58" s="17">
        <f t="shared" si="1"/>
        <v>463970.48720152286</v>
      </c>
      <c r="H58" s="17">
        <f>IF(G58&gt;0,'1 - Input'!$B$8/12*G58,0)</f>
        <v>3479.7786540114212</v>
      </c>
      <c r="I58" s="17">
        <f t="shared" si="2"/>
        <v>460490.70854751143</v>
      </c>
      <c r="J58" s="17">
        <f t="shared" si="3"/>
        <v>0</v>
      </c>
      <c r="K58" s="17">
        <f>'1 - Input'!$B$22*(H58-J58)</f>
        <v>904.74245004296949</v>
      </c>
      <c r="L58" s="17">
        <f t="shared" si="4"/>
        <v>2575.0362039684514</v>
      </c>
      <c r="M58" s="17">
        <f t="shared" si="5"/>
        <v>484692.55402638949</v>
      </c>
      <c r="N58" s="17">
        <f>IF('1 - Input'!$B$17=1,MAX(0,L58-D58),0)</f>
        <v>0</v>
      </c>
      <c r="O58" s="17">
        <f>IF('1 - Input'!$B$17=1,MAX(0,D58-L58),0)</f>
        <v>178.96379603154855</v>
      </c>
      <c r="P58" s="17">
        <f t="shared" si="6"/>
        <v>0</v>
      </c>
      <c r="Q58" s="17">
        <f>IF(AND(O58&gt;0,I58&gt;0),O58/(1-'1 - Input'!$B$22*P58),0)</f>
        <v>178.96379603154855</v>
      </c>
      <c r="R58" s="17">
        <f t="shared" si="7"/>
        <v>178.96379603154855</v>
      </c>
      <c r="S58" s="17">
        <f>'1 - Input'!$B$22*P58*R58</f>
        <v>0</v>
      </c>
      <c r="T58" s="17">
        <f t="shared" si="8"/>
        <v>178.96379603154855</v>
      </c>
      <c r="U58" s="17">
        <f t="shared" si="9"/>
        <v>0</v>
      </c>
      <c r="V58" s="17">
        <f t="shared" si="10"/>
        <v>9.4057362232795416</v>
      </c>
      <c r="W58" s="17">
        <f t="shared" si="11"/>
        <v>460311.74475147988</v>
      </c>
      <c r="X58" s="17">
        <f t="shared" si="12"/>
        <v>484504.18449413468</v>
      </c>
      <c r="Y58" s="17">
        <f>IF(MOD(A58,12)=0,W58*'1 - Input'!$B$23,0)</f>
        <v>0</v>
      </c>
      <c r="Z58" s="17">
        <f t="shared" si="13"/>
        <v>460311.74475147988</v>
      </c>
      <c r="AA58" s="17">
        <f>IF(MOD(A58,12)=0,X58*(1-'1 - Input'!$B$23),X58)</f>
        <v>484504.18449413468</v>
      </c>
      <c r="AB58" s="17">
        <f>IF('1 - Input'!$B$17=1,MIN(L58,D58)+T58,L58)</f>
        <v>2754</v>
      </c>
      <c r="AC58" s="17">
        <f t="shared" si="47"/>
        <v>40662</v>
      </c>
      <c r="AD58" s="17">
        <f t="shared" si="48"/>
        <v>13941.105744096618</v>
      </c>
      <c r="AE58" s="17">
        <f t="shared" si="49"/>
        <v>0</v>
      </c>
      <c r="AF58" s="17">
        <f t="shared" si="50"/>
        <v>40.329675746155935</v>
      </c>
      <c r="AG58" s="17">
        <f t="shared" si="51"/>
        <v>932.99161469028547</v>
      </c>
      <c r="AH58" s="17">
        <f t="shared" si="52"/>
        <v>0</v>
      </c>
      <c r="AI58" s="15">
        <f t="shared" si="14"/>
        <v>0</v>
      </c>
      <c r="AK58" s="14">
        <v>15</v>
      </c>
      <c r="AL58" s="15">
        <f t="shared" si="15"/>
        <v>2</v>
      </c>
      <c r="AM58" s="16">
        <f>(1+INDEX('1 - Input'!$B$34:$E$63,AL58,'1 - Input'!$B$16))^(1/12)-1</f>
        <v>4.1219243192651689E-3</v>
      </c>
      <c r="AN58" s="17">
        <f>'1 - Input'!$B$7*(1+'1 - Input'!$B$12)^(AL58-1)</f>
        <v>2754</v>
      </c>
      <c r="AO58" s="17">
        <f t="shared" si="53"/>
        <v>462065.88658649917</v>
      </c>
      <c r="AP58" s="17">
        <f t="shared" si="54"/>
        <v>484692.55402638949</v>
      </c>
      <c r="AQ58" s="17">
        <f t="shared" si="16"/>
        <v>463970.48720152286</v>
      </c>
      <c r="AR58" s="17">
        <f>IF(AQ58&gt;0,'1 - Input'!$B$8/12*AQ58,0)</f>
        <v>3479.7786540114212</v>
      </c>
      <c r="AS58" s="17">
        <f t="shared" si="17"/>
        <v>460490.70854751143</v>
      </c>
      <c r="AT58" s="17">
        <f t="shared" si="18"/>
        <v>0</v>
      </c>
      <c r="AU58" s="17">
        <f>'1 - Input'!$B$22*(AR58-AT58)</f>
        <v>904.74245004296949</v>
      </c>
      <c r="AV58" s="17">
        <f t="shared" si="19"/>
        <v>2575.0362039684514</v>
      </c>
      <c r="AW58" s="17">
        <f t="shared" si="20"/>
        <v>484692.55402638949</v>
      </c>
      <c r="AX58" s="17">
        <f>IF('1 - Input'!$B$17=1,MAX(0,AV58-AN58),0)</f>
        <v>0</v>
      </c>
      <c r="AY58" s="17">
        <f>IF('1 - Input'!$B$17=1,MAX(0,AN58-AV58),0)</f>
        <v>178.96379603154855</v>
      </c>
      <c r="AZ58" s="17">
        <f t="shared" si="21"/>
        <v>0</v>
      </c>
      <c r="BA58" s="17">
        <f>IF(AND(AY58&gt;0,AS58&gt;0),AY58/(1-'1 - Input'!$B$22*AZ58),0)</f>
        <v>178.96379603154855</v>
      </c>
      <c r="BB58" s="17">
        <f t="shared" si="22"/>
        <v>178.96379603154855</v>
      </c>
      <c r="BC58" s="17">
        <f>'1 - Input'!$B$22*AZ58*BB58</f>
        <v>0</v>
      </c>
      <c r="BD58" s="17">
        <f t="shared" si="23"/>
        <v>178.96379603154855</v>
      </c>
      <c r="BE58" s="17">
        <f t="shared" si="24"/>
        <v>0</v>
      </c>
      <c r="BF58" s="17">
        <f t="shared" si="25"/>
        <v>9.4057362232795416</v>
      </c>
      <c r="BG58" s="17">
        <f t="shared" si="26"/>
        <v>460311.74475147988</v>
      </c>
      <c r="BH58" s="17">
        <f t="shared" si="27"/>
        <v>484504.18449413468</v>
      </c>
      <c r="BI58" s="17">
        <f>IF(MOD(AK58,12)=0,BG58*'1 - Input'!$B$23,0)</f>
        <v>0</v>
      </c>
      <c r="BJ58" s="17">
        <f t="shared" si="28"/>
        <v>460311.74475147988</v>
      </c>
      <c r="BK58" s="17">
        <f>IF(MOD(AK58,12)=0,BH58*(1-'1 - Input'!$B$23),BH58)</f>
        <v>484504.18449413468</v>
      </c>
      <c r="BL58" s="17">
        <f>IF('1 - Input'!$B$17=1,MIN(AV58,AN58)+BD58,AV58)</f>
        <v>2754</v>
      </c>
      <c r="BM58" s="17">
        <f t="shared" si="55"/>
        <v>40662</v>
      </c>
      <c r="BN58" s="17">
        <f t="shared" si="56"/>
        <v>13941.105744096618</v>
      </c>
      <c r="BO58" s="17">
        <f t="shared" si="57"/>
        <v>0</v>
      </c>
      <c r="BP58" s="17">
        <f t="shared" si="58"/>
        <v>40.329675746155935</v>
      </c>
      <c r="BQ58" s="17">
        <f t="shared" si="59"/>
        <v>932.99161469028547</v>
      </c>
      <c r="BR58" s="17">
        <f t="shared" si="60"/>
        <v>0</v>
      </c>
      <c r="BS58" s="15">
        <f t="shared" si="29"/>
        <v>0</v>
      </c>
      <c r="BU58" s="14">
        <v>15</v>
      </c>
      <c r="BV58" s="15">
        <f t="shared" si="30"/>
        <v>2</v>
      </c>
      <c r="BW58" s="16">
        <f>(1+INDEX('1 - Input'!$B$34:$E$63,BV58,'1 - Input'!$B$16))^(1/12)-1</f>
        <v>4.1219243192651689E-3</v>
      </c>
      <c r="BX58" s="17">
        <f>'1 - Input'!$B$7*(1+'1 - Input'!$B$12)^(BV58-1)</f>
        <v>2754</v>
      </c>
      <c r="BY58" s="17">
        <f t="shared" si="61"/>
        <v>475437.44482963585</v>
      </c>
      <c r="BZ58" s="17">
        <f t="shared" si="62"/>
        <v>447683.8</v>
      </c>
      <c r="CA58" s="17">
        <f t="shared" si="31"/>
        <v>477397.16199576843</v>
      </c>
      <c r="CB58" s="17">
        <f>IF(CA58&gt;0,'1 - Input'!$B$8/12*CA58,0)</f>
        <v>3580.4787149682629</v>
      </c>
      <c r="CC58" s="17">
        <f t="shared" si="32"/>
        <v>473816.68328080018</v>
      </c>
      <c r="CD58" s="17">
        <f t="shared" si="33"/>
        <v>3580.4787149682629</v>
      </c>
      <c r="CE58" s="17">
        <f>'1 - Input'!$B$22*(CB58-CD58)</f>
        <v>0</v>
      </c>
      <c r="CF58" s="17">
        <f t="shared" si="34"/>
        <v>3580.4787149682629</v>
      </c>
      <c r="CG58" s="17">
        <f t="shared" si="35"/>
        <v>444103.32128503174</v>
      </c>
      <c r="CH58" s="17">
        <f>IF('1 - Input'!$B$17=1,MAX(0,CF58-BX58),0)</f>
        <v>826.47871496826292</v>
      </c>
      <c r="CI58" s="17">
        <f>IF('1 - Input'!$B$17=1,MAX(0,BX58-CF58),0)</f>
        <v>0</v>
      </c>
      <c r="CJ58" s="17">
        <f t="shared" si="36"/>
        <v>6.2710670696580983E-2</v>
      </c>
      <c r="CK58" s="17">
        <f>IF(AND(CI58&gt;0,CC58&gt;0),CI58/(1-'1 - Input'!$B$22*CJ58),0)</f>
        <v>0</v>
      </c>
      <c r="CL58" s="17">
        <f t="shared" si="37"/>
        <v>0</v>
      </c>
      <c r="CM58" s="17">
        <f>'1 - Input'!$B$22*CJ58*CL58</f>
        <v>0</v>
      </c>
      <c r="CN58" s="17">
        <f t="shared" si="38"/>
        <v>0</v>
      </c>
      <c r="CO58" s="17">
        <f t="shared" si="39"/>
        <v>0</v>
      </c>
      <c r="CP58" s="17">
        <f t="shared" si="40"/>
        <v>0</v>
      </c>
      <c r="CQ58" s="17">
        <f t="shared" si="41"/>
        <v>474643.16199576843</v>
      </c>
      <c r="CR58" s="17">
        <f t="shared" si="42"/>
        <v>444929.8</v>
      </c>
      <c r="CS58" s="17">
        <f>IF(MOD(BU58,12)=0,CQ58*'1 - Input'!$B$23,0)</f>
        <v>0</v>
      </c>
      <c r="CT58" s="17">
        <f t="shared" si="43"/>
        <v>474643.16199576843</v>
      </c>
      <c r="CU58" s="17">
        <f>IF(MOD(BU58,12)=0,CR58*(1-'1 - Input'!$B$23),CR58)</f>
        <v>444929.8</v>
      </c>
      <c r="CV58" s="17">
        <f>IF('1 - Input'!$B$17=1,MIN(CF58,BX58)+CN58,CF58)</f>
        <v>2754</v>
      </c>
      <c r="CW58" s="17">
        <f t="shared" si="63"/>
        <v>40662</v>
      </c>
      <c r="CX58" s="17">
        <f t="shared" si="64"/>
        <v>0</v>
      </c>
      <c r="CY58" s="17">
        <f t="shared" si="65"/>
        <v>0</v>
      </c>
      <c r="CZ58" s="17">
        <f t="shared" si="66"/>
        <v>0</v>
      </c>
      <c r="DA58" s="17">
        <f t="shared" si="67"/>
        <v>955.94437330603489</v>
      </c>
      <c r="DB58" s="17">
        <f t="shared" si="68"/>
        <v>0</v>
      </c>
      <c r="DC58" s="15">
        <f t="shared" si="44"/>
        <v>0</v>
      </c>
    </row>
    <row r="59" spans="1:107">
      <c r="A59" s="14">
        <v>16</v>
      </c>
      <c r="B59" s="15">
        <f t="shared" si="0"/>
        <v>2</v>
      </c>
      <c r="C59" s="16">
        <f>(1+INDEX('1 - Input'!$B$34:$E$63,B59,'1 - Input'!$B$16))^(1/12)-1</f>
        <v>4.1219243192651689E-3</v>
      </c>
      <c r="D59" s="17">
        <f>'1 - Input'!$B$7*(1+'1 - Input'!$B$12)^(B59-1)</f>
        <v>2754</v>
      </c>
      <c r="E59" s="17">
        <f t="shared" si="45"/>
        <v>460311.74475147988</v>
      </c>
      <c r="F59" s="17">
        <f t="shared" si="46"/>
        <v>484504.18449413468</v>
      </c>
      <c r="G59" s="17">
        <f t="shared" si="1"/>
        <v>462209.11492661439</v>
      </c>
      <c r="H59" s="17">
        <f>IF(G59&gt;0,'1 - Input'!$B$8/12*G59,0)</f>
        <v>3466.5683619496076</v>
      </c>
      <c r="I59" s="17">
        <f t="shared" si="2"/>
        <v>458742.54656466481</v>
      </c>
      <c r="J59" s="17">
        <f t="shared" si="3"/>
        <v>0</v>
      </c>
      <c r="K59" s="17">
        <f>'1 - Input'!$B$22*(H59-J59)</f>
        <v>901.30777410689802</v>
      </c>
      <c r="L59" s="17">
        <f t="shared" si="4"/>
        <v>2565.2605878427094</v>
      </c>
      <c r="M59" s="17">
        <f t="shared" si="5"/>
        <v>484504.18449413468</v>
      </c>
      <c r="N59" s="17">
        <f>IF('1 - Input'!$B$17=1,MAX(0,L59-D59),0)</f>
        <v>0</v>
      </c>
      <c r="O59" s="17">
        <f>IF('1 - Input'!$B$17=1,MAX(0,D59-L59),0)</f>
        <v>188.73941215729064</v>
      </c>
      <c r="P59" s="17">
        <f t="shared" si="6"/>
        <v>0</v>
      </c>
      <c r="Q59" s="17">
        <f>IF(AND(O59&gt;0,I59&gt;0),O59/(1-'1 - Input'!$B$22*P59),0)</f>
        <v>188.73941215729064</v>
      </c>
      <c r="R59" s="17">
        <f t="shared" si="7"/>
        <v>188.73941215729064</v>
      </c>
      <c r="S59" s="17">
        <f>'1 - Input'!$B$22*P59*R59</f>
        <v>0</v>
      </c>
      <c r="T59" s="17">
        <f t="shared" si="8"/>
        <v>188.73941215729064</v>
      </c>
      <c r="U59" s="17">
        <f t="shared" si="9"/>
        <v>0</v>
      </c>
      <c r="V59" s="17">
        <f t="shared" si="10"/>
        <v>10.599052639499893</v>
      </c>
      <c r="W59" s="17">
        <f t="shared" si="11"/>
        <v>458553.80715250754</v>
      </c>
      <c r="X59" s="17">
        <f t="shared" si="12"/>
        <v>484304.8460293379</v>
      </c>
      <c r="Y59" s="17">
        <f>IF(MOD(A59,12)=0,W59*'1 - Input'!$B$23,0)</f>
        <v>0</v>
      </c>
      <c r="Z59" s="17">
        <f t="shared" si="13"/>
        <v>458553.80715250754</v>
      </c>
      <c r="AA59" s="17">
        <f>IF(MOD(A59,12)=0,X59*(1-'1 - Input'!$B$23),X59)</f>
        <v>484304.8460293379</v>
      </c>
      <c r="AB59" s="17">
        <f>IF('1 - Input'!$B$17=1,MIN(L59,D59)+T59,L59)</f>
        <v>2754</v>
      </c>
      <c r="AC59" s="17">
        <f t="shared" si="47"/>
        <v>43416</v>
      </c>
      <c r="AD59" s="17">
        <f t="shared" si="48"/>
        <v>14842.413518203515</v>
      </c>
      <c r="AE59" s="17">
        <f t="shared" si="49"/>
        <v>0</v>
      </c>
      <c r="AF59" s="17">
        <f t="shared" si="50"/>
        <v>50.92872838565583</v>
      </c>
      <c r="AG59" s="17">
        <f t="shared" si="51"/>
        <v>932.99161469028547</v>
      </c>
      <c r="AH59" s="17">
        <f t="shared" si="52"/>
        <v>0</v>
      </c>
      <c r="AI59" s="15">
        <f t="shared" si="14"/>
        <v>0</v>
      </c>
      <c r="AK59" s="14">
        <v>16</v>
      </c>
      <c r="AL59" s="15">
        <f t="shared" si="15"/>
        <v>2</v>
      </c>
      <c r="AM59" s="16">
        <f>(1+INDEX('1 - Input'!$B$34:$E$63,AL59,'1 - Input'!$B$16))^(1/12)-1</f>
        <v>4.1219243192651689E-3</v>
      </c>
      <c r="AN59" s="17">
        <f>'1 - Input'!$B$7*(1+'1 - Input'!$B$12)^(AL59-1)</f>
        <v>2754</v>
      </c>
      <c r="AO59" s="17">
        <f t="shared" si="53"/>
        <v>460311.74475147988</v>
      </c>
      <c r="AP59" s="17">
        <f t="shared" si="54"/>
        <v>484504.18449413468</v>
      </c>
      <c r="AQ59" s="17">
        <f t="shared" si="16"/>
        <v>462209.11492661439</v>
      </c>
      <c r="AR59" s="17">
        <f>IF(AQ59&gt;0,'1 - Input'!$B$8/12*AQ59,0)</f>
        <v>3466.5683619496076</v>
      </c>
      <c r="AS59" s="17">
        <f t="shared" si="17"/>
        <v>458742.54656466481</v>
      </c>
      <c r="AT59" s="17">
        <f t="shared" si="18"/>
        <v>0</v>
      </c>
      <c r="AU59" s="17">
        <f>'1 - Input'!$B$22*(AR59-AT59)</f>
        <v>901.30777410689802</v>
      </c>
      <c r="AV59" s="17">
        <f t="shared" si="19"/>
        <v>2565.2605878427094</v>
      </c>
      <c r="AW59" s="17">
        <f t="shared" si="20"/>
        <v>484504.18449413468</v>
      </c>
      <c r="AX59" s="17">
        <f>IF('1 - Input'!$B$17=1,MAX(0,AV59-AN59),0)</f>
        <v>0</v>
      </c>
      <c r="AY59" s="17">
        <f>IF('1 - Input'!$B$17=1,MAX(0,AN59-AV59),0)</f>
        <v>188.73941215729064</v>
      </c>
      <c r="AZ59" s="17">
        <f t="shared" si="21"/>
        <v>0</v>
      </c>
      <c r="BA59" s="17">
        <f>IF(AND(AY59&gt;0,AS59&gt;0),AY59/(1-'1 - Input'!$B$22*AZ59),0)</f>
        <v>188.73941215729064</v>
      </c>
      <c r="BB59" s="17">
        <f t="shared" si="22"/>
        <v>188.73941215729064</v>
      </c>
      <c r="BC59" s="17">
        <f>'1 - Input'!$B$22*AZ59*BB59</f>
        <v>0</v>
      </c>
      <c r="BD59" s="17">
        <f t="shared" si="23"/>
        <v>188.73941215729064</v>
      </c>
      <c r="BE59" s="17">
        <f t="shared" si="24"/>
        <v>0</v>
      </c>
      <c r="BF59" s="17">
        <f t="shared" si="25"/>
        <v>10.599052639499893</v>
      </c>
      <c r="BG59" s="17">
        <f t="shared" si="26"/>
        <v>458553.80715250754</v>
      </c>
      <c r="BH59" s="17">
        <f t="shared" si="27"/>
        <v>484304.8460293379</v>
      </c>
      <c r="BI59" s="17">
        <f>IF(MOD(AK59,12)=0,BG59*'1 - Input'!$B$23,0)</f>
        <v>0</v>
      </c>
      <c r="BJ59" s="17">
        <f t="shared" si="28"/>
        <v>458553.80715250754</v>
      </c>
      <c r="BK59" s="17">
        <f>IF(MOD(AK59,12)=0,BH59*(1-'1 - Input'!$B$23),BH59)</f>
        <v>484304.8460293379</v>
      </c>
      <c r="BL59" s="17">
        <f>IF('1 - Input'!$B$17=1,MIN(AV59,AN59)+BD59,AV59)</f>
        <v>2754</v>
      </c>
      <c r="BM59" s="17">
        <f t="shared" si="55"/>
        <v>43416</v>
      </c>
      <c r="BN59" s="17">
        <f t="shared" si="56"/>
        <v>14842.413518203515</v>
      </c>
      <c r="BO59" s="17">
        <f t="shared" si="57"/>
        <v>0</v>
      </c>
      <c r="BP59" s="17">
        <f t="shared" si="58"/>
        <v>50.92872838565583</v>
      </c>
      <c r="BQ59" s="17">
        <f t="shared" si="59"/>
        <v>932.99161469028547</v>
      </c>
      <c r="BR59" s="17">
        <f t="shared" si="60"/>
        <v>0</v>
      </c>
      <c r="BS59" s="15">
        <f t="shared" si="29"/>
        <v>0</v>
      </c>
      <c r="BU59" s="14">
        <v>16</v>
      </c>
      <c r="BV59" s="15">
        <f t="shared" si="30"/>
        <v>2</v>
      </c>
      <c r="BW59" s="16">
        <f>(1+INDEX('1 - Input'!$B$34:$E$63,BV59,'1 - Input'!$B$16))^(1/12)-1</f>
        <v>4.1219243192651689E-3</v>
      </c>
      <c r="BX59" s="17">
        <f>'1 - Input'!$B$7*(1+'1 - Input'!$B$12)^(BV59-1)</f>
        <v>2754</v>
      </c>
      <c r="BY59" s="17">
        <f t="shared" si="61"/>
        <v>474643.16199576843</v>
      </c>
      <c r="BZ59" s="17">
        <f t="shared" si="62"/>
        <v>444929.8</v>
      </c>
      <c r="CA59" s="17">
        <f t="shared" si="31"/>
        <v>476599.60518817173</v>
      </c>
      <c r="CB59" s="17">
        <f>IF(CA59&gt;0,'1 - Input'!$B$8/12*CA59,0)</f>
        <v>3574.4970389112877</v>
      </c>
      <c r="CC59" s="17">
        <f t="shared" si="32"/>
        <v>473025.10814926046</v>
      </c>
      <c r="CD59" s="17">
        <f t="shared" si="33"/>
        <v>3574.4970389112877</v>
      </c>
      <c r="CE59" s="17">
        <f>'1 - Input'!$B$22*(CB59-CD59)</f>
        <v>0</v>
      </c>
      <c r="CF59" s="17">
        <f t="shared" si="34"/>
        <v>3574.4970389112877</v>
      </c>
      <c r="CG59" s="17">
        <f t="shared" si="35"/>
        <v>441355.30296108872</v>
      </c>
      <c r="CH59" s="17">
        <f>IF('1 - Input'!$B$17=1,MAX(0,CF59-BX59),0)</f>
        <v>820.49703891128775</v>
      </c>
      <c r="CI59" s="17">
        <f>IF('1 - Input'!$B$17=1,MAX(0,BX59-CF59),0)</f>
        <v>0</v>
      </c>
      <c r="CJ59" s="17">
        <f t="shared" si="36"/>
        <v>6.6951636694470129E-2</v>
      </c>
      <c r="CK59" s="17">
        <f>IF(AND(CI59&gt;0,CC59&gt;0),CI59/(1-'1 - Input'!$B$22*CJ59),0)</f>
        <v>0</v>
      </c>
      <c r="CL59" s="17">
        <f t="shared" si="37"/>
        <v>0</v>
      </c>
      <c r="CM59" s="17">
        <f>'1 - Input'!$B$22*CJ59*CL59</f>
        <v>0</v>
      </c>
      <c r="CN59" s="17">
        <f t="shared" si="38"/>
        <v>0</v>
      </c>
      <c r="CO59" s="17">
        <f t="shared" si="39"/>
        <v>0</v>
      </c>
      <c r="CP59" s="17">
        <f t="shared" si="40"/>
        <v>0</v>
      </c>
      <c r="CQ59" s="17">
        <f t="shared" si="41"/>
        <v>473845.60518817173</v>
      </c>
      <c r="CR59" s="17">
        <f t="shared" si="42"/>
        <v>442175.8</v>
      </c>
      <c r="CS59" s="17">
        <f>IF(MOD(BU59,12)=0,CQ59*'1 - Input'!$B$23,0)</f>
        <v>0</v>
      </c>
      <c r="CT59" s="17">
        <f t="shared" si="43"/>
        <v>473845.60518817173</v>
      </c>
      <c r="CU59" s="17">
        <f>IF(MOD(BU59,12)=0,CR59*(1-'1 - Input'!$B$23),CR59)</f>
        <v>442175.8</v>
      </c>
      <c r="CV59" s="17">
        <f>IF('1 - Input'!$B$17=1,MIN(CF59,BX59)+CN59,CF59)</f>
        <v>2754</v>
      </c>
      <c r="CW59" s="17">
        <f t="shared" si="63"/>
        <v>43416</v>
      </c>
      <c r="CX59" s="17">
        <f t="shared" si="64"/>
        <v>0</v>
      </c>
      <c r="CY59" s="17">
        <f t="shared" si="65"/>
        <v>0</v>
      </c>
      <c r="CZ59" s="17">
        <f t="shared" si="66"/>
        <v>0</v>
      </c>
      <c r="DA59" s="17">
        <f t="shared" si="67"/>
        <v>955.94437330603489</v>
      </c>
      <c r="DB59" s="17">
        <f t="shared" si="68"/>
        <v>0</v>
      </c>
      <c r="DC59" s="15">
        <f t="shared" si="44"/>
        <v>0</v>
      </c>
    </row>
    <row r="60" spans="1:107">
      <c r="A60" s="14">
        <v>17</v>
      </c>
      <c r="B60" s="15">
        <f t="shared" si="0"/>
        <v>2</v>
      </c>
      <c r="C60" s="16">
        <f>(1+INDEX('1 - Input'!$B$34:$E$63,B60,'1 - Input'!$B$16))^(1/12)-1</f>
        <v>4.1219243192651689E-3</v>
      </c>
      <c r="D60" s="17">
        <f>'1 - Input'!$B$7*(1+'1 - Input'!$B$12)^(B60-1)</f>
        <v>2754</v>
      </c>
      <c r="E60" s="17">
        <f t="shared" si="45"/>
        <v>458553.80715250754</v>
      </c>
      <c r="F60" s="17">
        <f t="shared" si="46"/>
        <v>484304.8460293379</v>
      </c>
      <c r="G60" s="17">
        <f t="shared" si="1"/>
        <v>460443.93124190107</v>
      </c>
      <c r="H60" s="17">
        <f>IF(G60&gt;0,'1 - Input'!$B$8/12*G60,0)</f>
        <v>3453.329484314258</v>
      </c>
      <c r="I60" s="17">
        <f t="shared" si="2"/>
        <v>456990.60175758682</v>
      </c>
      <c r="J60" s="17">
        <f t="shared" si="3"/>
        <v>0</v>
      </c>
      <c r="K60" s="17">
        <f>'1 - Input'!$B$22*(H60-J60)</f>
        <v>897.86566592170709</v>
      </c>
      <c r="L60" s="17">
        <f t="shared" si="4"/>
        <v>2555.4638183925508</v>
      </c>
      <c r="M60" s="17">
        <f t="shared" si="5"/>
        <v>484304.8460293379</v>
      </c>
      <c r="N60" s="17">
        <f>IF('1 - Input'!$B$17=1,MAX(0,L60-D60),0)</f>
        <v>0</v>
      </c>
      <c r="O60" s="17">
        <f>IF('1 - Input'!$B$17=1,MAX(0,D60-L60),0)</f>
        <v>198.53618160744918</v>
      </c>
      <c r="P60" s="17">
        <f t="shared" si="6"/>
        <v>0</v>
      </c>
      <c r="Q60" s="17">
        <f>IF(AND(O60&gt;0,I60&gt;0),O60/(1-'1 - Input'!$B$22*P60),0)</f>
        <v>198.53618160744918</v>
      </c>
      <c r="R60" s="17">
        <f t="shared" si="7"/>
        <v>198.53618160744918</v>
      </c>
      <c r="S60" s="17">
        <f>'1 - Input'!$B$22*P60*R60</f>
        <v>0</v>
      </c>
      <c r="T60" s="17">
        <f t="shared" si="8"/>
        <v>198.53618160744918</v>
      </c>
      <c r="U60" s="17">
        <f t="shared" si="9"/>
        <v>0</v>
      </c>
      <c r="V60" s="17">
        <f t="shared" si="10"/>
        <v>11.86647108354142</v>
      </c>
      <c r="W60" s="17">
        <f t="shared" si="11"/>
        <v>456792.06557597936</v>
      </c>
      <c r="X60" s="17">
        <f t="shared" si="12"/>
        <v>484094.4433766469</v>
      </c>
      <c r="Y60" s="17">
        <f>IF(MOD(A60,12)=0,W60*'1 - Input'!$B$23,0)</f>
        <v>0</v>
      </c>
      <c r="Z60" s="17">
        <f t="shared" si="13"/>
        <v>456792.06557597936</v>
      </c>
      <c r="AA60" s="17">
        <f>IF(MOD(A60,12)=0,X60*(1-'1 - Input'!$B$23),X60)</f>
        <v>484094.4433766469</v>
      </c>
      <c r="AB60" s="17">
        <f>IF('1 - Input'!$B$17=1,MIN(L60,D60)+T60,L60)</f>
        <v>2754</v>
      </c>
      <c r="AC60" s="17">
        <f t="shared" si="47"/>
        <v>46170</v>
      </c>
      <c r="AD60" s="17">
        <f t="shared" si="48"/>
        <v>15740.279184125222</v>
      </c>
      <c r="AE60" s="17">
        <f t="shared" si="49"/>
        <v>0</v>
      </c>
      <c r="AF60" s="17">
        <f t="shared" si="50"/>
        <v>62.79519946919725</v>
      </c>
      <c r="AG60" s="17">
        <f t="shared" si="51"/>
        <v>932.99161469028547</v>
      </c>
      <c r="AH60" s="17">
        <f t="shared" si="52"/>
        <v>0</v>
      </c>
      <c r="AI60" s="15">
        <f t="shared" si="14"/>
        <v>0</v>
      </c>
      <c r="AK60" s="14">
        <v>17</v>
      </c>
      <c r="AL60" s="15">
        <f t="shared" si="15"/>
        <v>2</v>
      </c>
      <c r="AM60" s="16">
        <f>(1+INDEX('1 - Input'!$B$34:$E$63,AL60,'1 - Input'!$B$16))^(1/12)-1</f>
        <v>4.1219243192651689E-3</v>
      </c>
      <c r="AN60" s="17">
        <f>'1 - Input'!$B$7*(1+'1 - Input'!$B$12)^(AL60-1)</f>
        <v>2754</v>
      </c>
      <c r="AO60" s="17">
        <f t="shared" si="53"/>
        <v>458553.80715250754</v>
      </c>
      <c r="AP60" s="17">
        <f t="shared" si="54"/>
        <v>484304.8460293379</v>
      </c>
      <c r="AQ60" s="17">
        <f t="shared" si="16"/>
        <v>460443.93124190107</v>
      </c>
      <c r="AR60" s="17">
        <f>IF(AQ60&gt;0,'1 - Input'!$B$8/12*AQ60,0)</f>
        <v>3453.329484314258</v>
      </c>
      <c r="AS60" s="17">
        <f t="shared" si="17"/>
        <v>456990.60175758682</v>
      </c>
      <c r="AT60" s="17">
        <f t="shared" si="18"/>
        <v>0</v>
      </c>
      <c r="AU60" s="17">
        <f>'1 - Input'!$B$22*(AR60-AT60)</f>
        <v>897.86566592170709</v>
      </c>
      <c r="AV60" s="17">
        <f t="shared" si="19"/>
        <v>2555.4638183925508</v>
      </c>
      <c r="AW60" s="17">
        <f t="shared" si="20"/>
        <v>484304.8460293379</v>
      </c>
      <c r="AX60" s="17">
        <f>IF('1 - Input'!$B$17=1,MAX(0,AV60-AN60),0)</f>
        <v>0</v>
      </c>
      <c r="AY60" s="17">
        <f>IF('1 - Input'!$B$17=1,MAX(0,AN60-AV60),0)</f>
        <v>198.53618160744918</v>
      </c>
      <c r="AZ60" s="17">
        <f t="shared" si="21"/>
        <v>0</v>
      </c>
      <c r="BA60" s="17">
        <f>IF(AND(AY60&gt;0,AS60&gt;0),AY60/(1-'1 - Input'!$B$22*AZ60),0)</f>
        <v>198.53618160744918</v>
      </c>
      <c r="BB60" s="17">
        <f t="shared" si="22"/>
        <v>198.53618160744918</v>
      </c>
      <c r="BC60" s="17">
        <f>'1 - Input'!$B$22*AZ60*BB60</f>
        <v>0</v>
      </c>
      <c r="BD60" s="17">
        <f t="shared" si="23"/>
        <v>198.53618160744918</v>
      </c>
      <c r="BE60" s="17">
        <f t="shared" si="24"/>
        <v>0</v>
      </c>
      <c r="BF60" s="17">
        <f t="shared" si="25"/>
        <v>11.86647108354142</v>
      </c>
      <c r="BG60" s="17">
        <f t="shared" si="26"/>
        <v>456792.06557597936</v>
      </c>
      <c r="BH60" s="17">
        <f t="shared" si="27"/>
        <v>484094.4433766469</v>
      </c>
      <c r="BI60" s="17">
        <f>IF(MOD(AK60,12)=0,BG60*'1 - Input'!$B$23,0)</f>
        <v>0</v>
      </c>
      <c r="BJ60" s="17">
        <f t="shared" si="28"/>
        <v>456792.06557597936</v>
      </c>
      <c r="BK60" s="17">
        <f>IF(MOD(AK60,12)=0,BH60*(1-'1 - Input'!$B$23),BH60)</f>
        <v>484094.4433766469</v>
      </c>
      <c r="BL60" s="17">
        <f>IF('1 - Input'!$B$17=1,MIN(AV60,AN60)+BD60,AV60)</f>
        <v>2754</v>
      </c>
      <c r="BM60" s="17">
        <f t="shared" si="55"/>
        <v>46170</v>
      </c>
      <c r="BN60" s="17">
        <f t="shared" si="56"/>
        <v>15740.279184125222</v>
      </c>
      <c r="BO60" s="17">
        <f t="shared" si="57"/>
        <v>0</v>
      </c>
      <c r="BP60" s="17">
        <f t="shared" si="58"/>
        <v>62.79519946919725</v>
      </c>
      <c r="BQ60" s="17">
        <f t="shared" si="59"/>
        <v>932.99161469028547</v>
      </c>
      <c r="BR60" s="17">
        <f t="shared" si="60"/>
        <v>0</v>
      </c>
      <c r="BS60" s="15">
        <f t="shared" si="29"/>
        <v>0</v>
      </c>
      <c r="BU60" s="14">
        <v>17</v>
      </c>
      <c r="BV60" s="15">
        <f t="shared" si="30"/>
        <v>2</v>
      </c>
      <c r="BW60" s="16">
        <f>(1+INDEX('1 - Input'!$B$34:$E$63,BV60,'1 - Input'!$B$16))^(1/12)-1</f>
        <v>4.1219243192651689E-3</v>
      </c>
      <c r="BX60" s="17">
        <f>'1 - Input'!$B$7*(1+'1 - Input'!$B$12)^(BV60-1)</f>
        <v>2754</v>
      </c>
      <c r="BY60" s="17">
        <f t="shared" si="61"/>
        <v>473845.60518817173</v>
      </c>
      <c r="BZ60" s="17">
        <f t="shared" si="62"/>
        <v>442175.8</v>
      </c>
      <c r="CA60" s="17">
        <f t="shared" si="31"/>
        <v>475798.76091177377</v>
      </c>
      <c r="CB60" s="17">
        <f>IF(CA60&gt;0,'1 - Input'!$B$8/12*CA60,0)</f>
        <v>3568.4907068383031</v>
      </c>
      <c r="CC60" s="17">
        <f t="shared" si="32"/>
        <v>472230.27020493546</v>
      </c>
      <c r="CD60" s="17">
        <f t="shared" si="33"/>
        <v>3568.4907068383031</v>
      </c>
      <c r="CE60" s="17">
        <f>'1 - Input'!$B$22*(CB60-CD60)</f>
        <v>0</v>
      </c>
      <c r="CF60" s="17">
        <f t="shared" si="34"/>
        <v>3568.4907068383031</v>
      </c>
      <c r="CG60" s="17">
        <f t="shared" si="35"/>
        <v>438607.30929316167</v>
      </c>
      <c r="CH60" s="17">
        <f>IF('1 - Input'!$B$17=1,MAX(0,CF60-BX60),0)</f>
        <v>814.49070683830314</v>
      </c>
      <c r="CI60" s="17">
        <f>IF('1 - Input'!$B$17=1,MAX(0,BX60-CF60),0)</f>
        <v>0</v>
      </c>
      <c r="CJ60" s="17">
        <f t="shared" si="36"/>
        <v>7.1200350831348236E-2</v>
      </c>
      <c r="CK60" s="17">
        <f>IF(AND(CI60&gt;0,CC60&gt;0),CI60/(1-'1 - Input'!$B$22*CJ60),0)</f>
        <v>0</v>
      </c>
      <c r="CL60" s="17">
        <f t="shared" si="37"/>
        <v>0</v>
      </c>
      <c r="CM60" s="17">
        <f>'1 - Input'!$B$22*CJ60*CL60</f>
        <v>0</v>
      </c>
      <c r="CN60" s="17">
        <f t="shared" si="38"/>
        <v>0</v>
      </c>
      <c r="CO60" s="17">
        <f t="shared" si="39"/>
        <v>0</v>
      </c>
      <c r="CP60" s="17">
        <f t="shared" si="40"/>
        <v>0</v>
      </c>
      <c r="CQ60" s="17">
        <f t="shared" si="41"/>
        <v>473044.76091177377</v>
      </c>
      <c r="CR60" s="17">
        <f t="shared" si="42"/>
        <v>439421.8</v>
      </c>
      <c r="CS60" s="17">
        <f>IF(MOD(BU60,12)=0,CQ60*'1 - Input'!$B$23,0)</f>
        <v>0</v>
      </c>
      <c r="CT60" s="17">
        <f t="shared" si="43"/>
        <v>473044.76091177377</v>
      </c>
      <c r="CU60" s="17">
        <f>IF(MOD(BU60,12)=0,CR60*(1-'1 - Input'!$B$23),CR60)</f>
        <v>439421.8</v>
      </c>
      <c r="CV60" s="17">
        <f>IF('1 - Input'!$B$17=1,MIN(CF60,BX60)+CN60,CF60)</f>
        <v>2754</v>
      </c>
      <c r="CW60" s="17">
        <f t="shared" si="63"/>
        <v>46170</v>
      </c>
      <c r="CX60" s="17">
        <f t="shared" si="64"/>
        <v>0</v>
      </c>
      <c r="CY60" s="17">
        <f t="shared" si="65"/>
        <v>0</v>
      </c>
      <c r="CZ60" s="17">
        <f t="shared" si="66"/>
        <v>0</v>
      </c>
      <c r="DA60" s="17">
        <f t="shared" si="67"/>
        <v>955.94437330603489</v>
      </c>
      <c r="DB60" s="17">
        <f t="shared" si="68"/>
        <v>0</v>
      </c>
      <c r="DC60" s="15">
        <f t="shared" si="44"/>
        <v>0</v>
      </c>
    </row>
    <row r="61" spans="1:107">
      <c r="A61" s="14">
        <v>18</v>
      </c>
      <c r="B61" s="15">
        <f t="shared" si="0"/>
        <v>2</v>
      </c>
      <c r="C61" s="16">
        <f>(1+INDEX('1 - Input'!$B$34:$E$63,B61,'1 - Input'!$B$16))^(1/12)-1</f>
        <v>4.1219243192651689E-3</v>
      </c>
      <c r="D61" s="17">
        <f>'1 - Input'!$B$7*(1+'1 - Input'!$B$12)^(B61-1)</f>
        <v>2754</v>
      </c>
      <c r="E61" s="17">
        <f t="shared" si="45"/>
        <v>456792.06557597936</v>
      </c>
      <c r="F61" s="17">
        <f t="shared" si="46"/>
        <v>484094.4433766469</v>
      </c>
      <c r="G61" s="17">
        <f t="shared" si="1"/>
        <v>458674.92789992434</v>
      </c>
      <c r="H61" s="17">
        <f>IF(G61&gt;0,'1 - Input'!$B$8/12*G61,0)</f>
        <v>3440.0619592494322</v>
      </c>
      <c r="I61" s="17">
        <f t="shared" si="2"/>
        <v>455234.86594067491</v>
      </c>
      <c r="J61" s="17">
        <f t="shared" si="3"/>
        <v>0</v>
      </c>
      <c r="K61" s="17">
        <f>'1 - Input'!$B$22*(H61-J61)</f>
        <v>894.41610940485236</v>
      </c>
      <c r="L61" s="17">
        <f t="shared" si="4"/>
        <v>2545.64584984458</v>
      </c>
      <c r="M61" s="17">
        <f t="shared" si="5"/>
        <v>484094.4433766469</v>
      </c>
      <c r="N61" s="17">
        <f>IF('1 - Input'!$B$17=1,MAX(0,L61-D61),0)</f>
        <v>0</v>
      </c>
      <c r="O61" s="17">
        <f>IF('1 - Input'!$B$17=1,MAX(0,D61-L61),0)</f>
        <v>208.35415015542003</v>
      </c>
      <c r="P61" s="17">
        <f t="shared" si="6"/>
        <v>0</v>
      </c>
      <c r="Q61" s="17">
        <f>IF(AND(O61&gt;0,I61&gt;0),O61/(1-'1 - Input'!$B$22*P61),0)</f>
        <v>208.35415015542003</v>
      </c>
      <c r="R61" s="17">
        <f t="shared" si="7"/>
        <v>208.35415015542003</v>
      </c>
      <c r="S61" s="17">
        <f>'1 - Input'!$B$22*P61*R61</f>
        <v>0</v>
      </c>
      <c r="T61" s="17">
        <f t="shared" si="8"/>
        <v>208.35415015542003</v>
      </c>
      <c r="U61" s="17">
        <f t="shared" si="9"/>
        <v>0</v>
      </c>
      <c r="V61" s="17">
        <f t="shared" si="10"/>
        <v>13.20859446495049</v>
      </c>
      <c r="W61" s="17">
        <f t="shared" si="11"/>
        <v>455026.51179051946</v>
      </c>
      <c r="X61" s="17">
        <f t="shared" si="12"/>
        <v>483872.88063202653</v>
      </c>
      <c r="Y61" s="17">
        <f>IF(MOD(A61,12)=0,W61*'1 - Input'!$B$23,0)</f>
        <v>0</v>
      </c>
      <c r="Z61" s="17">
        <f t="shared" si="13"/>
        <v>455026.51179051946</v>
      </c>
      <c r="AA61" s="17">
        <f>IF(MOD(A61,12)=0,X61*(1-'1 - Input'!$B$23),X61)</f>
        <v>483872.88063202653</v>
      </c>
      <c r="AB61" s="17">
        <f>IF('1 - Input'!$B$17=1,MIN(L61,D61)+T61,L61)</f>
        <v>2754</v>
      </c>
      <c r="AC61" s="17">
        <f t="shared" si="47"/>
        <v>48924</v>
      </c>
      <c r="AD61" s="17">
        <f t="shared" si="48"/>
        <v>16634.695293530076</v>
      </c>
      <c r="AE61" s="17">
        <f t="shared" si="49"/>
        <v>0</v>
      </c>
      <c r="AF61" s="17">
        <f t="shared" si="50"/>
        <v>76.003793934147737</v>
      </c>
      <c r="AG61" s="17">
        <f t="shared" si="51"/>
        <v>932.99161469028547</v>
      </c>
      <c r="AH61" s="17">
        <f t="shared" si="52"/>
        <v>0</v>
      </c>
      <c r="AI61" s="15">
        <f t="shared" si="14"/>
        <v>0</v>
      </c>
      <c r="AK61" s="14">
        <v>18</v>
      </c>
      <c r="AL61" s="15">
        <f t="shared" si="15"/>
        <v>2</v>
      </c>
      <c r="AM61" s="16">
        <f>(1+INDEX('1 - Input'!$B$34:$E$63,AL61,'1 - Input'!$B$16))^(1/12)-1</f>
        <v>4.1219243192651689E-3</v>
      </c>
      <c r="AN61" s="17">
        <f>'1 - Input'!$B$7*(1+'1 - Input'!$B$12)^(AL61-1)</f>
        <v>2754</v>
      </c>
      <c r="AO61" s="17">
        <f t="shared" si="53"/>
        <v>456792.06557597936</v>
      </c>
      <c r="AP61" s="17">
        <f t="shared" si="54"/>
        <v>484094.4433766469</v>
      </c>
      <c r="AQ61" s="17">
        <f t="shared" si="16"/>
        <v>458674.92789992434</v>
      </c>
      <c r="AR61" s="17">
        <f>IF(AQ61&gt;0,'1 - Input'!$B$8/12*AQ61,0)</f>
        <v>3440.0619592494322</v>
      </c>
      <c r="AS61" s="17">
        <f t="shared" si="17"/>
        <v>455234.86594067491</v>
      </c>
      <c r="AT61" s="17">
        <f t="shared" si="18"/>
        <v>0</v>
      </c>
      <c r="AU61" s="17">
        <f>'1 - Input'!$B$22*(AR61-AT61)</f>
        <v>894.41610940485236</v>
      </c>
      <c r="AV61" s="17">
        <f t="shared" si="19"/>
        <v>2545.64584984458</v>
      </c>
      <c r="AW61" s="17">
        <f t="shared" si="20"/>
        <v>484094.4433766469</v>
      </c>
      <c r="AX61" s="17">
        <f>IF('1 - Input'!$B$17=1,MAX(0,AV61-AN61),0)</f>
        <v>0</v>
      </c>
      <c r="AY61" s="17">
        <f>IF('1 - Input'!$B$17=1,MAX(0,AN61-AV61),0)</f>
        <v>208.35415015542003</v>
      </c>
      <c r="AZ61" s="17">
        <f t="shared" si="21"/>
        <v>0</v>
      </c>
      <c r="BA61" s="17">
        <f>IF(AND(AY61&gt;0,AS61&gt;0),AY61/(1-'1 - Input'!$B$22*AZ61),0)</f>
        <v>208.35415015542003</v>
      </c>
      <c r="BB61" s="17">
        <f t="shared" si="22"/>
        <v>208.35415015542003</v>
      </c>
      <c r="BC61" s="17">
        <f>'1 - Input'!$B$22*AZ61*BB61</f>
        <v>0</v>
      </c>
      <c r="BD61" s="17">
        <f t="shared" si="23"/>
        <v>208.35415015542003</v>
      </c>
      <c r="BE61" s="17">
        <f t="shared" si="24"/>
        <v>0</v>
      </c>
      <c r="BF61" s="17">
        <f t="shared" si="25"/>
        <v>13.20859446495049</v>
      </c>
      <c r="BG61" s="17">
        <f t="shared" si="26"/>
        <v>455026.51179051946</v>
      </c>
      <c r="BH61" s="17">
        <f t="shared" si="27"/>
        <v>483872.88063202653</v>
      </c>
      <c r="BI61" s="17">
        <f>IF(MOD(AK61,12)=0,BG61*'1 - Input'!$B$23,0)</f>
        <v>0</v>
      </c>
      <c r="BJ61" s="17">
        <f t="shared" si="28"/>
        <v>455026.51179051946</v>
      </c>
      <c r="BK61" s="17">
        <f>IF(MOD(AK61,12)=0,BH61*(1-'1 - Input'!$B$23),BH61)</f>
        <v>483872.88063202653</v>
      </c>
      <c r="BL61" s="17">
        <f>IF('1 - Input'!$B$17=1,MIN(AV61,AN61)+BD61,AV61)</f>
        <v>2754</v>
      </c>
      <c r="BM61" s="17">
        <f t="shared" si="55"/>
        <v>48924</v>
      </c>
      <c r="BN61" s="17">
        <f t="shared" si="56"/>
        <v>16634.695293530076</v>
      </c>
      <c r="BO61" s="17">
        <f t="shared" si="57"/>
        <v>0</v>
      </c>
      <c r="BP61" s="17">
        <f t="shared" si="58"/>
        <v>76.003793934147737</v>
      </c>
      <c r="BQ61" s="17">
        <f t="shared" si="59"/>
        <v>932.99161469028547</v>
      </c>
      <c r="BR61" s="17">
        <f t="shared" si="60"/>
        <v>0</v>
      </c>
      <c r="BS61" s="15">
        <f t="shared" si="29"/>
        <v>0</v>
      </c>
      <c r="BU61" s="14">
        <v>18</v>
      </c>
      <c r="BV61" s="15">
        <f t="shared" si="30"/>
        <v>2</v>
      </c>
      <c r="BW61" s="16">
        <f>(1+INDEX('1 - Input'!$B$34:$E$63,BV61,'1 - Input'!$B$16))^(1/12)-1</f>
        <v>4.1219243192651689E-3</v>
      </c>
      <c r="BX61" s="17">
        <f>'1 - Input'!$B$7*(1+'1 - Input'!$B$12)^(BV61-1)</f>
        <v>2754</v>
      </c>
      <c r="BY61" s="17">
        <f t="shared" si="61"/>
        <v>473044.76091177377</v>
      </c>
      <c r="BZ61" s="17">
        <f t="shared" si="62"/>
        <v>439421.8</v>
      </c>
      <c r="CA61" s="17">
        <f t="shared" si="31"/>
        <v>474994.61561587697</v>
      </c>
      <c r="CB61" s="17">
        <f>IF(CA61&gt;0,'1 - Input'!$B$8/12*CA61,0)</f>
        <v>3562.4596171190774</v>
      </c>
      <c r="CC61" s="17">
        <f t="shared" si="32"/>
        <v>471432.15599875792</v>
      </c>
      <c r="CD61" s="17">
        <f t="shared" si="33"/>
        <v>3562.4596171190774</v>
      </c>
      <c r="CE61" s="17">
        <f>'1 - Input'!$B$22*(CB61-CD61)</f>
        <v>0</v>
      </c>
      <c r="CF61" s="17">
        <f t="shared" si="34"/>
        <v>3562.4596171190774</v>
      </c>
      <c r="CG61" s="17">
        <f t="shared" si="35"/>
        <v>435859.34038288094</v>
      </c>
      <c r="CH61" s="17">
        <f>IF('1 - Input'!$B$17=1,MAX(0,CF61-BX61),0)</f>
        <v>808.45961711907739</v>
      </c>
      <c r="CI61" s="17">
        <f>IF('1 - Input'!$B$17=1,MAX(0,BX61-CF61),0)</f>
        <v>0</v>
      </c>
      <c r="CJ61" s="17">
        <f t="shared" si="36"/>
        <v>7.5456913923306335E-2</v>
      </c>
      <c r="CK61" s="17">
        <f>IF(AND(CI61&gt;0,CC61&gt;0),CI61/(1-'1 - Input'!$B$22*CJ61),0)</f>
        <v>0</v>
      </c>
      <c r="CL61" s="17">
        <f t="shared" si="37"/>
        <v>0</v>
      </c>
      <c r="CM61" s="17">
        <f>'1 - Input'!$B$22*CJ61*CL61</f>
        <v>0</v>
      </c>
      <c r="CN61" s="17">
        <f t="shared" si="38"/>
        <v>0</v>
      </c>
      <c r="CO61" s="17">
        <f t="shared" si="39"/>
        <v>0</v>
      </c>
      <c r="CP61" s="17">
        <f t="shared" si="40"/>
        <v>0</v>
      </c>
      <c r="CQ61" s="17">
        <f t="shared" si="41"/>
        <v>472240.61561587697</v>
      </c>
      <c r="CR61" s="17">
        <f t="shared" si="42"/>
        <v>436667.8</v>
      </c>
      <c r="CS61" s="17">
        <f>IF(MOD(BU61,12)=0,CQ61*'1 - Input'!$B$23,0)</f>
        <v>0</v>
      </c>
      <c r="CT61" s="17">
        <f t="shared" si="43"/>
        <v>472240.61561587697</v>
      </c>
      <c r="CU61" s="17">
        <f>IF(MOD(BU61,12)=0,CR61*(1-'1 - Input'!$B$23),CR61)</f>
        <v>436667.8</v>
      </c>
      <c r="CV61" s="17">
        <f>IF('1 - Input'!$B$17=1,MIN(CF61,BX61)+CN61,CF61)</f>
        <v>2754</v>
      </c>
      <c r="CW61" s="17">
        <f t="shared" si="63"/>
        <v>48924</v>
      </c>
      <c r="CX61" s="17">
        <f t="shared" si="64"/>
        <v>0</v>
      </c>
      <c r="CY61" s="17">
        <f t="shared" si="65"/>
        <v>0</v>
      </c>
      <c r="CZ61" s="17">
        <f t="shared" si="66"/>
        <v>0</v>
      </c>
      <c r="DA61" s="17">
        <f t="shared" si="67"/>
        <v>955.94437330603489</v>
      </c>
      <c r="DB61" s="17">
        <f t="shared" si="68"/>
        <v>0</v>
      </c>
      <c r="DC61" s="15">
        <f t="shared" si="44"/>
        <v>0</v>
      </c>
    </row>
    <row r="62" spans="1:107">
      <c r="A62" s="14">
        <v>19</v>
      </c>
      <c r="B62" s="15">
        <f t="shared" si="0"/>
        <v>2</v>
      </c>
      <c r="C62" s="16">
        <f>(1+INDEX('1 - Input'!$B$34:$E$63,B62,'1 - Input'!$B$16))^(1/12)-1</f>
        <v>4.1219243192651689E-3</v>
      </c>
      <c r="D62" s="17">
        <f>'1 - Input'!$B$7*(1+'1 - Input'!$B$12)^(B62-1)</f>
        <v>2754</v>
      </c>
      <c r="E62" s="17">
        <f t="shared" si="45"/>
        <v>455026.51179051946</v>
      </c>
      <c r="F62" s="17">
        <f t="shared" si="46"/>
        <v>483872.88063202653</v>
      </c>
      <c r="G62" s="17">
        <f t="shared" si="1"/>
        <v>456902.09663537919</v>
      </c>
      <c r="H62" s="17">
        <f>IF(G62&gt;0,'1 - Input'!$B$8/12*G62,0)</f>
        <v>3426.7657247653437</v>
      </c>
      <c r="I62" s="17">
        <f t="shared" si="2"/>
        <v>453475.33091061382</v>
      </c>
      <c r="J62" s="17">
        <f t="shared" si="3"/>
        <v>0</v>
      </c>
      <c r="K62" s="17">
        <f>'1 - Input'!$B$22*(H62-J62)</f>
        <v>890.9590884389894</v>
      </c>
      <c r="L62" s="17">
        <f t="shared" si="4"/>
        <v>2535.8066363263542</v>
      </c>
      <c r="M62" s="17">
        <f t="shared" si="5"/>
        <v>483872.88063202653</v>
      </c>
      <c r="N62" s="17">
        <f>IF('1 - Input'!$B$17=1,MAX(0,L62-D62),0)</f>
        <v>0</v>
      </c>
      <c r="O62" s="17">
        <f>IF('1 - Input'!$B$17=1,MAX(0,D62-L62),0)</f>
        <v>218.19336367364576</v>
      </c>
      <c r="P62" s="17">
        <f t="shared" si="6"/>
        <v>0</v>
      </c>
      <c r="Q62" s="17">
        <f>IF(AND(O62&gt;0,I62&gt;0),O62/(1-'1 - Input'!$B$22*P62),0)</f>
        <v>218.19336367364576</v>
      </c>
      <c r="R62" s="17">
        <f t="shared" si="7"/>
        <v>218.19336367364576</v>
      </c>
      <c r="S62" s="17">
        <f>'1 - Input'!$B$22*P62*R62</f>
        <v>0</v>
      </c>
      <c r="T62" s="17">
        <f t="shared" si="8"/>
        <v>218.19336367364576</v>
      </c>
      <c r="U62" s="17">
        <f t="shared" si="9"/>
        <v>0</v>
      </c>
      <c r="V62" s="17">
        <f t="shared" si="10"/>
        <v>14.626029618487204</v>
      </c>
      <c r="W62" s="17">
        <f t="shared" si="11"/>
        <v>453257.13754694018</v>
      </c>
      <c r="X62" s="17">
        <f t="shared" si="12"/>
        <v>483640.0612387344</v>
      </c>
      <c r="Y62" s="17">
        <f>IF(MOD(A62,12)=0,W62*'1 - Input'!$B$23,0)</f>
        <v>0</v>
      </c>
      <c r="Z62" s="17">
        <f t="shared" si="13"/>
        <v>453257.13754694018</v>
      </c>
      <c r="AA62" s="17">
        <f>IF(MOD(A62,12)=0,X62*(1-'1 - Input'!$B$23),X62)</f>
        <v>483640.0612387344</v>
      </c>
      <c r="AB62" s="17">
        <f>IF('1 - Input'!$B$17=1,MIN(L62,D62)+T62,L62)</f>
        <v>2754</v>
      </c>
      <c r="AC62" s="17">
        <f t="shared" si="47"/>
        <v>51678</v>
      </c>
      <c r="AD62" s="17">
        <f t="shared" si="48"/>
        <v>17525.654381969067</v>
      </c>
      <c r="AE62" s="17">
        <f t="shared" si="49"/>
        <v>0</v>
      </c>
      <c r="AF62" s="17">
        <f t="shared" si="50"/>
        <v>90.629823552634946</v>
      </c>
      <c r="AG62" s="17">
        <f t="shared" si="51"/>
        <v>932.99161469028547</v>
      </c>
      <c r="AH62" s="17">
        <f t="shared" si="52"/>
        <v>0</v>
      </c>
      <c r="AI62" s="15">
        <f t="shared" si="14"/>
        <v>0</v>
      </c>
      <c r="AK62" s="14">
        <v>19</v>
      </c>
      <c r="AL62" s="15">
        <f t="shared" si="15"/>
        <v>2</v>
      </c>
      <c r="AM62" s="16">
        <f>(1+INDEX('1 - Input'!$B$34:$E$63,AL62,'1 - Input'!$B$16))^(1/12)-1</f>
        <v>4.1219243192651689E-3</v>
      </c>
      <c r="AN62" s="17">
        <f>'1 - Input'!$B$7*(1+'1 - Input'!$B$12)^(AL62-1)</f>
        <v>2754</v>
      </c>
      <c r="AO62" s="17">
        <f t="shared" si="53"/>
        <v>455026.51179051946</v>
      </c>
      <c r="AP62" s="17">
        <f t="shared" si="54"/>
        <v>483872.88063202653</v>
      </c>
      <c r="AQ62" s="17">
        <f t="shared" si="16"/>
        <v>456902.09663537919</v>
      </c>
      <c r="AR62" s="17">
        <f>IF(AQ62&gt;0,'1 - Input'!$B$8/12*AQ62,0)</f>
        <v>3426.7657247653437</v>
      </c>
      <c r="AS62" s="17">
        <f t="shared" si="17"/>
        <v>453475.33091061382</v>
      </c>
      <c r="AT62" s="17">
        <f t="shared" si="18"/>
        <v>0</v>
      </c>
      <c r="AU62" s="17">
        <f>'1 - Input'!$B$22*(AR62-AT62)</f>
        <v>890.9590884389894</v>
      </c>
      <c r="AV62" s="17">
        <f t="shared" si="19"/>
        <v>2535.8066363263542</v>
      </c>
      <c r="AW62" s="17">
        <f t="shared" si="20"/>
        <v>483872.88063202653</v>
      </c>
      <c r="AX62" s="17">
        <f>IF('1 - Input'!$B$17=1,MAX(0,AV62-AN62),0)</f>
        <v>0</v>
      </c>
      <c r="AY62" s="17">
        <f>IF('1 - Input'!$B$17=1,MAX(0,AN62-AV62),0)</f>
        <v>218.19336367364576</v>
      </c>
      <c r="AZ62" s="17">
        <f t="shared" si="21"/>
        <v>0</v>
      </c>
      <c r="BA62" s="17">
        <f>IF(AND(AY62&gt;0,AS62&gt;0),AY62/(1-'1 - Input'!$B$22*AZ62),0)</f>
        <v>218.19336367364576</v>
      </c>
      <c r="BB62" s="17">
        <f t="shared" si="22"/>
        <v>218.19336367364576</v>
      </c>
      <c r="BC62" s="17">
        <f>'1 - Input'!$B$22*AZ62*BB62</f>
        <v>0</v>
      </c>
      <c r="BD62" s="17">
        <f t="shared" si="23"/>
        <v>218.19336367364576</v>
      </c>
      <c r="BE62" s="17">
        <f t="shared" si="24"/>
        <v>0</v>
      </c>
      <c r="BF62" s="17">
        <f t="shared" si="25"/>
        <v>14.626029618487204</v>
      </c>
      <c r="BG62" s="17">
        <f t="shared" si="26"/>
        <v>453257.13754694018</v>
      </c>
      <c r="BH62" s="17">
        <f t="shared" si="27"/>
        <v>483640.0612387344</v>
      </c>
      <c r="BI62" s="17">
        <f>IF(MOD(AK62,12)=0,BG62*'1 - Input'!$B$23,0)</f>
        <v>0</v>
      </c>
      <c r="BJ62" s="17">
        <f t="shared" si="28"/>
        <v>453257.13754694018</v>
      </c>
      <c r="BK62" s="17">
        <f>IF(MOD(AK62,12)=0,BH62*(1-'1 - Input'!$B$23),BH62)</f>
        <v>483640.0612387344</v>
      </c>
      <c r="BL62" s="17">
        <f>IF('1 - Input'!$B$17=1,MIN(AV62,AN62)+BD62,AV62)</f>
        <v>2754</v>
      </c>
      <c r="BM62" s="17">
        <f t="shared" si="55"/>
        <v>51678</v>
      </c>
      <c r="BN62" s="17">
        <f t="shared" si="56"/>
        <v>17525.654381969067</v>
      </c>
      <c r="BO62" s="17">
        <f t="shared" si="57"/>
        <v>0</v>
      </c>
      <c r="BP62" s="17">
        <f t="shared" si="58"/>
        <v>90.629823552634946</v>
      </c>
      <c r="BQ62" s="17">
        <f t="shared" si="59"/>
        <v>932.99161469028547</v>
      </c>
      <c r="BR62" s="17">
        <f t="shared" si="60"/>
        <v>0</v>
      </c>
      <c r="BS62" s="15">
        <f t="shared" si="29"/>
        <v>0</v>
      </c>
      <c r="BU62" s="14">
        <v>19</v>
      </c>
      <c r="BV62" s="15">
        <f t="shared" si="30"/>
        <v>2</v>
      </c>
      <c r="BW62" s="16">
        <f>(1+INDEX('1 - Input'!$B$34:$E$63,BV62,'1 - Input'!$B$16))^(1/12)-1</f>
        <v>4.1219243192651689E-3</v>
      </c>
      <c r="BX62" s="17">
        <f>'1 - Input'!$B$7*(1+'1 - Input'!$B$12)^(BV62-1)</f>
        <v>2754</v>
      </c>
      <c r="BY62" s="17">
        <f t="shared" si="61"/>
        <v>472240.61561587697</v>
      </c>
      <c r="BZ62" s="17">
        <f t="shared" si="62"/>
        <v>436667.8</v>
      </c>
      <c r="CA62" s="17">
        <f t="shared" si="31"/>
        <v>474187.15569392883</v>
      </c>
      <c r="CB62" s="17">
        <f>IF(CA62&gt;0,'1 - Input'!$B$8/12*CA62,0)</f>
        <v>3556.403667704466</v>
      </c>
      <c r="CC62" s="17">
        <f t="shared" si="32"/>
        <v>470630.75202622433</v>
      </c>
      <c r="CD62" s="17">
        <f t="shared" si="33"/>
        <v>3556.403667704466</v>
      </c>
      <c r="CE62" s="17">
        <f>'1 - Input'!$B$22*(CB62-CD62)</f>
        <v>0</v>
      </c>
      <c r="CF62" s="17">
        <f t="shared" si="34"/>
        <v>3556.403667704466</v>
      </c>
      <c r="CG62" s="17">
        <f t="shared" si="35"/>
        <v>433111.3963322955</v>
      </c>
      <c r="CH62" s="17">
        <f>IF('1 - Input'!$B$17=1,MAX(0,CF62-BX62),0)</f>
        <v>802.40366770446599</v>
      </c>
      <c r="CI62" s="17">
        <f>IF('1 - Input'!$B$17=1,MAX(0,BX62-CF62),0)</f>
        <v>0</v>
      </c>
      <c r="CJ62" s="17">
        <f t="shared" si="36"/>
        <v>7.9721428173563536E-2</v>
      </c>
      <c r="CK62" s="17">
        <f>IF(AND(CI62&gt;0,CC62&gt;0),CI62/(1-'1 - Input'!$B$22*CJ62),0)</f>
        <v>0</v>
      </c>
      <c r="CL62" s="17">
        <f t="shared" si="37"/>
        <v>0</v>
      </c>
      <c r="CM62" s="17">
        <f>'1 - Input'!$B$22*CJ62*CL62</f>
        <v>0</v>
      </c>
      <c r="CN62" s="17">
        <f t="shared" si="38"/>
        <v>0</v>
      </c>
      <c r="CO62" s="17">
        <f t="shared" si="39"/>
        <v>0</v>
      </c>
      <c r="CP62" s="17">
        <f t="shared" si="40"/>
        <v>0</v>
      </c>
      <c r="CQ62" s="17">
        <f t="shared" si="41"/>
        <v>471433.15569392883</v>
      </c>
      <c r="CR62" s="17">
        <f t="shared" si="42"/>
        <v>433913.8</v>
      </c>
      <c r="CS62" s="17">
        <f>IF(MOD(BU62,12)=0,CQ62*'1 - Input'!$B$23,0)</f>
        <v>0</v>
      </c>
      <c r="CT62" s="17">
        <f t="shared" si="43"/>
        <v>471433.15569392883</v>
      </c>
      <c r="CU62" s="17">
        <f>IF(MOD(BU62,12)=0,CR62*(1-'1 - Input'!$B$23),CR62)</f>
        <v>433913.8</v>
      </c>
      <c r="CV62" s="17">
        <f>IF('1 - Input'!$B$17=1,MIN(CF62,BX62)+CN62,CF62)</f>
        <v>2754</v>
      </c>
      <c r="CW62" s="17">
        <f t="shared" si="63"/>
        <v>51678</v>
      </c>
      <c r="CX62" s="17">
        <f t="shared" si="64"/>
        <v>0</v>
      </c>
      <c r="CY62" s="17">
        <f t="shared" si="65"/>
        <v>0</v>
      </c>
      <c r="CZ62" s="17">
        <f t="shared" si="66"/>
        <v>0</v>
      </c>
      <c r="DA62" s="17">
        <f t="shared" si="67"/>
        <v>955.94437330603489</v>
      </c>
      <c r="DB62" s="17">
        <f t="shared" si="68"/>
        <v>0</v>
      </c>
      <c r="DC62" s="15">
        <f t="shared" si="44"/>
        <v>0</v>
      </c>
    </row>
    <row r="63" spans="1:107">
      <c r="A63" s="14">
        <v>20</v>
      </c>
      <c r="B63" s="15">
        <f t="shared" si="0"/>
        <v>2</v>
      </c>
      <c r="C63" s="16">
        <f>(1+INDEX('1 - Input'!$B$34:$E$63,B63,'1 - Input'!$B$16))^(1/12)-1</f>
        <v>4.1219243192651689E-3</v>
      </c>
      <c r="D63" s="17">
        <f>'1 - Input'!$B$7*(1+'1 - Input'!$B$12)^(B63-1)</f>
        <v>2754</v>
      </c>
      <c r="E63" s="17">
        <f t="shared" si="45"/>
        <v>453257.13754694018</v>
      </c>
      <c r="F63" s="17">
        <f t="shared" si="46"/>
        <v>483640.0612387344</v>
      </c>
      <c r="G63" s="17">
        <f t="shared" si="1"/>
        <v>455125.42916507542</v>
      </c>
      <c r="H63" s="17">
        <f>IF(G63&gt;0,'1 - Input'!$B$8/12*G63,0)</f>
        <v>3413.4407187380657</v>
      </c>
      <c r="I63" s="17">
        <f t="shared" si="2"/>
        <v>451711.98844633735</v>
      </c>
      <c r="J63" s="17">
        <f t="shared" si="3"/>
        <v>0</v>
      </c>
      <c r="K63" s="17">
        <f>'1 - Input'!$B$22*(H63-J63)</f>
        <v>887.49458687189713</v>
      </c>
      <c r="L63" s="17">
        <f t="shared" si="4"/>
        <v>2525.9461318661688</v>
      </c>
      <c r="M63" s="17">
        <f t="shared" si="5"/>
        <v>483640.0612387344</v>
      </c>
      <c r="N63" s="17">
        <f>IF('1 - Input'!$B$17=1,MAX(0,L63-D63),0)</f>
        <v>0</v>
      </c>
      <c r="O63" s="17">
        <f>IF('1 - Input'!$B$17=1,MAX(0,D63-L63),0)</f>
        <v>228.0538681338312</v>
      </c>
      <c r="P63" s="17">
        <f t="shared" si="6"/>
        <v>0</v>
      </c>
      <c r="Q63" s="17">
        <f>IF(AND(O63&gt;0,I63&gt;0),O63/(1-'1 - Input'!$B$22*P63),0)</f>
        <v>228.0538681338312</v>
      </c>
      <c r="R63" s="17">
        <f t="shared" si="7"/>
        <v>228.0538681338312</v>
      </c>
      <c r="S63" s="17">
        <f>'1 - Input'!$B$22*P63*R63</f>
        <v>0</v>
      </c>
      <c r="T63" s="17">
        <f t="shared" si="8"/>
        <v>228.0538681338312</v>
      </c>
      <c r="U63" s="17">
        <f t="shared" si="9"/>
        <v>0</v>
      </c>
      <c r="V63" s="17">
        <f t="shared" si="10"/>
        <v>16.119387327772198</v>
      </c>
      <c r="W63" s="17">
        <f t="shared" si="11"/>
        <v>451483.93457820354</v>
      </c>
      <c r="X63" s="17">
        <f t="shared" si="12"/>
        <v>483395.88798327278</v>
      </c>
      <c r="Y63" s="17">
        <f>IF(MOD(A63,12)=0,W63*'1 - Input'!$B$23,0)</f>
        <v>0</v>
      </c>
      <c r="Z63" s="17">
        <f t="shared" si="13"/>
        <v>451483.93457820354</v>
      </c>
      <c r="AA63" s="17">
        <f>IF(MOD(A63,12)=0,X63*(1-'1 - Input'!$B$23),X63)</f>
        <v>483395.88798327278</v>
      </c>
      <c r="AB63" s="17">
        <f>IF('1 - Input'!$B$17=1,MIN(L63,D63)+T63,L63)</f>
        <v>2754</v>
      </c>
      <c r="AC63" s="17">
        <f t="shared" si="47"/>
        <v>54432</v>
      </c>
      <c r="AD63" s="17">
        <f t="shared" si="48"/>
        <v>18413.148968840964</v>
      </c>
      <c r="AE63" s="17">
        <f t="shared" si="49"/>
        <v>0</v>
      </c>
      <c r="AF63" s="17">
        <f t="shared" si="50"/>
        <v>106.74921088040715</v>
      </c>
      <c r="AG63" s="17">
        <f t="shared" si="51"/>
        <v>932.99161469028547</v>
      </c>
      <c r="AH63" s="17">
        <f t="shared" si="52"/>
        <v>0</v>
      </c>
      <c r="AI63" s="15">
        <f t="shared" si="14"/>
        <v>0</v>
      </c>
      <c r="AK63" s="14">
        <v>20</v>
      </c>
      <c r="AL63" s="15">
        <f t="shared" si="15"/>
        <v>2</v>
      </c>
      <c r="AM63" s="16">
        <f>(1+INDEX('1 - Input'!$B$34:$E$63,AL63,'1 - Input'!$B$16))^(1/12)-1</f>
        <v>4.1219243192651689E-3</v>
      </c>
      <c r="AN63" s="17">
        <f>'1 - Input'!$B$7*(1+'1 - Input'!$B$12)^(AL63-1)</f>
        <v>2754</v>
      </c>
      <c r="AO63" s="17">
        <f t="shared" si="53"/>
        <v>453257.13754694018</v>
      </c>
      <c r="AP63" s="17">
        <f t="shared" si="54"/>
        <v>483640.0612387344</v>
      </c>
      <c r="AQ63" s="17">
        <f t="shared" si="16"/>
        <v>455125.42916507542</v>
      </c>
      <c r="AR63" s="17">
        <f>IF(AQ63&gt;0,'1 - Input'!$B$8/12*AQ63,0)</f>
        <v>3413.4407187380657</v>
      </c>
      <c r="AS63" s="17">
        <f t="shared" si="17"/>
        <v>451711.98844633735</v>
      </c>
      <c r="AT63" s="17">
        <f t="shared" si="18"/>
        <v>0</v>
      </c>
      <c r="AU63" s="17">
        <f>'1 - Input'!$B$22*(AR63-AT63)</f>
        <v>887.49458687189713</v>
      </c>
      <c r="AV63" s="17">
        <f t="shared" si="19"/>
        <v>2525.9461318661688</v>
      </c>
      <c r="AW63" s="17">
        <f t="shared" si="20"/>
        <v>483640.0612387344</v>
      </c>
      <c r="AX63" s="17">
        <f>IF('1 - Input'!$B$17=1,MAX(0,AV63-AN63),0)</f>
        <v>0</v>
      </c>
      <c r="AY63" s="17">
        <f>IF('1 - Input'!$B$17=1,MAX(0,AN63-AV63),0)</f>
        <v>228.0538681338312</v>
      </c>
      <c r="AZ63" s="17">
        <f t="shared" si="21"/>
        <v>0</v>
      </c>
      <c r="BA63" s="17">
        <f>IF(AND(AY63&gt;0,AS63&gt;0),AY63/(1-'1 - Input'!$B$22*AZ63),0)</f>
        <v>228.0538681338312</v>
      </c>
      <c r="BB63" s="17">
        <f t="shared" si="22"/>
        <v>228.0538681338312</v>
      </c>
      <c r="BC63" s="17">
        <f>'1 - Input'!$B$22*AZ63*BB63</f>
        <v>0</v>
      </c>
      <c r="BD63" s="17">
        <f t="shared" si="23"/>
        <v>228.0538681338312</v>
      </c>
      <c r="BE63" s="17">
        <f t="shared" si="24"/>
        <v>0</v>
      </c>
      <c r="BF63" s="17">
        <f t="shared" si="25"/>
        <v>16.119387327772198</v>
      </c>
      <c r="BG63" s="17">
        <f t="shared" si="26"/>
        <v>451483.93457820354</v>
      </c>
      <c r="BH63" s="17">
        <f t="shared" si="27"/>
        <v>483395.88798327278</v>
      </c>
      <c r="BI63" s="17">
        <f>IF(MOD(AK63,12)=0,BG63*'1 - Input'!$B$23,0)</f>
        <v>0</v>
      </c>
      <c r="BJ63" s="17">
        <f t="shared" si="28"/>
        <v>451483.93457820354</v>
      </c>
      <c r="BK63" s="17">
        <f>IF(MOD(AK63,12)=0,BH63*(1-'1 - Input'!$B$23),BH63)</f>
        <v>483395.88798327278</v>
      </c>
      <c r="BL63" s="17">
        <f>IF('1 - Input'!$B$17=1,MIN(AV63,AN63)+BD63,AV63)</f>
        <v>2754</v>
      </c>
      <c r="BM63" s="17">
        <f t="shared" si="55"/>
        <v>54432</v>
      </c>
      <c r="BN63" s="17">
        <f t="shared" si="56"/>
        <v>18413.148968840964</v>
      </c>
      <c r="BO63" s="17">
        <f t="shared" si="57"/>
        <v>0</v>
      </c>
      <c r="BP63" s="17">
        <f t="shared" si="58"/>
        <v>106.74921088040715</v>
      </c>
      <c r="BQ63" s="17">
        <f t="shared" si="59"/>
        <v>932.99161469028547</v>
      </c>
      <c r="BR63" s="17">
        <f t="shared" si="60"/>
        <v>0</v>
      </c>
      <c r="BS63" s="15">
        <f t="shared" si="29"/>
        <v>0</v>
      </c>
      <c r="BU63" s="14">
        <v>20</v>
      </c>
      <c r="BV63" s="15">
        <f t="shared" si="30"/>
        <v>2</v>
      </c>
      <c r="BW63" s="16">
        <f>(1+INDEX('1 - Input'!$B$34:$E$63,BV63,'1 - Input'!$B$16))^(1/12)-1</f>
        <v>4.1219243192651689E-3</v>
      </c>
      <c r="BX63" s="17">
        <f>'1 - Input'!$B$7*(1+'1 - Input'!$B$12)^(BV63-1)</f>
        <v>2754</v>
      </c>
      <c r="BY63" s="17">
        <f t="shared" si="61"/>
        <v>471433.15569392883</v>
      </c>
      <c r="BZ63" s="17">
        <f t="shared" si="62"/>
        <v>433913.8</v>
      </c>
      <c r="CA63" s="17">
        <f t="shared" si="31"/>
        <v>473376.36748329154</v>
      </c>
      <c r="CB63" s="17">
        <f>IF(CA63&gt;0,'1 - Input'!$B$8/12*CA63,0)</f>
        <v>3550.3227561246863</v>
      </c>
      <c r="CC63" s="17">
        <f t="shared" si="32"/>
        <v>469826.04472716688</v>
      </c>
      <c r="CD63" s="17">
        <f t="shared" si="33"/>
        <v>3550.3227561246863</v>
      </c>
      <c r="CE63" s="17">
        <f>'1 - Input'!$B$22*(CB63-CD63)</f>
        <v>0</v>
      </c>
      <c r="CF63" s="17">
        <f t="shared" si="34"/>
        <v>3550.3227561246863</v>
      </c>
      <c r="CG63" s="17">
        <f t="shared" si="35"/>
        <v>430363.47724387533</v>
      </c>
      <c r="CH63" s="17">
        <f>IF('1 - Input'!$B$17=1,MAX(0,CF63-BX63),0)</f>
        <v>796.32275612468629</v>
      </c>
      <c r="CI63" s="17">
        <f>IF('1 - Input'!$B$17=1,MAX(0,BX63-CF63),0)</f>
        <v>0</v>
      </c>
      <c r="CJ63" s="17">
        <f t="shared" si="36"/>
        <v>8.3993997195723535E-2</v>
      </c>
      <c r="CK63" s="17">
        <f>IF(AND(CI63&gt;0,CC63&gt;0),CI63/(1-'1 - Input'!$B$22*CJ63),0)</f>
        <v>0</v>
      </c>
      <c r="CL63" s="17">
        <f t="shared" si="37"/>
        <v>0</v>
      </c>
      <c r="CM63" s="17">
        <f>'1 - Input'!$B$22*CJ63*CL63</f>
        <v>0</v>
      </c>
      <c r="CN63" s="17">
        <f t="shared" si="38"/>
        <v>0</v>
      </c>
      <c r="CO63" s="17">
        <f t="shared" si="39"/>
        <v>0</v>
      </c>
      <c r="CP63" s="17">
        <f t="shared" si="40"/>
        <v>0</v>
      </c>
      <c r="CQ63" s="17">
        <f t="shared" si="41"/>
        <v>470622.36748329154</v>
      </c>
      <c r="CR63" s="17">
        <f t="shared" si="42"/>
        <v>431159.8</v>
      </c>
      <c r="CS63" s="17">
        <f>IF(MOD(BU63,12)=0,CQ63*'1 - Input'!$B$23,0)</f>
        <v>0</v>
      </c>
      <c r="CT63" s="17">
        <f t="shared" si="43"/>
        <v>470622.36748329154</v>
      </c>
      <c r="CU63" s="17">
        <f>IF(MOD(BU63,12)=0,CR63*(1-'1 - Input'!$B$23),CR63)</f>
        <v>431159.8</v>
      </c>
      <c r="CV63" s="17">
        <f>IF('1 - Input'!$B$17=1,MIN(CF63,BX63)+CN63,CF63)</f>
        <v>2754</v>
      </c>
      <c r="CW63" s="17">
        <f t="shared" si="63"/>
        <v>54432</v>
      </c>
      <c r="CX63" s="17">
        <f t="shared" si="64"/>
        <v>0</v>
      </c>
      <c r="CY63" s="17">
        <f t="shared" si="65"/>
        <v>0</v>
      </c>
      <c r="CZ63" s="17">
        <f t="shared" si="66"/>
        <v>0</v>
      </c>
      <c r="DA63" s="17">
        <f t="shared" si="67"/>
        <v>955.94437330603489</v>
      </c>
      <c r="DB63" s="17">
        <f t="shared" si="68"/>
        <v>0</v>
      </c>
      <c r="DC63" s="15">
        <f t="shared" si="44"/>
        <v>0</v>
      </c>
    </row>
    <row r="64" spans="1:107">
      <c r="A64" s="14">
        <v>21</v>
      </c>
      <c r="B64" s="15">
        <f t="shared" si="0"/>
        <v>2</v>
      </c>
      <c r="C64" s="16">
        <f>(1+INDEX('1 - Input'!$B$34:$E$63,B64,'1 - Input'!$B$16))^(1/12)-1</f>
        <v>4.1219243192651689E-3</v>
      </c>
      <c r="D64" s="17">
        <f>'1 - Input'!$B$7*(1+'1 - Input'!$B$12)^(B64-1)</f>
        <v>2754</v>
      </c>
      <c r="E64" s="17">
        <f t="shared" si="45"/>
        <v>451483.93457820354</v>
      </c>
      <c r="F64" s="17">
        <f t="shared" si="46"/>
        <v>483395.88798327278</v>
      </c>
      <c r="G64" s="17">
        <f t="shared" si="1"/>
        <v>453344.91718789894</v>
      </c>
      <c r="H64" s="17">
        <f>IF(G64&gt;0,'1 - Input'!$B$8/12*G64,0)</f>
        <v>3400.0868789092419</v>
      </c>
      <c r="I64" s="17">
        <f t="shared" si="2"/>
        <v>449944.83030898968</v>
      </c>
      <c r="J64" s="17">
        <f t="shared" si="3"/>
        <v>0</v>
      </c>
      <c r="K64" s="17">
        <f>'1 - Input'!$B$22*(H64-J64)</f>
        <v>884.02258851640295</v>
      </c>
      <c r="L64" s="17">
        <f t="shared" si="4"/>
        <v>2516.0642903928392</v>
      </c>
      <c r="M64" s="17">
        <f t="shared" si="5"/>
        <v>483395.88798327278</v>
      </c>
      <c r="N64" s="17">
        <f>IF('1 - Input'!$B$17=1,MAX(0,L64-D64),0)</f>
        <v>0</v>
      </c>
      <c r="O64" s="17">
        <f>IF('1 - Input'!$B$17=1,MAX(0,D64-L64),0)</f>
        <v>237.93570960716079</v>
      </c>
      <c r="P64" s="17">
        <f t="shared" si="6"/>
        <v>0</v>
      </c>
      <c r="Q64" s="17">
        <f>IF(AND(O64&gt;0,I64&gt;0),O64/(1-'1 - Input'!$B$22*P64),0)</f>
        <v>237.93570960716079</v>
      </c>
      <c r="R64" s="17">
        <f t="shared" si="7"/>
        <v>237.93570960716079</v>
      </c>
      <c r="S64" s="17">
        <f>'1 - Input'!$B$22*P64*R64</f>
        <v>0</v>
      </c>
      <c r="T64" s="17">
        <f t="shared" si="8"/>
        <v>237.93570960716079</v>
      </c>
      <c r="U64" s="17">
        <f t="shared" si="9"/>
        <v>0</v>
      </c>
      <c r="V64" s="17">
        <f t="shared" si="10"/>
        <v>17.689282349071128</v>
      </c>
      <c r="W64" s="17">
        <f t="shared" si="11"/>
        <v>449706.89459938253</v>
      </c>
      <c r="X64" s="17">
        <f t="shared" si="12"/>
        <v>483140.26299131656</v>
      </c>
      <c r="Y64" s="17">
        <f>IF(MOD(A64,12)=0,W64*'1 - Input'!$B$23,0)</f>
        <v>0</v>
      </c>
      <c r="Z64" s="17">
        <f t="shared" si="13"/>
        <v>449706.89459938253</v>
      </c>
      <c r="AA64" s="17">
        <f>IF(MOD(A64,12)=0,X64*(1-'1 - Input'!$B$23),X64)</f>
        <v>483140.26299131656</v>
      </c>
      <c r="AB64" s="17">
        <f>IF('1 - Input'!$B$17=1,MIN(L64,D64)+T64,L64)</f>
        <v>2754</v>
      </c>
      <c r="AC64" s="17">
        <f t="shared" si="47"/>
        <v>57186</v>
      </c>
      <c r="AD64" s="17">
        <f t="shared" si="48"/>
        <v>19297.171557357367</v>
      </c>
      <c r="AE64" s="17">
        <f t="shared" si="49"/>
        <v>0</v>
      </c>
      <c r="AF64" s="17">
        <f t="shared" si="50"/>
        <v>124.43849322947827</v>
      </c>
      <c r="AG64" s="17">
        <f t="shared" si="51"/>
        <v>932.99161469028547</v>
      </c>
      <c r="AH64" s="17">
        <f t="shared" si="52"/>
        <v>0</v>
      </c>
      <c r="AI64" s="15">
        <f t="shared" si="14"/>
        <v>0</v>
      </c>
      <c r="AK64" s="14">
        <v>21</v>
      </c>
      <c r="AL64" s="15">
        <f t="shared" si="15"/>
        <v>2</v>
      </c>
      <c r="AM64" s="16">
        <f>(1+INDEX('1 - Input'!$B$34:$E$63,AL64,'1 - Input'!$B$16))^(1/12)-1</f>
        <v>4.1219243192651689E-3</v>
      </c>
      <c r="AN64" s="17">
        <f>'1 - Input'!$B$7*(1+'1 - Input'!$B$12)^(AL64-1)</f>
        <v>2754</v>
      </c>
      <c r="AO64" s="17">
        <f t="shared" si="53"/>
        <v>451483.93457820354</v>
      </c>
      <c r="AP64" s="17">
        <f t="shared" si="54"/>
        <v>483395.88798327278</v>
      </c>
      <c r="AQ64" s="17">
        <f t="shared" si="16"/>
        <v>453344.91718789894</v>
      </c>
      <c r="AR64" s="17">
        <f>IF(AQ64&gt;0,'1 - Input'!$B$8/12*AQ64,0)</f>
        <v>3400.0868789092419</v>
      </c>
      <c r="AS64" s="17">
        <f t="shared" si="17"/>
        <v>449944.83030898968</v>
      </c>
      <c r="AT64" s="17">
        <f t="shared" si="18"/>
        <v>0</v>
      </c>
      <c r="AU64" s="17">
        <f>'1 - Input'!$B$22*(AR64-AT64)</f>
        <v>884.02258851640295</v>
      </c>
      <c r="AV64" s="17">
        <f t="shared" si="19"/>
        <v>2516.0642903928392</v>
      </c>
      <c r="AW64" s="17">
        <f t="shared" si="20"/>
        <v>483395.88798327278</v>
      </c>
      <c r="AX64" s="17">
        <f>IF('1 - Input'!$B$17=1,MAX(0,AV64-AN64),0)</f>
        <v>0</v>
      </c>
      <c r="AY64" s="17">
        <f>IF('1 - Input'!$B$17=1,MAX(0,AN64-AV64),0)</f>
        <v>237.93570960716079</v>
      </c>
      <c r="AZ64" s="17">
        <f t="shared" si="21"/>
        <v>0</v>
      </c>
      <c r="BA64" s="17">
        <f>IF(AND(AY64&gt;0,AS64&gt;0),AY64/(1-'1 - Input'!$B$22*AZ64),0)</f>
        <v>237.93570960716079</v>
      </c>
      <c r="BB64" s="17">
        <f t="shared" si="22"/>
        <v>237.93570960716079</v>
      </c>
      <c r="BC64" s="17">
        <f>'1 - Input'!$B$22*AZ64*BB64</f>
        <v>0</v>
      </c>
      <c r="BD64" s="17">
        <f t="shared" si="23"/>
        <v>237.93570960716079</v>
      </c>
      <c r="BE64" s="17">
        <f t="shared" si="24"/>
        <v>0</v>
      </c>
      <c r="BF64" s="17">
        <f t="shared" si="25"/>
        <v>17.689282349071128</v>
      </c>
      <c r="BG64" s="17">
        <f t="shared" si="26"/>
        <v>449706.89459938253</v>
      </c>
      <c r="BH64" s="17">
        <f t="shared" si="27"/>
        <v>483140.26299131656</v>
      </c>
      <c r="BI64" s="17">
        <f>IF(MOD(AK64,12)=0,BG64*'1 - Input'!$B$23,0)</f>
        <v>0</v>
      </c>
      <c r="BJ64" s="17">
        <f t="shared" si="28"/>
        <v>449706.89459938253</v>
      </c>
      <c r="BK64" s="17">
        <f>IF(MOD(AK64,12)=0,BH64*(1-'1 - Input'!$B$23),BH64)</f>
        <v>483140.26299131656</v>
      </c>
      <c r="BL64" s="17">
        <f>IF('1 - Input'!$B$17=1,MIN(AV64,AN64)+BD64,AV64)</f>
        <v>2754</v>
      </c>
      <c r="BM64" s="17">
        <f t="shared" si="55"/>
        <v>57186</v>
      </c>
      <c r="BN64" s="17">
        <f t="shared" si="56"/>
        <v>19297.171557357367</v>
      </c>
      <c r="BO64" s="17">
        <f t="shared" si="57"/>
        <v>0</v>
      </c>
      <c r="BP64" s="17">
        <f t="shared" si="58"/>
        <v>124.43849322947827</v>
      </c>
      <c r="BQ64" s="17">
        <f t="shared" si="59"/>
        <v>932.99161469028547</v>
      </c>
      <c r="BR64" s="17">
        <f t="shared" si="60"/>
        <v>0</v>
      </c>
      <c r="BS64" s="15">
        <f t="shared" si="29"/>
        <v>0</v>
      </c>
      <c r="BU64" s="14">
        <v>21</v>
      </c>
      <c r="BV64" s="15">
        <f t="shared" si="30"/>
        <v>2</v>
      </c>
      <c r="BW64" s="16">
        <f>(1+INDEX('1 - Input'!$B$34:$E$63,BV64,'1 - Input'!$B$16))^(1/12)-1</f>
        <v>4.1219243192651689E-3</v>
      </c>
      <c r="BX64" s="17">
        <f>'1 - Input'!$B$7*(1+'1 - Input'!$B$12)^(BV64-1)</f>
        <v>2754</v>
      </c>
      <c r="BY64" s="17">
        <f t="shared" si="61"/>
        <v>470622.36748329154</v>
      </c>
      <c r="BZ64" s="17">
        <f t="shared" si="62"/>
        <v>431159.8</v>
      </c>
      <c r="CA64" s="17">
        <f t="shared" si="31"/>
        <v>472562.23726501106</v>
      </c>
      <c r="CB64" s="17">
        <f>IF(CA64&gt;0,'1 - Input'!$B$8/12*CA64,0)</f>
        <v>3544.2167794875827</v>
      </c>
      <c r="CC64" s="17">
        <f t="shared" si="32"/>
        <v>469018.02048552351</v>
      </c>
      <c r="CD64" s="17">
        <f t="shared" si="33"/>
        <v>3544.2167794875827</v>
      </c>
      <c r="CE64" s="17">
        <f>'1 - Input'!$B$22*(CB64-CD64)</f>
        <v>0</v>
      </c>
      <c r="CF64" s="17">
        <f t="shared" si="34"/>
        <v>3544.2167794875827</v>
      </c>
      <c r="CG64" s="17">
        <f t="shared" si="35"/>
        <v>427615.58322051243</v>
      </c>
      <c r="CH64" s="17">
        <f>IF('1 - Input'!$B$17=1,MAX(0,CF64-BX64),0)</f>
        <v>790.2167794875827</v>
      </c>
      <c r="CI64" s="17">
        <f>IF('1 - Input'!$B$17=1,MAX(0,BX64-CF64),0)</f>
        <v>0</v>
      </c>
      <c r="CJ64" s="17">
        <f t="shared" si="36"/>
        <v>8.8274726037501972E-2</v>
      </c>
      <c r="CK64" s="17">
        <f>IF(AND(CI64&gt;0,CC64&gt;0),CI64/(1-'1 - Input'!$B$22*CJ64),0)</f>
        <v>0</v>
      </c>
      <c r="CL64" s="17">
        <f t="shared" si="37"/>
        <v>0</v>
      </c>
      <c r="CM64" s="17">
        <f>'1 - Input'!$B$22*CJ64*CL64</f>
        <v>0</v>
      </c>
      <c r="CN64" s="17">
        <f t="shared" si="38"/>
        <v>0</v>
      </c>
      <c r="CO64" s="17">
        <f t="shared" si="39"/>
        <v>0</v>
      </c>
      <c r="CP64" s="17">
        <f t="shared" si="40"/>
        <v>0</v>
      </c>
      <c r="CQ64" s="17">
        <f t="shared" si="41"/>
        <v>469808.23726501106</v>
      </c>
      <c r="CR64" s="17">
        <f t="shared" si="42"/>
        <v>428405.8</v>
      </c>
      <c r="CS64" s="17">
        <f>IF(MOD(BU64,12)=0,CQ64*'1 - Input'!$B$23,0)</f>
        <v>0</v>
      </c>
      <c r="CT64" s="17">
        <f t="shared" si="43"/>
        <v>469808.23726501106</v>
      </c>
      <c r="CU64" s="17">
        <f>IF(MOD(BU64,12)=0,CR64*(1-'1 - Input'!$B$23),CR64)</f>
        <v>428405.8</v>
      </c>
      <c r="CV64" s="17">
        <f>IF('1 - Input'!$B$17=1,MIN(CF64,BX64)+CN64,CF64)</f>
        <v>2754</v>
      </c>
      <c r="CW64" s="17">
        <f t="shared" si="63"/>
        <v>57186</v>
      </c>
      <c r="CX64" s="17">
        <f t="shared" si="64"/>
        <v>0</v>
      </c>
      <c r="CY64" s="17">
        <f t="shared" si="65"/>
        <v>0</v>
      </c>
      <c r="CZ64" s="17">
        <f t="shared" si="66"/>
        <v>0</v>
      </c>
      <c r="DA64" s="17">
        <f t="shared" si="67"/>
        <v>955.94437330603489</v>
      </c>
      <c r="DB64" s="17">
        <f t="shared" si="68"/>
        <v>0</v>
      </c>
      <c r="DC64" s="15">
        <f t="shared" si="44"/>
        <v>0</v>
      </c>
    </row>
    <row r="65" spans="1:107">
      <c r="A65" s="14">
        <v>22</v>
      </c>
      <c r="B65" s="15">
        <f t="shared" si="0"/>
        <v>2</v>
      </c>
      <c r="C65" s="16">
        <f>(1+INDEX('1 - Input'!$B$34:$E$63,B65,'1 - Input'!$B$16))^(1/12)-1</f>
        <v>4.1219243192651689E-3</v>
      </c>
      <c r="D65" s="17">
        <f>'1 - Input'!$B$7*(1+'1 - Input'!$B$12)^(B65-1)</f>
        <v>2754</v>
      </c>
      <c r="E65" s="17">
        <f t="shared" si="45"/>
        <v>449706.89459938253</v>
      </c>
      <c r="F65" s="17">
        <f t="shared" si="46"/>
        <v>483140.26299131656</v>
      </c>
      <c r="G65" s="17">
        <f t="shared" si="1"/>
        <v>451560.55238477292</v>
      </c>
      <c r="H65" s="17">
        <f>IF(G65&gt;0,'1 - Input'!$B$8/12*G65,0)</f>
        <v>3386.704142885797</v>
      </c>
      <c r="I65" s="17">
        <f t="shared" si="2"/>
        <v>448173.84824188711</v>
      </c>
      <c r="J65" s="17">
        <f t="shared" si="3"/>
        <v>0</v>
      </c>
      <c r="K65" s="17">
        <f>'1 - Input'!$B$22*(H65-J65)</f>
        <v>880.54307715030723</v>
      </c>
      <c r="L65" s="17">
        <f t="shared" si="4"/>
        <v>2506.1610657354895</v>
      </c>
      <c r="M65" s="17">
        <f t="shared" si="5"/>
        <v>483140.26299131656</v>
      </c>
      <c r="N65" s="17">
        <f>IF('1 - Input'!$B$17=1,MAX(0,L65-D65),0)</f>
        <v>0</v>
      </c>
      <c r="O65" s="17">
        <f>IF('1 - Input'!$B$17=1,MAX(0,D65-L65),0)</f>
        <v>247.8389342645105</v>
      </c>
      <c r="P65" s="17">
        <f t="shared" si="6"/>
        <v>0</v>
      </c>
      <c r="Q65" s="17">
        <f>IF(AND(O65&gt;0,I65&gt;0),O65/(1-'1 - Input'!$B$22*P65),0)</f>
        <v>247.8389342645105</v>
      </c>
      <c r="R65" s="17">
        <f t="shared" si="7"/>
        <v>247.8389342645105</v>
      </c>
      <c r="S65" s="17">
        <f>'1 - Input'!$B$22*P65*R65</f>
        <v>0</v>
      </c>
      <c r="T65" s="17">
        <f t="shared" si="8"/>
        <v>247.8389342645105</v>
      </c>
      <c r="U65" s="17">
        <f t="shared" si="9"/>
        <v>0</v>
      </c>
      <c r="V65" s="17">
        <f t="shared" si="10"/>
        <v>19.336333435216975</v>
      </c>
      <c r="W65" s="17">
        <f t="shared" si="11"/>
        <v>447926.00930762262</v>
      </c>
      <c r="X65" s="17">
        <f t="shared" si="12"/>
        <v>482873.0877236168</v>
      </c>
      <c r="Y65" s="17">
        <f>IF(MOD(A65,12)=0,W65*'1 - Input'!$B$23,0)</f>
        <v>0</v>
      </c>
      <c r="Z65" s="17">
        <f t="shared" si="13"/>
        <v>447926.00930762262</v>
      </c>
      <c r="AA65" s="17">
        <f>IF(MOD(A65,12)=0,X65*(1-'1 - Input'!$B$23),X65)</f>
        <v>482873.0877236168</v>
      </c>
      <c r="AB65" s="17">
        <f>IF('1 - Input'!$B$17=1,MIN(L65,D65)+T65,L65)</f>
        <v>2754</v>
      </c>
      <c r="AC65" s="17">
        <f t="shared" si="47"/>
        <v>59940</v>
      </c>
      <c r="AD65" s="17">
        <f t="shared" si="48"/>
        <v>20177.714634507676</v>
      </c>
      <c r="AE65" s="17">
        <f t="shared" si="49"/>
        <v>0</v>
      </c>
      <c r="AF65" s="17">
        <f t="shared" si="50"/>
        <v>143.77482666469524</v>
      </c>
      <c r="AG65" s="17">
        <f t="shared" si="51"/>
        <v>932.99161469028547</v>
      </c>
      <c r="AH65" s="17">
        <f t="shared" si="52"/>
        <v>0</v>
      </c>
      <c r="AI65" s="15">
        <f t="shared" si="14"/>
        <v>0</v>
      </c>
      <c r="AK65" s="14">
        <v>22</v>
      </c>
      <c r="AL65" s="15">
        <f t="shared" si="15"/>
        <v>2</v>
      </c>
      <c r="AM65" s="16">
        <f>(1+INDEX('1 - Input'!$B$34:$E$63,AL65,'1 - Input'!$B$16))^(1/12)-1</f>
        <v>4.1219243192651689E-3</v>
      </c>
      <c r="AN65" s="17">
        <f>'1 - Input'!$B$7*(1+'1 - Input'!$B$12)^(AL65-1)</f>
        <v>2754</v>
      </c>
      <c r="AO65" s="17">
        <f t="shared" si="53"/>
        <v>449706.89459938253</v>
      </c>
      <c r="AP65" s="17">
        <f t="shared" si="54"/>
        <v>483140.26299131656</v>
      </c>
      <c r="AQ65" s="17">
        <f t="shared" si="16"/>
        <v>451560.55238477292</v>
      </c>
      <c r="AR65" s="17">
        <f>IF(AQ65&gt;0,'1 - Input'!$B$8/12*AQ65,0)</f>
        <v>3386.704142885797</v>
      </c>
      <c r="AS65" s="17">
        <f t="shared" si="17"/>
        <v>448173.84824188711</v>
      </c>
      <c r="AT65" s="17">
        <f t="shared" si="18"/>
        <v>0</v>
      </c>
      <c r="AU65" s="17">
        <f>'1 - Input'!$B$22*(AR65-AT65)</f>
        <v>880.54307715030723</v>
      </c>
      <c r="AV65" s="17">
        <f t="shared" si="19"/>
        <v>2506.1610657354895</v>
      </c>
      <c r="AW65" s="17">
        <f t="shared" si="20"/>
        <v>483140.26299131656</v>
      </c>
      <c r="AX65" s="17">
        <f>IF('1 - Input'!$B$17=1,MAX(0,AV65-AN65),0)</f>
        <v>0</v>
      </c>
      <c r="AY65" s="17">
        <f>IF('1 - Input'!$B$17=1,MAX(0,AN65-AV65),0)</f>
        <v>247.8389342645105</v>
      </c>
      <c r="AZ65" s="17">
        <f t="shared" si="21"/>
        <v>0</v>
      </c>
      <c r="BA65" s="17">
        <f>IF(AND(AY65&gt;0,AS65&gt;0),AY65/(1-'1 - Input'!$B$22*AZ65),0)</f>
        <v>247.8389342645105</v>
      </c>
      <c r="BB65" s="17">
        <f t="shared" si="22"/>
        <v>247.8389342645105</v>
      </c>
      <c r="BC65" s="17">
        <f>'1 - Input'!$B$22*AZ65*BB65</f>
        <v>0</v>
      </c>
      <c r="BD65" s="17">
        <f t="shared" si="23"/>
        <v>247.8389342645105</v>
      </c>
      <c r="BE65" s="17">
        <f t="shared" si="24"/>
        <v>0</v>
      </c>
      <c r="BF65" s="17">
        <f t="shared" si="25"/>
        <v>19.336333435216975</v>
      </c>
      <c r="BG65" s="17">
        <f t="shared" si="26"/>
        <v>447926.00930762262</v>
      </c>
      <c r="BH65" s="17">
        <f t="shared" si="27"/>
        <v>482873.0877236168</v>
      </c>
      <c r="BI65" s="17">
        <f>IF(MOD(AK65,12)=0,BG65*'1 - Input'!$B$23,0)</f>
        <v>0</v>
      </c>
      <c r="BJ65" s="17">
        <f t="shared" si="28"/>
        <v>447926.00930762262</v>
      </c>
      <c r="BK65" s="17">
        <f>IF(MOD(AK65,12)=0,BH65*(1-'1 - Input'!$B$23),BH65)</f>
        <v>482873.0877236168</v>
      </c>
      <c r="BL65" s="17">
        <f>IF('1 - Input'!$B$17=1,MIN(AV65,AN65)+BD65,AV65)</f>
        <v>2754</v>
      </c>
      <c r="BM65" s="17">
        <f t="shared" si="55"/>
        <v>59940</v>
      </c>
      <c r="BN65" s="17">
        <f t="shared" si="56"/>
        <v>20177.714634507676</v>
      </c>
      <c r="BO65" s="17">
        <f t="shared" si="57"/>
        <v>0</v>
      </c>
      <c r="BP65" s="17">
        <f t="shared" si="58"/>
        <v>143.77482666469524</v>
      </c>
      <c r="BQ65" s="17">
        <f t="shared" si="59"/>
        <v>932.99161469028547</v>
      </c>
      <c r="BR65" s="17">
        <f t="shared" si="60"/>
        <v>0</v>
      </c>
      <c r="BS65" s="15">
        <f t="shared" si="29"/>
        <v>0</v>
      </c>
      <c r="BU65" s="14">
        <v>22</v>
      </c>
      <c r="BV65" s="15">
        <f t="shared" si="30"/>
        <v>2</v>
      </c>
      <c r="BW65" s="16">
        <f>(1+INDEX('1 - Input'!$B$34:$E$63,BV65,'1 - Input'!$B$16))^(1/12)-1</f>
        <v>4.1219243192651689E-3</v>
      </c>
      <c r="BX65" s="17">
        <f>'1 - Input'!$B$7*(1+'1 - Input'!$B$12)^(BV65-1)</f>
        <v>2754</v>
      </c>
      <c r="BY65" s="17">
        <f t="shared" si="61"/>
        <v>469808.23726501106</v>
      </c>
      <c r="BZ65" s="17">
        <f t="shared" si="62"/>
        <v>428405.8</v>
      </c>
      <c r="CA65" s="17">
        <f t="shared" si="31"/>
        <v>471744.75126358483</v>
      </c>
      <c r="CB65" s="17">
        <f>IF(CA65&gt;0,'1 - Input'!$B$8/12*CA65,0)</f>
        <v>3538.0856344768858</v>
      </c>
      <c r="CC65" s="17">
        <f t="shared" si="32"/>
        <v>468206.66562910791</v>
      </c>
      <c r="CD65" s="17">
        <f t="shared" si="33"/>
        <v>3538.0856344768858</v>
      </c>
      <c r="CE65" s="17">
        <f>'1 - Input'!$B$22*(CB65-CD65)</f>
        <v>0</v>
      </c>
      <c r="CF65" s="17">
        <f t="shared" si="34"/>
        <v>3538.0856344768858</v>
      </c>
      <c r="CG65" s="17">
        <f t="shared" si="35"/>
        <v>424867.71436552308</v>
      </c>
      <c r="CH65" s="17">
        <f>IF('1 - Input'!$B$17=1,MAX(0,CF65-BX65),0)</f>
        <v>784.08563447688584</v>
      </c>
      <c r="CI65" s="17">
        <f>IF('1 - Input'!$B$17=1,MAX(0,BX65-CF65),0)</f>
        <v>0</v>
      </c>
      <c r="CJ65" s="17">
        <f t="shared" si="36"/>
        <v>9.2563721204934724E-2</v>
      </c>
      <c r="CK65" s="17">
        <f>IF(AND(CI65&gt;0,CC65&gt;0),CI65/(1-'1 - Input'!$B$22*CJ65),0)</f>
        <v>0</v>
      </c>
      <c r="CL65" s="17">
        <f t="shared" si="37"/>
        <v>0</v>
      </c>
      <c r="CM65" s="17">
        <f>'1 - Input'!$B$22*CJ65*CL65</f>
        <v>0</v>
      </c>
      <c r="CN65" s="17">
        <f t="shared" si="38"/>
        <v>0</v>
      </c>
      <c r="CO65" s="17">
        <f t="shared" si="39"/>
        <v>0</v>
      </c>
      <c r="CP65" s="17">
        <f t="shared" si="40"/>
        <v>0</v>
      </c>
      <c r="CQ65" s="17">
        <f t="shared" si="41"/>
        <v>468990.75126358483</v>
      </c>
      <c r="CR65" s="17">
        <f t="shared" si="42"/>
        <v>425651.8</v>
      </c>
      <c r="CS65" s="17">
        <f>IF(MOD(BU65,12)=0,CQ65*'1 - Input'!$B$23,0)</f>
        <v>0</v>
      </c>
      <c r="CT65" s="17">
        <f t="shared" si="43"/>
        <v>468990.75126358483</v>
      </c>
      <c r="CU65" s="17">
        <f>IF(MOD(BU65,12)=0,CR65*(1-'1 - Input'!$B$23),CR65)</f>
        <v>425651.8</v>
      </c>
      <c r="CV65" s="17">
        <f>IF('1 - Input'!$B$17=1,MIN(CF65,BX65)+CN65,CF65)</f>
        <v>2754</v>
      </c>
      <c r="CW65" s="17">
        <f t="shared" si="63"/>
        <v>59940</v>
      </c>
      <c r="CX65" s="17">
        <f t="shared" si="64"/>
        <v>0</v>
      </c>
      <c r="CY65" s="17">
        <f t="shared" si="65"/>
        <v>0</v>
      </c>
      <c r="CZ65" s="17">
        <f t="shared" si="66"/>
        <v>0</v>
      </c>
      <c r="DA65" s="17">
        <f t="shared" si="67"/>
        <v>955.94437330603489</v>
      </c>
      <c r="DB65" s="17">
        <f t="shared" si="68"/>
        <v>0</v>
      </c>
      <c r="DC65" s="15">
        <f t="shared" si="44"/>
        <v>0</v>
      </c>
    </row>
    <row r="66" spans="1:107">
      <c r="A66" s="14">
        <v>23</v>
      </c>
      <c r="B66" s="15">
        <f t="shared" si="0"/>
        <v>2</v>
      </c>
      <c r="C66" s="16">
        <f>(1+INDEX('1 - Input'!$B$34:$E$63,B66,'1 - Input'!$B$16))^(1/12)-1</f>
        <v>4.1219243192651689E-3</v>
      </c>
      <c r="D66" s="17">
        <f>'1 - Input'!$B$7*(1+'1 - Input'!$B$12)^(B66-1)</f>
        <v>2754</v>
      </c>
      <c r="E66" s="17">
        <f t="shared" si="45"/>
        <v>447926.00930762262</v>
      </c>
      <c r="F66" s="17">
        <f t="shared" si="46"/>
        <v>482873.0877236168</v>
      </c>
      <c r="G66" s="17">
        <f t="shared" si="1"/>
        <v>449772.32641861908</v>
      </c>
      <c r="H66" s="17">
        <f>IF(G66&gt;0,'1 - Input'!$B$8/12*G66,0)</f>
        <v>3373.2924481396431</v>
      </c>
      <c r="I66" s="17">
        <f t="shared" si="2"/>
        <v>446399.03397047945</v>
      </c>
      <c r="J66" s="17">
        <f t="shared" si="3"/>
        <v>0</v>
      </c>
      <c r="K66" s="17">
        <f>'1 - Input'!$B$22*(H66-J66)</f>
        <v>877.05603651630724</v>
      </c>
      <c r="L66" s="17">
        <f t="shared" si="4"/>
        <v>2496.2364116233357</v>
      </c>
      <c r="M66" s="17">
        <f t="shared" si="5"/>
        <v>482873.0877236168</v>
      </c>
      <c r="N66" s="17">
        <f>IF('1 - Input'!$B$17=1,MAX(0,L66-D66),0)</f>
        <v>0</v>
      </c>
      <c r="O66" s="17">
        <f>IF('1 - Input'!$B$17=1,MAX(0,D66-L66),0)</f>
        <v>257.7635883766643</v>
      </c>
      <c r="P66" s="17">
        <f t="shared" si="6"/>
        <v>0</v>
      </c>
      <c r="Q66" s="17">
        <f>IF(AND(O66&gt;0,I66&gt;0),O66/(1-'1 - Input'!$B$22*P66),0)</f>
        <v>257.7635883766643</v>
      </c>
      <c r="R66" s="17">
        <f t="shared" si="7"/>
        <v>257.7635883766643</v>
      </c>
      <c r="S66" s="17">
        <f>'1 - Input'!$B$22*P66*R66</f>
        <v>0</v>
      </c>
      <c r="T66" s="17">
        <f t="shared" si="8"/>
        <v>257.7635883766643</v>
      </c>
      <c r="U66" s="17">
        <f t="shared" si="9"/>
        <v>0</v>
      </c>
      <c r="V66" s="17">
        <f t="shared" si="10"/>
        <v>21.061163359671966</v>
      </c>
      <c r="W66" s="17">
        <f t="shared" si="11"/>
        <v>446141.27038210275</v>
      </c>
      <c r="X66" s="17">
        <f t="shared" si="12"/>
        <v>482594.2629718805</v>
      </c>
      <c r="Y66" s="17">
        <f>IF(MOD(A66,12)=0,W66*'1 - Input'!$B$23,0)</f>
        <v>0</v>
      </c>
      <c r="Z66" s="17">
        <f t="shared" si="13"/>
        <v>446141.27038210275</v>
      </c>
      <c r="AA66" s="17">
        <f>IF(MOD(A66,12)=0,X66*(1-'1 - Input'!$B$23),X66)</f>
        <v>482594.2629718805</v>
      </c>
      <c r="AB66" s="17">
        <f>IF('1 - Input'!$B$17=1,MIN(L66,D66)+T66,L66)</f>
        <v>2754</v>
      </c>
      <c r="AC66" s="17">
        <f t="shared" si="47"/>
        <v>62694</v>
      </c>
      <c r="AD66" s="17">
        <f t="shared" si="48"/>
        <v>21054.770671023984</v>
      </c>
      <c r="AE66" s="17">
        <f t="shared" si="49"/>
        <v>0</v>
      </c>
      <c r="AF66" s="17">
        <f t="shared" si="50"/>
        <v>164.83599002436722</v>
      </c>
      <c r="AG66" s="17">
        <f t="shared" si="51"/>
        <v>932.99161469028547</v>
      </c>
      <c r="AH66" s="17">
        <f t="shared" si="52"/>
        <v>0</v>
      </c>
      <c r="AI66" s="15">
        <f t="shared" si="14"/>
        <v>0</v>
      </c>
      <c r="AK66" s="14">
        <v>23</v>
      </c>
      <c r="AL66" s="15">
        <f t="shared" si="15"/>
        <v>2</v>
      </c>
      <c r="AM66" s="16">
        <f>(1+INDEX('1 - Input'!$B$34:$E$63,AL66,'1 - Input'!$B$16))^(1/12)-1</f>
        <v>4.1219243192651689E-3</v>
      </c>
      <c r="AN66" s="17">
        <f>'1 - Input'!$B$7*(1+'1 - Input'!$B$12)^(AL66-1)</f>
        <v>2754</v>
      </c>
      <c r="AO66" s="17">
        <f t="shared" si="53"/>
        <v>447926.00930762262</v>
      </c>
      <c r="AP66" s="17">
        <f t="shared" si="54"/>
        <v>482873.0877236168</v>
      </c>
      <c r="AQ66" s="17">
        <f t="shared" si="16"/>
        <v>449772.32641861908</v>
      </c>
      <c r="AR66" s="17">
        <f>IF(AQ66&gt;0,'1 - Input'!$B$8/12*AQ66,0)</f>
        <v>3373.2924481396431</v>
      </c>
      <c r="AS66" s="17">
        <f t="shared" si="17"/>
        <v>446399.03397047945</v>
      </c>
      <c r="AT66" s="17">
        <f t="shared" si="18"/>
        <v>0</v>
      </c>
      <c r="AU66" s="17">
        <f>'1 - Input'!$B$22*(AR66-AT66)</f>
        <v>877.05603651630724</v>
      </c>
      <c r="AV66" s="17">
        <f t="shared" si="19"/>
        <v>2496.2364116233357</v>
      </c>
      <c r="AW66" s="17">
        <f t="shared" si="20"/>
        <v>482873.0877236168</v>
      </c>
      <c r="AX66" s="17">
        <f>IF('1 - Input'!$B$17=1,MAX(0,AV66-AN66),0)</f>
        <v>0</v>
      </c>
      <c r="AY66" s="17">
        <f>IF('1 - Input'!$B$17=1,MAX(0,AN66-AV66),0)</f>
        <v>257.7635883766643</v>
      </c>
      <c r="AZ66" s="17">
        <f t="shared" si="21"/>
        <v>0</v>
      </c>
      <c r="BA66" s="17">
        <f>IF(AND(AY66&gt;0,AS66&gt;0),AY66/(1-'1 - Input'!$B$22*AZ66),0)</f>
        <v>257.7635883766643</v>
      </c>
      <c r="BB66" s="17">
        <f t="shared" si="22"/>
        <v>257.7635883766643</v>
      </c>
      <c r="BC66" s="17">
        <f>'1 - Input'!$B$22*AZ66*BB66</f>
        <v>0</v>
      </c>
      <c r="BD66" s="17">
        <f t="shared" si="23"/>
        <v>257.7635883766643</v>
      </c>
      <c r="BE66" s="17">
        <f t="shared" si="24"/>
        <v>0</v>
      </c>
      <c r="BF66" s="17">
        <f t="shared" si="25"/>
        <v>21.061163359671966</v>
      </c>
      <c r="BG66" s="17">
        <f t="shared" si="26"/>
        <v>446141.27038210275</v>
      </c>
      <c r="BH66" s="17">
        <f t="shared" si="27"/>
        <v>482594.2629718805</v>
      </c>
      <c r="BI66" s="17">
        <f>IF(MOD(AK66,12)=0,BG66*'1 - Input'!$B$23,0)</f>
        <v>0</v>
      </c>
      <c r="BJ66" s="17">
        <f t="shared" si="28"/>
        <v>446141.27038210275</v>
      </c>
      <c r="BK66" s="17">
        <f>IF(MOD(AK66,12)=0,BH66*(1-'1 - Input'!$B$23),BH66)</f>
        <v>482594.2629718805</v>
      </c>
      <c r="BL66" s="17">
        <f>IF('1 - Input'!$B$17=1,MIN(AV66,AN66)+BD66,AV66)</f>
        <v>2754</v>
      </c>
      <c r="BM66" s="17">
        <f t="shared" si="55"/>
        <v>62694</v>
      </c>
      <c r="BN66" s="17">
        <f t="shared" si="56"/>
        <v>21054.770671023984</v>
      </c>
      <c r="BO66" s="17">
        <f t="shared" si="57"/>
        <v>0</v>
      </c>
      <c r="BP66" s="17">
        <f t="shared" si="58"/>
        <v>164.83599002436722</v>
      </c>
      <c r="BQ66" s="17">
        <f t="shared" si="59"/>
        <v>932.99161469028547</v>
      </c>
      <c r="BR66" s="17">
        <f t="shared" si="60"/>
        <v>0</v>
      </c>
      <c r="BS66" s="15">
        <f t="shared" si="29"/>
        <v>0</v>
      </c>
      <c r="BU66" s="14">
        <v>23</v>
      </c>
      <c r="BV66" s="15">
        <f t="shared" si="30"/>
        <v>2</v>
      </c>
      <c r="BW66" s="16">
        <f>(1+INDEX('1 - Input'!$B$34:$E$63,BV66,'1 - Input'!$B$16))^(1/12)-1</f>
        <v>4.1219243192651689E-3</v>
      </c>
      <c r="BX66" s="17">
        <f>'1 - Input'!$B$7*(1+'1 - Input'!$B$12)^(BV66-1)</f>
        <v>2754</v>
      </c>
      <c r="BY66" s="17">
        <f t="shared" si="61"/>
        <v>468990.75126358483</v>
      </c>
      <c r="BZ66" s="17">
        <f t="shared" si="62"/>
        <v>425651.8</v>
      </c>
      <c r="CA66" s="17">
        <f t="shared" si="31"/>
        <v>470923.89564672863</v>
      </c>
      <c r="CB66" s="17">
        <f>IF(CA66&gt;0,'1 - Input'!$B$8/12*CA66,0)</f>
        <v>3531.9292173504646</v>
      </c>
      <c r="CC66" s="17">
        <f t="shared" si="32"/>
        <v>467391.9664293782</v>
      </c>
      <c r="CD66" s="17">
        <f t="shared" si="33"/>
        <v>3531.9292173504646</v>
      </c>
      <c r="CE66" s="17">
        <f>'1 - Input'!$B$22*(CB66-CD66)</f>
        <v>0</v>
      </c>
      <c r="CF66" s="17">
        <f t="shared" si="34"/>
        <v>3531.9292173504646</v>
      </c>
      <c r="CG66" s="17">
        <f t="shared" si="35"/>
        <v>422119.87078264955</v>
      </c>
      <c r="CH66" s="17">
        <f>IF('1 - Input'!$B$17=1,MAX(0,CF66-BX66),0)</f>
        <v>777.92921735046457</v>
      </c>
      <c r="CI66" s="17">
        <f>IF('1 - Input'!$B$17=1,MAX(0,BX66-CF66),0)</f>
        <v>0</v>
      </c>
      <c r="CJ66" s="17">
        <f t="shared" si="36"/>
        <v>9.6861090687079932E-2</v>
      </c>
      <c r="CK66" s="17">
        <f>IF(AND(CI66&gt;0,CC66&gt;0),CI66/(1-'1 - Input'!$B$22*CJ66),0)</f>
        <v>0</v>
      </c>
      <c r="CL66" s="17">
        <f t="shared" si="37"/>
        <v>0</v>
      </c>
      <c r="CM66" s="17">
        <f>'1 - Input'!$B$22*CJ66*CL66</f>
        <v>0</v>
      </c>
      <c r="CN66" s="17">
        <f t="shared" si="38"/>
        <v>0</v>
      </c>
      <c r="CO66" s="17">
        <f t="shared" si="39"/>
        <v>0</v>
      </c>
      <c r="CP66" s="17">
        <f t="shared" si="40"/>
        <v>0</v>
      </c>
      <c r="CQ66" s="17">
        <f t="shared" si="41"/>
        <v>468169.89564672863</v>
      </c>
      <c r="CR66" s="17">
        <f t="shared" si="42"/>
        <v>422897.8</v>
      </c>
      <c r="CS66" s="17">
        <f>IF(MOD(BU66,12)=0,CQ66*'1 - Input'!$B$23,0)</f>
        <v>0</v>
      </c>
      <c r="CT66" s="17">
        <f t="shared" si="43"/>
        <v>468169.89564672863</v>
      </c>
      <c r="CU66" s="17">
        <f>IF(MOD(BU66,12)=0,CR66*(1-'1 - Input'!$B$23),CR66)</f>
        <v>422897.8</v>
      </c>
      <c r="CV66" s="17">
        <f>IF('1 - Input'!$B$17=1,MIN(CF66,BX66)+CN66,CF66)</f>
        <v>2754</v>
      </c>
      <c r="CW66" s="17">
        <f t="shared" si="63"/>
        <v>62694</v>
      </c>
      <c r="CX66" s="17">
        <f t="shared" si="64"/>
        <v>0</v>
      </c>
      <c r="CY66" s="17">
        <f t="shared" si="65"/>
        <v>0</v>
      </c>
      <c r="CZ66" s="17">
        <f t="shared" si="66"/>
        <v>0</v>
      </c>
      <c r="DA66" s="17">
        <f t="shared" si="67"/>
        <v>955.94437330603489</v>
      </c>
      <c r="DB66" s="17">
        <f t="shared" si="68"/>
        <v>0</v>
      </c>
      <c r="DC66" s="15">
        <f t="shared" si="44"/>
        <v>0</v>
      </c>
    </row>
    <row r="67" spans="1:107">
      <c r="A67" s="14">
        <v>24</v>
      </c>
      <c r="B67" s="15">
        <f t="shared" si="0"/>
        <v>2</v>
      </c>
      <c r="C67" s="16">
        <f>(1+INDEX('1 - Input'!$B$34:$E$63,B67,'1 - Input'!$B$16))^(1/12)-1</f>
        <v>4.1219243192651689E-3</v>
      </c>
      <c r="D67" s="17">
        <f>'1 - Input'!$B$7*(1+'1 - Input'!$B$12)^(B67-1)</f>
        <v>2754</v>
      </c>
      <c r="E67" s="17">
        <f t="shared" si="45"/>
        <v>446141.27038210275</v>
      </c>
      <c r="F67" s="17">
        <f t="shared" si="46"/>
        <v>482594.2629718805</v>
      </c>
      <c r="G67" s="17">
        <f t="shared" si="1"/>
        <v>447980.23093431862</v>
      </c>
      <c r="H67" s="17">
        <f>IF(G67&gt;0,'1 - Input'!$B$8/12*G67,0)</f>
        <v>3359.8517320073897</v>
      </c>
      <c r="I67" s="17">
        <f t="shared" si="2"/>
        <v>444620.37920231122</v>
      </c>
      <c r="J67" s="17">
        <f t="shared" si="3"/>
        <v>0</v>
      </c>
      <c r="K67" s="17">
        <f>'1 - Input'!$B$22*(H67-J67)</f>
        <v>873.56145032192137</v>
      </c>
      <c r="L67" s="17">
        <f t="shared" si="4"/>
        <v>2486.2902816854685</v>
      </c>
      <c r="M67" s="17">
        <f t="shared" si="5"/>
        <v>482594.2629718805</v>
      </c>
      <c r="N67" s="17">
        <f>IF('1 - Input'!$B$17=1,MAX(0,L67-D67),0)</f>
        <v>0</v>
      </c>
      <c r="O67" s="17">
        <f>IF('1 - Input'!$B$17=1,MAX(0,D67-L67),0)</f>
        <v>267.70971831453153</v>
      </c>
      <c r="P67" s="17">
        <f t="shared" si="6"/>
        <v>0</v>
      </c>
      <c r="Q67" s="17">
        <f>IF(AND(O67&gt;0,I67&gt;0),O67/(1-'1 - Input'!$B$22*P67),0)</f>
        <v>267.70971831453153</v>
      </c>
      <c r="R67" s="17">
        <f t="shared" si="7"/>
        <v>267.70971831453153</v>
      </c>
      <c r="S67" s="17">
        <f>'1 - Input'!$B$22*P67*R67</f>
        <v>0</v>
      </c>
      <c r="T67" s="17">
        <f t="shared" si="8"/>
        <v>267.70971831453153</v>
      </c>
      <c r="U67" s="17">
        <f t="shared" si="9"/>
        <v>0</v>
      </c>
      <c r="V67" s="17">
        <f t="shared" si="10"/>
        <v>22.864398940729707</v>
      </c>
      <c r="W67" s="17">
        <f t="shared" si="11"/>
        <v>444352.66948399669</v>
      </c>
      <c r="X67" s="17">
        <f t="shared" si="12"/>
        <v>482303.68885462527</v>
      </c>
      <c r="Y67" s="17">
        <f>IF(MOD(A67,12)=0,W67*'1 - Input'!$B$23,0)</f>
        <v>888.70533896799338</v>
      </c>
      <c r="Z67" s="17">
        <f t="shared" si="13"/>
        <v>443463.96414502867</v>
      </c>
      <c r="AA67" s="17">
        <f>IF(MOD(A67,12)=0,X67*(1-'1 - Input'!$B$23),X67)</f>
        <v>481339.08147691604</v>
      </c>
      <c r="AB67" s="17">
        <f>IF('1 - Input'!$B$17=1,MIN(L67,D67)+T67,L67)</f>
        <v>2754</v>
      </c>
      <c r="AC67" s="17">
        <f t="shared" si="47"/>
        <v>65448</v>
      </c>
      <c r="AD67" s="17">
        <f t="shared" si="48"/>
        <v>21928.332121345906</v>
      </c>
      <c r="AE67" s="17">
        <f t="shared" si="49"/>
        <v>0</v>
      </c>
      <c r="AF67" s="17">
        <f t="shared" si="50"/>
        <v>187.70038896509692</v>
      </c>
      <c r="AG67" s="17">
        <f t="shared" si="51"/>
        <v>1821.6969536582787</v>
      </c>
      <c r="AH67" s="17">
        <f t="shared" si="52"/>
        <v>0</v>
      </c>
      <c r="AI67" s="15">
        <f t="shared" si="14"/>
        <v>0</v>
      </c>
      <c r="AK67" s="14">
        <v>24</v>
      </c>
      <c r="AL67" s="15">
        <f t="shared" si="15"/>
        <v>2</v>
      </c>
      <c r="AM67" s="16">
        <f>(1+INDEX('1 - Input'!$B$34:$E$63,AL67,'1 - Input'!$B$16))^(1/12)-1</f>
        <v>4.1219243192651689E-3</v>
      </c>
      <c r="AN67" s="17">
        <f>'1 - Input'!$B$7*(1+'1 - Input'!$B$12)^(AL67-1)</f>
        <v>2754</v>
      </c>
      <c r="AO67" s="17">
        <f t="shared" si="53"/>
        <v>446141.27038210275</v>
      </c>
      <c r="AP67" s="17">
        <f t="shared" si="54"/>
        <v>482594.2629718805</v>
      </c>
      <c r="AQ67" s="17">
        <f t="shared" si="16"/>
        <v>447980.23093431862</v>
      </c>
      <c r="AR67" s="17">
        <f>IF(AQ67&gt;0,'1 - Input'!$B$8/12*AQ67,0)</f>
        <v>3359.8517320073897</v>
      </c>
      <c r="AS67" s="17">
        <f t="shared" si="17"/>
        <v>444620.37920231122</v>
      </c>
      <c r="AT67" s="17">
        <f t="shared" si="18"/>
        <v>0</v>
      </c>
      <c r="AU67" s="17">
        <f>'1 - Input'!$B$22*(AR67-AT67)</f>
        <v>873.56145032192137</v>
      </c>
      <c r="AV67" s="17">
        <f t="shared" si="19"/>
        <v>2486.2902816854685</v>
      </c>
      <c r="AW67" s="17">
        <f t="shared" si="20"/>
        <v>482594.2629718805</v>
      </c>
      <c r="AX67" s="17">
        <f>IF('1 - Input'!$B$17=1,MAX(0,AV67-AN67),0)</f>
        <v>0</v>
      </c>
      <c r="AY67" s="17">
        <f>IF('1 - Input'!$B$17=1,MAX(0,AN67-AV67),0)</f>
        <v>267.70971831453153</v>
      </c>
      <c r="AZ67" s="17">
        <f t="shared" si="21"/>
        <v>0</v>
      </c>
      <c r="BA67" s="17">
        <f>IF(AND(AY67&gt;0,AS67&gt;0),AY67/(1-'1 - Input'!$B$22*AZ67),0)</f>
        <v>267.70971831453153</v>
      </c>
      <c r="BB67" s="17">
        <f t="shared" si="22"/>
        <v>267.70971831453153</v>
      </c>
      <c r="BC67" s="17">
        <f>'1 - Input'!$B$22*AZ67*BB67</f>
        <v>0</v>
      </c>
      <c r="BD67" s="17">
        <f t="shared" si="23"/>
        <v>267.70971831453153</v>
      </c>
      <c r="BE67" s="17">
        <f t="shared" si="24"/>
        <v>0</v>
      </c>
      <c r="BF67" s="17">
        <f t="shared" si="25"/>
        <v>22.864398940729707</v>
      </c>
      <c r="BG67" s="17">
        <f t="shared" si="26"/>
        <v>444352.66948399669</v>
      </c>
      <c r="BH67" s="17">
        <f t="shared" si="27"/>
        <v>482303.68885462527</v>
      </c>
      <c r="BI67" s="17">
        <f>IF(MOD(AK67,12)=0,BG67*'1 - Input'!$B$23,0)</f>
        <v>888.70533896799338</v>
      </c>
      <c r="BJ67" s="17">
        <f t="shared" si="28"/>
        <v>443463.96414502867</v>
      </c>
      <c r="BK67" s="17">
        <f>IF(MOD(AK67,12)=0,BH67*(1-'1 - Input'!$B$23),BH67)</f>
        <v>481339.08147691604</v>
      </c>
      <c r="BL67" s="17">
        <f>IF('1 - Input'!$B$17=1,MIN(AV67,AN67)+BD67,AV67)</f>
        <v>2754</v>
      </c>
      <c r="BM67" s="17">
        <f t="shared" si="55"/>
        <v>65448</v>
      </c>
      <c r="BN67" s="17">
        <f t="shared" si="56"/>
        <v>21928.332121345906</v>
      </c>
      <c r="BO67" s="17">
        <f t="shared" si="57"/>
        <v>0</v>
      </c>
      <c r="BP67" s="17">
        <f t="shared" si="58"/>
        <v>187.70038896509692</v>
      </c>
      <c r="BQ67" s="17">
        <f t="shared" si="59"/>
        <v>1821.6969536582787</v>
      </c>
      <c r="BR67" s="17">
        <f t="shared" si="60"/>
        <v>0</v>
      </c>
      <c r="BS67" s="15">
        <f t="shared" si="29"/>
        <v>0</v>
      </c>
      <c r="BU67" s="14">
        <v>24</v>
      </c>
      <c r="BV67" s="15">
        <f t="shared" si="30"/>
        <v>2</v>
      </c>
      <c r="BW67" s="16">
        <f>(1+INDEX('1 - Input'!$B$34:$E$63,BV67,'1 - Input'!$B$16))^(1/12)-1</f>
        <v>4.1219243192651689E-3</v>
      </c>
      <c r="BX67" s="17">
        <f>'1 - Input'!$B$7*(1+'1 - Input'!$B$12)^(BV67-1)</f>
        <v>2754</v>
      </c>
      <c r="BY67" s="17">
        <f t="shared" si="61"/>
        <v>468169.89564672863</v>
      </c>
      <c r="BZ67" s="17">
        <f t="shared" si="62"/>
        <v>422897.8</v>
      </c>
      <c r="CA67" s="17">
        <f t="shared" si="31"/>
        <v>470099.65652514272</v>
      </c>
      <c r="CB67" s="17">
        <f>IF(CA67&gt;0,'1 - Input'!$B$8/12*CA67,0)</f>
        <v>3525.7474239385701</v>
      </c>
      <c r="CC67" s="17">
        <f t="shared" si="32"/>
        <v>466573.90910120413</v>
      </c>
      <c r="CD67" s="17">
        <f t="shared" si="33"/>
        <v>3525.7474239385701</v>
      </c>
      <c r="CE67" s="17">
        <f>'1 - Input'!$B$22*(CB67-CD67)</f>
        <v>0</v>
      </c>
      <c r="CF67" s="17">
        <f t="shared" si="34"/>
        <v>3525.7474239385701</v>
      </c>
      <c r="CG67" s="17">
        <f t="shared" si="35"/>
        <v>419372.0525760614</v>
      </c>
      <c r="CH67" s="17">
        <f>IF('1 - Input'!$B$17=1,MAX(0,CF67-BX67),0)</f>
        <v>771.74742393857014</v>
      </c>
      <c r="CI67" s="17">
        <f>IF('1 - Input'!$B$17=1,MAX(0,BX67-CF67),0)</f>
        <v>0</v>
      </c>
      <c r="CJ67" s="17">
        <f t="shared" si="36"/>
        <v>0.10116694398122517</v>
      </c>
      <c r="CK67" s="17">
        <f>IF(AND(CI67&gt;0,CC67&gt;0),CI67/(1-'1 - Input'!$B$22*CJ67),0)</f>
        <v>0</v>
      </c>
      <c r="CL67" s="17">
        <f t="shared" si="37"/>
        <v>0</v>
      </c>
      <c r="CM67" s="17">
        <f>'1 - Input'!$B$22*CJ67*CL67</f>
        <v>0</v>
      </c>
      <c r="CN67" s="17">
        <f t="shared" si="38"/>
        <v>0</v>
      </c>
      <c r="CO67" s="17">
        <f t="shared" si="39"/>
        <v>0</v>
      </c>
      <c r="CP67" s="17">
        <f t="shared" si="40"/>
        <v>0</v>
      </c>
      <c r="CQ67" s="17">
        <f t="shared" si="41"/>
        <v>467345.65652514272</v>
      </c>
      <c r="CR67" s="17">
        <f t="shared" si="42"/>
        <v>420143.8</v>
      </c>
      <c r="CS67" s="17">
        <f>IF(MOD(BU67,12)=0,CQ67*'1 - Input'!$B$23,0)</f>
        <v>934.69131305028543</v>
      </c>
      <c r="CT67" s="17">
        <f t="shared" si="43"/>
        <v>466410.96521209244</v>
      </c>
      <c r="CU67" s="17">
        <f>IF(MOD(BU67,12)=0,CR67*(1-'1 - Input'!$B$23),CR67)</f>
        <v>419303.51240000001</v>
      </c>
      <c r="CV67" s="17">
        <f>IF('1 - Input'!$B$17=1,MIN(CF67,BX67)+CN67,CF67)</f>
        <v>2754</v>
      </c>
      <c r="CW67" s="17">
        <f t="shared" si="63"/>
        <v>65448</v>
      </c>
      <c r="CX67" s="17">
        <f t="shared" si="64"/>
        <v>0</v>
      </c>
      <c r="CY67" s="17">
        <f t="shared" si="65"/>
        <v>0</v>
      </c>
      <c r="CZ67" s="17">
        <f t="shared" si="66"/>
        <v>0</v>
      </c>
      <c r="DA67" s="17">
        <f t="shared" si="67"/>
        <v>1890.6356863563203</v>
      </c>
      <c r="DB67" s="17">
        <f t="shared" si="68"/>
        <v>0</v>
      </c>
      <c r="DC67" s="15">
        <f t="shared" si="44"/>
        <v>0</v>
      </c>
    </row>
    <row r="68" spans="1:107">
      <c r="A68" s="14">
        <v>25</v>
      </c>
      <c r="B68" s="15">
        <f t="shared" si="0"/>
        <v>3</v>
      </c>
      <c r="C68" s="16">
        <f>(1+INDEX('1 - Input'!$B$34:$E$63,B68,'1 - Input'!$B$16))^(1/12)-1</f>
        <v>4.1219243192651689E-3</v>
      </c>
      <c r="D68" s="17">
        <f>'1 - Input'!$B$7*(1+'1 - Input'!$B$12)^(B68-1)</f>
        <v>2809.08</v>
      </c>
      <c r="E68" s="17">
        <f t="shared" si="45"/>
        <v>443463.96414502867</v>
      </c>
      <c r="F68" s="17">
        <f t="shared" si="46"/>
        <v>481339.08147691604</v>
      </c>
      <c r="G68" s="17">
        <f t="shared" si="1"/>
        <v>445291.88904355583</v>
      </c>
      <c r="H68" s="17">
        <f>IF(G68&gt;0,'1 - Input'!$B$8/12*G68,0)</f>
        <v>3339.6891678266684</v>
      </c>
      <c r="I68" s="17">
        <f t="shared" si="2"/>
        <v>441952.19987572916</v>
      </c>
      <c r="J68" s="17">
        <f t="shared" si="3"/>
        <v>0</v>
      </c>
      <c r="K68" s="17">
        <f>'1 - Input'!$B$22*(H68-J68)</f>
        <v>868.31918363493378</v>
      </c>
      <c r="L68" s="17">
        <f t="shared" si="4"/>
        <v>2471.3699841917346</v>
      </c>
      <c r="M68" s="17">
        <f t="shared" si="5"/>
        <v>481339.08147691604</v>
      </c>
      <c r="N68" s="17">
        <f>IF('1 - Input'!$B$17=1,MAX(0,L68-D68),0)</f>
        <v>0</v>
      </c>
      <c r="O68" s="17">
        <f>IF('1 - Input'!$B$17=1,MAX(0,D68-L68),0)</f>
        <v>337.71001580826533</v>
      </c>
      <c r="P68" s="17">
        <f t="shared" si="6"/>
        <v>0</v>
      </c>
      <c r="Q68" s="17">
        <f>IF(AND(O68&gt;0,I68&gt;0),O68/(1-'1 - Input'!$B$22*P68),0)</f>
        <v>337.71001580826533</v>
      </c>
      <c r="R68" s="17">
        <f t="shared" si="7"/>
        <v>337.71001580826533</v>
      </c>
      <c r="S68" s="17">
        <f>'1 - Input'!$B$22*P68*R68</f>
        <v>0</v>
      </c>
      <c r="T68" s="17">
        <f t="shared" si="8"/>
        <v>337.71001580826533</v>
      </c>
      <c r="U68" s="17">
        <f t="shared" si="9"/>
        <v>0</v>
      </c>
      <c r="V68" s="17">
        <f t="shared" si="10"/>
        <v>30.096794205154392</v>
      </c>
      <c r="W68" s="17">
        <f t="shared" si="11"/>
        <v>441614.48985992087</v>
      </c>
      <c r="X68" s="17">
        <f t="shared" si="12"/>
        <v>480971.27466690267</v>
      </c>
      <c r="Y68" s="17">
        <f>IF(MOD(A68,12)=0,W68*'1 - Input'!$B$23,0)</f>
        <v>0</v>
      </c>
      <c r="Z68" s="17">
        <f t="shared" si="13"/>
        <v>441614.48985992087</v>
      </c>
      <c r="AA68" s="17">
        <f>IF(MOD(A68,12)=0,X68*(1-'1 - Input'!$B$23),X68)</f>
        <v>480971.27466690267</v>
      </c>
      <c r="AB68" s="17">
        <f>IF('1 - Input'!$B$17=1,MIN(L68,D68)+T68,L68)</f>
        <v>2809.08</v>
      </c>
      <c r="AC68" s="17">
        <f t="shared" si="47"/>
        <v>68257.08</v>
      </c>
      <c r="AD68" s="17">
        <f t="shared" si="48"/>
        <v>22796.651304980838</v>
      </c>
      <c r="AE68" s="17">
        <f t="shared" si="49"/>
        <v>0</v>
      </c>
      <c r="AF68" s="17">
        <f t="shared" si="50"/>
        <v>217.79718317025132</v>
      </c>
      <c r="AG68" s="17">
        <f t="shared" si="51"/>
        <v>1821.6969536582787</v>
      </c>
      <c r="AH68" s="17">
        <f t="shared" si="52"/>
        <v>0</v>
      </c>
      <c r="AI68" s="15">
        <f t="shared" si="14"/>
        <v>0</v>
      </c>
      <c r="AK68" s="14">
        <v>25</v>
      </c>
      <c r="AL68" s="15">
        <f t="shared" si="15"/>
        <v>3</v>
      </c>
      <c r="AM68" s="16">
        <f>(1+INDEX('1 - Input'!$B$34:$E$63,AL68,'1 - Input'!$B$16))^(1/12)-1</f>
        <v>4.1219243192651689E-3</v>
      </c>
      <c r="AN68" s="17">
        <f>'1 - Input'!$B$7*(1+'1 - Input'!$B$12)^(AL68-1)</f>
        <v>2809.08</v>
      </c>
      <c r="AO68" s="17">
        <f t="shared" si="53"/>
        <v>443463.96414502867</v>
      </c>
      <c r="AP68" s="17">
        <f t="shared" si="54"/>
        <v>481339.08147691604</v>
      </c>
      <c r="AQ68" s="17">
        <f t="shared" si="16"/>
        <v>445291.88904355583</v>
      </c>
      <c r="AR68" s="17">
        <f>IF(AQ68&gt;0,'1 - Input'!$B$8/12*AQ68,0)</f>
        <v>3339.6891678266684</v>
      </c>
      <c r="AS68" s="17">
        <f t="shared" si="17"/>
        <v>441952.19987572916</v>
      </c>
      <c r="AT68" s="17">
        <f t="shared" si="18"/>
        <v>0</v>
      </c>
      <c r="AU68" s="17">
        <f>'1 - Input'!$B$22*(AR68-AT68)</f>
        <v>868.31918363493378</v>
      </c>
      <c r="AV68" s="17">
        <f t="shared" si="19"/>
        <v>2471.3699841917346</v>
      </c>
      <c r="AW68" s="17">
        <f t="shared" si="20"/>
        <v>481339.08147691604</v>
      </c>
      <c r="AX68" s="17">
        <f>IF('1 - Input'!$B$17=1,MAX(0,AV68-AN68),0)</f>
        <v>0</v>
      </c>
      <c r="AY68" s="17">
        <f>IF('1 - Input'!$B$17=1,MAX(0,AN68-AV68),0)</f>
        <v>337.71001580826533</v>
      </c>
      <c r="AZ68" s="17">
        <f t="shared" si="21"/>
        <v>0</v>
      </c>
      <c r="BA68" s="17">
        <f>IF(AND(AY68&gt;0,AS68&gt;0),AY68/(1-'1 - Input'!$B$22*AZ68),0)</f>
        <v>337.71001580826533</v>
      </c>
      <c r="BB68" s="17">
        <f t="shared" si="22"/>
        <v>337.71001580826533</v>
      </c>
      <c r="BC68" s="17">
        <f>'1 - Input'!$B$22*AZ68*BB68</f>
        <v>0</v>
      </c>
      <c r="BD68" s="17">
        <f t="shared" si="23"/>
        <v>337.71001580826533</v>
      </c>
      <c r="BE68" s="17">
        <f t="shared" si="24"/>
        <v>0</v>
      </c>
      <c r="BF68" s="17">
        <f t="shared" si="25"/>
        <v>30.096794205154392</v>
      </c>
      <c r="BG68" s="17">
        <f t="shared" si="26"/>
        <v>441614.48985992087</v>
      </c>
      <c r="BH68" s="17">
        <f t="shared" si="27"/>
        <v>480971.27466690267</v>
      </c>
      <c r="BI68" s="17">
        <f>IF(MOD(AK68,12)=0,BG68*'1 - Input'!$B$23,0)</f>
        <v>0</v>
      </c>
      <c r="BJ68" s="17">
        <f t="shared" si="28"/>
        <v>441614.48985992087</v>
      </c>
      <c r="BK68" s="17">
        <f>IF(MOD(AK68,12)=0,BH68*(1-'1 - Input'!$B$23),BH68)</f>
        <v>480971.27466690267</v>
      </c>
      <c r="BL68" s="17">
        <f>IF('1 - Input'!$B$17=1,MIN(AV68,AN68)+BD68,AV68)</f>
        <v>2809.08</v>
      </c>
      <c r="BM68" s="17">
        <f t="shared" si="55"/>
        <v>68257.08</v>
      </c>
      <c r="BN68" s="17">
        <f t="shared" si="56"/>
        <v>22796.651304980838</v>
      </c>
      <c r="BO68" s="17">
        <f t="shared" si="57"/>
        <v>0</v>
      </c>
      <c r="BP68" s="17">
        <f t="shared" si="58"/>
        <v>217.79718317025132</v>
      </c>
      <c r="BQ68" s="17">
        <f t="shared" si="59"/>
        <v>1821.6969536582787</v>
      </c>
      <c r="BR68" s="17">
        <f t="shared" si="60"/>
        <v>0</v>
      </c>
      <c r="BS68" s="15">
        <f t="shared" si="29"/>
        <v>0</v>
      </c>
      <c r="BU68" s="14">
        <v>25</v>
      </c>
      <c r="BV68" s="15">
        <f t="shared" si="30"/>
        <v>3</v>
      </c>
      <c r="BW68" s="16">
        <f>(1+INDEX('1 - Input'!$B$34:$E$63,BV68,'1 - Input'!$B$16))^(1/12)-1</f>
        <v>4.1219243192651689E-3</v>
      </c>
      <c r="BX68" s="17">
        <f>'1 - Input'!$B$7*(1+'1 - Input'!$B$12)^(BV68-1)</f>
        <v>2809.08</v>
      </c>
      <c r="BY68" s="17">
        <f t="shared" si="61"/>
        <v>466410.96521209244</v>
      </c>
      <c r="BZ68" s="17">
        <f t="shared" si="62"/>
        <v>419303.51240000001</v>
      </c>
      <c r="CA68" s="17">
        <f t="shared" si="31"/>
        <v>468333.47591237212</v>
      </c>
      <c r="CB68" s="17">
        <f>IF(CA68&gt;0,'1 - Input'!$B$8/12*CA68,0)</f>
        <v>3512.5010693427907</v>
      </c>
      <c r="CC68" s="17">
        <f t="shared" si="32"/>
        <v>464820.97484302934</v>
      </c>
      <c r="CD68" s="17">
        <f t="shared" si="33"/>
        <v>3512.5010693427907</v>
      </c>
      <c r="CE68" s="17">
        <f>'1 - Input'!$B$22*(CB68-CD68)</f>
        <v>0</v>
      </c>
      <c r="CF68" s="17">
        <f t="shared" si="34"/>
        <v>3512.5010693427907</v>
      </c>
      <c r="CG68" s="17">
        <f t="shared" si="35"/>
        <v>415791.01133065723</v>
      </c>
      <c r="CH68" s="17">
        <f>IF('1 - Input'!$B$17=1,MAX(0,CF68-BX68),0)</f>
        <v>703.42106934279082</v>
      </c>
      <c r="CI68" s="17">
        <f>IF('1 - Input'!$B$17=1,MAX(0,BX68-CF68),0)</f>
        <v>0</v>
      </c>
      <c r="CJ68" s="17">
        <f t="shared" si="36"/>
        <v>0.10548139211860996</v>
      </c>
      <c r="CK68" s="17">
        <f>IF(AND(CI68&gt;0,CC68&gt;0),CI68/(1-'1 - Input'!$B$22*CJ68),0)</f>
        <v>0</v>
      </c>
      <c r="CL68" s="17">
        <f t="shared" si="37"/>
        <v>0</v>
      </c>
      <c r="CM68" s="17">
        <f>'1 - Input'!$B$22*CJ68*CL68</f>
        <v>0</v>
      </c>
      <c r="CN68" s="17">
        <f t="shared" si="38"/>
        <v>0</v>
      </c>
      <c r="CO68" s="17">
        <f t="shared" si="39"/>
        <v>0</v>
      </c>
      <c r="CP68" s="17">
        <f t="shared" si="40"/>
        <v>0</v>
      </c>
      <c r="CQ68" s="17">
        <f t="shared" si="41"/>
        <v>465524.39591237216</v>
      </c>
      <c r="CR68" s="17">
        <f t="shared" si="42"/>
        <v>416494.43240000005</v>
      </c>
      <c r="CS68" s="17">
        <f>IF(MOD(BU68,12)=0,CQ68*'1 - Input'!$B$23,0)</f>
        <v>0</v>
      </c>
      <c r="CT68" s="17">
        <f t="shared" si="43"/>
        <v>465524.39591237216</v>
      </c>
      <c r="CU68" s="17">
        <f>IF(MOD(BU68,12)=0,CR68*(1-'1 - Input'!$B$23),CR68)</f>
        <v>416494.43240000005</v>
      </c>
      <c r="CV68" s="17">
        <f>IF('1 - Input'!$B$17=1,MIN(CF68,BX68)+CN68,CF68)</f>
        <v>2809.08</v>
      </c>
      <c r="CW68" s="17">
        <f t="shared" si="63"/>
        <v>68257.08</v>
      </c>
      <c r="CX68" s="17">
        <f t="shared" si="64"/>
        <v>0</v>
      </c>
      <c r="CY68" s="17">
        <f t="shared" si="65"/>
        <v>0</v>
      </c>
      <c r="CZ68" s="17">
        <f t="shared" si="66"/>
        <v>0</v>
      </c>
      <c r="DA68" s="17">
        <f t="shared" si="67"/>
        <v>1890.6356863563203</v>
      </c>
      <c r="DB68" s="17">
        <f t="shared" si="68"/>
        <v>0</v>
      </c>
      <c r="DC68" s="15">
        <f t="shared" si="44"/>
        <v>0</v>
      </c>
    </row>
    <row r="69" spans="1:107">
      <c r="A69" s="14">
        <v>26</v>
      </c>
      <c r="B69" s="15">
        <f t="shared" si="0"/>
        <v>3</v>
      </c>
      <c r="C69" s="16">
        <f>(1+INDEX('1 - Input'!$B$34:$E$63,B69,'1 - Input'!$B$16))^(1/12)-1</f>
        <v>4.1219243192651689E-3</v>
      </c>
      <c r="D69" s="17">
        <f>'1 - Input'!$B$7*(1+'1 - Input'!$B$12)^(B69-1)</f>
        <v>2809.08</v>
      </c>
      <c r="E69" s="17">
        <f t="shared" si="45"/>
        <v>441614.48985992087</v>
      </c>
      <c r="F69" s="17">
        <f t="shared" si="46"/>
        <v>480971.27466690267</v>
      </c>
      <c r="G69" s="17">
        <f t="shared" si="1"/>
        <v>443434.79136541433</v>
      </c>
      <c r="H69" s="17">
        <f>IF(G69&gt;0,'1 - Input'!$B$8/12*G69,0)</f>
        <v>3325.7609352406075</v>
      </c>
      <c r="I69" s="17">
        <f t="shared" si="2"/>
        <v>440109.03043017373</v>
      </c>
      <c r="J69" s="17">
        <f t="shared" si="3"/>
        <v>0</v>
      </c>
      <c r="K69" s="17">
        <f>'1 - Input'!$B$22*(H69-J69)</f>
        <v>864.697843162558</v>
      </c>
      <c r="L69" s="17">
        <f t="shared" si="4"/>
        <v>2461.0630920780495</v>
      </c>
      <c r="M69" s="17">
        <f t="shared" si="5"/>
        <v>480971.27466690267</v>
      </c>
      <c r="N69" s="17">
        <f>IF('1 - Input'!$B$17=1,MAX(0,L69-D69),0)</f>
        <v>0</v>
      </c>
      <c r="O69" s="17">
        <f>IF('1 - Input'!$B$17=1,MAX(0,D69-L69),0)</f>
        <v>348.01690792195041</v>
      </c>
      <c r="P69" s="17">
        <f t="shared" si="6"/>
        <v>0</v>
      </c>
      <c r="Q69" s="17">
        <f>IF(AND(O69&gt;0,I69&gt;0),O69/(1-'1 - Input'!$B$22*P69),0)</f>
        <v>348.01690792195041</v>
      </c>
      <c r="R69" s="17">
        <f t="shared" si="7"/>
        <v>348.01690792195041</v>
      </c>
      <c r="S69" s="17">
        <f>'1 - Input'!$B$22*P69*R69</f>
        <v>0</v>
      </c>
      <c r="T69" s="17">
        <f t="shared" si="8"/>
        <v>348.01690792195041</v>
      </c>
      <c r="U69" s="17">
        <f t="shared" si="9"/>
        <v>0</v>
      </c>
      <c r="V69" s="17">
        <f t="shared" si="10"/>
        <v>32.311883889585744</v>
      </c>
      <c r="W69" s="17">
        <f t="shared" si="11"/>
        <v>439761.0135222518</v>
      </c>
      <c r="X69" s="17">
        <f t="shared" si="12"/>
        <v>480590.94587509113</v>
      </c>
      <c r="Y69" s="17">
        <f>IF(MOD(A69,12)=0,W69*'1 - Input'!$B$23,0)</f>
        <v>0</v>
      </c>
      <c r="Z69" s="17">
        <f t="shared" si="13"/>
        <v>439761.0135222518</v>
      </c>
      <c r="AA69" s="17">
        <f>IF(MOD(A69,12)=0,X69*(1-'1 - Input'!$B$23),X69)</f>
        <v>480590.94587509113</v>
      </c>
      <c r="AB69" s="17">
        <f>IF('1 - Input'!$B$17=1,MIN(L69,D69)+T69,L69)</f>
        <v>2809.08</v>
      </c>
      <c r="AC69" s="17">
        <f t="shared" si="47"/>
        <v>71066.16</v>
      </c>
      <c r="AD69" s="17">
        <f t="shared" si="48"/>
        <v>23661.349148143396</v>
      </c>
      <c r="AE69" s="17">
        <f t="shared" si="49"/>
        <v>0</v>
      </c>
      <c r="AF69" s="17">
        <f t="shared" si="50"/>
        <v>250.10906705983706</v>
      </c>
      <c r="AG69" s="17">
        <f t="shared" si="51"/>
        <v>1821.6969536582787</v>
      </c>
      <c r="AH69" s="17">
        <f t="shared" si="52"/>
        <v>0</v>
      </c>
      <c r="AI69" s="15">
        <f t="shared" si="14"/>
        <v>0</v>
      </c>
      <c r="AK69" s="14">
        <v>26</v>
      </c>
      <c r="AL69" s="15">
        <f t="shared" si="15"/>
        <v>3</v>
      </c>
      <c r="AM69" s="16">
        <f>(1+INDEX('1 - Input'!$B$34:$E$63,AL69,'1 - Input'!$B$16))^(1/12)-1</f>
        <v>4.1219243192651689E-3</v>
      </c>
      <c r="AN69" s="17">
        <f>'1 - Input'!$B$7*(1+'1 - Input'!$B$12)^(AL69-1)</f>
        <v>2809.08</v>
      </c>
      <c r="AO69" s="17">
        <f t="shared" si="53"/>
        <v>441614.48985992087</v>
      </c>
      <c r="AP69" s="17">
        <f t="shared" si="54"/>
        <v>480971.27466690267</v>
      </c>
      <c r="AQ69" s="17">
        <f t="shared" si="16"/>
        <v>443434.79136541433</v>
      </c>
      <c r="AR69" s="17">
        <f>IF(AQ69&gt;0,'1 - Input'!$B$8/12*AQ69,0)</f>
        <v>3325.7609352406075</v>
      </c>
      <c r="AS69" s="17">
        <f t="shared" si="17"/>
        <v>440109.03043017373</v>
      </c>
      <c r="AT69" s="17">
        <f t="shared" si="18"/>
        <v>0</v>
      </c>
      <c r="AU69" s="17">
        <f>'1 - Input'!$B$22*(AR69-AT69)</f>
        <v>864.697843162558</v>
      </c>
      <c r="AV69" s="17">
        <f t="shared" si="19"/>
        <v>2461.0630920780495</v>
      </c>
      <c r="AW69" s="17">
        <f t="shared" si="20"/>
        <v>480971.27466690267</v>
      </c>
      <c r="AX69" s="17">
        <f>IF('1 - Input'!$B$17=1,MAX(0,AV69-AN69),0)</f>
        <v>0</v>
      </c>
      <c r="AY69" s="17">
        <f>IF('1 - Input'!$B$17=1,MAX(0,AN69-AV69),0)</f>
        <v>348.01690792195041</v>
      </c>
      <c r="AZ69" s="17">
        <f t="shared" si="21"/>
        <v>0</v>
      </c>
      <c r="BA69" s="17">
        <f>IF(AND(AY69&gt;0,AS69&gt;0),AY69/(1-'1 - Input'!$B$22*AZ69),0)</f>
        <v>348.01690792195041</v>
      </c>
      <c r="BB69" s="17">
        <f t="shared" si="22"/>
        <v>348.01690792195041</v>
      </c>
      <c r="BC69" s="17">
        <f>'1 - Input'!$B$22*AZ69*BB69</f>
        <v>0</v>
      </c>
      <c r="BD69" s="17">
        <f t="shared" si="23"/>
        <v>348.01690792195041</v>
      </c>
      <c r="BE69" s="17">
        <f t="shared" si="24"/>
        <v>0</v>
      </c>
      <c r="BF69" s="17">
        <f t="shared" si="25"/>
        <v>32.311883889585744</v>
      </c>
      <c r="BG69" s="17">
        <f t="shared" si="26"/>
        <v>439761.0135222518</v>
      </c>
      <c r="BH69" s="17">
        <f t="shared" si="27"/>
        <v>480590.94587509113</v>
      </c>
      <c r="BI69" s="17">
        <f>IF(MOD(AK69,12)=0,BG69*'1 - Input'!$B$23,0)</f>
        <v>0</v>
      </c>
      <c r="BJ69" s="17">
        <f t="shared" si="28"/>
        <v>439761.0135222518</v>
      </c>
      <c r="BK69" s="17">
        <f>IF(MOD(AK69,12)=0,BH69*(1-'1 - Input'!$B$23),BH69)</f>
        <v>480590.94587509113</v>
      </c>
      <c r="BL69" s="17">
        <f>IF('1 - Input'!$B$17=1,MIN(AV69,AN69)+BD69,AV69)</f>
        <v>2809.08</v>
      </c>
      <c r="BM69" s="17">
        <f t="shared" si="55"/>
        <v>71066.16</v>
      </c>
      <c r="BN69" s="17">
        <f t="shared" si="56"/>
        <v>23661.349148143396</v>
      </c>
      <c r="BO69" s="17">
        <f t="shared" si="57"/>
        <v>0</v>
      </c>
      <c r="BP69" s="17">
        <f t="shared" si="58"/>
        <v>250.10906705983706</v>
      </c>
      <c r="BQ69" s="17">
        <f t="shared" si="59"/>
        <v>1821.6969536582787</v>
      </c>
      <c r="BR69" s="17">
        <f t="shared" si="60"/>
        <v>0</v>
      </c>
      <c r="BS69" s="15">
        <f t="shared" si="29"/>
        <v>0</v>
      </c>
      <c r="BU69" s="14">
        <v>26</v>
      </c>
      <c r="BV69" s="15">
        <f t="shared" si="30"/>
        <v>3</v>
      </c>
      <c r="BW69" s="16">
        <f>(1+INDEX('1 - Input'!$B$34:$E$63,BV69,'1 - Input'!$B$16))^(1/12)-1</f>
        <v>4.1219243192651689E-3</v>
      </c>
      <c r="BX69" s="17">
        <f>'1 - Input'!$B$7*(1+'1 - Input'!$B$12)^(BV69-1)</f>
        <v>2809.08</v>
      </c>
      <c r="BY69" s="17">
        <f t="shared" si="61"/>
        <v>465524.39591237216</v>
      </c>
      <c r="BZ69" s="17">
        <f t="shared" si="62"/>
        <v>416494.43240000005</v>
      </c>
      <c r="CA69" s="17">
        <f t="shared" si="31"/>
        <v>467443.2522410946</v>
      </c>
      <c r="CB69" s="17">
        <f>IF(CA69&gt;0,'1 - Input'!$B$8/12*CA69,0)</f>
        <v>3505.8243918082094</v>
      </c>
      <c r="CC69" s="17">
        <f t="shared" si="32"/>
        <v>463937.42784928641</v>
      </c>
      <c r="CD69" s="17">
        <f t="shared" si="33"/>
        <v>3505.8243918082094</v>
      </c>
      <c r="CE69" s="17">
        <f>'1 - Input'!$B$22*(CB69-CD69)</f>
        <v>0</v>
      </c>
      <c r="CF69" s="17">
        <f t="shared" si="34"/>
        <v>3505.8243918082094</v>
      </c>
      <c r="CG69" s="17">
        <f t="shared" si="35"/>
        <v>412988.60800819186</v>
      </c>
      <c r="CH69" s="17">
        <f>IF('1 - Input'!$B$17=1,MAX(0,CF69-BX69),0)</f>
        <v>696.74439180820946</v>
      </c>
      <c r="CI69" s="17">
        <f>IF('1 - Input'!$B$17=1,MAX(0,BX69-CF69),0)</f>
        <v>0</v>
      </c>
      <c r="CJ69" s="17">
        <f t="shared" si="36"/>
        <v>0.10981830044901153</v>
      </c>
      <c r="CK69" s="17">
        <f>IF(AND(CI69&gt;0,CC69&gt;0),CI69/(1-'1 - Input'!$B$22*CJ69),0)</f>
        <v>0</v>
      </c>
      <c r="CL69" s="17">
        <f t="shared" si="37"/>
        <v>0</v>
      </c>
      <c r="CM69" s="17">
        <f>'1 - Input'!$B$22*CJ69*CL69</f>
        <v>0</v>
      </c>
      <c r="CN69" s="17">
        <f t="shared" si="38"/>
        <v>0</v>
      </c>
      <c r="CO69" s="17">
        <f t="shared" si="39"/>
        <v>0</v>
      </c>
      <c r="CP69" s="17">
        <f t="shared" si="40"/>
        <v>0</v>
      </c>
      <c r="CQ69" s="17">
        <f t="shared" si="41"/>
        <v>464634.17224109464</v>
      </c>
      <c r="CR69" s="17">
        <f t="shared" si="42"/>
        <v>413685.35240000009</v>
      </c>
      <c r="CS69" s="17">
        <f>IF(MOD(BU69,12)=0,CQ69*'1 - Input'!$B$23,0)</f>
        <v>0</v>
      </c>
      <c r="CT69" s="17">
        <f t="shared" si="43"/>
        <v>464634.17224109464</v>
      </c>
      <c r="CU69" s="17">
        <f>IF(MOD(BU69,12)=0,CR69*(1-'1 - Input'!$B$23),CR69)</f>
        <v>413685.35240000009</v>
      </c>
      <c r="CV69" s="17">
        <f>IF('1 - Input'!$B$17=1,MIN(CF69,BX69)+CN69,CF69)</f>
        <v>2809.08</v>
      </c>
      <c r="CW69" s="17">
        <f t="shared" si="63"/>
        <v>71066.16</v>
      </c>
      <c r="CX69" s="17">
        <f t="shared" si="64"/>
        <v>0</v>
      </c>
      <c r="CY69" s="17">
        <f t="shared" si="65"/>
        <v>0</v>
      </c>
      <c r="CZ69" s="17">
        <f t="shared" si="66"/>
        <v>0</v>
      </c>
      <c r="DA69" s="17">
        <f t="shared" si="67"/>
        <v>1890.6356863563203</v>
      </c>
      <c r="DB69" s="17">
        <f t="shared" si="68"/>
        <v>0</v>
      </c>
      <c r="DC69" s="15">
        <f t="shared" si="44"/>
        <v>0</v>
      </c>
    </row>
    <row r="70" spans="1:107">
      <c r="A70" s="14">
        <v>27</v>
      </c>
      <c r="B70" s="15">
        <f t="shared" si="0"/>
        <v>3</v>
      </c>
      <c r="C70" s="16">
        <f>(1+INDEX('1 - Input'!$B$34:$E$63,B70,'1 - Input'!$B$16))^(1/12)-1</f>
        <v>4.1219243192651689E-3</v>
      </c>
      <c r="D70" s="17">
        <f>'1 - Input'!$B$7*(1+'1 - Input'!$B$12)^(B70-1)</f>
        <v>2809.08</v>
      </c>
      <c r="E70" s="17">
        <f t="shared" si="45"/>
        <v>439761.0135222518</v>
      </c>
      <c r="F70" s="17">
        <f t="shared" si="46"/>
        <v>480590.94587509113</v>
      </c>
      <c r="G70" s="17">
        <f t="shared" si="1"/>
        <v>441573.6751385539</v>
      </c>
      <c r="H70" s="17">
        <f>IF(G70&gt;0,'1 - Input'!$B$8/12*G70,0)</f>
        <v>3311.8025635391541</v>
      </c>
      <c r="I70" s="17">
        <f t="shared" si="2"/>
        <v>438261.87257501471</v>
      </c>
      <c r="J70" s="17">
        <f t="shared" si="3"/>
        <v>0</v>
      </c>
      <c r="K70" s="17">
        <f>'1 - Input'!$B$22*(H70-J70)</f>
        <v>861.06866652018005</v>
      </c>
      <c r="L70" s="17">
        <f t="shared" si="4"/>
        <v>2450.7338970189739</v>
      </c>
      <c r="M70" s="17">
        <f t="shared" si="5"/>
        <v>480590.94587509113</v>
      </c>
      <c r="N70" s="17">
        <f>IF('1 - Input'!$B$17=1,MAX(0,L70-D70),0)</f>
        <v>0</v>
      </c>
      <c r="O70" s="17">
        <f>IF('1 - Input'!$B$17=1,MAX(0,D70-L70),0)</f>
        <v>358.34610298102598</v>
      </c>
      <c r="P70" s="17">
        <f t="shared" si="6"/>
        <v>0</v>
      </c>
      <c r="Q70" s="17">
        <f>IF(AND(O70&gt;0,I70&gt;0),O70/(1-'1 - Input'!$B$22*P70),0)</f>
        <v>358.34610298102598</v>
      </c>
      <c r="R70" s="17">
        <f t="shared" si="7"/>
        <v>358.34610298102598</v>
      </c>
      <c r="S70" s="17">
        <f>'1 - Input'!$B$22*P70*R70</f>
        <v>0</v>
      </c>
      <c r="T70" s="17">
        <f t="shared" si="8"/>
        <v>358.34610298102598</v>
      </c>
      <c r="U70" s="17">
        <f t="shared" si="9"/>
        <v>0</v>
      </c>
      <c r="V70" s="17">
        <f t="shared" si="10"/>
        <v>34.610490688496505</v>
      </c>
      <c r="W70" s="17">
        <f t="shared" si="11"/>
        <v>437903.5264720337</v>
      </c>
      <c r="X70" s="17">
        <f t="shared" si="12"/>
        <v>480197.98928142164</v>
      </c>
      <c r="Y70" s="17">
        <f>IF(MOD(A70,12)=0,W70*'1 - Input'!$B$23,0)</f>
        <v>0</v>
      </c>
      <c r="Z70" s="17">
        <f t="shared" si="13"/>
        <v>437903.5264720337</v>
      </c>
      <c r="AA70" s="17">
        <f>IF(MOD(A70,12)=0,X70*(1-'1 - Input'!$B$23),X70)</f>
        <v>480197.98928142164</v>
      </c>
      <c r="AB70" s="17">
        <f>IF('1 - Input'!$B$17=1,MIN(L70,D70)+T70,L70)</f>
        <v>2809.08</v>
      </c>
      <c r="AC70" s="17">
        <f t="shared" si="47"/>
        <v>73875.240000000005</v>
      </c>
      <c r="AD70" s="17">
        <f t="shared" si="48"/>
        <v>24522.417814663575</v>
      </c>
      <c r="AE70" s="17">
        <f t="shared" si="49"/>
        <v>0</v>
      </c>
      <c r="AF70" s="17">
        <f t="shared" si="50"/>
        <v>284.71955774833356</v>
      </c>
      <c r="AG70" s="17">
        <f t="shared" si="51"/>
        <v>1821.6969536582787</v>
      </c>
      <c r="AH70" s="17">
        <f t="shared" si="52"/>
        <v>0</v>
      </c>
      <c r="AI70" s="15">
        <f t="shared" si="14"/>
        <v>0</v>
      </c>
      <c r="AK70" s="14">
        <v>27</v>
      </c>
      <c r="AL70" s="15">
        <f t="shared" si="15"/>
        <v>3</v>
      </c>
      <c r="AM70" s="16">
        <f>(1+INDEX('1 - Input'!$B$34:$E$63,AL70,'1 - Input'!$B$16))^(1/12)-1</f>
        <v>4.1219243192651689E-3</v>
      </c>
      <c r="AN70" s="17">
        <f>'1 - Input'!$B$7*(1+'1 - Input'!$B$12)^(AL70-1)</f>
        <v>2809.08</v>
      </c>
      <c r="AO70" s="17">
        <f t="shared" si="53"/>
        <v>439761.0135222518</v>
      </c>
      <c r="AP70" s="17">
        <f t="shared" si="54"/>
        <v>480590.94587509113</v>
      </c>
      <c r="AQ70" s="17">
        <f t="shared" si="16"/>
        <v>441573.6751385539</v>
      </c>
      <c r="AR70" s="17">
        <f>IF(AQ70&gt;0,'1 - Input'!$B$8/12*AQ70,0)</f>
        <v>3311.8025635391541</v>
      </c>
      <c r="AS70" s="17">
        <f t="shared" si="17"/>
        <v>438261.87257501471</v>
      </c>
      <c r="AT70" s="17">
        <f t="shared" si="18"/>
        <v>0</v>
      </c>
      <c r="AU70" s="17">
        <f>'1 - Input'!$B$22*(AR70-AT70)</f>
        <v>861.06866652018005</v>
      </c>
      <c r="AV70" s="17">
        <f t="shared" si="19"/>
        <v>2450.7338970189739</v>
      </c>
      <c r="AW70" s="17">
        <f t="shared" si="20"/>
        <v>480590.94587509113</v>
      </c>
      <c r="AX70" s="17">
        <f>IF('1 - Input'!$B$17=1,MAX(0,AV70-AN70),0)</f>
        <v>0</v>
      </c>
      <c r="AY70" s="17">
        <f>IF('1 - Input'!$B$17=1,MAX(0,AN70-AV70),0)</f>
        <v>358.34610298102598</v>
      </c>
      <c r="AZ70" s="17">
        <f t="shared" si="21"/>
        <v>0</v>
      </c>
      <c r="BA70" s="17">
        <f>IF(AND(AY70&gt;0,AS70&gt;0),AY70/(1-'1 - Input'!$B$22*AZ70),0)</f>
        <v>358.34610298102598</v>
      </c>
      <c r="BB70" s="17">
        <f t="shared" si="22"/>
        <v>358.34610298102598</v>
      </c>
      <c r="BC70" s="17">
        <f>'1 - Input'!$B$22*AZ70*BB70</f>
        <v>0</v>
      </c>
      <c r="BD70" s="17">
        <f t="shared" si="23"/>
        <v>358.34610298102598</v>
      </c>
      <c r="BE70" s="17">
        <f t="shared" si="24"/>
        <v>0</v>
      </c>
      <c r="BF70" s="17">
        <f t="shared" si="25"/>
        <v>34.610490688496505</v>
      </c>
      <c r="BG70" s="17">
        <f t="shared" si="26"/>
        <v>437903.5264720337</v>
      </c>
      <c r="BH70" s="17">
        <f t="shared" si="27"/>
        <v>480197.98928142164</v>
      </c>
      <c r="BI70" s="17">
        <f>IF(MOD(AK70,12)=0,BG70*'1 - Input'!$B$23,0)</f>
        <v>0</v>
      </c>
      <c r="BJ70" s="17">
        <f t="shared" si="28"/>
        <v>437903.5264720337</v>
      </c>
      <c r="BK70" s="17">
        <f>IF(MOD(AK70,12)=0,BH70*(1-'1 - Input'!$B$23),BH70)</f>
        <v>480197.98928142164</v>
      </c>
      <c r="BL70" s="17">
        <f>IF('1 - Input'!$B$17=1,MIN(AV70,AN70)+BD70,AV70)</f>
        <v>2809.08</v>
      </c>
      <c r="BM70" s="17">
        <f t="shared" si="55"/>
        <v>73875.240000000005</v>
      </c>
      <c r="BN70" s="17">
        <f t="shared" si="56"/>
        <v>24522.417814663575</v>
      </c>
      <c r="BO70" s="17">
        <f t="shared" si="57"/>
        <v>0</v>
      </c>
      <c r="BP70" s="17">
        <f t="shared" si="58"/>
        <v>284.71955774833356</v>
      </c>
      <c r="BQ70" s="17">
        <f t="shared" si="59"/>
        <v>1821.6969536582787</v>
      </c>
      <c r="BR70" s="17">
        <f t="shared" si="60"/>
        <v>0</v>
      </c>
      <c r="BS70" s="15">
        <f t="shared" si="29"/>
        <v>0</v>
      </c>
      <c r="BU70" s="14">
        <v>27</v>
      </c>
      <c r="BV70" s="15">
        <f t="shared" si="30"/>
        <v>3</v>
      </c>
      <c r="BW70" s="16">
        <f>(1+INDEX('1 - Input'!$B$34:$E$63,BV70,'1 - Input'!$B$16))^(1/12)-1</f>
        <v>4.1219243192651689E-3</v>
      </c>
      <c r="BX70" s="17">
        <f>'1 - Input'!$B$7*(1+'1 - Input'!$B$12)^(BV70-1)</f>
        <v>2809.08</v>
      </c>
      <c r="BY70" s="17">
        <f t="shared" si="61"/>
        <v>464634.17224109464</v>
      </c>
      <c r="BZ70" s="17">
        <f t="shared" si="62"/>
        <v>413685.35240000009</v>
      </c>
      <c r="CA70" s="17">
        <f t="shared" si="31"/>
        <v>466549.35913521686</v>
      </c>
      <c r="CB70" s="17">
        <f>IF(CA70&gt;0,'1 - Input'!$B$8/12*CA70,0)</f>
        <v>3499.1201935141262</v>
      </c>
      <c r="CC70" s="17">
        <f t="shared" si="32"/>
        <v>463050.23894170276</v>
      </c>
      <c r="CD70" s="17">
        <f t="shared" si="33"/>
        <v>3499.1201935141262</v>
      </c>
      <c r="CE70" s="17">
        <f>'1 - Input'!$B$22*(CB70-CD70)</f>
        <v>0</v>
      </c>
      <c r="CF70" s="17">
        <f t="shared" si="34"/>
        <v>3499.1201935141262</v>
      </c>
      <c r="CG70" s="17">
        <f t="shared" si="35"/>
        <v>410186.23220648599</v>
      </c>
      <c r="CH70" s="17">
        <f>IF('1 - Input'!$B$17=1,MAX(0,CF70-BX70),0)</f>
        <v>690.04019351412626</v>
      </c>
      <c r="CI70" s="17">
        <f>IF('1 - Input'!$B$17=1,MAX(0,BX70-CF70),0)</f>
        <v>0</v>
      </c>
      <c r="CJ70" s="17">
        <f t="shared" si="36"/>
        <v>0.11416473265630311</v>
      </c>
      <c r="CK70" s="17">
        <f>IF(AND(CI70&gt;0,CC70&gt;0),CI70/(1-'1 - Input'!$B$22*CJ70),0)</f>
        <v>0</v>
      </c>
      <c r="CL70" s="17">
        <f t="shared" si="37"/>
        <v>0</v>
      </c>
      <c r="CM70" s="17">
        <f>'1 - Input'!$B$22*CJ70*CL70</f>
        <v>0</v>
      </c>
      <c r="CN70" s="17">
        <f t="shared" si="38"/>
        <v>0</v>
      </c>
      <c r="CO70" s="17">
        <f t="shared" si="39"/>
        <v>0</v>
      </c>
      <c r="CP70" s="17">
        <f t="shared" si="40"/>
        <v>0</v>
      </c>
      <c r="CQ70" s="17">
        <f t="shared" si="41"/>
        <v>463740.2791352169</v>
      </c>
      <c r="CR70" s="17">
        <f t="shared" si="42"/>
        <v>410876.27240000013</v>
      </c>
      <c r="CS70" s="17">
        <f>IF(MOD(BU70,12)=0,CQ70*'1 - Input'!$B$23,0)</f>
        <v>0</v>
      </c>
      <c r="CT70" s="17">
        <f t="shared" si="43"/>
        <v>463740.2791352169</v>
      </c>
      <c r="CU70" s="17">
        <f>IF(MOD(BU70,12)=0,CR70*(1-'1 - Input'!$B$23),CR70)</f>
        <v>410876.27240000013</v>
      </c>
      <c r="CV70" s="17">
        <f>IF('1 - Input'!$B$17=1,MIN(CF70,BX70)+CN70,CF70)</f>
        <v>2809.08</v>
      </c>
      <c r="CW70" s="17">
        <f t="shared" si="63"/>
        <v>73875.240000000005</v>
      </c>
      <c r="CX70" s="17">
        <f t="shared" si="64"/>
        <v>0</v>
      </c>
      <c r="CY70" s="17">
        <f t="shared" si="65"/>
        <v>0</v>
      </c>
      <c r="CZ70" s="17">
        <f t="shared" si="66"/>
        <v>0</v>
      </c>
      <c r="DA70" s="17">
        <f t="shared" si="67"/>
        <v>1890.6356863563203</v>
      </c>
      <c r="DB70" s="17">
        <f t="shared" si="68"/>
        <v>0</v>
      </c>
      <c r="DC70" s="15">
        <f t="shared" si="44"/>
        <v>0</v>
      </c>
    </row>
    <row r="71" spans="1:107">
      <c r="A71" s="14">
        <v>28</v>
      </c>
      <c r="B71" s="15">
        <f t="shared" si="0"/>
        <v>3</v>
      </c>
      <c r="C71" s="16">
        <f>(1+INDEX('1 - Input'!$B$34:$E$63,B71,'1 - Input'!$B$16))^(1/12)-1</f>
        <v>4.1219243192651689E-3</v>
      </c>
      <c r="D71" s="17">
        <f>'1 - Input'!$B$7*(1+'1 - Input'!$B$12)^(B71-1)</f>
        <v>2809.08</v>
      </c>
      <c r="E71" s="17">
        <f t="shared" si="45"/>
        <v>437903.5264720337</v>
      </c>
      <c r="F71" s="17">
        <f t="shared" si="46"/>
        <v>480197.98928142164</v>
      </c>
      <c r="G71" s="17">
        <f t="shared" si="1"/>
        <v>439708.53166729078</v>
      </c>
      <c r="H71" s="17">
        <f>IF(G71&gt;0,'1 - Input'!$B$8/12*G71,0)</f>
        <v>3297.8139875046809</v>
      </c>
      <c r="I71" s="17">
        <f t="shared" si="2"/>
        <v>436410.71767978609</v>
      </c>
      <c r="J71" s="17">
        <f t="shared" si="3"/>
        <v>0</v>
      </c>
      <c r="K71" s="17">
        <f>'1 - Input'!$B$22*(H71-J71)</f>
        <v>857.43163675121707</v>
      </c>
      <c r="L71" s="17">
        <f t="shared" si="4"/>
        <v>2440.3823507534639</v>
      </c>
      <c r="M71" s="17">
        <f t="shared" si="5"/>
        <v>480197.98928142164</v>
      </c>
      <c r="N71" s="17">
        <f>IF('1 - Input'!$B$17=1,MAX(0,L71-D71),0)</f>
        <v>0</v>
      </c>
      <c r="O71" s="17">
        <f>IF('1 - Input'!$B$17=1,MAX(0,D71-L71),0)</f>
        <v>368.697649246536</v>
      </c>
      <c r="P71" s="17">
        <f t="shared" si="6"/>
        <v>0</v>
      </c>
      <c r="Q71" s="17">
        <f>IF(AND(O71&gt;0,I71&gt;0),O71/(1-'1 - Input'!$B$22*P71),0)</f>
        <v>368.697649246536</v>
      </c>
      <c r="R71" s="17">
        <f t="shared" si="7"/>
        <v>368.697649246536</v>
      </c>
      <c r="S71" s="17">
        <f>'1 - Input'!$B$22*P71*R71</f>
        <v>0</v>
      </c>
      <c r="T71" s="17">
        <f t="shared" si="8"/>
        <v>368.697649246536</v>
      </c>
      <c r="U71" s="17">
        <f t="shared" si="9"/>
        <v>0</v>
      </c>
      <c r="V71" s="17">
        <f t="shared" si="10"/>
        <v>36.993280532327368</v>
      </c>
      <c r="W71" s="17">
        <f t="shared" si="11"/>
        <v>436042.02003053954</v>
      </c>
      <c r="X71" s="17">
        <f t="shared" si="12"/>
        <v>479792.29835164279</v>
      </c>
      <c r="Y71" s="17">
        <f>IF(MOD(A71,12)=0,W71*'1 - Input'!$B$23,0)</f>
        <v>0</v>
      </c>
      <c r="Z71" s="17">
        <f t="shared" si="13"/>
        <v>436042.02003053954</v>
      </c>
      <c r="AA71" s="17">
        <f>IF(MOD(A71,12)=0,X71*(1-'1 - Input'!$B$23),X71)</f>
        <v>479792.29835164279</v>
      </c>
      <c r="AB71" s="17">
        <f>IF('1 - Input'!$B$17=1,MIN(L71,D71)+T71,L71)</f>
        <v>2809.08</v>
      </c>
      <c r="AC71" s="17">
        <f t="shared" si="47"/>
        <v>76684.320000000007</v>
      </c>
      <c r="AD71" s="17">
        <f t="shared" si="48"/>
        <v>25379.849451414793</v>
      </c>
      <c r="AE71" s="17">
        <f t="shared" si="49"/>
        <v>0</v>
      </c>
      <c r="AF71" s="17">
        <f t="shared" si="50"/>
        <v>321.71283828066095</v>
      </c>
      <c r="AG71" s="17">
        <f t="shared" si="51"/>
        <v>1821.6969536582787</v>
      </c>
      <c r="AH71" s="17">
        <f t="shared" si="52"/>
        <v>0</v>
      </c>
      <c r="AI71" s="15">
        <f t="shared" si="14"/>
        <v>0</v>
      </c>
      <c r="AK71" s="14">
        <v>28</v>
      </c>
      <c r="AL71" s="15">
        <f t="shared" si="15"/>
        <v>3</v>
      </c>
      <c r="AM71" s="16">
        <f>(1+INDEX('1 - Input'!$B$34:$E$63,AL71,'1 - Input'!$B$16))^(1/12)-1</f>
        <v>4.1219243192651689E-3</v>
      </c>
      <c r="AN71" s="17">
        <f>'1 - Input'!$B$7*(1+'1 - Input'!$B$12)^(AL71-1)</f>
        <v>2809.08</v>
      </c>
      <c r="AO71" s="17">
        <f t="shared" si="53"/>
        <v>437903.5264720337</v>
      </c>
      <c r="AP71" s="17">
        <f t="shared" si="54"/>
        <v>480197.98928142164</v>
      </c>
      <c r="AQ71" s="17">
        <f t="shared" si="16"/>
        <v>439708.53166729078</v>
      </c>
      <c r="AR71" s="17">
        <f>IF(AQ71&gt;0,'1 - Input'!$B$8/12*AQ71,0)</f>
        <v>3297.8139875046809</v>
      </c>
      <c r="AS71" s="17">
        <f t="shared" si="17"/>
        <v>436410.71767978609</v>
      </c>
      <c r="AT71" s="17">
        <f t="shared" si="18"/>
        <v>0</v>
      </c>
      <c r="AU71" s="17">
        <f>'1 - Input'!$B$22*(AR71-AT71)</f>
        <v>857.43163675121707</v>
      </c>
      <c r="AV71" s="17">
        <f t="shared" si="19"/>
        <v>2440.3823507534639</v>
      </c>
      <c r="AW71" s="17">
        <f t="shared" si="20"/>
        <v>480197.98928142164</v>
      </c>
      <c r="AX71" s="17">
        <f>IF('1 - Input'!$B$17=1,MAX(0,AV71-AN71),0)</f>
        <v>0</v>
      </c>
      <c r="AY71" s="17">
        <f>IF('1 - Input'!$B$17=1,MAX(0,AN71-AV71),0)</f>
        <v>368.697649246536</v>
      </c>
      <c r="AZ71" s="17">
        <f t="shared" si="21"/>
        <v>0</v>
      </c>
      <c r="BA71" s="17">
        <f>IF(AND(AY71&gt;0,AS71&gt;0),AY71/(1-'1 - Input'!$B$22*AZ71),0)</f>
        <v>368.697649246536</v>
      </c>
      <c r="BB71" s="17">
        <f t="shared" si="22"/>
        <v>368.697649246536</v>
      </c>
      <c r="BC71" s="17">
        <f>'1 - Input'!$B$22*AZ71*BB71</f>
        <v>0</v>
      </c>
      <c r="BD71" s="17">
        <f t="shared" si="23"/>
        <v>368.697649246536</v>
      </c>
      <c r="BE71" s="17">
        <f t="shared" si="24"/>
        <v>0</v>
      </c>
      <c r="BF71" s="17">
        <f t="shared" si="25"/>
        <v>36.993280532327368</v>
      </c>
      <c r="BG71" s="17">
        <f t="shared" si="26"/>
        <v>436042.02003053954</v>
      </c>
      <c r="BH71" s="17">
        <f t="shared" si="27"/>
        <v>479792.29835164279</v>
      </c>
      <c r="BI71" s="17">
        <f>IF(MOD(AK71,12)=0,BG71*'1 - Input'!$B$23,0)</f>
        <v>0</v>
      </c>
      <c r="BJ71" s="17">
        <f t="shared" si="28"/>
        <v>436042.02003053954</v>
      </c>
      <c r="BK71" s="17">
        <f>IF(MOD(AK71,12)=0,BH71*(1-'1 - Input'!$B$23),BH71)</f>
        <v>479792.29835164279</v>
      </c>
      <c r="BL71" s="17">
        <f>IF('1 - Input'!$B$17=1,MIN(AV71,AN71)+BD71,AV71)</f>
        <v>2809.08</v>
      </c>
      <c r="BM71" s="17">
        <f t="shared" si="55"/>
        <v>76684.320000000007</v>
      </c>
      <c r="BN71" s="17">
        <f t="shared" si="56"/>
        <v>25379.849451414793</v>
      </c>
      <c r="BO71" s="17">
        <f t="shared" si="57"/>
        <v>0</v>
      </c>
      <c r="BP71" s="17">
        <f t="shared" si="58"/>
        <v>321.71283828066095</v>
      </c>
      <c r="BQ71" s="17">
        <f t="shared" si="59"/>
        <v>1821.6969536582787</v>
      </c>
      <c r="BR71" s="17">
        <f t="shared" si="60"/>
        <v>0</v>
      </c>
      <c r="BS71" s="15">
        <f t="shared" si="29"/>
        <v>0</v>
      </c>
      <c r="BU71" s="14">
        <v>28</v>
      </c>
      <c r="BV71" s="15">
        <f t="shared" si="30"/>
        <v>3</v>
      </c>
      <c r="BW71" s="16">
        <f>(1+INDEX('1 - Input'!$B$34:$E$63,BV71,'1 - Input'!$B$16))^(1/12)-1</f>
        <v>4.1219243192651689E-3</v>
      </c>
      <c r="BX71" s="17">
        <f>'1 - Input'!$B$7*(1+'1 - Input'!$B$12)^(BV71-1)</f>
        <v>2809.08</v>
      </c>
      <c r="BY71" s="17">
        <f t="shared" si="61"/>
        <v>463740.2791352169</v>
      </c>
      <c r="BZ71" s="17">
        <f t="shared" si="62"/>
        <v>410876.27240000013</v>
      </c>
      <c r="CA71" s="17">
        <f t="shared" si="31"/>
        <v>465651.78146960714</v>
      </c>
      <c r="CB71" s="17">
        <f>IF(CA71&gt;0,'1 - Input'!$B$8/12*CA71,0)</f>
        <v>3492.3883610220532</v>
      </c>
      <c r="CC71" s="17">
        <f t="shared" si="32"/>
        <v>462159.39310858509</v>
      </c>
      <c r="CD71" s="17">
        <f t="shared" si="33"/>
        <v>3492.3883610220532</v>
      </c>
      <c r="CE71" s="17">
        <f>'1 - Input'!$B$22*(CB71-CD71)</f>
        <v>0</v>
      </c>
      <c r="CF71" s="17">
        <f t="shared" si="34"/>
        <v>3492.3883610220532</v>
      </c>
      <c r="CG71" s="17">
        <f t="shared" si="35"/>
        <v>407383.88403897808</v>
      </c>
      <c r="CH71" s="17">
        <f>IF('1 - Input'!$B$17=1,MAX(0,CF71-BX71),0)</f>
        <v>683.3083610220533</v>
      </c>
      <c r="CI71" s="17">
        <f>IF('1 - Input'!$B$17=1,MAX(0,BX71-CF71),0)</f>
        <v>0</v>
      </c>
      <c r="CJ71" s="17">
        <f t="shared" si="36"/>
        <v>0.11852081746337551</v>
      </c>
      <c r="CK71" s="17">
        <f>IF(AND(CI71&gt;0,CC71&gt;0),CI71/(1-'1 - Input'!$B$22*CJ71),0)</f>
        <v>0</v>
      </c>
      <c r="CL71" s="17">
        <f t="shared" si="37"/>
        <v>0</v>
      </c>
      <c r="CM71" s="17">
        <f>'1 - Input'!$B$22*CJ71*CL71</f>
        <v>0</v>
      </c>
      <c r="CN71" s="17">
        <f t="shared" si="38"/>
        <v>0</v>
      </c>
      <c r="CO71" s="17">
        <f t="shared" si="39"/>
        <v>0</v>
      </c>
      <c r="CP71" s="17">
        <f t="shared" si="40"/>
        <v>0</v>
      </c>
      <c r="CQ71" s="17">
        <f t="shared" si="41"/>
        <v>462842.70146960713</v>
      </c>
      <c r="CR71" s="17">
        <f t="shared" si="42"/>
        <v>408067.19240000012</v>
      </c>
      <c r="CS71" s="17">
        <f>IF(MOD(BU71,12)=0,CQ71*'1 - Input'!$B$23,0)</f>
        <v>0</v>
      </c>
      <c r="CT71" s="17">
        <f t="shared" si="43"/>
        <v>462842.70146960713</v>
      </c>
      <c r="CU71" s="17">
        <f>IF(MOD(BU71,12)=0,CR71*(1-'1 - Input'!$B$23),CR71)</f>
        <v>408067.19240000012</v>
      </c>
      <c r="CV71" s="17">
        <f>IF('1 - Input'!$B$17=1,MIN(CF71,BX71)+CN71,CF71)</f>
        <v>2809.08</v>
      </c>
      <c r="CW71" s="17">
        <f t="shared" si="63"/>
        <v>76684.320000000007</v>
      </c>
      <c r="CX71" s="17">
        <f t="shared" si="64"/>
        <v>0</v>
      </c>
      <c r="CY71" s="17">
        <f t="shared" si="65"/>
        <v>0</v>
      </c>
      <c r="CZ71" s="17">
        <f t="shared" si="66"/>
        <v>0</v>
      </c>
      <c r="DA71" s="17">
        <f t="shared" si="67"/>
        <v>1890.6356863563203</v>
      </c>
      <c r="DB71" s="17">
        <f t="shared" si="68"/>
        <v>0</v>
      </c>
      <c r="DC71" s="15">
        <f t="shared" si="44"/>
        <v>0</v>
      </c>
    </row>
    <row r="72" spans="1:107">
      <c r="A72" s="14">
        <v>29</v>
      </c>
      <c r="B72" s="15">
        <f t="shared" si="0"/>
        <v>3</v>
      </c>
      <c r="C72" s="16">
        <f>(1+INDEX('1 - Input'!$B$34:$E$63,B72,'1 - Input'!$B$16))^(1/12)-1</f>
        <v>4.1219243192651689E-3</v>
      </c>
      <c r="D72" s="17">
        <f>'1 - Input'!$B$7*(1+'1 - Input'!$B$12)^(B72-1)</f>
        <v>2809.08</v>
      </c>
      <c r="E72" s="17">
        <f t="shared" si="45"/>
        <v>436042.02003053954</v>
      </c>
      <c r="F72" s="17">
        <f t="shared" si="46"/>
        <v>479792.29835164279</v>
      </c>
      <c r="G72" s="17">
        <f t="shared" si="1"/>
        <v>437839.35223712493</v>
      </c>
      <c r="H72" s="17">
        <f>IF(G72&gt;0,'1 - Input'!$B$8/12*G72,0)</f>
        <v>3283.795141778437</v>
      </c>
      <c r="I72" s="17">
        <f t="shared" si="2"/>
        <v>434555.55709534651</v>
      </c>
      <c r="J72" s="17">
        <f t="shared" si="3"/>
        <v>0</v>
      </c>
      <c r="K72" s="17">
        <f>'1 - Input'!$B$22*(H72-J72)</f>
        <v>853.7867368623937</v>
      </c>
      <c r="L72" s="17">
        <f t="shared" si="4"/>
        <v>2430.0084049160432</v>
      </c>
      <c r="M72" s="17">
        <f t="shared" si="5"/>
        <v>479792.29835164279</v>
      </c>
      <c r="N72" s="17">
        <f>IF('1 - Input'!$B$17=1,MAX(0,L72-D72),0)</f>
        <v>0</v>
      </c>
      <c r="O72" s="17">
        <f>IF('1 - Input'!$B$17=1,MAX(0,D72-L72),0)</f>
        <v>379.07159508395671</v>
      </c>
      <c r="P72" s="17">
        <f t="shared" si="6"/>
        <v>0</v>
      </c>
      <c r="Q72" s="17">
        <f>IF(AND(O72&gt;0,I72&gt;0),O72/(1-'1 - Input'!$B$22*P72),0)</f>
        <v>379.07159508395671</v>
      </c>
      <c r="R72" s="17">
        <f t="shared" si="7"/>
        <v>379.07159508395671</v>
      </c>
      <c r="S72" s="17">
        <f>'1 - Input'!$B$22*P72*R72</f>
        <v>0</v>
      </c>
      <c r="T72" s="17">
        <f t="shared" si="8"/>
        <v>379.07159508395671</v>
      </c>
      <c r="U72" s="17">
        <f t="shared" si="9"/>
        <v>0</v>
      </c>
      <c r="V72" s="17">
        <f t="shared" si="10"/>
        <v>39.460923659669128</v>
      </c>
      <c r="W72" s="17">
        <f t="shared" si="11"/>
        <v>434176.48550026253</v>
      </c>
      <c r="X72" s="17">
        <f t="shared" si="12"/>
        <v>479373.76583289914</v>
      </c>
      <c r="Y72" s="17">
        <f>IF(MOD(A72,12)=0,W72*'1 - Input'!$B$23,0)</f>
        <v>0</v>
      </c>
      <c r="Z72" s="17">
        <f t="shared" si="13"/>
        <v>434176.48550026253</v>
      </c>
      <c r="AA72" s="17">
        <f>IF(MOD(A72,12)=0,X72*(1-'1 - Input'!$B$23),X72)</f>
        <v>479373.76583289914</v>
      </c>
      <c r="AB72" s="17">
        <f>IF('1 - Input'!$B$17=1,MIN(L72,D72)+T72,L72)</f>
        <v>2809.08</v>
      </c>
      <c r="AC72" s="17">
        <f t="shared" si="47"/>
        <v>79493.400000000009</v>
      </c>
      <c r="AD72" s="17">
        <f t="shared" si="48"/>
        <v>26233.636188277185</v>
      </c>
      <c r="AE72" s="17">
        <f t="shared" si="49"/>
        <v>0</v>
      </c>
      <c r="AF72" s="17">
        <f t="shared" si="50"/>
        <v>361.17376194033005</v>
      </c>
      <c r="AG72" s="17">
        <f t="shared" si="51"/>
        <v>1821.6969536582787</v>
      </c>
      <c r="AH72" s="17">
        <f t="shared" si="52"/>
        <v>0</v>
      </c>
      <c r="AI72" s="15">
        <f t="shared" si="14"/>
        <v>0</v>
      </c>
      <c r="AK72" s="14">
        <v>29</v>
      </c>
      <c r="AL72" s="15">
        <f t="shared" si="15"/>
        <v>3</v>
      </c>
      <c r="AM72" s="16">
        <f>(1+INDEX('1 - Input'!$B$34:$E$63,AL72,'1 - Input'!$B$16))^(1/12)-1</f>
        <v>4.1219243192651689E-3</v>
      </c>
      <c r="AN72" s="17">
        <f>'1 - Input'!$B$7*(1+'1 - Input'!$B$12)^(AL72-1)</f>
        <v>2809.08</v>
      </c>
      <c r="AO72" s="17">
        <f t="shared" si="53"/>
        <v>436042.02003053954</v>
      </c>
      <c r="AP72" s="17">
        <f t="shared" si="54"/>
        <v>479792.29835164279</v>
      </c>
      <c r="AQ72" s="17">
        <f t="shared" si="16"/>
        <v>437839.35223712493</v>
      </c>
      <c r="AR72" s="17">
        <f>IF(AQ72&gt;0,'1 - Input'!$B$8/12*AQ72,0)</f>
        <v>3283.795141778437</v>
      </c>
      <c r="AS72" s="17">
        <f t="shared" si="17"/>
        <v>434555.55709534651</v>
      </c>
      <c r="AT72" s="17">
        <f t="shared" si="18"/>
        <v>0</v>
      </c>
      <c r="AU72" s="17">
        <f>'1 - Input'!$B$22*(AR72-AT72)</f>
        <v>853.7867368623937</v>
      </c>
      <c r="AV72" s="17">
        <f t="shared" si="19"/>
        <v>2430.0084049160432</v>
      </c>
      <c r="AW72" s="17">
        <f t="shared" si="20"/>
        <v>479792.29835164279</v>
      </c>
      <c r="AX72" s="17">
        <f>IF('1 - Input'!$B$17=1,MAX(0,AV72-AN72),0)</f>
        <v>0</v>
      </c>
      <c r="AY72" s="17">
        <f>IF('1 - Input'!$B$17=1,MAX(0,AN72-AV72),0)</f>
        <v>379.07159508395671</v>
      </c>
      <c r="AZ72" s="17">
        <f t="shared" si="21"/>
        <v>0</v>
      </c>
      <c r="BA72" s="17">
        <f>IF(AND(AY72&gt;0,AS72&gt;0),AY72/(1-'1 - Input'!$B$22*AZ72),0)</f>
        <v>379.07159508395671</v>
      </c>
      <c r="BB72" s="17">
        <f t="shared" si="22"/>
        <v>379.07159508395671</v>
      </c>
      <c r="BC72" s="17">
        <f>'1 - Input'!$B$22*AZ72*BB72</f>
        <v>0</v>
      </c>
      <c r="BD72" s="17">
        <f t="shared" si="23"/>
        <v>379.07159508395671</v>
      </c>
      <c r="BE72" s="17">
        <f t="shared" si="24"/>
        <v>0</v>
      </c>
      <c r="BF72" s="17">
        <f t="shared" si="25"/>
        <v>39.460923659669128</v>
      </c>
      <c r="BG72" s="17">
        <f t="shared" si="26"/>
        <v>434176.48550026253</v>
      </c>
      <c r="BH72" s="17">
        <f t="shared" si="27"/>
        <v>479373.76583289914</v>
      </c>
      <c r="BI72" s="17">
        <f>IF(MOD(AK72,12)=0,BG72*'1 - Input'!$B$23,0)</f>
        <v>0</v>
      </c>
      <c r="BJ72" s="17">
        <f t="shared" si="28"/>
        <v>434176.48550026253</v>
      </c>
      <c r="BK72" s="17">
        <f>IF(MOD(AK72,12)=0,BH72*(1-'1 - Input'!$B$23),BH72)</f>
        <v>479373.76583289914</v>
      </c>
      <c r="BL72" s="17">
        <f>IF('1 - Input'!$B$17=1,MIN(AV72,AN72)+BD72,AV72)</f>
        <v>2809.08</v>
      </c>
      <c r="BM72" s="17">
        <f t="shared" si="55"/>
        <v>79493.400000000009</v>
      </c>
      <c r="BN72" s="17">
        <f t="shared" si="56"/>
        <v>26233.636188277185</v>
      </c>
      <c r="BO72" s="17">
        <f t="shared" si="57"/>
        <v>0</v>
      </c>
      <c r="BP72" s="17">
        <f t="shared" si="58"/>
        <v>361.17376194033005</v>
      </c>
      <c r="BQ72" s="17">
        <f t="shared" si="59"/>
        <v>1821.6969536582787</v>
      </c>
      <c r="BR72" s="17">
        <f t="shared" si="60"/>
        <v>0</v>
      </c>
      <c r="BS72" s="15">
        <f t="shared" si="29"/>
        <v>0</v>
      </c>
      <c r="BU72" s="14">
        <v>29</v>
      </c>
      <c r="BV72" s="15">
        <f t="shared" si="30"/>
        <v>3</v>
      </c>
      <c r="BW72" s="16">
        <f>(1+INDEX('1 - Input'!$B$34:$E$63,BV72,'1 - Input'!$B$16))^(1/12)-1</f>
        <v>4.1219243192651689E-3</v>
      </c>
      <c r="BX72" s="17">
        <f>'1 - Input'!$B$7*(1+'1 - Input'!$B$12)^(BV72-1)</f>
        <v>2809.08</v>
      </c>
      <c r="BY72" s="17">
        <f t="shared" si="61"/>
        <v>462842.70146960713</v>
      </c>
      <c r="BZ72" s="17">
        <f t="shared" si="62"/>
        <v>408067.19240000012</v>
      </c>
      <c r="CA72" s="17">
        <f t="shared" si="31"/>
        <v>464750.5040567891</v>
      </c>
      <c r="CB72" s="17">
        <f>IF(CA72&gt;0,'1 - Input'!$B$8/12*CA72,0)</f>
        <v>3485.6287804259182</v>
      </c>
      <c r="CC72" s="17">
        <f t="shared" si="32"/>
        <v>461264.87527636316</v>
      </c>
      <c r="CD72" s="17">
        <f t="shared" si="33"/>
        <v>3485.6287804259182</v>
      </c>
      <c r="CE72" s="17">
        <f>'1 - Input'!$B$22*(CB72-CD72)</f>
        <v>0</v>
      </c>
      <c r="CF72" s="17">
        <f t="shared" si="34"/>
        <v>3485.6287804259182</v>
      </c>
      <c r="CG72" s="17">
        <f t="shared" si="35"/>
        <v>404581.56361957418</v>
      </c>
      <c r="CH72" s="17">
        <f>IF('1 - Input'!$B$17=1,MAX(0,CF72-BX72),0)</f>
        <v>676.54878042591827</v>
      </c>
      <c r="CI72" s="17">
        <f>IF('1 - Input'!$B$17=1,MAX(0,BX72-CF72),0)</f>
        <v>0</v>
      </c>
      <c r="CJ72" s="17">
        <f t="shared" si="36"/>
        <v>0.12288668549242476</v>
      </c>
      <c r="CK72" s="17">
        <f>IF(AND(CI72&gt;0,CC72&gt;0),CI72/(1-'1 - Input'!$B$22*CJ72),0)</f>
        <v>0</v>
      </c>
      <c r="CL72" s="17">
        <f t="shared" si="37"/>
        <v>0</v>
      </c>
      <c r="CM72" s="17">
        <f>'1 - Input'!$B$22*CJ72*CL72</f>
        <v>0</v>
      </c>
      <c r="CN72" s="17">
        <f t="shared" si="38"/>
        <v>0</v>
      </c>
      <c r="CO72" s="17">
        <f t="shared" si="39"/>
        <v>0</v>
      </c>
      <c r="CP72" s="17">
        <f t="shared" si="40"/>
        <v>0</v>
      </c>
      <c r="CQ72" s="17">
        <f t="shared" si="41"/>
        <v>461941.42405678908</v>
      </c>
      <c r="CR72" s="17">
        <f t="shared" si="42"/>
        <v>405258.1124000001</v>
      </c>
      <c r="CS72" s="17">
        <f>IF(MOD(BU72,12)=0,CQ72*'1 - Input'!$B$23,0)</f>
        <v>0</v>
      </c>
      <c r="CT72" s="17">
        <f t="shared" si="43"/>
        <v>461941.42405678908</v>
      </c>
      <c r="CU72" s="17">
        <f>IF(MOD(BU72,12)=0,CR72*(1-'1 - Input'!$B$23),CR72)</f>
        <v>405258.1124000001</v>
      </c>
      <c r="CV72" s="17">
        <f>IF('1 - Input'!$B$17=1,MIN(CF72,BX72)+CN72,CF72)</f>
        <v>2809.08</v>
      </c>
      <c r="CW72" s="17">
        <f t="shared" si="63"/>
        <v>79493.400000000009</v>
      </c>
      <c r="CX72" s="17">
        <f t="shared" si="64"/>
        <v>0</v>
      </c>
      <c r="CY72" s="17">
        <f t="shared" si="65"/>
        <v>0</v>
      </c>
      <c r="CZ72" s="17">
        <f t="shared" si="66"/>
        <v>0</v>
      </c>
      <c r="DA72" s="17">
        <f t="shared" si="67"/>
        <v>1890.6356863563203</v>
      </c>
      <c r="DB72" s="17">
        <f t="shared" si="68"/>
        <v>0</v>
      </c>
      <c r="DC72" s="15">
        <f t="shared" si="44"/>
        <v>0</v>
      </c>
    </row>
    <row r="73" spans="1:107">
      <c r="A73" s="14">
        <v>30</v>
      </c>
      <c r="B73" s="15">
        <f t="shared" si="0"/>
        <v>3</v>
      </c>
      <c r="C73" s="16">
        <f>(1+INDEX('1 - Input'!$B$34:$E$63,B73,'1 - Input'!$B$16))^(1/12)-1</f>
        <v>4.1219243192651689E-3</v>
      </c>
      <c r="D73" s="17">
        <f>'1 - Input'!$B$7*(1+'1 - Input'!$B$12)^(B73-1)</f>
        <v>2809.08</v>
      </c>
      <c r="E73" s="17">
        <f t="shared" si="45"/>
        <v>434176.48550026253</v>
      </c>
      <c r="F73" s="17">
        <f t="shared" si="46"/>
        <v>479373.76583289914</v>
      </c>
      <c r="G73" s="17">
        <f t="shared" si="1"/>
        <v>435966.12811469915</v>
      </c>
      <c r="H73" s="17">
        <f>IF(G73&gt;0,'1 - Input'!$B$8/12*G73,0)</f>
        <v>3269.7459608602435</v>
      </c>
      <c r="I73" s="17">
        <f t="shared" si="2"/>
        <v>432696.38215383893</v>
      </c>
      <c r="J73" s="17">
        <f t="shared" si="3"/>
        <v>0</v>
      </c>
      <c r="K73" s="17">
        <f>'1 - Input'!$B$22*(H73-J73)</f>
        <v>850.13394982366333</v>
      </c>
      <c r="L73" s="17">
        <f t="shared" si="4"/>
        <v>2419.61201103658</v>
      </c>
      <c r="M73" s="17">
        <f t="shared" si="5"/>
        <v>479373.76583289914</v>
      </c>
      <c r="N73" s="17">
        <f>IF('1 - Input'!$B$17=1,MAX(0,L73-D73),0)</f>
        <v>0</v>
      </c>
      <c r="O73" s="17">
        <f>IF('1 - Input'!$B$17=1,MAX(0,D73-L73),0)</f>
        <v>389.46798896341988</v>
      </c>
      <c r="P73" s="17">
        <f t="shared" si="6"/>
        <v>0</v>
      </c>
      <c r="Q73" s="17">
        <f>IF(AND(O73&gt;0,I73&gt;0),O73/(1-'1 - Input'!$B$22*P73),0)</f>
        <v>389.46798896341988</v>
      </c>
      <c r="R73" s="17">
        <f t="shared" si="7"/>
        <v>389.46798896341988</v>
      </c>
      <c r="S73" s="17">
        <f>'1 - Input'!$B$22*P73*R73</f>
        <v>0</v>
      </c>
      <c r="T73" s="17">
        <f t="shared" si="8"/>
        <v>389.46798896341988</v>
      </c>
      <c r="U73" s="17">
        <f t="shared" si="9"/>
        <v>0</v>
      </c>
      <c r="V73" s="17">
        <f t="shared" si="10"/>
        <v>42.01409464314429</v>
      </c>
      <c r="W73" s="17">
        <f t="shared" si="11"/>
        <v>432306.91416487552</v>
      </c>
      <c r="X73" s="17">
        <f t="shared" si="12"/>
        <v>478942.28374929255</v>
      </c>
      <c r="Y73" s="17">
        <f>IF(MOD(A73,12)=0,W73*'1 - Input'!$B$23,0)</f>
        <v>0</v>
      </c>
      <c r="Z73" s="17">
        <f t="shared" si="13"/>
        <v>432306.91416487552</v>
      </c>
      <c r="AA73" s="17">
        <f>IF(MOD(A73,12)=0,X73*(1-'1 - Input'!$B$23),X73)</f>
        <v>478942.28374929255</v>
      </c>
      <c r="AB73" s="17">
        <f>IF('1 - Input'!$B$17=1,MIN(L73,D73)+T73,L73)</f>
        <v>2809.08</v>
      </c>
      <c r="AC73" s="17">
        <f t="shared" si="47"/>
        <v>82302.48000000001</v>
      </c>
      <c r="AD73" s="17">
        <f t="shared" si="48"/>
        <v>27083.770138100848</v>
      </c>
      <c r="AE73" s="17">
        <f t="shared" si="49"/>
        <v>0</v>
      </c>
      <c r="AF73" s="17">
        <f t="shared" si="50"/>
        <v>403.18785658347434</v>
      </c>
      <c r="AG73" s="17">
        <f t="shared" si="51"/>
        <v>1821.6969536582787</v>
      </c>
      <c r="AH73" s="17">
        <f t="shared" si="52"/>
        <v>0</v>
      </c>
      <c r="AI73" s="15">
        <f t="shared" si="14"/>
        <v>0</v>
      </c>
      <c r="AK73" s="14">
        <v>30</v>
      </c>
      <c r="AL73" s="15">
        <f t="shared" si="15"/>
        <v>3</v>
      </c>
      <c r="AM73" s="16">
        <f>(1+INDEX('1 - Input'!$B$34:$E$63,AL73,'1 - Input'!$B$16))^(1/12)-1</f>
        <v>4.1219243192651689E-3</v>
      </c>
      <c r="AN73" s="17">
        <f>'1 - Input'!$B$7*(1+'1 - Input'!$B$12)^(AL73-1)</f>
        <v>2809.08</v>
      </c>
      <c r="AO73" s="17">
        <f t="shared" si="53"/>
        <v>434176.48550026253</v>
      </c>
      <c r="AP73" s="17">
        <f t="shared" si="54"/>
        <v>479373.76583289914</v>
      </c>
      <c r="AQ73" s="17">
        <f t="shared" si="16"/>
        <v>435966.12811469915</v>
      </c>
      <c r="AR73" s="17">
        <f>IF(AQ73&gt;0,'1 - Input'!$B$8/12*AQ73,0)</f>
        <v>3269.7459608602435</v>
      </c>
      <c r="AS73" s="17">
        <f t="shared" si="17"/>
        <v>432696.38215383893</v>
      </c>
      <c r="AT73" s="17">
        <f t="shared" si="18"/>
        <v>0</v>
      </c>
      <c r="AU73" s="17">
        <f>'1 - Input'!$B$22*(AR73-AT73)</f>
        <v>850.13394982366333</v>
      </c>
      <c r="AV73" s="17">
        <f t="shared" si="19"/>
        <v>2419.61201103658</v>
      </c>
      <c r="AW73" s="17">
        <f t="shared" si="20"/>
        <v>479373.76583289914</v>
      </c>
      <c r="AX73" s="17">
        <f>IF('1 - Input'!$B$17=1,MAX(0,AV73-AN73),0)</f>
        <v>0</v>
      </c>
      <c r="AY73" s="17">
        <f>IF('1 - Input'!$B$17=1,MAX(0,AN73-AV73),0)</f>
        <v>389.46798896341988</v>
      </c>
      <c r="AZ73" s="17">
        <f t="shared" si="21"/>
        <v>0</v>
      </c>
      <c r="BA73" s="17">
        <f>IF(AND(AY73&gt;0,AS73&gt;0),AY73/(1-'1 - Input'!$B$22*AZ73),0)</f>
        <v>389.46798896341988</v>
      </c>
      <c r="BB73" s="17">
        <f t="shared" si="22"/>
        <v>389.46798896341988</v>
      </c>
      <c r="BC73" s="17">
        <f>'1 - Input'!$B$22*AZ73*BB73</f>
        <v>0</v>
      </c>
      <c r="BD73" s="17">
        <f t="shared" si="23"/>
        <v>389.46798896341988</v>
      </c>
      <c r="BE73" s="17">
        <f t="shared" si="24"/>
        <v>0</v>
      </c>
      <c r="BF73" s="17">
        <f t="shared" si="25"/>
        <v>42.01409464314429</v>
      </c>
      <c r="BG73" s="17">
        <f t="shared" si="26"/>
        <v>432306.91416487552</v>
      </c>
      <c r="BH73" s="17">
        <f t="shared" si="27"/>
        <v>478942.28374929255</v>
      </c>
      <c r="BI73" s="17">
        <f>IF(MOD(AK73,12)=0,BG73*'1 - Input'!$B$23,0)</f>
        <v>0</v>
      </c>
      <c r="BJ73" s="17">
        <f t="shared" si="28"/>
        <v>432306.91416487552</v>
      </c>
      <c r="BK73" s="17">
        <f>IF(MOD(AK73,12)=0,BH73*(1-'1 - Input'!$B$23),BH73)</f>
        <v>478942.28374929255</v>
      </c>
      <c r="BL73" s="17">
        <f>IF('1 - Input'!$B$17=1,MIN(AV73,AN73)+BD73,AV73)</f>
        <v>2809.08</v>
      </c>
      <c r="BM73" s="17">
        <f t="shared" si="55"/>
        <v>82302.48000000001</v>
      </c>
      <c r="BN73" s="17">
        <f t="shared" si="56"/>
        <v>27083.770138100848</v>
      </c>
      <c r="BO73" s="17">
        <f t="shared" si="57"/>
        <v>0</v>
      </c>
      <c r="BP73" s="17">
        <f t="shared" si="58"/>
        <v>403.18785658347434</v>
      </c>
      <c r="BQ73" s="17">
        <f t="shared" si="59"/>
        <v>1821.6969536582787</v>
      </c>
      <c r="BR73" s="17">
        <f t="shared" si="60"/>
        <v>0</v>
      </c>
      <c r="BS73" s="15">
        <f t="shared" si="29"/>
        <v>0</v>
      </c>
      <c r="BU73" s="14">
        <v>30</v>
      </c>
      <c r="BV73" s="15">
        <f t="shared" si="30"/>
        <v>3</v>
      </c>
      <c r="BW73" s="16">
        <f>(1+INDEX('1 - Input'!$B$34:$E$63,BV73,'1 - Input'!$B$16))^(1/12)-1</f>
        <v>4.1219243192651689E-3</v>
      </c>
      <c r="BX73" s="17">
        <f>'1 - Input'!$B$7*(1+'1 - Input'!$B$12)^(BV73-1)</f>
        <v>2809.08</v>
      </c>
      <c r="BY73" s="17">
        <f t="shared" si="61"/>
        <v>461941.42405678908</v>
      </c>
      <c r="BZ73" s="17">
        <f t="shared" si="62"/>
        <v>405258.1124000001</v>
      </c>
      <c r="CA73" s="17">
        <f t="shared" si="31"/>
        <v>463845.51164668472</v>
      </c>
      <c r="CB73" s="17">
        <f>IF(CA73&gt;0,'1 - Input'!$B$8/12*CA73,0)</f>
        <v>3478.8413373501353</v>
      </c>
      <c r="CC73" s="17">
        <f t="shared" si="32"/>
        <v>460366.67030933459</v>
      </c>
      <c r="CD73" s="17">
        <f t="shared" si="33"/>
        <v>3478.8413373501353</v>
      </c>
      <c r="CE73" s="17">
        <f>'1 - Input'!$B$22*(CB73-CD73)</f>
        <v>0</v>
      </c>
      <c r="CF73" s="17">
        <f t="shared" si="34"/>
        <v>3478.8413373501353</v>
      </c>
      <c r="CG73" s="17">
        <f t="shared" si="35"/>
        <v>401779.27106264996</v>
      </c>
      <c r="CH73" s="17">
        <f>IF('1 - Input'!$B$17=1,MAX(0,CF73-BX73),0)</f>
        <v>669.76133735013536</v>
      </c>
      <c r="CI73" s="17">
        <f>IF('1 - Input'!$B$17=1,MAX(0,BX73-CF73),0)</f>
        <v>0</v>
      </c>
      <c r="CJ73" s="17">
        <f t="shared" si="36"/>
        <v>0.1272624692993477</v>
      </c>
      <c r="CK73" s="17">
        <f>IF(AND(CI73&gt;0,CC73&gt;0),CI73/(1-'1 - Input'!$B$22*CJ73),0)</f>
        <v>0</v>
      </c>
      <c r="CL73" s="17">
        <f t="shared" si="37"/>
        <v>0</v>
      </c>
      <c r="CM73" s="17">
        <f>'1 - Input'!$B$22*CJ73*CL73</f>
        <v>0</v>
      </c>
      <c r="CN73" s="17">
        <f t="shared" si="38"/>
        <v>0</v>
      </c>
      <c r="CO73" s="17">
        <f t="shared" si="39"/>
        <v>0</v>
      </c>
      <c r="CP73" s="17">
        <f t="shared" si="40"/>
        <v>0</v>
      </c>
      <c r="CQ73" s="17">
        <f t="shared" si="41"/>
        <v>461036.43164668471</v>
      </c>
      <c r="CR73" s="17">
        <f t="shared" si="42"/>
        <v>402449.03240000008</v>
      </c>
      <c r="CS73" s="17">
        <f>IF(MOD(BU73,12)=0,CQ73*'1 - Input'!$B$23,0)</f>
        <v>0</v>
      </c>
      <c r="CT73" s="17">
        <f t="shared" si="43"/>
        <v>461036.43164668471</v>
      </c>
      <c r="CU73" s="17">
        <f>IF(MOD(BU73,12)=0,CR73*(1-'1 - Input'!$B$23),CR73)</f>
        <v>402449.03240000008</v>
      </c>
      <c r="CV73" s="17">
        <f>IF('1 - Input'!$B$17=1,MIN(CF73,BX73)+CN73,CF73)</f>
        <v>2809.08</v>
      </c>
      <c r="CW73" s="17">
        <f t="shared" si="63"/>
        <v>82302.48000000001</v>
      </c>
      <c r="CX73" s="17">
        <f t="shared" si="64"/>
        <v>0</v>
      </c>
      <c r="CY73" s="17">
        <f t="shared" si="65"/>
        <v>0</v>
      </c>
      <c r="CZ73" s="17">
        <f t="shared" si="66"/>
        <v>0</v>
      </c>
      <c r="DA73" s="17">
        <f t="shared" si="67"/>
        <v>1890.6356863563203</v>
      </c>
      <c r="DB73" s="17">
        <f t="shared" si="68"/>
        <v>0</v>
      </c>
      <c r="DC73" s="15">
        <f t="shared" si="44"/>
        <v>0</v>
      </c>
    </row>
    <row r="74" spans="1:107">
      <c r="A74" s="14">
        <v>31</v>
      </c>
      <c r="B74" s="15">
        <f t="shared" si="0"/>
        <v>3</v>
      </c>
      <c r="C74" s="16">
        <f>(1+INDEX('1 - Input'!$B$34:$E$63,B74,'1 - Input'!$B$16))^(1/12)-1</f>
        <v>4.1219243192651689E-3</v>
      </c>
      <c r="D74" s="17">
        <f>'1 - Input'!$B$7*(1+'1 - Input'!$B$12)^(B74-1)</f>
        <v>2809.08</v>
      </c>
      <c r="E74" s="17">
        <f t="shared" si="45"/>
        <v>432306.91416487552</v>
      </c>
      <c r="F74" s="17">
        <f t="shared" si="46"/>
        <v>478942.28374929255</v>
      </c>
      <c r="G74" s="17">
        <f t="shared" si="1"/>
        <v>434088.85054775822</v>
      </c>
      <c r="H74" s="17">
        <f>IF(G74&gt;0,'1 - Input'!$B$8/12*G74,0)</f>
        <v>3255.6663791081864</v>
      </c>
      <c r="I74" s="17">
        <f t="shared" si="2"/>
        <v>430833.18416865001</v>
      </c>
      <c r="J74" s="17">
        <f t="shared" si="3"/>
        <v>0</v>
      </c>
      <c r="K74" s="17">
        <f>'1 - Input'!$B$22*(H74-J74)</f>
        <v>846.47325856812847</v>
      </c>
      <c r="L74" s="17">
        <f t="shared" si="4"/>
        <v>2409.1931205400579</v>
      </c>
      <c r="M74" s="17">
        <f t="shared" si="5"/>
        <v>478942.28374929255</v>
      </c>
      <c r="N74" s="17">
        <f>IF('1 - Input'!$B$17=1,MAX(0,L74-D74),0)</f>
        <v>0</v>
      </c>
      <c r="O74" s="17">
        <f>IF('1 - Input'!$B$17=1,MAX(0,D74-L74),0)</f>
        <v>399.88687945994207</v>
      </c>
      <c r="P74" s="17">
        <f t="shared" si="6"/>
        <v>0</v>
      </c>
      <c r="Q74" s="17">
        <f>IF(AND(O74&gt;0,I74&gt;0),O74/(1-'1 - Input'!$B$22*P74),0)</f>
        <v>399.88687945994207</v>
      </c>
      <c r="R74" s="17">
        <f t="shared" si="7"/>
        <v>399.88687945994207</v>
      </c>
      <c r="S74" s="17">
        <f>'1 - Input'!$B$22*P74*R74</f>
        <v>0</v>
      </c>
      <c r="T74" s="17">
        <f t="shared" si="8"/>
        <v>399.88687945994207</v>
      </c>
      <c r="U74" s="17">
        <f t="shared" si="9"/>
        <v>0</v>
      </c>
      <c r="V74" s="17">
        <f t="shared" si="10"/>
        <v>44.653472415439424</v>
      </c>
      <c r="W74" s="17">
        <f t="shared" si="11"/>
        <v>430433.29728919006</v>
      </c>
      <c r="X74" s="17">
        <f t="shared" si="12"/>
        <v>478497.74339741719</v>
      </c>
      <c r="Y74" s="17">
        <f>IF(MOD(A74,12)=0,W74*'1 - Input'!$B$23,0)</f>
        <v>0</v>
      </c>
      <c r="Z74" s="17">
        <f t="shared" si="13"/>
        <v>430433.29728919006</v>
      </c>
      <c r="AA74" s="17">
        <f>IF(MOD(A74,12)=0,X74*(1-'1 - Input'!$B$23),X74)</f>
        <v>478497.74339741719</v>
      </c>
      <c r="AB74" s="17">
        <f>IF('1 - Input'!$B$17=1,MIN(L74,D74)+T74,L74)</f>
        <v>2809.08</v>
      </c>
      <c r="AC74" s="17">
        <f t="shared" si="47"/>
        <v>85111.560000000012</v>
      </c>
      <c r="AD74" s="17">
        <f t="shared" si="48"/>
        <v>27930.243396668975</v>
      </c>
      <c r="AE74" s="17">
        <f t="shared" si="49"/>
        <v>0</v>
      </c>
      <c r="AF74" s="17">
        <f t="shared" si="50"/>
        <v>447.84132899891375</v>
      </c>
      <c r="AG74" s="17">
        <f t="shared" si="51"/>
        <v>1821.6969536582787</v>
      </c>
      <c r="AH74" s="17">
        <f t="shared" si="52"/>
        <v>0</v>
      </c>
      <c r="AI74" s="15">
        <f t="shared" si="14"/>
        <v>0</v>
      </c>
      <c r="AK74" s="14">
        <v>31</v>
      </c>
      <c r="AL74" s="15">
        <f t="shared" si="15"/>
        <v>3</v>
      </c>
      <c r="AM74" s="16">
        <f>(1+INDEX('1 - Input'!$B$34:$E$63,AL74,'1 - Input'!$B$16))^(1/12)-1</f>
        <v>4.1219243192651689E-3</v>
      </c>
      <c r="AN74" s="17">
        <f>'1 - Input'!$B$7*(1+'1 - Input'!$B$12)^(AL74-1)</f>
        <v>2809.08</v>
      </c>
      <c r="AO74" s="17">
        <f t="shared" si="53"/>
        <v>432306.91416487552</v>
      </c>
      <c r="AP74" s="17">
        <f t="shared" si="54"/>
        <v>478942.28374929255</v>
      </c>
      <c r="AQ74" s="17">
        <f t="shared" si="16"/>
        <v>434088.85054775822</v>
      </c>
      <c r="AR74" s="17">
        <f>IF(AQ74&gt;0,'1 - Input'!$B$8/12*AQ74,0)</f>
        <v>3255.6663791081864</v>
      </c>
      <c r="AS74" s="17">
        <f t="shared" si="17"/>
        <v>430833.18416865001</v>
      </c>
      <c r="AT74" s="17">
        <f t="shared" si="18"/>
        <v>0</v>
      </c>
      <c r="AU74" s="17">
        <f>'1 - Input'!$B$22*(AR74-AT74)</f>
        <v>846.47325856812847</v>
      </c>
      <c r="AV74" s="17">
        <f t="shared" si="19"/>
        <v>2409.1931205400579</v>
      </c>
      <c r="AW74" s="17">
        <f t="shared" si="20"/>
        <v>478942.28374929255</v>
      </c>
      <c r="AX74" s="17">
        <f>IF('1 - Input'!$B$17=1,MAX(0,AV74-AN74),0)</f>
        <v>0</v>
      </c>
      <c r="AY74" s="17">
        <f>IF('1 - Input'!$B$17=1,MAX(0,AN74-AV74),0)</f>
        <v>399.88687945994207</v>
      </c>
      <c r="AZ74" s="17">
        <f t="shared" si="21"/>
        <v>0</v>
      </c>
      <c r="BA74" s="17">
        <f>IF(AND(AY74&gt;0,AS74&gt;0),AY74/(1-'1 - Input'!$B$22*AZ74),0)</f>
        <v>399.88687945994207</v>
      </c>
      <c r="BB74" s="17">
        <f t="shared" si="22"/>
        <v>399.88687945994207</v>
      </c>
      <c r="BC74" s="17">
        <f>'1 - Input'!$B$22*AZ74*BB74</f>
        <v>0</v>
      </c>
      <c r="BD74" s="17">
        <f t="shared" si="23"/>
        <v>399.88687945994207</v>
      </c>
      <c r="BE74" s="17">
        <f t="shared" si="24"/>
        <v>0</v>
      </c>
      <c r="BF74" s="17">
        <f t="shared" si="25"/>
        <v>44.653472415439424</v>
      </c>
      <c r="BG74" s="17">
        <f t="shared" si="26"/>
        <v>430433.29728919006</v>
      </c>
      <c r="BH74" s="17">
        <f t="shared" si="27"/>
        <v>478497.74339741719</v>
      </c>
      <c r="BI74" s="17">
        <f>IF(MOD(AK74,12)=0,BG74*'1 - Input'!$B$23,0)</f>
        <v>0</v>
      </c>
      <c r="BJ74" s="17">
        <f t="shared" si="28"/>
        <v>430433.29728919006</v>
      </c>
      <c r="BK74" s="17">
        <f>IF(MOD(AK74,12)=0,BH74*(1-'1 - Input'!$B$23),BH74)</f>
        <v>478497.74339741719</v>
      </c>
      <c r="BL74" s="17">
        <f>IF('1 - Input'!$B$17=1,MIN(AV74,AN74)+BD74,AV74)</f>
        <v>2809.08</v>
      </c>
      <c r="BM74" s="17">
        <f t="shared" si="55"/>
        <v>85111.560000000012</v>
      </c>
      <c r="BN74" s="17">
        <f t="shared" si="56"/>
        <v>27930.243396668975</v>
      </c>
      <c r="BO74" s="17">
        <f t="shared" si="57"/>
        <v>0</v>
      </c>
      <c r="BP74" s="17">
        <f t="shared" si="58"/>
        <v>447.84132899891375</v>
      </c>
      <c r="BQ74" s="17">
        <f t="shared" si="59"/>
        <v>1821.6969536582787</v>
      </c>
      <c r="BR74" s="17">
        <f t="shared" si="60"/>
        <v>0</v>
      </c>
      <c r="BS74" s="15">
        <f t="shared" si="29"/>
        <v>0</v>
      </c>
      <c r="BU74" s="14">
        <v>31</v>
      </c>
      <c r="BV74" s="15">
        <f t="shared" si="30"/>
        <v>3</v>
      </c>
      <c r="BW74" s="16">
        <f>(1+INDEX('1 - Input'!$B$34:$E$63,BV74,'1 - Input'!$B$16))^(1/12)-1</f>
        <v>4.1219243192651689E-3</v>
      </c>
      <c r="BX74" s="17">
        <f>'1 - Input'!$B$7*(1+'1 - Input'!$B$12)^(BV74-1)</f>
        <v>2809.08</v>
      </c>
      <c r="BY74" s="17">
        <f t="shared" si="61"/>
        <v>461036.43164668471</v>
      </c>
      <c r="BZ74" s="17">
        <f t="shared" si="62"/>
        <v>402449.03240000008</v>
      </c>
      <c r="CA74" s="17">
        <f t="shared" si="31"/>
        <v>462936.78892635641</v>
      </c>
      <c r="CB74" s="17">
        <f>IF(CA74&gt;0,'1 - Input'!$B$8/12*CA74,0)</f>
        <v>3472.0259169476731</v>
      </c>
      <c r="CC74" s="17">
        <f t="shared" si="32"/>
        <v>459464.76300940872</v>
      </c>
      <c r="CD74" s="17">
        <f t="shared" si="33"/>
        <v>3472.0259169476731</v>
      </c>
      <c r="CE74" s="17">
        <f>'1 - Input'!$B$22*(CB74-CD74)</f>
        <v>0</v>
      </c>
      <c r="CF74" s="17">
        <f t="shared" si="34"/>
        <v>3472.0259169476731</v>
      </c>
      <c r="CG74" s="17">
        <f t="shared" si="35"/>
        <v>398977.00648305239</v>
      </c>
      <c r="CH74" s="17">
        <f>IF('1 - Input'!$B$17=1,MAX(0,CF74-BX74),0)</f>
        <v>662.94591694767314</v>
      </c>
      <c r="CI74" s="17">
        <f>IF('1 - Input'!$B$17=1,MAX(0,BX74-CF74),0)</f>
        <v>0</v>
      </c>
      <c r="CJ74" s="17">
        <f t="shared" si="36"/>
        <v>0.13164830340888989</v>
      </c>
      <c r="CK74" s="17">
        <f>IF(AND(CI74&gt;0,CC74&gt;0),CI74/(1-'1 - Input'!$B$22*CJ74),0)</f>
        <v>0</v>
      </c>
      <c r="CL74" s="17">
        <f t="shared" si="37"/>
        <v>0</v>
      </c>
      <c r="CM74" s="17">
        <f>'1 - Input'!$B$22*CJ74*CL74</f>
        <v>0</v>
      </c>
      <c r="CN74" s="17">
        <f t="shared" si="38"/>
        <v>0</v>
      </c>
      <c r="CO74" s="17">
        <f t="shared" si="39"/>
        <v>0</v>
      </c>
      <c r="CP74" s="17">
        <f t="shared" si="40"/>
        <v>0</v>
      </c>
      <c r="CQ74" s="17">
        <f t="shared" si="41"/>
        <v>460127.7089263564</v>
      </c>
      <c r="CR74" s="17">
        <f t="shared" si="42"/>
        <v>399639.95240000007</v>
      </c>
      <c r="CS74" s="17">
        <f>IF(MOD(BU74,12)=0,CQ74*'1 - Input'!$B$23,0)</f>
        <v>0</v>
      </c>
      <c r="CT74" s="17">
        <f t="shared" si="43"/>
        <v>460127.7089263564</v>
      </c>
      <c r="CU74" s="17">
        <f>IF(MOD(BU74,12)=0,CR74*(1-'1 - Input'!$B$23),CR74)</f>
        <v>399639.95240000007</v>
      </c>
      <c r="CV74" s="17">
        <f>IF('1 - Input'!$B$17=1,MIN(CF74,BX74)+CN74,CF74)</f>
        <v>2809.08</v>
      </c>
      <c r="CW74" s="17">
        <f t="shared" si="63"/>
        <v>85111.560000000012</v>
      </c>
      <c r="CX74" s="17">
        <f t="shared" si="64"/>
        <v>0</v>
      </c>
      <c r="CY74" s="17">
        <f t="shared" si="65"/>
        <v>0</v>
      </c>
      <c r="CZ74" s="17">
        <f t="shared" si="66"/>
        <v>0</v>
      </c>
      <c r="DA74" s="17">
        <f t="shared" si="67"/>
        <v>1890.6356863563203</v>
      </c>
      <c r="DB74" s="17">
        <f t="shared" si="68"/>
        <v>0</v>
      </c>
      <c r="DC74" s="15">
        <f t="shared" si="44"/>
        <v>0</v>
      </c>
    </row>
    <row r="75" spans="1:107">
      <c r="A75" s="14">
        <v>32</v>
      </c>
      <c r="B75" s="15">
        <f t="shared" si="0"/>
        <v>3</v>
      </c>
      <c r="C75" s="16">
        <f>(1+INDEX('1 - Input'!$B$34:$E$63,B75,'1 - Input'!$B$16))^(1/12)-1</f>
        <v>4.1219243192651689E-3</v>
      </c>
      <c r="D75" s="17">
        <f>'1 - Input'!$B$7*(1+'1 - Input'!$B$12)^(B75-1)</f>
        <v>2809.08</v>
      </c>
      <c r="E75" s="17">
        <f t="shared" si="45"/>
        <v>430433.29728919006</v>
      </c>
      <c r="F75" s="17">
        <f t="shared" si="46"/>
        <v>478497.74339741719</v>
      </c>
      <c r="G75" s="17">
        <f t="shared" si="1"/>
        <v>432207.51076510787</v>
      </c>
      <c r="H75" s="17">
        <f>IF(G75&gt;0,'1 - Input'!$B$8/12*G75,0)</f>
        <v>3241.556330738309</v>
      </c>
      <c r="I75" s="17">
        <f t="shared" si="2"/>
        <v>428965.95443436957</v>
      </c>
      <c r="J75" s="17">
        <f t="shared" si="3"/>
        <v>0</v>
      </c>
      <c r="K75" s="17">
        <f>'1 - Input'!$B$22*(H75-J75)</f>
        <v>842.80464599196034</v>
      </c>
      <c r="L75" s="17">
        <f t="shared" si="4"/>
        <v>2398.7516847463485</v>
      </c>
      <c r="M75" s="17">
        <f t="shared" si="5"/>
        <v>478497.74339741719</v>
      </c>
      <c r="N75" s="17">
        <f>IF('1 - Input'!$B$17=1,MAX(0,L75-D75),0)</f>
        <v>0</v>
      </c>
      <c r="O75" s="17">
        <f>IF('1 - Input'!$B$17=1,MAX(0,D75-L75),0)</f>
        <v>410.32831525365145</v>
      </c>
      <c r="P75" s="17">
        <f t="shared" si="6"/>
        <v>0</v>
      </c>
      <c r="Q75" s="17">
        <f>IF(AND(O75&gt;0,I75&gt;0),O75/(1-'1 - Input'!$B$22*P75),0)</f>
        <v>410.32831525365145</v>
      </c>
      <c r="R75" s="17">
        <f t="shared" si="7"/>
        <v>410.32831525365145</v>
      </c>
      <c r="S75" s="17">
        <f>'1 - Input'!$B$22*P75*R75</f>
        <v>0</v>
      </c>
      <c r="T75" s="17">
        <f t="shared" si="8"/>
        <v>410.32831525365145</v>
      </c>
      <c r="U75" s="17">
        <f t="shared" si="9"/>
        <v>0</v>
      </c>
      <c r="V75" s="17">
        <f t="shared" si="10"/>
        <v>47.379740295488425</v>
      </c>
      <c r="W75" s="17">
        <f t="shared" si="11"/>
        <v>428555.62611911591</v>
      </c>
      <c r="X75" s="17">
        <f t="shared" si="12"/>
        <v>478040.03534186806</v>
      </c>
      <c r="Y75" s="17">
        <f>IF(MOD(A75,12)=0,W75*'1 - Input'!$B$23,0)</f>
        <v>0</v>
      </c>
      <c r="Z75" s="17">
        <f t="shared" si="13"/>
        <v>428555.62611911591</v>
      </c>
      <c r="AA75" s="17">
        <f>IF(MOD(A75,12)=0,X75*(1-'1 - Input'!$B$23),X75)</f>
        <v>478040.03534186806</v>
      </c>
      <c r="AB75" s="17">
        <f>IF('1 - Input'!$B$17=1,MIN(L75,D75)+T75,L75)</f>
        <v>2809.08</v>
      </c>
      <c r="AC75" s="17">
        <f t="shared" si="47"/>
        <v>87920.640000000014</v>
      </c>
      <c r="AD75" s="17">
        <f t="shared" si="48"/>
        <v>28773.048042660936</v>
      </c>
      <c r="AE75" s="17">
        <f t="shared" si="49"/>
        <v>0</v>
      </c>
      <c r="AF75" s="17">
        <f t="shared" si="50"/>
        <v>495.22106929440218</v>
      </c>
      <c r="AG75" s="17">
        <f t="shared" si="51"/>
        <v>1821.6969536582787</v>
      </c>
      <c r="AH75" s="17">
        <f t="shared" si="52"/>
        <v>0</v>
      </c>
      <c r="AI75" s="15">
        <f t="shared" si="14"/>
        <v>0</v>
      </c>
      <c r="AK75" s="14">
        <v>32</v>
      </c>
      <c r="AL75" s="15">
        <f t="shared" si="15"/>
        <v>3</v>
      </c>
      <c r="AM75" s="16">
        <f>(1+INDEX('1 - Input'!$B$34:$E$63,AL75,'1 - Input'!$B$16))^(1/12)-1</f>
        <v>4.1219243192651689E-3</v>
      </c>
      <c r="AN75" s="17">
        <f>'1 - Input'!$B$7*(1+'1 - Input'!$B$12)^(AL75-1)</f>
        <v>2809.08</v>
      </c>
      <c r="AO75" s="17">
        <f t="shared" si="53"/>
        <v>430433.29728919006</v>
      </c>
      <c r="AP75" s="17">
        <f t="shared" si="54"/>
        <v>478497.74339741719</v>
      </c>
      <c r="AQ75" s="17">
        <f t="shared" si="16"/>
        <v>432207.51076510787</v>
      </c>
      <c r="AR75" s="17">
        <f>IF(AQ75&gt;0,'1 - Input'!$B$8/12*AQ75,0)</f>
        <v>3241.556330738309</v>
      </c>
      <c r="AS75" s="17">
        <f t="shared" si="17"/>
        <v>428965.95443436957</v>
      </c>
      <c r="AT75" s="17">
        <f t="shared" si="18"/>
        <v>0</v>
      </c>
      <c r="AU75" s="17">
        <f>'1 - Input'!$B$22*(AR75-AT75)</f>
        <v>842.80464599196034</v>
      </c>
      <c r="AV75" s="17">
        <f t="shared" si="19"/>
        <v>2398.7516847463485</v>
      </c>
      <c r="AW75" s="17">
        <f t="shared" si="20"/>
        <v>478497.74339741719</v>
      </c>
      <c r="AX75" s="17">
        <f>IF('1 - Input'!$B$17=1,MAX(0,AV75-AN75),0)</f>
        <v>0</v>
      </c>
      <c r="AY75" s="17">
        <f>IF('1 - Input'!$B$17=1,MAX(0,AN75-AV75),0)</f>
        <v>410.32831525365145</v>
      </c>
      <c r="AZ75" s="17">
        <f t="shared" si="21"/>
        <v>0</v>
      </c>
      <c r="BA75" s="17">
        <f>IF(AND(AY75&gt;0,AS75&gt;0),AY75/(1-'1 - Input'!$B$22*AZ75),0)</f>
        <v>410.32831525365145</v>
      </c>
      <c r="BB75" s="17">
        <f t="shared" si="22"/>
        <v>410.32831525365145</v>
      </c>
      <c r="BC75" s="17">
        <f>'1 - Input'!$B$22*AZ75*BB75</f>
        <v>0</v>
      </c>
      <c r="BD75" s="17">
        <f t="shared" si="23"/>
        <v>410.32831525365145</v>
      </c>
      <c r="BE75" s="17">
        <f t="shared" si="24"/>
        <v>0</v>
      </c>
      <c r="BF75" s="17">
        <f t="shared" si="25"/>
        <v>47.379740295488425</v>
      </c>
      <c r="BG75" s="17">
        <f t="shared" si="26"/>
        <v>428555.62611911591</v>
      </c>
      <c r="BH75" s="17">
        <f t="shared" si="27"/>
        <v>478040.03534186806</v>
      </c>
      <c r="BI75" s="17">
        <f>IF(MOD(AK75,12)=0,BG75*'1 - Input'!$B$23,0)</f>
        <v>0</v>
      </c>
      <c r="BJ75" s="17">
        <f t="shared" si="28"/>
        <v>428555.62611911591</v>
      </c>
      <c r="BK75" s="17">
        <f>IF(MOD(AK75,12)=0,BH75*(1-'1 - Input'!$B$23),BH75)</f>
        <v>478040.03534186806</v>
      </c>
      <c r="BL75" s="17">
        <f>IF('1 - Input'!$B$17=1,MIN(AV75,AN75)+BD75,AV75)</f>
        <v>2809.08</v>
      </c>
      <c r="BM75" s="17">
        <f t="shared" si="55"/>
        <v>87920.640000000014</v>
      </c>
      <c r="BN75" s="17">
        <f t="shared" si="56"/>
        <v>28773.048042660936</v>
      </c>
      <c r="BO75" s="17">
        <f t="shared" si="57"/>
        <v>0</v>
      </c>
      <c r="BP75" s="17">
        <f t="shared" si="58"/>
        <v>495.22106929440218</v>
      </c>
      <c r="BQ75" s="17">
        <f t="shared" si="59"/>
        <v>1821.6969536582787</v>
      </c>
      <c r="BR75" s="17">
        <f t="shared" si="60"/>
        <v>0</v>
      </c>
      <c r="BS75" s="15">
        <f t="shared" si="29"/>
        <v>0</v>
      </c>
      <c r="BU75" s="14">
        <v>32</v>
      </c>
      <c r="BV75" s="15">
        <f t="shared" si="30"/>
        <v>3</v>
      </c>
      <c r="BW75" s="16">
        <f>(1+INDEX('1 - Input'!$B$34:$E$63,BV75,'1 - Input'!$B$16))^(1/12)-1</f>
        <v>4.1219243192651689E-3</v>
      </c>
      <c r="BX75" s="17">
        <f>'1 - Input'!$B$7*(1+'1 - Input'!$B$12)^(BV75-1)</f>
        <v>2809.08</v>
      </c>
      <c r="BY75" s="17">
        <f t="shared" si="61"/>
        <v>460127.7089263564</v>
      </c>
      <c r="BZ75" s="17">
        <f t="shared" si="62"/>
        <v>399639.95240000007</v>
      </c>
      <c r="CA75" s="17">
        <f t="shared" si="31"/>
        <v>462024.32051974774</v>
      </c>
      <c r="CB75" s="17">
        <f>IF(CA75&gt;0,'1 - Input'!$B$8/12*CA75,0)</f>
        <v>3465.1824038981081</v>
      </c>
      <c r="CC75" s="17">
        <f t="shared" si="32"/>
        <v>458559.13811584964</v>
      </c>
      <c r="CD75" s="17">
        <f t="shared" si="33"/>
        <v>3465.1824038981081</v>
      </c>
      <c r="CE75" s="17">
        <f>'1 - Input'!$B$22*(CB75-CD75)</f>
        <v>0</v>
      </c>
      <c r="CF75" s="17">
        <f t="shared" si="34"/>
        <v>3465.1824038981081</v>
      </c>
      <c r="CG75" s="17">
        <f t="shared" si="35"/>
        <v>396174.76999610197</v>
      </c>
      <c r="CH75" s="17">
        <f>IF('1 - Input'!$B$17=1,MAX(0,CF75-BX75),0)</f>
        <v>656.10240389810815</v>
      </c>
      <c r="CI75" s="17">
        <f>IF('1 - Input'!$B$17=1,MAX(0,BX75-CF75),0)</f>
        <v>0</v>
      </c>
      <c r="CJ75" s="17">
        <f t="shared" si="36"/>
        <v>0.13604432435056391</v>
      </c>
      <c r="CK75" s="17">
        <f>IF(AND(CI75&gt;0,CC75&gt;0),CI75/(1-'1 - Input'!$B$22*CJ75),0)</f>
        <v>0</v>
      </c>
      <c r="CL75" s="17">
        <f t="shared" si="37"/>
        <v>0</v>
      </c>
      <c r="CM75" s="17">
        <f>'1 - Input'!$B$22*CJ75*CL75</f>
        <v>0</v>
      </c>
      <c r="CN75" s="17">
        <f t="shared" si="38"/>
        <v>0</v>
      </c>
      <c r="CO75" s="17">
        <f t="shared" si="39"/>
        <v>0</v>
      </c>
      <c r="CP75" s="17">
        <f t="shared" si="40"/>
        <v>0</v>
      </c>
      <c r="CQ75" s="17">
        <f t="shared" si="41"/>
        <v>459215.24051974772</v>
      </c>
      <c r="CR75" s="17">
        <f t="shared" si="42"/>
        <v>396830.87240000005</v>
      </c>
      <c r="CS75" s="17">
        <f>IF(MOD(BU75,12)=0,CQ75*'1 - Input'!$B$23,0)</f>
        <v>0</v>
      </c>
      <c r="CT75" s="17">
        <f t="shared" si="43"/>
        <v>459215.24051974772</v>
      </c>
      <c r="CU75" s="17">
        <f>IF(MOD(BU75,12)=0,CR75*(1-'1 - Input'!$B$23),CR75)</f>
        <v>396830.87240000005</v>
      </c>
      <c r="CV75" s="17">
        <f>IF('1 - Input'!$B$17=1,MIN(CF75,BX75)+CN75,CF75)</f>
        <v>2809.08</v>
      </c>
      <c r="CW75" s="17">
        <f t="shared" si="63"/>
        <v>87920.640000000014</v>
      </c>
      <c r="CX75" s="17">
        <f t="shared" si="64"/>
        <v>0</v>
      </c>
      <c r="CY75" s="17">
        <f t="shared" si="65"/>
        <v>0</v>
      </c>
      <c r="CZ75" s="17">
        <f t="shared" si="66"/>
        <v>0</v>
      </c>
      <c r="DA75" s="17">
        <f t="shared" si="67"/>
        <v>1890.6356863563203</v>
      </c>
      <c r="DB75" s="17">
        <f t="shared" si="68"/>
        <v>0</v>
      </c>
      <c r="DC75" s="15">
        <f t="shared" si="44"/>
        <v>0</v>
      </c>
    </row>
    <row r="76" spans="1:107">
      <c r="A76" s="14">
        <v>33</v>
      </c>
      <c r="B76" s="15">
        <f t="shared" si="0"/>
        <v>3</v>
      </c>
      <c r="C76" s="16">
        <f>(1+INDEX('1 - Input'!$B$34:$E$63,B76,'1 - Input'!$B$16))^(1/12)-1</f>
        <v>4.1219243192651689E-3</v>
      </c>
      <c r="D76" s="17">
        <f>'1 - Input'!$B$7*(1+'1 - Input'!$B$12)^(B76-1)</f>
        <v>2809.08</v>
      </c>
      <c r="E76" s="17">
        <f t="shared" si="45"/>
        <v>428555.62611911591</v>
      </c>
      <c r="F76" s="17">
        <f t="shared" si="46"/>
        <v>478040.03534186806</v>
      </c>
      <c r="G76" s="17">
        <f t="shared" si="1"/>
        <v>430322.09997657419</v>
      </c>
      <c r="H76" s="17">
        <f>IF(G76&gt;0,'1 - Input'!$B$8/12*G76,0)</f>
        <v>3227.4157498243062</v>
      </c>
      <c r="I76" s="17">
        <f t="shared" si="2"/>
        <v>427094.68422674987</v>
      </c>
      <c r="J76" s="17">
        <f t="shared" si="3"/>
        <v>0</v>
      </c>
      <c r="K76" s="17">
        <f>'1 - Input'!$B$22*(H76-J76)</f>
        <v>839.12809495431964</v>
      </c>
      <c r="L76" s="17">
        <f t="shared" si="4"/>
        <v>2388.2876548699865</v>
      </c>
      <c r="M76" s="17">
        <f t="shared" si="5"/>
        <v>478040.03534186806</v>
      </c>
      <c r="N76" s="17">
        <f>IF('1 - Input'!$B$17=1,MAX(0,L76-D76),0)</f>
        <v>0</v>
      </c>
      <c r="O76" s="17">
        <f>IF('1 - Input'!$B$17=1,MAX(0,D76-L76),0)</f>
        <v>420.79234513001347</v>
      </c>
      <c r="P76" s="17">
        <f t="shared" si="6"/>
        <v>0</v>
      </c>
      <c r="Q76" s="17">
        <f>IF(AND(O76&gt;0,I76&gt;0),O76/(1-'1 - Input'!$B$22*P76),0)</f>
        <v>420.79234513001347</v>
      </c>
      <c r="R76" s="17">
        <f t="shared" si="7"/>
        <v>420.79234513001347</v>
      </c>
      <c r="S76" s="17">
        <f>'1 - Input'!$B$22*P76*R76</f>
        <v>0</v>
      </c>
      <c r="T76" s="17">
        <f t="shared" si="8"/>
        <v>420.79234513001347</v>
      </c>
      <c r="U76" s="17">
        <f t="shared" si="9"/>
        <v>0</v>
      </c>
      <c r="V76" s="17">
        <f t="shared" si="10"/>
        <v>50.193586014807799</v>
      </c>
      <c r="W76" s="17">
        <f t="shared" si="11"/>
        <v>426673.89188161987</v>
      </c>
      <c r="X76" s="17">
        <f t="shared" si="12"/>
        <v>477569.04941072327</v>
      </c>
      <c r="Y76" s="17">
        <f>IF(MOD(A76,12)=0,W76*'1 - Input'!$B$23,0)</f>
        <v>0</v>
      </c>
      <c r="Z76" s="17">
        <f t="shared" si="13"/>
        <v>426673.89188161987</v>
      </c>
      <c r="AA76" s="17">
        <f>IF(MOD(A76,12)=0,X76*(1-'1 - Input'!$B$23),X76)</f>
        <v>477569.04941072327</v>
      </c>
      <c r="AB76" s="17">
        <f>IF('1 - Input'!$B$17=1,MIN(L76,D76)+T76,L76)</f>
        <v>2809.08</v>
      </c>
      <c r="AC76" s="17">
        <f t="shared" si="47"/>
        <v>90729.720000000016</v>
      </c>
      <c r="AD76" s="17">
        <f t="shared" si="48"/>
        <v>29612.176137615254</v>
      </c>
      <c r="AE76" s="17">
        <f t="shared" si="49"/>
        <v>0</v>
      </c>
      <c r="AF76" s="17">
        <f t="shared" si="50"/>
        <v>545.41465530920993</v>
      </c>
      <c r="AG76" s="17">
        <f t="shared" si="51"/>
        <v>1821.6969536582787</v>
      </c>
      <c r="AH76" s="17">
        <f t="shared" si="52"/>
        <v>0</v>
      </c>
      <c r="AI76" s="15">
        <f t="shared" si="14"/>
        <v>0</v>
      </c>
      <c r="AK76" s="14">
        <v>33</v>
      </c>
      <c r="AL76" s="15">
        <f t="shared" si="15"/>
        <v>3</v>
      </c>
      <c r="AM76" s="16">
        <f>(1+INDEX('1 - Input'!$B$34:$E$63,AL76,'1 - Input'!$B$16))^(1/12)-1</f>
        <v>4.1219243192651689E-3</v>
      </c>
      <c r="AN76" s="17">
        <f>'1 - Input'!$B$7*(1+'1 - Input'!$B$12)^(AL76-1)</f>
        <v>2809.08</v>
      </c>
      <c r="AO76" s="17">
        <f t="shared" si="53"/>
        <v>428555.62611911591</v>
      </c>
      <c r="AP76" s="17">
        <f t="shared" si="54"/>
        <v>478040.03534186806</v>
      </c>
      <c r="AQ76" s="17">
        <f t="shared" si="16"/>
        <v>430322.09997657419</v>
      </c>
      <c r="AR76" s="17">
        <f>IF(AQ76&gt;0,'1 - Input'!$B$8/12*AQ76,0)</f>
        <v>3227.4157498243062</v>
      </c>
      <c r="AS76" s="17">
        <f t="shared" si="17"/>
        <v>427094.68422674987</v>
      </c>
      <c r="AT76" s="17">
        <f t="shared" si="18"/>
        <v>0</v>
      </c>
      <c r="AU76" s="17">
        <f>'1 - Input'!$B$22*(AR76-AT76)</f>
        <v>839.12809495431964</v>
      </c>
      <c r="AV76" s="17">
        <f t="shared" si="19"/>
        <v>2388.2876548699865</v>
      </c>
      <c r="AW76" s="17">
        <f t="shared" si="20"/>
        <v>478040.03534186806</v>
      </c>
      <c r="AX76" s="17">
        <f>IF('1 - Input'!$B$17=1,MAX(0,AV76-AN76),0)</f>
        <v>0</v>
      </c>
      <c r="AY76" s="17">
        <f>IF('1 - Input'!$B$17=1,MAX(0,AN76-AV76),0)</f>
        <v>420.79234513001347</v>
      </c>
      <c r="AZ76" s="17">
        <f t="shared" si="21"/>
        <v>0</v>
      </c>
      <c r="BA76" s="17">
        <f>IF(AND(AY76&gt;0,AS76&gt;0),AY76/(1-'1 - Input'!$B$22*AZ76),0)</f>
        <v>420.79234513001347</v>
      </c>
      <c r="BB76" s="17">
        <f t="shared" si="22"/>
        <v>420.79234513001347</v>
      </c>
      <c r="BC76" s="17">
        <f>'1 - Input'!$B$22*AZ76*BB76</f>
        <v>0</v>
      </c>
      <c r="BD76" s="17">
        <f t="shared" si="23"/>
        <v>420.79234513001347</v>
      </c>
      <c r="BE76" s="17">
        <f t="shared" si="24"/>
        <v>0</v>
      </c>
      <c r="BF76" s="17">
        <f t="shared" si="25"/>
        <v>50.193586014807799</v>
      </c>
      <c r="BG76" s="17">
        <f t="shared" si="26"/>
        <v>426673.89188161987</v>
      </c>
      <c r="BH76" s="17">
        <f t="shared" si="27"/>
        <v>477569.04941072327</v>
      </c>
      <c r="BI76" s="17">
        <f>IF(MOD(AK76,12)=0,BG76*'1 - Input'!$B$23,0)</f>
        <v>0</v>
      </c>
      <c r="BJ76" s="17">
        <f t="shared" si="28"/>
        <v>426673.89188161987</v>
      </c>
      <c r="BK76" s="17">
        <f>IF(MOD(AK76,12)=0,BH76*(1-'1 - Input'!$B$23),BH76)</f>
        <v>477569.04941072327</v>
      </c>
      <c r="BL76" s="17">
        <f>IF('1 - Input'!$B$17=1,MIN(AV76,AN76)+BD76,AV76)</f>
        <v>2809.08</v>
      </c>
      <c r="BM76" s="17">
        <f t="shared" si="55"/>
        <v>90729.720000000016</v>
      </c>
      <c r="BN76" s="17">
        <f t="shared" si="56"/>
        <v>29612.176137615254</v>
      </c>
      <c r="BO76" s="17">
        <f t="shared" si="57"/>
        <v>0</v>
      </c>
      <c r="BP76" s="17">
        <f t="shared" si="58"/>
        <v>545.41465530920993</v>
      </c>
      <c r="BQ76" s="17">
        <f t="shared" si="59"/>
        <v>1821.6969536582787</v>
      </c>
      <c r="BR76" s="17">
        <f t="shared" si="60"/>
        <v>0</v>
      </c>
      <c r="BS76" s="15">
        <f t="shared" si="29"/>
        <v>0</v>
      </c>
      <c r="BU76" s="14">
        <v>33</v>
      </c>
      <c r="BV76" s="15">
        <f t="shared" si="30"/>
        <v>3</v>
      </c>
      <c r="BW76" s="16">
        <f>(1+INDEX('1 - Input'!$B$34:$E$63,BV76,'1 - Input'!$B$16))^(1/12)-1</f>
        <v>4.1219243192651689E-3</v>
      </c>
      <c r="BX76" s="17">
        <f>'1 - Input'!$B$7*(1+'1 - Input'!$B$12)^(BV76-1)</f>
        <v>2809.08</v>
      </c>
      <c r="BY76" s="17">
        <f t="shared" si="61"/>
        <v>459215.24051974772</v>
      </c>
      <c r="BZ76" s="17">
        <f t="shared" si="62"/>
        <v>396830.87240000005</v>
      </c>
      <c r="CA76" s="17">
        <f t="shared" si="31"/>
        <v>461108.09098742326</v>
      </c>
      <c r="CB76" s="17">
        <f>IF(CA76&gt;0,'1 - Input'!$B$8/12*CA76,0)</f>
        <v>3458.3106824056745</v>
      </c>
      <c r="CC76" s="17">
        <f t="shared" si="32"/>
        <v>457649.7803050176</v>
      </c>
      <c r="CD76" s="17">
        <f t="shared" si="33"/>
        <v>3458.3106824056745</v>
      </c>
      <c r="CE76" s="17">
        <f>'1 - Input'!$B$22*(CB76-CD76)</f>
        <v>0</v>
      </c>
      <c r="CF76" s="17">
        <f t="shared" si="34"/>
        <v>3458.3106824056745</v>
      </c>
      <c r="CG76" s="17">
        <f t="shared" si="35"/>
        <v>393372.56171759439</v>
      </c>
      <c r="CH76" s="17">
        <f>IF('1 - Input'!$B$17=1,MAX(0,CF76-BX76),0)</f>
        <v>649.23068240567454</v>
      </c>
      <c r="CI76" s="17">
        <f>IF('1 - Input'!$B$17=1,MAX(0,BX76-CF76),0)</f>
        <v>0</v>
      </c>
      <c r="CJ76" s="17">
        <f t="shared" si="36"/>
        <v>0.14045067069535855</v>
      </c>
      <c r="CK76" s="17">
        <f>IF(AND(CI76&gt;0,CC76&gt;0),CI76/(1-'1 - Input'!$B$22*CJ76),0)</f>
        <v>0</v>
      </c>
      <c r="CL76" s="17">
        <f t="shared" si="37"/>
        <v>0</v>
      </c>
      <c r="CM76" s="17">
        <f>'1 - Input'!$B$22*CJ76*CL76</f>
        <v>0</v>
      </c>
      <c r="CN76" s="17">
        <f t="shared" si="38"/>
        <v>0</v>
      </c>
      <c r="CO76" s="17">
        <f t="shared" si="39"/>
        <v>0</v>
      </c>
      <c r="CP76" s="17">
        <f t="shared" si="40"/>
        <v>0</v>
      </c>
      <c r="CQ76" s="17">
        <f t="shared" si="41"/>
        <v>458299.0109874233</v>
      </c>
      <c r="CR76" s="17">
        <f t="shared" si="42"/>
        <v>394021.79240000009</v>
      </c>
      <c r="CS76" s="17">
        <f>IF(MOD(BU76,12)=0,CQ76*'1 - Input'!$B$23,0)</f>
        <v>0</v>
      </c>
      <c r="CT76" s="17">
        <f t="shared" si="43"/>
        <v>458299.0109874233</v>
      </c>
      <c r="CU76" s="17">
        <f>IF(MOD(BU76,12)=0,CR76*(1-'1 - Input'!$B$23),CR76)</f>
        <v>394021.79240000009</v>
      </c>
      <c r="CV76" s="17">
        <f>IF('1 - Input'!$B$17=1,MIN(CF76,BX76)+CN76,CF76)</f>
        <v>2809.08</v>
      </c>
      <c r="CW76" s="17">
        <f t="shared" si="63"/>
        <v>90729.720000000016</v>
      </c>
      <c r="CX76" s="17">
        <f t="shared" si="64"/>
        <v>0</v>
      </c>
      <c r="CY76" s="17">
        <f t="shared" si="65"/>
        <v>0</v>
      </c>
      <c r="CZ76" s="17">
        <f t="shared" si="66"/>
        <v>0</v>
      </c>
      <c r="DA76" s="17">
        <f t="shared" si="67"/>
        <v>1890.6356863563203</v>
      </c>
      <c r="DB76" s="17">
        <f t="shared" si="68"/>
        <v>0</v>
      </c>
      <c r="DC76" s="15">
        <f t="shared" si="44"/>
        <v>0</v>
      </c>
    </row>
    <row r="77" spans="1:107">
      <c r="A77" s="14">
        <v>34</v>
      </c>
      <c r="B77" s="15">
        <f t="shared" si="0"/>
        <v>3</v>
      </c>
      <c r="C77" s="16">
        <f>(1+INDEX('1 - Input'!$B$34:$E$63,B77,'1 - Input'!$B$16))^(1/12)-1</f>
        <v>4.1219243192651689E-3</v>
      </c>
      <c r="D77" s="17">
        <f>'1 - Input'!$B$7*(1+'1 - Input'!$B$12)^(B77-1)</f>
        <v>2809.08</v>
      </c>
      <c r="E77" s="17">
        <f t="shared" si="45"/>
        <v>426673.89188161987</v>
      </c>
      <c r="F77" s="17">
        <f t="shared" si="46"/>
        <v>477569.04941072327</v>
      </c>
      <c r="G77" s="17">
        <f t="shared" si="1"/>
        <v>428432.60937296227</v>
      </c>
      <c r="H77" s="17">
        <f>IF(G77&gt;0,'1 - Input'!$B$8/12*G77,0)</f>
        <v>3213.2445702972168</v>
      </c>
      <c r="I77" s="17">
        <f t="shared" si="2"/>
        <v>425219.36480266508</v>
      </c>
      <c r="J77" s="17">
        <f t="shared" si="3"/>
        <v>0</v>
      </c>
      <c r="K77" s="17">
        <f>'1 - Input'!$B$22*(H77-J77)</f>
        <v>835.44358827727638</v>
      </c>
      <c r="L77" s="17">
        <f t="shared" si="4"/>
        <v>2377.8009820199404</v>
      </c>
      <c r="M77" s="17">
        <f t="shared" si="5"/>
        <v>477569.04941072327</v>
      </c>
      <c r="N77" s="17">
        <f>IF('1 - Input'!$B$17=1,MAX(0,L77-D77),0)</f>
        <v>0</v>
      </c>
      <c r="O77" s="17">
        <f>IF('1 - Input'!$B$17=1,MAX(0,D77-L77),0)</f>
        <v>431.27901798005951</v>
      </c>
      <c r="P77" s="17">
        <f t="shared" si="6"/>
        <v>0</v>
      </c>
      <c r="Q77" s="17">
        <f>IF(AND(O77&gt;0,I77&gt;0),O77/(1-'1 - Input'!$B$22*P77),0)</f>
        <v>431.27901798005951</v>
      </c>
      <c r="R77" s="17">
        <f t="shared" si="7"/>
        <v>431.27901798005951</v>
      </c>
      <c r="S77" s="17">
        <f>'1 - Input'!$B$22*P77*R77</f>
        <v>0</v>
      </c>
      <c r="T77" s="17">
        <f t="shared" si="8"/>
        <v>431.27901798005951</v>
      </c>
      <c r="U77" s="17">
        <f t="shared" si="9"/>
        <v>0</v>
      </c>
      <c r="V77" s="17">
        <f t="shared" si="10"/>
        <v>53.095701743985259</v>
      </c>
      <c r="W77" s="17">
        <f t="shared" si="11"/>
        <v>424788.08578468504</v>
      </c>
      <c r="X77" s="17">
        <f t="shared" si="12"/>
        <v>477084.67469099921</v>
      </c>
      <c r="Y77" s="17">
        <f>IF(MOD(A77,12)=0,W77*'1 - Input'!$B$23,0)</f>
        <v>0</v>
      </c>
      <c r="Z77" s="17">
        <f t="shared" si="13"/>
        <v>424788.08578468504</v>
      </c>
      <c r="AA77" s="17">
        <f>IF(MOD(A77,12)=0,X77*(1-'1 - Input'!$B$23),X77)</f>
        <v>477084.67469099921</v>
      </c>
      <c r="AB77" s="17">
        <f>IF('1 - Input'!$B$17=1,MIN(L77,D77)+T77,L77)</f>
        <v>2809.08</v>
      </c>
      <c r="AC77" s="17">
        <f t="shared" si="47"/>
        <v>93538.800000000017</v>
      </c>
      <c r="AD77" s="17">
        <f t="shared" si="48"/>
        <v>30447.619725892531</v>
      </c>
      <c r="AE77" s="17">
        <f t="shared" si="49"/>
        <v>0</v>
      </c>
      <c r="AF77" s="17">
        <f t="shared" si="50"/>
        <v>598.51035705319521</v>
      </c>
      <c r="AG77" s="17">
        <f t="shared" si="51"/>
        <v>1821.6969536582787</v>
      </c>
      <c r="AH77" s="17">
        <f t="shared" si="52"/>
        <v>0</v>
      </c>
      <c r="AI77" s="15">
        <f t="shared" si="14"/>
        <v>0</v>
      </c>
      <c r="AK77" s="14">
        <v>34</v>
      </c>
      <c r="AL77" s="15">
        <f t="shared" si="15"/>
        <v>3</v>
      </c>
      <c r="AM77" s="16">
        <f>(1+INDEX('1 - Input'!$B$34:$E$63,AL77,'1 - Input'!$B$16))^(1/12)-1</f>
        <v>4.1219243192651689E-3</v>
      </c>
      <c r="AN77" s="17">
        <f>'1 - Input'!$B$7*(1+'1 - Input'!$B$12)^(AL77-1)</f>
        <v>2809.08</v>
      </c>
      <c r="AO77" s="17">
        <f t="shared" si="53"/>
        <v>426673.89188161987</v>
      </c>
      <c r="AP77" s="17">
        <f t="shared" si="54"/>
        <v>477569.04941072327</v>
      </c>
      <c r="AQ77" s="17">
        <f t="shared" si="16"/>
        <v>428432.60937296227</v>
      </c>
      <c r="AR77" s="17">
        <f>IF(AQ77&gt;0,'1 - Input'!$B$8/12*AQ77,0)</f>
        <v>3213.2445702972168</v>
      </c>
      <c r="AS77" s="17">
        <f t="shared" si="17"/>
        <v>425219.36480266508</v>
      </c>
      <c r="AT77" s="17">
        <f t="shared" si="18"/>
        <v>0</v>
      </c>
      <c r="AU77" s="17">
        <f>'1 - Input'!$B$22*(AR77-AT77)</f>
        <v>835.44358827727638</v>
      </c>
      <c r="AV77" s="17">
        <f t="shared" si="19"/>
        <v>2377.8009820199404</v>
      </c>
      <c r="AW77" s="17">
        <f t="shared" si="20"/>
        <v>477569.04941072327</v>
      </c>
      <c r="AX77" s="17">
        <f>IF('1 - Input'!$B$17=1,MAX(0,AV77-AN77),0)</f>
        <v>0</v>
      </c>
      <c r="AY77" s="17">
        <f>IF('1 - Input'!$B$17=1,MAX(0,AN77-AV77),0)</f>
        <v>431.27901798005951</v>
      </c>
      <c r="AZ77" s="17">
        <f t="shared" si="21"/>
        <v>0</v>
      </c>
      <c r="BA77" s="17">
        <f>IF(AND(AY77&gt;0,AS77&gt;0),AY77/(1-'1 - Input'!$B$22*AZ77),0)</f>
        <v>431.27901798005951</v>
      </c>
      <c r="BB77" s="17">
        <f t="shared" si="22"/>
        <v>431.27901798005951</v>
      </c>
      <c r="BC77" s="17">
        <f>'1 - Input'!$B$22*AZ77*BB77</f>
        <v>0</v>
      </c>
      <c r="BD77" s="17">
        <f t="shared" si="23"/>
        <v>431.27901798005951</v>
      </c>
      <c r="BE77" s="17">
        <f t="shared" si="24"/>
        <v>0</v>
      </c>
      <c r="BF77" s="17">
        <f t="shared" si="25"/>
        <v>53.095701743985259</v>
      </c>
      <c r="BG77" s="17">
        <f t="shared" si="26"/>
        <v>424788.08578468504</v>
      </c>
      <c r="BH77" s="17">
        <f t="shared" si="27"/>
        <v>477084.67469099921</v>
      </c>
      <c r="BI77" s="17">
        <f>IF(MOD(AK77,12)=0,BG77*'1 - Input'!$B$23,0)</f>
        <v>0</v>
      </c>
      <c r="BJ77" s="17">
        <f t="shared" si="28"/>
        <v>424788.08578468504</v>
      </c>
      <c r="BK77" s="17">
        <f>IF(MOD(AK77,12)=0,BH77*(1-'1 - Input'!$B$23),BH77)</f>
        <v>477084.67469099921</v>
      </c>
      <c r="BL77" s="17">
        <f>IF('1 - Input'!$B$17=1,MIN(AV77,AN77)+BD77,AV77)</f>
        <v>2809.08</v>
      </c>
      <c r="BM77" s="17">
        <f t="shared" si="55"/>
        <v>93538.800000000017</v>
      </c>
      <c r="BN77" s="17">
        <f t="shared" si="56"/>
        <v>30447.619725892531</v>
      </c>
      <c r="BO77" s="17">
        <f t="shared" si="57"/>
        <v>0</v>
      </c>
      <c r="BP77" s="17">
        <f t="shared" si="58"/>
        <v>598.51035705319521</v>
      </c>
      <c r="BQ77" s="17">
        <f t="shared" si="59"/>
        <v>1821.6969536582787</v>
      </c>
      <c r="BR77" s="17">
        <f t="shared" si="60"/>
        <v>0</v>
      </c>
      <c r="BS77" s="15">
        <f t="shared" si="29"/>
        <v>0</v>
      </c>
      <c r="BU77" s="14">
        <v>34</v>
      </c>
      <c r="BV77" s="15">
        <f t="shared" si="30"/>
        <v>3</v>
      </c>
      <c r="BW77" s="16">
        <f>(1+INDEX('1 - Input'!$B$34:$E$63,BV77,'1 - Input'!$B$16))^(1/12)-1</f>
        <v>4.1219243192651689E-3</v>
      </c>
      <c r="BX77" s="17">
        <f>'1 - Input'!$B$7*(1+'1 - Input'!$B$12)^(BV77-1)</f>
        <v>2809.08</v>
      </c>
      <c r="BY77" s="17">
        <f t="shared" si="61"/>
        <v>458299.0109874233</v>
      </c>
      <c r="BZ77" s="17">
        <f t="shared" si="62"/>
        <v>394021.79240000009</v>
      </c>
      <c r="CA77" s="17">
        <f t="shared" si="31"/>
        <v>460188.08482630755</v>
      </c>
      <c r="CB77" s="17">
        <f>IF(CA77&gt;0,'1 - Input'!$B$8/12*CA77,0)</f>
        <v>3451.4106361973063</v>
      </c>
      <c r="CC77" s="17">
        <f t="shared" si="32"/>
        <v>456736.67419011024</v>
      </c>
      <c r="CD77" s="17">
        <f t="shared" si="33"/>
        <v>3451.4106361973063</v>
      </c>
      <c r="CE77" s="17">
        <f>'1 - Input'!$B$22*(CB77-CD77)</f>
        <v>0</v>
      </c>
      <c r="CF77" s="17">
        <f t="shared" si="34"/>
        <v>3451.4106361973063</v>
      </c>
      <c r="CG77" s="17">
        <f t="shared" si="35"/>
        <v>390570.38176380278</v>
      </c>
      <c r="CH77" s="17">
        <f>IF('1 - Input'!$B$17=1,MAX(0,CF77-BX77),0)</f>
        <v>642.33063619730638</v>
      </c>
      <c r="CI77" s="17">
        <f>IF('1 - Input'!$B$17=1,MAX(0,BX77-CF77),0)</f>
        <v>0</v>
      </c>
      <c r="CJ77" s="17">
        <f t="shared" si="36"/>
        <v>0.1448674830932597</v>
      </c>
      <c r="CK77" s="17">
        <f>IF(AND(CI77&gt;0,CC77&gt;0),CI77/(1-'1 - Input'!$B$22*CJ77),0)</f>
        <v>0</v>
      </c>
      <c r="CL77" s="17">
        <f t="shared" si="37"/>
        <v>0</v>
      </c>
      <c r="CM77" s="17">
        <f>'1 - Input'!$B$22*CJ77*CL77</f>
        <v>0</v>
      </c>
      <c r="CN77" s="17">
        <f t="shared" si="38"/>
        <v>0</v>
      </c>
      <c r="CO77" s="17">
        <f t="shared" si="39"/>
        <v>0</v>
      </c>
      <c r="CP77" s="17">
        <f t="shared" si="40"/>
        <v>0</v>
      </c>
      <c r="CQ77" s="17">
        <f t="shared" si="41"/>
        <v>457379.00482630753</v>
      </c>
      <c r="CR77" s="17">
        <f t="shared" si="42"/>
        <v>391212.71240000008</v>
      </c>
      <c r="CS77" s="17">
        <f>IF(MOD(BU77,12)=0,CQ77*'1 - Input'!$B$23,0)</f>
        <v>0</v>
      </c>
      <c r="CT77" s="17">
        <f t="shared" si="43"/>
        <v>457379.00482630753</v>
      </c>
      <c r="CU77" s="17">
        <f>IF(MOD(BU77,12)=0,CR77*(1-'1 - Input'!$B$23),CR77)</f>
        <v>391212.71240000008</v>
      </c>
      <c r="CV77" s="17">
        <f>IF('1 - Input'!$B$17=1,MIN(CF77,BX77)+CN77,CF77)</f>
        <v>2809.08</v>
      </c>
      <c r="CW77" s="17">
        <f t="shared" si="63"/>
        <v>93538.800000000017</v>
      </c>
      <c r="CX77" s="17">
        <f t="shared" si="64"/>
        <v>0</v>
      </c>
      <c r="CY77" s="17">
        <f t="shared" si="65"/>
        <v>0</v>
      </c>
      <c r="CZ77" s="17">
        <f t="shared" si="66"/>
        <v>0</v>
      </c>
      <c r="DA77" s="17">
        <f t="shared" si="67"/>
        <v>1890.6356863563203</v>
      </c>
      <c r="DB77" s="17">
        <f t="shared" si="68"/>
        <v>0</v>
      </c>
      <c r="DC77" s="15">
        <f t="shared" si="44"/>
        <v>0</v>
      </c>
    </row>
    <row r="78" spans="1:107">
      <c r="A78" s="14">
        <v>35</v>
      </c>
      <c r="B78" s="15">
        <f t="shared" si="0"/>
        <v>3</v>
      </c>
      <c r="C78" s="16">
        <f>(1+INDEX('1 - Input'!$B$34:$E$63,B78,'1 - Input'!$B$16))^(1/12)-1</f>
        <v>4.1219243192651689E-3</v>
      </c>
      <c r="D78" s="17">
        <f>'1 - Input'!$B$7*(1+'1 - Input'!$B$12)^(B78-1)</f>
        <v>2809.08</v>
      </c>
      <c r="E78" s="17">
        <f t="shared" si="45"/>
        <v>424788.08578468504</v>
      </c>
      <c r="F78" s="17">
        <f t="shared" si="46"/>
        <v>477084.67469099921</v>
      </c>
      <c r="G78" s="17">
        <f t="shared" si="1"/>
        <v>426539.03012601502</v>
      </c>
      <c r="H78" s="17">
        <f>IF(G78&gt;0,'1 - Input'!$B$8/12*G78,0)</f>
        <v>3199.0427259451126</v>
      </c>
      <c r="I78" s="17">
        <f t="shared" si="2"/>
        <v>423339.98740006989</v>
      </c>
      <c r="J78" s="17">
        <f t="shared" si="3"/>
        <v>0</v>
      </c>
      <c r="K78" s="17">
        <f>'1 - Input'!$B$22*(H78-J78)</f>
        <v>831.75110874572931</v>
      </c>
      <c r="L78" s="17">
        <f t="shared" si="4"/>
        <v>2367.2916171993834</v>
      </c>
      <c r="M78" s="17">
        <f t="shared" si="5"/>
        <v>477084.67469099921</v>
      </c>
      <c r="N78" s="17">
        <f>IF('1 - Input'!$B$17=1,MAX(0,L78-D78),0)</f>
        <v>0</v>
      </c>
      <c r="O78" s="17">
        <f>IF('1 - Input'!$B$17=1,MAX(0,D78-L78),0)</f>
        <v>441.78838280061655</v>
      </c>
      <c r="P78" s="17">
        <f t="shared" si="6"/>
        <v>0</v>
      </c>
      <c r="Q78" s="17">
        <f>IF(AND(O78&gt;0,I78&gt;0),O78/(1-'1 - Input'!$B$22*P78),0)</f>
        <v>441.78838280061655</v>
      </c>
      <c r="R78" s="17">
        <f t="shared" si="7"/>
        <v>441.78838280061655</v>
      </c>
      <c r="S78" s="17">
        <f>'1 - Input'!$B$22*P78*R78</f>
        <v>0</v>
      </c>
      <c r="T78" s="17">
        <f t="shared" si="8"/>
        <v>441.78838280061655</v>
      </c>
      <c r="U78" s="17">
        <f t="shared" si="9"/>
        <v>0</v>
      </c>
      <c r="V78" s="17">
        <f t="shared" si="10"/>
        <v>56.086784119322701</v>
      </c>
      <c r="W78" s="17">
        <f t="shared" si="11"/>
        <v>422898.19901726925</v>
      </c>
      <c r="X78" s="17">
        <f t="shared" si="12"/>
        <v>476586.79952407925</v>
      </c>
      <c r="Y78" s="17">
        <f>IF(MOD(A78,12)=0,W78*'1 - Input'!$B$23,0)</f>
        <v>0</v>
      </c>
      <c r="Z78" s="17">
        <f t="shared" si="13"/>
        <v>422898.19901726925</v>
      </c>
      <c r="AA78" s="17">
        <f>IF(MOD(A78,12)=0,X78*(1-'1 - Input'!$B$23),X78)</f>
        <v>476586.79952407925</v>
      </c>
      <c r="AB78" s="17">
        <f>IF('1 - Input'!$B$17=1,MIN(L78,D78)+T78,L78)</f>
        <v>2809.08</v>
      </c>
      <c r="AC78" s="17">
        <f t="shared" si="47"/>
        <v>96347.880000000019</v>
      </c>
      <c r="AD78" s="17">
        <f t="shared" si="48"/>
        <v>31279.370834638259</v>
      </c>
      <c r="AE78" s="17">
        <f t="shared" si="49"/>
        <v>0</v>
      </c>
      <c r="AF78" s="17">
        <f t="shared" si="50"/>
        <v>654.59714117251792</v>
      </c>
      <c r="AG78" s="17">
        <f t="shared" si="51"/>
        <v>1821.6969536582787</v>
      </c>
      <c r="AH78" s="17">
        <f t="shared" si="52"/>
        <v>0</v>
      </c>
      <c r="AI78" s="15">
        <f t="shared" si="14"/>
        <v>0</v>
      </c>
      <c r="AK78" s="14">
        <v>35</v>
      </c>
      <c r="AL78" s="15">
        <f t="shared" si="15"/>
        <v>3</v>
      </c>
      <c r="AM78" s="16">
        <f>(1+INDEX('1 - Input'!$B$34:$E$63,AL78,'1 - Input'!$B$16))^(1/12)-1</f>
        <v>4.1219243192651689E-3</v>
      </c>
      <c r="AN78" s="17">
        <f>'1 - Input'!$B$7*(1+'1 - Input'!$B$12)^(AL78-1)</f>
        <v>2809.08</v>
      </c>
      <c r="AO78" s="17">
        <f t="shared" si="53"/>
        <v>424788.08578468504</v>
      </c>
      <c r="AP78" s="17">
        <f t="shared" si="54"/>
        <v>477084.67469099921</v>
      </c>
      <c r="AQ78" s="17">
        <f t="shared" si="16"/>
        <v>426539.03012601502</v>
      </c>
      <c r="AR78" s="17">
        <f>IF(AQ78&gt;0,'1 - Input'!$B$8/12*AQ78,0)</f>
        <v>3199.0427259451126</v>
      </c>
      <c r="AS78" s="17">
        <f t="shared" si="17"/>
        <v>423339.98740006989</v>
      </c>
      <c r="AT78" s="17">
        <f t="shared" si="18"/>
        <v>0</v>
      </c>
      <c r="AU78" s="17">
        <f>'1 - Input'!$B$22*(AR78-AT78)</f>
        <v>831.75110874572931</v>
      </c>
      <c r="AV78" s="17">
        <f t="shared" si="19"/>
        <v>2367.2916171993834</v>
      </c>
      <c r="AW78" s="17">
        <f t="shared" si="20"/>
        <v>477084.67469099921</v>
      </c>
      <c r="AX78" s="17">
        <f>IF('1 - Input'!$B$17=1,MAX(0,AV78-AN78),0)</f>
        <v>0</v>
      </c>
      <c r="AY78" s="17">
        <f>IF('1 - Input'!$B$17=1,MAX(0,AN78-AV78),0)</f>
        <v>441.78838280061655</v>
      </c>
      <c r="AZ78" s="17">
        <f t="shared" si="21"/>
        <v>0</v>
      </c>
      <c r="BA78" s="17">
        <f>IF(AND(AY78&gt;0,AS78&gt;0),AY78/(1-'1 - Input'!$B$22*AZ78),0)</f>
        <v>441.78838280061655</v>
      </c>
      <c r="BB78" s="17">
        <f t="shared" si="22"/>
        <v>441.78838280061655</v>
      </c>
      <c r="BC78" s="17">
        <f>'1 - Input'!$B$22*AZ78*BB78</f>
        <v>0</v>
      </c>
      <c r="BD78" s="17">
        <f t="shared" si="23"/>
        <v>441.78838280061655</v>
      </c>
      <c r="BE78" s="17">
        <f t="shared" si="24"/>
        <v>0</v>
      </c>
      <c r="BF78" s="17">
        <f t="shared" si="25"/>
        <v>56.086784119322701</v>
      </c>
      <c r="BG78" s="17">
        <f t="shared" si="26"/>
        <v>422898.19901726925</v>
      </c>
      <c r="BH78" s="17">
        <f t="shared" si="27"/>
        <v>476586.79952407925</v>
      </c>
      <c r="BI78" s="17">
        <f>IF(MOD(AK78,12)=0,BG78*'1 - Input'!$B$23,0)</f>
        <v>0</v>
      </c>
      <c r="BJ78" s="17">
        <f t="shared" si="28"/>
        <v>422898.19901726925</v>
      </c>
      <c r="BK78" s="17">
        <f>IF(MOD(AK78,12)=0,BH78*(1-'1 - Input'!$B$23),BH78)</f>
        <v>476586.79952407925</v>
      </c>
      <c r="BL78" s="17">
        <f>IF('1 - Input'!$B$17=1,MIN(AV78,AN78)+BD78,AV78)</f>
        <v>2809.08</v>
      </c>
      <c r="BM78" s="17">
        <f t="shared" si="55"/>
        <v>96347.880000000019</v>
      </c>
      <c r="BN78" s="17">
        <f t="shared" si="56"/>
        <v>31279.370834638259</v>
      </c>
      <c r="BO78" s="17">
        <f t="shared" si="57"/>
        <v>0</v>
      </c>
      <c r="BP78" s="17">
        <f t="shared" si="58"/>
        <v>654.59714117251792</v>
      </c>
      <c r="BQ78" s="17">
        <f t="shared" si="59"/>
        <v>1821.6969536582787</v>
      </c>
      <c r="BR78" s="17">
        <f t="shared" si="60"/>
        <v>0</v>
      </c>
      <c r="BS78" s="15">
        <f t="shared" si="29"/>
        <v>0</v>
      </c>
      <c r="BU78" s="14">
        <v>35</v>
      </c>
      <c r="BV78" s="15">
        <f t="shared" si="30"/>
        <v>3</v>
      </c>
      <c r="BW78" s="16">
        <f>(1+INDEX('1 - Input'!$B$34:$E$63,BV78,'1 - Input'!$B$16))^(1/12)-1</f>
        <v>4.1219243192651689E-3</v>
      </c>
      <c r="BX78" s="17">
        <f>'1 - Input'!$B$7*(1+'1 - Input'!$B$12)^(BV78-1)</f>
        <v>2809.08</v>
      </c>
      <c r="BY78" s="17">
        <f t="shared" si="61"/>
        <v>457379.00482630753</v>
      </c>
      <c r="BZ78" s="17">
        <f t="shared" si="62"/>
        <v>391212.71240000008</v>
      </c>
      <c r="CA78" s="17">
        <f t="shared" si="31"/>
        <v>459264.2864694224</v>
      </c>
      <c r="CB78" s="17">
        <f>IF(CA78&gt;0,'1 - Input'!$B$8/12*CA78,0)</f>
        <v>3444.482148520668</v>
      </c>
      <c r="CC78" s="17">
        <f t="shared" si="32"/>
        <v>455819.80432090175</v>
      </c>
      <c r="CD78" s="17">
        <f t="shared" si="33"/>
        <v>3444.482148520668</v>
      </c>
      <c r="CE78" s="17">
        <f>'1 - Input'!$B$22*(CB78-CD78)</f>
        <v>0</v>
      </c>
      <c r="CF78" s="17">
        <f t="shared" si="34"/>
        <v>3444.482148520668</v>
      </c>
      <c r="CG78" s="17">
        <f t="shared" si="35"/>
        <v>387768.23025147943</v>
      </c>
      <c r="CH78" s="17">
        <f>IF('1 - Input'!$B$17=1,MAX(0,CF78-BX78),0)</f>
        <v>635.40214852066811</v>
      </c>
      <c r="CI78" s="17">
        <f>IF('1 - Input'!$B$17=1,MAX(0,BX78-CF78),0)</f>
        <v>0</v>
      </c>
      <c r="CJ78" s="17">
        <f t="shared" si="36"/>
        <v>0.14929490431160231</v>
      </c>
      <c r="CK78" s="17">
        <f>IF(AND(CI78&gt;0,CC78&gt;0),CI78/(1-'1 - Input'!$B$22*CJ78),0)</f>
        <v>0</v>
      </c>
      <c r="CL78" s="17">
        <f t="shared" si="37"/>
        <v>0</v>
      </c>
      <c r="CM78" s="17">
        <f>'1 - Input'!$B$22*CJ78*CL78</f>
        <v>0</v>
      </c>
      <c r="CN78" s="17">
        <f t="shared" si="38"/>
        <v>0</v>
      </c>
      <c r="CO78" s="17">
        <f t="shared" si="39"/>
        <v>0</v>
      </c>
      <c r="CP78" s="17">
        <f t="shared" si="40"/>
        <v>0</v>
      </c>
      <c r="CQ78" s="17">
        <f t="shared" si="41"/>
        <v>456455.20646942244</v>
      </c>
      <c r="CR78" s="17">
        <f t="shared" si="42"/>
        <v>388403.63240000012</v>
      </c>
      <c r="CS78" s="17">
        <f>IF(MOD(BU78,12)=0,CQ78*'1 - Input'!$B$23,0)</f>
        <v>0</v>
      </c>
      <c r="CT78" s="17">
        <f t="shared" si="43"/>
        <v>456455.20646942244</v>
      </c>
      <c r="CU78" s="17">
        <f>IF(MOD(BU78,12)=0,CR78*(1-'1 - Input'!$B$23),CR78)</f>
        <v>388403.63240000012</v>
      </c>
      <c r="CV78" s="17">
        <f>IF('1 - Input'!$B$17=1,MIN(CF78,BX78)+CN78,CF78)</f>
        <v>2809.08</v>
      </c>
      <c r="CW78" s="17">
        <f t="shared" si="63"/>
        <v>96347.880000000019</v>
      </c>
      <c r="CX78" s="17">
        <f t="shared" si="64"/>
        <v>0</v>
      </c>
      <c r="CY78" s="17">
        <f t="shared" si="65"/>
        <v>0</v>
      </c>
      <c r="CZ78" s="17">
        <f t="shared" si="66"/>
        <v>0</v>
      </c>
      <c r="DA78" s="17">
        <f t="shared" si="67"/>
        <v>1890.6356863563203</v>
      </c>
      <c r="DB78" s="17">
        <f t="shared" si="68"/>
        <v>0</v>
      </c>
      <c r="DC78" s="15">
        <f t="shared" si="44"/>
        <v>0</v>
      </c>
    </row>
    <row r="79" spans="1:107">
      <c r="A79" s="14">
        <v>36</v>
      </c>
      <c r="B79" s="15">
        <f t="shared" si="0"/>
        <v>3</v>
      </c>
      <c r="C79" s="16">
        <f>(1+INDEX('1 - Input'!$B$34:$E$63,B79,'1 - Input'!$B$16))^(1/12)-1</f>
        <v>4.1219243192651689E-3</v>
      </c>
      <c r="D79" s="17">
        <f>'1 - Input'!$B$7*(1+'1 - Input'!$B$12)^(B79-1)</f>
        <v>2809.08</v>
      </c>
      <c r="E79" s="17">
        <f t="shared" si="45"/>
        <v>422898.19901726925</v>
      </c>
      <c r="F79" s="17">
        <f t="shared" si="46"/>
        <v>476586.79952407925</v>
      </c>
      <c r="G79" s="17">
        <f t="shared" si="1"/>
        <v>424641.35338837199</v>
      </c>
      <c r="H79" s="17">
        <f>IF(G79&gt;0,'1 - Input'!$B$8/12*G79,0)</f>
        <v>3184.8101504127899</v>
      </c>
      <c r="I79" s="17">
        <f t="shared" si="2"/>
        <v>421456.54323795921</v>
      </c>
      <c r="J79" s="17">
        <f t="shared" si="3"/>
        <v>0</v>
      </c>
      <c r="K79" s="17">
        <f>'1 - Input'!$B$22*(H79-J79)</f>
        <v>828.05063910732542</v>
      </c>
      <c r="L79" s="17">
        <f t="shared" si="4"/>
        <v>2356.7595113054645</v>
      </c>
      <c r="M79" s="17">
        <f t="shared" si="5"/>
        <v>476586.79952407925</v>
      </c>
      <c r="N79" s="17">
        <f>IF('1 - Input'!$B$17=1,MAX(0,L79-D79),0)</f>
        <v>0</v>
      </c>
      <c r="O79" s="17">
        <f>IF('1 - Input'!$B$17=1,MAX(0,D79-L79),0)</f>
        <v>452.32048869453547</v>
      </c>
      <c r="P79" s="17">
        <f t="shared" si="6"/>
        <v>0</v>
      </c>
      <c r="Q79" s="17">
        <f>IF(AND(O79&gt;0,I79&gt;0),O79/(1-'1 - Input'!$B$22*P79),0)</f>
        <v>452.32048869453547</v>
      </c>
      <c r="R79" s="17">
        <f t="shared" si="7"/>
        <v>452.32048869453547</v>
      </c>
      <c r="S79" s="17">
        <f>'1 - Input'!$B$22*P79*R79</f>
        <v>0</v>
      </c>
      <c r="T79" s="17">
        <f t="shared" si="8"/>
        <v>452.32048869453547</v>
      </c>
      <c r="U79" s="17">
        <f t="shared" si="9"/>
        <v>0</v>
      </c>
      <c r="V79" s="17">
        <f t="shared" si="10"/>
        <v>59.167534269632476</v>
      </c>
      <c r="W79" s="17">
        <f t="shared" si="11"/>
        <v>421004.22274926468</v>
      </c>
      <c r="X79" s="17">
        <f t="shared" si="12"/>
        <v>476075.31150111504</v>
      </c>
      <c r="Y79" s="17">
        <f>IF(MOD(A79,12)=0,W79*'1 - Input'!$B$23,0)</f>
        <v>842.00844549852934</v>
      </c>
      <c r="Z79" s="17">
        <f t="shared" si="13"/>
        <v>420162.21430376614</v>
      </c>
      <c r="AA79" s="17">
        <f>IF(MOD(A79,12)=0,X79*(1-'1 - Input'!$B$23),X79)</f>
        <v>475123.16087811283</v>
      </c>
      <c r="AB79" s="17">
        <f>IF('1 - Input'!$B$17=1,MIN(L79,D79)+T79,L79)</f>
        <v>2809.08</v>
      </c>
      <c r="AC79" s="17">
        <f t="shared" si="47"/>
        <v>99156.960000000021</v>
      </c>
      <c r="AD79" s="17">
        <f t="shared" si="48"/>
        <v>32107.421473745584</v>
      </c>
      <c r="AE79" s="17">
        <f t="shared" si="49"/>
        <v>0</v>
      </c>
      <c r="AF79" s="17">
        <f t="shared" si="50"/>
        <v>713.76467544215041</v>
      </c>
      <c r="AG79" s="17">
        <f t="shared" si="51"/>
        <v>2663.7053991568082</v>
      </c>
      <c r="AH79" s="17">
        <f t="shared" si="52"/>
        <v>0</v>
      </c>
      <c r="AI79" s="15">
        <f t="shared" si="14"/>
        <v>0</v>
      </c>
      <c r="AK79" s="14">
        <v>36</v>
      </c>
      <c r="AL79" s="15">
        <f t="shared" si="15"/>
        <v>3</v>
      </c>
      <c r="AM79" s="16">
        <f>(1+INDEX('1 - Input'!$B$34:$E$63,AL79,'1 - Input'!$B$16))^(1/12)-1</f>
        <v>4.1219243192651689E-3</v>
      </c>
      <c r="AN79" s="17">
        <f>'1 - Input'!$B$7*(1+'1 - Input'!$B$12)^(AL79-1)</f>
        <v>2809.08</v>
      </c>
      <c r="AO79" s="17">
        <f t="shared" si="53"/>
        <v>422898.19901726925</v>
      </c>
      <c r="AP79" s="17">
        <f t="shared" si="54"/>
        <v>476586.79952407925</v>
      </c>
      <c r="AQ79" s="17">
        <f t="shared" si="16"/>
        <v>424641.35338837199</v>
      </c>
      <c r="AR79" s="17">
        <f>IF(AQ79&gt;0,'1 - Input'!$B$8/12*AQ79,0)</f>
        <v>3184.8101504127899</v>
      </c>
      <c r="AS79" s="17">
        <f t="shared" si="17"/>
        <v>421456.54323795921</v>
      </c>
      <c r="AT79" s="17">
        <f t="shared" si="18"/>
        <v>0</v>
      </c>
      <c r="AU79" s="17">
        <f>'1 - Input'!$B$22*(AR79-AT79)</f>
        <v>828.05063910732542</v>
      </c>
      <c r="AV79" s="17">
        <f t="shared" si="19"/>
        <v>2356.7595113054645</v>
      </c>
      <c r="AW79" s="17">
        <f t="shared" si="20"/>
        <v>476586.79952407925</v>
      </c>
      <c r="AX79" s="17">
        <f>IF('1 - Input'!$B$17=1,MAX(0,AV79-AN79),0)</f>
        <v>0</v>
      </c>
      <c r="AY79" s="17">
        <f>IF('1 - Input'!$B$17=1,MAX(0,AN79-AV79),0)</f>
        <v>452.32048869453547</v>
      </c>
      <c r="AZ79" s="17">
        <f t="shared" si="21"/>
        <v>0</v>
      </c>
      <c r="BA79" s="17">
        <f>IF(AND(AY79&gt;0,AS79&gt;0),AY79/(1-'1 - Input'!$B$22*AZ79),0)</f>
        <v>452.32048869453547</v>
      </c>
      <c r="BB79" s="17">
        <f t="shared" si="22"/>
        <v>452.32048869453547</v>
      </c>
      <c r="BC79" s="17">
        <f>'1 - Input'!$B$22*AZ79*BB79</f>
        <v>0</v>
      </c>
      <c r="BD79" s="17">
        <f t="shared" si="23"/>
        <v>452.32048869453547</v>
      </c>
      <c r="BE79" s="17">
        <f t="shared" si="24"/>
        <v>0</v>
      </c>
      <c r="BF79" s="17">
        <f t="shared" si="25"/>
        <v>59.167534269632476</v>
      </c>
      <c r="BG79" s="17">
        <f t="shared" si="26"/>
        <v>421004.22274926468</v>
      </c>
      <c r="BH79" s="17">
        <f t="shared" si="27"/>
        <v>476075.31150111504</v>
      </c>
      <c r="BI79" s="17">
        <f>IF(MOD(AK79,12)=0,BG79*'1 - Input'!$B$23,0)</f>
        <v>842.00844549852934</v>
      </c>
      <c r="BJ79" s="17">
        <f t="shared" si="28"/>
        <v>420162.21430376614</v>
      </c>
      <c r="BK79" s="17">
        <f>IF(MOD(AK79,12)=0,BH79*(1-'1 - Input'!$B$23),BH79)</f>
        <v>475123.16087811283</v>
      </c>
      <c r="BL79" s="17">
        <f>IF('1 - Input'!$B$17=1,MIN(AV79,AN79)+BD79,AV79)</f>
        <v>2809.08</v>
      </c>
      <c r="BM79" s="17">
        <f t="shared" si="55"/>
        <v>99156.960000000021</v>
      </c>
      <c r="BN79" s="17">
        <f t="shared" si="56"/>
        <v>32107.421473745584</v>
      </c>
      <c r="BO79" s="17">
        <f t="shared" si="57"/>
        <v>0</v>
      </c>
      <c r="BP79" s="17">
        <f t="shared" si="58"/>
        <v>713.76467544215041</v>
      </c>
      <c r="BQ79" s="17">
        <f t="shared" si="59"/>
        <v>2663.7053991568082</v>
      </c>
      <c r="BR79" s="17">
        <f t="shared" si="60"/>
        <v>0</v>
      </c>
      <c r="BS79" s="15">
        <f t="shared" si="29"/>
        <v>0</v>
      </c>
      <c r="BU79" s="14">
        <v>36</v>
      </c>
      <c r="BV79" s="15">
        <f t="shared" si="30"/>
        <v>3</v>
      </c>
      <c r="BW79" s="16">
        <f>(1+INDEX('1 - Input'!$B$34:$E$63,BV79,'1 - Input'!$B$16))^(1/12)-1</f>
        <v>4.1219243192651689E-3</v>
      </c>
      <c r="BX79" s="17">
        <f>'1 - Input'!$B$7*(1+'1 - Input'!$B$12)^(BV79-1)</f>
        <v>2809.08</v>
      </c>
      <c r="BY79" s="17">
        <f t="shared" si="61"/>
        <v>456455.20646942244</v>
      </c>
      <c r="BZ79" s="17">
        <f t="shared" si="62"/>
        <v>388403.63240000012</v>
      </c>
      <c r="CA79" s="17">
        <f t="shared" si="31"/>
        <v>458336.68028562394</v>
      </c>
      <c r="CB79" s="17">
        <f>IF(CA79&gt;0,'1 - Input'!$B$8/12*CA79,0)</f>
        <v>3437.5251021421795</v>
      </c>
      <c r="CC79" s="17">
        <f t="shared" si="32"/>
        <v>454899.15518348175</v>
      </c>
      <c r="CD79" s="17">
        <f t="shared" si="33"/>
        <v>3437.5251021421795</v>
      </c>
      <c r="CE79" s="17">
        <f>'1 - Input'!$B$22*(CB79-CD79)</f>
        <v>0</v>
      </c>
      <c r="CF79" s="17">
        <f t="shared" si="34"/>
        <v>3437.5251021421795</v>
      </c>
      <c r="CG79" s="17">
        <f t="shared" si="35"/>
        <v>384966.10729785793</v>
      </c>
      <c r="CH79" s="17">
        <f>IF('1 - Input'!$B$17=1,MAX(0,CF79-BX79),0)</f>
        <v>628.44510214217962</v>
      </c>
      <c r="CI79" s="17">
        <f>IF('1 - Input'!$B$17=1,MAX(0,BX79-CF79),0)</f>
        <v>0</v>
      </c>
      <c r="CJ79" s="17">
        <f t="shared" si="36"/>
        <v>0.15373307927427693</v>
      </c>
      <c r="CK79" s="17">
        <f>IF(AND(CI79&gt;0,CC79&gt;0),CI79/(1-'1 - Input'!$B$22*CJ79),0)</f>
        <v>0</v>
      </c>
      <c r="CL79" s="17">
        <f t="shared" si="37"/>
        <v>0</v>
      </c>
      <c r="CM79" s="17">
        <f>'1 - Input'!$B$22*CJ79*CL79</f>
        <v>0</v>
      </c>
      <c r="CN79" s="17">
        <f t="shared" si="38"/>
        <v>0</v>
      </c>
      <c r="CO79" s="17">
        <f t="shared" si="39"/>
        <v>0</v>
      </c>
      <c r="CP79" s="17">
        <f t="shared" si="40"/>
        <v>0</v>
      </c>
      <c r="CQ79" s="17">
        <f t="shared" si="41"/>
        <v>455527.60028562392</v>
      </c>
      <c r="CR79" s="17">
        <f t="shared" si="42"/>
        <v>385594.5524000001</v>
      </c>
      <c r="CS79" s="17">
        <f>IF(MOD(BU79,12)=0,CQ79*'1 - Input'!$B$23,0)</f>
        <v>911.05520057124784</v>
      </c>
      <c r="CT79" s="17">
        <f t="shared" si="43"/>
        <v>454616.54508505267</v>
      </c>
      <c r="CU79" s="17">
        <f>IF(MOD(BU79,12)=0,CR79*(1-'1 - Input'!$B$23),CR79)</f>
        <v>384823.36329520011</v>
      </c>
      <c r="CV79" s="17">
        <f>IF('1 - Input'!$B$17=1,MIN(CF79,BX79)+CN79,CF79)</f>
        <v>2809.08</v>
      </c>
      <c r="CW79" s="17">
        <f t="shared" si="63"/>
        <v>99156.960000000021</v>
      </c>
      <c r="CX79" s="17">
        <f t="shared" si="64"/>
        <v>0</v>
      </c>
      <c r="CY79" s="17">
        <f t="shared" si="65"/>
        <v>0</v>
      </c>
      <c r="CZ79" s="17">
        <f t="shared" si="66"/>
        <v>0</v>
      </c>
      <c r="DA79" s="17">
        <f t="shared" si="67"/>
        <v>2801.690886927568</v>
      </c>
      <c r="DB79" s="17">
        <f t="shared" si="68"/>
        <v>0</v>
      </c>
      <c r="DC79" s="15">
        <f t="shared" si="44"/>
        <v>0</v>
      </c>
    </row>
    <row r="80" spans="1:107">
      <c r="A80" s="14">
        <v>37</v>
      </c>
      <c r="B80" s="15">
        <f t="shared" si="0"/>
        <v>4</v>
      </c>
      <c r="C80" s="16">
        <f>(1+INDEX('1 - Input'!$B$34:$E$63,B80,'1 - Input'!$B$16))^(1/12)-1</f>
        <v>4.1219243192651689E-3</v>
      </c>
      <c r="D80" s="17">
        <f>'1 - Input'!$B$7*(1+'1 - Input'!$B$12)^(B80-1)</f>
        <v>2865.2615999999998</v>
      </c>
      <c r="E80" s="17">
        <f t="shared" si="45"/>
        <v>420162.21430376614</v>
      </c>
      <c r="F80" s="17">
        <f t="shared" si="46"/>
        <v>475123.16087811283</v>
      </c>
      <c r="G80" s="17">
        <f t="shared" si="1"/>
        <v>421894.09115294117</v>
      </c>
      <c r="H80" s="17">
        <f>IF(G80&gt;0,'1 - Input'!$B$8/12*G80,0)</f>
        <v>3164.2056836470588</v>
      </c>
      <c r="I80" s="17">
        <f t="shared" si="2"/>
        <v>418729.88546929409</v>
      </c>
      <c r="J80" s="17">
        <f t="shared" si="3"/>
        <v>0</v>
      </c>
      <c r="K80" s="17">
        <f>'1 - Input'!$B$22*(H80-J80)</f>
        <v>822.6934777482353</v>
      </c>
      <c r="L80" s="17">
        <f t="shared" si="4"/>
        <v>2341.5122058988236</v>
      </c>
      <c r="M80" s="17">
        <f t="shared" si="5"/>
        <v>475123.16087811283</v>
      </c>
      <c r="N80" s="17">
        <f>IF('1 - Input'!$B$17=1,MAX(0,L80-D80),0)</f>
        <v>0</v>
      </c>
      <c r="O80" s="17">
        <f>IF('1 - Input'!$B$17=1,MAX(0,D80-L80),0)</f>
        <v>523.74939410117622</v>
      </c>
      <c r="P80" s="17">
        <f t="shared" si="6"/>
        <v>0</v>
      </c>
      <c r="Q80" s="17">
        <f>IF(AND(O80&gt;0,I80&gt;0),O80/(1-'1 - Input'!$B$22*P80),0)</f>
        <v>523.74939410117622</v>
      </c>
      <c r="R80" s="17">
        <f t="shared" si="7"/>
        <v>523.74939410117622</v>
      </c>
      <c r="S80" s="17">
        <f>'1 - Input'!$B$22*P80*R80</f>
        <v>0</v>
      </c>
      <c r="T80" s="17">
        <f t="shared" si="8"/>
        <v>523.74939410117622</v>
      </c>
      <c r="U80" s="17">
        <f t="shared" si="9"/>
        <v>0</v>
      </c>
      <c r="V80" s="17">
        <f t="shared" si="10"/>
        <v>70.536985421155123</v>
      </c>
      <c r="W80" s="17">
        <f t="shared" si="11"/>
        <v>418206.13607519295</v>
      </c>
      <c r="X80" s="17">
        <f t="shared" si="12"/>
        <v>474528.87449859048</v>
      </c>
      <c r="Y80" s="17">
        <f>IF(MOD(A80,12)=0,W80*'1 - Input'!$B$23,0)</f>
        <v>0</v>
      </c>
      <c r="Z80" s="17">
        <f t="shared" si="13"/>
        <v>418206.13607519295</v>
      </c>
      <c r="AA80" s="17">
        <f>IF(MOD(A80,12)=0,X80*(1-'1 - Input'!$B$23),X80)</f>
        <v>474528.87449859048</v>
      </c>
      <c r="AB80" s="17">
        <f>IF('1 - Input'!$B$17=1,MIN(L80,D80)+T80,L80)</f>
        <v>2865.2615999999998</v>
      </c>
      <c r="AC80" s="17">
        <f t="shared" si="47"/>
        <v>102022.22160000002</v>
      </c>
      <c r="AD80" s="17">
        <f t="shared" si="48"/>
        <v>32930.114951493822</v>
      </c>
      <c r="AE80" s="17">
        <f t="shared" si="49"/>
        <v>0</v>
      </c>
      <c r="AF80" s="17">
        <f t="shared" si="50"/>
        <v>784.30166086330553</v>
      </c>
      <c r="AG80" s="17">
        <f t="shared" si="51"/>
        <v>2663.7053991568082</v>
      </c>
      <c r="AH80" s="17">
        <f t="shared" si="52"/>
        <v>0</v>
      </c>
      <c r="AI80" s="15">
        <f t="shared" si="14"/>
        <v>0</v>
      </c>
      <c r="AK80" s="14">
        <v>37</v>
      </c>
      <c r="AL80" s="15">
        <f t="shared" si="15"/>
        <v>4</v>
      </c>
      <c r="AM80" s="16">
        <f>(1+INDEX('1 - Input'!$B$34:$E$63,AL80,'1 - Input'!$B$16))^(1/12)-1</f>
        <v>4.1219243192651689E-3</v>
      </c>
      <c r="AN80" s="17">
        <f>'1 - Input'!$B$7*(1+'1 - Input'!$B$12)^(AL80-1)</f>
        <v>2865.2615999999998</v>
      </c>
      <c r="AO80" s="17">
        <f t="shared" si="53"/>
        <v>420162.21430376614</v>
      </c>
      <c r="AP80" s="17">
        <f t="shared" si="54"/>
        <v>475123.16087811283</v>
      </c>
      <c r="AQ80" s="17">
        <f t="shared" si="16"/>
        <v>421894.09115294117</v>
      </c>
      <c r="AR80" s="17">
        <f>IF(AQ80&gt;0,'1 - Input'!$B$8/12*AQ80,0)</f>
        <v>3164.2056836470588</v>
      </c>
      <c r="AS80" s="17">
        <f t="shared" si="17"/>
        <v>418729.88546929409</v>
      </c>
      <c r="AT80" s="17">
        <f t="shared" si="18"/>
        <v>0</v>
      </c>
      <c r="AU80" s="17">
        <f>'1 - Input'!$B$22*(AR80-AT80)</f>
        <v>822.6934777482353</v>
      </c>
      <c r="AV80" s="17">
        <f t="shared" si="19"/>
        <v>2341.5122058988236</v>
      </c>
      <c r="AW80" s="17">
        <f t="shared" si="20"/>
        <v>475123.16087811283</v>
      </c>
      <c r="AX80" s="17">
        <f>IF('1 - Input'!$B$17=1,MAX(0,AV80-AN80),0)</f>
        <v>0</v>
      </c>
      <c r="AY80" s="17">
        <f>IF('1 - Input'!$B$17=1,MAX(0,AN80-AV80),0)</f>
        <v>523.74939410117622</v>
      </c>
      <c r="AZ80" s="17">
        <f t="shared" si="21"/>
        <v>0</v>
      </c>
      <c r="BA80" s="17">
        <f>IF(AND(AY80&gt;0,AS80&gt;0),AY80/(1-'1 - Input'!$B$22*AZ80),0)</f>
        <v>523.74939410117622</v>
      </c>
      <c r="BB80" s="17">
        <f t="shared" si="22"/>
        <v>523.74939410117622</v>
      </c>
      <c r="BC80" s="17">
        <f>'1 - Input'!$B$22*AZ80*BB80</f>
        <v>0</v>
      </c>
      <c r="BD80" s="17">
        <f t="shared" si="23"/>
        <v>523.74939410117622</v>
      </c>
      <c r="BE80" s="17">
        <f t="shared" si="24"/>
        <v>0</v>
      </c>
      <c r="BF80" s="17">
        <f t="shared" si="25"/>
        <v>70.536985421155123</v>
      </c>
      <c r="BG80" s="17">
        <f t="shared" si="26"/>
        <v>418206.13607519295</v>
      </c>
      <c r="BH80" s="17">
        <f t="shared" si="27"/>
        <v>474528.87449859048</v>
      </c>
      <c r="BI80" s="17">
        <f>IF(MOD(AK80,12)=0,BG80*'1 - Input'!$B$23,0)</f>
        <v>0</v>
      </c>
      <c r="BJ80" s="17">
        <f t="shared" si="28"/>
        <v>418206.13607519295</v>
      </c>
      <c r="BK80" s="17">
        <f>IF(MOD(AK80,12)=0,BH80*(1-'1 - Input'!$B$23),BH80)</f>
        <v>474528.87449859048</v>
      </c>
      <c r="BL80" s="17">
        <f>IF('1 - Input'!$B$17=1,MIN(AV80,AN80)+BD80,AV80)</f>
        <v>2865.2615999999998</v>
      </c>
      <c r="BM80" s="17">
        <f t="shared" si="55"/>
        <v>102022.22160000002</v>
      </c>
      <c r="BN80" s="17">
        <f t="shared" si="56"/>
        <v>32930.114951493822</v>
      </c>
      <c r="BO80" s="17">
        <f t="shared" si="57"/>
        <v>0</v>
      </c>
      <c r="BP80" s="17">
        <f t="shared" si="58"/>
        <v>784.30166086330553</v>
      </c>
      <c r="BQ80" s="17">
        <f t="shared" si="59"/>
        <v>2663.7053991568082</v>
      </c>
      <c r="BR80" s="17">
        <f t="shared" si="60"/>
        <v>0</v>
      </c>
      <c r="BS80" s="15">
        <f t="shared" si="29"/>
        <v>0</v>
      </c>
      <c r="BU80" s="14">
        <v>37</v>
      </c>
      <c r="BV80" s="15">
        <f t="shared" si="30"/>
        <v>4</v>
      </c>
      <c r="BW80" s="16">
        <f>(1+INDEX('1 - Input'!$B$34:$E$63,BV80,'1 - Input'!$B$16))^(1/12)-1</f>
        <v>4.1219243192651689E-3</v>
      </c>
      <c r="BX80" s="17">
        <f>'1 - Input'!$B$7*(1+'1 - Input'!$B$12)^(BV80-1)</f>
        <v>2865.2615999999998</v>
      </c>
      <c r="BY80" s="17">
        <f t="shared" si="61"/>
        <v>454616.54508505267</v>
      </c>
      <c r="BZ80" s="17">
        <f t="shared" si="62"/>
        <v>384823.36329520011</v>
      </c>
      <c r="CA80" s="17">
        <f t="shared" si="31"/>
        <v>456490.44007817906</v>
      </c>
      <c r="CB80" s="17">
        <f>IF(CA80&gt;0,'1 - Input'!$B$8/12*CA80,0)</f>
        <v>3423.6783005863426</v>
      </c>
      <c r="CC80" s="17">
        <f t="shared" si="32"/>
        <v>453066.76177759271</v>
      </c>
      <c r="CD80" s="17">
        <f t="shared" si="33"/>
        <v>3423.6783005863426</v>
      </c>
      <c r="CE80" s="17">
        <f>'1 - Input'!$B$22*(CB80-CD80)</f>
        <v>0</v>
      </c>
      <c r="CF80" s="17">
        <f t="shared" si="34"/>
        <v>3423.6783005863426</v>
      </c>
      <c r="CG80" s="17">
        <f t="shared" si="35"/>
        <v>381399.68499461375</v>
      </c>
      <c r="CH80" s="17">
        <f>IF('1 - Input'!$B$17=1,MAX(0,CF80-BX80),0)</f>
        <v>558.41670058634281</v>
      </c>
      <c r="CI80" s="17">
        <f>IF('1 - Input'!$B$17=1,MAX(0,BX80-CF80),0)</f>
        <v>0</v>
      </c>
      <c r="CJ80" s="17">
        <f t="shared" si="36"/>
        <v>0.15818215510181222</v>
      </c>
      <c r="CK80" s="17">
        <f>IF(AND(CI80&gt;0,CC80&gt;0),CI80/(1-'1 - Input'!$B$22*CJ80),0)</f>
        <v>0</v>
      </c>
      <c r="CL80" s="17">
        <f t="shared" si="37"/>
        <v>0</v>
      </c>
      <c r="CM80" s="17">
        <f>'1 - Input'!$B$22*CJ80*CL80</f>
        <v>0</v>
      </c>
      <c r="CN80" s="17">
        <f t="shared" si="38"/>
        <v>0</v>
      </c>
      <c r="CO80" s="17">
        <f t="shared" si="39"/>
        <v>0</v>
      </c>
      <c r="CP80" s="17">
        <f t="shared" si="40"/>
        <v>0</v>
      </c>
      <c r="CQ80" s="17">
        <f t="shared" si="41"/>
        <v>453625.17847817903</v>
      </c>
      <c r="CR80" s="17">
        <f t="shared" si="42"/>
        <v>381958.10169520008</v>
      </c>
      <c r="CS80" s="17">
        <f>IF(MOD(BU80,12)=0,CQ80*'1 - Input'!$B$23,0)</f>
        <v>0</v>
      </c>
      <c r="CT80" s="17">
        <f t="shared" si="43"/>
        <v>453625.17847817903</v>
      </c>
      <c r="CU80" s="17">
        <f>IF(MOD(BU80,12)=0,CR80*(1-'1 - Input'!$B$23),CR80)</f>
        <v>381958.10169520008</v>
      </c>
      <c r="CV80" s="17">
        <f>IF('1 - Input'!$B$17=1,MIN(CF80,BX80)+CN80,CF80)</f>
        <v>2865.2615999999998</v>
      </c>
      <c r="CW80" s="17">
        <f t="shared" si="63"/>
        <v>102022.22160000002</v>
      </c>
      <c r="CX80" s="17">
        <f t="shared" si="64"/>
        <v>0</v>
      </c>
      <c r="CY80" s="17">
        <f t="shared" si="65"/>
        <v>0</v>
      </c>
      <c r="CZ80" s="17">
        <f t="shared" si="66"/>
        <v>0</v>
      </c>
      <c r="DA80" s="17">
        <f t="shared" si="67"/>
        <v>2801.690886927568</v>
      </c>
      <c r="DB80" s="17">
        <f t="shared" si="68"/>
        <v>0</v>
      </c>
      <c r="DC80" s="15">
        <f t="shared" si="44"/>
        <v>0</v>
      </c>
    </row>
    <row r="81" spans="1:107">
      <c r="A81" s="14">
        <v>38</v>
      </c>
      <c r="B81" s="15">
        <f t="shared" si="0"/>
        <v>4</v>
      </c>
      <c r="C81" s="16">
        <f>(1+INDEX('1 - Input'!$B$34:$E$63,B81,'1 - Input'!$B$16))^(1/12)-1</f>
        <v>4.1219243192651689E-3</v>
      </c>
      <c r="D81" s="17">
        <f>'1 - Input'!$B$7*(1+'1 - Input'!$B$12)^(B81-1)</f>
        <v>2865.2615999999998</v>
      </c>
      <c r="E81" s="17">
        <f t="shared" si="45"/>
        <v>418206.13607519295</v>
      </c>
      <c r="F81" s="17">
        <f t="shared" si="46"/>
        <v>474528.87449859048</v>
      </c>
      <c r="G81" s="17">
        <f t="shared" si="1"/>
        <v>419929.95011794718</v>
      </c>
      <c r="H81" s="17">
        <f>IF(G81&gt;0,'1 - Input'!$B$8/12*G81,0)</f>
        <v>3149.4746258846039</v>
      </c>
      <c r="I81" s="17">
        <f t="shared" si="2"/>
        <v>416780.47549206257</v>
      </c>
      <c r="J81" s="17">
        <f t="shared" si="3"/>
        <v>0</v>
      </c>
      <c r="K81" s="17">
        <f>'1 - Input'!$B$22*(H81-J81)</f>
        <v>818.86340272999701</v>
      </c>
      <c r="L81" s="17">
        <f t="shared" si="4"/>
        <v>2330.6112231546067</v>
      </c>
      <c r="M81" s="17">
        <f t="shared" si="5"/>
        <v>474528.87449859048</v>
      </c>
      <c r="N81" s="17">
        <f>IF('1 - Input'!$B$17=1,MAX(0,L81-D81),0)</f>
        <v>0</v>
      </c>
      <c r="O81" s="17">
        <f>IF('1 - Input'!$B$17=1,MAX(0,D81-L81),0)</f>
        <v>534.65037684539311</v>
      </c>
      <c r="P81" s="17">
        <f t="shared" si="6"/>
        <v>0</v>
      </c>
      <c r="Q81" s="17">
        <f>IF(AND(O81&gt;0,I81&gt;0),O81/(1-'1 - Input'!$B$22*P81),0)</f>
        <v>534.65037684539311</v>
      </c>
      <c r="R81" s="17">
        <f t="shared" si="7"/>
        <v>534.65037684539311</v>
      </c>
      <c r="S81" s="17">
        <f>'1 - Input'!$B$22*P81*R81</f>
        <v>0</v>
      </c>
      <c r="T81" s="17">
        <f t="shared" si="8"/>
        <v>534.65037684539311</v>
      </c>
      <c r="U81" s="17">
        <f t="shared" si="9"/>
        <v>0</v>
      </c>
      <c r="V81" s="17">
        <f t="shared" si="10"/>
        <v>74.080253530605418</v>
      </c>
      <c r="W81" s="17">
        <f t="shared" si="11"/>
        <v>416245.82511521719</v>
      </c>
      <c r="X81" s="17">
        <f t="shared" si="12"/>
        <v>473920.14386821451</v>
      </c>
      <c r="Y81" s="17">
        <f>IF(MOD(A81,12)=0,W81*'1 - Input'!$B$23,0)</f>
        <v>0</v>
      </c>
      <c r="Z81" s="17">
        <f t="shared" si="13"/>
        <v>416245.82511521719</v>
      </c>
      <c r="AA81" s="17">
        <f>IF(MOD(A81,12)=0,X81*(1-'1 - Input'!$B$23),X81)</f>
        <v>473920.14386821451</v>
      </c>
      <c r="AB81" s="17">
        <f>IF('1 - Input'!$B$17=1,MIN(L81,D81)+T81,L81)</f>
        <v>2865.2615999999998</v>
      </c>
      <c r="AC81" s="17">
        <f t="shared" si="47"/>
        <v>104887.48320000002</v>
      </c>
      <c r="AD81" s="17">
        <f t="shared" si="48"/>
        <v>33748.978354223822</v>
      </c>
      <c r="AE81" s="17">
        <f t="shared" si="49"/>
        <v>0</v>
      </c>
      <c r="AF81" s="17">
        <f t="shared" si="50"/>
        <v>858.38191439391096</v>
      </c>
      <c r="AG81" s="17">
        <f t="shared" si="51"/>
        <v>2663.7053991568082</v>
      </c>
      <c r="AH81" s="17">
        <f t="shared" si="52"/>
        <v>0</v>
      </c>
      <c r="AI81" s="15">
        <f t="shared" si="14"/>
        <v>0</v>
      </c>
      <c r="AK81" s="14">
        <v>38</v>
      </c>
      <c r="AL81" s="15">
        <f t="shared" si="15"/>
        <v>4</v>
      </c>
      <c r="AM81" s="16">
        <f>(1+INDEX('1 - Input'!$B$34:$E$63,AL81,'1 - Input'!$B$16))^(1/12)-1</f>
        <v>4.1219243192651689E-3</v>
      </c>
      <c r="AN81" s="17">
        <f>'1 - Input'!$B$7*(1+'1 - Input'!$B$12)^(AL81-1)</f>
        <v>2865.2615999999998</v>
      </c>
      <c r="AO81" s="17">
        <f t="shared" si="53"/>
        <v>418206.13607519295</v>
      </c>
      <c r="AP81" s="17">
        <f t="shared" si="54"/>
        <v>474528.87449859048</v>
      </c>
      <c r="AQ81" s="17">
        <f t="shared" si="16"/>
        <v>419929.95011794718</v>
      </c>
      <c r="AR81" s="17">
        <f>IF(AQ81&gt;0,'1 - Input'!$B$8/12*AQ81,0)</f>
        <v>3149.4746258846039</v>
      </c>
      <c r="AS81" s="17">
        <f t="shared" si="17"/>
        <v>416780.47549206257</v>
      </c>
      <c r="AT81" s="17">
        <f t="shared" si="18"/>
        <v>0</v>
      </c>
      <c r="AU81" s="17">
        <f>'1 - Input'!$B$22*(AR81-AT81)</f>
        <v>818.86340272999701</v>
      </c>
      <c r="AV81" s="17">
        <f t="shared" si="19"/>
        <v>2330.6112231546067</v>
      </c>
      <c r="AW81" s="17">
        <f t="shared" si="20"/>
        <v>474528.87449859048</v>
      </c>
      <c r="AX81" s="17">
        <f>IF('1 - Input'!$B$17=1,MAX(0,AV81-AN81),0)</f>
        <v>0</v>
      </c>
      <c r="AY81" s="17">
        <f>IF('1 - Input'!$B$17=1,MAX(0,AN81-AV81),0)</f>
        <v>534.65037684539311</v>
      </c>
      <c r="AZ81" s="17">
        <f t="shared" si="21"/>
        <v>0</v>
      </c>
      <c r="BA81" s="17">
        <f>IF(AND(AY81&gt;0,AS81&gt;0),AY81/(1-'1 - Input'!$B$22*AZ81),0)</f>
        <v>534.65037684539311</v>
      </c>
      <c r="BB81" s="17">
        <f t="shared" si="22"/>
        <v>534.65037684539311</v>
      </c>
      <c r="BC81" s="17">
        <f>'1 - Input'!$B$22*AZ81*BB81</f>
        <v>0</v>
      </c>
      <c r="BD81" s="17">
        <f t="shared" si="23"/>
        <v>534.65037684539311</v>
      </c>
      <c r="BE81" s="17">
        <f t="shared" si="24"/>
        <v>0</v>
      </c>
      <c r="BF81" s="17">
        <f t="shared" si="25"/>
        <v>74.080253530605418</v>
      </c>
      <c r="BG81" s="17">
        <f t="shared" si="26"/>
        <v>416245.82511521719</v>
      </c>
      <c r="BH81" s="17">
        <f t="shared" si="27"/>
        <v>473920.14386821451</v>
      </c>
      <c r="BI81" s="17">
        <f>IF(MOD(AK81,12)=0,BG81*'1 - Input'!$B$23,0)</f>
        <v>0</v>
      </c>
      <c r="BJ81" s="17">
        <f t="shared" si="28"/>
        <v>416245.82511521719</v>
      </c>
      <c r="BK81" s="17">
        <f>IF(MOD(AK81,12)=0,BH81*(1-'1 - Input'!$B$23),BH81)</f>
        <v>473920.14386821451</v>
      </c>
      <c r="BL81" s="17">
        <f>IF('1 - Input'!$B$17=1,MIN(AV81,AN81)+BD81,AV81)</f>
        <v>2865.2615999999998</v>
      </c>
      <c r="BM81" s="17">
        <f t="shared" si="55"/>
        <v>104887.48320000002</v>
      </c>
      <c r="BN81" s="17">
        <f t="shared" si="56"/>
        <v>33748.978354223822</v>
      </c>
      <c r="BO81" s="17">
        <f t="shared" si="57"/>
        <v>0</v>
      </c>
      <c r="BP81" s="17">
        <f t="shared" si="58"/>
        <v>858.38191439391096</v>
      </c>
      <c r="BQ81" s="17">
        <f t="shared" si="59"/>
        <v>2663.7053991568082</v>
      </c>
      <c r="BR81" s="17">
        <f t="shared" si="60"/>
        <v>0</v>
      </c>
      <c r="BS81" s="15">
        <f t="shared" si="29"/>
        <v>0</v>
      </c>
      <c r="BU81" s="14">
        <v>38</v>
      </c>
      <c r="BV81" s="15">
        <f t="shared" si="30"/>
        <v>4</v>
      </c>
      <c r="BW81" s="16">
        <f>(1+INDEX('1 - Input'!$B$34:$E$63,BV81,'1 - Input'!$B$16))^(1/12)-1</f>
        <v>4.1219243192651689E-3</v>
      </c>
      <c r="BX81" s="17">
        <f>'1 - Input'!$B$7*(1+'1 - Input'!$B$12)^(BV81-1)</f>
        <v>2865.2615999999998</v>
      </c>
      <c r="BY81" s="17">
        <f t="shared" si="61"/>
        <v>453625.17847817903</v>
      </c>
      <c r="BZ81" s="17">
        <f t="shared" si="62"/>
        <v>381958.10169520008</v>
      </c>
      <c r="CA81" s="17">
        <f t="shared" si="31"/>
        <v>455494.98713317927</v>
      </c>
      <c r="CB81" s="17">
        <f>IF(CA81&gt;0,'1 - Input'!$B$8/12*CA81,0)</f>
        <v>3416.2124034988442</v>
      </c>
      <c r="CC81" s="17">
        <f t="shared" si="32"/>
        <v>452078.77472968044</v>
      </c>
      <c r="CD81" s="17">
        <f t="shared" si="33"/>
        <v>3416.2124034988442</v>
      </c>
      <c r="CE81" s="17">
        <f>'1 - Input'!$B$22*(CB81-CD81)</f>
        <v>0</v>
      </c>
      <c r="CF81" s="17">
        <f t="shared" si="34"/>
        <v>3416.2124034988442</v>
      </c>
      <c r="CG81" s="17">
        <f t="shared" si="35"/>
        <v>378541.88929170126</v>
      </c>
      <c r="CH81" s="17">
        <f>IF('1 - Input'!$B$17=1,MAX(0,CF81-BX81),0)</f>
        <v>550.95080349884438</v>
      </c>
      <c r="CI81" s="17">
        <f>IF('1 - Input'!$B$17=1,MAX(0,BX81-CF81),0)</f>
        <v>0</v>
      </c>
      <c r="CJ81" s="17">
        <f t="shared" si="36"/>
        <v>0.1626638752990569</v>
      </c>
      <c r="CK81" s="17">
        <f>IF(AND(CI81&gt;0,CC81&gt;0),CI81/(1-'1 - Input'!$B$22*CJ81),0)</f>
        <v>0</v>
      </c>
      <c r="CL81" s="17">
        <f t="shared" si="37"/>
        <v>0</v>
      </c>
      <c r="CM81" s="17">
        <f>'1 - Input'!$B$22*CJ81*CL81</f>
        <v>0</v>
      </c>
      <c r="CN81" s="17">
        <f t="shared" si="38"/>
        <v>0</v>
      </c>
      <c r="CO81" s="17">
        <f t="shared" si="39"/>
        <v>0</v>
      </c>
      <c r="CP81" s="17">
        <f t="shared" si="40"/>
        <v>0</v>
      </c>
      <c r="CQ81" s="17">
        <f t="shared" si="41"/>
        <v>452629.7255331793</v>
      </c>
      <c r="CR81" s="17">
        <f t="shared" si="42"/>
        <v>379092.84009520011</v>
      </c>
      <c r="CS81" s="17">
        <f>IF(MOD(BU81,12)=0,CQ81*'1 - Input'!$B$23,0)</f>
        <v>0</v>
      </c>
      <c r="CT81" s="17">
        <f t="shared" si="43"/>
        <v>452629.7255331793</v>
      </c>
      <c r="CU81" s="17">
        <f>IF(MOD(BU81,12)=0,CR81*(1-'1 - Input'!$B$23),CR81)</f>
        <v>379092.84009520011</v>
      </c>
      <c r="CV81" s="17">
        <f>IF('1 - Input'!$B$17=1,MIN(CF81,BX81)+CN81,CF81)</f>
        <v>2865.2615999999998</v>
      </c>
      <c r="CW81" s="17">
        <f t="shared" si="63"/>
        <v>104887.48320000002</v>
      </c>
      <c r="CX81" s="17">
        <f t="shared" si="64"/>
        <v>0</v>
      </c>
      <c r="CY81" s="17">
        <f t="shared" si="65"/>
        <v>0</v>
      </c>
      <c r="CZ81" s="17">
        <f t="shared" si="66"/>
        <v>0</v>
      </c>
      <c r="DA81" s="17">
        <f t="shared" si="67"/>
        <v>2801.690886927568</v>
      </c>
      <c r="DB81" s="17">
        <f t="shared" si="68"/>
        <v>0</v>
      </c>
      <c r="DC81" s="15">
        <f t="shared" si="44"/>
        <v>0</v>
      </c>
    </row>
    <row r="82" spans="1:107">
      <c r="A82" s="14">
        <v>39</v>
      </c>
      <c r="B82" s="15">
        <f t="shared" si="0"/>
        <v>4</v>
      </c>
      <c r="C82" s="16">
        <f>(1+INDEX('1 - Input'!$B$34:$E$63,B82,'1 - Input'!$B$16))^(1/12)-1</f>
        <v>4.1219243192651689E-3</v>
      </c>
      <c r="D82" s="17">
        <f>'1 - Input'!$B$7*(1+'1 - Input'!$B$12)^(B82-1)</f>
        <v>2865.2615999999998</v>
      </c>
      <c r="E82" s="17">
        <f t="shared" si="45"/>
        <v>416245.82511521719</v>
      </c>
      <c r="F82" s="17">
        <f t="shared" si="46"/>
        <v>473920.14386821451</v>
      </c>
      <c r="G82" s="17">
        <f t="shared" si="1"/>
        <v>417961.55890455219</v>
      </c>
      <c r="H82" s="17">
        <f>IF(G82&gt;0,'1 - Input'!$B$8/12*G82,0)</f>
        <v>3134.7116917841413</v>
      </c>
      <c r="I82" s="17">
        <f t="shared" si="2"/>
        <v>414826.84721276804</v>
      </c>
      <c r="J82" s="17">
        <f t="shared" si="3"/>
        <v>0</v>
      </c>
      <c r="K82" s="17">
        <f>'1 - Input'!$B$22*(H82-J82)</f>
        <v>815.02503986387671</v>
      </c>
      <c r="L82" s="17">
        <f t="shared" si="4"/>
        <v>2319.6866519202645</v>
      </c>
      <c r="M82" s="17">
        <f t="shared" si="5"/>
        <v>473920.14386821451</v>
      </c>
      <c r="N82" s="17">
        <f>IF('1 - Input'!$B$17=1,MAX(0,L82-D82),0)</f>
        <v>0</v>
      </c>
      <c r="O82" s="17">
        <f>IF('1 - Input'!$B$17=1,MAX(0,D82-L82),0)</f>
        <v>545.57494807973535</v>
      </c>
      <c r="P82" s="17">
        <f t="shared" si="6"/>
        <v>0</v>
      </c>
      <c r="Q82" s="17">
        <f>IF(AND(O82&gt;0,I82&gt;0),O82/(1-'1 - Input'!$B$22*P82),0)</f>
        <v>545.57494807973535</v>
      </c>
      <c r="R82" s="17">
        <f t="shared" si="7"/>
        <v>545.57494807973535</v>
      </c>
      <c r="S82" s="17">
        <f>'1 - Input'!$B$22*P82*R82</f>
        <v>0</v>
      </c>
      <c r="T82" s="17">
        <f t="shared" si="8"/>
        <v>545.57494807973535</v>
      </c>
      <c r="U82" s="17">
        <f t="shared" si="9"/>
        <v>0</v>
      </c>
      <c r="V82" s="17">
        <f t="shared" si="10"/>
        <v>77.71874571589511</v>
      </c>
      <c r="W82" s="17">
        <f t="shared" si="11"/>
        <v>414281.27226468833</v>
      </c>
      <c r="X82" s="17">
        <f t="shared" si="12"/>
        <v>473296.85017441888</v>
      </c>
      <c r="Y82" s="17">
        <f>IF(MOD(A82,12)=0,W82*'1 - Input'!$B$23,0)</f>
        <v>0</v>
      </c>
      <c r="Z82" s="17">
        <f t="shared" si="13"/>
        <v>414281.27226468833</v>
      </c>
      <c r="AA82" s="17">
        <f>IF(MOD(A82,12)=0,X82*(1-'1 - Input'!$B$23),X82)</f>
        <v>473296.85017441888</v>
      </c>
      <c r="AB82" s="17">
        <f>IF('1 - Input'!$B$17=1,MIN(L82,D82)+T82,L82)</f>
        <v>2865.2615999999998</v>
      </c>
      <c r="AC82" s="17">
        <f t="shared" si="47"/>
        <v>107752.74480000001</v>
      </c>
      <c r="AD82" s="17">
        <f t="shared" si="48"/>
        <v>34564.003394087697</v>
      </c>
      <c r="AE82" s="17">
        <f t="shared" si="49"/>
        <v>0</v>
      </c>
      <c r="AF82" s="17">
        <f t="shared" si="50"/>
        <v>936.10066010980609</v>
      </c>
      <c r="AG82" s="17">
        <f t="shared" si="51"/>
        <v>2663.7053991568082</v>
      </c>
      <c r="AH82" s="17">
        <f t="shared" si="52"/>
        <v>0</v>
      </c>
      <c r="AI82" s="15">
        <f t="shared" si="14"/>
        <v>0</v>
      </c>
      <c r="AK82" s="14">
        <v>39</v>
      </c>
      <c r="AL82" s="15">
        <f t="shared" si="15"/>
        <v>4</v>
      </c>
      <c r="AM82" s="16">
        <f>(1+INDEX('1 - Input'!$B$34:$E$63,AL82,'1 - Input'!$B$16))^(1/12)-1</f>
        <v>4.1219243192651689E-3</v>
      </c>
      <c r="AN82" s="17">
        <f>'1 - Input'!$B$7*(1+'1 - Input'!$B$12)^(AL82-1)</f>
        <v>2865.2615999999998</v>
      </c>
      <c r="AO82" s="17">
        <f t="shared" si="53"/>
        <v>416245.82511521719</v>
      </c>
      <c r="AP82" s="17">
        <f t="shared" si="54"/>
        <v>473920.14386821451</v>
      </c>
      <c r="AQ82" s="17">
        <f t="shared" si="16"/>
        <v>417961.55890455219</v>
      </c>
      <c r="AR82" s="17">
        <f>IF(AQ82&gt;0,'1 - Input'!$B$8/12*AQ82,0)</f>
        <v>3134.7116917841413</v>
      </c>
      <c r="AS82" s="17">
        <f t="shared" si="17"/>
        <v>414826.84721276804</v>
      </c>
      <c r="AT82" s="17">
        <f t="shared" si="18"/>
        <v>0</v>
      </c>
      <c r="AU82" s="17">
        <f>'1 - Input'!$B$22*(AR82-AT82)</f>
        <v>815.02503986387671</v>
      </c>
      <c r="AV82" s="17">
        <f t="shared" si="19"/>
        <v>2319.6866519202645</v>
      </c>
      <c r="AW82" s="17">
        <f t="shared" si="20"/>
        <v>473920.14386821451</v>
      </c>
      <c r="AX82" s="17">
        <f>IF('1 - Input'!$B$17=1,MAX(0,AV82-AN82),0)</f>
        <v>0</v>
      </c>
      <c r="AY82" s="17">
        <f>IF('1 - Input'!$B$17=1,MAX(0,AN82-AV82),0)</f>
        <v>545.57494807973535</v>
      </c>
      <c r="AZ82" s="17">
        <f t="shared" si="21"/>
        <v>0</v>
      </c>
      <c r="BA82" s="17">
        <f>IF(AND(AY82&gt;0,AS82&gt;0),AY82/(1-'1 - Input'!$B$22*AZ82),0)</f>
        <v>545.57494807973535</v>
      </c>
      <c r="BB82" s="17">
        <f t="shared" si="22"/>
        <v>545.57494807973535</v>
      </c>
      <c r="BC82" s="17">
        <f>'1 - Input'!$B$22*AZ82*BB82</f>
        <v>0</v>
      </c>
      <c r="BD82" s="17">
        <f t="shared" si="23"/>
        <v>545.57494807973535</v>
      </c>
      <c r="BE82" s="17">
        <f t="shared" si="24"/>
        <v>0</v>
      </c>
      <c r="BF82" s="17">
        <f t="shared" si="25"/>
        <v>77.71874571589511</v>
      </c>
      <c r="BG82" s="17">
        <f t="shared" si="26"/>
        <v>414281.27226468833</v>
      </c>
      <c r="BH82" s="17">
        <f t="shared" si="27"/>
        <v>473296.85017441888</v>
      </c>
      <c r="BI82" s="17">
        <f>IF(MOD(AK82,12)=0,BG82*'1 - Input'!$B$23,0)</f>
        <v>0</v>
      </c>
      <c r="BJ82" s="17">
        <f t="shared" si="28"/>
        <v>414281.27226468833</v>
      </c>
      <c r="BK82" s="17">
        <f>IF(MOD(AK82,12)=0,BH82*(1-'1 - Input'!$B$23),BH82)</f>
        <v>473296.85017441888</v>
      </c>
      <c r="BL82" s="17">
        <f>IF('1 - Input'!$B$17=1,MIN(AV82,AN82)+BD82,AV82)</f>
        <v>2865.2615999999998</v>
      </c>
      <c r="BM82" s="17">
        <f t="shared" si="55"/>
        <v>107752.74480000001</v>
      </c>
      <c r="BN82" s="17">
        <f t="shared" si="56"/>
        <v>34564.003394087697</v>
      </c>
      <c r="BO82" s="17">
        <f t="shared" si="57"/>
        <v>0</v>
      </c>
      <c r="BP82" s="17">
        <f t="shared" si="58"/>
        <v>936.10066010980609</v>
      </c>
      <c r="BQ82" s="17">
        <f t="shared" si="59"/>
        <v>2663.7053991568082</v>
      </c>
      <c r="BR82" s="17">
        <f t="shared" si="60"/>
        <v>0</v>
      </c>
      <c r="BS82" s="15">
        <f t="shared" si="29"/>
        <v>0</v>
      </c>
      <c r="BU82" s="14">
        <v>39</v>
      </c>
      <c r="BV82" s="15">
        <f t="shared" si="30"/>
        <v>4</v>
      </c>
      <c r="BW82" s="16">
        <f>(1+INDEX('1 - Input'!$B$34:$E$63,BV82,'1 - Input'!$B$16))^(1/12)-1</f>
        <v>4.1219243192651689E-3</v>
      </c>
      <c r="BX82" s="17">
        <f>'1 - Input'!$B$7*(1+'1 - Input'!$B$12)^(BV82-1)</f>
        <v>2865.2615999999998</v>
      </c>
      <c r="BY82" s="17">
        <f t="shared" si="61"/>
        <v>452629.7255331793</v>
      </c>
      <c r="BZ82" s="17">
        <f t="shared" si="62"/>
        <v>379092.84009520011</v>
      </c>
      <c r="CA82" s="17">
        <f t="shared" si="31"/>
        <v>454495.43100647681</v>
      </c>
      <c r="CB82" s="17">
        <f>IF(CA82&gt;0,'1 - Input'!$B$8/12*CA82,0)</f>
        <v>3408.7157325485759</v>
      </c>
      <c r="CC82" s="17">
        <f t="shared" si="32"/>
        <v>451086.71527392825</v>
      </c>
      <c r="CD82" s="17">
        <f t="shared" si="33"/>
        <v>3408.7157325485759</v>
      </c>
      <c r="CE82" s="17">
        <f>'1 - Input'!$B$22*(CB82-CD82)</f>
        <v>0</v>
      </c>
      <c r="CF82" s="17">
        <f t="shared" si="34"/>
        <v>3408.7157325485759</v>
      </c>
      <c r="CG82" s="17">
        <f t="shared" si="35"/>
        <v>375684.12436265155</v>
      </c>
      <c r="CH82" s="17">
        <f>IF('1 - Input'!$B$17=1,MAX(0,CF82-BX82),0)</f>
        <v>543.45413254857613</v>
      </c>
      <c r="CI82" s="17">
        <f>IF('1 - Input'!$B$17=1,MAX(0,BX82-CF82),0)</f>
        <v>0</v>
      </c>
      <c r="CJ82" s="17">
        <f t="shared" si="36"/>
        <v>0.16715764033415947</v>
      </c>
      <c r="CK82" s="17">
        <f>IF(AND(CI82&gt;0,CC82&gt;0),CI82/(1-'1 - Input'!$B$22*CJ82),0)</f>
        <v>0</v>
      </c>
      <c r="CL82" s="17">
        <f t="shared" si="37"/>
        <v>0</v>
      </c>
      <c r="CM82" s="17">
        <f>'1 - Input'!$B$22*CJ82*CL82</f>
        <v>0</v>
      </c>
      <c r="CN82" s="17">
        <f t="shared" si="38"/>
        <v>0</v>
      </c>
      <c r="CO82" s="17">
        <f t="shared" si="39"/>
        <v>0</v>
      </c>
      <c r="CP82" s="17">
        <f t="shared" si="40"/>
        <v>0</v>
      </c>
      <c r="CQ82" s="17">
        <f t="shared" si="41"/>
        <v>451630.16940647684</v>
      </c>
      <c r="CR82" s="17">
        <f t="shared" si="42"/>
        <v>376227.57849520014</v>
      </c>
      <c r="CS82" s="17">
        <f>IF(MOD(BU82,12)=0,CQ82*'1 - Input'!$B$23,0)</f>
        <v>0</v>
      </c>
      <c r="CT82" s="17">
        <f t="shared" si="43"/>
        <v>451630.16940647684</v>
      </c>
      <c r="CU82" s="17">
        <f>IF(MOD(BU82,12)=0,CR82*(1-'1 - Input'!$B$23),CR82)</f>
        <v>376227.57849520014</v>
      </c>
      <c r="CV82" s="17">
        <f>IF('1 - Input'!$B$17=1,MIN(CF82,BX82)+CN82,CF82)</f>
        <v>2865.2615999999998</v>
      </c>
      <c r="CW82" s="17">
        <f t="shared" si="63"/>
        <v>107752.74480000001</v>
      </c>
      <c r="CX82" s="17">
        <f t="shared" si="64"/>
        <v>0</v>
      </c>
      <c r="CY82" s="17">
        <f t="shared" si="65"/>
        <v>0</v>
      </c>
      <c r="CZ82" s="17">
        <f t="shared" si="66"/>
        <v>0</v>
      </c>
      <c r="DA82" s="17">
        <f t="shared" si="67"/>
        <v>2801.690886927568</v>
      </c>
      <c r="DB82" s="17">
        <f t="shared" si="68"/>
        <v>0</v>
      </c>
      <c r="DC82" s="15">
        <f t="shared" si="44"/>
        <v>0</v>
      </c>
    </row>
    <row r="83" spans="1:107">
      <c r="A83" s="14">
        <v>40</v>
      </c>
      <c r="B83" s="15">
        <f t="shared" si="0"/>
        <v>4</v>
      </c>
      <c r="C83" s="16">
        <f>(1+INDEX('1 - Input'!$B$34:$E$63,B83,'1 - Input'!$B$16))^(1/12)-1</f>
        <v>4.1219243192651689E-3</v>
      </c>
      <c r="D83" s="17">
        <f>'1 - Input'!$B$7*(1+'1 - Input'!$B$12)^(B83-1)</f>
        <v>2865.2615999999998</v>
      </c>
      <c r="E83" s="17">
        <f t="shared" si="45"/>
        <v>414281.27226468833</v>
      </c>
      <c r="F83" s="17">
        <f t="shared" si="46"/>
        <v>473296.85017441888</v>
      </c>
      <c r="G83" s="17">
        <f t="shared" si="1"/>
        <v>415988.90831585228</v>
      </c>
      <c r="H83" s="17">
        <f>IF(G83&gt;0,'1 - Input'!$B$8/12*G83,0)</f>
        <v>3119.9168123688919</v>
      </c>
      <c r="I83" s="17">
        <f t="shared" si="2"/>
        <v>412868.99150348338</v>
      </c>
      <c r="J83" s="17">
        <f t="shared" si="3"/>
        <v>0</v>
      </c>
      <c r="K83" s="17">
        <f>'1 - Input'!$B$22*(H83-J83)</f>
        <v>811.17837121591197</v>
      </c>
      <c r="L83" s="17">
        <f t="shared" si="4"/>
        <v>2308.7384411529802</v>
      </c>
      <c r="M83" s="17">
        <f t="shared" si="5"/>
        <v>473296.85017441888</v>
      </c>
      <c r="N83" s="17">
        <f>IF('1 - Input'!$B$17=1,MAX(0,L83-D83),0)</f>
        <v>0</v>
      </c>
      <c r="O83" s="17">
        <f>IF('1 - Input'!$B$17=1,MAX(0,D83-L83),0)</f>
        <v>556.52315884701966</v>
      </c>
      <c r="P83" s="17">
        <f t="shared" si="6"/>
        <v>0</v>
      </c>
      <c r="Q83" s="17">
        <f>IF(AND(O83&gt;0,I83&gt;0),O83/(1-'1 - Input'!$B$22*P83),0)</f>
        <v>556.52315884701966</v>
      </c>
      <c r="R83" s="17">
        <f t="shared" si="7"/>
        <v>556.52315884701966</v>
      </c>
      <c r="S83" s="17">
        <f>'1 - Input'!$B$22*P83*R83</f>
        <v>0</v>
      </c>
      <c r="T83" s="17">
        <f t="shared" si="8"/>
        <v>556.52315884701966</v>
      </c>
      <c r="U83" s="17">
        <f t="shared" si="9"/>
        <v>0</v>
      </c>
      <c r="V83" s="17">
        <f t="shared" si="10"/>
        <v>81.453205452525637</v>
      </c>
      <c r="W83" s="17">
        <f t="shared" si="11"/>
        <v>412312.46834463638</v>
      </c>
      <c r="X83" s="17">
        <f t="shared" si="12"/>
        <v>472658.87381011934</v>
      </c>
      <c r="Y83" s="17">
        <f>IF(MOD(A83,12)=0,W83*'1 - Input'!$B$23,0)</f>
        <v>0</v>
      </c>
      <c r="Z83" s="17">
        <f t="shared" si="13"/>
        <v>412312.46834463638</v>
      </c>
      <c r="AA83" s="17">
        <f>IF(MOD(A83,12)=0,X83*(1-'1 - Input'!$B$23),X83)</f>
        <v>472658.87381011934</v>
      </c>
      <c r="AB83" s="17">
        <f>IF('1 - Input'!$B$17=1,MIN(L83,D83)+T83,L83)</f>
        <v>2865.2615999999998</v>
      </c>
      <c r="AC83" s="17">
        <f t="shared" si="47"/>
        <v>110618.00640000001</v>
      </c>
      <c r="AD83" s="17">
        <f t="shared" si="48"/>
        <v>35375.181765303605</v>
      </c>
      <c r="AE83" s="17">
        <f t="shared" si="49"/>
        <v>0</v>
      </c>
      <c r="AF83" s="17">
        <f t="shared" si="50"/>
        <v>1017.5538655623317</v>
      </c>
      <c r="AG83" s="17">
        <f t="shared" si="51"/>
        <v>2663.7053991568082</v>
      </c>
      <c r="AH83" s="17">
        <f t="shared" si="52"/>
        <v>0</v>
      </c>
      <c r="AI83" s="15">
        <f t="shared" si="14"/>
        <v>0</v>
      </c>
      <c r="AK83" s="14">
        <v>40</v>
      </c>
      <c r="AL83" s="15">
        <f t="shared" si="15"/>
        <v>4</v>
      </c>
      <c r="AM83" s="16">
        <f>(1+INDEX('1 - Input'!$B$34:$E$63,AL83,'1 - Input'!$B$16))^(1/12)-1</f>
        <v>4.1219243192651689E-3</v>
      </c>
      <c r="AN83" s="17">
        <f>'1 - Input'!$B$7*(1+'1 - Input'!$B$12)^(AL83-1)</f>
        <v>2865.2615999999998</v>
      </c>
      <c r="AO83" s="17">
        <f t="shared" si="53"/>
        <v>414281.27226468833</v>
      </c>
      <c r="AP83" s="17">
        <f t="shared" si="54"/>
        <v>473296.85017441888</v>
      </c>
      <c r="AQ83" s="17">
        <f t="shared" si="16"/>
        <v>415988.90831585228</v>
      </c>
      <c r="AR83" s="17">
        <f>IF(AQ83&gt;0,'1 - Input'!$B$8/12*AQ83,0)</f>
        <v>3119.9168123688919</v>
      </c>
      <c r="AS83" s="17">
        <f t="shared" si="17"/>
        <v>412868.99150348338</v>
      </c>
      <c r="AT83" s="17">
        <f t="shared" si="18"/>
        <v>0</v>
      </c>
      <c r="AU83" s="17">
        <f>'1 - Input'!$B$22*(AR83-AT83)</f>
        <v>811.17837121591197</v>
      </c>
      <c r="AV83" s="17">
        <f t="shared" si="19"/>
        <v>2308.7384411529802</v>
      </c>
      <c r="AW83" s="17">
        <f t="shared" si="20"/>
        <v>473296.85017441888</v>
      </c>
      <c r="AX83" s="17">
        <f>IF('1 - Input'!$B$17=1,MAX(0,AV83-AN83),0)</f>
        <v>0</v>
      </c>
      <c r="AY83" s="17">
        <f>IF('1 - Input'!$B$17=1,MAX(0,AN83-AV83),0)</f>
        <v>556.52315884701966</v>
      </c>
      <c r="AZ83" s="17">
        <f t="shared" si="21"/>
        <v>0</v>
      </c>
      <c r="BA83" s="17">
        <f>IF(AND(AY83&gt;0,AS83&gt;0),AY83/(1-'1 - Input'!$B$22*AZ83),0)</f>
        <v>556.52315884701966</v>
      </c>
      <c r="BB83" s="17">
        <f t="shared" si="22"/>
        <v>556.52315884701966</v>
      </c>
      <c r="BC83" s="17">
        <f>'1 - Input'!$B$22*AZ83*BB83</f>
        <v>0</v>
      </c>
      <c r="BD83" s="17">
        <f t="shared" si="23"/>
        <v>556.52315884701966</v>
      </c>
      <c r="BE83" s="17">
        <f t="shared" si="24"/>
        <v>0</v>
      </c>
      <c r="BF83" s="17">
        <f t="shared" si="25"/>
        <v>81.453205452525637</v>
      </c>
      <c r="BG83" s="17">
        <f t="shared" si="26"/>
        <v>412312.46834463638</v>
      </c>
      <c r="BH83" s="17">
        <f t="shared" si="27"/>
        <v>472658.87381011934</v>
      </c>
      <c r="BI83" s="17">
        <f>IF(MOD(AK83,12)=0,BG83*'1 - Input'!$B$23,0)</f>
        <v>0</v>
      </c>
      <c r="BJ83" s="17">
        <f t="shared" si="28"/>
        <v>412312.46834463638</v>
      </c>
      <c r="BK83" s="17">
        <f>IF(MOD(AK83,12)=0,BH83*(1-'1 - Input'!$B$23),BH83)</f>
        <v>472658.87381011934</v>
      </c>
      <c r="BL83" s="17">
        <f>IF('1 - Input'!$B$17=1,MIN(AV83,AN83)+BD83,AV83)</f>
        <v>2865.2615999999998</v>
      </c>
      <c r="BM83" s="17">
        <f t="shared" si="55"/>
        <v>110618.00640000001</v>
      </c>
      <c r="BN83" s="17">
        <f t="shared" si="56"/>
        <v>35375.181765303605</v>
      </c>
      <c r="BO83" s="17">
        <f t="shared" si="57"/>
        <v>0</v>
      </c>
      <c r="BP83" s="17">
        <f t="shared" si="58"/>
        <v>1017.5538655623317</v>
      </c>
      <c r="BQ83" s="17">
        <f t="shared" si="59"/>
        <v>2663.7053991568082</v>
      </c>
      <c r="BR83" s="17">
        <f t="shared" si="60"/>
        <v>0</v>
      </c>
      <c r="BS83" s="15">
        <f t="shared" si="29"/>
        <v>0</v>
      </c>
      <c r="BU83" s="14">
        <v>40</v>
      </c>
      <c r="BV83" s="15">
        <f t="shared" si="30"/>
        <v>4</v>
      </c>
      <c r="BW83" s="16">
        <f>(1+INDEX('1 - Input'!$B$34:$E$63,BV83,'1 - Input'!$B$16))^(1/12)-1</f>
        <v>4.1219243192651689E-3</v>
      </c>
      <c r="BX83" s="17">
        <f>'1 - Input'!$B$7*(1+'1 - Input'!$B$12)^(BV83-1)</f>
        <v>2865.2615999999998</v>
      </c>
      <c r="BY83" s="17">
        <f t="shared" si="61"/>
        <v>451630.16940647684</v>
      </c>
      <c r="BZ83" s="17">
        <f t="shared" si="62"/>
        <v>376227.57849520014</v>
      </c>
      <c r="CA83" s="17">
        <f t="shared" si="31"/>
        <v>453491.75478506723</v>
      </c>
      <c r="CB83" s="17">
        <f>IF(CA83&gt;0,'1 - Input'!$B$8/12*CA83,0)</f>
        <v>3401.1881608880039</v>
      </c>
      <c r="CC83" s="17">
        <f t="shared" si="32"/>
        <v>450090.56662417925</v>
      </c>
      <c r="CD83" s="17">
        <f t="shared" si="33"/>
        <v>3401.1881608880039</v>
      </c>
      <c r="CE83" s="17">
        <f>'1 - Input'!$B$22*(CB83-CD83)</f>
        <v>0</v>
      </c>
      <c r="CF83" s="17">
        <f t="shared" si="34"/>
        <v>3401.1881608880039</v>
      </c>
      <c r="CG83" s="17">
        <f t="shared" si="35"/>
        <v>372826.39033431216</v>
      </c>
      <c r="CH83" s="17">
        <f>IF('1 - Input'!$B$17=1,MAX(0,CF83-BX83),0)</f>
        <v>535.92656088800413</v>
      </c>
      <c r="CI83" s="17">
        <f>IF('1 - Input'!$B$17=1,MAX(0,BX83-CF83),0)</f>
        <v>0</v>
      </c>
      <c r="CJ83" s="17">
        <f t="shared" si="36"/>
        <v>0.17166362065611085</v>
      </c>
      <c r="CK83" s="17">
        <f>IF(AND(CI83&gt;0,CC83&gt;0),CI83/(1-'1 - Input'!$B$22*CJ83),0)</f>
        <v>0</v>
      </c>
      <c r="CL83" s="17">
        <f t="shared" si="37"/>
        <v>0</v>
      </c>
      <c r="CM83" s="17">
        <f>'1 - Input'!$B$22*CJ83*CL83</f>
        <v>0</v>
      </c>
      <c r="CN83" s="17">
        <f t="shared" si="38"/>
        <v>0</v>
      </c>
      <c r="CO83" s="17">
        <f t="shared" si="39"/>
        <v>0</v>
      </c>
      <c r="CP83" s="17">
        <f t="shared" si="40"/>
        <v>0</v>
      </c>
      <c r="CQ83" s="17">
        <f t="shared" si="41"/>
        <v>450626.49318506726</v>
      </c>
      <c r="CR83" s="17">
        <f t="shared" si="42"/>
        <v>373362.31689520017</v>
      </c>
      <c r="CS83" s="17">
        <f>IF(MOD(BU83,12)=0,CQ83*'1 - Input'!$B$23,0)</f>
        <v>0</v>
      </c>
      <c r="CT83" s="17">
        <f t="shared" si="43"/>
        <v>450626.49318506726</v>
      </c>
      <c r="CU83" s="17">
        <f>IF(MOD(BU83,12)=0,CR83*(1-'1 - Input'!$B$23),CR83)</f>
        <v>373362.31689520017</v>
      </c>
      <c r="CV83" s="17">
        <f>IF('1 - Input'!$B$17=1,MIN(CF83,BX83)+CN83,CF83)</f>
        <v>2865.2615999999998</v>
      </c>
      <c r="CW83" s="17">
        <f t="shared" si="63"/>
        <v>110618.00640000001</v>
      </c>
      <c r="CX83" s="17">
        <f t="shared" si="64"/>
        <v>0</v>
      </c>
      <c r="CY83" s="17">
        <f t="shared" si="65"/>
        <v>0</v>
      </c>
      <c r="CZ83" s="17">
        <f t="shared" si="66"/>
        <v>0</v>
      </c>
      <c r="DA83" s="17">
        <f t="shared" si="67"/>
        <v>2801.690886927568</v>
      </c>
      <c r="DB83" s="17">
        <f t="shared" si="68"/>
        <v>0</v>
      </c>
      <c r="DC83" s="15">
        <f t="shared" si="44"/>
        <v>0</v>
      </c>
    </row>
    <row r="84" spans="1:107">
      <c r="A84" s="14">
        <v>41</v>
      </c>
      <c r="B84" s="15">
        <f t="shared" si="0"/>
        <v>4</v>
      </c>
      <c r="C84" s="16">
        <f>(1+INDEX('1 - Input'!$B$34:$E$63,B84,'1 - Input'!$B$16))^(1/12)-1</f>
        <v>4.1219243192651689E-3</v>
      </c>
      <c r="D84" s="17">
        <f>'1 - Input'!$B$7*(1+'1 - Input'!$B$12)^(B84-1)</f>
        <v>2865.2615999999998</v>
      </c>
      <c r="E84" s="17">
        <f t="shared" si="45"/>
        <v>412312.46834463638</v>
      </c>
      <c r="F84" s="17">
        <f t="shared" si="46"/>
        <v>472658.87381011934</v>
      </c>
      <c r="G84" s="17">
        <f t="shared" si="1"/>
        <v>414011.98913504236</v>
      </c>
      <c r="H84" s="17">
        <f>IF(G84&gt;0,'1 - Input'!$B$8/12*G84,0)</f>
        <v>3105.0899185128173</v>
      </c>
      <c r="I84" s="17">
        <f t="shared" si="2"/>
        <v>410906.89921652956</v>
      </c>
      <c r="J84" s="17">
        <f t="shared" si="3"/>
        <v>0</v>
      </c>
      <c r="K84" s="17">
        <f>'1 - Input'!$B$22*(H84-J84)</f>
        <v>807.32337881333251</v>
      </c>
      <c r="L84" s="17">
        <f t="shared" si="4"/>
        <v>2297.7665396994848</v>
      </c>
      <c r="M84" s="17">
        <f t="shared" si="5"/>
        <v>472658.87381011934</v>
      </c>
      <c r="N84" s="17">
        <f>IF('1 - Input'!$B$17=1,MAX(0,L84-D84),0)</f>
        <v>0</v>
      </c>
      <c r="O84" s="17">
        <f>IF('1 - Input'!$B$17=1,MAX(0,D84-L84),0)</f>
        <v>567.49506030051498</v>
      </c>
      <c r="P84" s="17">
        <f t="shared" si="6"/>
        <v>0</v>
      </c>
      <c r="Q84" s="17">
        <f>IF(AND(O84&gt;0,I84&gt;0),O84/(1-'1 - Input'!$B$22*P84),0)</f>
        <v>567.49506030051498</v>
      </c>
      <c r="R84" s="17">
        <f t="shared" si="7"/>
        <v>567.49506030051498</v>
      </c>
      <c r="S84" s="17">
        <f>'1 - Input'!$B$22*P84*R84</f>
        <v>0</v>
      </c>
      <c r="T84" s="17">
        <f t="shared" si="8"/>
        <v>567.49506030051498</v>
      </c>
      <c r="U84" s="17">
        <f t="shared" si="9"/>
        <v>0</v>
      </c>
      <c r="V84" s="17">
        <f t="shared" si="10"/>
        <v>85.284380993560603</v>
      </c>
      <c r="W84" s="17">
        <f t="shared" si="11"/>
        <v>410339.40415622905</v>
      </c>
      <c r="X84" s="17">
        <f t="shared" si="12"/>
        <v>472006.09436882526</v>
      </c>
      <c r="Y84" s="17">
        <f>IF(MOD(A84,12)=0,W84*'1 - Input'!$B$23,0)</f>
        <v>0</v>
      </c>
      <c r="Z84" s="17">
        <f t="shared" si="13"/>
        <v>410339.40415622905</v>
      </c>
      <c r="AA84" s="17">
        <f>IF(MOD(A84,12)=0,X84*(1-'1 - Input'!$B$23),X84)</f>
        <v>472006.09436882526</v>
      </c>
      <c r="AB84" s="17">
        <f>IF('1 - Input'!$B$17=1,MIN(L84,D84)+T84,L84)</f>
        <v>2865.2615999999998</v>
      </c>
      <c r="AC84" s="17">
        <f t="shared" si="47"/>
        <v>113483.26800000001</v>
      </c>
      <c r="AD84" s="17">
        <f t="shared" si="48"/>
        <v>36182.505144116934</v>
      </c>
      <c r="AE84" s="17">
        <f t="shared" si="49"/>
        <v>0</v>
      </c>
      <c r="AF84" s="17">
        <f t="shared" si="50"/>
        <v>1102.8382465558923</v>
      </c>
      <c r="AG84" s="17">
        <f t="shared" si="51"/>
        <v>2663.7053991568082</v>
      </c>
      <c r="AH84" s="17">
        <f t="shared" si="52"/>
        <v>0</v>
      </c>
      <c r="AI84" s="15">
        <f t="shared" si="14"/>
        <v>0</v>
      </c>
      <c r="AK84" s="14">
        <v>41</v>
      </c>
      <c r="AL84" s="15">
        <f t="shared" si="15"/>
        <v>4</v>
      </c>
      <c r="AM84" s="16">
        <f>(1+INDEX('1 - Input'!$B$34:$E$63,AL84,'1 - Input'!$B$16))^(1/12)-1</f>
        <v>4.1219243192651689E-3</v>
      </c>
      <c r="AN84" s="17">
        <f>'1 - Input'!$B$7*(1+'1 - Input'!$B$12)^(AL84-1)</f>
        <v>2865.2615999999998</v>
      </c>
      <c r="AO84" s="17">
        <f t="shared" si="53"/>
        <v>412312.46834463638</v>
      </c>
      <c r="AP84" s="17">
        <f t="shared" si="54"/>
        <v>472658.87381011934</v>
      </c>
      <c r="AQ84" s="17">
        <f t="shared" si="16"/>
        <v>414011.98913504236</v>
      </c>
      <c r="AR84" s="17">
        <f>IF(AQ84&gt;0,'1 - Input'!$B$8/12*AQ84,0)</f>
        <v>3105.0899185128173</v>
      </c>
      <c r="AS84" s="17">
        <f t="shared" si="17"/>
        <v>410906.89921652956</v>
      </c>
      <c r="AT84" s="17">
        <f t="shared" si="18"/>
        <v>0</v>
      </c>
      <c r="AU84" s="17">
        <f>'1 - Input'!$B$22*(AR84-AT84)</f>
        <v>807.32337881333251</v>
      </c>
      <c r="AV84" s="17">
        <f t="shared" si="19"/>
        <v>2297.7665396994848</v>
      </c>
      <c r="AW84" s="17">
        <f t="shared" si="20"/>
        <v>472658.87381011934</v>
      </c>
      <c r="AX84" s="17">
        <f>IF('1 - Input'!$B$17=1,MAX(0,AV84-AN84),0)</f>
        <v>0</v>
      </c>
      <c r="AY84" s="17">
        <f>IF('1 - Input'!$B$17=1,MAX(0,AN84-AV84),0)</f>
        <v>567.49506030051498</v>
      </c>
      <c r="AZ84" s="17">
        <f t="shared" si="21"/>
        <v>0</v>
      </c>
      <c r="BA84" s="17">
        <f>IF(AND(AY84&gt;0,AS84&gt;0),AY84/(1-'1 - Input'!$B$22*AZ84),0)</f>
        <v>567.49506030051498</v>
      </c>
      <c r="BB84" s="17">
        <f t="shared" si="22"/>
        <v>567.49506030051498</v>
      </c>
      <c r="BC84" s="17">
        <f>'1 - Input'!$B$22*AZ84*BB84</f>
        <v>0</v>
      </c>
      <c r="BD84" s="17">
        <f t="shared" si="23"/>
        <v>567.49506030051498</v>
      </c>
      <c r="BE84" s="17">
        <f t="shared" si="24"/>
        <v>0</v>
      </c>
      <c r="BF84" s="17">
        <f t="shared" si="25"/>
        <v>85.284380993560603</v>
      </c>
      <c r="BG84" s="17">
        <f t="shared" si="26"/>
        <v>410339.40415622905</v>
      </c>
      <c r="BH84" s="17">
        <f t="shared" si="27"/>
        <v>472006.09436882526</v>
      </c>
      <c r="BI84" s="17">
        <f>IF(MOD(AK84,12)=0,BG84*'1 - Input'!$B$23,0)</f>
        <v>0</v>
      </c>
      <c r="BJ84" s="17">
        <f t="shared" si="28"/>
        <v>410339.40415622905</v>
      </c>
      <c r="BK84" s="17">
        <f>IF(MOD(AK84,12)=0,BH84*(1-'1 - Input'!$B$23),BH84)</f>
        <v>472006.09436882526</v>
      </c>
      <c r="BL84" s="17">
        <f>IF('1 - Input'!$B$17=1,MIN(AV84,AN84)+BD84,AV84)</f>
        <v>2865.2615999999998</v>
      </c>
      <c r="BM84" s="17">
        <f t="shared" si="55"/>
        <v>113483.26800000001</v>
      </c>
      <c r="BN84" s="17">
        <f t="shared" si="56"/>
        <v>36182.505144116934</v>
      </c>
      <c r="BO84" s="17">
        <f t="shared" si="57"/>
        <v>0</v>
      </c>
      <c r="BP84" s="17">
        <f t="shared" si="58"/>
        <v>1102.8382465558923</v>
      </c>
      <c r="BQ84" s="17">
        <f t="shared" si="59"/>
        <v>2663.7053991568082</v>
      </c>
      <c r="BR84" s="17">
        <f t="shared" si="60"/>
        <v>0</v>
      </c>
      <c r="BS84" s="15">
        <f t="shared" si="29"/>
        <v>0</v>
      </c>
      <c r="BU84" s="14">
        <v>41</v>
      </c>
      <c r="BV84" s="15">
        <f t="shared" si="30"/>
        <v>4</v>
      </c>
      <c r="BW84" s="16">
        <f>(1+INDEX('1 - Input'!$B$34:$E$63,BV84,'1 - Input'!$B$16))^(1/12)-1</f>
        <v>4.1219243192651689E-3</v>
      </c>
      <c r="BX84" s="17">
        <f>'1 - Input'!$B$7*(1+'1 - Input'!$B$12)^(BV84-1)</f>
        <v>2865.2615999999998</v>
      </c>
      <c r="BY84" s="17">
        <f t="shared" si="61"/>
        <v>450626.49318506726</v>
      </c>
      <c r="BZ84" s="17">
        <f t="shared" si="62"/>
        <v>373362.31689520017</v>
      </c>
      <c r="CA84" s="17">
        <f t="shared" si="31"/>
        <v>452483.94148623198</v>
      </c>
      <c r="CB84" s="17">
        <f>IF(CA84&gt;0,'1 - Input'!$B$8/12*CA84,0)</f>
        <v>3393.6295611467399</v>
      </c>
      <c r="CC84" s="17">
        <f t="shared" si="32"/>
        <v>449090.31192508526</v>
      </c>
      <c r="CD84" s="17">
        <f t="shared" si="33"/>
        <v>3393.6295611467399</v>
      </c>
      <c r="CE84" s="17">
        <f>'1 - Input'!$B$22*(CB84-CD84)</f>
        <v>0</v>
      </c>
      <c r="CF84" s="17">
        <f t="shared" si="34"/>
        <v>3393.6295611467399</v>
      </c>
      <c r="CG84" s="17">
        <f t="shared" si="35"/>
        <v>369968.68733405345</v>
      </c>
      <c r="CH84" s="17">
        <f>IF('1 - Input'!$B$17=1,MAX(0,CF84-BX84),0)</f>
        <v>528.36796114674007</v>
      </c>
      <c r="CI84" s="17">
        <f>IF('1 - Input'!$B$17=1,MAX(0,BX84-CF84),0)</f>
        <v>0</v>
      </c>
      <c r="CJ84" s="17">
        <f t="shared" si="36"/>
        <v>0.17618198943519059</v>
      </c>
      <c r="CK84" s="17">
        <f>IF(AND(CI84&gt;0,CC84&gt;0),CI84/(1-'1 - Input'!$B$22*CJ84),0)</f>
        <v>0</v>
      </c>
      <c r="CL84" s="17">
        <f t="shared" si="37"/>
        <v>0</v>
      </c>
      <c r="CM84" s="17">
        <f>'1 - Input'!$B$22*CJ84*CL84</f>
        <v>0</v>
      </c>
      <c r="CN84" s="17">
        <f t="shared" si="38"/>
        <v>0</v>
      </c>
      <c r="CO84" s="17">
        <f t="shared" si="39"/>
        <v>0</v>
      </c>
      <c r="CP84" s="17">
        <f t="shared" si="40"/>
        <v>0</v>
      </c>
      <c r="CQ84" s="17">
        <f t="shared" si="41"/>
        <v>449618.67988623201</v>
      </c>
      <c r="CR84" s="17">
        <f t="shared" si="42"/>
        <v>370497.0552952002</v>
      </c>
      <c r="CS84" s="17">
        <f>IF(MOD(BU84,12)=0,CQ84*'1 - Input'!$B$23,0)</f>
        <v>0</v>
      </c>
      <c r="CT84" s="17">
        <f t="shared" si="43"/>
        <v>449618.67988623201</v>
      </c>
      <c r="CU84" s="17">
        <f>IF(MOD(BU84,12)=0,CR84*(1-'1 - Input'!$B$23),CR84)</f>
        <v>370497.0552952002</v>
      </c>
      <c r="CV84" s="17">
        <f>IF('1 - Input'!$B$17=1,MIN(CF84,BX84)+CN84,CF84)</f>
        <v>2865.2615999999998</v>
      </c>
      <c r="CW84" s="17">
        <f t="shared" si="63"/>
        <v>113483.26800000001</v>
      </c>
      <c r="CX84" s="17">
        <f t="shared" si="64"/>
        <v>0</v>
      </c>
      <c r="CY84" s="17">
        <f t="shared" si="65"/>
        <v>0</v>
      </c>
      <c r="CZ84" s="17">
        <f t="shared" si="66"/>
        <v>0</v>
      </c>
      <c r="DA84" s="17">
        <f t="shared" si="67"/>
        <v>2801.690886927568</v>
      </c>
      <c r="DB84" s="17">
        <f t="shared" si="68"/>
        <v>0</v>
      </c>
      <c r="DC84" s="15">
        <f t="shared" si="44"/>
        <v>0</v>
      </c>
    </row>
    <row r="85" spans="1:107">
      <c r="A85" s="14">
        <v>42</v>
      </c>
      <c r="B85" s="15">
        <f t="shared" si="0"/>
        <v>4</v>
      </c>
      <c r="C85" s="16">
        <f>(1+INDEX('1 - Input'!$B$34:$E$63,B85,'1 - Input'!$B$16))^(1/12)-1</f>
        <v>4.1219243192651689E-3</v>
      </c>
      <c r="D85" s="17">
        <f>'1 - Input'!$B$7*(1+'1 - Input'!$B$12)^(B85-1)</f>
        <v>2865.2615999999998</v>
      </c>
      <c r="E85" s="17">
        <f t="shared" si="45"/>
        <v>410339.40415622905</v>
      </c>
      <c r="F85" s="17">
        <f t="shared" si="46"/>
        <v>472006.09436882526</v>
      </c>
      <c r="G85" s="17">
        <f t="shared" si="1"/>
        <v>412030.79212537338</v>
      </c>
      <c r="H85" s="17">
        <f>IF(G85&gt;0,'1 - Input'!$B$8/12*G85,0)</f>
        <v>3090.2309409403001</v>
      </c>
      <c r="I85" s="17">
        <f t="shared" si="2"/>
        <v>408940.56118443306</v>
      </c>
      <c r="J85" s="17">
        <f t="shared" si="3"/>
        <v>0</v>
      </c>
      <c r="K85" s="17">
        <f>'1 - Input'!$B$22*(H85-J85)</f>
        <v>803.4600446444781</v>
      </c>
      <c r="L85" s="17">
        <f t="shared" si="4"/>
        <v>2286.7708962958222</v>
      </c>
      <c r="M85" s="17">
        <f t="shared" si="5"/>
        <v>472006.09436882526</v>
      </c>
      <c r="N85" s="17">
        <f>IF('1 - Input'!$B$17=1,MAX(0,L85-D85),0)</f>
        <v>0</v>
      </c>
      <c r="O85" s="17">
        <f>IF('1 - Input'!$B$17=1,MAX(0,D85-L85),0)</f>
        <v>578.49070370417758</v>
      </c>
      <c r="P85" s="17">
        <f t="shared" si="6"/>
        <v>0</v>
      </c>
      <c r="Q85" s="17">
        <f>IF(AND(O85&gt;0,I85&gt;0),O85/(1-'1 - Input'!$B$22*P85),0)</f>
        <v>578.49070370417758</v>
      </c>
      <c r="R85" s="17">
        <f t="shared" si="7"/>
        <v>578.49070370417758</v>
      </c>
      <c r="S85" s="17">
        <f>'1 - Input'!$B$22*P85*R85</f>
        <v>0</v>
      </c>
      <c r="T85" s="17">
        <f t="shared" si="8"/>
        <v>578.49070370417758</v>
      </c>
      <c r="U85" s="17">
        <f t="shared" si="9"/>
        <v>0</v>
      </c>
      <c r="V85" s="17">
        <f t="shared" si="10"/>
        <v>89.213025398242152</v>
      </c>
      <c r="W85" s="17">
        <f t="shared" si="11"/>
        <v>408362.07048072887</v>
      </c>
      <c r="X85" s="17">
        <f t="shared" si="12"/>
        <v>471338.39063972287</v>
      </c>
      <c r="Y85" s="17">
        <f>IF(MOD(A85,12)=0,W85*'1 - Input'!$B$23,0)</f>
        <v>0</v>
      </c>
      <c r="Z85" s="17">
        <f t="shared" si="13"/>
        <v>408362.07048072887</v>
      </c>
      <c r="AA85" s="17">
        <f>IF(MOD(A85,12)=0,X85*(1-'1 - Input'!$B$23),X85)</f>
        <v>471338.39063972287</v>
      </c>
      <c r="AB85" s="17">
        <f>IF('1 - Input'!$B$17=1,MIN(L85,D85)+T85,L85)</f>
        <v>2865.2615999999998</v>
      </c>
      <c r="AC85" s="17">
        <f t="shared" si="47"/>
        <v>116348.52960000001</v>
      </c>
      <c r="AD85" s="17">
        <f t="shared" si="48"/>
        <v>36985.965188761409</v>
      </c>
      <c r="AE85" s="17">
        <f t="shared" si="49"/>
        <v>0</v>
      </c>
      <c r="AF85" s="17">
        <f t="shared" si="50"/>
        <v>1192.0512719541343</v>
      </c>
      <c r="AG85" s="17">
        <f t="shared" si="51"/>
        <v>2663.7053991568082</v>
      </c>
      <c r="AH85" s="17">
        <f t="shared" si="52"/>
        <v>0</v>
      </c>
      <c r="AI85" s="15">
        <f t="shared" si="14"/>
        <v>0</v>
      </c>
      <c r="AK85" s="14">
        <v>42</v>
      </c>
      <c r="AL85" s="15">
        <f t="shared" si="15"/>
        <v>4</v>
      </c>
      <c r="AM85" s="16">
        <f>(1+INDEX('1 - Input'!$B$34:$E$63,AL85,'1 - Input'!$B$16))^(1/12)-1</f>
        <v>4.1219243192651689E-3</v>
      </c>
      <c r="AN85" s="17">
        <f>'1 - Input'!$B$7*(1+'1 - Input'!$B$12)^(AL85-1)</f>
        <v>2865.2615999999998</v>
      </c>
      <c r="AO85" s="17">
        <f t="shared" si="53"/>
        <v>410339.40415622905</v>
      </c>
      <c r="AP85" s="17">
        <f t="shared" si="54"/>
        <v>472006.09436882526</v>
      </c>
      <c r="AQ85" s="17">
        <f t="shared" si="16"/>
        <v>412030.79212537338</v>
      </c>
      <c r="AR85" s="17">
        <f>IF(AQ85&gt;0,'1 - Input'!$B$8/12*AQ85,0)</f>
        <v>3090.2309409403001</v>
      </c>
      <c r="AS85" s="17">
        <f t="shared" si="17"/>
        <v>408940.56118443306</v>
      </c>
      <c r="AT85" s="17">
        <f t="shared" si="18"/>
        <v>0</v>
      </c>
      <c r="AU85" s="17">
        <f>'1 - Input'!$B$22*(AR85-AT85)</f>
        <v>803.4600446444781</v>
      </c>
      <c r="AV85" s="17">
        <f t="shared" si="19"/>
        <v>2286.7708962958222</v>
      </c>
      <c r="AW85" s="17">
        <f t="shared" si="20"/>
        <v>472006.09436882526</v>
      </c>
      <c r="AX85" s="17">
        <f>IF('1 - Input'!$B$17=1,MAX(0,AV85-AN85),0)</f>
        <v>0</v>
      </c>
      <c r="AY85" s="17">
        <f>IF('1 - Input'!$B$17=1,MAX(0,AN85-AV85),0)</f>
        <v>578.49070370417758</v>
      </c>
      <c r="AZ85" s="17">
        <f t="shared" si="21"/>
        <v>0</v>
      </c>
      <c r="BA85" s="17">
        <f>IF(AND(AY85&gt;0,AS85&gt;0),AY85/(1-'1 - Input'!$B$22*AZ85),0)</f>
        <v>578.49070370417758</v>
      </c>
      <c r="BB85" s="17">
        <f t="shared" si="22"/>
        <v>578.49070370417758</v>
      </c>
      <c r="BC85" s="17">
        <f>'1 - Input'!$B$22*AZ85*BB85</f>
        <v>0</v>
      </c>
      <c r="BD85" s="17">
        <f t="shared" si="23"/>
        <v>578.49070370417758</v>
      </c>
      <c r="BE85" s="17">
        <f t="shared" si="24"/>
        <v>0</v>
      </c>
      <c r="BF85" s="17">
        <f t="shared" si="25"/>
        <v>89.213025398242152</v>
      </c>
      <c r="BG85" s="17">
        <f t="shared" si="26"/>
        <v>408362.07048072887</v>
      </c>
      <c r="BH85" s="17">
        <f t="shared" si="27"/>
        <v>471338.39063972287</v>
      </c>
      <c r="BI85" s="17">
        <f>IF(MOD(AK85,12)=0,BG85*'1 - Input'!$B$23,0)</f>
        <v>0</v>
      </c>
      <c r="BJ85" s="17">
        <f t="shared" si="28"/>
        <v>408362.07048072887</v>
      </c>
      <c r="BK85" s="17">
        <f>IF(MOD(AK85,12)=0,BH85*(1-'1 - Input'!$B$23),BH85)</f>
        <v>471338.39063972287</v>
      </c>
      <c r="BL85" s="17">
        <f>IF('1 - Input'!$B$17=1,MIN(AV85,AN85)+BD85,AV85)</f>
        <v>2865.2615999999998</v>
      </c>
      <c r="BM85" s="17">
        <f t="shared" si="55"/>
        <v>116348.52960000001</v>
      </c>
      <c r="BN85" s="17">
        <f t="shared" si="56"/>
        <v>36985.965188761409</v>
      </c>
      <c r="BO85" s="17">
        <f t="shared" si="57"/>
        <v>0</v>
      </c>
      <c r="BP85" s="17">
        <f t="shared" si="58"/>
        <v>1192.0512719541343</v>
      </c>
      <c r="BQ85" s="17">
        <f t="shared" si="59"/>
        <v>2663.7053991568082</v>
      </c>
      <c r="BR85" s="17">
        <f t="shared" si="60"/>
        <v>0</v>
      </c>
      <c r="BS85" s="15">
        <f t="shared" si="29"/>
        <v>0</v>
      </c>
      <c r="BU85" s="14">
        <v>42</v>
      </c>
      <c r="BV85" s="15">
        <f t="shared" si="30"/>
        <v>4</v>
      </c>
      <c r="BW85" s="16">
        <f>(1+INDEX('1 - Input'!$B$34:$E$63,BV85,'1 - Input'!$B$16))^(1/12)-1</f>
        <v>4.1219243192651689E-3</v>
      </c>
      <c r="BX85" s="17">
        <f>'1 - Input'!$B$7*(1+'1 - Input'!$B$12)^(BV85-1)</f>
        <v>2865.2615999999998</v>
      </c>
      <c r="BY85" s="17">
        <f t="shared" si="61"/>
        <v>449618.67988623201</v>
      </c>
      <c r="BZ85" s="17">
        <f t="shared" si="62"/>
        <v>370497.0552952002</v>
      </c>
      <c r="CA85" s="17">
        <f t="shared" si="31"/>
        <v>451471.97405725095</v>
      </c>
      <c r="CB85" s="17">
        <f>IF(CA85&gt;0,'1 - Input'!$B$8/12*CA85,0)</f>
        <v>3386.0398054293819</v>
      </c>
      <c r="CC85" s="17">
        <f t="shared" si="32"/>
        <v>448085.93425182154</v>
      </c>
      <c r="CD85" s="17">
        <f t="shared" si="33"/>
        <v>3386.0398054293819</v>
      </c>
      <c r="CE85" s="17">
        <f>'1 - Input'!$B$22*(CB85-CD85)</f>
        <v>0</v>
      </c>
      <c r="CF85" s="17">
        <f t="shared" si="34"/>
        <v>3386.0398054293819</v>
      </c>
      <c r="CG85" s="17">
        <f t="shared" si="35"/>
        <v>367111.0154897708</v>
      </c>
      <c r="CH85" s="17">
        <f>IF('1 - Input'!$B$17=1,MAX(0,CF85-BX85),0)</f>
        <v>520.77820542938207</v>
      </c>
      <c r="CI85" s="17">
        <f>IF('1 - Input'!$B$17=1,MAX(0,BX85-CF85),0)</f>
        <v>0</v>
      </c>
      <c r="CJ85" s="17">
        <f t="shared" si="36"/>
        <v>0.18071292261663219</v>
      </c>
      <c r="CK85" s="17">
        <f>IF(AND(CI85&gt;0,CC85&gt;0),CI85/(1-'1 - Input'!$B$22*CJ85),0)</f>
        <v>0</v>
      </c>
      <c r="CL85" s="17">
        <f t="shared" si="37"/>
        <v>0</v>
      </c>
      <c r="CM85" s="17">
        <f>'1 - Input'!$B$22*CJ85*CL85</f>
        <v>0</v>
      </c>
      <c r="CN85" s="17">
        <f t="shared" si="38"/>
        <v>0</v>
      </c>
      <c r="CO85" s="17">
        <f t="shared" si="39"/>
        <v>0</v>
      </c>
      <c r="CP85" s="17">
        <f t="shared" si="40"/>
        <v>0</v>
      </c>
      <c r="CQ85" s="17">
        <f t="shared" si="41"/>
        <v>448606.71245725092</v>
      </c>
      <c r="CR85" s="17">
        <f t="shared" si="42"/>
        <v>367631.79369520018</v>
      </c>
      <c r="CS85" s="17">
        <f>IF(MOD(BU85,12)=0,CQ85*'1 - Input'!$B$23,0)</f>
        <v>0</v>
      </c>
      <c r="CT85" s="17">
        <f t="shared" si="43"/>
        <v>448606.71245725092</v>
      </c>
      <c r="CU85" s="17">
        <f>IF(MOD(BU85,12)=0,CR85*(1-'1 - Input'!$B$23),CR85)</f>
        <v>367631.79369520018</v>
      </c>
      <c r="CV85" s="17">
        <f>IF('1 - Input'!$B$17=1,MIN(CF85,BX85)+CN85,CF85)</f>
        <v>2865.2615999999998</v>
      </c>
      <c r="CW85" s="17">
        <f t="shared" si="63"/>
        <v>116348.52960000001</v>
      </c>
      <c r="CX85" s="17">
        <f t="shared" si="64"/>
        <v>0</v>
      </c>
      <c r="CY85" s="17">
        <f t="shared" si="65"/>
        <v>0</v>
      </c>
      <c r="CZ85" s="17">
        <f t="shared" si="66"/>
        <v>0</v>
      </c>
      <c r="DA85" s="17">
        <f t="shared" si="67"/>
        <v>2801.690886927568</v>
      </c>
      <c r="DB85" s="17">
        <f t="shared" si="68"/>
        <v>0</v>
      </c>
      <c r="DC85" s="15">
        <f t="shared" si="44"/>
        <v>0</v>
      </c>
    </row>
    <row r="86" spans="1:107">
      <c r="A86" s="14">
        <v>43</v>
      </c>
      <c r="B86" s="15">
        <f t="shared" si="0"/>
        <v>4</v>
      </c>
      <c r="C86" s="16">
        <f>(1+INDEX('1 - Input'!$B$34:$E$63,B86,'1 - Input'!$B$16))^(1/12)-1</f>
        <v>4.1219243192651689E-3</v>
      </c>
      <c r="D86" s="17">
        <f>'1 - Input'!$B$7*(1+'1 - Input'!$B$12)^(B86-1)</f>
        <v>2865.2615999999998</v>
      </c>
      <c r="E86" s="17">
        <f t="shared" si="45"/>
        <v>408362.07048072887</v>
      </c>
      <c r="F86" s="17">
        <f t="shared" si="46"/>
        <v>471338.39063972287</v>
      </c>
      <c r="G86" s="17">
        <f t="shared" si="1"/>
        <v>410045.30803010886</v>
      </c>
      <c r="H86" s="17">
        <f>IF(G86&gt;0,'1 - Input'!$B$8/12*G86,0)</f>
        <v>3075.3398102258166</v>
      </c>
      <c r="I86" s="17">
        <f t="shared" si="2"/>
        <v>406969.96821988304</v>
      </c>
      <c r="J86" s="17">
        <f t="shared" si="3"/>
        <v>0</v>
      </c>
      <c r="K86" s="17">
        <f>'1 - Input'!$B$22*(H86-J86)</f>
        <v>799.58835065871233</v>
      </c>
      <c r="L86" s="17">
        <f t="shared" si="4"/>
        <v>2275.7514595671041</v>
      </c>
      <c r="M86" s="17">
        <f t="shared" si="5"/>
        <v>471338.39063972287</v>
      </c>
      <c r="N86" s="17">
        <f>IF('1 - Input'!$B$17=1,MAX(0,L86-D86),0)</f>
        <v>0</v>
      </c>
      <c r="O86" s="17">
        <f>IF('1 - Input'!$B$17=1,MAX(0,D86-L86),0)</f>
        <v>589.5101404328957</v>
      </c>
      <c r="P86" s="17">
        <f t="shared" si="6"/>
        <v>0</v>
      </c>
      <c r="Q86" s="17">
        <f>IF(AND(O86&gt;0,I86&gt;0),O86/(1-'1 - Input'!$B$22*P86),0)</f>
        <v>589.5101404328957</v>
      </c>
      <c r="R86" s="17">
        <f t="shared" si="7"/>
        <v>589.5101404328957</v>
      </c>
      <c r="S86" s="17">
        <f>'1 - Input'!$B$22*P86*R86</f>
        <v>0</v>
      </c>
      <c r="T86" s="17">
        <f t="shared" si="8"/>
        <v>589.5101404328957</v>
      </c>
      <c r="U86" s="17">
        <f t="shared" si="9"/>
        <v>0</v>
      </c>
      <c r="V86" s="17">
        <f t="shared" si="10"/>
        <v>93.239896560774881</v>
      </c>
      <c r="W86" s="17">
        <f t="shared" si="11"/>
        <v>406380.45807945012</v>
      </c>
      <c r="X86" s="17">
        <f t="shared" si="12"/>
        <v>470655.64060272923</v>
      </c>
      <c r="Y86" s="17">
        <f>IF(MOD(A86,12)=0,W86*'1 - Input'!$B$23,0)</f>
        <v>0</v>
      </c>
      <c r="Z86" s="17">
        <f t="shared" si="13"/>
        <v>406380.45807945012</v>
      </c>
      <c r="AA86" s="17">
        <f>IF(MOD(A86,12)=0,X86*(1-'1 - Input'!$B$23),X86)</f>
        <v>470655.64060272923</v>
      </c>
      <c r="AB86" s="17">
        <f>IF('1 - Input'!$B$17=1,MIN(L86,D86)+T86,L86)</f>
        <v>2865.2615999999998</v>
      </c>
      <c r="AC86" s="17">
        <f t="shared" si="47"/>
        <v>119213.79120000001</v>
      </c>
      <c r="AD86" s="17">
        <f t="shared" si="48"/>
        <v>37785.553539420122</v>
      </c>
      <c r="AE86" s="17">
        <f t="shared" si="49"/>
        <v>0</v>
      </c>
      <c r="AF86" s="17">
        <f t="shared" si="50"/>
        <v>1285.2911685149093</v>
      </c>
      <c r="AG86" s="17">
        <f t="shared" si="51"/>
        <v>2663.7053991568082</v>
      </c>
      <c r="AH86" s="17">
        <f t="shared" si="52"/>
        <v>0</v>
      </c>
      <c r="AI86" s="15">
        <f t="shared" si="14"/>
        <v>0</v>
      </c>
      <c r="AK86" s="14">
        <v>43</v>
      </c>
      <c r="AL86" s="15">
        <f t="shared" si="15"/>
        <v>4</v>
      </c>
      <c r="AM86" s="16">
        <f>(1+INDEX('1 - Input'!$B$34:$E$63,AL86,'1 - Input'!$B$16))^(1/12)-1</f>
        <v>4.1219243192651689E-3</v>
      </c>
      <c r="AN86" s="17">
        <f>'1 - Input'!$B$7*(1+'1 - Input'!$B$12)^(AL86-1)</f>
        <v>2865.2615999999998</v>
      </c>
      <c r="AO86" s="17">
        <f t="shared" si="53"/>
        <v>408362.07048072887</v>
      </c>
      <c r="AP86" s="17">
        <f t="shared" si="54"/>
        <v>471338.39063972287</v>
      </c>
      <c r="AQ86" s="17">
        <f t="shared" si="16"/>
        <v>410045.30803010886</v>
      </c>
      <c r="AR86" s="17">
        <f>IF(AQ86&gt;0,'1 - Input'!$B$8/12*AQ86,0)</f>
        <v>3075.3398102258166</v>
      </c>
      <c r="AS86" s="17">
        <f t="shared" si="17"/>
        <v>406969.96821988304</v>
      </c>
      <c r="AT86" s="17">
        <f t="shared" si="18"/>
        <v>0</v>
      </c>
      <c r="AU86" s="17">
        <f>'1 - Input'!$B$22*(AR86-AT86)</f>
        <v>799.58835065871233</v>
      </c>
      <c r="AV86" s="17">
        <f t="shared" si="19"/>
        <v>2275.7514595671041</v>
      </c>
      <c r="AW86" s="17">
        <f t="shared" si="20"/>
        <v>471338.39063972287</v>
      </c>
      <c r="AX86" s="17">
        <f>IF('1 - Input'!$B$17=1,MAX(0,AV86-AN86),0)</f>
        <v>0</v>
      </c>
      <c r="AY86" s="17">
        <f>IF('1 - Input'!$B$17=1,MAX(0,AN86-AV86),0)</f>
        <v>589.5101404328957</v>
      </c>
      <c r="AZ86" s="17">
        <f t="shared" si="21"/>
        <v>0</v>
      </c>
      <c r="BA86" s="17">
        <f>IF(AND(AY86&gt;0,AS86&gt;0),AY86/(1-'1 - Input'!$B$22*AZ86),0)</f>
        <v>589.5101404328957</v>
      </c>
      <c r="BB86" s="17">
        <f t="shared" si="22"/>
        <v>589.5101404328957</v>
      </c>
      <c r="BC86" s="17">
        <f>'1 - Input'!$B$22*AZ86*BB86</f>
        <v>0</v>
      </c>
      <c r="BD86" s="17">
        <f t="shared" si="23"/>
        <v>589.5101404328957</v>
      </c>
      <c r="BE86" s="17">
        <f t="shared" si="24"/>
        <v>0</v>
      </c>
      <c r="BF86" s="17">
        <f t="shared" si="25"/>
        <v>93.239896560774881</v>
      </c>
      <c r="BG86" s="17">
        <f t="shared" si="26"/>
        <v>406380.45807945012</v>
      </c>
      <c r="BH86" s="17">
        <f t="shared" si="27"/>
        <v>470655.64060272923</v>
      </c>
      <c r="BI86" s="17">
        <f>IF(MOD(AK86,12)=0,BG86*'1 - Input'!$B$23,0)</f>
        <v>0</v>
      </c>
      <c r="BJ86" s="17">
        <f t="shared" si="28"/>
        <v>406380.45807945012</v>
      </c>
      <c r="BK86" s="17">
        <f>IF(MOD(AK86,12)=0,BH86*(1-'1 - Input'!$B$23),BH86)</f>
        <v>470655.64060272923</v>
      </c>
      <c r="BL86" s="17">
        <f>IF('1 - Input'!$B$17=1,MIN(AV86,AN86)+BD86,AV86)</f>
        <v>2865.2615999999998</v>
      </c>
      <c r="BM86" s="17">
        <f t="shared" si="55"/>
        <v>119213.79120000001</v>
      </c>
      <c r="BN86" s="17">
        <f t="shared" si="56"/>
        <v>37785.553539420122</v>
      </c>
      <c r="BO86" s="17">
        <f t="shared" si="57"/>
        <v>0</v>
      </c>
      <c r="BP86" s="17">
        <f t="shared" si="58"/>
        <v>1285.2911685149093</v>
      </c>
      <c r="BQ86" s="17">
        <f t="shared" si="59"/>
        <v>2663.7053991568082</v>
      </c>
      <c r="BR86" s="17">
        <f t="shared" si="60"/>
        <v>0</v>
      </c>
      <c r="BS86" s="15">
        <f t="shared" si="29"/>
        <v>0</v>
      </c>
      <c r="BU86" s="14">
        <v>43</v>
      </c>
      <c r="BV86" s="15">
        <f t="shared" si="30"/>
        <v>4</v>
      </c>
      <c r="BW86" s="16">
        <f>(1+INDEX('1 - Input'!$B$34:$E$63,BV86,'1 - Input'!$B$16))^(1/12)-1</f>
        <v>4.1219243192651689E-3</v>
      </c>
      <c r="BX86" s="17">
        <f>'1 - Input'!$B$7*(1+'1 - Input'!$B$12)^(BV86-1)</f>
        <v>2865.2615999999998</v>
      </c>
      <c r="BY86" s="17">
        <f t="shared" si="61"/>
        <v>448606.71245725092</v>
      </c>
      <c r="BZ86" s="17">
        <f t="shared" si="62"/>
        <v>367631.79369520018</v>
      </c>
      <c r="CA86" s="17">
        <f t="shared" si="31"/>
        <v>450455.83537511405</v>
      </c>
      <c r="CB86" s="17">
        <f>IF(CA86&gt;0,'1 - Input'!$B$8/12*CA86,0)</f>
        <v>3378.4187653133554</v>
      </c>
      <c r="CC86" s="17">
        <f t="shared" si="32"/>
        <v>447077.41660980071</v>
      </c>
      <c r="CD86" s="17">
        <f t="shared" si="33"/>
        <v>3378.4187653133554</v>
      </c>
      <c r="CE86" s="17">
        <f>'1 - Input'!$B$22*(CB86-CD86)</f>
        <v>0</v>
      </c>
      <c r="CF86" s="17">
        <f t="shared" si="34"/>
        <v>3378.4187653133554</v>
      </c>
      <c r="CG86" s="17">
        <f t="shared" si="35"/>
        <v>364253.37492988684</v>
      </c>
      <c r="CH86" s="17">
        <f>IF('1 - Input'!$B$17=1,MAX(0,CF86-BX86),0)</f>
        <v>513.15716531335556</v>
      </c>
      <c r="CI86" s="17">
        <f>IF('1 - Input'!$B$17=1,MAX(0,BX86-CF86),0)</f>
        <v>0</v>
      </c>
      <c r="CJ86" s="17">
        <f t="shared" si="36"/>
        <v>0.1852565989755659</v>
      </c>
      <c r="CK86" s="17">
        <f>IF(AND(CI86&gt;0,CC86&gt;0),CI86/(1-'1 - Input'!$B$22*CJ86),0)</f>
        <v>0</v>
      </c>
      <c r="CL86" s="17">
        <f t="shared" si="37"/>
        <v>0</v>
      </c>
      <c r="CM86" s="17">
        <f>'1 - Input'!$B$22*CJ86*CL86</f>
        <v>0</v>
      </c>
      <c r="CN86" s="17">
        <f t="shared" si="38"/>
        <v>0</v>
      </c>
      <c r="CO86" s="17">
        <f t="shared" si="39"/>
        <v>0</v>
      </c>
      <c r="CP86" s="17">
        <f t="shared" si="40"/>
        <v>0</v>
      </c>
      <c r="CQ86" s="17">
        <f t="shared" si="41"/>
        <v>447590.57377511408</v>
      </c>
      <c r="CR86" s="17">
        <f t="shared" si="42"/>
        <v>364766.53209520021</v>
      </c>
      <c r="CS86" s="17">
        <f>IF(MOD(BU86,12)=0,CQ86*'1 - Input'!$B$23,0)</f>
        <v>0</v>
      </c>
      <c r="CT86" s="17">
        <f t="shared" si="43"/>
        <v>447590.57377511408</v>
      </c>
      <c r="CU86" s="17">
        <f>IF(MOD(BU86,12)=0,CR86*(1-'1 - Input'!$B$23),CR86)</f>
        <v>364766.53209520021</v>
      </c>
      <c r="CV86" s="17">
        <f>IF('1 - Input'!$B$17=1,MIN(CF86,BX86)+CN86,CF86)</f>
        <v>2865.2615999999998</v>
      </c>
      <c r="CW86" s="17">
        <f t="shared" si="63"/>
        <v>119213.79120000001</v>
      </c>
      <c r="CX86" s="17">
        <f t="shared" si="64"/>
        <v>0</v>
      </c>
      <c r="CY86" s="17">
        <f t="shared" si="65"/>
        <v>0</v>
      </c>
      <c r="CZ86" s="17">
        <f t="shared" si="66"/>
        <v>0</v>
      </c>
      <c r="DA86" s="17">
        <f t="shared" si="67"/>
        <v>2801.690886927568</v>
      </c>
      <c r="DB86" s="17">
        <f t="shared" si="68"/>
        <v>0</v>
      </c>
      <c r="DC86" s="15">
        <f t="shared" si="44"/>
        <v>0</v>
      </c>
    </row>
    <row r="87" spans="1:107">
      <c r="A87" s="14">
        <v>44</v>
      </c>
      <c r="B87" s="15">
        <f t="shared" si="0"/>
        <v>4</v>
      </c>
      <c r="C87" s="16">
        <f>(1+INDEX('1 - Input'!$B$34:$E$63,B87,'1 - Input'!$B$16))^(1/12)-1</f>
        <v>4.1219243192651689E-3</v>
      </c>
      <c r="D87" s="17">
        <f>'1 - Input'!$B$7*(1+'1 - Input'!$B$12)^(B87-1)</f>
        <v>2865.2615999999998</v>
      </c>
      <c r="E87" s="17">
        <f t="shared" si="45"/>
        <v>406380.45807945012</v>
      </c>
      <c r="F87" s="17">
        <f t="shared" si="46"/>
        <v>470655.64060272923</v>
      </c>
      <c r="G87" s="17">
        <f t="shared" si="1"/>
        <v>408055.52757248195</v>
      </c>
      <c r="H87" s="17">
        <f>IF(G87&gt;0,'1 - Input'!$B$8/12*G87,0)</f>
        <v>3060.4164567936145</v>
      </c>
      <c r="I87" s="17">
        <f t="shared" si="2"/>
        <v>404995.11111568834</v>
      </c>
      <c r="J87" s="17">
        <f t="shared" si="3"/>
        <v>0</v>
      </c>
      <c r="K87" s="17">
        <f>'1 - Input'!$B$22*(H87-J87)</f>
        <v>795.70827876633984</v>
      </c>
      <c r="L87" s="17">
        <f t="shared" si="4"/>
        <v>2264.7081780272747</v>
      </c>
      <c r="M87" s="17">
        <f t="shared" si="5"/>
        <v>470655.64060272923</v>
      </c>
      <c r="N87" s="17">
        <f>IF('1 - Input'!$B$17=1,MAX(0,L87-D87),0)</f>
        <v>0</v>
      </c>
      <c r="O87" s="17">
        <f>IF('1 - Input'!$B$17=1,MAX(0,D87-L87),0)</f>
        <v>600.55342197272512</v>
      </c>
      <c r="P87" s="17">
        <f t="shared" si="6"/>
        <v>0</v>
      </c>
      <c r="Q87" s="17">
        <f>IF(AND(O87&gt;0,I87&gt;0),O87/(1-'1 - Input'!$B$22*P87),0)</f>
        <v>600.55342197272512</v>
      </c>
      <c r="R87" s="17">
        <f t="shared" si="7"/>
        <v>600.55342197272512</v>
      </c>
      <c r="S87" s="17">
        <f>'1 - Input'!$B$22*P87*R87</f>
        <v>0</v>
      </c>
      <c r="T87" s="17">
        <f t="shared" si="8"/>
        <v>600.55342197272512</v>
      </c>
      <c r="U87" s="17">
        <f t="shared" si="9"/>
        <v>0</v>
      </c>
      <c r="V87" s="17">
        <f t="shared" si="10"/>
        <v>97.365757239275254</v>
      </c>
      <c r="W87" s="17">
        <f t="shared" si="11"/>
        <v>404394.55769371561</v>
      </c>
      <c r="X87" s="17">
        <f t="shared" si="12"/>
        <v>469957.72142351721</v>
      </c>
      <c r="Y87" s="17">
        <f>IF(MOD(A87,12)=0,W87*'1 - Input'!$B$23,0)</f>
        <v>0</v>
      </c>
      <c r="Z87" s="17">
        <f t="shared" si="13"/>
        <v>404394.55769371561</v>
      </c>
      <c r="AA87" s="17">
        <f>IF(MOD(A87,12)=0,X87*(1-'1 - Input'!$B$23),X87)</f>
        <v>469957.72142351721</v>
      </c>
      <c r="AB87" s="17">
        <f>IF('1 - Input'!$B$17=1,MIN(L87,D87)+T87,L87)</f>
        <v>2865.2615999999998</v>
      </c>
      <c r="AC87" s="17">
        <f t="shared" si="47"/>
        <v>122079.0528</v>
      </c>
      <c r="AD87" s="17">
        <f t="shared" si="48"/>
        <v>38581.26181818646</v>
      </c>
      <c r="AE87" s="17">
        <f t="shared" si="49"/>
        <v>0</v>
      </c>
      <c r="AF87" s="17">
        <f t="shared" si="50"/>
        <v>1382.6569257541846</v>
      </c>
      <c r="AG87" s="17">
        <f t="shared" si="51"/>
        <v>2663.7053991568082</v>
      </c>
      <c r="AH87" s="17">
        <f t="shared" si="52"/>
        <v>0</v>
      </c>
      <c r="AI87" s="15">
        <f t="shared" si="14"/>
        <v>0</v>
      </c>
      <c r="AK87" s="14">
        <v>44</v>
      </c>
      <c r="AL87" s="15">
        <f t="shared" si="15"/>
        <v>4</v>
      </c>
      <c r="AM87" s="16">
        <f>(1+INDEX('1 - Input'!$B$34:$E$63,AL87,'1 - Input'!$B$16))^(1/12)-1</f>
        <v>4.1219243192651689E-3</v>
      </c>
      <c r="AN87" s="17">
        <f>'1 - Input'!$B$7*(1+'1 - Input'!$B$12)^(AL87-1)</f>
        <v>2865.2615999999998</v>
      </c>
      <c r="AO87" s="17">
        <f t="shared" si="53"/>
        <v>406380.45807945012</v>
      </c>
      <c r="AP87" s="17">
        <f t="shared" si="54"/>
        <v>470655.64060272923</v>
      </c>
      <c r="AQ87" s="17">
        <f t="shared" si="16"/>
        <v>408055.52757248195</v>
      </c>
      <c r="AR87" s="17">
        <f>IF(AQ87&gt;0,'1 - Input'!$B$8/12*AQ87,0)</f>
        <v>3060.4164567936145</v>
      </c>
      <c r="AS87" s="17">
        <f t="shared" si="17"/>
        <v>404995.11111568834</v>
      </c>
      <c r="AT87" s="17">
        <f t="shared" si="18"/>
        <v>0</v>
      </c>
      <c r="AU87" s="17">
        <f>'1 - Input'!$B$22*(AR87-AT87)</f>
        <v>795.70827876633984</v>
      </c>
      <c r="AV87" s="17">
        <f t="shared" si="19"/>
        <v>2264.7081780272747</v>
      </c>
      <c r="AW87" s="17">
        <f t="shared" si="20"/>
        <v>470655.64060272923</v>
      </c>
      <c r="AX87" s="17">
        <f>IF('1 - Input'!$B$17=1,MAX(0,AV87-AN87),0)</f>
        <v>0</v>
      </c>
      <c r="AY87" s="17">
        <f>IF('1 - Input'!$B$17=1,MAX(0,AN87-AV87),0)</f>
        <v>600.55342197272512</v>
      </c>
      <c r="AZ87" s="17">
        <f t="shared" si="21"/>
        <v>0</v>
      </c>
      <c r="BA87" s="17">
        <f>IF(AND(AY87&gt;0,AS87&gt;0),AY87/(1-'1 - Input'!$B$22*AZ87),0)</f>
        <v>600.55342197272512</v>
      </c>
      <c r="BB87" s="17">
        <f t="shared" si="22"/>
        <v>600.55342197272512</v>
      </c>
      <c r="BC87" s="17">
        <f>'1 - Input'!$B$22*AZ87*BB87</f>
        <v>0</v>
      </c>
      <c r="BD87" s="17">
        <f t="shared" si="23"/>
        <v>600.55342197272512</v>
      </c>
      <c r="BE87" s="17">
        <f t="shared" si="24"/>
        <v>0</v>
      </c>
      <c r="BF87" s="17">
        <f t="shared" si="25"/>
        <v>97.365757239275254</v>
      </c>
      <c r="BG87" s="17">
        <f t="shared" si="26"/>
        <v>404394.55769371561</v>
      </c>
      <c r="BH87" s="17">
        <f t="shared" si="27"/>
        <v>469957.72142351721</v>
      </c>
      <c r="BI87" s="17">
        <f>IF(MOD(AK87,12)=0,BG87*'1 - Input'!$B$23,0)</f>
        <v>0</v>
      </c>
      <c r="BJ87" s="17">
        <f t="shared" si="28"/>
        <v>404394.55769371561</v>
      </c>
      <c r="BK87" s="17">
        <f>IF(MOD(AK87,12)=0,BH87*(1-'1 - Input'!$B$23),BH87)</f>
        <v>469957.72142351721</v>
      </c>
      <c r="BL87" s="17">
        <f>IF('1 - Input'!$B$17=1,MIN(AV87,AN87)+BD87,AV87)</f>
        <v>2865.2615999999998</v>
      </c>
      <c r="BM87" s="17">
        <f t="shared" si="55"/>
        <v>122079.0528</v>
      </c>
      <c r="BN87" s="17">
        <f t="shared" si="56"/>
        <v>38581.26181818646</v>
      </c>
      <c r="BO87" s="17">
        <f t="shared" si="57"/>
        <v>0</v>
      </c>
      <c r="BP87" s="17">
        <f t="shared" si="58"/>
        <v>1382.6569257541846</v>
      </c>
      <c r="BQ87" s="17">
        <f t="shared" si="59"/>
        <v>2663.7053991568082</v>
      </c>
      <c r="BR87" s="17">
        <f t="shared" si="60"/>
        <v>0</v>
      </c>
      <c r="BS87" s="15">
        <f t="shared" si="29"/>
        <v>0</v>
      </c>
      <c r="BU87" s="14">
        <v>44</v>
      </c>
      <c r="BV87" s="15">
        <f t="shared" si="30"/>
        <v>4</v>
      </c>
      <c r="BW87" s="16">
        <f>(1+INDEX('1 - Input'!$B$34:$E$63,BV87,'1 - Input'!$B$16))^(1/12)-1</f>
        <v>4.1219243192651689E-3</v>
      </c>
      <c r="BX87" s="17">
        <f>'1 - Input'!$B$7*(1+'1 - Input'!$B$12)^(BV87-1)</f>
        <v>2865.2615999999998</v>
      </c>
      <c r="BY87" s="17">
        <f t="shared" si="61"/>
        <v>447590.57377511408</v>
      </c>
      <c r="BZ87" s="17">
        <f t="shared" si="62"/>
        <v>364766.53209520021</v>
      </c>
      <c r="CA87" s="17">
        <f t="shared" si="31"/>
        <v>449435.50824623159</v>
      </c>
      <c r="CB87" s="17">
        <f>IF(CA87&gt;0,'1 - Input'!$B$8/12*CA87,0)</f>
        <v>3370.7663118467367</v>
      </c>
      <c r="CC87" s="17">
        <f t="shared" si="32"/>
        <v>446064.74193438486</v>
      </c>
      <c r="CD87" s="17">
        <f t="shared" si="33"/>
        <v>3370.7663118467367</v>
      </c>
      <c r="CE87" s="17">
        <f>'1 - Input'!$B$22*(CB87-CD87)</f>
        <v>0</v>
      </c>
      <c r="CF87" s="17">
        <f t="shared" si="34"/>
        <v>3370.7663118467367</v>
      </c>
      <c r="CG87" s="17">
        <f t="shared" si="35"/>
        <v>361395.76578335348</v>
      </c>
      <c r="CH87" s="17">
        <f>IF('1 - Input'!$B$17=1,MAX(0,CF87-BX87),0)</f>
        <v>505.50471184673688</v>
      </c>
      <c r="CI87" s="17">
        <f>IF('1 - Input'!$B$17=1,MAX(0,BX87-CF87),0)</f>
        <v>0</v>
      </c>
      <c r="CJ87" s="17">
        <f t="shared" si="36"/>
        <v>0.18981320017327441</v>
      </c>
      <c r="CK87" s="17">
        <f>IF(AND(CI87&gt;0,CC87&gt;0),CI87/(1-'1 - Input'!$B$22*CJ87),0)</f>
        <v>0</v>
      </c>
      <c r="CL87" s="17">
        <f t="shared" si="37"/>
        <v>0</v>
      </c>
      <c r="CM87" s="17">
        <f>'1 - Input'!$B$22*CJ87*CL87</f>
        <v>0</v>
      </c>
      <c r="CN87" s="17">
        <f t="shared" si="38"/>
        <v>0</v>
      </c>
      <c r="CO87" s="17">
        <f t="shared" si="39"/>
        <v>0</v>
      </c>
      <c r="CP87" s="17">
        <f t="shared" si="40"/>
        <v>0</v>
      </c>
      <c r="CQ87" s="17">
        <f t="shared" si="41"/>
        <v>446570.24664623162</v>
      </c>
      <c r="CR87" s="17">
        <f t="shared" si="42"/>
        <v>361901.27049520024</v>
      </c>
      <c r="CS87" s="17">
        <f>IF(MOD(BU87,12)=0,CQ87*'1 - Input'!$B$23,0)</f>
        <v>0</v>
      </c>
      <c r="CT87" s="17">
        <f t="shared" si="43"/>
        <v>446570.24664623162</v>
      </c>
      <c r="CU87" s="17">
        <f>IF(MOD(BU87,12)=0,CR87*(1-'1 - Input'!$B$23),CR87)</f>
        <v>361901.27049520024</v>
      </c>
      <c r="CV87" s="17">
        <f>IF('1 - Input'!$B$17=1,MIN(CF87,BX87)+CN87,CF87)</f>
        <v>2865.2615999999998</v>
      </c>
      <c r="CW87" s="17">
        <f t="shared" si="63"/>
        <v>122079.0528</v>
      </c>
      <c r="CX87" s="17">
        <f t="shared" si="64"/>
        <v>0</v>
      </c>
      <c r="CY87" s="17">
        <f t="shared" si="65"/>
        <v>0</v>
      </c>
      <c r="CZ87" s="17">
        <f t="shared" si="66"/>
        <v>0</v>
      </c>
      <c r="DA87" s="17">
        <f t="shared" si="67"/>
        <v>2801.690886927568</v>
      </c>
      <c r="DB87" s="17">
        <f t="shared" si="68"/>
        <v>0</v>
      </c>
      <c r="DC87" s="15">
        <f t="shared" si="44"/>
        <v>0</v>
      </c>
    </row>
    <row r="88" spans="1:107">
      <c r="A88" s="14">
        <v>45</v>
      </c>
      <c r="B88" s="15">
        <f t="shared" si="0"/>
        <v>4</v>
      </c>
      <c r="C88" s="16">
        <f>(1+INDEX('1 - Input'!$B$34:$E$63,B88,'1 - Input'!$B$16))^(1/12)-1</f>
        <v>4.1219243192651689E-3</v>
      </c>
      <c r="D88" s="17">
        <f>'1 - Input'!$B$7*(1+'1 - Input'!$B$12)^(B88-1)</f>
        <v>2865.2615999999998</v>
      </c>
      <c r="E88" s="17">
        <f t="shared" si="45"/>
        <v>404394.55769371561</v>
      </c>
      <c r="F88" s="17">
        <f t="shared" si="46"/>
        <v>469957.72142351721</v>
      </c>
      <c r="G88" s="17">
        <f t="shared" si="1"/>
        <v>406061.44145565183</v>
      </c>
      <c r="H88" s="17">
        <f>IF(G88&gt;0,'1 - Input'!$B$8/12*G88,0)</f>
        <v>3045.4608109173887</v>
      </c>
      <c r="I88" s="17">
        <f t="shared" si="2"/>
        <v>403015.98064473446</v>
      </c>
      <c r="J88" s="17">
        <f t="shared" si="3"/>
        <v>0</v>
      </c>
      <c r="K88" s="17">
        <f>'1 - Input'!$B$22*(H88-J88)</f>
        <v>791.81981083852111</v>
      </c>
      <c r="L88" s="17">
        <f t="shared" si="4"/>
        <v>2253.6410000788674</v>
      </c>
      <c r="M88" s="17">
        <f t="shared" si="5"/>
        <v>469957.72142351721</v>
      </c>
      <c r="N88" s="17">
        <f>IF('1 - Input'!$B$17=1,MAX(0,L88-D88),0)</f>
        <v>0</v>
      </c>
      <c r="O88" s="17">
        <f>IF('1 - Input'!$B$17=1,MAX(0,D88-L88),0)</f>
        <v>611.62059992113245</v>
      </c>
      <c r="P88" s="17">
        <f t="shared" si="6"/>
        <v>0</v>
      </c>
      <c r="Q88" s="17">
        <f>IF(AND(O88&gt;0,I88&gt;0),O88/(1-'1 - Input'!$B$22*P88),0)</f>
        <v>611.62059992113245</v>
      </c>
      <c r="R88" s="17">
        <f t="shared" si="7"/>
        <v>611.62059992113245</v>
      </c>
      <c r="S88" s="17">
        <f>'1 - Input'!$B$22*P88*R88</f>
        <v>0</v>
      </c>
      <c r="T88" s="17">
        <f t="shared" si="8"/>
        <v>611.62059992113245</v>
      </c>
      <c r="U88" s="17">
        <f t="shared" si="9"/>
        <v>0</v>
      </c>
      <c r="V88" s="17">
        <f t="shared" si="10"/>
        <v>101.59137508489007</v>
      </c>
      <c r="W88" s="17">
        <f t="shared" si="11"/>
        <v>402404.36004481331</v>
      </c>
      <c r="X88" s="17">
        <f t="shared" si="12"/>
        <v>469244.50944851118</v>
      </c>
      <c r="Y88" s="17">
        <f>IF(MOD(A88,12)=0,W88*'1 - Input'!$B$23,0)</f>
        <v>0</v>
      </c>
      <c r="Z88" s="17">
        <f t="shared" si="13"/>
        <v>402404.36004481331</v>
      </c>
      <c r="AA88" s="17">
        <f>IF(MOD(A88,12)=0,X88*(1-'1 - Input'!$B$23),X88)</f>
        <v>469244.50944851118</v>
      </c>
      <c r="AB88" s="17">
        <f>IF('1 - Input'!$B$17=1,MIN(L88,D88)+T88,L88)</f>
        <v>2865.2615999999998</v>
      </c>
      <c r="AC88" s="17">
        <f t="shared" si="47"/>
        <v>124944.3144</v>
      </c>
      <c r="AD88" s="17">
        <f t="shared" si="48"/>
        <v>39373.081629024979</v>
      </c>
      <c r="AE88" s="17">
        <f t="shared" si="49"/>
        <v>0</v>
      </c>
      <c r="AF88" s="17">
        <f t="shared" si="50"/>
        <v>1484.2483008390748</v>
      </c>
      <c r="AG88" s="17">
        <f t="shared" si="51"/>
        <v>2663.7053991568082</v>
      </c>
      <c r="AH88" s="17">
        <f t="shared" si="52"/>
        <v>0</v>
      </c>
      <c r="AI88" s="15">
        <f t="shared" si="14"/>
        <v>0</v>
      </c>
      <c r="AK88" s="14">
        <v>45</v>
      </c>
      <c r="AL88" s="15">
        <f t="shared" si="15"/>
        <v>4</v>
      </c>
      <c r="AM88" s="16">
        <f>(1+INDEX('1 - Input'!$B$34:$E$63,AL88,'1 - Input'!$B$16))^(1/12)-1</f>
        <v>4.1219243192651689E-3</v>
      </c>
      <c r="AN88" s="17">
        <f>'1 - Input'!$B$7*(1+'1 - Input'!$B$12)^(AL88-1)</f>
        <v>2865.2615999999998</v>
      </c>
      <c r="AO88" s="17">
        <f t="shared" si="53"/>
        <v>404394.55769371561</v>
      </c>
      <c r="AP88" s="17">
        <f t="shared" si="54"/>
        <v>469957.72142351721</v>
      </c>
      <c r="AQ88" s="17">
        <f t="shared" si="16"/>
        <v>406061.44145565183</v>
      </c>
      <c r="AR88" s="17">
        <f>IF(AQ88&gt;0,'1 - Input'!$B$8/12*AQ88,0)</f>
        <v>3045.4608109173887</v>
      </c>
      <c r="AS88" s="17">
        <f t="shared" si="17"/>
        <v>403015.98064473446</v>
      </c>
      <c r="AT88" s="17">
        <f t="shared" si="18"/>
        <v>0</v>
      </c>
      <c r="AU88" s="17">
        <f>'1 - Input'!$B$22*(AR88-AT88)</f>
        <v>791.81981083852111</v>
      </c>
      <c r="AV88" s="17">
        <f t="shared" si="19"/>
        <v>2253.6410000788674</v>
      </c>
      <c r="AW88" s="17">
        <f t="shared" si="20"/>
        <v>469957.72142351721</v>
      </c>
      <c r="AX88" s="17">
        <f>IF('1 - Input'!$B$17=1,MAX(0,AV88-AN88),0)</f>
        <v>0</v>
      </c>
      <c r="AY88" s="17">
        <f>IF('1 - Input'!$B$17=1,MAX(0,AN88-AV88),0)</f>
        <v>611.62059992113245</v>
      </c>
      <c r="AZ88" s="17">
        <f t="shared" si="21"/>
        <v>0</v>
      </c>
      <c r="BA88" s="17">
        <f>IF(AND(AY88&gt;0,AS88&gt;0),AY88/(1-'1 - Input'!$B$22*AZ88),0)</f>
        <v>611.62059992113245</v>
      </c>
      <c r="BB88" s="17">
        <f t="shared" si="22"/>
        <v>611.62059992113245</v>
      </c>
      <c r="BC88" s="17">
        <f>'1 - Input'!$B$22*AZ88*BB88</f>
        <v>0</v>
      </c>
      <c r="BD88" s="17">
        <f t="shared" si="23"/>
        <v>611.62059992113245</v>
      </c>
      <c r="BE88" s="17">
        <f t="shared" si="24"/>
        <v>0</v>
      </c>
      <c r="BF88" s="17">
        <f t="shared" si="25"/>
        <v>101.59137508489007</v>
      </c>
      <c r="BG88" s="17">
        <f t="shared" si="26"/>
        <v>402404.36004481331</v>
      </c>
      <c r="BH88" s="17">
        <f t="shared" si="27"/>
        <v>469244.50944851118</v>
      </c>
      <c r="BI88" s="17">
        <f>IF(MOD(AK88,12)=0,BG88*'1 - Input'!$B$23,0)</f>
        <v>0</v>
      </c>
      <c r="BJ88" s="17">
        <f t="shared" si="28"/>
        <v>402404.36004481331</v>
      </c>
      <c r="BK88" s="17">
        <f>IF(MOD(AK88,12)=0,BH88*(1-'1 - Input'!$B$23),BH88)</f>
        <v>469244.50944851118</v>
      </c>
      <c r="BL88" s="17">
        <f>IF('1 - Input'!$B$17=1,MIN(AV88,AN88)+BD88,AV88)</f>
        <v>2865.2615999999998</v>
      </c>
      <c r="BM88" s="17">
        <f t="shared" si="55"/>
        <v>124944.3144</v>
      </c>
      <c r="BN88" s="17">
        <f t="shared" si="56"/>
        <v>39373.081629024979</v>
      </c>
      <c r="BO88" s="17">
        <f t="shared" si="57"/>
        <v>0</v>
      </c>
      <c r="BP88" s="17">
        <f t="shared" si="58"/>
        <v>1484.2483008390748</v>
      </c>
      <c r="BQ88" s="17">
        <f t="shared" si="59"/>
        <v>2663.7053991568082</v>
      </c>
      <c r="BR88" s="17">
        <f t="shared" si="60"/>
        <v>0</v>
      </c>
      <c r="BS88" s="15">
        <f t="shared" si="29"/>
        <v>0</v>
      </c>
      <c r="BU88" s="14">
        <v>45</v>
      </c>
      <c r="BV88" s="15">
        <f t="shared" si="30"/>
        <v>4</v>
      </c>
      <c r="BW88" s="16">
        <f>(1+INDEX('1 - Input'!$B$34:$E$63,BV88,'1 - Input'!$B$16))^(1/12)-1</f>
        <v>4.1219243192651689E-3</v>
      </c>
      <c r="BX88" s="17">
        <f>'1 - Input'!$B$7*(1+'1 - Input'!$B$12)^(BV88-1)</f>
        <v>2865.2615999999998</v>
      </c>
      <c r="BY88" s="17">
        <f t="shared" si="61"/>
        <v>446570.24664623162</v>
      </c>
      <c r="BZ88" s="17">
        <f t="shared" si="62"/>
        <v>361901.27049520024</v>
      </c>
      <c r="CA88" s="17">
        <f t="shared" si="31"/>
        <v>448410.97540614294</v>
      </c>
      <c r="CB88" s="17">
        <f>IF(CA88&gt;0,'1 - Input'!$B$8/12*CA88,0)</f>
        <v>3363.0823155460721</v>
      </c>
      <c r="CC88" s="17">
        <f t="shared" si="32"/>
        <v>445047.89309059689</v>
      </c>
      <c r="CD88" s="17">
        <f t="shared" si="33"/>
        <v>3363.0823155460721</v>
      </c>
      <c r="CE88" s="17">
        <f>'1 - Input'!$B$22*(CB88-CD88)</f>
        <v>0</v>
      </c>
      <c r="CF88" s="17">
        <f t="shared" si="34"/>
        <v>3363.0823155460721</v>
      </c>
      <c r="CG88" s="17">
        <f t="shared" si="35"/>
        <v>358538.18817965419</v>
      </c>
      <c r="CH88" s="17">
        <f>IF('1 - Input'!$B$17=1,MAX(0,CF88-BX88),0)</f>
        <v>497.82071554607228</v>
      </c>
      <c r="CI88" s="17">
        <f>IF('1 - Input'!$B$17=1,MAX(0,BX88-CF88),0)</f>
        <v>0</v>
      </c>
      <c r="CJ88" s="17">
        <f t="shared" si="36"/>
        <v>0.19438291081479675</v>
      </c>
      <c r="CK88" s="17">
        <f>IF(AND(CI88&gt;0,CC88&gt;0),CI88/(1-'1 - Input'!$B$22*CJ88),0)</f>
        <v>0</v>
      </c>
      <c r="CL88" s="17">
        <f t="shared" si="37"/>
        <v>0</v>
      </c>
      <c r="CM88" s="17">
        <f>'1 - Input'!$B$22*CJ88*CL88</f>
        <v>0</v>
      </c>
      <c r="CN88" s="17">
        <f t="shared" si="38"/>
        <v>0</v>
      </c>
      <c r="CO88" s="17">
        <f t="shared" si="39"/>
        <v>0</v>
      </c>
      <c r="CP88" s="17">
        <f t="shared" si="40"/>
        <v>0</v>
      </c>
      <c r="CQ88" s="17">
        <f t="shared" si="41"/>
        <v>445545.71380614297</v>
      </c>
      <c r="CR88" s="17">
        <f t="shared" si="42"/>
        <v>359036.00889520027</v>
      </c>
      <c r="CS88" s="17">
        <f>IF(MOD(BU88,12)=0,CQ88*'1 - Input'!$B$23,0)</f>
        <v>0</v>
      </c>
      <c r="CT88" s="17">
        <f t="shared" si="43"/>
        <v>445545.71380614297</v>
      </c>
      <c r="CU88" s="17">
        <f>IF(MOD(BU88,12)=0,CR88*(1-'1 - Input'!$B$23),CR88)</f>
        <v>359036.00889520027</v>
      </c>
      <c r="CV88" s="17">
        <f>IF('1 - Input'!$B$17=1,MIN(CF88,BX88)+CN88,CF88)</f>
        <v>2865.2615999999998</v>
      </c>
      <c r="CW88" s="17">
        <f t="shared" si="63"/>
        <v>124944.3144</v>
      </c>
      <c r="CX88" s="17">
        <f t="shared" si="64"/>
        <v>0</v>
      </c>
      <c r="CY88" s="17">
        <f t="shared" si="65"/>
        <v>0</v>
      </c>
      <c r="CZ88" s="17">
        <f t="shared" si="66"/>
        <v>0</v>
      </c>
      <c r="DA88" s="17">
        <f t="shared" si="67"/>
        <v>2801.690886927568</v>
      </c>
      <c r="DB88" s="17">
        <f t="shared" si="68"/>
        <v>0</v>
      </c>
      <c r="DC88" s="15">
        <f t="shared" si="44"/>
        <v>0</v>
      </c>
    </row>
    <row r="89" spans="1:107">
      <c r="A89" s="14">
        <v>46</v>
      </c>
      <c r="B89" s="15">
        <f t="shared" si="0"/>
        <v>4</v>
      </c>
      <c r="C89" s="16">
        <f>(1+INDEX('1 - Input'!$B$34:$E$63,B89,'1 - Input'!$B$16))^(1/12)-1</f>
        <v>4.1219243192651689E-3</v>
      </c>
      <c r="D89" s="17">
        <f>'1 - Input'!$B$7*(1+'1 - Input'!$B$12)^(B89-1)</f>
        <v>2865.2615999999998</v>
      </c>
      <c r="E89" s="17">
        <f t="shared" si="45"/>
        <v>402404.36004481331</v>
      </c>
      <c r="F89" s="17">
        <f t="shared" si="46"/>
        <v>469244.50944851118</v>
      </c>
      <c r="G89" s="17">
        <f t="shared" si="1"/>
        <v>404063.04036266037</v>
      </c>
      <c r="H89" s="17">
        <f>IF(G89&gt;0,'1 - Input'!$B$8/12*G89,0)</f>
        <v>3030.4728027199526</v>
      </c>
      <c r="I89" s="17">
        <f t="shared" si="2"/>
        <v>401032.56755994039</v>
      </c>
      <c r="J89" s="17">
        <f t="shared" si="3"/>
        <v>0</v>
      </c>
      <c r="K89" s="17">
        <f>'1 - Input'!$B$22*(H89-J89)</f>
        <v>787.92292870718768</v>
      </c>
      <c r="L89" s="17">
        <f t="shared" si="4"/>
        <v>2242.549874012765</v>
      </c>
      <c r="M89" s="17">
        <f t="shared" si="5"/>
        <v>469244.50944851118</v>
      </c>
      <c r="N89" s="17">
        <f>IF('1 - Input'!$B$17=1,MAX(0,L89-D89),0)</f>
        <v>0</v>
      </c>
      <c r="O89" s="17">
        <f>IF('1 - Input'!$B$17=1,MAX(0,D89-L89),0)</f>
        <v>622.71172598723479</v>
      </c>
      <c r="P89" s="17">
        <f t="shared" si="6"/>
        <v>0</v>
      </c>
      <c r="Q89" s="17">
        <f>IF(AND(O89&gt;0,I89&gt;0),O89/(1-'1 - Input'!$B$22*P89),0)</f>
        <v>622.71172598723479</v>
      </c>
      <c r="R89" s="17">
        <f t="shared" si="7"/>
        <v>622.71172598723479</v>
      </c>
      <c r="S89" s="17">
        <f>'1 - Input'!$B$22*P89*R89</f>
        <v>0</v>
      </c>
      <c r="T89" s="17">
        <f t="shared" si="8"/>
        <v>622.71172598723479</v>
      </c>
      <c r="U89" s="17">
        <f t="shared" si="9"/>
        <v>0</v>
      </c>
      <c r="V89" s="17">
        <f t="shared" si="10"/>
        <v>105.9175226710836</v>
      </c>
      <c r="W89" s="17">
        <f t="shared" si="11"/>
        <v>400409.85583395313</v>
      </c>
      <c r="X89" s="17">
        <f t="shared" si="12"/>
        <v>468515.88019985287</v>
      </c>
      <c r="Y89" s="17">
        <f>IF(MOD(A89,12)=0,W89*'1 - Input'!$B$23,0)</f>
        <v>0</v>
      </c>
      <c r="Z89" s="17">
        <f t="shared" si="13"/>
        <v>400409.85583395313</v>
      </c>
      <c r="AA89" s="17">
        <f>IF(MOD(A89,12)=0,X89*(1-'1 - Input'!$B$23),X89)</f>
        <v>468515.88019985287</v>
      </c>
      <c r="AB89" s="17">
        <f>IF('1 - Input'!$B$17=1,MIN(L89,D89)+T89,L89)</f>
        <v>2865.2615999999998</v>
      </c>
      <c r="AC89" s="17">
        <f t="shared" si="47"/>
        <v>127809.576</v>
      </c>
      <c r="AD89" s="17">
        <f t="shared" si="48"/>
        <v>40161.004557732165</v>
      </c>
      <c r="AE89" s="17">
        <f t="shared" si="49"/>
        <v>0</v>
      </c>
      <c r="AF89" s="17">
        <f t="shared" si="50"/>
        <v>1590.1658235101584</v>
      </c>
      <c r="AG89" s="17">
        <f t="shared" si="51"/>
        <v>2663.7053991568082</v>
      </c>
      <c r="AH89" s="17">
        <f t="shared" si="52"/>
        <v>0</v>
      </c>
      <c r="AI89" s="15">
        <f t="shared" si="14"/>
        <v>0</v>
      </c>
      <c r="AK89" s="14">
        <v>46</v>
      </c>
      <c r="AL89" s="15">
        <f t="shared" si="15"/>
        <v>4</v>
      </c>
      <c r="AM89" s="16">
        <f>(1+INDEX('1 - Input'!$B$34:$E$63,AL89,'1 - Input'!$B$16))^(1/12)-1</f>
        <v>4.1219243192651689E-3</v>
      </c>
      <c r="AN89" s="17">
        <f>'1 - Input'!$B$7*(1+'1 - Input'!$B$12)^(AL89-1)</f>
        <v>2865.2615999999998</v>
      </c>
      <c r="AO89" s="17">
        <f t="shared" si="53"/>
        <v>402404.36004481331</v>
      </c>
      <c r="AP89" s="17">
        <f t="shared" si="54"/>
        <v>469244.50944851118</v>
      </c>
      <c r="AQ89" s="17">
        <f t="shared" si="16"/>
        <v>404063.04036266037</v>
      </c>
      <c r="AR89" s="17">
        <f>IF(AQ89&gt;0,'1 - Input'!$B$8/12*AQ89,0)</f>
        <v>3030.4728027199526</v>
      </c>
      <c r="AS89" s="17">
        <f t="shared" si="17"/>
        <v>401032.56755994039</v>
      </c>
      <c r="AT89" s="17">
        <f t="shared" si="18"/>
        <v>0</v>
      </c>
      <c r="AU89" s="17">
        <f>'1 - Input'!$B$22*(AR89-AT89)</f>
        <v>787.92292870718768</v>
      </c>
      <c r="AV89" s="17">
        <f t="shared" si="19"/>
        <v>2242.549874012765</v>
      </c>
      <c r="AW89" s="17">
        <f t="shared" si="20"/>
        <v>469244.50944851118</v>
      </c>
      <c r="AX89" s="17">
        <f>IF('1 - Input'!$B$17=1,MAX(0,AV89-AN89),0)</f>
        <v>0</v>
      </c>
      <c r="AY89" s="17">
        <f>IF('1 - Input'!$B$17=1,MAX(0,AN89-AV89),0)</f>
        <v>622.71172598723479</v>
      </c>
      <c r="AZ89" s="17">
        <f t="shared" si="21"/>
        <v>0</v>
      </c>
      <c r="BA89" s="17">
        <f>IF(AND(AY89&gt;0,AS89&gt;0),AY89/(1-'1 - Input'!$B$22*AZ89),0)</f>
        <v>622.71172598723479</v>
      </c>
      <c r="BB89" s="17">
        <f t="shared" si="22"/>
        <v>622.71172598723479</v>
      </c>
      <c r="BC89" s="17">
        <f>'1 - Input'!$B$22*AZ89*BB89</f>
        <v>0</v>
      </c>
      <c r="BD89" s="17">
        <f t="shared" si="23"/>
        <v>622.71172598723479</v>
      </c>
      <c r="BE89" s="17">
        <f t="shared" si="24"/>
        <v>0</v>
      </c>
      <c r="BF89" s="17">
        <f t="shared" si="25"/>
        <v>105.9175226710836</v>
      </c>
      <c r="BG89" s="17">
        <f t="shared" si="26"/>
        <v>400409.85583395313</v>
      </c>
      <c r="BH89" s="17">
        <f t="shared" si="27"/>
        <v>468515.88019985287</v>
      </c>
      <c r="BI89" s="17">
        <f>IF(MOD(AK89,12)=0,BG89*'1 - Input'!$B$23,0)</f>
        <v>0</v>
      </c>
      <c r="BJ89" s="17">
        <f t="shared" si="28"/>
        <v>400409.85583395313</v>
      </c>
      <c r="BK89" s="17">
        <f>IF(MOD(AK89,12)=0,BH89*(1-'1 - Input'!$B$23),BH89)</f>
        <v>468515.88019985287</v>
      </c>
      <c r="BL89" s="17">
        <f>IF('1 - Input'!$B$17=1,MIN(AV89,AN89)+BD89,AV89)</f>
        <v>2865.2615999999998</v>
      </c>
      <c r="BM89" s="17">
        <f t="shared" si="55"/>
        <v>127809.576</v>
      </c>
      <c r="BN89" s="17">
        <f t="shared" si="56"/>
        <v>40161.004557732165</v>
      </c>
      <c r="BO89" s="17">
        <f t="shared" si="57"/>
        <v>0</v>
      </c>
      <c r="BP89" s="17">
        <f t="shared" si="58"/>
        <v>1590.1658235101584</v>
      </c>
      <c r="BQ89" s="17">
        <f t="shared" si="59"/>
        <v>2663.7053991568082</v>
      </c>
      <c r="BR89" s="17">
        <f t="shared" si="60"/>
        <v>0</v>
      </c>
      <c r="BS89" s="15">
        <f t="shared" si="29"/>
        <v>0</v>
      </c>
      <c r="BU89" s="14">
        <v>46</v>
      </c>
      <c r="BV89" s="15">
        <f t="shared" si="30"/>
        <v>4</v>
      </c>
      <c r="BW89" s="16">
        <f>(1+INDEX('1 - Input'!$B$34:$E$63,BV89,'1 - Input'!$B$16))^(1/12)-1</f>
        <v>4.1219243192651689E-3</v>
      </c>
      <c r="BX89" s="17">
        <f>'1 - Input'!$B$7*(1+'1 - Input'!$B$12)^(BV89-1)</f>
        <v>2865.2615999999998</v>
      </c>
      <c r="BY89" s="17">
        <f t="shared" si="61"/>
        <v>445545.71380614297</v>
      </c>
      <c r="BZ89" s="17">
        <f t="shared" si="62"/>
        <v>359036.00889520027</v>
      </c>
      <c r="CA89" s="17">
        <f t="shared" si="31"/>
        <v>447382.21951922489</v>
      </c>
      <c r="CB89" s="17">
        <f>IF(CA89&gt;0,'1 - Input'!$B$8/12*CA89,0)</f>
        <v>3355.3666463941868</v>
      </c>
      <c r="CC89" s="17">
        <f t="shared" si="32"/>
        <v>444026.8528728307</v>
      </c>
      <c r="CD89" s="17">
        <f t="shared" si="33"/>
        <v>3355.3666463941868</v>
      </c>
      <c r="CE89" s="17">
        <f>'1 - Input'!$B$22*(CB89-CD89)</f>
        <v>0</v>
      </c>
      <c r="CF89" s="17">
        <f t="shared" si="34"/>
        <v>3355.3666463941868</v>
      </c>
      <c r="CG89" s="17">
        <f t="shared" si="35"/>
        <v>355680.64224880608</v>
      </c>
      <c r="CH89" s="17">
        <f>IF('1 - Input'!$B$17=1,MAX(0,CF89-BX89),0)</f>
        <v>490.10504639418696</v>
      </c>
      <c r="CI89" s="17">
        <f>IF('1 - Input'!$B$17=1,MAX(0,BX89-CF89),0)</f>
        <v>0</v>
      </c>
      <c r="CJ89" s="17">
        <f t="shared" si="36"/>
        <v>0.19896591850792178</v>
      </c>
      <c r="CK89" s="17">
        <f>IF(AND(CI89&gt;0,CC89&gt;0),CI89/(1-'1 - Input'!$B$22*CJ89),0)</f>
        <v>0</v>
      </c>
      <c r="CL89" s="17">
        <f t="shared" si="37"/>
        <v>0</v>
      </c>
      <c r="CM89" s="17">
        <f>'1 - Input'!$B$22*CJ89*CL89</f>
        <v>0</v>
      </c>
      <c r="CN89" s="17">
        <f t="shared" si="38"/>
        <v>0</v>
      </c>
      <c r="CO89" s="17">
        <f t="shared" si="39"/>
        <v>0</v>
      </c>
      <c r="CP89" s="17">
        <f t="shared" si="40"/>
        <v>0</v>
      </c>
      <c r="CQ89" s="17">
        <f t="shared" si="41"/>
        <v>444516.95791922486</v>
      </c>
      <c r="CR89" s="17">
        <f t="shared" si="42"/>
        <v>356170.74729520024</v>
      </c>
      <c r="CS89" s="17">
        <f>IF(MOD(BU89,12)=0,CQ89*'1 - Input'!$B$23,0)</f>
        <v>0</v>
      </c>
      <c r="CT89" s="17">
        <f t="shared" si="43"/>
        <v>444516.95791922486</v>
      </c>
      <c r="CU89" s="17">
        <f>IF(MOD(BU89,12)=0,CR89*(1-'1 - Input'!$B$23),CR89)</f>
        <v>356170.74729520024</v>
      </c>
      <c r="CV89" s="17">
        <f>IF('1 - Input'!$B$17=1,MIN(CF89,BX89)+CN89,CF89)</f>
        <v>2865.2615999999998</v>
      </c>
      <c r="CW89" s="17">
        <f t="shared" si="63"/>
        <v>127809.576</v>
      </c>
      <c r="CX89" s="17">
        <f t="shared" si="64"/>
        <v>0</v>
      </c>
      <c r="CY89" s="17">
        <f t="shared" si="65"/>
        <v>0</v>
      </c>
      <c r="CZ89" s="17">
        <f t="shared" si="66"/>
        <v>0</v>
      </c>
      <c r="DA89" s="17">
        <f t="shared" si="67"/>
        <v>2801.690886927568</v>
      </c>
      <c r="DB89" s="17">
        <f t="shared" si="68"/>
        <v>0</v>
      </c>
      <c r="DC89" s="15">
        <f t="shared" si="44"/>
        <v>0</v>
      </c>
    </row>
    <row r="90" spans="1:107">
      <c r="A90" s="14">
        <v>47</v>
      </c>
      <c r="B90" s="15">
        <f t="shared" si="0"/>
        <v>4</v>
      </c>
      <c r="C90" s="16">
        <f>(1+INDEX('1 - Input'!$B$34:$E$63,B90,'1 - Input'!$B$16))^(1/12)-1</f>
        <v>4.1219243192651689E-3</v>
      </c>
      <c r="D90" s="17">
        <f>'1 - Input'!$B$7*(1+'1 - Input'!$B$12)^(B90-1)</f>
        <v>2865.2615999999998</v>
      </c>
      <c r="E90" s="17">
        <f t="shared" si="45"/>
        <v>400409.85583395313</v>
      </c>
      <c r="F90" s="17">
        <f t="shared" si="46"/>
        <v>468515.88019985287</v>
      </c>
      <c r="G90" s="17">
        <f t="shared" si="1"/>
        <v>402060.31495638855</v>
      </c>
      <c r="H90" s="17">
        <f>IF(G90&gt;0,'1 - Input'!$B$8/12*G90,0)</f>
        <v>3015.452362172914</v>
      </c>
      <c r="I90" s="17">
        <f t="shared" si="2"/>
        <v>399044.86259421567</v>
      </c>
      <c r="J90" s="17">
        <f t="shared" si="3"/>
        <v>0</v>
      </c>
      <c r="K90" s="17">
        <f>'1 - Input'!$B$22*(H90-J90)</f>
        <v>784.01761416495765</v>
      </c>
      <c r="L90" s="17">
        <f t="shared" si="4"/>
        <v>2231.4347480079564</v>
      </c>
      <c r="M90" s="17">
        <f t="shared" si="5"/>
        <v>468515.88019985287</v>
      </c>
      <c r="N90" s="17">
        <f>IF('1 - Input'!$B$17=1,MAX(0,L90-D90),0)</f>
        <v>0</v>
      </c>
      <c r="O90" s="17">
        <f>IF('1 - Input'!$B$17=1,MAX(0,D90-L90),0)</f>
        <v>633.82685199204343</v>
      </c>
      <c r="P90" s="17">
        <f t="shared" si="6"/>
        <v>0</v>
      </c>
      <c r="Q90" s="17">
        <f>IF(AND(O90&gt;0,I90&gt;0),O90/(1-'1 - Input'!$B$22*P90),0)</f>
        <v>633.82685199204343</v>
      </c>
      <c r="R90" s="17">
        <f t="shared" si="7"/>
        <v>633.82685199204343</v>
      </c>
      <c r="S90" s="17">
        <f>'1 - Input'!$B$22*P90*R90</f>
        <v>0</v>
      </c>
      <c r="T90" s="17">
        <f t="shared" si="8"/>
        <v>633.82685199204343</v>
      </c>
      <c r="U90" s="17">
        <f t="shared" si="9"/>
        <v>0</v>
      </c>
      <c r="V90" s="17">
        <f t="shared" si="10"/>
        <v>110.34497752309403</v>
      </c>
      <c r="W90" s="17">
        <f t="shared" si="11"/>
        <v>398411.03574222361</v>
      </c>
      <c r="X90" s="17">
        <f t="shared" si="12"/>
        <v>467771.70837033773</v>
      </c>
      <c r="Y90" s="17">
        <f>IF(MOD(A90,12)=0,W90*'1 - Input'!$B$23,0)</f>
        <v>0</v>
      </c>
      <c r="Z90" s="17">
        <f t="shared" si="13"/>
        <v>398411.03574222361</v>
      </c>
      <c r="AA90" s="17">
        <f>IF(MOD(A90,12)=0,X90*(1-'1 - Input'!$B$23),X90)</f>
        <v>467771.70837033773</v>
      </c>
      <c r="AB90" s="17">
        <f>IF('1 - Input'!$B$17=1,MIN(L90,D90)+T90,L90)</f>
        <v>2865.2615999999998</v>
      </c>
      <c r="AC90" s="17">
        <f t="shared" si="47"/>
        <v>130674.8376</v>
      </c>
      <c r="AD90" s="17">
        <f t="shared" si="48"/>
        <v>40945.022171897122</v>
      </c>
      <c r="AE90" s="17">
        <f t="shared" si="49"/>
        <v>0</v>
      </c>
      <c r="AF90" s="17">
        <f t="shared" si="50"/>
        <v>1700.5108010332524</v>
      </c>
      <c r="AG90" s="17">
        <f t="shared" si="51"/>
        <v>2663.7053991568082</v>
      </c>
      <c r="AH90" s="17">
        <f t="shared" si="52"/>
        <v>0</v>
      </c>
      <c r="AI90" s="15">
        <f t="shared" si="14"/>
        <v>0</v>
      </c>
      <c r="AK90" s="14">
        <v>47</v>
      </c>
      <c r="AL90" s="15">
        <f t="shared" si="15"/>
        <v>4</v>
      </c>
      <c r="AM90" s="16">
        <f>(1+INDEX('1 - Input'!$B$34:$E$63,AL90,'1 - Input'!$B$16))^(1/12)-1</f>
        <v>4.1219243192651689E-3</v>
      </c>
      <c r="AN90" s="17">
        <f>'1 - Input'!$B$7*(1+'1 - Input'!$B$12)^(AL90-1)</f>
        <v>2865.2615999999998</v>
      </c>
      <c r="AO90" s="17">
        <f t="shared" si="53"/>
        <v>400409.85583395313</v>
      </c>
      <c r="AP90" s="17">
        <f t="shared" si="54"/>
        <v>468515.88019985287</v>
      </c>
      <c r="AQ90" s="17">
        <f t="shared" si="16"/>
        <v>402060.31495638855</v>
      </c>
      <c r="AR90" s="17">
        <f>IF(AQ90&gt;0,'1 - Input'!$B$8/12*AQ90,0)</f>
        <v>3015.452362172914</v>
      </c>
      <c r="AS90" s="17">
        <f t="shared" si="17"/>
        <v>399044.86259421567</v>
      </c>
      <c r="AT90" s="17">
        <f t="shared" si="18"/>
        <v>0</v>
      </c>
      <c r="AU90" s="17">
        <f>'1 - Input'!$B$22*(AR90-AT90)</f>
        <v>784.01761416495765</v>
      </c>
      <c r="AV90" s="17">
        <f t="shared" si="19"/>
        <v>2231.4347480079564</v>
      </c>
      <c r="AW90" s="17">
        <f t="shared" si="20"/>
        <v>468515.88019985287</v>
      </c>
      <c r="AX90" s="17">
        <f>IF('1 - Input'!$B$17=1,MAX(0,AV90-AN90),0)</f>
        <v>0</v>
      </c>
      <c r="AY90" s="17">
        <f>IF('1 - Input'!$B$17=1,MAX(0,AN90-AV90),0)</f>
        <v>633.82685199204343</v>
      </c>
      <c r="AZ90" s="17">
        <f t="shared" si="21"/>
        <v>0</v>
      </c>
      <c r="BA90" s="17">
        <f>IF(AND(AY90&gt;0,AS90&gt;0),AY90/(1-'1 - Input'!$B$22*AZ90),0)</f>
        <v>633.82685199204343</v>
      </c>
      <c r="BB90" s="17">
        <f t="shared" si="22"/>
        <v>633.82685199204343</v>
      </c>
      <c r="BC90" s="17">
        <f>'1 - Input'!$B$22*AZ90*BB90</f>
        <v>0</v>
      </c>
      <c r="BD90" s="17">
        <f t="shared" si="23"/>
        <v>633.82685199204343</v>
      </c>
      <c r="BE90" s="17">
        <f t="shared" si="24"/>
        <v>0</v>
      </c>
      <c r="BF90" s="17">
        <f t="shared" si="25"/>
        <v>110.34497752309403</v>
      </c>
      <c r="BG90" s="17">
        <f t="shared" si="26"/>
        <v>398411.03574222361</v>
      </c>
      <c r="BH90" s="17">
        <f t="shared" si="27"/>
        <v>467771.70837033773</v>
      </c>
      <c r="BI90" s="17">
        <f>IF(MOD(AK90,12)=0,BG90*'1 - Input'!$B$23,0)</f>
        <v>0</v>
      </c>
      <c r="BJ90" s="17">
        <f t="shared" si="28"/>
        <v>398411.03574222361</v>
      </c>
      <c r="BK90" s="17">
        <f>IF(MOD(AK90,12)=0,BH90*(1-'1 - Input'!$B$23),BH90)</f>
        <v>467771.70837033773</v>
      </c>
      <c r="BL90" s="17">
        <f>IF('1 - Input'!$B$17=1,MIN(AV90,AN90)+BD90,AV90)</f>
        <v>2865.2615999999998</v>
      </c>
      <c r="BM90" s="17">
        <f t="shared" si="55"/>
        <v>130674.8376</v>
      </c>
      <c r="BN90" s="17">
        <f t="shared" si="56"/>
        <v>40945.022171897122</v>
      </c>
      <c r="BO90" s="17">
        <f t="shared" si="57"/>
        <v>0</v>
      </c>
      <c r="BP90" s="17">
        <f t="shared" si="58"/>
        <v>1700.5108010332524</v>
      </c>
      <c r="BQ90" s="17">
        <f t="shared" si="59"/>
        <v>2663.7053991568082</v>
      </c>
      <c r="BR90" s="17">
        <f t="shared" si="60"/>
        <v>0</v>
      </c>
      <c r="BS90" s="15">
        <f t="shared" si="29"/>
        <v>0</v>
      </c>
      <c r="BU90" s="14">
        <v>47</v>
      </c>
      <c r="BV90" s="15">
        <f t="shared" si="30"/>
        <v>4</v>
      </c>
      <c r="BW90" s="16">
        <f>(1+INDEX('1 - Input'!$B$34:$E$63,BV90,'1 - Input'!$B$16))^(1/12)-1</f>
        <v>4.1219243192651689E-3</v>
      </c>
      <c r="BX90" s="17">
        <f>'1 - Input'!$B$7*(1+'1 - Input'!$B$12)^(BV90-1)</f>
        <v>2865.2615999999998</v>
      </c>
      <c r="BY90" s="17">
        <f t="shared" si="61"/>
        <v>444516.95791922486</v>
      </c>
      <c r="BZ90" s="17">
        <f t="shared" si="62"/>
        <v>356170.74729520024</v>
      </c>
      <c r="CA90" s="17">
        <f t="shared" si="31"/>
        <v>446349.22317839786</v>
      </c>
      <c r="CB90" s="17">
        <f>IF(CA90&gt;0,'1 - Input'!$B$8/12*CA90,0)</f>
        <v>3347.6191738379839</v>
      </c>
      <c r="CC90" s="17">
        <f t="shared" si="32"/>
        <v>443001.60400455986</v>
      </c>
      <c r="CD90" s="17">
        <f t="shared" si="33"/>
        <v>3347.6191738379839</v>
      </c>
      <c r="CE90" s="17">
        <f>'1 - Input'!$B$22*(CB90-CD90)</f>
        <v>0</v>
      </c>
      <c r="CF90" s="17">
        <f t="shared" si="34"/>
        <v>3347.6191738379839</v>
      </c>
      <c r="CG90" s="17">
        <f t="shared" si="35"/>
        <v>352823.12812136224</v>
      </c>
      <c r="CH90" s="17">
        <f>IF('1 - Input'!$B$17=1,MAX(0,CF90-BX90),0)</f>
        <v>482.35757383798409</v>
      </c>
      <c r="CI90" s="17">
        <f>IF('1 - Input'!$B$17=1,MAX(0,BX90-CF90),0)</f>
        <v>0</v>
      </c>
      <c r="CJ90" s="17">
        <f t="shared" si="36"/>
        <v>0.20356241392360608</v>
      </c>
      <c r="CK90" s="17">
        <f>IF(AND(CI90&gt;0,CC90&gt;0),CI90/(1-'1 - Input'!$B$22*CJ90),0)</f>
        <v>0</v>
      </c>
      <c r="CL90" s="17">
        <f t="shared" si="37"/>
        <v>0</v>
      </c>
      <c r="CM90" s="17">
        <f>'1 - Input'!$B$22*CJ90*CL90</f>
        <v>0</v>
      </c>
      <c r="CN90" s="17">
        <f t="shared" si="38"/>
        <v>0</v>
      </c>
      <c r="CO90" s="17">
        <f t="shared" si="39"/>
        <v>0</v>
      </c>
      <c r="CP90" s="17">
        <f t="shared" si="40"/>
        <v>0</v>
      </c>
      <c r="CQ90" s="17">
        <f t="shared" si="41"/>
        <v>443483.96157839784</v>
      </c>
      <c r="CR90" s="17">
        <f t="shared" si="42"/>
        <v>353305.48569520022</v>
      </c>
      <c r="CS90" s="17">
        <f>IF(MOD(BU90,12)=0,CQ90*'1 - Input'!$B$23,0)</f>
        <v>0</v>
      </c>
      <c r="CT90" s="17">
        <f t="shared" si="43"/>
        <v>443483.96157839784</v>
      </c>
      <c r="CU90" s="17">
        <f>IF(MOD(BU90,12)=0,CR90*(1-'1 - Input'!$B$23),CR90)</f>
        <v>353305.48569520022</v>
      </c>
      <c r="CV90" s="17">
        <f>IF('1 - Input'!$B$17=1,MIN(CF90,BX90)+CN90,CF90)</f>
        <v>2865.2615999999998</v>
      </c>
      <c r="CW90" s="17">
        <f t="shared" si="63"/>
        <v>130674.8376</v>
      </c>
      <c r="CX90" s="17">
        <f t="shared" si="64"/>
        <v>0</v>
      </c>
      <c r="CY90" s="17">
        <f t="shared" si="65"/>
        <v>0</v>
      </c>
      <c r="CZ90" s="17">
        <f t="shared" si="66"/>
        <v>0</v>
      </c>
      <c r="DA90" s="17">
        <f t="shared" si="67"/>
        <v>2801.690886927568</v>
      </c>
      <c r="DB90" s="17">
        <f t="shared" si="68"/>
        <v>0</v>
      </c>
      <c r="DC90" s="15">
        <f t="shared" si="44"/>
        <v>0</v>
      </c>
    </row>
    <row r="91" spans="1:107">
      <c r="A91" s="14">
        <v>48</v>
      </c>
      <c r="B91" s="15">
        <f t="shared" si="0"/>
        <v>4</v>
      </c>
      <c r="C91" s="16">
        <f>(1+INDEX('1 - Input'!$B$34:$E$63,B91,'1 - Input'!$B$16))^(1/12)-1</f>
        <v>4.1219243192651689E-3</v>
      </c>
      <c r="D91" s="17">
        <f>'1 - Input'!$B$7*(1+'1 - Input'!$B$12)^(B91-1)</f>
        <v>2865.2615999999998</v>
      </c>
      <c r="E91" s="17">
        <f t="shared" si="45"/>
        <v>398411.03574222361</v>
      </c>
      <c r="F91" s="17">
        <f t="shared" si="46"/>
        <v>467771.70837033773</v>
      </c>
      <c r="G91" s="17">
        <f t="shared" si="1"/>
        <v>400053.2558795131</v>
      </c>
      <c r="H91" s="17">
        <f>IF(G91&gt;0,'1 - Input'!$B$8/12*G91,0)</f>
        <v>3000.3994190963481</v>
      </c>
      <c r="I91" s="17">
        <f t="shared" si="2"/>
        <v>397052.85646041675</v>
      </c>
      <c r="J91" s="17">
        <f t="shared" si="3"/>
        <v>0</v>
      </c>
      <c r="K91" s="17">
        <f>'1 - Input'!$B$22*(H91-J91)</f>
        <v>780.10384896505047</v>
      </c>
      <c r="L91" s="17">
        <f t="shared" si="4"/>
        <v>2220.2955701312976</v>
      </c>
      <c r="M91" s="17">
        <f t="shared" si="5"/>
        <v>467771.70837033773</v>
      </c>
      <c r="N91" s="17">
        <f>IF('1 - Input'!$B$17=1,MAX(0,L91-D91),0)</f>
        <v>0</v>
      </c>
      <c r="O91" s="17">
        <f>IF('1 - Input'!$B$17=1,MAX(0,D91-L91),0)</f>
        <v>644.96602986870221</v>
      </c>
      <c r="P91" s="17">
        <f t="shared" si="6"/>
        <v>0</v>
      </c>
      <c r="Q91" s="17">
        <f>IF(AND(O91&gt;0,I91&gt;0),O91/(1-'1 - Input'!$B$22*P91),0)</f>
        <v>644.96602986870221</v>
      </c>
      <c r="R91" s="17">
        <f t="shared" si="7"/>
        <v>644.96602986870221</v>
      </c>
      <c r="S91" s="17">
        <f>'1 - Input'!$B$22*P91*R91</f>
        <v>0</v>
      </c>
      <c r="T91" s="17">
        <f t="shared" si="8"/>
        <v>644.96602986870221</v>
      </c>
      <c r="U91" s="17">
        <f t="shared" si="9"/>
        <v>0</v>
      </c>
      <c r="V91" s="17">
        <f t="shared" si="10"/>
        <v>114.8745221475608</v>
      </c>
      <c r="W91" s="17">
        <f t="shared" si="11"/>
        <v>396407.89043054805</v>
      </c>
      <c r="X91" s="17">
        <f t="shared" si="12"/>
        <v>467011.86781832145</v>
      </c>
      <c r="Y91" s="17">
        <f>IF(MOD(A91,12)=0,W91*'1 - Input'!$B$23,0)</f>
        <v>792.81578086109607</v>
      </c>
      <c r="Z91" s="17">
        <f t="shared" si="13"/>
        <v>395615.07464968698</v>
      </c>
      <c r="AA91" s="17">
        <f>IF(MOD(A91,12)=0,X91*(1-'1 - Input'!$B$23),X91)</f>
        <v>466077.84408268478</v>
      </c>
      <c r="AB91" s="17">
        <f>IF('1 - Input'!$B$17=1,MIN(L91,D91)+T91,L91)</f>
        <v>2865.2615999999998</v>
      </c>
      <c r="AC91" s="17">
        <f t="shared" si="47"/>
        <v>133540.0992</v>
      </c>
      <c r="AD91" s="17">
        <f t="shared" si="48"/>
        <v>41725.126020862175</v>
      </c>
      <c r="AE91" s="17">
        <f t="shared" si="49"/>
        <v>0</v>
      </c>
      <c r="AF91" s="17">
        <f t="shared" si="50"/>
        <v>1815.3853231808132</v>
      </c>
      <c r="AG91" s="17">
        <f t="shared" si="51"/>
        <v>3456.521180017904</v>
      </c>
      <c r="AH91" s="17">
        <f t="shared" si="52"/>
        <v>0</v>
      </c>
      <c r="AI91" s="15">
        <f t="shared" si="14"/>
        <v>0</v>
      </c>
      <c r="AK91" s="14">
        <v>48</v>
      </c>
      <c r="AL91" s="15">
        <f t="shared" si="15"/>
        <v>4</v>
      </c>
      <c r="AM91" s="16">
        <f>(1+INDEX('1 - Input'!$B$34:$E$63,AL91,'1 - Input'!$B$16))^(1/12)-1</f>
        <v>4.1219243192651689E-3</v>
      </c>
      <c r="AN91" s="17">
        <f>'1 - Input'!$B$7*(1+'1 - Input'!$B$12)^(AL91-1)</f>
        <v>2865.2615999999998</v>
      </c>
      <c r="AO91" s="17">
        <f t="shared" si="53"/>
        <v>398411.03574222361</v>
      </c>
      <c r="AP91" s="17">
        <f t="shared" si="54"/>
        <v>467771.70837033773</v>
      </c>
      <c r="AQ91" s="17">
        <f t="shared" si="16"/>
        <v>400053.2558795131</v>
      </c>
      <c r="AR91" s="17">
        <f>IF(AQ91&gt;0,'1 - Input'!$B$8/12*AQ91,0)</f>
        <v>3000.3994190963481</v>
      </c>
      <c r="AS91" s="17">
        <f t="shared" si="17"/>
        <v>397052.85646041675</v>
      </c>
      <c r="AT91" s="17">
        <f t="shared" si="18"/>
        <v>0</v>
      </c>
      <c r="AU91" s="17">
        <f>'1 - Input'!$B$22*(AR91-AT91)</f>
        <v>780.10384896505047</v>
      </c>
      <c r="AV91" s="17">
        <f t="shared" si="19"/>
        <v>2220.2955701312976</v>
      </c>
      <c r="AW91" s="17">
        <f t="shared" si="20"/>
        <v>467771.70837033773</v>
      </c>
      <c r="AX91" s="17">
        <f>IF('1 - Input'!$B$17=1,MAX(0,AV91-AN91),0)</f>
        <v>0</v>
      </c>
      <c r="AY91" s="17">
        <f>IF('1 - Input'!$B$17=1,MAX(0,AN91-AV91),0)</f>
        <v>644.96602986870221</v>
      </c>
      <c r="AZ91" s="17">
        <f t="shared" si="21"/>
        <v>0</v>
      </c>
      <c r="BA91" s="17">
        <f>IF(AND(AY91&gt;0,AS91&gt;0),AY91/(1-'1 - Input'!$B$22*AZ91),0)</f>
        <v>644.96602986870221</v>
      </c>
      <c r="BB91" s="17">
        <f t="shared" si="22"/>
        <v>644.96602986870221</v>
      </c>
      <c r="BC91" s="17">
        <f>'1 - Input'!$B$22*AZ91*BB91</f>
        <v>0</v>
      </c>
      <c r="BD91" s="17">
        <f t="shared" si="23"/>
        <v>644.96602986870221</v>
      </c>
      <c r="BE91" s="17">
        <f t="shared" si="24"/>
        <v>0</v>
      </c>
      <c r="BF91" s="17">
        <f t="shared" si="25"/>
        <v>114.8745221475608</v>
      </c>
      <c r="BG91" s="17">
        <f t="shared" si="26"/>
        <v>396407.89043054805</v>
      </c>
      <c r="BH91" s="17">
        <f t="shared" si="27"/>
        <v>467011.86781832145</v>
      </c>
      <c r="BI91" s="17">
        <f>IF(MOD(AK91,12)=0,BG91*'1 - Input'!$B$23,0)</f>
        <v>792.81578086109607</v>
      </c>
      <c r="BJ91" s="17">
        <f t="shared" si="28"/>
        <v>395615.07464968698</v>
      </c>
      <c r="BK91" s="17">
        <f>IF(MOD(AK91,12)=0,BH91*(1-'1 - Input'!$B$23),BH91)</f>
        <v>466077.84408268478</v>
      </c>
      <c r="BL91" s="17">
        <f>IF('1 - Input'!$B$17=1,MIN(AV91,AN91)+BD91,AV91)</f>
        <v>2865.2615999999998</v>
      </c>
      <c r="BM91" s="17">
        <f t="shared" si="55"/>
        <v>133540.0992</v>
      </c>
      <c r="BN91" s="17">
        <f t="shared" si="56"/>
        <v>41725.126020862175</v>
      </c>
      <c r="BO91" s="17">
        <f t="shared" si="57"/>
        <v>0</v>
      </c>
      <c r="BP91" s="17">
        <f t="shared" si="58"/>
        <v>1815.3853231808132</v>
      </c>
      <c r="BQ91" s="17">
        <f t="shared" si="59"/>
        <v>3456.521180017904</v>
      </c>
      <c r="BR91" s="17">
        <f t="shared" si="60"/>
        <v>0</v>
      </c>
      <c r="BS91" s="15">
        <f t="shared" si="29"/>
        <v>0</v>
      </c>
      <c r="BU91" s="14">
        <v>48</v>
      </c>
      <c r="BV91" s="15">
        <f t="shared" si="30"/>
        <v>4</v>
      </c>
      <c r="BW91" s="16">
        <f>(1+INDEX('1 - Input'!$B$34:$E$63,BV91,'1 - Input'!$B$16))^(1/12)-1</f>
        <v>4.1219243192651689E-3</v>
      </c>
      <c r="BX91" s="17">
        <f>'1 - Input'!$B$7*(1+'1 - Input'!$B$12)^(BV91-1)</f>
        <v>2865.2615999999998</v>
      </c>
      <c r="BY91" s="17">
        <f t="shared" si="61"/>
        <v>443483.96157839784</v>
      </c>
      <c r="BZ91" s="17">
        <f t="shared" si="62"/>
        <v>353305.48569520022</v>
      </c>
      <c r="CA91" s="17">
        <f t="shared" si="31"/>
        <v>445311.96890483191</v>
      </c>
      <c r="CB91" s="17">
        <f>IF(CA91&gt;0,'1 - Input'!$B$8/12*CA91,0)</f>
        <v>3339.8397667862391</v>
      </c>
      <c r="CC91" s="17">
        <f t="shared" si="32"/>
        <v>441972.12913804565</v>
      </c>
      <c r="CD91" s="17">
        <f t="shared" si="33"/>
        <v>3339.8397667862391</v>
      </c>
      <c r="CE91" s="17">
        <f>'1 - Input'!$B$22*(CB91-CD91)</f>
        <v>0</v>
      </c>
      <c r="CF91" s="17">
        <f t="shared" si="34"/>
        <v>3339.8397667862391</v>
      </c>
      <c r="CG91" s="17">
        <f t="shared" si="35"/>
        <v>349965.64592841396</v>
      </c>
      <c r="CH91" s="17">
        <f>IF('1 - Input'!$B$17=1,MAX(0,CF91-BX91),0)</f>
        <v>474.57816678623931</v>
      </c>
      <c r="CI91" s="17">
        <f>IF('1 - Input'!$B$17=1,MAX(0,BX91-CF91),0)</f>
        <v>0</v>
      </c>
      <c r="CJ91" s="17">
        <f t="shared" si="36"/>
        <v>0.20817259085786011</v>
      </c>
      <c r="CK91" s="17">
        <f>IF(AND(CI91&gt;0,CC91&gt;0),CI91/(1-'1 - Input'!$B$22*CJ91),0)</f>
        <v>0</v>
      </c>
      <c r="CL91" s="17">
        <f t="shared" si="37"/>
        <v>0</v>
      </c>
      <c r="CM91" s="17">
        <f>'1 - Input'!$B$22*CJ91*CL91</f>
        <v>0</v>
      </c>
      <c r="CN91" s="17">
        <f t="shared" si="38"/>
        <v>0</v>
      </c>
      <c r="CO91" s="17">
        <f t="shared" si="39"/>
        <v>0</v>
      </c>
      <c r="CP91" s="17">
        <f t="shared" si="40"/>
        <v>0</v>
      </c>
      <c r="CQ91" s="17">
        <f t="shared" si="41"/>
        <v>442446.70730483189</v>
      </c>
      <c r="CR91" s="17">
        <f t="shared" si="42"/>
        <v>350440.22409520019</v>
      </c>
      <c r="CS91" s="17">
        <f>IF(MOD(BU91,12)=0,CQ91*'1 - Input'!$B$23,0)</f>
        <v>884.89341460966375</v>
      </c>
      <c r="CT91" s="17">
        <f t="shared" si="43"/>
        <v>441561.81389022223</v>
      </c>
      <c r="CU91" s="17">
        <f>IF(MOD(BU91,12)=0,CR91*(1-'1 - Input'!$B$23),CR91)</f>
        <v>349739.34364700981</v>
      </c>
      <c r="CV91" s="17">
        <f>IF('1 - Input'!$B$17=1,MIN(CF91,BX91)+CN91,CF91)</f>
        <v>2865.2615999999998</v>
      </c>
      <c r="CW91" s="17">
        <f t="shared" si="63"/>
        <v>133540.0992</v>
      </c>
      <c r="CX91" s="17">
        <f t="shared" si="64"/>
        <v>0</v>
      </c>
      <c r="CY91" s="17">
        <f t="shared" si="65"/>
        <v>0</v>
      </c>
      <c r="CZ91" s="17">
        <f t="shared" si="66"/>
        <v>0</v>
      </c>
      <c r="DA91" s="17">
        <f t="shared" si="67"/>
        <v>3686.584301537232</v>
      </c>
      <c r="DB91" s="17">
        <f t="shared" si="68"/>
        <v>0</v>
      </c>
      <c r="DC91" s="15">
        <f t="shared" si="44"/>
        <v>0</v>
      </c>
    </row>
    <row r="92" spans="1:107">
      <c r="A92" s="14">
        <v>49</v>
      </c>
      <c r="B92" s="15">
        <f t="shared" si="0"/>
        <v>5</v>
      </c>
      <c r="C92" s="16">
        <f>(1+INDEX('1 - Input'!$B$34:$E$63,B92,'1 - Input'!$B$16))^(1/12)-1</f>
        <v>4.1219243192651689E-3</v>
      </c>
      <c r="D92" s="17">
        <f>'1 - Input'!$B$7*(1+'1 - Input'!$B$12)^(B92-1)</f>
        <v>2922.566832</v>
      </c>
      <c r="E92" s="17">
        <f t="shared" si="45"/>
        <v>395615.07464968698</v>
      </c>
      <c r="F92" s="17">
        <f t="shared" si="46"/>
        <v>466077.84408268478</v>
      </c>
      <c r="G92" s="17">
        <f t="shared" si="1"/>
        <v>397245.77004695346</v>
      </c>
      <c r="H92" s="17">
        <f>IF(G92&gt;0,'1 - Input'!$B$8/12*G92,0)</f>
        <v>2979.3432753521511</v>
      </c>
      <c r="I92" s="17">
        <f t="shared" si="2"/>
        <v>394266.42677160131</v>
      </c>
      <c r="J92" s="17">
        <f t="shared" si="3"/>
        <v>0</v>
      </c>
      <c r="K92" s="17">
        <f>'1 - Input'!$B$22*(H92-J92)</f>
        <v>774.6292515915593</v>
      </c>
      <c r="L92" s="17">
        <f t="shared" si="4"/>
        <v>2204.7140237605918</v>
      </c>
      <c r="M92" s="17">
        <f t="shared" si="5"/>
        <v>466077.84408268478</v>
      </c>
      <c r="N92" s="17">
        <f>IF('1 - Input'!$B$17=1,MAX(0,L92-D92),0)</f>
        <v>0</v>
      </c>
      <c r="O92" s="17">
        <f>IF('1 - Input'!$B$17=1,MAX(0,D92-L92),0)</f>
        <v>717.8528082394082</v>
      </c>
      <c r="P92" s="17">
        <f t="shared" si="6"/>
        <v>0</v>
      </c>
      <c r="Q92" s="17">
        <f>IF(AND(O92&gt;0,I92&gt;0),O92/(1-'1 - Input'!$B$22*P92),0)</f>
        <v>717.8528082394082</v>
      </c>
      <c r="R92" s="17">
        <f t="shared" si="7"/>
        <v>717.8528082394082</v>
      </c>
      <c r="S92" s="17">
        <f>'1 - Input'!$B$22*P92*R92</f>
        <v>0</v>
      </c>
      <c r="T92" s="17">
        <f t="shared" si="8"/>
        <v>717.8528082394082</v>
      </c>
      <c r="U92" s="17">
        <f t="shared" si="9"/>
        <v>0</v>
      </c>
      <c r="V92" s="17">
        <f t="shared" si="10"/>
        <v>130.7492195126122</v>
      </c>
      <c r="W92" s="17">
        <f t="shared" si="11"/>
        <v>393548.57396336191</v>
      </c>
      <c r="X92" s="17">
        <f t="shared" si="12"/>
        <v>465229.24205493275</v>
      </c>
      <c r="Y92" s="17">
        <f>IF(MOD(A92,12)=0,W92*'1 - Input'!$B$23,0)</f>
        <v>0</v>
      </c>
      <c r="Z92" s="17">
        <f t="shared" si="13"/>
        <v>393548.57396336191</v>
      </c>
      <c r="AA92" s="17">
        <f>IF(MOD(A92,12)=0,X92*(1-'1 - Input'!$B$23),X92)</f>
        <v>465229.24205493275</v>
      </c>
      <c r="AB92" s="17">
        <f>IF('1 - Input'!$B$17=1,MIN(L92,D92)+T92,L92)</f>
        <v>2922.566832</v>
      </c>
      <c r="AC92" s="17">
        <f t="shared" si="47"/>
        <v>136462.66603200001</v>
      </c>
      <c r="AD92" s="17">
        <f t="shared" si="48"/>
        <v>42499.755272453738</v>
      </c>
      <c r="AE92" s="17">
        <f t="shared" si="49"/>
        <v>0</v>
      </c>
      <c r="AF92" s="17">
        <f t="shared" si="50"/>
        <v>1946.1345426934254</v>
      </c>
      <c r="AG92" s="17">
        <f t="shared" si="51"/>
        <v>3456.521180017904</v>
      </c>
      <c r="AH92" s="17">
        <f t="shared" si="52"/>
        <v>0</v>
      </c>
      <c r="AI92" s="15">
        <f t="shared" si="14"/>
        <v>0</v>
      </c>
      <c r="AK92" s="14">
        <v>49</v>
      </c>
      <c r="AL92" s="15">
        <f t="shared" si="15"/>
        <v>5</v>
      </c>
      <c r="AM92" s="16">
        <f>(1+INDEX('1 - Input'!$B$34:$E$63,AL92,'1 - Input'!$B$16))^(1/12)-1</f>
        <v>4.1219243192651689E-3</v>
      </c>
      <c r="AN92" s="17">
        <f>'1 - Input'!$B$7*(1+'1 - Input'!$B$12)^(AL92-1)</f>
        <v>2922.566832</v>
      </c>
      <c r="AO92" s="17">
        <f t="shared" si="53"/>
        <v>395615.07464968698</v>
      </c>
      <c r="AP92" s="17">
        <f t="shared" si="54"/>
        <v>466077.84408268478</v>
      </c>
      <c r="AQ92" s="17">
        <f t="shared" si="16"/>
        <v>397245.77004695346</v>
      </c>
      <c r="AR92" s="17">
        <f>IF(AQ92&gt;0,'1 - Input'!$B$8/12*AQ92,0)</f>
        <v>2979.3432753521511</v>
      </c>
      <c r="AS92" s="17">
        <f t="shared" si="17"/>
        <v>394266.42677160131</v>
      </c>
      <c r="AT92" s="17">
        <f t="shared" si="18"/>
        <v>0</v>
      </c>
      <c r="AU92" s="17">
        <f>'1 - Input'!$B$22*(AR92-AT92)</f>
        <v>774.6292515915593</v>
      </c>
      <c r="AV92" s="17">
        <f t="shared" si="19"/>
        <v>2204.7140237605918</v>
      </c>
      <c r="AW92" s="17">
        <f t="shared" si="20"/>
        <v>466077.84408268478</v>
      </c>
      <c r="AX92" s="17">
        <f>IF('1 - Input'!$B$17=1,MAX(0,AV92-AN92),0)</f>
        <v>0</v>
      </c>
      <c r="AY92" s="17">
        <f>IF('1 - Input'!$B$17=1,MAX(0,AN92-AV92),0)</f>
        <v>717.8528082394082</v>
      </c>
      <c r="AZ92" s="17">
        <f t="shared" si="21"/>
        <v>0</v>
      </c>
      <c r="BA92" s="17">
        <f>IF(AND(AY92&gt;0,AS92&gt;0),AY92/(1-'1 - Input'!$B$22*AZ92),0)</f>
        <v>717.8528082394082</v>
      </c>
      <c r="BB92" s="17">
        <f t="shared" si="22"/>
        <v>717.8528082394082</v>
      </c>
      <c r="BC92" s="17">
        <f>'1 - Input'!$B$22*AZ92*BB92</f>
        <v>0</v>
      </c>
      <c r="BD92" s="17">
        <f t="shared" si="23"/>
        <v>717.8528082394082</v>
      </c>
      <c r="BE92" s="17">
        <f t="shared" si="24"/>
        <v>0</v>
      </c>
      <c r="BF92" s="17">
        <f t="shared" si="25"/>
        <v>130.7492195126122</v>
      </c>
      <c r="BG92" s="17">
        <f t="shared" si="26"/>
        <v>393548.57396336191</v>
      </c>
      <c r="BH92" s="17">
        <f t="shared" si="27"/>
        <v>465229.24205493275</v>
      </c>
      <c r="BI92" s="17">
        <f>IF(MOD(AK92,12)=0,BG92*'1 - Input'!$B$23,0)</f>
        <v>0</v>
      </c>
      <c r="BJ92" s="17">
        <f t="shared" si="28"/>
        <v>393548.57396336191</v>
      </c>
      <c r="BK92" s="17">
        <f>IF(MOD(AK92,12)=0,BH92*(1-'1 - Input'!$B$23),BH92)</f>
        <v>465229.24205493275</v>
      </c>
      <c r="BL92" s="17">
        <f>IF('1 - Input'!$B$17=1,MIN(AV92,AN92)+BD92,AV92)</f>
        <v>2922.566832</v>
      </c>
      <c r="BM92" s="17">
        <f t="shared" si="55"/>
        <v>136462.66603200001</v>
      </c>
      <c r="BN92" s="17">
        <f t="shared" si="56"/>
        <v>42499.755272453738</v>
      </c>
      <c r="BO92" s="17">
        <f t="shared" si="57"/>
        <v>0</v>
      </c>
      <c r="BP92" s="17">
        <f t="shared" si="58"/>
        <v>1946.1345426934254</v>
      </c>
      <c r="BQ92" s="17">
        <f t="shared" si="59"/>
        <v>3456.521180017904</v>
      </c>
      <c r="BR92" s="17">
        <f t="shared" si="60"/>
        <v>0</v>
      </c>
      <c r="BS92" s="15">
        <f t="shared" si="29"/>
        <v>0</v>
      </c>
      <c r="BU92" s="14">
        <v>49</v>
      </c>
      <c r="BV92" s="15">
        <f t="shared" si="30"/>
        <v>5</v>
      </c>
      <c r="BW92" s="16">
        <f>(1+INDEX('1 - Input'!$B$34:$E$63,BV92,'1 - Input'!$B$16))^(1/12)-1</f>
        <v>4.1219243192651689E-3</v>
      </c>
      <c r="BX92" s="17">
        <f>'1 - Input'!$B$7*(1+'1 - Input'!$B$12)^(BV92-1)</f>
        <v>2922.566832</v>
      </c>
      <c r="BY92" s="17">
        <f t="shared" si="61"/>
        <v>441561.81389022223</v>
      </c>
      <c r="BZ92" s="17">
        <f t="shared" si="62"/>
        <v>349739.34364700981</v>
      </c>
      <c r="CA92" s="17">
        <f t="shared" si="31"/>
        <v>443381.89826935518</v>
      </c>
      <c r="CB92" s="17">
        <f>IF(CA92&gt;0,'1 - Input'!$B$8/12*CA92,0)</f>
        <v>3325.3642370201637</v>
      </c>
      <c r="CC92" s="17">
        <f t="shared" si="32"/>
        <v>440056.53403233504</v>
      </c>
      <c r="CD92" s="17">
        <f t="shared" si="33"/>
        <v>3325.3642370201637</v>
      </c>
      <c r="CE92" s="17">
        <f>'1 - Input'!$B$22*(CB92-CD92)</f>
        <v>0</v>
      </c>
      <c r="CF92" s="17">
        <f t="shared" si="34"/>
        <v>3325.3642370201637</v>
      </c>
      <c r="CG92" s="17">
        <f t="shared" si="35"/>
        <v>346413.97940998967</v>
      </c>
      <c r="CH92" s="17">
        <f>IF('1 - Input'!$B$17=1,MAX(0,CF92-BX92),0)</f>
        <v>402.79740502016375</v>
      </c>
      <c r="CI92" s="17">
        <f>IF('1 - Input'!$B$17=1,MAX(0,BX92-CF92),0)</f>
        <v>0</v>
      </c>
      <c r="CJ92" s="17">
        <f t="shared" si="36"/>
        <v>0.21279664629514305</v>
      </c>
      <c r="CK92" s="17">
        <f>IF(AND(CI92&gt;0,CC92&gt;0),CI92/(1-'1 - Input'!$B$22*CJ92),0)</f>
        <v>0</v>
      </c>
      <c r="CL92" s="17">
        <f t="shared" si="37"/>
        <v>0</v>
      </c>
      <c r="CM92" s="17">
        <f>'1 - Input'!$B$22*CJ92*CL92</f>
        <v>0</v>
      </c>
      <c r="CN92" s="17">
        <f t="shared" si="38"/>
        <v>0</v>
      </c>
      <c r="CO92" s="17">
        <f t="shared" si="39"/>
        <v>0</v>
      </c>
      <c r="CP92" s="17">
        <f t="shared" si="40"/>
        <v>0</v>
      </c>
      <c r="CQ92" s="17">
        <f t="shared" si="41"/>
        <v>440459.3314373552</v>
      </c>
      <c r="CR92" s="17">
        <f t="shared" si="42"/>
        <v>346816.77681500983</v>
      </c>
      <c r="CS92" s="17">
        <f>IF(MOD(BU92,12)=0,CQ92*'1 - Input'!$B$23,0)</f>
        <v>0</v>
      </c>
      <c r="CT92" s="17">
        <f t="shared" si="43"/>
        <v>440459.3314373552</v>
      </c>
      <c r="CU92" s="17">
        <f>IF(MOD(BU92,12)=0,CR92*(1-'1 - Input'!$B$23),CR92)</f>
        <v>346816.77681500983</v>
      </c>
      <c r="CV92" s="17">
        <f>IF('1 - Input'!$B$17=1,MIN(CF92,BX92)+CN92,CF92)</f>
        <v>2922.566832</v>
      </c>
      <c r="CW92" s="17">
        <f t="shared" si="63"/>
        <v>136462.66603200001</v>
      </c>
      <c r="CX92" s="17">
        <f t="shared" si="64"/>
        <v>0</v>
      </c>
      <c r="CY92" s="17">
        <f t="shared" si="65"/>
        <v>0</v>
      </c>
      <c r="CZ92" s="17">
        <f t="shared" si="66"/>
        <v>0</v>
      </c>
      <c r="DA92" s="17">
        <f t="shared" si="67"/>
        <v>3686.584301537232</v>
      </c>
      <c r="DB92" s="17">
        <f t="shared" si="68"/>
        <v>0</v>
      </c>
      <c r="DC92" s="15">
        <f t="shared" si="44"/>
        <v>0</v>
      </c>
    </row>
    <row r="93" spans="1:107">
      <c r="A93" s="14">
        <v>50</v>
      </c>
      <c r="B93" s="15">
        <f t="shared" si="0"/>
        <v>5</v>
      </c>
      <c r="C93" s="16">
        <f>(1+INDEX('1 - Input'!$B$34:$E$63,B93,'1 - Input'!$B$16))^(1/12)-1</f>
        <v>4.1219243192651689E-3</v>
      </c>
      <c r="D93" s="17">
        <f>'1 - Input'!$B$7*(1+'1 - Input'!$B$12)^(B93-1)</f>
        <v>2922.566832</v>
      </c>
      <c r="E93" s="17">
        <f t="shared" si="45"/>
        <v>393548.57396336191</v>
      </c>
      <c r="F93" s="17">
        <f t="shared" si="46"/>
        <v>465229.24205493275</v>
      </c>
      <c r="G93" s="17">
        <f t="shared" si="1"/>
        <v>395170.75140119361</v>
      </c>
      <c r="H93" s="17">
        <f>IF(G93&gt;0,'1 - Input'!$B$8/12*G93,0)</f>
        <v>2963.7806355089519</v>
      </c>
      <c r="I93" s="17">
        <f t="shared" si="2"/>
        <v>392206.97076568467</v>
      </c>
      <c r="J93" s="17">
        <f t="shared" si="3"/>
        <v>0</v>
      </c>
      <c r="K93" s="17">
        <f>'1 - Input'!$B$22*(H93-J93)</f>
        <v>770.58296523232752</v>
      </c>
      <c r="L93" s="17">
        <f t="shared" si="4"/>
        <v>2193.1976702766242</v>
      </c>
      <c r="M93" s="17">
        <f t="shared" si="5"/>
        <v>465229.24205493275</v>
      </c>
      <c r="N93" s="17">
        <f>IF('1 - Input'!$B$17=1,MAX(0,L93-D93),0)</f>
        <v>0</v>
      </c>
      <c r="O93" s="17">
        <f>IF('1 - Input'!$B$17=1,MAX(0,D93-L93),0)</f>
        <v>729.36916172337578</v>
      </c>
      <c r="P93" s="17">
        <f t="shared" si="6"/>
        <v>0</v>
      </c>
      <c r="Q93" s="17">
        <f>IF(AND(O93&gt;0,I93&gt;0),O93/(1-'1 - Input'!$B$22*P93),0)</f>
        <v>729.36916172337578</v>
      </c>
      <c r="R93" s="17">
        <f t="shared" si="7"/>
        <v>729.36916172337578</v>
      </c>
      <c r="S93" s="17">
        <f>'1 - Input'!$B$22*P93*R93</f>
        <v>0</v>
      </c>
      <c r="T93" s="17">
        <f t="shared" si="8"/>
        <v>729.36916172337578</v>
      </c>
      <c r="U93" s="17">
        <f t="shared" si="9"/>
        <v>0</v>
      </c>
      <c r="V93" s="17">
        <f t="shared" si="10"/>
        <v>135.79614022004452</v>
      </c>
      <c r="W93" s="17">
        <f t="shared" si="11"/>
        <v>391477.60160396132</v>
      </c>
      <c r="X93" s="17">
        <f t="shared" si="12"/>
        <v>464364.07675298932</v>
      </c>
      <c r="Y93" s="17">
        <f>IF(MOD(A93,12)=0,W93*'1 - Input'!$B$23,0)</f>
        <v>0</v>
      </c>
      <c r="Z93" s="17">
        <f t="shared" si="13"/>
        <v>391477.60160396132</v>
      </c>
      <c r="AA93" s="17">
        <f>IF(MOD(A93,12)=0,X93*(1-'1 - Input'!$B$23),X93)</f>
        <v>464364.07675298932</v>
      </c>
      <c r="AB93" s="17">
        <f>IF('1 - Input'!$B$17=1,MIN(L93,D93)+T93,L93)</f>
        <v>2922.566832</v>
      </c>
      <c r="AC93" s="17">
        <f t="shared" si="47"/>
        <v>139385.23286400002</v>
      </c>
      <c r="AD93" s="17">
        <f t="shared" si="48"/>
        <v>43270.338237686068</v>
      </c>
      <c r="AE93" s="17">
        <f t="shared" si="49"/>
        <v>0</v>
      </c>
      <c r="AF93" s="17">
        <f t="shared" si="50"/>
        <v>2081.9306829134698</v>
      </c>
      <c r="AG93" s="17">
        <f t="shared" si="51"/>
        <v>3456.521180017904</v>
      </c>
      <c r="AH93" s="17">
        <f t="shared" si="52"/>
        <v>0</v>
      </c>
      <c r="AI93" s="15">
        <f t="shared" si="14"/>
        <v>0</v>
      </c>
      <c r="AK93" s="14">
        <v>50</v>
      </c>
      <c r="AL93" s="15">
        <f t="shared" si="15"/>
        <v>5</v>
      </c>
      <c r="AM93" s="16">
        <f>(1+INDEX('1 - Input'!$B$34:$E$63,AL93,'1 - Input'!$B$16))^(1/12)-1</f>
        <v>4.1219243192651689E-3</v>
      </c>
      <c r="AN93" s="17">
        <f>'1 - Input'!$B$7*(1+'1 - Input'!$B$12)^(AL93-1)</f>
        <v>2922.566832</v>
      </c>
      <c r="AO93" s="17">
        <f t="shared" si="53"/>
        <v>393548.57396336191</v>
      </c>
      <c r="AP93" s="17">
        <f t="shared" si="54"/>
        <v>465229.24205493275</v>
      </c>
      <c r="AQ93" s="17">
        <f t="shared" si="16"/>
        <v>395170.75140119361</v>
      </c>
      <c r="AR93" s="17">
        <f>IF(AQ93&gt;0,'1 - Input'!$B$8/12*AQ93,0)</f>
        <v>2963.7806355089519</v>
      </c>
      <c r="AS93" s="17">
        <f t="shared" si="17"/>
        <v>392206.97076568467</v>
      </c>
      <c r="AT93" s="17">
        <f t="shared" si="18"/>
        <v>0</v>
      </c>
      <c r="AU93" s="17">
        <f>'1 - Input'!$B$22*(AR93-AT93)</f>
        <v>770.58296523232752</v>
      </c>
      <c r="AV93" s="17">
        <f t="shared" si="19"/>
        <v>2193.1976702766242</v>
      </c>
      <c r="AW93" s="17">
        <f t="shared" si="20"/>
        <v>465229.24205493275</v>
      </c>
      <c r="AX93" s="17">
        <f>IF('1 - Input'!$B$17=1,MAX(0,AV93-AN93),0)</f>
        <v>0</v>
      </c>
      <c r="AY93" s="17">
        <f>IF('1 - Input'!$B$17=1,MAX(0,AN93-AV93),0)</f>
        <v>729.36916172337578</v>
      </c>
      <c r="AZ93" s="17">
        <f t="shared" si="21"/>
        <v>0</v>
      </c>
      <c r="BA93" s="17">
        <f>IF(AND(AY93&gt;0,AS93&gt;0),AY93/(1-'1 - Input'!$B$22*AZ93),0)</f>
        <v>729.36916172337578</v>
      </c>
      <c r="BB93" s="17">
        <f t="shared" si="22"/>
        <v>729.36916172337578</v>
      </c>
      <c r="BC93" s="17">
        <f>'1 - Input'!$B$22*AZ93*BB93</f>
        <v>0</v>
      </c>
      <c r="BD93" s="17">
        <f t="shared" si="23"/>
        <v>729.36916172337578</v>
      </c>
      <c r="BE93" s="17">
        <f t="shared" si="24"/>
        <v>0</v>
      </c>
      <c r="BF93" s="17">
        <f t="shared" si="25"/>
        <v>135.79614022004452</v>
      </c>
      <c r="BG93" s="17">
        <f t="shared" si="26"/>
        <v>391477.60160396132</v>
      </c>
      <c r="BH93" s="17">
        <f t="shared" si="27"/>
        <v>464364.07675298932</v>
      </c>
      <c r="BI93" s="17">
        <f>IF(MOD(AK93,12)=0,BG93*'1 - Input'!$B$23,0)</f>
        <v>0</v>
      </c>
      <c r="BJ93" s="17">
        <f t="shared" si="28"/>
        <v>391477.60160396132</v>
      </c>
      <c r="BK93" s="17">
        <f>IF(MOD(AK93,12)=0,BH93*(1-'1 - Input'!$B$23),BH93)</f>
        <v>464364.07675298932</v>
      </c>
      <c r="BL93" s="17">
        <f>IF('1 - Input'!$B$17=1,MIN(AV93,AN93)+BD93,AV93)</f>
        <v>2922.566832</v>
      </c>
      <c r="BM93" s="17">
        <f t="shared" si="55"/>
        <v>139385.23286400002</v>
      </c>
      <c r="BN93" s="17">
        <f t="shared" si="56"/>
        <v>43270.338237686068</v>
      </c>
      <c r="BO93" s="17">
        <f t="shared" si="57"/>
        <v>0</v>
      </c>
      <c r="BP93" s="17">
        <f t="shared" si="58"/>
        <v>2081.9306829134698</v>
      </c>
      <c r="BQ93" s="17">
        <f t="shared" si="59"/>
        <v>3456.521180017904</v>
      </c>
      <c r="BR93" s="17">
        <f t="shared" si="60"/>
        <v>0</v>
      </c>
      <c r="BS93" s="15">
        <f t="shared" si="29"/>
        <v>0</v>
      </c>
      <c r="BU93" s="14">
        <v>50</v>
      </c>
      <c r="BV93" s="15">
        <f t="shared" si="30"/>
        <v>5</v>
      </c>
      <c r="BW93" s="16">
        <f>(1+INDEX('1 - Input'!$B$34:$E$63,BV93,'1 - Input'!$B$16))^(1/12)-1</f>
        <v>4.1219243192651689E-3</v>
      </c>
      <c r="BX93" s="17">
        <f>'1 - Input'!$B$7*(1+'1 - Input'!$B$12)^(BV93-1)</f>
        <v>2922.566832</v>
      </c>
      <c r="BY93" s="17">
        <f t="shared" si="61"/>
        <v>440459.3314373552</v>
      </c>
      <c r="BZ93" s="17">
        <f t="shared" si="62"/>
        <v>346816.77681500983</v>
      </c>
      <c r="CA93" s="17">
        <f t="shared" si="31"/>
        <v>442274.87146725412</v>
      </c>
      <c r="CB93" s="17">
        <f>IF(CA93&gt;0,'1 - Input'!$B$8/12*CA93,0)</f>
        <v>3317.0615360044058</v>
      </c>
      <c r="CC93" s="17">
        <f t="shared" si="32"/>
        <v>438957.80993124971</v>
      </c>
      <c r="CD93" s="17">
        <f t="shared" si="33"/>
        <v>3317.0615360044058</v>
      </c>
      <c r="CE93" s="17">
        <f>'1 - Input'!$B$22*(CB93-CD93)</f>
        <v>0</v>
      </c>
      <c r="CF93" s="17">
        <f t="shared" si="34"/>
        <v>3317.0615360044058</v>
      </c>
      <c r="CG93" s="17">
        <f t="shared" si="35"/>
        <v>343499.71527900541</v>
      </c>
      <c r="CH93" s="17">
        <f>IF('1 - Input'!$B$17=1,MAX(0,CF93-BX93),0)</f>
        <v>394.49470400440578</v>
      </c>
      <c r="CI93" s="17">
        <f>IF('1 - Input'!$B$17=1,MAX(0,BX93-CF93),0)</f>
        <v>0</v>
      </c>
      <c r="CJ93" s="17">
        <f t="shared" si="36"/>
        <v>0.217465306442993</v>
      </c>
      <c r="CK93" s="17">
        <f>IF(AND(CI93&gt;0,CC93&gt;0),CI93/(1-'1 - Input'!$B$22*CJ93),0)</f>
        <v>0</v>
      </c>
      <c r="CL93" s="17">
        <f t="shared" si="37"/>
        <v>0</v>
      </c>
      <c r="CM93" s="17">
        <f>'1 - Input'!$B$22*CJ93*CL93</f>
        <v>0</v>
      </c>
      <c r="CN93" s="17">
        <f t="shared" si="38"/>
        <v>0</v>
      </c>
      <c r="CO93" s="17">
        <f t="shared" si="39"/>
        <v>0</v>
      </c>
      <c r="CP93" s="17">
        <f t="shared" si="40"/>
        <v>0</v>
      </c>
      <c r="CQ93" s="17">
        <f t="shared" si="41"/>
        <v>439352.30463525408</v>
      </c>
      <c r="CR93" s="17">
        <f t="shared" si="42"/>
        <v>343894.20998300979</v>
      </c>
      <c r="CS93" s="17">
        <f>IF(MOD(BU93,12)=0,CQ93*'1 - Input'!$B$23,0)</f>
        <v>0</v>
      </c>
      <c r="CT93" s="17">
        <f t="shared" si="43"/>
        <v>439352.30463525408</v>
      </c>
      <c r="CU93" s="17">
        <f>IF(MOD(BU93,12)=0,CR93*(1-'1 - Input'!$B$23),CR93)</f>
        <v>343894.20998300979</v>
      </c>
      <c r="CV93" s="17">
        <f>IF('1 - Input'!$B$17=1,MIN(CF93,BX93)+CN93,CF93)</f>
        <v>2922.566832</v>
      </c>
      <c r="CW93" s="17">
        <f t="shared" si="63"/>
        <v>139385.23286400002</v>
      </c>
      <c r="CX93" s="17">
        <f t="shared" si="64"/>
        <v>0</v>
      </c>
      <c r="CY93" s="17">
        <f t="shared" si="65"/>
        <v>0</v>
      </c>
      <c r="CZ93" s="17">
        <f t="shared" si="66"/>
        <v>0</v>
      </c>
      <c r="DA93" s="17">
        <f t="shared" si="67"/>
        <v>3686.584301537232</v>
      </c>
      <c r="DB93" s="17">
        <f t="shared" si="68"/>
        <v>0</v>
      </c>
      <c r="DC93" s="15">
        <f t="shared" si="44"/>
        <v>0</v>
      </c>
    </row>
    <row r="94" spans="1:107">
      <c r="A94" s="14">
        <v>51</v>
      </c>
      <c r="B94" s="15">
        <f t="shared" si="0"/>
        <v>5</v>
      </c>
      <c r="C94" s="16">
        <f>(1+INDEX('1 - Input'!$B$34:$E$63,B94,'1 - Input'!$B$16))^(1/12)-1</f>
        <v>4.1219243192651689E-3</v>
      </c>
      <c r="D94" s="17">
        <f>'1 - Input'!$B$7*(1+'1 - Input'!$B$12)^(B94-1)</f>
        <v>2922.566832</v>
      </c>
      <c r="E94" s="17">
        <f t="shared" si="45"/>
        <v>391477.60160396132</v>
      </c>
      <c r="F94" s="17">
        <f t="shared" si="46"/>
        <v>464364.07675298932</v>
      </c>
      <c r="G94" s="17">
        <f t="shared" si="1"/>
        <v>393091.24265046028</v>
      </c>
      <c r="H94" s="17">
        <f>IF(G94&gt;0,'1 - Input'!$B$8/12*G94,0)</f>
        <v>2948.1843198784518</v>
      </c>
      <c r="I94" s="17">
        <f t="shared" si="2"/>
        <v>390143.05833058181</v>
      </c>
      <c r="J94" s="17">
        <f t="shared" si="3"/>
        <v>0</v>
      </c>
      <c r="K94" s="17">
        <f>'1 - Input'!$B$22*(H94-J94)</f>
        <v>766.52792316839748</v>
      </c>
      <c r="L94" s="17">
        <f t="shared" si="4"/>
        <v>2181.6563967100542</v>
      </c>
      <c r="M94" s="17">
        <f t="shared" si="5"/>
        <v>464364.07675298932</v>
      </c>
      <c r="N94" s="17">
        <f>IF('1 - Input'!$B$17=1,MAX(0,L94-D94),0)</f>
        <v>0</v>
      </c>
      <c r="O94" s="17">
        <f>IF('1 - Input'!$B$17=1,MAX(0,D94-L94),0)</f>
        <v>740.91043528994578</v>
      </c>
      <c r="P94" s="17">
        <f t="shared" si="6"/>
        <v>0</v>
      </c>
      <c r="Q94" s="17">
        <f>IF(AND(O94&gt;0,I94&gt;0),O94/(1-'1 - Input'!$B$22*P94),0)</f>
        <v>740.91043528994578</v>
      </c>
      <c r="R94" s="17">
        <f t="shared" si="7"/>
        <v>740.91043528994578</v>
      </c>
      <c r="S94" s="17">
        <f>'1 - Input'!$B$22*P94*R94</f>
        <v>0</v>
      </c>
      <c r="T94" s="17">
        <f t="shared" si="8"/>
        <v>740.91043528994578</v>
      </c>
      <c r="U94" s="17">
        <f t="shared" si="9"/>
        <v>0</v>
      </c>
      <c r="V94" s="17">
        <f t="shared" si="10"/>
        <v>140.95118673215794</v>
      </c>
      <c r="W94" s="17">
        <f t="shared" si="11"/>
        <v>389402.14789529186</v>
      </c>
      <c r="X94" s="17">
        <f t="shared" si="12"/>
        <v>463482.2151309672</v>
      </c>
      <c r="Y94" s="17">
        <f>IF(MOD(A94,12)=0,W94*'1 - Input'!$B$23,0)</f>
        <v>0</v>
      </c>
      <c r="Z94" s="17">
        <f t="shared" si="13"/>
        <v>389402.14789529186</v>
      </c>
      <c r="AA94" s="17">
        <f>IF(MOD(A94,12)=0,X94*(1-'1 - Input'!$B$23),X94)</f>
        <v>463482.2151309672</v>
      </c>
      <c r="AB94" s="17">
        <f>IF('1 - Input'!$B$17=1,MIN(L94,D94)+T94,L94)</f>
        <v>2922.566832</v>
      </c>
      <c r="AC94" s="17">
        <f t="shared" si="47"/>
        <v>142307.79969600003</v>
      </c>
      <c r="AD94" s="17">
        <f t="shared" si="48"/>
        <v>44036.866160854464</v>
      </c>
      <c r="AE94" s="17">
        <f t="shared" si="49"/>
        <v>0</v>
      </c>
      <c r="AF94" s="17">
        <f t="shared" si="50"/>
        <v>2222.8818696456278</v>
      </c>
      <c r="AG94" s="17">
        <f t="shared" si="51"/>
        <v>3456.521180017904</v>
      </c>
      <c r="AH94" s="17">
        <f t="shared" si="52"/>
        <v>0</v>
      </c>
      <c r="AI94" s="15">
        <f t="shared" si="14"/>
        <v>0</v>
      </c>
      <c r="AK94" s="14">
        <v>51</v>
      </c>
      <c r="AL94" s="15">
        <f t="shared" si="15"/>
        <v>5</v>
      </c>
      <c r="AM94" s="16">
        <f>(1+INDEX('1 - Input'!$B$34:$E$63,AL94,'1 - Input'!$B$16))^(1/12)-1</f>
        <v>4.1219243192651689E-3</v>
      </c>
      <c r="AN94" s="17">
        <f>'1 - Input'!$B$7*(1+'1 - Input'!$B$12)^(AL94-1)</f>
        <v>2922.566832</v>
      </c>
      <c r="AO94" s="17">
        <f t="shared" si="53"/>
        <v>391477.60160396132</v>
      </c>
      <c r="AP94" s="17">
        <f t="shared" si="54"/>
        <v>464364.07675298932</v>
      </c>
      <c r="AQ94" s="17">
        <f t="shared" si="16"/>
        <v>393091.24265046028</v>
      </c>
      <c r="AR94" s="17">
        <f>IF(AQ94&gt;0,'1 - Input'!$B$8/12*AQ94,0)</f>
        <v>2948.1843198784518</v>
      </c>
      <c r="AS94" s="17">
        <f t="shared" si="17"/>
        <v>390143.05833058181</v>
      </c>
      <c r="AT94" s="17">
        <f t="shared" si="18"/>
        <v>0</v>
      </c>
      <c r="AU94" s="17">
        <f>'1 - Input'!$B$22*(AR94-AT94)</f>
        <v>766.52792316839748</v>
      </c>
      <c r="AV94" s="17">
        <f t="shared" si="19"/>
        <v>2181.6563967100542</v>
      </c>
      <c r="AW94" s="17">
        <f t="shared" si="20"/>
        <v>464364.07675298932</v>
      </c>
      <c r="AX94" s="17">
        <f>IF('1 - Input'!$B$17=1,MAX(0,AV94-AN94),0)</f>
        <v>0</v>
      </c>
      <c r="AY94" s="17">
        <f>IF('1 - Input'!$B$17=1,MAX(0,AN94-AV94),0)</f>
        <v>740.91043528994578</v>
      </c>
      <c r="AZ94" s="17">
        <f t="shared" si="21"/>
        <v>0</v>
      </c>
      <c r="BA94" s="17">
        <f>IF(AND(AY94&gt;0,AS94&gt;0),AY94/(1-'1 - Input'!$B$22*AZ94),0)</f>
        <v>740.91043528994578</v>
      </c>
      <c r="BB94" s="17">
        <f t="shared" si="22"/>
        <v>740.91043528994578</v>
      </c>
      <c r="BC94" s="17">
        <f>'1 - Input'!$B$22*AZ94*BB94</f>
        <v>0</v>
      </c>
      <c r="BD94" s="17">
        <f t="shared" si="23"/>
        <v>740.91043528994578</v>
      </c>
      <c r="BE94" s="17">
        <f t="shared" si="24"/>
        <v>0</v>
      </c>
      <c r="BF94" s="17">
        <f t="shared" si="25"/>
        <v>140.95118673215794</v>
      </c>
      <c r="BG94" s="17">
        <f t="shared" si="26"/>
        <v>389402.14789529186</v>
      </c>
      <c r="BH94" s="17">
        <f t="shared" si="27"/>
        <v>463482.2151309672</v>
      </c>
      <c r="BI94" s="17">
        <f>IF(MOD(AK94,12)=0,BG94*'1 - Input'!$B$23,0)</f>
        <v>0</v>
      </c>
      <c r="BJ94" s="17">
        <f t="shared" si="28"/>
        <v>389402.14789529186</v>
      </c>
      <c r="BK94" s="17">
        <f>IF(MOD(AK94,12)=0,BH94*(1-'1 - Input'!$B$23),BH94)</f>
        <v>463482.2151309672</v>
      </c>
      <c r="BL94" s="17">
        <f>IF('1 - Input'!$B$17=1,MIN(AV94,AN94)+BD94,AV94)</f>
        <v>2922.566832</v>
      </c>
      <c r="BM94" s="17">
        <f t="shared" si="55"/>
        <v>142307.79969600003</v>
      </c>
      <c r="BN94" s="17">
        <f t="shared" si="56"/>
        <v>44036.866160854464</v>
      </c>
      <c r="BO94" s="17">
        <f t="shared" si="57"/>
        <v>0</v>
      </c>
      <c r="BP94" s="17">
        <f t="shared" si="58"/>
        <v>2222.8818696456278</v>
      </c>
      <c r="BQ94" s="17">
        <f t="shared" si="59"/>
        <v>3456.521180017904</v>
      </c>
      <c r="BR94" s="17">
        <f t="shared" si="60"/>
        <v>0</v>
      </c>
      <c r="BS94" s="15">
        <f t="shared" si="29"/>
        <v>0</v>
      </c>
      <c r="BU94" s="14">
        <v>51</v>
      </c>
      <c r="BV94" s="15">
        <f t="shared" si="30"/>
        <v>5</v>
      </c>
      <c r="BW94" s="16">
        <f>(1+INDEX('1 - Input'!$B$34:$E$63,BV94,'1 - Input'!$B$16))^(1/12)-1</f>
        <v>4.1219243192651689E-3</v>
      </c>
      <c r="BX94" s="17">
        <f>'1 - Input'!$B$7*(1+'1 - Input'!$B$12)^(BV94-1)</f>
        <v>2922.566832</v>
      </c>
      <c r="BY94" s="17">
        <f t="shared" si="61"/>
        <v>439352.30463525408</v>
      </c>
      <c r="BZ94" s="17">
        <f t="shared" si="62"/>
        <v>343894.20998300979</v>
      </c>
      <c r="CA94" s="17">
        <f t="shared" si="31"/>
        <v>441163.28158445534</v>
      </c>
      <c r="CB94" s="17">
        <f>IF(CA94&gt;0,'1 - Input'!$B$8/12*CA94,0)</f>
        <v>3308.724611883415</v>
      </c>
      <c r="CC94" s="17">
        <f t="shared" si="32"/>
        <v>437854.55697257194</v>
      </c>
      <c r="CD94" s="17">
        <f t="shared" si="33"/>
        <v>3308.724611883415</v>
      </c>
      <c r="CE94" s="17">
        <f>'1 - Input'!$B$22*(CB94-CD94)</f>
        <v>0</v>
      </c>
      <c r="CF94" s="17">
        <f t="shared" si="34"/>
        <v>3308.724611883415</v>
      </c>
      <c r="CG94" s="17">
        <f t="shared" si="35"/>
        <v>340585.48537112639</v>
      </c>
      <c r="CH94" s="17">
        <f>IF('1 - Input'!$B$17=1,MAX(0,CF94-BX94),0)</f>
        <v>386.15777988341506</v>
      </c>
      <c r="CI94" s="17">
        <f>IF('1 - Input'!$B$17=1,MAX(0,BX94-CF94),0)</f>
        <v>0</v>
      </c>
      <c r="CJ94" s="17">
        <f t="shared" si="36"/>
        <v>0.22214927320612232</v>
      </c>
      <c r="CK94" s="17">
        <f>IF(AND(CI94&gt;0,CC94&gt;0),CI94/(1-'1 - Input'!$B$22*CJ94),0)</f>
        <v>0</v>
      </c>
      <c r="CL94" s="17">
        <f t="shared" si="37"/>
        <v>0</v>
      </c>
      <c r="CM94" s="17">
        <f>'1 - Input'!$B$22*CJ94*CL94</f>
        <v>0</v>
      </c>
      <c r="CN94" s="17">
        <f t="shared" si="38"/>
        <v>0</v>
      </c>
      <c r="CO94" s="17">
        <f t="shared" si="39"/>
        <v>0</v>
      </c>
      <c r="CP94" s="17">
        <f t="shared" si="40"/>
        <v>0</v>
      </c>
      <c r="CQ94" s="17">
        <f t="shared" si="41"/>
        <v>438240.71475245536</v>
      </c>
      <c r="CR94" s="17">
        <f t="shared" si="42"/>
        <v>340971.6431510098</v>
      </c>
      <c r="CS94" s="17">
        <f>IF(MOD(BU94,12)=0,CQ94*'1 - Input'!$B$23,0)</f>
        <v>0</v>
      </c>
      <c r="CT94" s="17">
        <f t="shared" si="43"/>
        <v>438240.71475245536</v>
      </c>
      <c r="CU94" s="17">
        <f>IF(MOD(BU94,12)=0,CR94*(1-'1 - Input'!$B$23),CR94)</f>
        <v>340971.6431510098</v>
      </c>
      <c r="CV94" s="17">
        <f>IF('1 - Input'!$B$17=1,MIN(CF94,BX94)+CN94,CF94)</f>
        <v>2922.566832</v>
      </c>
      <c r="CW94" s="17">
        <f t="shared" si="63"/>
        <v>142307.79969600003</v>
      </c>
      <c r="CX94" s="17">
        <f t="shared" si="64"/>
        <v>0</v>
      </c>
      <c r="CY94" s="17">
        <f t="shared" si="65"/>
        <v>0</v>
      </c>
      <c r="CZ94" s="17">
        <f t="shared" si="66"/>
        <v>0</v>
      </c>
      <c r="DA94" s="17">
        <f t="shared" si="67"/>
        <v>3686.584301537232</v>
      </c>
      <c r="DB94" s="17">
        <f t="shared" si="68"/>
        <v>0</v>
      </c>
      <c r="DC94" s="15">
        <f t="shared" si="44"/>
        <v>0</v>
      </c>
    </row>
    <row r="95" spans="1:107">
      <c r="A95" s="14">
        <v>52</v>
      </c>
      <c r="B95" s="15">
        <f t="shared" si="0"/>
        <v>5</v>
      </c>
      <c r="C95" s="16">
        <f>(1+INDEX('1 - Input'!$B$34:$E$63,B95,'1 - Input'!$B$16))^(1/12)-1</f>
        <v>4.1219243192651689E-3</v>
      </c>
      <c r="D95" s="17">
        <f>'1 - Input'!$B$7*(1+'1 - Input'!$B$12)^(B95-1)</f>
        <v>2922.566832</v>
      </c>
      <c r="E95" s="17">
        <f t="shared" si="45"/>
        <v>389402.14789529186</v>
      </c>
      <c r="F95" s="17">
        <f t="shared" si="46"/>
        <v>463482.2151309672</v>
      </c>
      <c r="G95" s="17">
        <f t="shared" si="1"/>
        <v>391007.23407867557</v>
      </c>
      <c r="H95" s="17">
        <f>IF(G95&gt;0,'1 - Input'!$B$8/12*G95,0)</f>
        <v>2932.5542555900665</v>
      </c>
      <c r="I95" s="17">
        <f t="shared" si="2"/>
        <v>388074.67982308549</v>
      </c>
      <c r="J95" s="17">
        <f t="shared" si="3"/>
        <v>0</v>
      </c>
      <c r="K95" s="17">
        <f>'1 - Input'!$B$22*(H95-J95)</f>
        <v>762.46410645341734</v>
      </c>
      <c r="L95" s="17">
        <f t="shared" si="4"/>
        <v>2170.0901491366494</v>
      </c>
      <c r="M95" s="17">
        <f t="shared" si="5"/>
        <v>463482.2151309672</v>
      </c>
      <c r="N95" s="17">
        <f>IF('1 - Input'!$B$17=1,MAX(0,L95-D95),0)</f>
        <v>0</v>
      </c>
      <c r="O95" s="17">
        <f>IF('1 - Input'!$B$17=1,MAX(0,D95-L95),0)</f>
        <v>752.47668286335056</v>
      </c>
      <c r="P95" s="17">
        <f t="shared" si="6"/>
        <v>0</v>
      </c>
      <c r="Q95" s="17">
        <f>IF(AND(O95&gt;0,I95&gt;0),O95/(1-'1 - Input'!$B$22*P95),0)</f>
        <v>752.47668286335056</v>
      </c>
      <c r="R95" s="17">
        <f t="shared" si="7"/>
        <v>752.47668286335056</v>
      </c>
      <c r="S95" s="17">
        <f>'1 - Input'!$B$22*P95*R95</f>
        <v>0</v>
      </c>
      <c r="T95" s="17">
        <f t="shared" si="8"/>
        <v>752.47668286335056</v>
      </c>
      <c r="U95" s="17">
        <f t="shared" si="9"/>
        <v>0</v>
      </c>
      <c r="V95" s="17">
        <f t="shared" si="10"/>
        <v>146.21518738930206</v>
      </c>
      <c r="W95" s="17">
        <f t="shared" si="11"/>
        <v>387322.20314022212</v>
      </c>
      <c r="X95" s="17">
        <f t="shared" si="12"/>
        <v>462583.52326071454</v>
      </c>
      <c r="Y95" s="17">
        <f>IF(MOD(A95,12)=0,W95*'1 - Input'!$B$23,0)</f>
        <v>0</v>
      </c>
      <c r="Z95" s="17">
        <f t="shared" si="13"/>
        <v>387322.20314022212</v>
      </c>
      <c r="AA95" s="17">
        <f>IF(MOD(A95,12)=0,X95*(1-'1 - Input'!$B$23),X95)</f>
        <v>462583.52326071454</v>
      </c>
      <c r="AB95" s="17">
        <f>IF('1 - Input'!$B$17=1,MIN(L95,D95)+T95,L95)</f>
        <v>2922.566832</v>
      </c>
      <c r="AC95" s="17">
        <f t="shared" si="47"/>
        <v>145230.36652800004</v>
      </c>
      <c r="AD95" s="17">
        <f t="shared" si="48"/>
        <v>44799.33026730788</v>
      </c>
      <c r="AE95" s="17">
        <f t="shared" si="49"/>
        <v>0</v>
      </c>
      <c r="AF95" s="17">
        <f t="shared" si="50"/>
        <v>2369.09705703493</v>
      </c>
      <c r="AG95" s="17">
        <f t="shared" si="51"/>
        <v>3456.521180017904</v>
      </c>
      <c r="AH95" s="17">
        <f t="shared" si="52"/>
        <v>0</v>
      </c>
      <c r="AI95" s="15">
        <f t="shared" si="14"/>
        <v>0</v>
      </c>
      <c r="AK95" s="14">
        <v>52</v>
      </c>
      <c r="AL95" s="15">
        <f t="shared" si="15"/>
        <v>5</v>
      </c>
      <c r="AM95" s="16">
        <f>(1+INDEX('1 - Input'!$B$34:$E$63,AL95,'1 - Input'!$B$16))^(1/12)-1</f>
        <v>4.1219243192651689E-3</v>
      </c>
      <c r="AN95" s="17">
        <f>'1 - Input'!$B$7*(1+'1 - Input'!$B$12)^(AL95-1)</f>
        <v>2922.566832</v>
      </c>
      <c r="AO95" s="17">
        <f t="shared" si="53"/>
        <v>389402.14789529186</v>
      </c>
      <c r="AP95" s="17">
        <f t="shared" si="54"/>
        <v>463482.2151309672</v>
      </c>
      <c r="AQ95" s="17">
        <f t="shared" si="16"/>
        <v>391007.23407867557</v>
      </c>
      <c r="AR95" s="17">
        <f>IF(AQ95&gt;0,'1 - Input'!$B$8/12*AQ95,0)</f>
        <v>2932.5542555900665</v>
      </c>
      <c r="AS95" s="17">
        <f t="shared" si="17"/>
        <v>388074.67982308549</v>
      </c>
      <c r="AT95" s="17">
        <f t="shared" si="18"/>
        <v>0</v>
      </c>
      <c r="AU95" s="17">
        <f>'1 - Input'!$B$22*(AR95-AT95)</f>
        <v>762.46410645341734</v>
      </c>
      <c r="AV95" s="17">
        <f t="shared" si="19"/>
        <v>2170.0901491366494</v>
      </c>
      <c r="AW95" s="17">
        <f t="shared" si="20"/>
        <v>463482.2151309672</v>
      </c>
      <c r="AX95" s="17">
        <f>IF('1 - Input'!$B$17=1,MAX(0,AV95-AN95),0)</f>
        <v>0</v>
      </c>
      <c r="AY95" s="17">
        <f>IF('1 - Input'!$B$17=1,MAX(0,AN95-AV95),0)</f>
        <v>752.47668286335056</v>
      </c>
      <c r="AZ95" s="17">
        <f t="shared" si="21"/>
        <v>0</v>
      </c>
      <c r="BA95" s="17">
        <f>IF(AND(AY95&gt;0,AS95&gt;0),AY95/(1-'1 - Input'!$B$22*AZ95),0)</f>
        <v>752.47668286335056</v>
      </c>
      <c r="BB95" s="17">
        <f t="shared" si="22"/>
        <v>752.47668286335056</v>
      </c>
      <c r="BC95" s="17">
        <f>'1 - Input'!$B$22*AZ95*BB95</f>
        <v>0</v>
      </c>
      <c r="BD95" s="17">
        <f t="shared" si="23"/>
        <v>752.47668286335056</v>
      </c>
      <c r="BE95" s="17">
        <f t="shared" si="24"/>
        <v>0</v>
      </c>
      <c r="BF95" s="17">
        <f t="shared" si="25"/>
        <v>146.21518738930206</v>
      </c>
      <c r="BG95" s="17">
        <f t="shared" si="26"/>
        <v>387322.20314022212</v>
      </c>
      <c r="BH95" s="17">
        <f t="shared" si="27"/>
        <v>462583.52326071454</v>
      </c>
      <c r="BI95" s="17">
        <f>IF(MOD(AK95,12)=0,BG95*'1 - Input'!$B$23,0)</f>
        <v>0</v>
      </c>
      <c r="BJ95" s="17">
        <f t="shared" si="28"/>
        <v>387322.20314022212</v>
      </c>
      <c r="BK95" s="17">
        <f>IF(MOD(AK95,12)=0,BH95*(1-'1 - Input'!$B$23),BH95)</f>
        <v>462583.52326071454</v>
      </c>
      <c r="BL95" s="17">
        <f>IF('1 - Input'!$B$17=1,MIN(AV95,AN95)+BD95,AV95)</f>
        <v>2922.566832</v>
      </c>
      <c r="BM95" s="17">
        <f t="shared" si="55"/>
        <v>145230.36652800004</v>
      </c>
      <c r="BN95" s="17">
        <f t="shared" si="56"/>
        <v>44799.33026730788</v>
      </c>
      <c r="BO95" s="17">
        <f t="shared" si="57"/>
        <v>0</v>
      </c>
      <c r="BP95" s="17">
        <f t="shared" si="58"/>
        <v>2369.09705703493</v>
      </c>
      <c r="BQ95" s="17">
        <f t="shared" si="59"/>
        <v>3456.521180017904</v>
      </c>
      <c r="BR95" s="17">
        <f t="shared" si="60"/>
        <v>0</v>
      </c>
      <c r="BS95" s="15">
        <f t="shared" si="29"/>
        <v>0</v>
      </c>
      <c r="BU95" s="14">
        <v>52</v>
      </c>
      <c r="BV95" s="15">
        <f t="shared" si="30"/>
        <v>5</v>
      </c>
      <c r="BW95" s="16">
        <f>(1+INDEX('1 - Input'!$B$34:$E$63,BV95,'1 - Input'!$B$16))^(1/12)-1</f>
        <v>4.1219243192651689E-3</v>
      </c>
      <c r="BX95" s="17">
        <f>'1 - Input'!$B$7*(1+'1 - Input'!$B$12)^(BV95-1)</f>
        <v>2922.566832</v>
      </c>
      <c r="BY95" s="17">
        <f t="shared" si="61"/>
        <v>438240.71475245536</v>
      </c>
      <c r="BZ95" s="17">
        <f t="shared" si="62"/>
        <v>340971.6431510098</v>
      </c>
      <c r="CA95" s="17">
        <f t="shared" si="31"/>
        <v>440047.10981228563</v>
      </c>
      <c r="CB95" s="17">
        <f>IF(CA95&gt;0,'1 - Input'!$B$8/12*CA95,0)</f>
        <v>3300.3533235921423</v>
      </c>
      <c r="CC95" s="17">
        <f t="shared" si="32"/>
        <v>436746.75648869347</v>
      </c>
      <c r="CD95" s="17">
        <f t="shared" si="33"/>
        <v>3300.3533235921423</v>
      </c>
      <c r="CE95" s="17">
        <f>'1 - Input'!$B$22*(CB95-CD95)</f>
        <v>0</v>
      </c>
      <c r="CF95" s="17">
        <f t="shared" si="34"/>
        <v>3300.3533235921423</v>
      </c>
      <c r="CG95" s="17">
        <f t="shared" si="35"/>
        <v>337671.28982741764</v>
      </c>
      <c r="CH95" s="17">
        <f>IF('1 - Input'!$B$17=1,MAX(0,CF95-BX95),0)</f>
        <v>377.78649159214228</v>
      </c>
      <c r="CI95" s="17">
        <f>IF('1 - Input'!$B$17=1,MAX(0,BX95-CF95),0)</f>
        <v>0</v>
      </c>
      <c r="CJ95" s="17">
        <f t="shared" si="36"/>
        <v>0.22684877492350808</v>
      </c>
      <c r="CK95" s="17">
        <f>IF(AND(CI95&gt;0,CC95&gt;0),CI95/(1-'1 - Input'!$B$22*CJ95),0)</f>
        <v>0</v>
      </c>
      <c r="CL95" s="17">
        <f t="shared" si="37"/>
        <v>0</v>
      </c>
      <c r="CM95" s="17">
        <f>'1 - Input'!$B$22*CJ95*CL95</f>
        <v>0</v>
      </c>
      <c r="CN95" s="17">
        <f t="shared" si="38"/>
        <v>0</v>
      </c>
      <c r="CO95" s="17">
        <f t="shared" si="39"/>
        <v>0</v>
      </c>
      <c r="CP95" s="17">
        <f t="shared" si="40"/>
        <v>0</v>
      </c>
      <c r="CQ95" s="17">
        <f t="shared" si="41"/>
        <v>437124.54298028559</v>
      </c>
      <c r="CR95" s="17">
        <f t="shared" si="42"/>
        <v>338049.07631900976</v>
      </c>
      <c r="CS95" s="17">
        <f>IF(MOD(BU95,12)=0,CQ95*'1 - Input'!$B$23,0)</f>
        <v>0</v>
      </c>
      <c r="CT95" s="17">
        <f t="shared" si="43"/>
        <v>437124.54298028559</v>
      </c>
      <c r="CU95" s="17">
        <f>IF(MOD(BU95,12)=0,CR95*(1-'1 - Input'!$B$23),CR95)</f>
        <v>338049.07631900976</v>
      </c>
      <c r="CV95" s="17">
        <f>IF('1 - Input'!$B$17=1,MIN(CF95,BX95)+CN95,CF95)</f>
        <v>2922.566832</v>
      </c>
      <c r="CW95" s="17">
        <f t="shared" si="63"/>
        <v>145230.36652800004</v>
      </c>
      <c r="CX95" s="17">
        <f t="shared" si="64"/>
        <v>0</v>
      </c>
      <c r="CY95" s="17">
        <f t="shared" si="65"/>
        <v>0</v>
      </c>
      <c r="CZ95" s="17">
        <f t="shared" si="66"/>
        <v>0</v>
      </c>
      <c r="DA95" s="17">
        <f t="shared" si="67"/>
        <v>3686.584301537232</v>
      </c>
      <c r="DB95" s="17">
        <f t="shared" si="68"/>
        <v>0</v>
      </c>
      <c r="DC95" s="15">
        <f t="shared" si="44"/>
        <v>0</v>
      </c>
    </row>
    <row r="96" spans="1:107">
      <c r="A96" s="14">
        <v>53</v>
      </c>
      <c r="B96" s="15">
        <f t="shared" si="0"/>
        <v>5</v>
      </c>
      <c r="C96" s="16">
        <f>(1+INDEX('1 - Input'!$B$34:$E$63,B96,'1 - Input'!$B$16))^(1/12)-1</f>
        <v>4.1219243192651689E-3</v>
      </c>
      <c r="D96" s="17">
        <f>'1 - Input'!$B$7*(1+'1 - Input'!$B$12)^(B96-1)</f>
        <v>2922.566832</v>
      </c>
      <c r="E96" s="17">
        <f t="shared" si="45"/>
        <v>387322.20314022212</v>
      </c>
      <c r="F96" s="17">
        <f t="shared" si="46"/>
        <v>462583.52326071454</v>
      </c>
      <c r="G96" s="17">
        <f t="shared" si="1"/>
        <v>388918.71594873717</v>
      </c>
      <c r="H96" s="17">
        <f>IF(G96&gt;0,'1 - Input'!$B$8/12*G96,0)</f>
        <v>2916.8903696155285</v>
      </c>
      <c r="I96" s="17">
        <f t="shared" si="2"/>
        <v>386001.82557912165</v>
      </c>
      <c r="J96" s="17">
        <f t="shared" si="3"/>
        <v>0</v>
      </c>
      <c r="K96" s="17">
        <f>'1 - Input'!$B$22*(H96-J96)</f>
        <v>758.39149610003744</v>
      </c>
      <c r="L96" s="17">
        <f t="shared" si="4"/>
        <v>2158.4988735154911</v>
      </c>
      <c r="M96" s="17">
        <f t="shared" si="5"/>
        <v>462583.52326071454</v>
      </c>
      <c r="N96" s="17">
        <f>IF('1 - Input'!$B$17=1,MAX(0,L96-D96),0)</f>
        <v>0</v>
      </c>
      <c r="O96" s="17">
        <f>IF('1 - Input'!$B$17=1,MAX(0,D96-L96),0)</f>
        <v>764.06795848450884</v>
      </c>
      <c r="P96" s="17">
        <f t="shared" si="6"/>
        <v>0</v>
      </c>
      <c r="Q96" s="17">
        <f>IF(AND(O96&gt;0,I96&gt;0),O96/(1-'1 - Input'!$B$22*P96),0)</f>
        <v>764.06795848450884</v>
      </c>
      <c r="R96" s="17">
        <f t="shared" si="7"/>
        <v>764.06795848450884</v>
      </c>
      <c r="S96" s="17">
        <f>'1 - Input'!$B$22*P96*R96</f>
        <v>0</v>
      </c>
      <c r="T96" s="17">
        <f t="shared" si="8"/>
        <v>764.06795848450884</v>
      </c>
      <c r="U96" s="17">
        <f t="shared" si="9"/>
        <v>0</v>
      </c>
      <c r="V96" s="17">
        <f t="shared" si="10"/>
        <v>151.58897582171807</v>
      </c>
      <c r="W96" s="17">
        <f t="shared" si="11"/>
        <v>385237.75762063713</v>
      </c>
      <c r="X96" s="17">
        <f t="shared" si="12"/>
        <v>461667.86632640834</v>
      </c>
      <c r="Y96" s="17">
        <f>IF(MOD(A96,12)=0,W96*'1 - Input'!$B$23,0)</f>
        <v>0</v>
      </c>
      <c r="Z96" s="17">
        <f t="shared" si="13"/>
        <v>385237.75762063713</v>
      </c>
      <c r="AA96" s="17">
        <f>IF(MOD(A96,12)=0,X96*(1-'1 - Input'!$B$23),X96)</f>
        <v>461667.86632640834</v>
      </c>
      <c r="AB96" s="17">
        <f>IF('1 - Input'!$B$17=1,MIN(L96,D96)+T96,L96)</f>
        <v>2922.566832</v>
      </c>
      <c r="AC96" s="17">
        <f t="shared" si="47"/>
        <v>148152.93336000005</v>
      </c>
      <c r="AD96" s="17">
        <f t="shared" si="48"/>
        <v>45557.721763407921</v>
      </c>
      <c r="AE96" s="17">
        <f t="shared" si="49"/>
        <v>0</v>
      </c>
      <c r="AF96" s="17">
        <f t="shared" si="50"/>
        <v>2520.6860328566481</v>
      </c>
      <c r="AG96" s="17">
        <f t="shared" si="51"/>
        <v>3456.521180017904</v>
      </c>
      <c r="AH96" s="17">
        <f t="shared" si="52"/>
        <v>0</v>
      </c>
      <c r="AI96" s="15">
        <f t="shared" si="14"/>
        <v>0</v>
      </c>
      <c r="AK96" s="14">
        <v>53</v>
      </c>
      <c r="AL96" s="15">
        <f t="shared" si="15"/>
        <v>5</v>
      </c>
      <c r="AM96" s="16">
        <f>(1+INDEX('1 - Input'!$B$34:$E$63,AL96,'1 - Input'!$B$16))^(1/12)-1</f>
        <v>4.1219243192651689E-3</v>
      </c>
      <c r="AN96" s="17">
        <f>'1 - Input'!$B$7*(1+'1 - Input'!$B$12)^(AL96-1)</f>
        <v>2922.566832</v>
      </c>
      <c r="AO96" s="17">
        <f t="shared" si="53"/>
        <v>387322.20314022212</v>
      </c>
      <c r="AP96" s="17">
        <f t="shared" si="54"/>
        <v>462583.52326071454</v>
      </c>
      <c r="AQ96" s="17">
        <f t="shared" si="16"/>
        <v>388918.71594873717</v>
      </c>
      <c r="AR96" s="17">
        <f>IF(AQ96&gt;0,'1 - Input'!$B$8/12*AQ96,0)</f>
        <v>2916.8903696155285</v>
      </c>
      <c r="AS96" s="17">
        <f t="shared" si="17"/>
        <v>386001.82557912165</v>
      </c>
      <c r="AT96" s="17">
        <f t="shared" si="18"/>
        <v>0</v>
      </c>
      <c r="AU96" s="17">
        <f>'1 - Input'!$B$22*(AR96-AT96)</f>
        <v>758.39149610003744</v>
      </c>
      <c r="AV96" s="17">
        <f t="shared" si="19"/>
        <v>2158.4988735154911</v>
      </c>
      <c r="AW96" s="17">
        <f t="shared" si="20"/>
        <v>462583.52326071454</v>
      </c>
      <c r="AX96" s="17">
        <f>IF('1 - Input'!$B$17=1,MAX(0,AV96-AN96),0)</f>
        <v>0</v>
      </c>
      <c r="AY96" s="17">
        <f>IF('1 - Input'!$B$17=1,MAX(0,AN96-AV96),0)</f>
        <v>764.06795848450884</v>
      </c>
      <c r="AZ96" s="17">
        <f t="shared" si="21"/>
        <v>0</v>
      </c>
      <c r="BA96" s="17">
        <f>IF(AND(AY96&gt;0,AS96&gt;0),AY96/(1-'1 - Input'!$B$22*AZ96),0)</f>
        <v>764.06795848450884</v>
      </c>
      <c r="BB96" s="17">
        <f t="shared" si="22"/>
        <v>764.06795848450884</v>
      </c>
      <c r="BC96" s="17">
        <f>'1 - Input'!$B$22*AZ96*BB96</f>
        <v>0</v>
      </c>
      <c r="BD96" s="17">
        <f t="shared" si="23"/>
        <v>764.06795848450884</v>
      </c>
      <c r="BE96" s="17">
        <f t="shared" si="24"/>
        <v>0</v>
      </c>
      <c r="BF96" s="17">
        <f t="shared" si="25"/>
        <v>151.58897582171807</v>
      </c>
      <c r="BG96" s="17">
        <f t="shared" si="26"/>
        <v>385237.75762063713</v>
      </c>
      <c r="BH96" s="17">
        <f t="shared" si="27"/>
        <v>461667.86632640834</v>
      </c>
      <c r="BI96" s="17">
        <f>IF(MOD(AK96,12)=0,BG96*'1 - Input'!$B$23,0)</f>
        <v>0</v>
      </c>
      <c r="BJ96" s="17">
        <f t="shared" si="28"/>
        <v>385237.75762063713</v>
      </c>
      <c r="BK96" s="17">
        <f>IF(MOD(AK96,12)=0,BH96*(1-'1 - Input'!$B$23),BH96)</f>
        <v>461667.86632640834</v>
      </c>
      <c r="BL96" s="17">
        <f>IF('1 - Input'!$B$17=1,MIN(AV96,AN96)+BD96,AV96)</f>
        <v>2922.566832</v>
      </c>
      <c r="BM96" s="17">
        <f t="shared" si="55"/>
        <v>148152.93336000005</v>
      </c>
      <c r="BN96" s="17">
        <f t="shared" si="56"/>
        <v>45557.721763407921</v>
      </c>
      <c r="BO96" s="17">
        <f t="shared" si="57"/>
        <v>0</v>
      </c>
      <c r="BP96" s="17">
        <f t="shared" si="58"/>
        <v>2520.6860328566481</v>
      </c>
      <c r="BQ96" s="17">
        <f t="shared" si="59"/>
        <v>3456.521180017904</v>
      </c>
      <c r="BR96" s="17">
        <f t="shared" si="60"/>
        <v>0</v>
      </c>
      <c r="BS96" s="15">
        <f t="shared" si="29"/>
        <v>0</v>
      </c>
      <c r="BU96" s="14">
        <v>53</v>
      </c>
      <c r="BV96" s="15">
        <f t="shared" si="30"/>
        <v>5</v>
      </c>
      <c r="BW96" s="16">
        <f>(1+INDEX('1 - Input'!$B$34:$E$63,BV96,'1 - Input'!$B$16))^(1/12)-1</f>
        <v>4.1219243192651689E-3</v>
      </c>
      <c r="BX96" s="17">
        <f>'1 - Input'!$B$7*(1+'1 - Input'!$B$12)^(BV96-1)</f>
        <v>2922.566832</v>
      </c>
      <c r="BY96" s="17">
        <f t="shared" si="61"/>
        <v>437124.54298028559</v>
      </c>
      <c r="BZ96" s="17">
        <f t="shared" si="62"/>
        <v>338049.07631900976</v>
      </c>
      <c r="CA96" s="17">
        <f t="shared" si="31"/>
        <v>438926.33726454369</v>
      </c>
      <c r="CB96" s="17">
        <f>IF(CA96&gt;0,'1 - Input'!$B$8/12*CA96,0)</f>
        <v>3291.9475294840777</v>
      </c>
      <c r="CC96" s="17">
        <f t="shared" si="32"/>
        <v>435634.38973505964</v>
      </c>
      <c r="CD96" s="17">
        <f t="shared" si="33"/>
        <v>3291.9475294840777</v>
      </c>
      <c r="CE96" s="17">
        <f>'1 - Input'!$B$22*(CB96-CD96)</f>
        <v>0</v>
      </c>
      <c r="CF96" s="17">
        <f t="shared" si="34"/>
        <v>3291.9475294840777</v>
      </c>
      <c r="CG96" s="17">
        <f t="shared" si="35"/>
        <v>334757.12878952571</v>
      </c>
      <c r="CH96" s="17">
        <f>IF('1 - Input'!$B$17=1,MAX(0,CF96-BX96),0)</f>
        <v>369.3806974840777</v>
      </c>
      <c r="CI96" s="17">
        <f>IF('1 - Input'!$B$17=1,MAX(0,BX96-CF96),0)</f>
        <v>0</v>
      </c>
      <c r="CJ96" s="17">
        <f t="shared" si="36"/>
        <v>0.23156404389213758</v>
      </c>
      <c r="CK96" s="17">
        <f>IF(AND(CI96&gt;0,CC96&gt;0),CI96/(1-'1 - Input'!$B$22*CJ96),0)</f>
        <v>0</v>
      </c>
      <c r="CL96" s="17">
        <f t="shared" si="37"/>
        <v>0</v>
      </c>
      <c r="CM96" s="17">
        <f>'1 - Input'!$B$22*CJ96*CL96</f>
        <v>0</v>
      </c>
      <c r="CN96" s="17">
        <f t="shared" si="38"/>
        <v>0</v>
      </c>
      <c r="CO96" s="17">
        <f t="shared" si="39"/>
        <v>0</v>
      </c>
      <c r="CP96" s="17">
        <f t="shared" si="40"/>
        <v>0</v>
      </c>
      <c r="CQ96" s="17">
        <f t="shared" si="41"/>
        <v>436003.77043254371</v>
      </c>
      <c r="CR96" s="17">
        <f t="shared" si="42"/>
        <v>335126.50948700978</v>
      </c>
      <c r="CS96" s="17">
        <f>IF(MOD(BU96,12)=0,CQ96*'1 - Input'!$B$23,0)</f>
        <v>0</v>
      </c>
      <c r="CT96" s="17">
        <f t="shared" si="43"/>
        <v>436003.77043254371</v>
      </c>
      <c r="CU96" s="17">
        <f>IF(MOD(BU96,12)=0,CR96*(1-'1 - Input'!$B$23),CR96)</f>
        <v>335126.50948700978</v>
      </c>
      <c r="CV96" s="17">
        <f>IF('1 - Input'!$B$17=1,MIN(CF96,BX96)+CN96,CF96)</f>
        <v>2922.566832</v>
      </c>
      <c r="CW96" s="17">
        <f t="shared" si="63"/>
        <v>148152.93336000005</v>
      </c>
      <c r="CX96" s="17">
        <f t="shared" si="64"/>
        <v>0</v>
      </c>
      <c r="CY96" s="17">
        <f t="shared" si="65"/>
        <v>0</v>
      </c>
      <c r="CZ96" s="17">
        <f t="shared" si="66"/>
        <v>0</v>
      </c>
      <c r="DA96" s="17">
        <f t="shared" si="67"/>
        <v>3686.584301537232</v>
      </c>
      <c r="DB96" s="17">
        <f t="shared" si="68"/>
        <v>0</v>
      </c>
      <c r="DC96" s="15">
        <f t="shared" si="44"/>
        <v>0</v>
      </c>
    </row>
    <row r="97" spans="1:107">
      <c r="A97" s="14">
        <v>54</v>
      </c>
      <c r="B97" s="15">
        <f t="shared" si="0"/>
        <v>5</v>
      </c>
      <c r="C97" s="16">
        <f>(1+INDEX('1 - Input'!$B$34:$E$63,B97,'1 - Input'!$B$16))^(1/12)-1</f>
        <v>4.1219243192651689E-3</v>
      </c>
      <c r="D97" s="17">
        <f>'1 - Input'!$B$7*(1+'1 - Input'!$B$12)^(B97-1)</f>
        <v>2922.566832</v>
      </c>
      <c r="E97" s="17">
        <f t="shared" si="45"/>
        <v>385237.75762063713</v>
      </c>
      <c r="F97" s="17">
        <f t="shared" si="46"/>
        <v>461667.86632640834</v>
      </c>
      <c r="G97" s="17">
        <f t="shared" si="1"/>
        <v>386825.67850247282</v>
      </c>
      <c r="H97" s="17">
        <f>IF(G97&gt;0,'1 - Input'!$B$8/12*G97,0)</f>
        <v>2901.1925887685461</v>
      </c>
      <c r="I97" s="17">
        <f t="shared" si="2"/>
        <v>383924.48591370427</v>
      </c>
      <c r="J97" s="17">
        <f t="shared" si="3"/>
        <v>0</v>
      </c>
      <c r="K97" s="17">
        <f>'1 - Input'!$B$22*(H97-J97)</f>
        <v>754.31007307982202</v>
      </c>
      <c r="L97" s="17">
        <f t="shared" si="4"/>
        <v>2146.8825156887242</v>
      </c>
      <c r="M97" s="17">
        <f t="shared" si="5"/>
        <v>461667.86632640834</v>
      </c>
      <c r="N97" s="17">
        <f>IF('1 - Input'!$B$17=1,MAX(0,L97-D97),0)</f>
        <v>0</v>
      </c>
      <c r="O97" s="17">
        <f>IF('1 - Input'!$B$17=1,MAX(0,D97-L97),0)</f>
        <v>775.68431631127578</v>
      </c>
      <c r="P97" s="17">
        <f t="shared" si="6"/>
        <v>0</v>
      </c>
      <c r="Q97" s="17">
        <f>IF(AND(O97&gt;0,I97&gt;0),O97/(1-'1 - Input'!$B$22*P97),0)</f>
        <v>775.68431631127578</v>
      </c>
      <c r="R97" s="17">
        <f t="shared" si="7"/>
        <v>775.68431631127578</v>
      </c>
      <c r="S97" s="17">
        <f>'1 - Input'!$B$22*P97*R97</f>
        <v>0</v>
      </c>
      <c r="T97" s="17">
        <f t="shared" si="8"/>
        <v>775.68431631127578</v>
      </c>
      <c r="U97" s="17">
        <f t="shared" si="9"/>
        <v>0</v>
      </c>
      <c r="V97" s="17">
        <f t="shared" si="10"/>
        <v>157.07339098113829</v>
      </c>
      <c r="W97" s="17">
        <f t="shared" si="11"/>
        <v>383148.801597393</v>
      </c>
      <c r="X97" s="17">
        <f t="shared" si="12"/>
        <v>460735.10861911596</v>
      </c>
      <c r="Y97" s="17">
        <f>IF(MOD(A97,12)=0,W97*'1 - Input'!$B$23,0)</f>
        <v>0</v>
      </c>
      <c r="Z97" s="17">
        <f t="shared" si="13"/>
        <v>383148.801597393</v>
      </c>
      <c r="AA97" s="17">
        <f>IF(MOD(A97,12)=0,X97*(1-'1 - Input'!$B$23),X97)</f>
        <v>460735.10861911596</v>
      </c>
      <c r="AB97" s="17">
        <f>IF('1 - Input'!$B$17=1,MIN(L97,D97)+T97,L97)</f>
        <v>2922.566832</v>
      </c>
      <c r="AC97" s="17">
        <f t="shared" si="47"/>
        <v>151075.50019200006</v>
      </c>
      <c r="AD97" s="17">
        <f t="shared" si="48"/>
        <v>46312.031836487746</v>
      </c>
      <c r="AE97" s="17">
        <f t="shared" si="49"/>
        <v>0</v>
      </c>
      <c r="AF97" s="17">
        <f t="shared" si="50"/>
        <v>2677.7594238377865</v>
      </c>
      <c r="AG97" s="17">
        <f t="shared" si="51"/>
        <v>3456.521180017904</v>
      </c>
      <c r="AH97" s="17">
        <f t="shared" si="52"/>
        <v>0</v>
      </c>
      <c r="AI97" s="15">
        <f t="shared" si="14"/>
        <v>0</v>
      </c>
      <c r="AK97" s="14">
        <v>54</v>
      </c>
      <c r="AL97" s="15">
        <f t="shared" si="15"/>
        <v>5</v>
      </c>
      <c r="AM97" s="16">
        <f>(1+INDEX('1 - Input'!$B$34:$E$63,AL97,'1 - Input'!$B$16))^(1/12)-1</f>
        <v>4.1219243192651689E-3</v>
      </c>
      <c r="AN97" s="17">
        <f>'1 - Input'!$B$7*(1+'1 - Input'!$B$12)^(AL97-1)</f>
        <v>2922.566832</v>
      </c>
      <c r="AO97" s="17">
        <f t="shared" si="53"/>
        <v>385237.75762063713</v>
      </c>
      <c r="AP97" s="17">
        <f t="shared" si="54"/>
        <v>461667.86632640834</v>
      </c>
      <c r="AQ97" s="17">
        <f t="shared" si="16"/>
        <v>386825.67850247282</v>
      </c>
      <c r="AR97" s="17">
        <f>IF(AQ97&gt;0,'1 - Input'!$B$8/12*AQ97,0)</f>
        <v>2901.1925887685461</v>
      </c>
      <c r="AS97" s="17">
        <f t="shared" si="17"/>
        <v>383924.48591370427</v>
      </c>
      <c r="AT97" s="17">
        <f t="shared" si="18"/>
        <v>0</v>
      </c>
      <c r="AU97" s="17">
        <f>'1 - Input'!$B$22*(AR97-AT97)</f>
        <v>754.31007307982202</v>
      </c>
      <c r="AV97" s="17">
        <f t="shared" si="19"/>
        <v>2146.8825156887242</v>
      </c>
      <c r="AW97" s="17">
        <f t="shared" si="20"/>
        <v>461667.86632640834</v>
      </c>
      <c r="AX97" s="17">
        <f>IF('1 - Input'!$B$17=1,MAX(0,AV97-AN97),0)</f>
        <v>0</v>
      </c>
      <c r="AY97" s="17">
        <f>IF('1 - Input'!$B$17=1,MAX(0,AN97-AV97),0)</f>
        <v>775.68431631127578</v>
      </c>
      <c r="AZ97" s="17">
        <f t="shared" si="21"/>
        <v>0</v>
      </c>
      <c r="BA97" s="17">
        <f>IF(AND(AY97&gt;0,AS97&gt;0),AY97/(1-'1 - Input'!$B$22*AZ97),0)</f>
        <v>775.68431631127578</v>
      </c>
      <c r="BB97" s="17">
        <f t="shared" si="22"/>
        <v>775.68431631127578</v>
      </c>
      <c r="BC97" s="17">
        <f>'1 - Input'!$B$22*AZ97*BB97</f>
        <v>0</v>
      </c>
      <c r="BD97" s="17">
        <f t="shared" si="23"/>
        <v>775.68431631127578</v>
      </c>
      <c r="BE97" s="17">
        <f t="shared" si="24"/>
        <v>0</v>
      </c>
      <c r="BF97" s="17">
        <f t="shared" si="25"/>
        <v>157.07339098113829</v>
      </c>
      <c r="BG97" s="17">
        <f t="shared" si="26"/>
        <v>383148.801597393</v>
      </c>
      <c r="BH97" s="17">
        <f t="shared" si="27"/>
        <v>460735.10861911596</v>
      </c>
      <c r="BI97" s="17">
        <f>IF(MOD(AK97,12)=0,BG97*'1 - Input'!$B$23,0)</f>
        <v>0</v>
      </c>
      <c r="BJ97" s="17">
        <f t="shared" si="28"/>
        <v>383148.801597393</v>
      </c>
      <c r="BK97" s="17">
        <f>IF(MOD(AK97,12)=0,BH97*(1-'1 - Input'!$B$23),BH97)</f>
        <v>460735.10861911596</v>
      </c>
      <c r="BL97" s="17">
        <f>IF('1 - Input'!$B$17=1,MIN(AV97,AN97)+BD97,AV97)</f>
        <v>2922.566832</v>
      </c>
      <c r="BM97" s="17">
        <f t="shared" si="55"/>
        <v>151075.50019200006</v>
      </c>
      <c r="BN97" s="17">
        <f t="shared" si="56"/>
        <v>46312.031836487746</v>
      </c>
      <c r="BO97" s="17">
        <f t="shared" si="57"/>
        <v>0</v>
      </c>
      <c r="BP97" s="17">
        <f t="shared" si="58"/>
        <v>2677.7594238377865</v>
      </c>
      <c r="BQ97" s="17">
        <f t="shared" si="59"/>
        <v>3456.521180017904</v>
      </c>
      <c r="BR97" s="17">
        <f t="shared" si="60"/>
        <v>0</v>
      </c>
      <c r="BS97" s="15">
        <f t="shared" si="29"/>
        <v>0</v>
      </c>
      <c r="BU97" s="14">
        <v>54</v>
      </c>
      <c r="BV97" s="15">
        <f t="shared" si="30"/>
        <v>5</v>
      </c>
      <c r="BW97" s="16">
        <f>(1+INDEX('1 - Input'!$B$34:$E$63,BV97,'1 - Input'!$B$16))^(1/12)-1</f>
        <v>4.1219243192651689E-3</v>
      </c>
      <c r="BX97" s="17">
        <f>'1 - Input'!$B$7*(1+'1 - Input'!$B$12)^(BV97-1)</f>
        <v>2922.566832</v>
      </c>
      <c r="BY97" s="17">
        <f t="shared" si="61"/>
        <v>436003.77043254371</v>
      </c>
      <c r="BZ97" s="17">
        <f t="shared" si="62"/>
        <v>335126.50948700978</v>
      </c>
      <c r="CA97" s="17">
        <f t="shared" si="31"/>
        <v>437800.94497718092</v>
      </c>
      <c r="CB97" s="17">
        <f>IF(CA97&gt;0,'1 - Input'!$B$8/12*CA97,0)</f>
        <v>3283.5070873288569</v>
      </c>
      <c r="CC97" s="17">
        <f t="shared" si="32"/>
        <v>434517.43788985204</v>
      </c>
      <c r="CD97" s="17">
        <f t="shared" si="33"/>
        <v>3283.5070873288569</v>
      </c>
      <c r="CE97" s="17">
        <f>'1 - Input'!$B$22*(CB97-CD97)</f>
        <v>0</v>
      </c>
      <c r="CF97" s="17">
        <f t="shared" si="34"/>
        <v>3283.5070873288569</v>
      </c>
      <c r="CG97" s="17">
        <f t="shared" si="35"/>
        <v>331843.0023996809</v>
      </c>
      <c r="CH97" s="17">
        <f>IF('1 - Input'!$B$17=1,MAX(0,CF97-BX97),0)</f>
        <v>360.94025532885689</v>
      </c>
      <c r="CI97" s="17">
        <f>IF('1 - Input'!$B$17=1,MAX(0,BX97-CF97),0)</f>
        <v>0</v>
      </c>
      <c r="CJ97" s="17">
        <f t="shared" si="36"/>
        <v>0.23629531645217561</v>
      </c>
      <c r="CK97" s="17">
        <f>IF(AND(CI97&gt;0,CC97&gt;0),CI97/(1-'1 - Input'!$B$22*CJ97),0)</f>
        <v>0</v>
      </c>
      <c r="CL97" s="17">
        <f t="shared" si="37"/>
        <v>0</v>
      </c>
      <c r="CM97" s="17">
        <f>'1 - Input'!$B$22*CJ97*CL97</f>
        <v>0</v>
      </c>
      <c r="CN97" s="17">
        <f t="shared" si="38"/>
        <v>0</v>
      </c>
      <c r="CO97" s="17">
        <f t="shared" si="39"/>
        <v>0</v>
      </c>
      <c r="CP97" s="17">
        <f t="shared" si="40"/>
        <v>0</v>
      </c>
      <c r="CQ97" s="17">
        <f t="shared" si="41"/>
        <v>434878.37814518088</v>
      </c>
      <c r="CR97" s="17">
        <f t="shared" si="42"/>
        <v>332203.94265500974</v>
      </c>
      <c r="CS97" s="17">
        <f>IF(MOD(BU97,12)=0,CQ97*'1 - Input'!$B$23,0)</f>
        <v>0</v>
      </c>
      <c r="CT97" s="17">
        <f t="shared" si="43"/>
        <v>434878.37814518088</v>
      </c>
      <c r="CU97" s="17">
        <f>IF(MOD(BU97,12)=0,CR97*(1-'1 - Input'!$B$23),CR97)</f>
        <v>332203.94265500974</v>
      </c>
      <c r="CV97" s="17">
        <f>IF('1 - Input'!$B$17=1,MIN(CF97,BX97)+CN97,CF97)</f>
        <v>2922.566832</v>
      </c>
      <c r="CW97" s="17">
        <f t="shared" si="63"/>
        <v>151075.50019200006</v>
      </c>
      <c r="CX97" s="17">
        <f t="shared" si="64"/>
        <v>0</v>
      </c>
      <c r="CY97" s="17">
        <f t="shared" si="65"/>
        <v>0</v>
      </c>
      <c r="CZ97" s="17">
        <f t="shared" si="66"/>
        <v>0</v>
      </c>
      <c r="DA97" s="17">
        <f t="shared" si="67"/>
        <v>3686.584301537232</v>
      </c>
      <c r="DB97" s="17">
        <f t="shared" si="68"/>
        <v>0</v>
      </c>
      <c r="DC97" s="15">
        <f t="shared" si="44"/>
        <v>0</v>
      </c>
    </row>
    <row r="98" spans="1:107">
      <c r="A98" s="14">
        <v>55</v>
      </c>
      <c r="B98" s="15">
        <f t="shared" si="0"/>
        <v>5</v>
      </c>
      <c r="C98" s="16">
        <f>(1+INDEX('1 - Input'!$B$34:$E$63,B98,'1 - Input'!$B$16))^(1/12)-1</f>
        <v>4.1219243192651689E-3</v>
      </c>
      <c r="D98" s="17">
        <f>'1 - Input'!$B$7*(1+'1 - Input'!$B$12)^(B98-1)</f>
        <v>2922.566832</v>
      </c>
      <c r="E98" s="17">
        <f t="shared" si="45"/>
        <v>383148.801597393</v>
      </c>
      <c r="F98" s="17">
        <f t="shared" si="46"/>
        <v>460735.10861911596</v>
      </c>
      <c r="G98" s="17">
        <f t="shared" si="1"/>
        <v>384728.1119605946</v>
      </c>
      <c r="H98" s="17">
        <f>IF(G98&gt;0,'1 - Input'!$B$8/12*G98,0)</f>
        <v>2885.4608397044594</v>
      </c>
      <c r="I98" s="17">
        <f t="shared" si="2"/>
        <v>381842.65112089016</v>
      </c>
      <c r="J98" s="17">
        <f t="shared" si="3"/>
        <v>0</v>
      </c>
      <c r="K98" s="17">
        <f>'1 - Input'!$B$22*(H98-J98)</f>
        <v>750.21981832315953</v>
      </c>
      <c r="L98" s="17">
        <f t="shared" si="4"/>
        <v>2135.2410213813</v>
      </c>
      <c r="M98" s="17">
        <f t="shared" si="5"/>
        <v>460735.10861911596</v>
      </c>
      <c r="N98" s="17">
        <f>IF('1 - Input'!$B$17=1,MAX(0,L98-D98),0)</f>
        <v>0</v>
      </c>
      <c r="O98" s="17">
        <f>IF('1 - Input'!$B$17=1,MAX(0,D98-L98),0)</f>
        <v>787.32581061869996</v>
      </c>
      <c r="P98" s="17">
        <f t="shared" si="6"/>
        <v>0</v>
      </c>
      <c r="Q98" s="17">
        <f>IF(AND(O98&gt;0,I98&gt;0),O98/(1-'1 - Input'!$B$22*P98),0)</f>
        <v>787.32581061869996</v>
      </c>
      <c r="R98" s="17">
        <f t="shared" si="7"/>
        <v>787.32581061869996</v>
      </c>
      <c r="S98" s="17">
        <f>'1 - Input'!$B$22*P98*R98</f>
        <v>0</v>
      </c>
      <c r="T98" s="17">
        <f t="shared" si="8"/>
        <v>787.32581061869996</v>
      </c>
      <c r="U98" s="17">
        <f t="shared" si="9"/>
        <v>0</v>
      </c>
      <c r="V98" s="17">
        <f t="shared" si="10"/>
        <v>162.66927717256726</v>
      </c>
      <c r="W98" s="17">
        <f t="shared" si="11"/>
        <v>381055.32531027147</v>
      </c>
      <c r="X98" s="17">
        <f t="shared" si="12"/>
        <v>459785.11353132472</v>
      </c>
      <c r="Y98" s="17">
        <f>IF(MOD(A98,12)=0,W98*'1 - Input'!$B$23,0)</f>
        <v>0</v>
      </c>
      <c r="Z98" s="17">
        <f t="shared" si="13"/>
        <v>381055.32531027147</v>
      </c>
      <c r="AA98" s="17">
        <f>IF(MOD(A98,12)=0,X98*(1-'1 - Input'!$B$23),X98)</f>
        <v>459785.11353132472</v>
      </c>
      <c r="AB98" s="17">
        <f>IF('1 - Input'!$B$17=1,MIN(L98,D98)+T98,L98)</f>
        <v>2922.566832</v>
      </c>
      <c r="AC98" s="17">
        <f t="shared" si="47"/>
        <v>153998.06702400008</v>
      </c>
      <c r="AD98" s="17">
        <f t="shared" si="48"/>
        <v>47062.251654810905</v>
      </c>
      <c r="AE98" s="17">
        <f t="shared" si="49"/>
        <v>0</v>
      </c>
      <c r="AF98" s="17">
        <f t="shared" si="50"/>
        <v>2840.4287010103535</v>
      </c>
      <c r="AG98" s="17">
        <f t="shared" si="51"/>
        <v>3456.521180017904</v>
      </c>
      <c r="AH98" s="17">
        <f t="shared" si="52"/>
        <v>0</v>
      </c>
      <c r="AI98" s="15">
        <f t="shared" si="14"/>
        <v>0</v>
      </c>
      <c r="AK98" s="14">
        <v>55</v>
      </c>
      <c r="AL98" s="15">
        <f t="shared" si="15"/>
        <v>5</v>
      </c>
      <c r="AM98" s="16">
        <f>(1+INDEX('1 - Input'!$B$34:$E$63,AL98,'1 - Input'!$B$16))^(1/12)-1</f>
        <v>4.1219243192651689E-3</v>
      </c>
      <c r="AN98" s="17">
        <f>'1 - Input'!$B$7*(1+'1 - Input'!$B$12)^(AL98-1)</f>
        <v>2922.566832</v>
      </c>
      <c r="AO98" s="17">
        <f t="shared" si="53"/>
        <v>383148.801597393</v>
      </c>
      <c r="AP98" s="17">
        <f t="shared" si="54"/>
        <v>460735.10861911596</v>
      </c>
      <c r="AQ98" s="17">
        <f t="shared" si="16"/>
        <v>384728.1119605946</v>
      </c>
      <c r="AR98" s="17">
        <f>IF(AQ98&gt;0,'1 - Input'!$B$8/12*AQ98,0)</f>
        <v>2885.4608397044594</v>
      </c>
      <c r="AS98" s="17">
        <f t="shared" si="17"/>
        <v>381842.65112089016</v>
      </c>
      <c r="AT98" s="17">
        <f t="shared" si="18"/>
        <v>0</v>
      </c>
      <c r="AU98" s="17">
        <f>'1 - Input'!$B$22*(AR98-AT98)</f>
        <v>750.21981832315953</v>
      </c>
      <c r="AV98" s="17">
        <f t="shared" si="19"/>
        <v>2135.2410213813</v>
      </c>
      <c r="AW98" s="17">
        <f t="shared" si="20"/>
        <v>460735.10861911596</v>
      </c>
      <c r="AX98" s="17">
        <f>IF('1 - Input'!$B$17=1,MAX(0,AV98-AN98),0)</f>
        <v>0</v>
      </c>
      <c r="AY98" s="17">
        <f>IF('1 - Input'!$B$17=1,MAX(0,AN98-AV98),0)</f>
        <v>787.32581061869996</v>
      </c>
      <c r="AZ98" s="17">
        <f t="shared" si="21"/>
        <v>0</v>
      </c>
      <c r="BA98" s="17">
        <f>IF(AND(AY98&gt;0,AS98&gt;0),AY98/(1-'1 - Input'!$B$22*AZ98),0)</f>
        <v>787.32581061869996</v>
      </c>
      <c r="BB98" s="17">
        <f t="shared" si="22"/>
        <v>787.32581061869996</v>
      </c>
      <c r="BC98" s="17">
        <f>'1 - Input'!$B$22*AZ98*BB98</f>
        <v>0</v>
      </c>
      <c r="BD98" s="17">
        <f t="shared" si="23"/>
        <v>787.32581061869996</v>
      </c>
      <c r="BE98" s="17">
        <f t="shared" si="24"/>
        <v>0</v>
      </c>
      <c r="BF98" s="17">
        <f t="shared" si="25"/>
        <v>162.66927717256726</v>
      </c>
      <c r="BG98" s="17">
        <f t="shared" si="26"/>
        <v>381055.32531027147</v>
      </c>
      <c r="BH98" s="17">
        <f t="shared" si="27"/>
        <v>459785.11353132472</v>
      </c>
      <c r="BI98" s="17">
        <f>IF(MOD(AK98,12)=0,BG98*'1 - Input'!$B$23,0)</f>
        <v>0</v>
      </c>
      <c r="BJ98" s="17">
        <f t="shared" si="28"/>
        <v>381055.32531027147</v>
      </c>
      <c r="BK98" s="17">
        <f>IF(MOD(AK98,12)=0,BH98*(1-'1 - Input'!$B$23),BH98)</f>
        <v>459785.11353132472</v>
      </c>
      <c r="BL98" s="17">
        <f>IF('1 - Input'!$B$17=1,MIN(AV98,AN98)+BD98,AV98)</f>
        <v>2922.566832</v>
      </c>
      <c r="BM98" s="17">
        <f t="shared" si="55"/>
        <v>153998.06702400008</v>
      </c>
      <c r="BN98" s="17">
        <f t="shared" si="56"/>
        <v>47062.251654810905</v>
      </c>
      <c r="BO98" s="17">
        <f t="shared" si="57"/>
        <v>0</v>
      </c>
      <c r="BP98" s="17">
        <f t="shared" si="58"/>
        <v>2840.4287010103535</v>
      </c>
      <c r="BQ98" s="17">
        <f t="shared" si="59"/>
        <v>3456.521180017904</v>
      </c>
      <c r="BR98" s="17">
        <f t="shared" si="60"/>
        <v>0</v>
      </c>
      <c r="BS98" s="15">
        <f t="shared" si="29"/>
        <v>0</v>
      </c>
      <c r="BU98" s="14">
        <v>55</v>
      </c>
      <c r="BV98" s="15">
        <f t="shared" si="30"/>
        <v>5</v>
      </c>
      <c r="BW98" s="16">
        <f>(1+INDEX('1 - Input'!$B$34:$E$63,BV98,'1 - Input'!$B$16))^(1/12)-1</f>
        <v>4.1219243192651689E-3</v>
      </c>
      <c r="BX98" s="17">
        <f>'1 - Input'!$B$7*(1+'1 - Input'!$B$12)^(BV98-1)</f>
        <v>2922.566832</v>
      </c>
      <c r="BY98" s="17">
        <f t="shared" si="61"/>
        <v>434878.37814518088</v>
      </c>
      <c r="BZ98" s="17">
        <f t="shared" si="62"/>
        <v>332203.94265500974</v>
      </c>
      <c r="CA98" s="17">
        <f t="shared" si="31"/>
        <v>436670.91390798008</v>
      </c>
      <c r="CB98" s="17">
        <f>IF(CA98&gt;0,'1 - Input'!$B$8/12*CA98,0)</f>
        <v>3275.0318543098506</v>
      </c>
      <c r="CC98" s="17">
        <f t="shared" si="32"/>
        <v>433395.88205367024</v>
      </c>
      <c r="CD98" s="17">
        <f t="shared" si="33"/>
        <v>3275.0318543098506</v>
      </c>
      <c r="CE98" s="17">
        <f>'1 - Input'!$B$22*(CB98-CD98)</f>
        <v>0</v>
      </c>
      <c r="CF98" s="17">
        <f t="shared" si="34"/>
        <v>3275.0318543098506</v>
      </c>
      <c r="CG98" s="17">
        <f t="shared" si="35"/>
        <v>328928.9108006999</v>
      </c>
      <c r="CH98" s="17">
        <f>IF('1 - Input'!$B$17=1,MAX(0,CF98-BX98),0)</f>
        <v>352.46502230985061</v>
      </c>
      <c r="CI98" s="17">
        <f>IF('1 - Input'!$B$17=1,MAX(0,BX98-CF98),0)</f>
        <v>0</v>
      </c>
      <c r="CJ98" s="17">
        <f t="shared" si="36"/>
        <v>0.24104283307434271</v>
      </c>
      <c r="CK98" s="17">
        <f>IF(AND(CI98&gt;0,CC98&gt;0),CI98/(1-'1 - Input'!$B$22*CJ98),0)</f>
        <v>0</v>
      </c>
      <c r="CL98" s="17">
        <f t="shared" si="37"/>
        <v>0</v>
      </c>
      <c r="CM98" s="17">
        <f>'1 - Input'!$B$22*CJ98*CL98</f>
        <v>0</v>
      </c>
      <c r="CN98" s="17">
        <f t="shared" si="38"/>
        <v>0</v>
      </c>
      <c r="CO98" s="17">
        <f t="shared" si="39"/>
        <v>0</v>
      </c>
      <c r="CP98" s="17">
        <f t="shared" si="40"/>
        <v>0</v>
      </c>
      <c r="CQ98" s="17">
        <f t="shared" si="41"/>
        <v>433748.3470759801</v>
      </c>
      <c r="CR98" s="17">
        <f t="shared" si="42"/>
        <v>329281.37582300976</v>
      </c>
      <c r="CS98" s="17">
        <f>IF(MOD(BU98,12)=0,CQ98*'1 - Input'!$B$23,0)</f>
        <v>0</v>
      </c>
      <c r="CT98" s="17">
        <f t="shared" si="43"/>
        <v>433748.3470759801</v>
      </c>
      <c r="CU98" s="17">
        <f>IF(MOD(BU98,12)=0,CR98*(1-'1 - Input'!$B$23),CR98)</f>
        <v>329281.37582300976</v>
      </c>
      <c r="CV98" s="17">
        <f>IF('1 - Input'!$B$17=1,MIN(CF98,BX98)+CN98,CF98)</f>
        <v>2922.566832</v>
      </c>
      <c r="CW98" s="17">
        <f t="shared" si="63"/>
        <v>153998.06702400008</v>
      </c>
      <c r="CX98" s="17">
        <f t="shared" si="64"/>
        <v>0</v>
      </c>
      <c r="CY98" s="17">
        <f t="shared" si="65"/>
        <v>0</v>
      </c>
      <c r="CZ98" s="17">
        <f t="shared" si="66"/>
        <v>0</v>
      </c>
      <c r="DA98" s="17">
        <f t="shared" si="67"/>
        <v>3686.584301537232</v>
      </c>
      <c r="DB98" s="17">
        <f t="shared" si="68"/>
        <v>0</v>
      </c>
      <c r="DC98" s="15">
        <f t="shared" si="44"/>
        <v>0</v>
      </c>
    </row>
    <row r="99" spans="1:107">
      <c r="A99" s="14">
        <v>56</v>
      </c>
      <c r="B99" s="15">
        <f t="shared" si="0"/>
        <v>5</v>
      </c>
      <c r="C99" s="16">
        <f>(1+INDEX('1 - Input'!$B$34:$E$63,B99,'1 - Input'!$B$16))^(1/12)-1</f>
        <v>4.1219243192651689E-3</v>
      </c>
      <c r="D99" s="17">
        <f>'1 - Input'!$B$7*(1+'1 - Input'!$B$12)^(B99-1)</f>
        <v>2922.566832</v>
      </c>
      <c r="E99" s="17">
        <f t="shared" si="45"/>
        <v>381055.32531027147</v>
      </c>
      <c r="F99" s="17">
        <f t="shared" si="46"/>
        <v>459785.11353132472</v>
      </c>
      <c r="G99" s="17">
        <f t="shared" si="1"/>
        <v>382626.00652265339</v>
      </c>
      <c r="H99" s="17">
        <f>IF(G99&gt;0,'1 - Input'!$B$8/12*G99,0)</f>
        <v>2869.6950489199003</v>
      </c>
      <c r="I99" s="17">
        <f t="shared" si="2"/>
        <v>379756.31147373351</v>
      </c>
      <c r="J99" s="17">
        <f t="shared" si="3"/>
        <v>0</v>
      </c>
      <c r="K99" s="17">
        <f>'1 - Input'!$B$22*(H99-J99)</f>
        <v>746.12071271917409</v>
      </c>
      <c r="L99" s="17">
        <f t="shared" si="4"/>
        <v>2123.5743362007261</v>
      </c>
      <c r="M99" s="17">
        <f t="shared" si="5"/>
        <v>459785.11353132472</v>
      </c>
      <c r="N99" s="17">
        <f>IF('1 - Input'!$B$17=1,MAX(0,L99-D99),0)</f>
        <v>0</v>
      </c>
      <c r="O99" s="17">
        <f>IF('1 - Input'!$B$17=1,MAX(0,D99-L99),0)</f>
        <v>798.99249579927391</v>
      </c>
      <c r="P99" s="17">
        <f t="shared" si="6"/>
        <v>0</v>
      </c>
      <c r="Q99" s="17">
        <f>IF(AND(O99&gt;0,I99&gt;0),O99/(1-'1 - Input'!$B$22*P99),0)</f>
        <v>798.99249579927391</v>
      </c>
      <c r="R99" s="17">
        <f t="shared" si="7"/>
        <v>798.99249579927391</v>
      </c>
      <c r="S99" s="17">
        <f>'1 - Input'!$B$22*P99*R99</f>
        <v>0</v>
      </c>
      <c r="T99" s="17">
        <f t="shared" si="8"/>
        <v>798.99249579927391</v>
      </c>
      <c r="U99" s="17">
        <f t="shared" si="9"/>
        <v>0</v>
      </c>
      <c r="V99" s="17">
        <f t="shared" si="10"/>
        <v>168.37748408624822</v>
      </c>
      <c r="W99" s="17">
        <f t="shared" si="11"/>
        <v>378957.31897793425</v>
      </c>
      <c r="X99" s="17">
        <f t="shared" si="12"/>
        <v>458817.7435514392</v>
      </c>
      <c r="Y99" s="17">
        <f>IF(MOD(A99,12)=0,W99*'1 - Input'!$B$23,0)</f>
        <v>0</v>
      </c>
      <c r="Z99" s="17">
        <f t="shared" si="13"/>
        <v>378957.31897793425</v>
      </c>
      <c r="AA99" s="17">
        <f>IF(MOD(A99,12)=0,X99*(1-'1 - Input'!$B$23),X99)</f>
        <v>458817.7435514392</v>
      </c>
      <c r="AB99" s="17">
        <f>IF('1 - Input'!$B$17=1,MIN(L99,D99)+T99,L99)</f>
        <v>2922.566832</v>
      </c>
      <c r="AC99" s="17">
        <f t="shared" si="47"/>
        <v>156920.63385600009</v>
      </c>
      <c r="AD99" s="17">
        <f t="shared" si="48"/>
        <v>47808.372367530079</v>
      </c>
      <c r="AE99" s="17">
        <f t="shared" si="49"/>
        <v>0</v>
      </c>
      <c r="AF99" s="17">
        <f t="shared" si="50"/>
        <v>3008.8061850966019</v>
      </c>
      <c r="AG99" s="17">
        <f t="shared" si="51"/>
        <v>3456.521180017904</v>
      </c>
      <c r="AH99" s="17">
        <f t="shared" si="52"/>
        <v>0</v>
      </c>
      <c r="AI99" s="15">
        <f t="shared" si="14"/>
        <v>0</v>
      </c>
      <c r="AK99" s="14">
        <v>56</v>
      </c>
      <c r="AL99" s="15">
        <f t="shared" si="15"/>
        <v>5</v>
      </c>
      <c r="AM99" s="16">
        <f>(1+INDEX('1 - Input'!$B$34:$E$63,AL99,'1 - Input'!$B$16))^(1/12)-1</f>
        <v>4.1219243192651689E-3</v>
      </c>
      <c r="AN99" s="17">
        <f>'1 - Input'!$B$7*(1+'1 - Input'!$B$12)^(AL99-1)</f>
        <v>2922.566832</v>
      </c>
      <c r="AO99" s="17">
        <f t="shared" si="53"/>
        <v>381055.32531027147</v>
      </c>
      <c r="AP99" s="17">
        <f t="shared" si="54"/>
        <v>459785.11353132472</v>
      </c>
      <c r="AQ99" s="17">
        <f t="shared" si="16"/>
        <v>382626.00652265339</v>
      </c>
      <c r="AR99" s="17">
        <f>IF(AQ99&gt;0,'1 - Input'!$B$8/12*AQ99,0)</f>
        <v>2869.6950489199003</v>
      </c>
      <c r="AS99" s="17">
        <f t="shared" si="17"/>
        <v>379756.31147373351</v>
      </c>
      <c r="AT99" s="17">
        <f t="shared" si="18"/>
        <v>0</v>
      </c>
      <c r="AU99" s="17">
        <f>'1 - Input'!$B$22*(AR99-AT99)</f>
        <v>746.12071271917409</v>
      </c>
      <c r="AV99" s="17">
        <f t="shared" si="19"/>
        <v>2123.5743362007261</v>
      </c>
      <c r="AW99" s="17">
        <f t="shared" si="20"/>
        <v>459785.11353132472</v>
      </c>
      <c r="AX99" s="17">
        <f>IF('1 - Input'!$B$17=1,MAX(0,AV99-AN99),0)</f>
        <v>0</v>
      </c>
      <c r="AY99" s="17">
        <f>IF('1 - Input'!$B$17=1,MAX(0,AN99-AV99),0)</f>
        <v>798.99249579927391</v>
      </c>
      <c r="AZ99" s="17">
        <f t="shared" si="21"/>
        <v>0</v>
      </c>
      <c r="BA99" s="17">
        <f>IF(AND(AY99&gt;0,AS99&gt;0),AY99/(1-'1 - Input'!$B$22*AZ99),0)</f>
        <v>798.99249579927391</v>
      </c>
      <c r="BB99" s="17">
        <f t="shared" si="22"/>
        <v>798.99249579927391</v>
      </c>
      <c r="BC99" s="17">
        <f>'1 - Input'!$B$22*AZ99*BB99</f>
        <v>0</v>
      </c>
      <c r="BD99" s="17">
        <f t="shared" si="23"/>
        <v>798.99249579927391</v>
      </c>
      <c r="BE99" s="17">
        <f t="shared" si="24"/>
        <v>0</v>
      </c>
      <c r="BF99" s="17">
        <f t="shared" si="25"/>
        <v>168.37748408624822</v>
      </c>
      <c r="BG99" s="17">
        <f t="shared" si="26"/>
        <v>378957.31897793425</v>
      </c>
      <c r="BH99" s="17">
        <f t="shared" si="27"/>
        <v>458817.7435514392</v>
      </c>
      <c r="BI99" s="17">
        <f>IF(MOD(AK99,12)=0,BG99*'1 - Input'!$B$23,0)</f>
        <v>0</v>
      </c>
      <c r="BJ99" s="17">
        <f t="shared" si="28"/>
        <v>378957.31897793425</v>
      </c>
      <c r="BK99" s="17">
        <f>IF(MOD(AK99,12)=0,BH99*(1-'1 - Input'!$B$23),BH99)</f>
        <v>458817.7435514392</v>
      </c>
      <c r="BL99" s="17">
        <f>IF('1 - Input'!$B$17=1,MIN(AV99,AN99)+BD99,AV99)</f>
        <v>2922.566832</v>
      </c>
      <c r="BM99" s="17">
        <f t="shared" si="55"/>
        <v>156920.63385600009</v>
      </c>
      <c r="BN99" s="17">
        <f t="shared" si="56"/>
        <v>47808.372367530079</v>
      </c>
      <c r="BO99" s="17">
        <f t="shared" si="57"/>
        <v>0</v>
      </c>
      <c r="BP99" s="17">
        <f t="shared" si="58"/>
        <v>3008.8061850966019</v>
      </c>
      <c r="BQ99" s="17">
        <f t="shared" si="59"/>
        <v>3456.521180017904</v>
      </c>
      <c r="BR99" s="17">
        <f t="shared" si="60"/>
        <v>0</v>
      </c>
      <c r="BS99" s="15">
        <f t="shared" si="29"/>
        <v>0</v>
      </c>
      <c r="BU99" s="14">
        <v>56</v>
      </c>
      <c r="BV99" s="15">
        <f t="shared" si="30"/>
        <v>5</v>
      </c>
      <c r="BW99" s="16">
        <f>(1+INDEX('1 - Input'!$B$34:$E$63,BV99,'1 - Input'!$B$16))^(1/12)-1</f>
        <v>4.1219243192651689E-3</v>
      </c>
      <c r="BX99" s="17">
        <f>'1 - Input'!$B$7*(1+'1 - Input'!$B$12)^(BV99-1)</f>
        <v>2922.566832</v>
      </c>
      <c r="BY99" s="17">
        <f t="shared" si="61"/>
        <v>433748.3470759801</v>
      </c>
      <c r="BZ99" s="17">
        <f t="shared" si="62"/>
        <v>329281.37582300976</v>
      </c>
      <c r="CA99" s="17">
        <f t="shared" si="31"/>
        <v>435536.22493623366</v>
      </c>
      <c r="CB99" s="17">
        <f>IF(CA99&gt;0,'1 - Input'!$B$8/12*CA99,0)</f>
        <v>3266.5216870217523</v>
      </c>
      <c r="CC99" s="17">
        <f t="shared" si="32"/>
        <v>432269.70324921189</v>
      </c>
      <c r="CD99" s="17">
        <f t="shared" si="33"/>
        <v>3266.5216870217523</v>
      </c>
      <c r="CE99" s="17">
        <f>'1 - Input'!$B$22*(CB99-CD99)</f>
        <v>0</v>
      </c>
      <c r="CF99" s="17">
        <f t="shared" si="34"/>
        <v>3266.5216870217523</v>
      </c>
      <c r="CG99" s="17">
        <f t="shared" si="35"/>
        <v>326014.85413598799</v>
      </c>
      <c r="CH99" s="17">
        <f>IF('1 - Input'!$B$17=1,MAX(0,CF99-BX99),0)</f>
        <v>343.95485502175234</v>
      </c>
      <c r="CI99" s="17">
        <f>IF('1 - Input'!$B$17=1,MAX(0,BX99-CF99),0)</f>
        <v>0</v>
      </c>
      <c r="CJ99" s="17">
        <f t="shared" si="36"/>
        <v>0.24580683844957307</v>
      </c>
      <c r="CK99" s="17">
        <f>IF(AND(CI99&gt;0,CC99&gt;0),CI99/(1-'1 - Input'!$B$22*CJ99),0)</f>
        <v>0</v>
      </c>
      <c r="CL99" s="17">
        <f t="shared" si="37"/>
        <v>0</v>
      </c>
      <c r="CM99" s="17">
        <f>'1 - Input'!$B$22*CJ99*CL99</f>
        <v>0</v>
      </c>
      <c r="CN99" s="17">
        <f t="shared" si="38"/>
        <v>0</v>
      </c>
      <c r="CO99" s="17">
        <f t="shared" si="39"/>
        <v>0</v>
      </c>
      <c r="CP99" s="17">
        <f t="shared" si="40"/>
        <v>0</v>
      </c>
      <c r="CQ99" s="17">
        <f t="shared" si="41"/>
        <v>432613.65810423362</v>
      </c>
      <c r="CR99" s="17">
        <f t="shared" si="42"/>
        <v>326358.80899100972</v>
      </c>
      <c r="CS99" s="17">
        <f>IF(MOD(BU99,12)=0,CQ99*'1 - Input'!$B$23,0)</f>
        <v>0</v>
      </c>
      <c r="CT99" s="17">
        <f t="shared" si="43"/>
        <v>432613.65810423362</v>
      </c>
      <c r="CU99" s="17">
        <f>IF(MOD(BU99,12)=0,CR99*(1-'1 - Input'!$B$23),CR99)</f>
        <v>326358.80899100972</v>
      </c>
      <c r="CV99" s="17">
        <f>IF('1 - Input'!$B$17=1,MIN(CF99,BX99)+CN99,CF99)</f>
        <v>2922.566832</v>
      </c>
      <c r="CW99" s="17">
        <f t="shared" si="63"/>
        <v>156920.63385600009</v>
      </c>
      <c r="CX99" s="17">
        <f t="shared" si="64"/>
        <v>0</v>
      </c>
      <c r="CY99" s="17">
        <f t="shared" si="65"/>
        <v>0</v>
      </c>
      <c r="CZ99" s="17">
        <f t="shared" si="66"/>
        <v>0</v>
      </c>
      <c r="DA99" s="17">
        <f t="shared" si="67"/>
        <v>3686.584301537232</v>
      </c>
      <c r="DB99" s="17">
        <f t="shared" si="68"/>
        <v>0</v>
      </c>
      <c r="DC99" s="15">
        <f t="shared" si="44"/>
        <v>0</v>
      </c>
    </row>
    <row r="100" spans="1:107">
      <c r="A100" s="14">
        <v>57</v>
      </c>
      <c r="B100" s="15">
        <f t="shared" si="0"/>
        <v>5</v>
      </c>
      <c r="C100" s="16">
        <f>(1+INDEX('1 - Input'!$B$34:$E$63,B100,'1 - Input'!$B$16))^(1/12)-1</f>
        <v>4.1219243192651689E-3</v>
      </c>
      <c r="D100" s="17">
        <f>'1 - Input'!$B$7*(1+'1 - Input'!$B$12)^(B100-1)</f>
        <v>2922.566832</v>
      </c>
      <c r="E100" s="17">
        <f t="shared" si="45"/>
        <v>378957.31897793425</v>
      </c>
      <c r="F100" s="17">
        <f t="shared" si="46"/>
        <v>458817.7435514392</v>
      </c>
      <c r="G100" s="17">
        <f t="shared" si="1"/>
        <v>380519.35236699291</v>
      </c>
      <c r="H100" s="17">
        <f>IF(G100&gt;0,'1 - Input'!$B$8/12*G100,0)</f>
        <v>2853.8951427524466</v>
      </c>
      <c r="I100" s="17">
        <f t="shared" si="2"/>
        <v>377665.45722424047</v>
      </c>
      <c r="J100" s="17">
        <f t="shared" si="3"/>
        <v>0</v>
      </c>
      <c r="K100" s="17">
        <f>'1 - Input'!$B$22*(H100-J100)</f>
        <v>742.01273711563613</v>
      </c>
      <c r="L100" s="17">
        <f t="shared" si="4"/>
        <v>2111.8824056368103</v>
      </c>
      <c r="M100" s="17">
        <f t="shared" si="5"/>
        <v>458817.7435514392</v>
      </c>
      <c r="N100" s="17">
        <f>IF('1 - Input'!$B$17=1,MAX(0,L100-D100),0)</f>
        <v>0</v>
      </c>
      <c r="O100" s="17">
        <f>IF('1 - Input'!$B$17=1,MAX(0,D100-L100),0)</f>
        <v>810.68442636318969</v>
      </c>
      <c r="P100" s="17">
        <f t="shared" si="6"/>
        <v>0</v>
      </c>
      <c r="Q100" s="17">
        <f>IF(AND(O100&gt;0,I100&gt;0),O100/(1-'1 - Input'!$B$22*P100),0)</f>
        <v>810.68442636318969</v>
      </c>
      <c r="R100" s="17">
        <f t="shared" si="7"/>
        <v>810.68442636318969</v>
      </c>
      <c r="S100" s="17">
        <f>'1 - Input'!$B$22*P100*R100</f>
        <v>0</v>
      </c>
      <c r="T100" s="17">
        <f t="shared" si="8"/>
        <v>810.68442636318969</v>
      </c>
      <c r="U100" s="17">
        <f t="shared" si="9"/>
        <v>0</v>
      </c>
      <c r="V100" s="17">
        <f t="shared" si="10"/>
        <v>174.19886682981431</v>
      </c>
      <c r="W100" s="17">
        <f t="shared" si="11"/>
        <v>376854.77279787726</v>
      </c>
      <c r="X100" s="17">
        <f t="shared" si="12"/>
        <v>457832.86025824619</v>
      </c>
      <c r="Y100" s="17">
        <f>IF(MOD(A100,12)=0,W100*'1 - Input'!$B$23,0)</f>
        <v>0</v>
      </c>
      <c r="Z100" s="17">
        <f t="shared" si="13"/>
        <v>376854.77279787726</v>
      </c>
      <c r="AA100" s="17">
        <f>IF(MOD(A100,12)=0,X100*(1-'1 - Input'!$B$23),X100)</f>
        <v>457832.86025824619</v>
      </c>
      <c r="AB100" s="17">
        <f>IF('1 - Input'!$B$17=1,MIN(L100,D100)+T100,L100)</f>
        <v>2922.566832</v>
      </c>
      <c r="AC100" s="17">
        <f t="shared" si="47"/>
        <v>159843.2006880001</v>
      </c>
      <c r="AD100" s="17">
        <f t="shared" si="48"/>
        <v>48550.385104645713</v>
      </c>
      <c r="AE100" s="17">
        <f t="shared" si="49"/>
        <v>0</v>
      </c>
      <c r="AF100" s="17">
        <f t="shared" si="50"/>
        <v>3183.0050519264164</v>
      </c>
      <c r="AG100" s="17">
        <f t="shared" si="51"/>
        <v>3456.521180017904</v>
      </c>
      <c r="AH100" s="17">
        <f t="shared" si="52"/>
        <v>0</v>
      </c>
      <c r="AI100" s="15">
        <f t="shared" si="14"/>
        <v>0</v>
      </c>
      <c r="AK100" s="14">
        <v>57</v>
      </c>
      <c r="AL100" s="15">
        <f t="shared" si="15"/>
        <v>5</v>
      </c>
      <c r="AM100" s="16">
        <f>(1+INDEX('1 - Input'!$B$34:$E$63,AL100,'1 - Input'!$B$16))^(1/12)-1</f>
        <v>4.1219243192651689E-3</v>
      </c>
      <c r="AN100" s="17">
        <f>'1 - Input'!$B$7*(1+'1 - Input'!$B$12)^(AL100-1)</f>
        <v>2922.566832</v>
      </c>
      <c r="AO100" s="17">
        <f t="shared" si="53"/>
        <v>378957.31897793425</v>
      </c>
      <c r="AP100" s="17">
        <f t="shared" si="54"/>
        <v>458817.7435514392</v>
      </c>
      <c r="AQ100" s="17">
        <f t="shared" si="16"/>
        <v>380519.35236699291</v>
      </c>
      <c r="AR100" s="17">
        <f>IF(AQ100&gt;0,'1 - Input'!$B$8/12*AQ100,0)</f>
        <v>2853.8951427524466</v>
      </c>
      <c r="AS100" s="17">
        <f t="shared" si="17"/>
        <v>377665.45722424047</v>
      </c>
      <c r="AT100" s="17">
        <f t="shared" si="18"/>
        <v>0</v>
      </c>
      <c r="AU100" s="17">
        <f>'1 - Input'!$B$22*(AR100-AT100)</f>
        <v>742.01273711563613</v>
      </c>
      <c r="AV100" s="17">
        <f t="shared" si="19"/>
        <v>2111.8824056368103</v>
      </c>
      <c r="AW100" s="17">
        <f t="shared" si="20"/>
        <v>458817.7435514392</v>
      </c>
      <c r="AX100" s="17">
        <f>IF('1 - Input'!$B$17=1,MAX(0,AV100-AN100),0)</f>
        <v>0</v>
      </c>
      <c r="AY100" s="17">
        <f>IF('1 - Input'!$B$17=1,MAX(0,AN100-AV100),0)</f>
        <v>810.68442636318969</v>
      </c>
      <c r="AZ100" s="17">
        <f t="shared" si="21"/>
        <v>0</v>
      </c>
      <c r="BA100" s="17">
        <f>IF(AND(AY100&gt;0,AS100&gt;0),AY100/(1-'1 - Input'!$B$22*AZ100),0)</f>
        <v>810.68442636318969</v>
      </c>
      <c r="BB100" s="17">
        <f t="shared" si="22"/>
        <v>810.68442636318969</v>
      </c>
      <c r="BC100" s="17">
        <f>'1 - Input'!$B$22*AZ100*BB100</f>
        <v>0</v>
      </c>
      <c r="BD100" s="17">
        <f t="shared" si="23"/>
        <v>810.68442636318969</v>
      </c>
      <c r="BE100" s="17">
        <f t="shared" si="24"/>
        <v>0</v>
      </c>
      <c r="BF100" s="17">
        <f t="shared" si="25"/>
        <v>174.19886682981431</v>
      </c>
      <c r="BG100" s="17">
        <f t="shared" si="26"/>
        <v>376854.77279787726</v>
      </c>
      <c r="BH100" s="17">
        <f t="shared" si="27"/>
        <v>457832.86025824619</v>
      </c>
      <c r="BI100" s="17">
        <f>IF(MOD(AK100,12)=0,BG100*'1 - Input'!$B$23,0)</f>
        <v>0</v>
      </c>
      <c r="BJ100" s="17">
        <f t="shared" si="28"/>
        <v>376854.77279787726</v>
      </c>
      <c r="BK100" s="17">
        <f>IF(MOD(AK100,12)=0,BH100*(1-'1 - Input'!$B$23),BH100)</f>
        <v>457832.86025824619</v>
      </c>
      <c r="BL100" s="17">
        <f>IF('1 - Input'!$B$17=1,MIN(AV100,AN100)+BD100,AV100)</f>
        <v>2922.566832</v>
      </c>
      <c r="BM100" s="17">
        <f t="shared" si="55"/>
        <v>159843.2006880001</v>
      </c>
      <c r="BN100" s="17">
        <f t="shared" si="56"/>
        <v>48550.385104645713</v>
      </c>
      <c r="BO100" s="17">
        <f t="shared" si="57"/>
        <v>0</v>
      </c>
      <c r="BP100" s="17">
        <f t="shared" si="58"/>
        <v>3183.0050519264164</v>
      </c>
      <c r="BQ100" s="17">
        <f t="shared" si="59"/>
        <v>3456.521180017904</v>
      </c>
      <c r="BR100" s="17">
        <f t="shared" si="60"/>
        <v>0</v>
      </c>
      <c r="BS100" s="15">
        <f t="shared" si="29"/>
        <v>0</v>
      </c>
      <c r="BU100" s="14">
        <v>57</v>
      </c>
      <c r="BV100" s="15">
        <f t="shared" si="30"/>
        <v>5</v>
      </c>
      <c r="BW100" s="16">
        <f>(1+INDEX('1 - Input'!$B$34:$E$63,BV100,'1 - Input'!$B$16))^(1/12)-1</f>
        <v>4.1219243192651689E-3</v>
      </c>
      <c r="BX100" s="17">
        <f>'1 - Input'!$B$7*(1+'1 - Input'!$B$12)^(BV100-1)</f>
        <v>2922.566832</v>
      </c>
      <c r="BY100" s="17">
        <f t="shared" si="61"/>
        <v>432613.65810423362</v>
      </c>
      <c r="BZ100" s="17">
        <f t="shared" si="62"/>
        <v>326358.80899100972</v>
      </c>
      <c r="CA100" s="17">
        <f t="shared" si="31"/>
        <v>434396.85886241973</v>
      </c>
      <c r="CB100" s="17">
        <f>IF(CA100&gt;0,'1 - Input'!$B$8/12*CA100,0)</f>
        <v>3257.9764414681476</v>
      </c>
      <c r="CC100" s="17">
        <f t="shared" si="32"/>
        <v>431138.88242095156</v>
      </c>
      <c r="CD100" s="17">
        <f t="shared" si="33"/>
        <v>3257.9764414681476</v>
      </c>
      <c r="CE100" s="17">
        <f>'1 - Input'!$B$22*(CB100-CD100)</f>
        <v>0</v>
      </c>
      <c r="CF100" s="17">
        <f t="shared" si="34"/>
        <v>3257.9764414681476</v>
      </c>
      <c r="CG100" s="17">
        <f t="shared" si="35"/>
        <v>323100.83254954155</v>
      </c>
      <c r="CH100" s="17">
        <f>IF('1 - Input'!$B$17=1,MAX(0,CF100-BX100),0)</f>
        <v>335.40960946814766</v>
      </c>
      <c r="CI100" s="17">
        <f>IF('1 - Input'!$B$17=1,MAX(0,BX100-CF100),0)</f>
        <v>0</v>
      </c>
      <c r="CJ100" s="17">
        <f t="shared" si="36"/>
        <v>0.25058758158102001</v>
      </c>
      <c r="CK100" s="17">
        <f>IF(AND(CI100&gt;0,CC100&gt;0),CI100/(1-'1 - Input'!$B$22*CJ100),0)</f>
        <v>0</v>
      </c>
      <c r="CL100" s="17">
        <f t="shared" si="37"/>
        <v>0</v>
      </c>
      <c r="CM100" s="17">
        <f>'1 - Input'!$B$22*CJ100*CL100</f>
        <v>0</v>
      </c>
      <c r="CN100" s="17">
        <f t="shared" si="38"/>
        <v>0</v>
      </c>
      <c r="CO100" s="17">
        <f t="shared" si="39"/>
        <v>0</v>
      </c>
      <c r="CP100" s="17">
        <f t="shared" si="40"/>
        <v>0</v>
      </c>
      <c r="CQ100" s="17">
        <f t="shared" si="41"/>
        <v>431474.29203041969</v>
      </c>
      <c r="CR100" s="17">
        <f t="shared" si="42"/>
        <v>323436.24215900968</v>
      </c>
      <c r="CS100" s="17">
        <f>IF(MOD(BU100,12)=0,CQ100*'1 - Input'!$B$23,0)</f>
        <v>0</v>
      </c>
      <c r="CT100" s="17">
        <f t="shared" si="43"/>
        <v>431474.29203041969</v>
      </c>
      <c r="CU100" s="17">
        <f>IF(MOD(BU100,12)=0,CR100*(1-'1 - Input'!$B$23),CR100)</f>
        <v>323436.24215900968</v>
      </c>
      <c r="CV100" s="17">
        <f>IF('1 - Input'!$B$17=1,MIN(CF100,BX100)+CN100,CF100)</f>
        <v>2922.566832</v>
      </c>
      <c r="CW100" s="17">
        <f t="shared" si="63"/>
        <v>159843.2006880001</v>
      </c>
      <c r="CX100" s="17">
        <f t="shared" si="64"/>
        <v>0</v>
      </c>
      <c r="CY100" s="17">
        <f t="shared" si="65"/>
        <v>0</v>
      </c>
      <c r="CZ100" s="17">
        <f t="shared" si="66"/>
        <v>0</v>
      </c>
      <c r="DA100" s="17">
        <f t="shared" si="67"/>
        <v>3686.584301537232</v>
      </c>
      <c r="DB100" s="17">
        <f t="shared" si="68"/>
        <v>0</v>
      </c>
      <c r="DC100" s="15">
        <f t="shared" si="44"/>
        <v>0</v>
      </c>
    </row>
    <row r="101" spans="1:107">
      <c r="A101" s="14">
        <v>58</v>
      </c>
      <c r="B101" s="15">
        <f t="shared" si="0"/>
        <v>5</v>
      </c>
      <c r="C101" s="16">
        <f>(1+INDEX('1 - Input'!$B$34:$E$63,B101,'1 - Input'!$B$16))^(1/12)-1</f>
        <v>4.1219243192651689E-3</v>
      </c>
      <c r="D101" s="17">
        <f>'1 - Input'!$B$7*(1+'1 - Input'!$B$12)^(B101-1)</f>
        <v>2922.566832</v>
      </c>
      <c r="E101" s="17">
        <f t="shared" si="45"/>
        <v>376854.77279787726</v>
      </c>
      <c r="F101" s="17">
        <f t="shared" si="46"/>
        <v>457832.86025824619</v>
      </c>
      <c r="G101" s="17">
        <f t="shared" si="1"/>
        <v>378408.13965070399</v>
      </c>
      <c r="H101" s="17">
        <f>IF(G101&gt;0,'1 - Input'!$B$8/12*G101,0)</f>
        <v>2838.0610473802799</v>
      </c>
      <c r="I101" s="17">
        <f t="shared" si="2"/>
        <v>375570.07860332372</v>
      </c>
      <c r="J101" s="17">
        <f t="shared" si="3"/>
        <v>0</v>
      </c>
      <c r="K101" s="17">
        <f>'1 - Input'!$B$22*(H101-J101)</f>
        <v>737.89587231887276</v>
      </c>
      <c r="L101" s="17">
        <f t="shared" si="4"/>
        <v>2100.1651750614074</v>
      </c>
      <c r="M101" s="17">
        <f t="shared" si="5"/>
        <v>457832.86025824619</v>
      </c>
      <c r="N101" s="17">
        <f>IF('1 - Input'!$B$17=1,MAX(0,L101-D101),0)</f>
        <v>0</v>
      </c>
      <c r="O101" s="17">
        <f>IF('1 - Input'!$B$17=1,MAX(0,D101-L101),0)</f>
        <v>822.40165693859262</v>
      </c>
      <c r="P101" s="17">
        <f t="shared" si="6"/>
        <v>0</v>
      </c>
      <c r="Q101" s="17">
        <f>IF(AND(O101&gt;0,I101&gt;0),O101/(1-'1 - Input'!$B$22*P101),0)</f>
        <v>822.40165693859262</v>
      </c>
      <c r="R101" s="17">
        <f t="shared" si="7"/>
        <v>822.40165693859262</v>
      </c>
      <c r="S101" s="17">
        <f>'1 - Input'!$B$22*P101*R101</f>
        <v>0</v>
      </c>
      <c r="T101" s="17">
        <f t="shared" si="8"/>
        <v>822.40165693859262</v>
      </c>
      <c r="U101" s="17">
        <f t="shared" si="9"/>
        <v>0</v>
      </c>
      <c r="V101" s="17">
        <f t="shared" si="10"/>
        <v>180.13428596062596</v>
      </c>
      <c r="W101" s="17">
        <f t="shared" si="11"/>
        <v>374747.67694638512</v>
      </c>
      <c r="X101" s="17">
        <f t="shared" si="12"/>
        <v>456830.32431534695</v>
      </c>
      <c r="Y101" s="17">
        <f>IF(MOD(A101,12)=0,W101*'1 - Input'!$B$23,0)</f>
        <v>0</v>
      </c>
      <c r="Z101" s="17">
        <f t="shared" si="13"/>
        <v>374747.67694638512</v>
      </c>
      <c r="AA101" s="17">
        <f>IF(MOD(A101,12)=0,X101*(1-'1 - Input'!$B$23),X101)</f>
        <v>456830.32431534695</v>
      </c>
      <c r="AB101" s="17">
        <f>IF('1 - Input'!$B$17=1,MIN(L101,D101)+T101,L101)</f>
        <v>2922.566832</v>
      </c>
      <c r="AC101" s="17">
        <f t="shared" si="47"/>
        <v>162765.76752000011</v>
      </c>
      <c r="AD101" s="17">
        <f t="shared" si="48"/>
        <v>49288.280976964583</v>
      </c>
      <c r="AE101" s="17">
        <f t="shared" si="49"/>
        <v>0</v>
      </c>
      <c r="AF101" s="17">
        <f t="shared" si="50"/>
        <v>3363.1393378870425</v>
      </c>
      <c r="AG101" s="17">
        <f t="shared" si="51"/>
        <v>3456.521180017904</v>
      </c>
      <c r="AH101" s="17">
        <f t="shared" si="52"/>
        <v>0</v>
      </c>
      <c r="AI101" s="15">
        <f t="shared" si="14"/>
        <v>0</v>
      </c>
      <c r="AK101" s="14">
        <v>58</v>
      </c>
      <c r="AL101" s="15">
        <f t="shared" si="15"/>
        <v>5</v>
      </c>
      <c r="AM101" s="16">
        <f>(1+INDEX('1 - Input'!$B$34:$E$63,AL101,'1 - Input'!$B$16))^(1/12)-1</f>
        <v>4.1219243192651689E-3</v>
      </c>
      <c r="AN101" s="17">
        <f>'1 - Input'!$B$7*(1+'1 - Input'!$B$12)^(AL101-1)</f>
        <v>2922.566832</v>
      </c>
      <c r="AO101" s="17">
        <f t="shared" si="53"/>
        <v>376854.77279787726</v>
      </c>
      <c r="AP101" s="17">
        <f t="shared" si="54"/>
        <v>457832.86025824619</v>
      </c>
      <c r="AQ101" s="17">
        <f t="shared" si="16"/>
        <v>378408.13965070399</v>
      </c>
      <c r="AR101" s="17">
        <f>IF(AQ101&gt;0,'1 - Input'!$B$8/12*AQ101,0)</f>
        <v>2838.0610473802799</v>
      </c>
      <c r="AS101" s="17">
        <f t="shared" si="17"/>
        <v>375570.07860332372</v>
      </c>
      <c r="AT101" s="17">
        <f t="shared" si="18"/>
        <v>0</v>
      </c>
      <c r="AU101" s="17">
        <f>'1 - Input'!$B$22*(AR101-AT101)</f>
        <v>737.89587231887276</v>
      </c>
      <c r="AV101" s="17">
        <f t="shared" si="19"/>
        <v>2100.1651750614074</v>
      </c>
      <c r="AW101" s="17">
        <f t="shared" si="20"/>
        <v>457832.86025824619</v>
      </c>
      <c r="AX101" s="17">
        <f>IF('1 - Input'!$B$17=1,MAX(0,AV101-AN101),0)</f>
        <v>0</v>
      </c>
      <c r="AY101" s="17">
        <f>IF('1 - Input'!$B$17=1,MAX(0,AN101-AV101),0)</f>
        <v>822.40165693859262</v>
      </c>
      <c r="AZ101" s="17">
        <f t="shared" si="21"/>
        <v>0</v>
      </c>
      <c r="BA101" s="17">
        <f>IF(AND(AY101&gt;0,AS101&gt;0),AY101/(1-'1 - Input'!$B$22*AZ101),0)</f>
        <v>822.40165693859262</v>
      </c>
      <c r="BB101" s="17">
        <f t="shared" si="22"/>
        <v>822.40165693859262</v>
      </c>
      <c r="BC101" s="17">
        <f>'1 - Input'!$B$22*AZ101*BB101</f>
        <v>0</v>
      </c>
      <c r="BD101" s="17">
        <f t="shared" si="23"/>
        <v>822.40165693859262</v>
      </c>
      <c r="BE101" s="17">
        <f t="shared" si="24"/>
        <v>0</v>
      </c>
      <c r="BF101" s="17">
        <f t="shared" si="25"/>
        <v>180.13428596062596</v>
      </c>
      <c r="BG101" s="17">
        <f t="shared" si="26"/>
        <v>374747.67694638512</v>
      </c>
      <c r="BH101" s="17">
        <f t="shared" si="27"/>
        <v>456830.32431534695</v>
      </c>
      <c r="BI101" s="17">
        <f>IF(MOD(AK101,12)=0,BG101*'1 - Input'!$B$23,0)</f>
        <v>0</v>
      </c>
      <c r="BJ101" s="17">
        <f t="shared" si="28"/>
        <v>374747.67694638512</v>
      </c>
      <c r="BK101" s="17">
        <f>IF(MOD(AK101,12)=0,BH101*(1-'1 - Input'!$B$23),BH101)</f>
        <v>456830.32431534695</v>
      </c>
      <c r="BL101" s="17">
        <f>IF('1 - Input'!$B$17=1,MIN(AV101,AN101)+BD101,AV101)</f>
        <v>2922.566832</v>
      </c>
      <c r="BM101" s="17">
        <f t="shared" si="55"/>
        <v>162765.76752000011</v>
      </c>
      <c r="BN101" s="17">
        <f t="shared" si="56"/>
        <v>49288.280976964583</v>
      </c>
      <c r="BO101" s="17">
        <f t="shared" si="57"/>
        <v>0</v>
      </c>
      <c r="BP101" s="17">
        <f t="shared" si="58"/>
        <v>3363.1393378870425</v>
      </c>
      <c r="BQ101" s="17">
        <f t="shared" si="59"/>
        <v>3456.521180017904</v>
      </c>
      <c r="BR101" s="17">
        <f t="shared" si="60"/>
        <v>0</v>
      </c>
      <c r="BS101" s="15">
        <f t="shared" si="29"/>
        <v>0</v>
      </c>
      <c r="BU101" s="14">
        <v>58</v>
      </c>
      <c r="BV101" s="15">
        <f t="shared" si="30"/>
        <v>5</v>
      </c>
      <c r="BW101" s="16">
        <f>(1+INDEX('1 - Input'!$B$34:$E$63,BV101,'1 - Input'!$B$16))^(1/12)-1</f>
        <v>4.1219243192651689E-3</v>
      </c>
      <c r="BX101" s="17">
        <f>'1 - Input'!$B$7*(1+'1 - Input'!$B$12)^(BV101-1)</f>
        <v>2922.566832</v>
      </c>
      <c r="BY101" s="17">
        <f t="shared" si="61"/>
        <v>431474.29203041969</v>
      </c>
      <c r="BZ101" s="17">
        <f t="shared" si="62"/>
        <v>323436.24215900968</v>
      </c>
      <c r="CA101" s="17">
        <f t="shared" si="31"/>
        <v>433252.79640787758</v>
      </c>
      <c r="CB101" s="17">
        <f>IF(CA101&gt;0,'1 - Input'!$B$8/12*CA101,0)</f>
        <v>3249.3959730590818</v>
      </c>
      <c r="CC101" s="17">
        <f t="shared" si="32"/>
        <v>430003.40043481853</v>
      </c>
      <c r="CD101" s="17">
        <f t="shared" si="33"/>
        <v>3249.3959730590818</v>
      </c>
      <c r="CE101" s="17">
        <f>'1 - Input'!$B$22*(CB101-CD101)</f>
        <v>0</v>
      </c>
      <c r="CF101" s="17">
        <f t="shared" si="34"/>
        <v>3249.3959730590818</v>
      </c>
      <c r="CG101" s="17">
        <f t="shared" si="35"/>
        <v>320186.84618595062</v>
      </c>
      <c r="CH101" s="17">
        <f>IF('1 - Input'!$B$17=1,MAX(0,CF101-BX101),0)</f>
        <v>326.82914105908185</v>
      </c>
      <c r="CI101" s="17">
        <f>IF('1 - Input'!$B$17=1,MAX(0,BX101-CF101),0)</f>
        <v>0</v>
      </c>
      <c r="CJ101" s="17">
        <f t="shared" si="36"/>
        <v>0.2553853158784829</v>
      </c>
      <c r="CK101" s="17">
        <f>IF(AND(CI101&gt;0,CC101&gt;0),CI101/(1-'1 - Input'!$B$22*CJ101),0)</f>
        <v>0</v>
      </c>
      <c r="CL101" s="17">
        <f t="shared" si="37"/>
        <v>0</v>
      </c>
      <c r="CM101" s="17">
        <f>'1 - Input'!$B$22*CJ101*CL101</f>
        <v>0</v>
      </c>
      <c r="CN101" s="17">
        <f t="shared" si="38"/>
        <v>0</v>
      </c>
      <c r="CO101" s="17">
        <f t="shared" si="39"/>
        <v>0</v>
      </c>
      <c r="CP101" s="17">
        <f t="shared" si="40"/>
        <v>0</v>
      </c>
      <c r="CQ101" s="17">
        <f t="shared" si="41"/>
        <v>430330.2295758776</v>
      </c>
      <c r="CR101" s="17">
        <f t="shared" si="42"/>
        <v>320513.6753270097</v>
      </c>
      <c r="CS101" s="17">
        <f>IF(MOD(BU101,12)=0,CQ101*'1 - Input'!$B$23,0)</f>
        <v>0</v>
      </c>
      <c r="CT101" s="17">
        <f t="shared" si="43"/>
        <v>430330.2295758776</v>
      </c>
      <c r="CU101" s="17">
        <f>IF(MOD(BU101,12)=0,CR101*(1-'1 - Input'!$B$23),CR101)</f>
        <v>320513.6753270097</v>
      </c>
      <c r="CV101" s="17">
        <f>IF('1 - Input'!$B$17=1,MIN(CF101,BX101)+CN101,CF101)</f>
        <v>2922.566832</v>
      </c>
      <c r="CW101" s="17">
        <f t="shared" si="63"/>
        <v>162765.76752000011</v>
      </c>
      <c r="CX101" s="17">
        <f t="shared" si="64"/>
        <v>0</v>
      </c>
      <c r="CY101" s="17">
        <f t="shared" si="65"/>
        <v>0</v>
      </c>
      <c r="CZ101" s="17">
        <f t="shared" si="66"/>
        <v>0</v>
      </c>
      <c r="DA101" s="17">
        <f t="shared" si="67"/>
        <v>3686.584301537232</v>
      </c>
      <c r="DB101" s="17">
        <f t="shared" si="68"/>
        <v>0</v>
      </c>
      <c r="DC101" s="15">
        <f t="shared" si="44"/>
        <v>0</v>
      </c>
    </row>
    <row r="102" spans="1:107">
      <c r="A102" s="14">
        <v>59</v>
      </c>
      <c r="B102" s="15">
        <f t="shared" si="0"/>
        <v>5</v>
      </c>
      <c r="C102" s="16">
        <f>(1+INDEX('1 - Input'!$B$34:$E$63,B102,'1 - Input'!$B$16))^(1/12)-1</f>
        <v>4.1219243192651689E-3</v>
      </c>
      <c r="D102" s="17">
        <f>'1 - Input'!$B$7*(1+'1 - Input'!$B$12)^(B102-1)</f>
        <v>2922.566832</v>
      </c>
      <c r="E102" s="17">
        <f t="shared" si="45"/>
        <v>374747.67694638512</v>
      </c>
      <c r="F102" s="17">
        <f t="shared" si="46"/>
        <v>456830.32431534695</v>
      </c>
      <c r="G102" s="17">
        <f t="shared" si="1"/>
        <v>376292.35850957857</v>
      </c>
      <c r="H102" s="17">
        <f>IF(G102&gt;0,'1 - Input'!$B$8/12*G102,0)</f>
        <v>2822.1926888218391</v>
      </c>
      <c r="I102" s="17">
        <f t="shared" si="2"/>
        <v>373470.16582075675</v>
      </c>
      <c r="J102" s="17">
        <f t="shared" si="3"/>
        <v>0</v>
      </c>
      <c r="K102" s="17">
        <f>'1 - Input'!$B$22*(H102-J102)</f>
        <v>733.77009909367814</v>
      </c>
      <c r="L102" s="17">
        <f t="shared" si="4"/>
        <v>2088.4225897281608</v>
      </c>
      <c r="M102" s="17">
        <f t="shared" si="5"/>
        <v>456830.32431534695</v>
      </c>
      <c r="N102" s="17">
        <f>IF('1 - Input'!$B$17=1,MAX(0,L102-D102),0)</f>
        <v>0</v>
      </c>
      <c r="O102" s="17">
        <f>IF('1 - Input'!$B$17=1,MAX(0,D102-L102),0)</f>
        <v>834.14424227183918</v>
      </c>
      <c r="P102" s="17">
        <f t="shared" si="6"/>
        <v>0</v>
      </c>
      <c r="Q102" s="17">
        <f>IF(AND(O102&gt;0,I102&gt;0),O102/(1-'1 - Input'!$B$22*P102),0)</f>
        <v>834.14424227183918</v>
      </c>
      <c r="R102" s="17">
        <f t="shared" si="7"/>
        <v>834.14424227183918</v>
      </c>
      <c r="S102" s="17">
        <f>'1 - Input'!$B$22*P102*R102</f>
        <v>0</v>
      </c>
      <c r="T102" s="17">
        <f t="shared" si="8"/>
        <v>834.14424227183918</v>
      </c>
      <c r="U102" s="17">
        <f t="shared" si="9"/>
        <v>0</v>
      </c>
      <c r="V102" s="17">
        <f t="shared" si="10"/>
        <v>186.18460751829556</v>
      </c>
      <c r="W102" s="17">
        <f t="shared" si="11"/>
        <v>372636.02157848491</v>
      </c>
      <c r="X102" s="17">
        <f t="shared" si="12"/>
        <v>455809.9954655568</v>
      </c>
      <c r="Y102" s="17">
        <f>IF(MOD(A102,12)=0,W102*'1 - Input'!$B$23,0)</f>
        <v>0</v>
      </c>
      <c r="Z102" s="17">
        <f t="shared" si="13"/>
        <v>372636.02157848491</v>
      </c>
      <c r="AA102" s="17">
        <f>IF(MOD(A102,12)=0,X102*(1-'1 - Input'!$B$23),X102)</f>
        <v>455809.9954655568</v>
      </c>
      <c r="AB102" s="17">
        <f>IF('1 - Input'!$B$17=1,MIN(L102,D102)+T102,L102)</f>
        <v>2922.566832</v>
      </c>
      <c r="AC102" s="17">
        <f t="shared" si="47"/>
        <v>165688.33435200012</v>
      </c>
      <c r="AD102" s="17">
        <f t="shared" si="48"/>
        <v>50022.051076058262</v>
      </c>
      <c r="AE102" s="17">
        <f t="shared" si="49"/>
        <v>0</v>
      </c>
      <c r="AF102" s="17">
        <f t="shared" si="50"/>
        <v>3549.3239454053382</v>
      </c>
      <c r="AG102" s="17">
        <f t="shared" si="51"/>
        <v>3456.521180017904</v>
      </c>
      <c r="AH102" s="17">
        <f t="shared" si="52"/>
        <v>0</v>
      </c>
      <c r="AI102" s="15">
        <f t="shared" si="14"/>
        <v>0</v>
      </c>
      <c r="AK102" s="14">
        <v>59</v>
      </c>
      <c r="AL102" s="15">
        <f t="shared" si="15"/>
        <v>5</v>
      </c>
      <c r="AM102" s="16">
        <f>(1+INDEX('1 - Input'!$B$34:$E$63,AL102,'1 - Input'!$B$16))^(1/12)-1</f>
        <v>4.1219243192651689E-3</v>
      </c>
      <c r="AN102" s="17">
        <f>'1 - Input'!$B$7*(1+'1 - Input'!$B$12)^(AL102-1)</f>
        <v>2922.566832</v>
      </c>
      <c r="AO102" s="17">
        <f t="shared" si="53"/>
        <v>374747.67694638512</v>
      </c>
      <c r="AP102" s="17">
        <f t="shared" si="54"/>
        <v>456830.32431534695</v>
      </c>
      <c r="AQ102" s="17">
        <f t="shared" si="16"/>
        <v>376292.35850957857</v>
      </c>
      <c r="AR102" s="17">
        <f>IF(AQ102&gt;0,'1 - Input'!$B$8/12*AQ102,0)</f>
        <v>2822.1926888218391</v>
      </c>
      <c r="AS102" s="17">
        <f t="shared" si="17"/>
        <v>373470.16582075675</v>
      </c>
      <c r="AT102" s="17">
        <f t="shared" si="18"/>
        <v>0</v>
      </c>
      <c r="AU102" s="17">
        <f>'1 - Input'!$B$22*(AR102-AT102)</f>
        <v>733.77009909367814</v>
      </c>
      <c r="AV102" s="17">
        <f t="shared" si="19"/>
        <v>2088.4225897281608</v>
      </c>
      <c r="AW102" s="17">
        <f t="shared" si="20"/>
        <v>456830.32431534695</v>
      </c>
      <c r="AX102" s="17">
        <f>IF('1 - Input'!$B$17=1,MAX(0,AV102-AN102),0)</f>
        <v>0</v>
      </c>
      <c r="AY102" s="17">
        <f>IF('1 - Input'!$B$17=1,MAX(0,AN102-AV102),0)</f>
        <v>834.14424227183918</v>
      </c>
      <c r="AZ102" s="17">
        <f t="shared" si="21"/>
        <v>0</v>
      </c>
      <c r="BA102" s="17">
        <f>IF(AND(AY102&gt;0,AS102&gt;0),AY102/(1-'1 - Input'!$B$22*AZ102),0)</f>
        <v>834.14424227183918</v>
      </c>
      <c r="BB102" s="17">
        <f t="shared" si="22"/>
        <v>834.14424227183918</v>
      </c>
      <c r="BC102" s="17">
        <f>'1 - Input'!$B$22*AZ102*BB102</f>
        <v>0</v>
      </c>
      <c r="BD102" s="17">
        <f t="shared" si="23"/>
        <v>834.14424227183918</v>
      </c>
      <c r="BE102" s="17">
        <f t="shared" si="24"/>
        <v>0</v>
      </c>
      <c r="BF102" s="17">
        <f t="shared" si="25"/>
        <v>186.18460751829556</v>
      </c>
      <c r="BG102" s="17">
        <f t="shared" si="26"/>
        <v>372636.02157848491</v>
      </c>
      <c r="BH102" s="17">
        <f t="shared" si="27"/>
        <v>455809.9954655568</v>
      </c>
      <c r="BI102" s="17">
        <f>IF(MOD(AK102,12)=0,BG102*'1 - Input'!$B$23,0)</f>
        <v>0</v>
      </c>
      <c r="BJ102" s="17">
        <f t="shared" si="28"/>
        <v>372636.02157848491</v>
      </c>
      <c r="BK102" s="17">
        <f>IF(MOD(AK102,12)=0,BH102*(1-'1 - Input'!$B$23),BH102)</f>
        <v>455809.9954655568</v>
      </c>
      <c r="BL102" s="17">
        <f>IF('1 - Input'!$B$17=1,MIN(AV102,AN102)+BD102,AV102)</f>
        <v>2922.566832</v>
      </c>
      <c r="BM102" s="17">
        <f t="shared" si="55"/>
        <v>165688.33435200012</v>
      </c>
      <c r="BN102" s="17">
        <f t="shared" si="56"/>
        <v>50022.051076058262</v>
      </c>
      <c r="BO102" s="17">
        <f t="shared" si="57"/>
        <v>0</v>
      </c>
      <c r="BP102" s="17">
        <f t="shared" si="58"/>
        <v>3549.3239454053382</v>
      </c>
      <c r="BQ102" s="17">
        <f t="shared" si="59"/>
        <v>3456.521180017904</v>
      </c>
      <c r="BR102" s="17">
        <f t="shared" si="60"/>
        <v>0</v>
      </c>
      <c r="BS102" s="15">
        <f t="shared" si="29"/>
        <v>0</v>
      </c>
      <c r="BU102" s="14">
        <v>59</v>
      </c>
      <c r="BV102" s="15">
        <f t="shared" si="30"/>
        <v>5</v>
      </c>
      <c r="BW102" s="16">
        <f>(1+INDEX('1 - Input'!$B$34:$E$63,BV102,'1 - Input'!$B$16))^(1/12)-1</f>
        <v>4.1219243192651689E-3</v>
      </c>
      <c r="BX102" s="17">
        <f>'1 - Input'!$B$7*(1+'1 - Input'!$B$12)^(BV102-1)</f>
        <v>2922.566832</v>
      </c>
      <c r="BY102" s="17">
        <f t="shared" si="61"/>
        <v>430330.2295758776</v>
      </c>
      <c r="BZ102" s="17">
        <f t="shared" si="62"/>
        <v>320513.6753270097</v>
      </c>
      <c r="CA102" s="17">
        <f t="shared" si="31"/>
        <v>432104.01821448136</v>
      </c>
      <c r="CB102" s="17">
        <f>IF(CA102&gt;0,'1 - Input'!$B$8/12*CA102,0)</f>
        <v>3240.7801366086101</v>
      </c>
      <c r="CC102" s="17">
        <f t="shared" si="32"/>
        <v>428863.23807787272</v>
      </c>
      <c r="CD102" s="17">
        <f t="shared" si="33"/>
        <v>3240.7801366086101</v>
      </c>
      <c r="CE102" s="17">
        <f>'1 - Input'!$B$22*(CB102-CD102)</f>
        <v>0</v>
      </c>
      <c r="CF102" s="17">
        <f t="shared" si="34"/>
        <v>3240.7801366086101</v>
      </c>
      <c r="CG102" s="17">
        <f t="shared" si="35"/>
        <v>317272.89519040106</v>
      </c>
      <c r="CH102" s="17">
        <f>IF('1 - Input'!$B$17=1,MAX(0,CF102-BX102),0)</f>
        <v>318.21330460861009</v>
      </c>
      <c r="CI102" s="17">
        <f>IF('1 - Input'!$B$17=1,MAX(0,BX102-CF102),0)</f>
        <v>0</v>
      </c>
      <c r="CJ102" s="17">
        <f t="shared" si="36"/>
        <v>0.2602002992553285</v>
      </c>
      <c r="CK102" s="17">
        <f>IF(AND(CI102&gt;0,CC102&gt;0),CI102/(1-'1 - Input'!$B$22*CJ102),0)</f>
        <v>0</v>
      </c>
      <c r="CL102" s="17">
        <f t="shared" si="37"/>
        <v>0</v>
      </c>
      <c r="CM102" s="17">
        <f>'1 - Input'!$B$22*CJ102*CL102</f>
        <v>0</v>
      </c>
      <c r="CN102" s="17">
        <f t="shared" si="38"/>
        <v>0</v>
      </c>
      <c r="CO102" s="17">
        <f t="shared" si="39"/>
        <v>0</v>
      </c>
      <c r="CP102" s="17">
        <f t="shared" si="40"/>
        <v>0</v>
      </c>
      <c r="CQ102" s="17">
        <f t="shared" si="41"/>
        <v>429181.45138248132</v>
      </c>
      <c r="CR102" s="17">
        <f t="shared" si="42"/>
        <v>317591.10849500966</v>
      </c>
      <c r="CS102" s="17">
        <f>IF(MOD(BU102,12)=0,CQ102*'1 - Input'!$B$23,0)</f>
        <v>0</v>
      </c>
      <c r="CT102" s="17">
        <f t="shared" si="43"/>
        <v>429181.45138248132</v>
      </c>
      <c r="CU102" s="17">
        <f>IF(MOD(BU102,12)=0,CR102*(1-'1 - Input'!$B$23),CR102)</f>
        <v>317591.10849500966</v>
      </c>
      <c r="CV102" s="17">
        <f>IF('1 - Input'!$B$17=1,MIN(CF102,BX102)+CN102,CF102)</f>
        <v>2922.566832</v>
      </c>
      <c r="CW102" s="17">
        <f t="shared" si="63"/>
        <v>165688.33435200012</v>
      </c>
      <c r="CX102" s="17">
        <f t="shared" si="64"/>
        <v>0</v>
      </c>
      <c r="CY102" s="17">
        <f t="shared" si="65"/>
        <v>0</v>
      </c>
      <c r="CZ102" s="17">
        <f t="shared" si="66"/>
        <v>0</v>
      </c>
      <c r="DA102" s="17">
        <f t="shared" si="67"/>
        <v>3686.584301537232</v>
      </c>
      <c r="DB102" s="17">
        <f t="shared" si="68"/>
        <v>0</v>
      </c>
      <c r="DC102" s="15">
        <f t="shared" si="44"/>
        <v>0</v>
      </c>
    </row>
    <row r="103" spans="1:107">
      <c r="A103" s="14">
        <v>60</v>
      </c>
      <c r="B103" s="15">
        <f t="shared" si="0"/>
        <v>5</v>
      </c>
      <c r="C103" s="16">
        <f>(1+INDEX('1 - Input'!$B$34:$E$63,B103,'1 - Input'!$B$16))^(1/12)-1</f>
        <v>4.1219243192651689E-3</v>
      </c>
      <c r="D103" s="17">
        <f>'1 - Input'!$B$7*(1+'1 - Input'!$B$12)^(B103-1)</f>
        <v>2922.566832</v>
      </c>
      <c r="E103" s="17">
        <f t="shared" si="45"/>
        <v>372636.02157848491</v>
      </c>
      <c r="F103" s="17">
        <f t="shared" si="46"/>
        <v>455809.9954655568</v>
      </c>
      <c r="G103" s="17">
        <f t="shared" si="1"/>
        <v>374171.99905806349</v>
      </c>
      <c r="H103" s="17">
        <f>IF(G103&gt;0,'1 - Input'!$B$8/12*G103,0)</f>
        <v>2806.2899929354762</v>
      </c>
      <c r="I103" s="17">
        <f t="shared" si="2"/>
        <v>371365.709065128</v>
      </c>
      <c r="J103" s="17">
        <f t="shared" si="3"/>
        <v>0</v>
      </c>
      <c r="K103" s="17">
        <f>'1 - Input'!$B$22*(H103-J103)</f>
        <v>729.63539816322384</v>
      </c>
      <c r="L103" s="17">
        <f t="shared" si="4"/>
        <v>2076.6545947722525</v>
      </c>
      <c r="M103" s="17">
        <f t="shared" si="5"/>
        <v>455809.9954655568</v>
      </c>
      <c r="N103" s="17">
        <f>IF('1 - Input'!$B$17=1,MAX(0,L103-D103),0)</f>
        <v>0</v>
      </c>
      <c r="O103" s="17">
        <f>IF('1 - Input'!$B$17=1,MAX(0,D103-L103),0)</f>
        <v>845.91223722774748</v>
      </c>
      <c r="P103" s="17">
        <f t="shared" si="6"/>
        <v>0</v>
      </c>
      <c r="Q103" s="17">
        <f>IF(AND(O103&gt;0,I103&gt;0),O103/(1-'1 - Input'!$B$22*P103),0)</f>
        <v>845.91223722774748</v>
      </c>
      <c r="R103" s="17">
        <f t="shared" si="7"/>
        <v>845.91223722774748</v>
      </c>
      <c r="S103" s="17">
        <f>'1 - Input'!$B$22*P103*R103</f>
        <v>0</v>
      </c>
      <c r="T103" s="17">
        <f t="shared" si="8"/>
        <v>845.91223722774748</v>
      </c>
      <c r="U103" s="17">
        <f t="shared" si="9"/>
        <v>0</v>
      </c>
      <c r="V103" s="17">
        <f t="shared" si="10"/>
        <v>192.35070305740047</v>
      </c>
      <c r="W103" s="17">
        <f t="shared" si="11"/>
        <v>370519.79682790028</v>
      </c>
      <c r="X103" s="17">
        <f t="shared" si="12"/>
        <v>454771.73252527165</v>
      </c>
      <c r="Y103" s="17">
        <f>IF(MOD(A103,12)=0,W103*'1 - Input'!$B$23,0)</f>
        <v>741.03959365580056</v>
      </c>
      <c r="Z103" s="17">
        <f t="shared" si="13"/>
        <v>369778.75723424449</v>
      </c>
      <c r="AA103" s="17">
        <f>IF(MOD(A103,12)=0,X103*(1-'1 - Input'!$B$23),X103)</f>
        <v>453862.18906022114</v>
      </c>
      <c r="AB103" s="17">
        <f>IF('1 - Input'!$B$17=1,MIN(L103,D103)+T103,L103)</f>
        <v>2922.566832</v>
      </c>
      <c r="AC103" s="17">
        <f t="shared" si="47"/>
        <v>168610.90118400013</v>
      </c>
      <c r="AD103" s="17">
        <f t="shared" si="48"/>
        <v>50751.686474221489</v>
      </c>
      <c r="AE103" s="17">
        <f t="shared" si="49"/>
        <v>0</v>
      </c>
      <c r="AF103" s="17">
        <f t="shared" si="50"/>
        <v>3741.6746484627388</v>
      </c>
      <c r="AG103" s="17">
        <f t="shared" si="51"/>
        <v>4197.5607736737047</v>
      </c>
      <c r="AH103" s="17">
        <f t="shared" si="52"/>
        <v>0</v>
      </c>
      <c r="AI103" s="15">
        <f t="shared" si="14"/>
        <v>0</v>
      </c>
      <c r="AK103" s="14">
        <v>60</v>
      </c>
      <c r="AL103" s="15">
        <f t="shared" si="15"/>
        <v>5</v>
      </c>
      <c r="AM103" s="16">
        <f>(1+INDEX('1 - Input'!$B$34:$E$63,AL103,'1 - Input'!$B$16))^(1/12)-1</f>
        <v>4.1219243192651689E-3</v>
      </c>
      <c r="AN103" s="17">
        <f>'1 - Input'!$B$7*(1+'1 - Input'!$B$12)^(AL103-1)</f>
        <v>2922.566832</v>
      </c>
      <c r="AO103" s="17">
        <f t="shared" si="53"/>
        <v>372636.02157848491</v>
      </c>
      <c r="AP103" s="17">
        <f t="shared" si="54"/>
        <v>455809.9954655568</v>
      </c>
      <c r="AQ103" s="17">
        <f t="shared" si="16"/>
        <v>374171.99905806349</v>
      </c>
      <c r="AR103" s="17">
        <f>IF(AQ103&gt;0,'1 - Input'!$B$8/12*AQ103,0)</f>
        <v>2806.2899929354762</v>
      </c>
      <c r="AS103" s="17">
        <f t="shared" si="17"/>
        <v>371365.709065128</v>
      </c>
      <c r="AT103" s="17">
        <f t="shared" si="18"/>
        <v>0</v>
      </c>
      <c r="AU103" s="17">
        <f>'1 - Input'!$B$22*(AR103-AT103)</f>
        <v>729.63539816322384</v>
      </c>
      <c r="AV103" s="17">
        <f t="shared" si="19"/>
        <v>2076.6545947722525</v>
      </c>
      <c r="AW103" s="17">
        <f t="shared" si="20"/>
        <v>455809.9954655568</v>
      </c>
      <c r="AX103" s="17">
        <f>IF('1 - Input'!$B$17=1,MAX(0,AV103-AN103),0)</f>
        <v>0</v>
      </c>
      <c r="AY103" s="17">
        <f>IF('1 - Input'!$B$17=1,MAX(0,AN103-AV103),0)</f>
        <v>845.91223722774748</v>
      </c>
      <c r="AZ103" s="17">
        <f t="shared" si="21"/>
        <v>0</v>
      </c>
      <c r="BA103" s="17">
        <f>IF(AND(AY103&gt;0,AS103&gt;0),AY103/(1-'1 - Input'!$B$22*AZ103),0)</f>
        <v>845.91223722774748</v>
      </c>
      <c r="BB103" s="17">
        <f t="shared" si="22"/>
        <v>845.91223722774748</v>
      </c>
      <c r="BC103" s="17">
        <f>'1 - Input'!$B$22*AZ103*BB103</f>
        <v>0</v>
      </c>
      <c r="BD103" s="17">
        <f t="shared" si="23"/>
        <v>845.91223722774748</v>
      </c>
      <c r="BE103" s="17">
        <f t="shared" si="24"/>
        <v>0</v>
      </c>
      <c r="BF103" s="17">
        <f t="shared" si="25"/>
        <v>192.35070305740047</v>
      </c>
      <c r="BG103" s="17">
        <f t="shared" si="26"/>
        <v>370519.79682790028</v>
      </c>
      <c r="BH103" s="17">
        <f t="shared" si="27"/>
        <v>454771.73252527165</v>
      </c>
      <c r="BI103" s="17">
        <f>IF(MOD(AK103,12)=0,BG103*'1 - Input'!$B$23,0)</f>
        <v>741.03959365580056</v>
      </c>
      <c r="BJ103" s="17">
        <f t="shared" si="28"/>
        <v>369778.75723424449</v>
      </c>
      <c r="BK103" s="17">
        <f>IF(MOD(AK103,12)=0,BH103*(1-'1 - Input'!$B$23),BH103)</f>
        <v>453862.18906022114</v>
      </c>
      <c r="BL103" s="17">
        <f>IF('1 - Input'!$B$17=1,MIN(AV103,AN103)+BD103,AV103)</f>
        <v>2922.566832</v>
      </c>
      <c r="BM103" s="17">
        <f t="shared" si="55"/>
        <v>168610.90118400013</v>
      </c>
      <c r="BN103" s="17">
        <f t="shared" si="56"/>
        <v>50751.686474221489</v>
      </c>
      <c r="BO103" s="17">
        <f t="shared" si="57"/>
        <v>0</v>
      </c>
      <c r="BP103" s="17">
        <f t="shared" si="58"/>
        <v>3741.6746484627388</v>
      </c>
      <c r="BQ103" s="17">
        <f t="shared" si="59"/>
        <v>4197.5607736737047</v>
      </c>
      <c r="BR103" s="17">
        <f t="shared" si="60"/>
        <v>0</v>
      </c>
      <c r="BS103" s="15">
        <f t="shared" si="29"/>
        <v>0</v>
      </c>
      <c r="BU103" s="14">
        <v>60</v>
      </c>
      <c r="BV103" s="15">
        <f t="shared" si="30"/>
        <v>5</v>
      </c>
      <c r="BW103" s="16">
        <f>(1+INDEX('1 - Input'!$B$34:$E$63,BV103,'1 - Input'!$B$16))^(1/12)-1</f>
        <v>4.1219243192651689E-3</v>
      </c>
      <c r="BX103" s="17">
        <f>'1 - Input'!$B$7*(1+'1 - Input'!$B$12)^(BV103-1)</f>
        <v>2922.566832</v>
      </c>
      <c r="BY103" s="17">
        <f t="shared" si="61"/>
        <v>429181.45138248132</v>
      </c>
      <c r="BZ103" s="17">
        <f t="shared" si="62"/>
        <v>317591.10849500966</v>
      </c>
      <c r="CA103" s="17">
        <f t="shared" si="31"/>
        <v>430950.50484431227</v>
      </c>
      <c r="CB103" s="17">
        <f>IF(CA103&gt;0,'1 - Input'!$B$8/12*CA103,0)</f>
        <v>3232.1287863323419</v>
      </c>
      <c r="CC103" s="17">
        <f t="shared" si="32"/>
        <v>427718.37605797994</v>
      </c>
      <c r="CD103" s="17">
        <f t="shared" si="33"/>
        <v>3232.1287863323419</v>
      </c>
      <c r="CE103" s="17">
        <f>'1 - Input'!$B$22*(CB103-CD103)</f>
        <v>0</v>
      </c>
      <c r="CF103" s="17">
        <f t="shared" si="34"/>
        <v>3232.1287863323419</v>
      </c>
      <c r="CG103" s="17">
        <f t="shared" si="35"/>
        <v>314358.97970867733</v>
      </c>
      <c r="CH103" s="17">
        <f>IF('1 - Input'!$B$17=1,MAX(0,CF103-BX103),0)</f>
        <v>309.56195433234188</v>
      </c>
      <c r="CI103" s="17">
        <f>IF('1 - Input'!$B$17=1,MAX(0,BX103-CF103),0)</f>
        <v>0</v>
      </c>
      <c r="CJ103" s="17">
        <f t="shared" si="36"/>
        <v>0.2650327942279852</v>
      </c>
      <c r="CK103" s="17">
        <f>IF(AND(CI103&gt;0,CC103&gt;0),CI103/(1-'1 - Input'!$B$22*CJ103),0)</f>
        <v>0</v>
      </c>
      <c r="CL103" s="17">
        <f t="shared" si="37"/>
        <v>0</v>
      </c>
      <c r="CM103" s="17">
        <f>'1 - Input'!$B$22*CJ103*CL103</f>
        <v>0</v>
      </c>
      <c r="CN103" s="17">
        <f t="shared" si="38"/>
        <v>0</v>
      </c>
      <c r="CO103" s="17">
        <f t="shared" si="39"/>
        <v>0</v>
      </c>
      <c r="CP103" s="17">
        <f t="shared" si="40"/>
        <v>0</v>
      </c>
      <c r="CQ103" s="17">
        <f t="shared" si="41"/>
        <v>428027.93801231228</v>
      </c>
      <c r="CR103" s="17">
        <f t="shared" si="42"/>
        <v>314668.54166300967</v>
      </c>
      <c r="CS103" s="17">
        <f>IF(MOD(BU103,12)=0,CQ103*'1 - Input'!$B$23,0)</f>
        <v>856.05587602462458</v>
      </c>
      <c r="CT103" s="17">
        <f t="shared" si="43"/>
        <v>427171.88213628763</v>
      </c>
      <c r="CU103" s="17">
        <f>IF(MOD(BU103,12)=0,CR103*(1-'1 - Input'!$B$23),CR103)</f>
        <v>314039.20457968366</v>
      </c>
      <c r="CV103" s="17">
        <f>IF('1 - Input'!$B$17=1,MIN(CF103,BX103)+CN103,CF103)</f>
        <v>2922.566832</v>
      </c>
      <c r="CW103" s="17">
        <f t="shared" si="63"/>
        <v>168610.90118400013</v>
      </c>
      <c r="CX103" s="17">
        <f t="shared" si="64"/>
        <v>0</v>
      </c>
      <c r="CY103" s="17">
        <f t="shared" si="65"/>
        <v>0</v>
      </c>
      <c r="CZ103" s="17">
        <f t="shared" si="66"/>
        <v>0</v>
      </c>
      <c r="DA103" s="17">
        <f t="shared" si="67"/>
        <v>4542.6401775618569</v>
      </c>
      <c r="DB103" s="17">
        <f t="shared" si="68"/>
        <v>0</v>
      </c>
      <c r="DC103" s="15">
        <f t="shared" si="44"/>
        <v>0</v>
      </c>
    </row>
    <row r="104" spans="1:107">
      <c r="A104" s="14">
        <v>61</v>
      </c>
      <c r="B104" s="15">
        <f t="shared" si="0"/>
        <v>6</v>
      </c>
      <c r="C104" s="16">
        <f>(1+INDEX('1 - Input'!$B$34:$E$63,B104,'1 - Input'!$B$16))^(1/12)-1</f>
        <v>4.1219243192651689E-3</v>
      </c>
      <c r="D104" s="17">
        <f>'1 - Input'!$B$7*(1+'1 - Input'!$B$12)^(B104-1)</f>
        <v>2981.0181686400001</v>
      </c>
      <c r="E104" s="17">
        <f t="shared" si="45"/>
        <v>369778.75723424449</v>
      </c>
      <c r="F104" s="17">
        <f t="shared" si="46"/>
        <v>453862.18906022114</v>
      </c>
      <c r="G104" s="17">
        <f t="shared" si="1"/>
        <v>371302.95728643599</v>
      </c>
      <c r="H104" s="17">
        <f>IF(G104&gt;0,'1 - Input'!$B$8/12*G104,0)</f>
        <v>2784.7721796482697</v>
      </c>
      <c r="I104" s="17">
        <f t="shared" si="2"/>
        <v>368518.18510678771</v>
      </c>
      <c r="J104" s="17">
        <f t="shared" si="3"/>
        <v>0</v>
      </c>
      <c r="K104" s="17">
        <f>'1 - Input'!$B$22*(H104-J104)</f>
        <v>724.04076670855011</v>
      </c>
      <c r="L104" s="17">
        <f t="shared" si="4"/>
        <v>2060.7314129397196</v>
      </c>
      <c r="M104" s="17">
        <f t="shared" si="5"/>
        <v>453862.18906022114</v>
      </c>
      <c r="N104" s="17">
        <f>IF('1 - Input'!$B$17=1,MAX(0,L104-D104),0)</f>
        <v>0</v>
      </c>
      <c r="O104" s="17">
        <f>IF('1 - Input'!$B$17=1,MAX(0,D104-L104),0)</f>
        <v>920.28675570028054</v>
      </c>
      <c r="P104" s="17">
        <f t="shared" si="6"/>
        <v>0</v>
      </c>
      <c r="Q104" s="17">
        <f>IF(AND(O104&gt;0,I104&gt;0),O104/(1-'1 - Input'!$B$22*P104),0)</f>
        <v>920.28675570028054</v>
      </c>
      <c r="R104" s="17">
        <f t="shared" si="7"/>
        <v>920.28675570028054</v>
      </c>
      <c r="S104" s="17">
        <f>'1 - Input'!$B$22*P104*R104</f>
        <v>0</v>
      </c>
      <c r="T104" s="17">
        <f t="shared" si="8"/>
        <v>920.28675570028054</v>
      </c>
      <c r="U104" s="17">
        <f t="shared" si="9"/>
        <v>0</v>
      </c>
      <c r="V104" s="17">
        <f t="shared" si="10"/>
        <v>213.12640648661034</v>
      </c>
      <c r="W104" s="17">
        <f t="shared" si="11"/>
        <v>367597.89835108741</v>
      </c>
      <c r="X104" s="17">
        <f t="shared" si="12"/>
        <v>452728.77589803428</v>
      </c>
      <c r="Y104" s="17">
        <f>IF(MOD(A104,12)=0,W104*'1 - Input'!$B$23,0)</f>
        <v>0</v>
      </c>
      <c r="Z104" s="17">
        <f t="shared" si="13"/>
        <v>367597.89835108741</v>
      </c>
      <c r="AA104" s="17">
        <f>IF(MOD(A104,12)=0,X104*(1-'1 - Input'!$B$23),X104)</f>
        <v>452728.77589803428</v>
      </c>
      <c r="AB104" s="17">
        <f>IF('1 - Input'!$B$17=1,MIN(L104,D104)+T104,L104)</f>
        <v>2981.0181686400001</v>
      </c>
      <c r="AC104" s="17">
        <f t="shared" si="47"/>
        <v>171591.91935264014</v>
      </c>
      <c r="AD104" s="17">
        <f t="shared" si="48"/>
        <v>51475.727240930042</v>
      </c>
      <c r="AE104" s="17">
        <f t="shared" si="49"/>
        <v>0</v>
      </c>
      <c r="AF104" s="17">
        <f t="shared" si="50"/>
        <v>3954.8010549493492</v>
      </c>
      <c r="AG104" s="17">
        <f t="shared" si="51"/>
        <v>4197.5607736737047</v>
      </c>
      <c r="AH104" s="17">
        <f t="shared" si="52"/>
        <v>0</v>
      </c>
      <c r="AI104" s="15">
        <f t="shared" si="14"/>
        <v>0</v>
      </c>
      <c r="AK104" s="14">
        <v>61</v>
      </c>
      <c r="AL104" s="15">
        <f t="shared" si="15"/>
        <v>6</v>
      </c>
      <c r="AM104" s="16">
        <f>(1+INDEX('1 - Input'!$B$34:$E$63,AL104,'1 - Input'!$B$16))^(1/12)-1</f>
        <v>4.1219243192651689E-3</v>
      </c>
      <c r="AN104" s="17">
        <f>'1 - Input'!$B$7*(1+'1 - Input'!$B$12)^(AL104-1)</f>
        <v>2981.0181686400001</v>
      </c>
      <c r="AO104" s="17">
        <f t="shared" si="53"/>
        <v>369778.75723424449</v>
      </c>
      <c r="AP104" s="17">
        <f t="shared" si="54"/>
        <v>453862.18906022114</v>
      </c>
      <c r="AQ104" s="17">
        <f t="shared" si="16"/>
        <v>371302.95728643599</v>
      </c>
      <c r="AR104" s="17">
        <f>IF(AQ104&gt;0,'1 - Input'!$B$8/12*AQ104,0)</f>
        <v>2784.7721796482697</v>
      </c>
      <c r="AS104" s="17">
        <f t="shared" si="17"/>
        <v>368518.18510678771</v>
      </c>
      <c r="AT104" s="17">
        <f t="shared" si="18"/>
        <v>0</v>
      </c>
      <c r="AU104" s="17">
        <f>'1 - Input'!$B$22*(AR104-AT104)</f>
        <v>724.04076670855011</v>
      </c>
      <c r="AV104" s="17">
        <f t="shared" si="19"/>
        <v>2060.7314129397196</v>
      </c>
      <c r="AW104" s="17">
        <f t="shared" si="20"/>
        <v>453862.18906022114</v>
      </c>
      <c r="AX104" s="17">
        <f>IF('1 - Input'!$B$17=1,MAX(0,AV104-AN104),0)</f>
        <v>0</v>
      </c>
      <c r="AY104" s="17">
        <f>IF('1 - Input'!$B$17=1,MAX(0,AN104-AV104),0)</f>
        <v>920.28675570028054</v>
      </c>
      <c r="AZ104" s="17">
        <f t="shared" si="21"/>
        <v>0</v>
      </c>
      <c r="BA104" s="17">
        <f>IF(AND(AY104&gt;0,AS104&gt;0),AY104/(1-'1 - Input'!$B$22*AZ104),0)</f>
        <v>920.28675570028054</v>
      </c>
      <c r="BB104" s="17">
        <f t="shared" si="22"/>
        <v>920.28675570028054</v>
      </c>
      <c r="BC104" s="17">
        <f>'1 - Input'!$B$22*AZ104*BB104</f>
        <v>0</v>
      </c>
      <c r="BD104" s="17">
        <f t="shared" si="23"/>
        <v>920.28675570028054</v>
      </c>
      <c r="BE104" s="17">
        <f t="shared" si="24"/>
        <v>0</v>
      </c>
      <c r="BF104" s="17">
        <f t="shared" si="25"/>
        <v>213.12640648661034</v>
      </c>
      <c r="BG104" s="17">
        <f t="shared" si="26"/>
        <v>367597.89835108741</v>
      </c>
      <c r="BH104" s="17">
        <f t="shared" si="27"/>
        <v>452728.77589803428</v>
      </c>
      <c r="BI104" s="17">
        <f>IF(MOD(AK104,12)=0,BG104*'1 - Input'!$B$23,0)</f>
        <v>0</v>
      </c>
      <c r="BJ104" s="17">
        <f t="shared" si="28"/>
        <v>367597.89835108741</v>
      </c>
      <c r="BK104" s="17">
        <f>IF(MOD(AK104,12)=0,BH104*(1-'1 - Input'!$B$23),BH104)</f>
        <v>452728.77589803428</v>
      </c>
      <c r="BL104" s="17">
        <f>IF('1 - Input'!$B$17=1,MIN(AV104,AN104)+BD104,AV104)</f>
        <v>2981.0181686400001</v>
      </c>
      <c r="BM104" s="17">
        <f t="shared" si="55"/>
        <v>171591.91935264014</v>
      </c>
      <c r="BN104" s="17">
        <f t="shared" si="56"/>
        <v>51475.727240930042</v>
      </c>
      <c r="BO104" s="17">
        <f t="shared" si="57"/>
        <v>0</v>
      </c>
      <c r="BP104" s="17">
        <f t="shared" si="58"/>
        <v>3954.8010549493492</v>
      </c>
      <c r="BQ104" s="17">
        <f t="shared" si="59"/>
        <v>4197.5607736737047</v>
      </c>
      <c r="BR104" s="17">
        <f t="shared" si="60"/>
        <v>0</v>
      </c>
      <c r="BS104" s="15">
        <f t="shared" si="29"/>
        <v>0</v>
      </c>
      <c r="BU104" s="14">
        <v>61</v>
      </c>
      <c r="BV104" s="15">
        <f t="shared" si="30"/>
        <v>6</v>
      </c>
      <c r="BW104" s="16">
        <f>(1+INDEX('1 - Input'!$B$34:$E$63,BV104,'1 - Input'!$B$16))^(1/12)-1</f>
        <v>4.1219243192651689E-3</v>
      </c>
      <c r="BX104" s="17">
        <f>'1 - Input'!$B$7*(1+'1 - Input'!$B$12)^(BV104-1)</f>
        <v>2981.0181686400001</v>
      </c>
      <c r="BY104" s="17">
        <f t="shared" si="61"/>
        <v>427171.88213628763</v>
      </c>
      <c r="BZ104" s="17">
        <f t="shared" si="62"/>
        <v>314039.20457968366</v>
      </c>
      <c r="CA104" s="17">
        <f t="shared" si="31"/>
        <v>428932.65230577148</v>
      </c>
      <c r="CB104" s="17">
        <f>IF(CA104&gt;0,'1 - Input'!$B$8/12*CA104,0)</f>
        <v>3216.9948922932858</v>
      </c>
      <c r="CC104" s="17">
        <f t="shared" si="32"/>
        <v>425715.65741347818</v>
      </c>
      <c r="CD104" s="17">
        <f t="shared" si="33"/>
        <v>3216.9948922932858</v>
      </c>
      <c r="CE104" s="17">
        <f>'1 - Input'!$B$22*(CB104-CD104)</f>
        <v>0</v>
      </c>
      <c r="CF104" s="17">
        <f t="shared" si="34"/>
        <v>3216.9948922932858</v>
      </c>
      <c r="CG104" s="17">
        <f t="shared" si="35"/>
        <v>310822.20968739036</v>
      </c>
      <c r="CH104" s="17">
        <f>IF('1 - Input'!$B$17=1,MAX(0,CF104-BX104),0)</f>
        <v>235.97672365328572</v>
      </c>
      <c r="CI104" s="17">
        <f>IF('1 - Input'!$B$17=1,MAX(0,BX104-CF104),0)</f>
        <v>0</v>
      </c>
      <c r="CJ104" s="17">
        <f t="shared" si="36"/>
        <v>0.26988306801809048</v>
      </c>
      <c r="CK104" s="17">
        <f>IF(AND(CI104&gt;0,CC104&gt;0),CI104/(1-'1 - Input'!$B$22*CJ104),0)</f>
        <v>0</v>
      </c>
      <c r="CL104" s="17">
        <f t="shared" si="37"/>
        <v>0</v>
      </c>
      <c r="CM104" s="17">
        <f>'1 - Input'!$B$22*CJ104*CL104</f>
        <v>0</v>
      </c>
      <c r="CN104" s="17">
        <f t="shared" si="38"/>
        <v>0</v>
      </c>
      <c r="CO104" s="17">
        <f t="shared" si="39"/>
        <v>0</v>
      </c>
      <c r="CP104" s="17">
        <f t="shared" si="40"/>
        <v>0</v>
      </c>
      <c r="CQ104" s="17">
        <f t="shared" si="41"/>
        <v>425951.63413713145</v>
      </c>
      <c r="CR104" s="17">
        <f t="shared" si="42"/>
        <v>311058.18641104363</v>
      </c>
      <c r="CS104" s="17">
        <f>IF(MOD(BU104,12)=0,CQ104*'1 - Input'!$B$23,0)</f>
        <v>0</v>
      </c>
      <c r="CT104" s="17">
        <f t="shared" si="43"/>
        <v>425951.63413713145</v>
      </c>
      <c r="CU104" s="17">
        <f>IF(MOD(BU104,12)=0,CR104*(1-'1 - Input'!$B$23),CR104)</f>
        <v>311058.18641104363</v>
      </c>
      <c r="CV104" s="17">
        <f>IF('1 - Input'!$B$17=1,MIN(CF104,BX104)+CN104,CF104)</f>
        <v>2981.0181686400001</v>
      </c>
      <c r="CW104" s="17">
        <f t="shared" si="63"/>
        <v>171591.91935264014</v>
      </c>
      <c r="CX104" s="17">
        <f t="shared" si="64"/>
        <v>0</v>
      </c>
      <c r="CY104" s="17">
        <f t="shared" si="65"/>
        <v>0</v>
      </c>
      <c r="CZ104" s="17">
        <f t="shared" si="66"/>
        <v>0</v>
      </c>
      <c r="DA104" s="17">
        <f t="shared" si="67"/>
        <v>4542.6401775618569</v>
      </c>
      <c r="DB104" s="17">
        <f t="shared" si="68"/>
        <v>0</v>
      </c>
      <c r="DC104" s="15">
        <f t="shared" si="44"/>
        <v>0</v>
      </c>
    </row>
    <row r="105" spans="1:107">
      <c r="A105" s="14">
        <v>62</v>
      </c>
      <c r="B105" s="15">
        <f t="shared" si="0"/>
        <v>6</v>
      </c>
      <c r="C105" s="16">
        <f>(1+INDEX('1 - Input'!$B$34:$E$63,B105,'1 - Input'!$B$16))^(1/12)-1</f>
        <v>4.1219243192651689E-3</v>
      </c>
      <c r="D105" s="17">
        <f>'1 - Input'!$B$7*(1+'1 - Input'!$B$12)^(B105-1)</f>
        <v>2981.0181686400001</v>
      </c>
      <c r="E105" s="17">
        <f t="shared" si="45"/>
        <v>367597.89835108741</v>
      </c>
      <c r="F105" s="17">
        <f t="shared" si="46"/>
        <v>452728.77589803428</v>
      </c>
      <c r="G105" s="17">
        <f t="shared" si="1"/>
        <v>369113.10906801152</v>
      </c>
      <c r="H105" s="17">
        <f>IF(G105&gt;0,'1 - Input'!$B$8/12*G105,0)</f>
        <v>2768.3483180100861</v>
      </c>
      <c r="I105" s="17">
        <f t="shared" si="2"/>
        <v>366344.76075000141</v>
      </c>
      <c r="J105" s="17">
        <f t="shared" si="3"/>
        <v>0</v>
      </c>
      <c r="K105" s="17">
        <f>'1 - Input'!$B$22*(H105-J105)</f>
        <v>719.77056268262243</v>
      </c>
      <c r="L105" s="17">
        <f t="shared" si="4"/>
        <v>2048.5777553274638</v>
      </c>
      <c r="M105" s="17">
        <f t="shared" si="5"/>
        <v>452728.77589803428</v>
      </c>
      <c r="N105" s="17">
        <f>IF('1 - Input'!$B$17=1,MAX(0,L105-D105),0)</f>
        <v>0</v>
      </c>
      <c r="O105" s="17">
        <f>IF('1 - Input'!$B$17=1,MAX(0,D105-L105),0)</f>
        <v>932.44041331253629</v>
      </c>
      <c r="P105" s="17">
        <f t="shared" si="6"/>
        <v>0</v>
      </c>
      <c r="Q105" s="17">
        <f>IF(AND(O105&gt;0,I105&gt;0),O105/(1-'1 - Input'!$B$22*P105),0)</f>
        <v>932.44041331253629</v>
      </c>
      <c r="R105" s="17">
        <f t="shared" si="7"/>
        <v>932.44041331253629</v>
      </c>
      <c r="S105" s="17">
        <f>'1 - Input'!$B$22*P105*R105</f>
        <v>0</v>
      </c>
      <c r="T105" s="17">
        <f t="shared" si="8"/>
        <v>932.44041331253629</v>
      </c>
      <c r="U105" s="17">
        <f t="shared" si="9"/>
        <v>0</v>
      </c>
      <c r="V105" s="17">
        <f t="shared" si="10"/>
        <v>219.86924727223041</v>
      </c>
      <c r="W105" s="17">
        <f t="shared" si="11"/>
        <v>365412.32033668889</v>
      </c>
      <c r="X105" s="17">
        <f t="shared" si="12"/>
        <v>451576.46623744949</v>
      </c>
      <c r="Y105" s="17">
        <f>IF(MOD(A105,12)=0,W105*'1 - Input'!$B$23,0)</f>
        <v>0</v>
      </c>
      <c r="Z105" s="17">
        <f t="shared" si="13"/>
        <v>365412.32033668889</v>
      </c>
      <c r="AA105" s="17">
        <f>IF(MOD(A105,12)=0,X105*(1-'1 - Input'!$B$23),X105)</f>
        <v>451576.46623744949</v>
      </c>
      <c r="AB105" s="17">
        <f>IF('1 - Input'!$B$17=1,MIN(L105,D105)+T105,L105)</f>
        <v>2981.0181686400001</v>
      </c>
      <c r="AC105" s="17">
        <f t="shared" si="47"/>
        <v>174572.93752128014</v>
      </c>
      <c r="AD105" s="17">
        <f t="shared" si="48"/>
        <v>52195.497803612663</v>
      </c>
      <c r="AE105" s="17">
        <f t="shared" si="49"/>
        <v>0</v>
      </c>
      <c r="AF105" s="17">
        <f t="shared" si="50"/>
        <v>4174.6703022215797</v>
      </c>
      <c r="AG105" s="17">
        <f t="shared" si="51"/>
        <v>4197.5607736737047</v>
      </c>
      <c r="AH105" s="17">
        <f t="shared" si="52"/>
        <v>0</v>
      </c>
      <c r="AI105" s="15">
        <f t="shared" si="14"/>
        <v>0</v>
      </c>
      <c r="AK105" s="14">
        <v>62</v>
      </c>
      <c r="AL105" s="15">
        <f t="shared" si="15"/>
        <v>6</v>
      </c>
      <c r="AM105" s="16">
        <f>(1+INDEX('1 - Input'!$B$34:$E$63,AL105,'1 - Input'!$B$16))^(1/12)-1</f>
        <v>4.1219243192651689E-3</v>
      </c>
      <c r="AN105" s="17">
        <f>'1 - Input'!$B$7*(1+'1 - Input'!$B$12)^(AL105-1)</f>
        <v>2981.0181686400001</v>
      </c>
      <c r="AO105" s="17">
        <f t="shared" si="53"/>
        <v>367597.89835108741</v>
      </c>
      <c r="AP105" s="17">
        <f t="shared" si="54"/>
        <v>452728.77589803428</v>
      </c>
      <c r="AQ105" s="17">
        <f t="shared" si="16"/>
        <v>369113.10906801152</v>
      </c>
      <c r="AR105" s="17">
        <f>IF(AQ105&gt;0,'1 - Input'!$B$8/12*AQ105,0)</f>
        <v>2768.3483180100861</v>
      </c>
      <c r="AS105" s="17">
        <f t="shared" si="17"/>
        <v>366344.76075000141</v>
      </c>
      <c r="AT105" s="17">
        <f t="shared" si="18"/>
        <v>0</v>
      </c>
      <c r="AU105" s="17">
        <f>'1 - Input'!$B$22*(AR105-AT105)</f>
        <v>719.77056268262243</v>
      </c>
      <c r="AV105" s="17">
        <f t="shared" si="19"/>
        <v>2048.5777553274638</v>
      </c>
      <c r="AW105" s="17">
        <f t="shared" si="20"/>
        <v>452728.77589803428</v>
      </c>
      <c r="AX105" s="17">
        <f>IF('1 - Input'!$B$17=1,MAX(0,AV105-AN105),0)</f>
        <v>0</v>
      </c>
      <c r="AY105" s="17">
        <f>IF('1 - Input'!$B$17=1,MAX(0,AN105-AV105),0)</f>
        <v>932.44041331253629</v>
      </c>
      <c r="AZ105" s="17">
        <f t="shared" si="21"/>
        <v>0</v>
      </c>
      <c r="BA105" s="17">
        <f>IF(AND(AY105&gt;0,AS105&gt;0),AY105/(1-'1 - Input'!$B$22*AZ105),0)</f>
        <v>932.44041331253629</v>
      </c>
      <c r="BB105" s="17">
        <f t="shared" si="22"/>
        <v>932.44041331253629</v>
      </c>
      <c r="BC105" s="17">
        <f>'1 - Input'!$B$22*AZ105*BB105</f>
        <v>0</v>
      </c>
      <c r="BD105" s="17">
        <f t="shared" si="23"/>
        <v>932.44041331253629</v>
      </c>
      <c r="BE105" s="17">
        <f t="shared" si="24"/>
        <v>0</v>
      </c>
      <c r="BF105" s="17">
        <f t="shared" si="25"/>
        <v>219.86924727223041</v>
      </c>
      <c r="BG105" s="17">
        <f t="shared" si="26"/>
        <v>365412.32033668889</v>
      </c>
      <c r="BH105" s="17">
        <f t="shared" si="27"/>
        <v>451576.46623744949</v>
      </c>
      <c r="BI105" s="17">
        <f>IF(MOD(AK105,12)=0,BG105*'1 - Input'!$B$23,0)</f>
        <v>0</v>
      </c>
      <c r="BJ105" s="17">
        <f t="shared" si="28"/>
        <v>365412.32033668889</v>
      </c>
      <c r="BK105" s="17">
        <f>IF(MOD(AK105,12)=0,BH105*(1-'1 - Input'!$B$23),BH105)</f>
        <v>451576.46623744949</v>
      </c>
      <c r="BL105" s="17">
        <f>IF('1 - Input'!$B$17=1,MIN(AV105,AN105)+BD105,AV105)</f>
        <v>2981.0181686400001</v>
      </c>
      <c r="BM105" s="17">
        <f t="shared" si="55"/>
        <v>174572.93752128014</v>
      </c>
      <c r="BN105" s="17">
        <f t="shared" si="56"/>
        <v>52195.497803612663</v>
      </c>
      <c r="BO105" s="17">
        <f t="shared" si="57"/>
        <v>0</v>
      </c>
      <c r="BP105" s="17">
        <f t="shared" si="58"/>
        <v>4174.6703022215797</v>
      </c>
      <c r="BQ105" s="17">
        <f t="shared" si="59"/>
        <v>4197.5607736737047</v>
      </c>
      <c r="BR105" s="17">
        <f t="shared" si="60"/>
        <v>0</v>
      </c>
      <c r="BS105" s="15">
        <f t="shared" si="29"/>
        <v>0</v>
      </c>
      <c r="BU105" s="14">
        <v>62</v>
      </c>
      <c r="BV105" s="15">
        <f t="shared" si="30"/>
        <v>6</v>
      </c>
      <c r="BW105" s="16">
        <f>(1+INDEX('1 - Input'!$B$34:$E$63,BV105,'1 - Input'!$B$16))^(1/12)-1</f>
        <v>4.1219243192651689E-3</v>
      </c>
      <c r="BX105" s="17">
        <f>'1 - Input'!$B$7*(1+'1 - Input'!$B$12)^(BV105-1)</f>
        <v>2981.0181686400001</v>
      </c>
      <c r="BY105" s="17">
        <f t="shared" si="61"/>
        <v>425951.63413713145</v>
      </c>
      <c r="BZ105" s="17">
        <f t="shared" si="62"/>
        <v>311058.18641104363</v>
      </c>
      <c r="CA105" s="17">
        <f t="shared" si="31"/>
        <v>427707.37453671201</v>
      </c>
      <c r="CB105" s="17">
        <f>IF(CA105&gt;0,'1 - Input'!$B$8/12*CA105,0)</f>
        <v>3207.8053090253402</v>
      </c>
      <c r="CC105" s="17">
        <f t="shared" si="32"/>
        <v>424499.56922768668</v>
      </c>
      <c r="CD105" s="17">
        <f t="shared" si="33"/>
        <v>3207.8053090253402</v>
      </c>
      <c r="CE105" s="17">
        <f>'1 - Input'!$B$22*(CB105-CD105)</f>
        <v>0</v>
      </c>
      <c r="CF105" s="17">
        <f t="shared" si="34"/>
        <v>3207.8053090253402</v>
      </c>
      <c r="CG105" s="17">
        <f t="shared" si="35"/>
        <v>307850.38110201829</v>
      </c>
      <c r="CH105" s="17">
        <f>IF('1 - Input'!$B$17=1,MAX(0,CF105-BX105),0)</f>
        <v>226.78714038534008</v>
      </c>
      <c r="CI105" s="17">
        <f>IF('1 - Input'!$B$17=1,MAX(0,BX105-CF105),0)</f>
        <v>0</v>
      </c>
      <c r="CJ105" s="17">
        <f t="shared" si="36"/>
        <v>0.27479224145714465</v>
      </c>
      <c r="CK105" s="17">
        <f>IF(AND(CI105&gt;0,CC105&gt;0),CI105/(1-'1 - Input'!$B$22*CJ105),0)</f>
        <v>0</v>
      </c>
      <c r="CL105" s="17">
        <f t="shared" si="37"/>
        <v>0</v>
      </c>
      <c r="CM105" s="17">
        <f>'1 - Input'!$B$22*CJ105*CL105</f>
        <v>0</v>
      </c>
      <c r="CN105" s="17">
        <f t="shared" si="38"/>
        <v>0</v>
      </c>
      <c r="CO105" s="17">
        <f t="shared" si="39"/>
        <v>0</v>
      </c>
      <c r="CP105" s="17">
        <f t="shared" si="40"/>
        <v>0</v>
      </c>
      <c r="CQ105" s="17">
        <f t="shared" si="41"/>
        <v>424726.35636807204</v>
      </c>
      <c r="CR105" s="17">
        <f t="shared" si="42"/>
        <v>308077.16824240366</v>
      </c>
      <c r="CS105" s="17">
        <f>IF(MOD(BU105,12)=0,CQ105*'1 - Input'!$B$23,0)</f>
        <v>0</v>
      </c>
      <c r="CT105" s="17">
        <f t="shared" si="43"/>
        <v>424726.35636807204</v>
      </c>
      <c r="CU105" s="17">
        <f>IF(MOD(BU105,12)=0,CR105*(1-'1 - Input'!$B$23),CR105)</f>
        <v>308077.16824240366</v>
      </c>
      <c r="CV105" s="17">
        <f>IF('1 - Input'!$B$17=1,MIN(CF105,BX105)+CN105,CF105)</f>
        <v>2981.0181686400001</v>
      </c>
      <c r="CW105" s="17">
        <f t="shared" si="63"/>
        <v>174572.93752128014</v>
      </c>
      <c r="CX105" s="17">
        <f t="shared" si="64"/>
        <v>0</v>
      </c>
      <c r="CY105" s="17">
        <f t="shared" si="65"/>
        <v>0</v>
      </c>
      <c r="CZ105" s="17">
        <f t="shared" si="66"/>
        <v>0</v>
      </c>
      <c r="DA105" s="17">
        <f t="shared" si="67"/>
        <v>4542.6401775618569</v>
      </c>
      <c r="DB105" s="17">
        <f t="shared" si="68"/>
        <v>0</v>
      </c>
      <c r="DC105" s="15">
        <f t="shared" si="44"/>
        <v>0</v>
      </c>
    </row>
    <row r="106" spans="1:107">
      <c r="A106" s="14">
        <v>63</v>
      </c>
      <c r="B106" s="15">
        <f t="shared" si="0"/>
        <v>6</v>
      </c>
      <c r="C106" s="16">
        <f>(1+INDEX('1 - Input'!$B$34:$E$63,B106,'1 - Input'!$B$16))^(1/12)-1</f>
        <v>4.1219243192651689E-3</v>
      </c>
      <c r="D106" s="17">
        <f>'1 - Input'!$B$7*(1+'1 - Input'!$B$12)^(B106-1)</f>
        <v>2981.0181686400001</v>
      </c>
      <c r="E106" s="17">
        <f t="shared" si="45"/>
        <v>365412.32033668889</v>
      </c>
      <c r="F106" s="17">
        <f t="shared" si="46"/>
        <v>451576.46623744949</v>
      </c>
      <c r="G106" s="17">
        <f t="shared" si="1"/>
        <v>366918.52226644382</v>
      </c>
      <c r="H106" s="17">
        <f>IF(G106&gt;0,'1 - Input'!$B$8/12*G106,0)</f>
        <v>2751.8889169983286</v>
      </c>
      <c r="I106" s="17">
        <f t="shared" si="2"/>
        <v>364166.63334944547</v>
      </c>
      <c r="J106" s="17">
        <f t="shared" si="3"/>
        <v>0</v>
      </c>
      <c r="K106" s="17">
        <f>'1 - Input'!$B$22*(H106-J106)</f>
        <v>715.4911184195654</v>
      </c>
      <c r="L106" s="17">
        <f t="shared" si="4"/>
        <v>2036.3977985787633</v>
      </c>
      <c r="M106" s="17">
        <f t="shared" si="5"/>
        <v>451576.46623744949</v>
      </c>
      <c r="N106" s="17">
        <f>IF('1 - Input'!$B$17=1,MAX(0,L106-D106),0)</f>
        <v>0</v>
      </c>
      <c r="O106" s="17">
        <f>IF('1 - Input'!$B$17=1,MAX(0,D106-L106),0)</f>
        <v>944.62037006123683</v>
      </c>
      <c r="P106" s="17">
        <f t="shared" si="6"/>
        <v>0</v>
      </c>
      <c r="Q106" s="17">
        <f>IF(AND(O106&gt;0,I106&gt;0),O106/(1-'1 - Input'!$B$22*P106),0)</f>
        <v>944.62037006123683</v>
      </c>
      <c r="R106" s="17">
        <f t="shared" si="7"/>
        <v>944.62037006123683</v>
      </c>
      <c r="S106" s="17">
        <f>'1 - Input'!$B$22*P106*R106</f>
        <v>0</v>
      </c>
      <c r="T106" s="17">
        <f t="shared" si="8"/>
        <v>944.62037006123683</v>
      </c>
      <c r="U106" s="17">
        <f t="shared" si="9"/>
        <v>0</v>
      </c>
      <c r="V106" s="17">
        <f t="shared" si="10"/>
        <v>226.73441531483167</v>
      </c>
      <c r="W106" s="17">
        <f t="shared" si="11"/>
        <v>363222.01297938422</v>
      </c>
      <c r="X106" s="17">
        <f t="shared" si="12"/>
        <v>450405.11145207344</v>
      </c>
      <c r="Y106" s="17">
        <f>IF(MOD(A106,12)=0,W106*'1 - Input'!$B$23,0)</f>
        <v>0</v>
      </c>
      <c r="Z106" s="17">
        <f t="shared" si="13"/>
        <v>363222.01297938422</v>
      </c>
      <c r="AA106" s="17">
        <f>IF(MOD(A106,12)=0,X106*(1-'1 - Input'!$B$23),X106)</f>
        <v>450405.11145207344</v>
      </c>
      <c r="AB106" s="17">
        <f>IF('1 - Input'!$B$17=1,MIN(L106,D106)+T106,L106)</f>
        <v>2981.0181686400001</v>
      </c>
      <c r="AC106" s="17">
        <f t="shared" si="47"/>
        <v>177553.95568992014</v>
      </c>
      <c r="AD106" s="17">
        <f t="shared" si="48"/>
        <v>52910.988922032229</v>
      </c>
      <c r="AE106" s="17">
        <f t="shared" si="49"/>
        <v>0</v>
      </c>
      <c r="AF106" s="17">
        <f t="shared" si="50"/>
        <v>4401.4047175364112</v>
      </c>
      <c r="AG106" s="17">
        <f t="shared" si="51"/>
        <v>4197.5607736737047</v>
      </c>
      <c r="AH106" s="17">
        <f t="shared" si="52"/>
        <v>0</v>
      </c>
      <c r="AI106" s="15">
        <f t="shared" si="14"/>
        <v>0</v>
      </c>
      <c r="AK106" s="14">
        <v>63</v>
      </c>
      <c r="AL106" s="15">
        <f t="shared" si="15"/>
        <v>6</v>
      </c>
      <c r="AM106" s="16">
        <f>(1+INDEX('1 - Input'!$B$34:$E$63,AL106,'1 - Input'!$B$16))^(1/12)-1</f>
        <v>4.1219243192651689E-3</v>
      </c>
      <c r="AN106" s="17">
        <f>'1 - Input'!$B$7*(1+'1 - Input'!$B$12)^(AL106-1)</f>
        <v>2981.0181686400001</v>
      </c>
      <c r="AO106" s="17">
        <f t="shared" si="53"/>
        <v>365412.32033668889</v>
      </c>
      <c r="AP106" s="17">
        <f t="shared" si="54"/>
        <v>451576.46623744949</v>
      </c>
      <c r="AQ106" s="17">
        <f t="shared" si="16"/>
        <v>366918.52226644382</v>
      </c>
      <c r="AR106" s="17">
        <f>IF(AQ106&gt;0,'1 - Input'!$B$8/12*AQ106,0)</f>
        <v>2751.8889169983286</v>
      </c>
      <c r="AS106" s="17">
        <f t="shared" si="17"/>
        <v>364166.63334944547</v>
      </c>
      <c r="AT106" s="17">
        <f t="shared" si="18"/>
        <v>0</v>
      </c>
      <c r="AU106" s="17">
        <f>'1 - Input'!$B$22*(AR106-AT106)</f>
        <v>715.4911184195654</v>
      </c>
      <c r="AV106" s="17">
        <f t="shared" si="19"/>
        <v>2036.3977985787633</v>
      </c>
      <c r="AW106" s="17">
        <f t="shared" si="20"/>
        <v>451576.46623744949</v>
      </c>
      <c r="AX106" s="17">
        <f>IF('1 - Input'!$B$17=1,MAX(0,AV106-AN106),0)</f>
        <v>0</v>
      </c>
      <c r="AY106" s="17">
        <f>IF('1 - Input'!$B$17=1,MAX(0,AN106-AV106),0)</f>
        <v>944.62037006123683</v>
      </c>
      <c r="AZ106" s="17">
        <f t="shared" si="21"/>
        <v>0</v>
      </c>
      <c r="BA106" s="17">
        <f>IF(AND(AY106&gt;0,AS106&gt;0),AY106/(1-'1 - Input'!$B$22*AZ106),0)</f>
        <v>944.62037006123683</v>
      </c>
      <c r="BB106" s="17">
        <f t="shared" si="22"/>
        <v>944.62037006123683</v>
      </c>
      <c r="BC106" s="17">
        <f>'1 - Input'!$B$22*AZ106*BB106</f>
        <v>0</v>
      </c>
      <c r="BD106" s="17">
        <f t="shared" si="23"/>
        <v>944.62037006123683</v>
      </c>
      <c r="BE106" s="17">
        <f t="shared" si="24"/>
        <v>0</v>
      </c>
      <c r="BF106" s="17">
        <f t="shared" si="25"/>
        <v>226.73441531483167</v>
      </c>
      <c r="BG106" s="17">
        <f t="shared" si="26"/>
        <v>363222.01297938422</v>
      </c>
      <c r="BH106" s="17">
        <f t="shared" si="27"/>
        <v>450405.11145207344</v>
      </c>
      <c r="BI106" s="17">
        <f>IF(MOD(AK106,12)=0,BG106*'1 - Input'!$B$23,0)</f>
        <v>0</v>
      </c>
      <c r="BJ106" s="17">
        <f t="shared" si="28"/>
        <v>363222.01297938422</v>
      </c>
      <c r="BK106" s="17">
        <f>IF(MOD(AK106,12)=0,BH106*(1-'1 - Input'!$B$23),BH106)</f>
        <v>450405.11145207344</v>
      </c>
      <c r="BL106" s="17">
        <f>IF('1 - Input'!$B$17=1,MIN(AV106,AN106)+BD106,AV106)</f>
        <v>2981.0181686400001</v>
      </c>
      <c r="BM106" s="17">
        <f t="shared" si="55"/>
        <v>177553.95568992014</v>
      </c>
      <c r="BN106" s="17">
        <f t="shared" si="56"/>
        <v>52910.988922032229</v>
      </c>
      <c r="BO106" s="17">
        <f t="shared" si="57"/>
        <v>0</v>
      </c>
      <c r="BP106" s="17">
        <f t="shared" si="58"/>
        <v>4401.4047175364112</v>
      </c>
      <c r="BQ106" s="17">
        <f t="shared" si="59"/>
        <v>4197.5607736737047</v>
      </c>
      <c r="BR106" s="17">
        <f t="shared" si="60"/>
        <v>0</v>
      </c>
      <c r="BS106" s="15">
        <f t="shared" si="29"/>
        <v>0</v>
      </c>
      <c r="BU106" s="14">
        <v>63</v>
      </c>
      <c r="BV106" s="15">
        <f t="shared" si="30"/>
        <v>6</v>
      </c>
      <c r="BW106" s="16">
        <f>(1+INDEX('1 - Input'!$B$34:$E$63,BV106,'1 - Input'!$B$16))^(1/12)-1</f>
        <v>4.1219243192651689E-3</v>
      </c>
      <c r="BX106" s="17">
        <f>'1 - Input'!$B$7*(1+'1 - Input'!$B$12)^(BV106-1)</f>
        <v>2981.0181686400001</v>
      </c>
      <c r="BY106" s="17">
        <f t="shared" si="61"/>
        <v>424726.35636807204</v>
      </c>
      <c r="BZ106" s="17">
        <f t="shared" si="62"/>
        <v>308077.16824240366</v>
      </c>
      <c r="CA106" s="17">
        <f t="shared" si="31"/>
        <v>426477.04626541847</v>
      </c>
      <c r="CB106" s="17">
        <f>IF(CA106&gt;0,'1 - Input'!$B$8/12*CA106,0)</f>
        <v>3198.5778469906386</v>
      </c>
      <c r="CC106" s="17">
        <f t="shared" si="32"/>
        <v>423278.4684184278</v>
      </c>
      <c r="CD106" s="17">
        <f t="shared" si="33"/>
        <v>3198.5778469906386</v>
      </c>
      <c r="CE106" s="17">
        <f>'1 - Input'!$B$22*(CB106-CD106)</f>
        <v>0</v>
      </c>
      <c r="CF106" s="17">
        <f t="shared" si="34"/>
        <v>3198.5778469906386</v>
      </c>
      <c r="CG106" s="17">
        <f t="shared" si="35"/>
        <v>304878.59039541299</v>
      </c>
      <c r="CH106" s="17">
        <f>IF('1 - Input'!$B$17=1,MAX(0,CF106-BX106),0)</f>
        <v>217.55967835063848</v>
      </c>
      <c r="CI106" s="17">
        <f>IF('1 - Input'!$B$17=1,MAX(0,BX106-CF106),0)</f>
        <v>0</v>
      </c>
      <c r="CJ106" s="17">
        <f t="shared" si="36"/>
        <v>0.27972100368207664</v>
      </c>
      <c r="CK106" s="17">
        <f>IF(AND(CI106&gt;0,CC106&gt;0),CI106/(1-'1 - Input'!$B$22*CJ106),0)</f>
        <v>0</v>
      </c>
      <c r="CL106" s="17">
        <f t="shared" si="37"/>
        <v>0</v>
      </c>
      <c r="CM106" s="17">
        <f>'1 - Input'!$B$22*CJ106*CL106</f>
        <v>0</v>
      </c>
      <c r="CN106" s="17">
        <f t="shared" si="38"/>
        <v>0</v>
      </c>
      <c r="CO106" s="17">
        <f t="shared" si="39"/>
        <v>0</v>
      </c>
      <c r="CP106" s="17">
        <f t="shared" si="40"/>
        <v>0</v>
      </c>
      <c r="CQ106" s="17">
        <f t="shared" si="41"/>
        <v>423496.02809677843</v>
      </c>
      <c r="CR106" s="17">
        <f t="shared" si="42"/>
        <v>305096.15007376362</v>
      </c>
      <c r="CS106" s="17">
        <f>IF(MOD(BU106,12)=0,CQ106*'1 - Input'!$B$23,0)</f>
        <v>0</v>
      </c>
      <c r="CT106" s="17">
        <f t="shared" si="43"/>
        <v>423496.02809677843</v>
      </c>
      <c r="CU106" s="17">
        <f>IF(MOD(BU106,12)=0,CR106*(1-'1 - Input'!$B$23),CR106)</f>
        <v>305096.15007376362</v>
      </c>
      <c r="CV106" s="17">
        <f>IF('1 - Input'!$B$17=1,MIN(CF106,BX106)+CN106,CF106)</f>
        <v>2981.0181686400001</v>
      </c>
      <c r="CW106" s="17">
        <f t="shared" si="63"/>
        <v>177553.95568992014</v>
      </c>
      <c r="CX106" s="17">
        <f t="shared" si="64"/>
        <v>0</v>
      </c>
      <c r="CY106" s="17">
        <f t="shared" si="65"/>
        <v>0</v>
      </c>
      <c r="CZ106" s="17">
        <f t="shared" si="66"/>
        <v>0</v>
      </c>
      <c r="DA106" s="17">
        <f t="shared" si="67"/>
        <v>4542.6401775618569</v>
      </c>
      <c r="DB106" s="17">
        <f t="shared" si="68"/>
        <v>0</v>
      </c>
      <c r="DC106" s="15">
        <f t="shared" si="44"/>
        <v>0</v>
      </c>
    </row>
    <row r="107" spans="1:107">
      <c r="A107" s="14">
        <v>64</v>
      </c>
      <c r="B107" s="15">
        <f t="shared" si="0"/>
        <v>6</v>
      </c>
      <c r="C107" s="16">
        <f>(1+INDEX('1 - Input'!$B$34:$E$63,B107,'1 - Input'!$B$16))^(1/12)-1</f>
        <v>4.1219243192651689E-3</v>
      </c>
      <c r="D107" s="17">
        <f>'1 - Input'!$B$7*(1+'1 - Input'!$B$12)^(B107-1)</f>
        <v>2981.0181686400001</v>
      </c>
      <c r="E107" s="17">
        <f t="shared" si="45"/>
        <v>363222.01297938422</v>
      </c>
      <c r="F107" s="17">
        <f t="shared" si="46"/>
        <v>450405.11145207344</v>
      </c>
      <c r="G107" s="17">
        <f t="shared" si="1"/>
        <v>364719.18662797642</v>
      </c>
      <c r="H107" s="17">
        <f>IF(G107&gt;0,'1 - Input'!$B$8/12*G107,0)</f>
        <v>2735.393899709823</v>
      </c>
      <c r="I107" s="17">
        <f t="shared" si="2"/>
        <v>361983.79272826662</v>
      </c>
      <c r="J107" s="17">
        <f t="shared" si="3"/>
        <v>0</v>
      </c>
      <c r="K107" s="17">
        <f>'1 - Input'!$B$22*(H107-J107)</f>
        <v>711.20241392455398</v>
      </c>
      <c r="L107" s="17">
        <f t="shared" si="4"/>
        <v>2024.1914857852689</v>
      </c>
      <c r="M107" s="17">
        <f t="shared" si="5"/>
        <v>450405.11145207344</v>
      </c>
      <c r="N107" s="17">
        <f>IF('1 - Input'!$B$17=1,MAX(0,L107-D107),0)</f>
        <v>0</v>
      </c>
      <c r="O107" s="17">
        <f>IF('1 - Input'!$B$17=1,MAX(0,D107-L107),0)</f>
        <v>956.82668285473119</v>
      </c>
      <c r="P107" s="17">
        <f t="shared" si="6"/>
        <v>0</v>
      </c>
      <c r="Q107" s="17">
        <f>IF(AND(O107&gt;0,I107&gt;0),O107/(1-'1 - Input'!$B$22*P107),0)</f>
        <v>956.82668285473119</v>
      </c>
      <c r="R107" s="17">
        <f t="shared" si="7"/>
        <v>956.82668285473119</v>
      </c>
      <c r="S107" s="17">
        <f>'1 - Input'!$B$22*P107*R107</f>
        <v>0</v>
      </c>
      <c r="T107" s="17">
        <f t="shared" si="8"/>
        <v>956.82668285473119</v>
      </c>
      <c r="U107" s="17">
        <f t="shared" si="9"/>
        <v>0</v>
      </c>
      <c r="V107" s="17">
        <f t="shared" si="10"/>
        <v>233.7228317612863</v>
      </c>
      <c r="W107" s="17">
        <f t="shared" si="11"/>
        <v>361026.96604541189</v>
      </c>
      <c r="X107" s="17">
        <f t="shared" si="12"/>
        <v>449214.56193745742</v>
      </c>
      <c r="Y107" s="17">
        <f>IF(MOD(A107,12)=0,W107*'1 - Input'!$B$23,0)</f>
        <v>0</v>
      </c>
      <c r="Z107" s="17">
        <f t="shared" si="13"/>
        <v>361026.96604541189</v>
      </c>
      <c r="AA107" s="17">
        <f>IF(MOD(A107,12)=0,X107*(1-'1 - Input'!$B$23),X107)</f>
        <v>449214.56193745742</v>
      </c>
      <c r="AB107" s="17">
        <f>IF('1 - Input'!$B$17=1,MIN(L107,D107)+T107,L107)</f>
        <v>2981.0181686400001</v>
      </c>
      <c r="AC107" s="17">
        <f t="shared" si="47"/>
        <v>180534.97385856014</v>
      </c>
      <c r="AD107" s="17">
        <f t="shared" si="48"/>
        <v>53622.191335956784</v>
      </c>
      <c r="AE107" s="17">
        <f t="shared" si="49"/>
        <v>0</v>
      </c>
      <c r="AF107" s="17">
        <f t="shared" si="50"/>
        <v>4635.1275492976974</v>
      </c>
      <c r="AG107" s="17">
        <f t="shared" si="51"/>
        <v>4197.5607736737047</v>
      </c>
      <c r="AH107" s="17">
        <f t="shared" si="52"/>
        <v>0</v>
      </c>
      <c r="AI107" s="15">
        <f t="shared" si="14"/>
        <v>0</v>
      </c>
      <c r="AK107" s="14">
        <v>64</v>
      </c>
      <c r="AL107" s="15">
        <f t="shared" si="15"/>
        <v>6</v>
      </c>
      <c r="AM107" s="16">
        <f>(1+INDEX('1 - Input'!$B$34:$E$63,AL107,'1 - Input'!$B$16))^(1/12)-1</f>
        <v>4.1219243192651689E-3</v>
      </c>
      <c r="AN107" s="17">
        <f>'1 - Input'!$B$7*(1+'1 - Input'!$B$12)^(AL107-1)</f>
        <v>2981.0181686400001</v>
      </c>
      <c r="AO107" s="17">
        <f t="shared" si="53"/>
        <v>363222.01297938422</v>
      </c>
      <c r="AP107" s="17">
        <f t="shared" si="54"/>
        <v>450405.11145207344</v>
      </c>
      <c r="AQ107" s="17">
        <f t="shared" si="16"/>
        <v>364719.18662797642</v>
      </c>
      <c r="AR107" s="17">
        <f>IF(AQ107&gt;0,'1 - Input'!$B$8/12*AQ107,0)</f>
        <v>2735.393899709823</v>
      </c>
      <c r="AS107" s="17">
        <f t="shared" si="17"/>
        <v>361983.79272826662</v>
      </c>
      <c r="AT107" s="17">
        <f t="shared" si="18"/>
        <v>0</v>
      </c>
      <c r="AU107" s="17">
        <f>'1 - Input'!$B$22*(AR107-AT107)</f>
        <v>711.20241392455398</v>
      </c>
      <c r="AV107" s="17">
        <f t="shared" si="19"/>
        <v>2024.1914857852689</v>
      </c>
      <c r="AW107" s="17">
        <f t="shared" si="20"/>
        <v>450405.11145207344</v>
      </c>
      <c r="AX107" s="17">
        <f>IF('1 - Input'!$B$17=1,MAX(0,AV107-AN107),0)</f>
        <v>0</v>
      </c>
      <c r="AY107" s="17">
        <f>IF('1 - Input'!$B$17=1,MAX(0,AN107-AV107),0)</f>
        <v>956.82668285473119</v>
      </c>
      <c r="AZ107" s="17">
        <f t="shared" si="21"/>
        <v>0</v>
      </c>
      <c r="BA107" s="17">
        <f>IF(AND(AY107&gt;0,AS107&gt;0),AY107/(1-'1 - Input'!$B$22*AZ107),0)</f>
        <v>956.82668285473119</v>
      </c>
      <c r="BB107" s="17">
        <f t="shared" si="22"/>
        <v>956.82668285473119</v>
      </c>
      <c r="BC107" s="17">
        <f>'1 - Input'!$B$22*AZ107*BB107</f>
        <v>0</v>
      </c>
      <c r="BD107" s="17">
        <f t="shared" si="23"/>
        <v>956.82668285473119</v>
      </c>
      <c r="BE107" s="17">
        <f t="shared" si="24"/>
        <v>0</v>
      </c>
      <c r="BF107" s="17">
        <f t="shared" si="25"/>
        <v>233.7228317612863</v>
      </c>
      <c r="BG107" s="17">
        <f t="shared" si="26"/>
        <v>361026.96604541189</v>
      </c>
      <c r="BH107" s="17">
        <f t="shared" si="27"/>
        <v>449214.56193745742</v>
      </c>
      <c r="BI107" s="17">
        <f>IF(MOD(AK107,12)=0,BG107*'1 - Input'!$B$23,0)</f>
        <v>0</v>
      </c>
      <c r="BJ107" s="17">
        <f t="shared" si="28"/>
        <v>361026.96604541189</v>
      </c>
      <c r="BK107" s="17">
        <f>IF(MOD(AK107,12)=0,BH107*(1-'1 - Input'!$B$23),BH107)</f>
        <v>449214.56193745742</v>
      </c>
      <c r="BL107" s="17">
        <f>IF('1 - Input'!$B$17=1,MIN(AV107,AN107)+BD107,AV107)</f>
        <v>2981.0181686400001</v>
      </c>
      <c r="BM107" s="17">
        <f t="shared" si="55"/>
        <v>180534.97385856014</v>
      </c>
      <c r="BN107" s="17">
        <f t="shared" si="56"/>
        <v>53622.191335956784</v>
      </c>
      <c r="BO107" s="17">
        <f t="shared" si="57"/>
        <v>0</v>
      </c>
      <c r="BP107" s="17">
        <f t="shared" si="58"/>
        <v>4635.1275492976974</v>
      </c>
      <c r="BQ107" s="17">
        <f t="shared" si="59"/>
        <v>4197.5607736737047</v>
      </c>
      <c r="BR107" s="17">
        <f t="shared" si="60"/>
        <v>0</v>
      </c>
      <c r="BS107" s="15">
        <f t="shared" si="29"/>
        <v>0</v>
      </c>
      <c r="BU107" s="14">
        <v>64</v>
      </c>
      <c r="BV107" s="15">
        <f t="shared" si="30"/>
        <v>6</v>
      </c>
      <c r="BW107" s="16">
        <f>(1+INDEX('1 - Input'!$B$34:$E$63,BV107,'1 - Input'!$B$16))^(1/12)-1</f>
        <v>4.1219243192651689E-3</v>
      </c>
      <c r="BX107" s="17">
        <f>'1 - Input'!$B$7*(1+'1 - Input'!$B$12)^(BV107-1)</f>
        <v>2981.0181686400001</v>
      </c>
      <c r="BY107" s="17">
        <f t="shared" si="61"/>
        <v>423496.02809677843</v>
      </c>
      <c r="BZ107" s="17">
        <f t="shared" si="62"/>
        <v>305096.15007376362</v>
      </c>
      <c r="CA107" s="17">
        <f t="shared" si="31"/>
        <v>425241.64667410275</v>
      </c>
      <c r="CB107" s="17">
        <f>IF(CA107&gt;0,'1 - Input'!$B$8/12*CA107,0)</f>
        <v>3189.3123500557704</v>
      </c>
      <c r="CC107" s="17">
        <f t="shared" si="32"/>
        <v>422052.33432404697</v>
      </c>
      <c r="CD107" s="17">
        <f t="shared" si="33"/>
        <v>3189.3123500557704</v>
      </c>
      <c r="CE107" s="17">
        <f>'1 - Input'!$B$22*(CB107-CD107)</f>
        <v>0</v>
      </c>
      <c r="CF107" s="17">
        <f t="shared" si="34"/>
        <v>3189.3123500557704</v>
      </c>
      <c r="CG107" s="17">
        <f t="shared" si="35"/>
        <v>301906.83772370784</v>
      </c>
      <c r="CH107" s="17">
        <f>IF('1 - Input'!$B$17=1,MAX(0,CF107-BX107),0)</f>
        <v>208.29418141577025</v>
      </c>
      <c r="CI107" s="17">
        <f>IF('1 - Input'!$B$17=1,MAX(0,BX107-CF107),0)</f>
        <v>0</v>
      </c>
      <c r="CJ107" s="17">
        <f t="shared" si="36"/>
        <v>0.28466966494276702</v>
      </c>
      <c r="CK107" s="17">
        <f>IF(AND(CI107&gt;0,CC107&gt;0),CI107/(1-'1 - Input'!$B$22*CJ107),0)</f>
        <v>0</v>
      </c>
      <c r="CL107" s="17">
        <f t="shared" si="37"/>
        <v>0</v>
      </c>
      <c r="CM107" s="17">
        <f>'1 - Input'!$B$22*CJ107*CL107</f>
        <v>0</v>
      </c>
      <c r="CN107" s="17">
        <f t="shared" si="38"/>
        <v>0</v>
      </c>
      <c r="CO107" s="17">
        <f t="shared" si="39"/>
        <v>0</v>
      </c>
      <c r="CP107" s="17">
        <f t="shared" si="40"/>
        <v>0</v>
      </c>
      <c r="CQ107" s="17">
        <f t="shared" si="41"/>
        <v>422260.62850546272</v>
      </c>
      <c r="CR107" s="17">
        <f t="shared" si="42"/>
        <v>302115.13190512359</v>
      </c>
      <c r="CS107" s="17">
        <f>IF(MOD(BU107,12)=0,CQ107*'1 - Input'!$B$23,0)</f>
        <v>0</v>
      </c>
      <c r="CT107" s="17">
        <f t="shared" si="43"/>
        <v>422260.62850546272</v>
      </c>
      <c r="CU107" s="17">
        <f>IF(MOD(BU107,12)=0,CR107*(1-'1 - Input'!$B$23),CR107)</f>
        <v>302115.13190512359</v>
      </c>
      <c r="CV107" s="17">
        <f>IF('1 - Input'!$B$17=1,MIN(CF107,BX107)+CN107,CF107)</f>
        <v>2981.0181686400001</v>
      </c>
      <c r="CW107" s="17">
        <f t="shared" si="63"/>
        <v>180534.97385856014</v>
      </c>
      <c r="CX107" s="17">
        <f t="shared" si="64"/>
        <v>0</v>
      </c>
      <c r="CY107" s="17">
        <f t="shared" si="65"/>
        <v>0</v>
      </c>
      <c r="CZ107" s="17">
        <f t="shared" si="66"/>
        <v>0</v>
      </c>
      <c r="DA107" s="17">
        <f t="shared" si="67"/>
        <v>4542.6401775618569</v>
      </c>
      <c r="DB107" s="17">
        <f t="shared" si="68"/>
        <v>0</v>
      </c>
      <c r="DC107" s="15">
        <f t="shared" si="44"/>
        <v>0</v>
      </c>
    </row>
    <row r="108" spans="1:107">
      <c r="A108" s="14">
        <v>65</v>
      </c>
      <c r="B108" s="15">
        <f t="shared" ref="B108:B171" si="69">ROUNDUP(A108/12,0)</f>
        <v>6</v>
      </c>
      <c r="C108" s="16">
        <f>(1+INDEX('1 - Input'!$B$34:$E$63,B108,'1 - Input'!$B$16))^(1/12)-1</f>
        <v>4.1219243192651689E-3</v>
      </c>
      <c r="D108" s="17">
        <f>'1 - Input'!$B$7*(1+'1 - Input'!$B$12)^(B108-1)</f>
        <v>2981.0181686400001</v>
      </c>
      <c r="E108" s="17">
        <f t="shared" si="45"/>
        <v>361026.96604541189</v>
      </c>
      <c r="F108" s="17">
        <f t="shared" si="46"/>
        <v>449214.56193745742</v>
      </c>
      <c r="G108" s="17">
        <f t="shared" ref="G108:G171" si="70">E108*(1+C108)</f>
        <v>362515.09187666501</v>
      </c>
      <c r="H108" s="17">
        <f>IF(G108&gt;0,'1 - Input'!$B$8/12*G108,0)</f>
        <v>2718.8631890749875</v>
      </c>
      <c r="I108" s="17">
        <f t="shared" ref="I108:I171" si="71">G108-H108</f>
        <v>359796.22868759005</v>
      </c>
      <c r="J108" s="17">
        <f t="shared" ref="J108:J171" si="72">MIN($B$41*H108,F108)</f>
        <v>0</v>
      </c>
      <c r="K108" s="17">
        <f>'1 - Input'!$B$22*(H108-J108)</f>
        <v>706.90442915949677</v>
      </c>
      <c r="L108" s="17">
        <f t="shared" ref="L108:L171" si="73">H108-K108</f>
        <v>2011.9587599154906</v>
      </c>
      <c r="M108" s="17">
        <f t="shared" ref="M108:M171" si="74">F108-J108</f>
        <v>449214.56193745742</v>
      </c>
      <c r="N108" s="17">
        <f>IF('1 - Input'!$B$17=1,MAX(0,L108-D108),0)</f>
        <v>0</v>
      </c>
      <c r="O108" s="17">
        <f>IF('1 - Input'!$B$17=1,MAX(0,D108-L108),0)</f>
        <v>969.05940872450947</v>
      </c>
      <c r="P108" s="17">
        <f t="shared" ref="P108:P171" si="75">IF(I108&gt;0,MAX(0,1-M108/I108),0)</f>
        <v>0</v>
      </c>
      <c r="Q108" s="17">
        <f>IF(AND(O108&gt;0,I108&gt;0),O108/(1-'1 - Input'!$B$22*P108),0)</f>
        <v>969.05940872450947</v>
      </c>
      <c r="R108" s="17">
        <f t="shared" ref="R108:R171" si="76">MIN(Q108,I108)</f>
        <v>969.05940872450947</v>
      </c>
      <c r="S108" s="17">
        <f>'1 - Input'!$B$22*P108*R108</f>
        <v>0</v>
      </c>
      <c r="T108" s="17">
        <f t="shared" ref="T108:T171" si="77">R108-S108</f>
        <v>969.05940872450947</v>
      </c>
      <c r="U108" s="17">
        <f t="shared" ref="U108:U171" si="78">O108-T108</f>
        <v>0</v>
      </c>
      <c r="V108" s="17">
        <f t="shared" ref="V108:V171" si="79">IF(I108&gt;0,R108*MAX(0,M108/I108-1),0)</f>
        <v>240.83542360719693</v>
      </c>
      <c r="W108" s="17">
        <f t="shared" ref="W108:W171" si="80">I108-R108+N108</f>
        <v>358827.16927886556</v>
      </c>
      <c r="X108" s="17">
        <f t="shared" ref="X108:X171" si="81">IF(R108&gt;0,M108*(1-R108/I108),M108)+N108</f>
        <v>448004.66710512567</v>
      </c>
      <c r="Y108" s="17">
        <f>IF(MOD(A108,12)=0,W108*'1 - Input'!$B$23,0)</f>
        <v>0</v>
      </c>
      <c r="Z108" s="17">
        <f t="shared" ref="Z108:Z171" si="82">W108-Y108</f>
        <v>358827.16927886556</v>
      </c>
      <c r="AA108" s="17">
        <f>IF(MOD(A108,12)=0,X108*(1-'1 - Input'!$B$23),X108)</f>
        <v>448004.66710512567</v>
      </c>
      <c r="AB108" s="17">
        <f>IF('1 - Input'!$B$17=1,MIN(L108,D108)+T108,L108)</f>
        <v>2981.0181686400001</v>
      </c>
      <c r="AC108" s="17">
        <f t="shared" si="47"/>
        <v>183515.99202720015</v>
      </c>
      <c r="AD108" s="17">
        <f t="shared" si="48"/>
        <v>54329.095765116283</v>
      </c>
      <c r="AE108" s="17">
        <f t="shared" si="49"/>
        <v>0</v>
      </c>
      <c r="AF108" s="17">
        <f t="shared" si="50"/>
        <v>4875.9629729048947</v>
      </c>
      <c r="AG108" s="17">
        <f t="shared" si="51"/>
        <v>4197.5607736737047</v>
      </c>
      <c r="AH108" s="17">
        <f t="shared" si="52"/>
        <v>0</v>
      </c>
      <c r="AI108" s="15">
        <f t="shared" ref="AI108:AI171" si="83">IF(W108&lt;=0.000001,1,0)</f>
        <v>0</v>
      </c>
      <c r="AK108" s="14">
        <v>65</v>
      </c>
      <c r="AL108" s="15">
        <f t="shared" ref="AL108:AL171" si="84">ROUNDUP(AK108/12,0)</f>
        <v>6</v>
      </c>
      <c r="AM108" s="16">
        <f>(1+INDEX('1 - Input'!$B$34:$E$63,AL108,'1 - Input'!$B$16))^(1/12)-1</f>
        <v>4.1219243192651689E-3</v>
      </c>
      <c r="AN108" s="17">
        <f>'1 - Input'!$B$7*(1+'1 - Input'!$B$12)^(AL108-1)</f>
        <v>2981.0181686400001</v>
      </c>
      <c r="AO108" s="17">
        <f t="shared" si="53"/>
        <v>361026.96604541189</v>
      </c>
      <c r="AP108" s="17">
        <f t="shared" si="54"/>
        <v>449214.56193745742</v>
      </c>
      <c r="AQ108" s="17">
        <f t="shared" ref="AQ108:AQ171" si="85">AO108*(1+AM108)</f>
        <v>362515.09187666501</v>
      </c>
      <c r="AR108" s="17">
        <f>IF(AQ108&gt;0,'1 - Input'!$B$8/12*AQ108,0)</f>
        <v>2718.8631890749875</v>
      </c>
      <c r="AS108" s="17">
        <f t="shared" ref="AS108:AS171" si="86">AQ108-AR108</f>
        <v>359796.22868759005</v>
      </c>
      <c r="AT108" s="17">
        <f t="shared" ref="AT108:AT171" si="87">MIN($AL$41*AR108,AP108)</f>
        <v>0</v>
      </c>
      <c r="AU108" s="17">
        <f>'1 - Input'!$B$22*(AR108-AT108)</f>
        <v>706.90442915949677</v>
      </c>
      <c r="AV108" s="17">
        <f t="shared" ref="AV108:AV171" si="88">AR108-AU108</f>
        <v>2011.9587599154906</v>
      </c>
      <c r="AW108" s="17">
        <f t="shared" ref="AW108:AW171" si="89">AP108-AT108</f>
        <v>449214.56193745742</v>
      </c>
      <c r="AX108" s="17">
        <f>IF('1 - Input'!$B$17=1,MAX(0,AV108-AN108),0)</f>
        <v>0</v>
      </c>
      <c r="AY108" s="17">
        <f>IF('1 - Input'!$B$17=1,MAX(0,AN108-AV108),0)</f>
        <v>969.05940872450947</v>
      </c>
      <c r="AZ108" s="17">
        <f t="shared" ref="AZ108:AZ171" si="90">IF(AS108&gt;0,MAX(0,1-AW108/AS108),0)</f>
        <v>0</v>
      </c>
      <c r="BA108" s="17">
        <f>IF(AND(AY108&gt;0,AS108&gt;0),AY108/(1-'1 - Input'!$B$22*AZ108),0)</f>
        <v>969.05940872450947</v>
      </c>
      <c r="BB108" s="17">
        <f t="shared" ref="BB108:BB171" si="91">MIN(BA108,AS108)</f>
        <v>969.05940872450947</v>
      </c>
      <c r="BC108" s="17">
        <f>'1 - Input'!$B$22*AZ108*BB108</f>
        <v>0</v>
      </c>
      <c r="BD108" s="17">
        <f t="shared" ref="BD108:BD171" si="92">BB108-BC108</f>
        <v>969.05940872450947</v>
      </c>
      <c r="BE108" s="17">
        <f t="shared" ref="BE108:BE171" si="93">AY108-BD108</f>
        <v>0</v>
      </c>
      <c r="BF108" s="17">
        <f t="shared" ref="BF108:BF171" si="94">IF(AS108&gt;0,BB108*MAX(0,AW108/AS108-1),0)</f>
        <v>240.83542360719693</v>
      </c>
      <c r="BG108" s="17">
        <f t="shared" ref="BG108:BG171" si="95">AS108-BB108+AX108</f>
        <v>358827.16927886556</v>
      </c>
      <c r="BH108" s="17">
        <f t="shared" ref="BH108:BH171" si="96">IF(BB108&gt;0,AW108*(1-BB108/AS108),AW108)+AX108</f>
        <v>448004.66710512567</v>
      </c>
      <c r="BI108" s="17">
        <f>IF(MOD(AK108,12)=0,BG108*'1 - Input'!$B$23,0)</f>
        <v>0</v>
      </c>
      <c r="BJ108" s="17">
        <f t="shared" ref="BJ108:BJ171" si="97">BG108-BI108</f>
        <v>358827.16927886556</v>
      </c>
      <c r="BK108" s="17">
        <f>IF(MOD(AK108,12)=0,BH108*(1-'1 - Input'!$B$23),BH108)</f>
        <v>448004.66710512567</v>
      </c>
      <c r="BL108" s="17">
        <f>IF('1 - Input'!$B$17=1,MIN(AV108,AN108)+BD108,AV108)</f>
        <v>2981.0181686400001</v>
      </c>
      <c r="BM108" s="17">
        <f t="shared" si="55"/>
        <v>183515.99202720015</v>
      </c>
      <c r="BN108" s="17">
        <f t="shared" si="56"/>
        <v>54329.095765116283</v>
      </c>
      <c r="BO108" s="17">
        <f t="shared" si="57"/>
        <v>0</v>
      </c>
      <c r="BP108" s="17">
        <f t="shared" si="58"/>
        <v>4875.9629729048947</v>
      </c>
      <c r="BQ108" s="17">
        <f t="shared" si="59"/>
        <v>4197.5607736737047</v>
      </c>
      <c r="BR108" s="17">
        <f t="shared" si="60"/>
        <v>0</v>
      </c>
      <c r="BS108" s="15">
        <f t="shared" ref="BS108:BS171" si="98">IF(BG108&lt;=0.000001,1,0)</f>
        <v>0</v>
      </c>
      <c r="BU108" s="14">
        <v>65</v>
      </c>
      <c r="BV108" s="15">
        <f t="shared" ref="BV108:BV171" si="99">ROUNDUP(BU108/12,0)</f>
        <v>6</v>
      </c>
      <c r="BW108" s="16">
        <f>(1+INDEX('1 - Input'!$B$34:$E$63,BV108,'1 - Input'!$B$16))^(1/12)-1</f>
        <v>4.1219243192651689E-3</v>
      </c>
      <c r="BX108" s="17">
        <f>'1 - Input'!$B$7*(1+'1 - Input'!$B$12)^(BV108-1)</f>
        <v>2981.0181686400001</v>
      </c>
      <c r="BY108" s="17">
        <f t="shared" si="61"/>
        <v>422260.62850546272</v>
      </c>
      <c r="BZ108" s="17">
        <f t="shared" si="62"/>
        <v>302115.13190512359</v>
      </c>
      <c r="CA108" s="17">
        <f t="shared" ref="CA108:CA171" si="100">BY108*(1+BW108)</f>
        <v>424001.15485916758</v>
      </c>
      <c r="CB108" s="17">
        <f>IF(CA108&gt;0,'1 - Input'!$B$8/12*CA108,0)</f>
        <v>3180.0086614437569</v>
      </c>
      <c r="CC108" s="17">
        <f t="shared" ref="CC108:CC171" si="101">CA108-CB108</f>
        <v>420821.14619772381</v>
      </c>
      <c r="CD108" s="17">
        <f t="shared" ref="CD108:CD171" si="102">MIN($BV$41*CB108,BZ108)</f>
        <v>3180.0086614437569</v>
      </c>
      <c r="CE108" s="17">
        <f>'1 - Input'!$B$22*(CB108-CD108)</f>
        <v>0</v>
      </c>
      <c r="CF108" s="17">
        <f t="shared" ref="CF108:CF171" si="103">CB108-CE108</f>
        <v>3180.0086614437569</v>
      </c>
      <c r="CG108" s="17">
        <f t="shared" ref="CG108:CG171" si="104">BZ108-CD108</f>
        <v>298935.12324367982</v>
      </c>
      <c r="CH108" s="17">
        <f>IF('1 - Input'!$B$17=1,MAX(0,CF108-BX108),0)</f>
        <v>198.99049280375675</v>
      </c>
      <c r="CI108" s="17">
        <f>IF('1 - Input'!$B$17=1,MAX(0,BX108-CF108),0)</f>
        <v>0</v>
      </c>
      <c r="CJ108" s="17">
        <f t="shared" ref="CJ108:CJ171" si="105">IF(CC108&gt;0,MAX(0,1-CG108/CC108),0)</f>
        <v>0.28963854135023803</v>
      </c>
      <c r="CK108" s="17">
        <f>IF(AND(CI108&gt;0,CC108&gt;0),CI108/(1-'1 - Input'!$B$22*CJ108),0)</f>
        <v>0</v>
      </c>
      <c r="CL108" s="17">
        <f t="shared" ref="CL108:CL171" si="106">MIN(CK108,CC108)</f>
        <v>0</v>
      </c>
      <c r="CM108" s="17">
        <f>'1 - Input'!$B$22*CJ108*CL108</f>
        <v>0</v>
      </c>
      <c r="CN108" s="17">
        <f t="shared" ref="CN108:CN171" si="107">CL108-CM108</f>
        <v>0</v>
      </c>
      <c r="CO108" s="17">
        <f t="shared" ref="CO108:CO171" si="108">CI108-CN108</f>
        <v>0</v>
      </c>
      <c r="CP108" s="17">
        <f t="shared" ref="CP108:CP171" si="109">IF(CC108&gt;0,CL108*MAX(0,CG108/CC108-1),0)</f>
        <v>0</v>
      </c>
      <c r="CQ108" s="17">
        <f t="shared" ref="CQ108:CQ171" si="110">CC108-CL108+CH108</f>
        <v>421020.13669052755</v>
      </c>
      <c r="CR108" s="17">
        <f t="shared" ref="CR108:CR171" si="111">IF(CL108&gt;0,CG108*(1-CL108/CC108),CG108)+CH108</f>
        <v>299134.11373648356</v>
      </c>
      <c r="CS108" s="17">
        <f>IF(MOD(BU108,12)=0,CQ108*'1 - Input'!$B$23,0)</f>
        <v>0</v>
      </c>
      <c r="CT108" s="17">
        <f t="shared" ref="CT108:CT171" si="112">CQ108-CS108</f>
        <v>421020.13669052755</v>
      </c>
      <c r="CU108" s="17">
        <f>IF(MOD(BU108,12)=0,CR108*(1-'1 - Input'!$B$23),CR108)</f>
        <v>299134.11373648356</v>
      </c>
      <c r="CV108" s="17">
        <f>IF('1 - Input'!$B$17=1,MIN(CF108,BX108)+CN108,CF108)</f>
        <v>2981.0181686400001</v>
      </c>
      <c r="CW108" s="17">
        <f t="shared" si="63"/>
        <v>183515.99202720015</v>
      </c>
      <c r="CX108" s="17">
        <f t="shared" si="64"/>
        <v>0</v>
      </c>
      <c r="CY108" s="17">
        <f t="shared" si="65"/>
        <v>0</v>
      </c>
      <c r="CZ108" s="17">
        <f t="shared" si="66"/>
        <v>0</v>
      </c>
      <c r="DA108" s="17">
        <f t="shared" si="67"/>
        <v>4542.6401775618569</v>
      </c>
      <c r="DB108" s="17">
        <f t="shared" si="68"/>
        <v>0</v>
      </c>
      <c r="DC108" s="15">
        <f t="shared" ref="DC108:DC171" si="113">IF(CQ108&lt;=0.000001,1,0)</f>
        <v>0</v>
      </c>
    </row>
    <row r="109" spans="1:107">
      <c r="A109" s="14">
        <v>66</v>
      </c>
      <c r="B109" s="15">
        <f t="shared" si="69"/>
        <v>6</v>
      </c>
      <c r="C109" s="16">
        <f>(1+INDEX('1 - Input'!$B$34:$E$63,B109,'1 - Input'!$B$16))^(1/12)-1</f>
        <v>4.1219243192651689E-3</v>
      </c>
      <c r="D109" s="17">
        <f>'1 - Input'!$B$7*(1+'1 - Input'!$B$12)^(B109-1)</f>
        <v>2981.0181686400001</v>
      </c>
      <c r="E109" s="17">
        <f t="shared" ref="E109:E172" si="114">Z108</f>
        <v>358827.16927886556</v>
      </c>
      <c r="F109" s="17">
        <f t="shared" ref="F109:F172" si="115">AA108</f>
        <v>448004.66710512567</v>
      </c>
      <c r="G109" s="17">
        <f t="shared" si="70"/>
        <v>360306.2277143292</v>
      </c>
      <c r="H109" s="17">
        <f>IF(G109&gt;0,'1 - Input'!$B$8/12*G109,0)</f>
        <v>2702.2967078574688</v>
      </c>
      <c r="I109" s="17">
        <f t="shared" si="71"/>
        <v>357603.93100647174</v>
      </c>
      <c r="J109" s="17">
        <f t="shared" si="72"/>
        <v>0</v>
      </c>
      <c r="K109" s="17">
        <f>'1 - Input'!$B$22*(H109-J109)</f>
        <v>702.59714404294198</v>
      </c>
      <c r="L109" s="17">
        <f t="shared" si="73"/>
        <v>1999.6995638145268</v>
      </c>
      <c r="M109" s="17">
        <f t="shared" si="74"/>
        <v>448004.66710512567</v>
      </c>
      <c r="N109" s="17">
        <f>IF('1 - Input'!$B$17=1,MAX(0,L109-D109),0)</f>
        <v>0</v>
      </c>
      <c r="O109" s="17">
        <f>IF('1 - Input'!$B$17=1,MAX(0,D109-L109),0)</f>
        <v>981.31860482547336</v>
      </c>
      <c r="P109" s="17">
        <f t="shared" si="75"/>
        <v>0</v>
      </c>
      <c r="Q109" s="17">
        <f>IF(AND(O109&gt;0,I109&gt;0),O109/(1-'1 - Input'!$B$22*P109),0)</f>
        <v>981.31860482547336</v>
      </c>
      <c r="R109" s="17">
        <f t="shared" si="76"/>
        <v>981.31860482547336</v>
      </c>
      <c r="S109" s="17">
        <f>'1 - Input'!$B$22*P109*R109</f>
        <v>0</v>
      </c>
      <c r="T109" s="17">
        <f t="shared" si="77"/>
        <v>981.31860482547336</v>
      </c>
      <c r="U109" s="17">
        <f t="shared" si="78"/>
        <v>0</v>
      </c>
      <c r="V109" s="17">
        <f t="shared" si="79"/>
        <v>248.07312373174494</v>
      </c>
      <c r="W109" s="17">
        <f t="shared" si="80"/>
        <v>356622.61240164627</v>
      </c>
      <c r="X109" s="17">
        <f t="shared" si="81"/>
        <v>446775.27537656849</v>
      </c>
      <c r="Y109" s="17">
        <f>IF(MOD(A109,12)=0,W109*'1 - Input'!$B$23,0)</f>
        <v>0</v>
      </c>
      <c r="Z109" s="17">
        <f t="shared" si="82"/>
        <v>356622.61240164627</v>
      </c>
      <c r="AA109" s="17">
        <f>IF(MOD(A109,12)=0,X109*(1-'1 - Input'!$B$23),X109)</f>
        <v>446775.27537656849</v>
      </c>
      <c r="AB109" s="17">
        <f>IF('1 - Input'!$B$17=1,MIN(L109,D109)+T109,L109)</f>
        <v>2981.0181686400001</v>
      </c>
      <c r="AC109" s="17">
        <f t="shared" ref="AC109:AC172" si="116">AC108+AB109</f>
        <v>186497.01019584015</v>
      </c>
      <c r="AD109" s="17">
        <f t="shared" ref="AD109:AD172" si="117">AD108+K109</f>
        <v>55031.692909159225</v>
      </c>
      <c r="AE109" s="17">
        <f t="shared" ref="AE109:AE172" si="118">AE108+S109</f>
        <v>0</v>
      </c>
      <c r="AF109" s="17">
        <f t="shared" ref="AF109:AF172" si="119">AF108+V109</f>
        <v>5124.0360966366397</v>
      </c>
      <c r="AG109" s="17">
        <f t="shared" ref="AG109:AG172" si="120">AG108+Y109</f>
        <v>4197.5607736737047</v>
      </c>
      <c r="AH109" s="17">
        <f t="shared" ref="AH109:AH172" si="121">AH108+U109</f>
        <v>0</v>
      </c>
      <c r="AI109" s="15">
        <f t="shared" si="83"/>
        <v>0</v>
      </c>
      <c r="AK109" s="14">
        <v>66</v>
      </c>
      <c r="AL109" s="15">
        <f t="shared" si="84"/>
        <v>6</v>
      </c>
      <c r="AM109" s="16">
        <f>(1+INDEX('1 - Input'!$B$34:$E$63,AL109,'1 - Input'!$B$16))^(1/12)-1</f>
        <v>4.1219243192651689E-3</v>
      </c>
      <c r="AN109" s="17">
        <f>'1 - Input'!$B$7*(1+'1 - Input'!$B$12)^(AL109-1)</f>
        <v>2981.0181686400001</v>
      </c>
      <c r="AO109" s="17">
        <f t="shared" ref="AO109:AO172" si="122">BJ108</f>
        <v>358827.16927886556</v>
      </c>
      <c r="AP109" s="17">
        <f t="shared" ref="AP109:AP172" si="123">BK108</f>
        <v>448004.66710512567</v>
      </c>
      <c r="AQ109" s="17">
        <f t="shared" si="85"/>
        <v>360306.2277143292</v>
      </c>
      <c r="AR109" s="17">
        <f>IF(AQ109&gt;0,'1 - Input'!$B$8/12*AQ109,0)</f>
        <v>2702.2967078574688</v>
      </c>
      <c r="AS109" s="17">
        <f t="shared" si="86"/>
        <v>357603.93100647174</v>
      </c>
      <c r="AT109" s="17">
        <f t="shared" si="87"/>
        <v>0</v>
      </c>
      <c r="AU109" s="17">
        <f>'1 - Input'!$B$22*(AR109-AT109)</f>
        <v>702.59714404294198</v>
      </c>
      <c r="AV109" s="17">
        <f t="shared" si="88"/>
        <v>1999.6995638145268</v>
      </c>
      <c r="AW109" s="17">
        <f t="shared" si="89"/>
        <v>448004.66710512567</v>
      </c>
      <c r="AX109" s="17">
        <f>IF('1 - Input'!$B$17=1,MAX(0,AV109-AN109),0)</f>
        <v>0</v>
      </c>
      <c r="AY109" s="17">
        <f>IF('1 - Input'!$B$17=1,MAX(0,AN109-AV109),0)</f>
        <v>981.31860482547336</v>
      </c>
      <c r="AZ109" s="17">
        <f t="shared" si="90"/>
        <v>0</v>
      </c>
      <c r="BA109" s="17">
        <f>IF(AND(AY109&gt;0,AS109&gt;0),AY109/(1-'1 - Input'!$B$22*AZ109),0)</f>
        <v>981.31860482547336</v>
      </c>
      <c r="BB109" s="17">
        <f t="shared" si="91"/>
        <v>981.31860482547336</v>
      </c>
      <c r="BC109" s="17">
        <f>'1 - Input'!$B$22*AZ109*BB109</f>
        <v>0</v>
      </c>
      <c r="BD109" s="17">
        <f t="shared" si="92"/>
        <v>981.31860482547336</v>
      </c>
      <c r="BE109" s="17">
        <f t="shared" si="93"/>
        <v>0</v>
      </c>
      <c r="BF109" s="17">
        <f t="shared" si="94"/>
        <v>248.07312373174494</v>
      </c>
      <c r="BG109" s="17">
        <f t="shared" si="95"/>
        <v>356622.61240164627</v>
      </c>
      <c r="BH109" s="17">
        <f t="shared" si="96"/>
        <v>446775.27537656849</v>
      </c>
      <c r="BI109" s="17">
        <f>IF(MOD(AK109,12)=0,BG109*'1 - Input'!$B$23,0)</f>
        <v>0</v>
      </c>
      <c r="BJ109" s="17">
        <f t="shared" si="97"/>
        <v>356622.61240164627</v>
      </c>
      <c r="BK109" s="17">
        <f>IF(MOD(AK109,12)=0,BH109*(1-'1 - Input'!$B$23),BH109)</f>
        <v>446775.27537656849</v>
      </c>
      <c r="BL109" s="17">
        <f>IF('1 - Input'!$B$17=1,MIN(AV109,AN109)+BD109,AV109)</f>
        <v>2981.0181686400001</v>
      </c>
      <c r="BM109" s="17">
        <f t="shared" ref="BM109:BM172" si="124">BM108+BL109</f>
        <v>186497.01019584015</v>
      </c>
      <c r="BN109" s="17">
        <f t="shared" ref="BN109:BN172" si="125">BN108+AU109</f>
        <v>55031.692909159225</v>
      </c>
      <c r="BO109" s="17">
        <f t="shared" ref="BO109:BO172" si="126">BO108+BC109</f>
        <v>0</v>
      </c>
      <c r="BP109" s="17">
        <f t="shared" ref="BP109:BP172" si="127">BP108+BF109</f>
        <v>5124.0360966366397</v>
      </c>
      <c r="BQ109" s="17">
        <f t="shared" ref="BQ109:BQ172" si="128">BQ108+BI109</f>
        <v>4197.5607736737047</v>
      </c>
      <c r="BR109" s="17">
        <f t="shared" ref="BR109:BR172" si="129">BR108+BE109</f>
        <v>0</v>
      </c>
      <c r="BS109" s="15">
        <f t="shared" si="98"/>
        <v>0</v>
      </c>
      <c r="BU109" s="14">
        <v>66</v>
      </c>
      <c r="BV109" s="15">
        <f t="shared" si="99"/>
        <v>6</v>
      </c>
      <c r="BW109" s="16">
        <f>(1+INDEX('1 - Input'!$B$34:$E$63,BV109,'1 - Input'!$B$16))^(1/12)-1</f>
        <v>4.1219243192651689E-3</v>
      </c>
      <c r="BX109" s="17">
        <f>'1 - Input'!$B$7*(1+'1 - Input'!$B$12)^(BV109-1)</f>
        <v>2981.0181686400001</v>
      </c>
      <c r="BY109" s="17">
        <f t="shared" ref="BY109:BY172" si="130">CT108</f>
        <v>421020.13669052755</v>
      </c>
      <c r="BZ109" s="17">
        <f t="shared" ref="BZ109:BZ172" si="131">CU108</f>
        <v>299134.11373648356</v>
      </c>
      <c r="CA109" s="17">
        <f t="shared" si="100"/>
        <v>422755.5498308526</v>
      </c>
      <c r="CB109" s="17">
        <f>IF(CA109&gt;0,'1 - Input'!$B$8/12*CA109,0)</f>
        <v>3170.6666237313943</v>
      </c>
      <c r="CC109" s="17">
        <f t="shared" si="101"/>
        <v>419584.88320712122</v>
      </c>
      <c r="CD109" s="17">
        <f t="shared" si="102"/>
        <v>3170.6666237313943</v>
      </c>
      <c r="CE109" s="17">
        <f>'1 - Input'!$B$22*(CB109-CD109)</f>
        <v>0</v>
      </c>
      <c r="CF109" s="17">
        <f t="shared" si="103"/>
        <v>3170.6666237313943</v>
      </c>
      <c r="CG109" s="17">
        <f t="shared" si="104"/>
        <v>295963.44711275218</v>
      </c>
      <c r="CH109" s="17">
        <f>IF('1 - Input'!$B$17=1,MAX(0,CF109-BX109),0)</f>
        <v>189.64845509139423</v>
      </c>
      <c r="CI109" s="17">
        <f>IF('1 - Input'!$B$17=1,MAX(0,BX109-CF109),0)</f>
        <v>0</v>
      </c>
      <c r="CJ109" s="17">
        <f t="shared" si="105"/>
        <v>0.29462795501463612</v>
      </c>
      <c r="CK109" s="17">
        <f>IF(AND(CI109&gt;0,CC109&gt;0),CI109/(1-'1 - Input'!$B$22*CJ109),0)</f>
        <v>0</v>
      </c>
      <c r="CL109" s="17">
        <f t="shared" si="106"/>
        <v>0</v>
      </c>
      <c r="CM109" s="17">
        <f>'1 - Input'!$B$22*CJ109*CL109</f>
        <v>0</v>
      </c>
      <c r="CN109" s="17">
        <f t="shared" si="107"/>
        <v>0</v>
      </c>
      <c r="CO109" s="17">
        <f t="shared" si="108"/>
        <v>0</v>
      </c>
      <c r="CP109" s="17">
        <f t="shared" si="109"/>
        <v>0</v>
      </c>
      <c r="CQ109" s="17">
        <f t="shared" si="110"/>
        <v>419774.53166221263</v>
      </c>
      <c r="CR109" s="17">
        <f t="shared" si="111"/>
        <v>296153.09556784359</v>
      </c>
      <c r="CS109" s="17">
        <f>IF(MOD(BU109,12)=0,CQ109*'1 - Input'!$B$23,0)</f>
        <v>0</v>
      </c>
      <c r="CT109" s="17">
        <f t="shared" si="112"/>
        <v>419774.53166221263</v>
      </c>
      <c r="CU109" s="17">
        <f>IF(MOD(BU109,12)=0,CR109*(1-'1 - Input'!$B$23),CR109)</f>
        <v>296153.09556784359</v>
      </c>
      <c r="CV109" s="17">
        <f>IF('1 - Input'!$B$17=1,MIN(CF109,BX109)+CN109,CF109)</f>
        <v>2981.0181686400001</v>
      </c>
      <c r="CW109" s="17">
        <f t="shared" ref="CW109:CW172" si="132">CW108+CV109</f>
        <v>186497.01019584015</v>
      </c>
      <c r="CX109" s="17">
        <f t="shared" ref="CX109:CX172" si="133">CX108+CE109</f>
        <v>0</v>
      </c>
      <c r="CY109" s="17">
        <f t="shared" ref="CY109:CY172" si="134">CY108+CM109</f>
        <v>0</v>
      </c>
      <c r="CZ109" s="17">
        <f t="shared" ref="CZ109:CZ172" si="135">CZ108+CP109</f>
        <v>0</v>
      </c>
      <c r="DA109" s="17">
        <f t="shared" ref="DA109:DA172" si="136">DA108+CS109</f>
        <v>4542.6401775618569</v>
      </c>
      <c r="DB109" s="17">
        <f t="shared" ref="DB109:DB172" si="137">DB108+CO109</f>
        <v>0</v>
      </c>
      <c r="DC109" s="15">
        <f t="shared" si="113"/>
        <v>0</v>
      </c>
    </row>
    <row r="110" spans="1:107">
      <c r="A110" s="14">
        <v>67</v>
      </c>
      <c r="B110" s="15">
        <f t="shared" si="69"/>
        <v>6</v>
      </c>
      <c r="C110" s="16">
        <f>(1+INDEX('1 - Input'!$B$34:$E$63,B110,'1 - Input'!$B$16))^(1/12)-1</f>
        <v>4.1219243192651689E-3</v>
      </c>
      <c r="D110" s="17">
        <f>'1 - Input'!$B$7*(1+'1 - Input'!$B$12)^(B110-1)</f>
        <v>2981.0181686400001</v>
      </c>
      <c r="E110" s="17">
        <f t="shared" si="114"/>
        <v>356622.61240164627</v>
      </c>
      <c r="F110" s="17">
        <f t="shared" si="115"/>
        <v>446775.27537656849</v>
      </c>
      <c r="G110" s="17">
        <f t="shared" si="70"/>
        <v>358092.58382050449</v>
      </c>
      <c r="H110" s="17">
        <f>IF(G110&gt;0,'1 - Input'!$B$8/12*G110,0)</f>
        <v>2685.6943786537836</v>
      </c>
      <c r="I110" s="17">
        <f t="shared" si="71"/>
        <v>355406.88944185071</v>
      </c>
      <c r="J110" s="17">
        <f t="shared" si="72"/>
        <v>0</v>
      </c>
      <c r="K110" s="17">
        <f>'1 - Input'!$B$22*(H110-J110)</f>
        <v>698.28053844998374</v>
      </c>
      <c r="L110" s="17">
        <f t="shared" si="73"/>
        <v>1987.4138402037997</v>
      </c>
      <c r="M110" s="17">
        <f t="shared" si="74"/>
        <v>446775.27537656849</v>
      </c>
      <c r="N110" s="17">
        <f>IF('1 - Input'!$B$17=1,MAX(0,L110-D110),0)</f>
        <v>0</v>
      </c>
      <c r="O110" s="17">
        <f>IF('1 - Input'!$B$17=1,MAX(0,D110-L110),0)</f>
        <v>993.60432843620038</v>
      </c>
      <c r="P110" s="17">
        <f t="shared" si="75"/>
        <v>0</v>
      </c>
      <c r="Q110" s="17">
        <f>IF(AND(O110&gt;0,I110&gt;0),O110/(1-'1 - Input'!$B$22*P110),0)</f>
        <v>993.60432843620038</v>
      </c>
      <c r="R110" s="17">
        <f t="shared" si="76"/>
        <v>993.60432843620038</v>
      </c>
      <c r="S110" s="17">
        <f>'1 - Input'!$B$22*P110*R110</f>
        <v>0</v>
      </c>
      <c r="T110" s="17">
        <f t="shared" si="77"/>
        <v>993.60432843620038</v>
      </c>
      <c r="U110" s="17">
        <f t="shared" si="78"/>
        <v>0</v>
      </c>
      <c r="V110" s="17">
        <f t="shared" si="79"/>
        <v>255.43687093274056</v>
      </c>
      <c r="W110" s="17">
        <f t="shared" si="80"/>
        <v>354413.28511341452</v>
      </c>
      <c r="X110" s="17">
        <f t="shared" si="81"/>
        <v>445526.23417719954</v>
      </c>
      <c r="Y110" s="17">
        <f>IF(MOD(A110,12)=0,W110*'1 - Input'!$B$23,0)</f>
        <v>0</v>
      </c>
      <c r="Z110" s="17">
        <f t="shared" si="82"/>
        <v>354413.28511341452</v>
      </c>
      <c r="AA110" s="17">
        <f>IF(MOD(A110,12)=0,X110*(1-'1 - Input'!$B$23),X110)</f>
        <v>445526.23417719954</v>
      </c>
      <c r="AB110" s="17">
        <f>IF('1 - Input'!$B$17=1,MIN(L110,D110)+T110,L110)</f>
        <v>2981.0181686400001</v>
      </c>
      <c r="AC110" s="17">
        <f t="shared" si="116"/>
        <v>189478.02836448015</v>
      </c>
      <c r="AD110" s="17">
        <f t="shared" si="117"/>
        <v>55729.973447609205</v>
      </c>
      <c r="AE110" s="17">
        <f t="shared" si="118"/>
        <v>0</v>
      </c>
      <c r="AF110" s="17">
        <f t="shared" si="119"/>
        <v>5379.4729675693807</v>
      </c>
      <c r="AG110" s="17">
        <f t="shared" si="120"/>
        <v>4197.5607736737047</v>
      </c>
      <c r="AH110" s="17">
        <f t="shared" si="121"/>
        <v>0</v>
      </c>
      <c r="AI110" s="15">
        <f t="shared" si="83"/>
        <v>0</v>
      </c>
      <c r="AK110" s="14">
        <v>67</v>
      </c>
      <c r="AL110" s="15">
        <f t="shared" si="84"/>
        <v>6</v>
      </c>
      <c r="AM110" s="16">
        <f>(1+INDEX('1 - Input'!$B$34:$E$63,AL110,'1 - Input'!$B$16))^(1/12)-1</f>
        <v>4.1219243192651689E-3</v>
      </c>
      <c r="AN110" s="17">
        <f>'1 - Input'!$B$7*(1+'1 - Input'!$B$12)^(AL110-1)</f>
        <v>2981.0181686400001</v>
      </c>
      <c r="AO110" s="17">
        <f t="shared" si="122"/>
        <v>356622.61240164627</v>
      </c>
      <c r="AP110" s="17">
        <f t="shared" si="123"/>
        <v>446775.27537656849</v>
      </c>
      <c r="AQ110" s="17">
        <f t="shared" si="85"/>
        <v>358092.58382050449</v>
      </c>
      <c r="AR110" s="17">
        <f>IF(AQ110&gt;0,'1 - Input'!$B$8/12*AQ110,0)</f>
        <v>2685.6943786537836</v>
      </c>
      <c r="AS110" s="17">
        <f t="shared" si="86"/>
        <v>355406.88944185071</v>
      </c>
      <c r="AT110" s="17">
        <f t="shared" si="87"/>
        <v>0</v>
      </c>
      <c r="AU110" s="17">
        <f>'1 - Input'!$B$22*(AR110-AT110)</f>
        <v>698.28053844998374</v>
      </c>
      <c r="AV110" s="17">
        <f t="shared" si="88"/>
        <v>1987.4138402037997</v>
      </c>
      <c r="AW110" s="17">
        <f t="shared" si="89"/>
        <v>446775.27537656849</v>
      </c>
      <c r="AX110" s="17">
        <f>IF('1 - Input'!$B$17=1,MAX(0,AV110-AN110),0)</f>
        <v>0</v>
      </c>
      <c r="AY110" s="17">
        <f>IF('1 - Input'!$B$17=1,MAX(0,AN110-AV110),0)</f>
        <v>993.60432843620038</v>
      </c>
      <c r="AZ110" s="17">
        <f t="shared" si="90"/>
        <v>0</v>
      </c>
      <c r="BA110" s="17">
        <f>IF(AND(AY110&gt;0,AS110&gt;0),AY110/(1-'1 - Input'!$B$22*AZ110),0)</f>
        <v>993.60432843620038</v>
      </c>
      <c r="BB110" s="17">
        <f t="shared" si="91"/>
        <v>993.60432843620038</v>
      </c>
      <c r="BC110" s="17">
        <f>'1 - Input'!$B$22*AZ110*BB110</f>
        <v>0</v>
      </c>
      <c r="BD110" s="17">
        <f t="shared" si="92"/>
        <v>993.60432843620038</v>
      </c>
      <c r="BE110" s="17">
        <f t="shared" si="93"/>
        <v>0</v>
      </c>
      <c r="BF110" s="17">
        <f t="shared" si="94"/>
        <v>255.43687093274056</v>
      </c>
      <c r="BG110" s="17">
        <f t="shared" si="95"/>
        <v>354413.28511341452</v>
      </c>
      <c r="BH110" s="17">
        <f t="shared" si="96"/>
        <v>445526.23417719954</v>
      </c>
      <c r="BI110" s="17">
        <f>IF(MOD(AK110,12)=0,BG110*'1 - Input'!$B$23,0)</f>
        <v>0</v>
      </c>
      <c r="BJ110" s="17">
        <f t="shared" si="97"/>
        <v>354413.28511341452</v>
      </c>
      <c r="BK110" s="17">
        <f>IF(MOD(AK110,12)=0,BH110*(1-'1 - Input'!$B$23),BH110)</f>
        <v>445526.23417719954</v>
      </c>
      <c r="BL110" s="17">
        <f>IF('1 - Input'!$B$17=1,MIN(AV110,AN110)+BD110,AV110)</f>
        <v>2981.0181686400001</v>
      </c>
      <c r="BM110" s="17">
        <f t="shared" si="124"/>
        <v>189478.02836448015</v>
      </c>
      <c r="BN110" s="17">
        <f t="shared" si="125"/>
        <v>55729.973447609205</v>
      </c>
      <c r="BO110" s="17">
        <f t="shared" si="126"/>
        <v>0</v>
      </c>
      <c r="BP110" s="17">
        <f t="shared" si="127"/>
        <v>5379.4729675693807</v>
      </c>
      <c r="BQ110" s="17">
        <f t="shared" si="128"/>
        <v>4197.5607736737047</v>
      </c>
      <c r="BR110" s="17">
        <f t="shared" si="129"/>
        <v>0</v>
      </c>
      <c r="BS110" s="15">
        <f t="shared" si="98"/>
        <v>0</v>
      </c>
      <c r="BU110" s="14">
        <v>67</v>
      </c>
      <c r="BV110" s="15">
        <f t="shared" si="99"/>
        <v>6</v>
      </c>
      <c r="BW110" s="16">
        <f>(1+INDEX('1 - Input'!$B$34:$E$63,BV110,'1 - Input'!$B$16))^(1/12)-1</f>
        <v>4.1219243192651689E-3</v>
      </c>
      <c r="BX110" s="17">
        <f>'1 - Input'!$B$7*(1+'1 - Input'!$B$12)^(BV110-1)</f>
        <v>2981.0181686400001</v>
      </c>
      <c r="BY110" s="17">
        <f t="shared" si="130"/>
        <v>419774.53166221263</v>
      </c>
      <c r="BZ110" s="17">
        <f t="shared" si="131"/>
        <v>296153.09556784359</v>
      </c>
      <c r="CA110" s="17">
        <f t="shared" si="100"/>
        <v>421504.81051287922</v>
      </c>
      <c r="CB110" s="17">
        <f>IF(CA110&gt;0,'1 - Input'!$B$8/12*CA110,0)</f>
        <v>3161.2860788465941</v>
      </c>
      <c r="CC110" s="17">
        <f t="shared" si="101"/>
        <v>418343.52443403262</v>
      </c>
      <c r="CD110" s="17">
        <f t="shared" si="102"/>
        <v>3161.2860788465941</v>
      </c>
      <c r="CE110" s="17">
        <f>'1 - Input'!$B$22*(CB110-CD110)</f>
        <v>0</v>
      </c>
      <c r="CF110" s="17">
        <f t="shared" si="103"/>
        <v>3161.2860788465941</v>
      </c>
      <c r="CG110" s="17">
        <f t="shared" si="104"/>
        <v>292991.80948899698</v>
      </c>
      <c r="CH110" s="17">
        <f>IF('1 - Input'!$B$17=1,MAX(0,CF110-BX110),0)</f>
        <v>180.26791020659402</v>
      </c>
      <c r="CI110" s="17">
        <f>IF('1 - Input'!$B$17=1,MAX(0,BX110-CF110),0)</f>
        <v>0</v>
      </c>
      <c r="CJ110" s="17">
        <f t="shared" si="105"/>
        <v>0.29963823418713387</v>
      </c>
      <c r="CK110" s="17">
        <f>IF(AND(CI110&gt;0,CC110&gt;0),CI110/(1-'1 - Input'!$B$22*CJ110),0)</f>
        <v>0</v>
      </c>
      <c r="CL110" s="17">
        <f t="shared" si="106"/>
        <v>0</v>
      </c>
      <c r="CM110" s="17">
        <f>'1 - Input'!$B$22*CJ110*CL110</f>
        <v>0</v>
      </c>
      <c r="CN110" s="17">
        <f t="shared" si="107"/>
        <v>0</v>
      </c>
      <c r="CO110" s="17">
        <f t="shared" si="108"/>
        <v>0</v>
      </c>
      <c r="CP110" s="17">
        <f t="shared" si="109"/>
        <v>0</v>
      </c>
      <c r="CQ110" s="17">
        <f t="shared" si="110"/>
        <v>418523.79234423919</v>
      </c>
      <c r="CR110" s="17">
        <f t="shared" si="111"/>
        <v>293172.07739920355</v>
      </c>
      <c r="CS110" s="17">
        <f>IF(MOD(BU110,12)=0,CQ110*'1 - Input'!$B$23,0)</f>
        <v>0</v>
      </c>
      <c r="CT110" s="17">
        <f t="shared" si="112"/>
        <v>418523.79234423919</v>
      </c>
      <c r="CU110" s="17">
        <f>IF(MOD(BU110,12)=0,CR110*(1-'1 - Input'!$B$23),CR110)</f>
        <v>293172.07739920355</v>
      </c>
      <c r="CV110" s="17">
        <f>IF('1 - Input'!$B$17=1,MIN(CF110,BX110)+CN110,CF110)</f>
        <v>2981.0181686400001</v>
      </c>
      <c r="CW110" s="17">
        <f t="shared" si="132"/>
        <v>189478.02836448015</v>
      </c>
      <c r="CX110" s="17">
        <f t="shared" si="133"/>
        <v>0</v>
      </c>
      <c r="CY110" s="17">
        <f t="shared" si="134"/>
        <v>0</v>
      </c>
      <c r="CZ110" s="17">
        <f t="shared" si="135"/>
        <v>0</v>
      </c>
      <c r="DA110" s="17">
        <f t="shared" si="136"/>
        <v>4542.6401775618569</v>
      </c>
      <c r="DB110" s="17">
        <f t="shared" si="137"/>
        <v>0</v>
      </c>
      <c r="DC110" s="15">
        <f t="shared" si="113"/>
        <v>0</v>
      </c>
    </row>
    <row r="111" spans="1:107">
      <c r="A111" s="14">
        <v>68</v>
      </c>
      <c r="B111" s="15">
        <f t="shared" si="69"/>
        <v>6</v>
      </c>
      <c r="C111" s="16">
        <f>(1+INDEX('1 - Input'!$B$34:$E$63,B111,'1 - Input'!$B$16))^(1/12)-1</f>
        <v>4.1219243192651689E-3</v>
      </c>
      <c r="D111" s="17">
        <f>'1 - Input'!$B$7*(1+'1 - Input'!$B$12)^(B111-1)</f>
        <v>2981.0181686400001</v>
      </c>
      <c r="E111" s="17">
        <f t="shared" si="114"/>
        <v>354413.28511341452</v>
      </c>
      <c r="F111" s="17">
        <f t="shared" si="115"/>
        <v>445526.23417719954</v>
      </c>
      <c r="G111" s="17">
        <f t="shared" si="70"/>
        <v>355874.14985239418</v>
      </c>
      <c r="H111" s="17">
        <f>IF(G111&gt;0,'1 - Input'!$B$8/12*G111,0)</f>
        <v>2669.0561238929563</v>
      </c>
      <c r="I111" s="17">
        <f t="shared" si="71"/>
        <v>353205.09372850123</v>
      </c>
      <c r="J111" s="17">
        <f t="shared" si="72"/>
        <v>0</v>
      </c>
      <c r="K111" s="17">
        <f>'1 - Input'!$B$22*(H111-J111)</f>
        <v>693.95459221216868</v>
      </c>
      <c r="L111" s="17">
        <f t="shared" si="73"/>
        <v>1975.1015316807875</v>
      </c>
      <c r="M111" s="17">
        <f t="shared" si="74"/>
        <v>445526.23417719954</v>
      </c>
      <c r="N111" s="17">
        <f>IF('1 - Input'!$B$17=1,MAX(0,L111-D111),0)</f>
        <v>0</v>
      </c>
      <c r="O111" s="17">
        <f>IF('1 - Input'!$B$17=1,MAX(0,D111-L111),0)</f>
        <v>1005.9166369592126</v>
      </c>
      <c r="P111" s="17">
        <f t="shared" si="75"/>
        <v>0</v>
      </c>
      <c r="Q111" s="17">
        <f>IF(AND(O111&gt;0,I111&gt;0),O111/(1-'1 - Input'!$B$22*P111),0)</f>
        <v>1005.9166369592126</v>
      </c>
      <c r="R111" s="17">
        <f t="shared" si="76"/>
        <v>1005.9166369592126</v>
      </c>
      <c r="S111" s="17">
        <f>'1 - Input'!$B$22*P111*R111</f>
        <v>0</v>
      </c>
      <c r="T111" s="17">
        <f t="shared" si="77"/>
        <v>1005.9166369592126</v>
      </c>
      <c r="U111" s="17">
        <f t="shared" si="78"/>
        <v>0</v>
      </c>
      <c r="V111" s="17">
        <f t="shared" si="79"/>
        <v>262.92760996187184</v>
      </c>
      <c r="W111" s="17">
        <f t="shared" si="80"/>
        <v>352199.17709154205</v>
      </c>
      <c r="X111" s="17">
        <f t="shared" si="81"/>
        <v>444257.38993027847</v>
      </c>
      <c r="Y111" s="17">
        <f>IF(MOD(A111,12)=0,W111*'1 - Input'!$B$23,0)</f>
        <v>0</v>
      </c>
      <c r="Z111" s="17">
        <f t="shared" si="82"/>
        <v>352199.17709154205</v>
      </c>
      <c r="AA111" s="17">
        <f>IF(MOD(A111,12)=0,X111*(1-'1 - Input'!$B$23),X111)</f>
        <v>444257.38993027847</v>
      </c>
      <c r="AB111" s="17">
        <f>IF('1 - Input'!$B$17=1,MIN(L111,D111)+T111,L111)</f>
        <v>2981.0181686400001</v>
      </c>
      <c r="AC111" s="17">
        <f t="shared" si="116"/>
        <v>192459.04653312016</v>
      </c>
      <c r="AD111" s="17">
        <f t="shared" si="117"/>
        <v>56423.928039821374</v>
      </c>
      <c r="AE111" s="17">
        <f t="shared" si="118"/>
        <v>0</v>
      </c>
      <c r="AF111" s="17">
        <f t="shared" si="119"/>
        <v>5642.4005775312526</v>
      </c>
      <c r="AG111" s="17">
        <f t="shared" si="120"/>
        <v>4197.5607736737047</v>
      </c>
      <c r="AH111" s="17">
        <f t="shared" si="121"/>
        <v>0</v>
      </c>
      <c r="AI111" s="15">
        <f t="shared" si="83"/>
        <v>0</v>
      </c>
      <c r="AK111" s="14">
        <v>68</v>
      </c>
      <c r="AL111" s="15">
        <f t="shared" si="84"/>
        <v>6</v>
      </c>
      <c r="AM111" s="16">
        <f>(1+INDEX('1 - Input'!$B$34:$E$63,AL111,'1 - Input'!$B$16))^(1/12)-1</f>
        <v>4.1219243192651689E-3</v>
      </c>
      <c r="AN111" s="17">
        <f>'1 - Input'!$B$7*(1+'1 - Input'!$B$12)^(AL111-1)</f>
        <v>2981.0181686400001</v>
      </c>
      <c r="AO111" s="17">
        <f t="shared" si="122"/>
        <v>354413.28511341452</v>
      </c>
      <c r="AP111" s="17">
        <f t="shared" si="123"/>
        <v>445526.23417719954</v>
      </c>
      <c r="AQ111" s="17">
        <f t="shared" si="85"/>
        <v>355874.14985239418</v>
      </c>
      <c r="AR111" s="17">
        <f>IF(AQ111&gt;0,'1 - Input'!$B$8/12*AQ111,0)</f>
        <v>2669.0561238929563</v>
      </c>
      <c r="AS111" s="17">
        <f t="shared" si="86"/>
        <v>353205.09372850123</v>
      </c>
      <c r="AT111" s="17">
        <f t="shared" si="87"/>
        <v>0</v>
      </c>
      <c r="AU111" s="17">
        <f>'1 - Input'!$B$22*(AR111-AT111)</f>
        <v>693.95459221216868</v>
      </c>
      <c r="AV111" s="17">
        <f t="shared" si="88"/>
        <v>1975.1015316807875</v>
      </c>
      <c r="AW111" s="17">
        <f t="shared" si="89"/>
        <v>445526.23417719954</v>
      </c>
      <c r="AX111" s="17">
        <f>IF('1 - Input'!$B$17=1,MAX(0,AV111-AN111),0)</f>
        <v>0</v>
      </c>
      <c r="AY111" s="17">
        <f>IF('1 - Input'!$B$17=1,MAX(0,AN111-AV111),0)</f>
        <v>1005.9166369592126</v>
      </c>
      <c r="AZ111" s="17">
        <f t="shared" si="90"/>
        <v>0</v>
      </c>
      <c r="BA111" s="17">
        <f>IF(AND(AY111&gt;0,AS111&gt;0),AY111/(1-'1 - Input'!$B$22*AZ111),0)</f>
        <v>1005.9166369592126</v>
      </c>
      <c r="BB111" s="17">
        <f t="shared" si="91"/>
        <v>1005.9166369592126</v>
      </c>
      <c r="BC111" s="17">
        <f>'1 - Input'!$B$22*AZ111*BB111</f>
        <v>0</v>
      </c>
      <c r="BD111" s="17">
        <f t="shared" si="92"/>
        <v>1005.9166369592126</v>
      </c>
      <c r="BE111" s="17">
        <f t="shared" si="93"/>
        <v>0</v>
      </c>
      <c r="BF111" s="17">
        <f t="shared" si="94"/>
        <v>262.92760996187184</v>
      </c>
      <c r="BG111" s="17">
        <f t="shared" si="95"/>
        <v>352199.17709154205</v>
      </c>
      <c r="BH111" s="17">
        <f t="shared" si="96"/>
        <v>444257.38993027847</v>
      </c>
      <c r="BI111" s="17">
        <f>IF(MOD(AK111,12)=0,BG111*'1 - Input'!$B$23,0)</f>
        <v>0</v>
      </c>
      <c r="BJ111" s="17">
        <f t="shared" si="97"/>
        <v>352199.17709154205</v>
      </c>
      <c r="BK111" s="17">
        <f>IF(MOD(AK111,12)=0,BH111*(1-'1 - Input'!$B$23),BH111)</f>
        <v>444257.38993027847</v>
      </c>
      <c r="BL111" s="17">
        <f>IF('1 - Input'!$B$17=1,MIN(AV111,AN111)+BD111,AV111)</f>
        <v>2981.0181686400001</v>
      </c>
      <c r="BM111" s="17">
        <f t="shared" si="124"/>
        <v>192459.04653312016</v>
      </c>
      <c r="BN111" s="17">
        <f t="shared" si="125"/>
        <v>56423.928039821374</v>
      </c>
      <c r="BO111" s="17">
        <f t="shared" si="126"/>
        <v>0</v>
      </c>
      <c r="BP111" s="17">
        <f t="shared" si="127"/>
        <v>5642.4005775312526</v>
      </c>
      <c r="BQ111" s="17">
        <f t="shared" si="128"/>
        <v>4197.5607736737047</v>
      </c>
      <c r="BR111" s="17">
        <f t="shared" si="129"/>
        <v>0</v>
      </c>
      <c r="BS111" s="15">
        <f t="shared" si="98"/>
        <v>0</v>
      </c>
      <c r="BU111" s="14">
        <v>68</v>
      </c>
      <c r="BV111" s="15">
        <f t="shared" si="99"/>
        <v>6</v>
      </c>
      <c r="BW111" s="16">
        <f>(1+INDEX('1 - Input'!$B$34:$E$63,BV111,'1 - Input'!$B$16))^(1/12)-1</f>
        <v>4.1219243192651689E-3</v>
      </c>
      <c r="BX111" s="17">
        <f>'1 - Input'!$B$7*(1+'1 - Input'!$B$12)^(BV111-1)</f>
        <v>2981.0181686400001</v>
      </c>
      <c r="BY111" s="17">
        <f t="shared" si="130"/>
        <v>418523.79234423919</v>
      </c>
      <c r="BZ111" s="17">
        <f t="shared" si="131"/>
        <v>293172.07739920355</v>
      </c>
      <c r="CA111" s="17">
        <f t="shared" si="100"/>
        <v>420248.91574209399</v>
      </c>
      <c r="CB111" s="17">
        <f>IF(CA111&gt;0,'1 - Input'!$B$8/12*CA111,0)</f>
        <v>3151.8668680657047</v>
      </c>
      <c r="CC111" s="17">
        <f t="shared" si="101"/>
        <v>417097.04887402826</v>
      </c>
      <c r="CD111" s="17">
        <f t="shared" si="102"/>
        <v>3151.8668680657047</v>
      </c>
      <c r="CE111" s="17">
        <f>'1 - Input'!$B$22*(CB111-CD111)</f>
        <v>0</v>
      </c>
      <c r="CF111" s="17">
        <f t="shared" si="103"/>
        <v>3151.8668680657047</v>
      </c>
      <c r="CG111" s="17">
        <f t="shared" si="104"/>
        <v>290020.21053113783</v>
      </c>
      <c r="CH111" s="17">
        <f>IF('1 - Input'!$B$17=1,MAX(0,CF111-BX111),0)</f>
        <v>170.84869942570458</v>
      </c>
      <c r="CI111" s="17">
        <f>IF('1 - Input'!$B$17=1,MAX(0,BX111-CF111),0)</f>
        <v>0</v>
      </c>
      <c r="CJ111" s="17">
        <f t="shared" si="105"/>
        <v>0.30466971340588456</v>
      </c>
      <c r="CK111" s="17">
        <f>IF(AND(CI111&gt;0,CC111&gt;0),CI111/(1-'1 - Input'!$B$22*CJ111),0)</f>
        <v>0</v>
      </c>
      <c r="CL111" s="17">
        <f t="shared" si="106"/>
        <v>0</v>
      </c>
      <c r="CM111" s="17">
        <f>'1 - Input'!$B$22*CJ111*CL111</f>
        <v>0</v>
      </c>
      <c r="CN111" s="17">
        <f t="shared" si="107"/>
        <v>0</v>
      </c>
      <c r="CO111" s="17">
        <f t="shared" si="108"/>
        <v>0</v>
      </c>
      <c r="CP111" s="17">
        <f t="shared" si="109"/>
        <v>0</v>
      </c>
      <c r="CQ111" s="17">
        <f t="shared" si="110"/>
        <v>417267.89757345396</v>
      </c>
      <c r="CR111" s="17">
        <f t="shared" si="111"/>
        <v>290191.05923056352</v>
      </c>
      <c r="CS111" s="17">
        <f>IF(MOD(BU111,12)=0,CQ111*'1 - Input'!$B$23,0)</f>
        <v>0</v>
      </c>
      <c r="CT111" s="17">
        <f t="shared" si="112"/>
        <v>417267.89757345396</v>
      </c>
      <c r="CU111" s="17">
        <f>IF(MOD(BU111,12)=0,CR111*(1-'1 - Input'!$B$23),CR111)</f>
        <v>290191.05923056352</v>
      </c>
      <c r="CV111" s="17">
        <f>IF('1 - Input'!$B$17=1,MIN(CF111,BX111)+CN111,CF111)</f>
        <v>2981.0181686400001</v>
      </c>
      <c r="CW111" s="17">
        <f t="shared" si="132"/>
        <v>192459.04653312016</v>
      </c>
      <c r="CX111" s="17">
        <f t="shared" si="133"/>
        <v>0</v>
      </c>
      <c r="CY111" s="17">
        <f t="shared" si="134"/>
        <v>0</v>
      </c>
      <c r="CZ111" s="17">
        <f t="shared" si="135"/>
        <v>0</v>
      </c>
      <c r="DA111" s="17">
        <f t="shared" si="136"/>
        <v>4542.6401775618569</v>
      </c>
      <c r="DB111" s="17">
        <f t="shared" si="137"/>
        <v>0</v>
      </c>
      <c r="DC111" s="15">
        <f t="shared" si="113"/>
        <v>0</v>
      </c>
    </row>
    <row r="112" spans="1:107">
      <c r="A112" s="14">
        <v>69</v>
      </c>
      <c r="B112" s="15">
        <f t="shared" si="69"/>
        <v>6</v>
      </c>
      <c r="C112" s="16">
        <f>(1+INDEX('1 - Input'!$B$34:$E$63,B112,'1 - Input'!$B$16))^(1/12)-1</f>
        <v>4.1219243192651689E-3</v>
      </c>
      <c r="D112" s="17">
        <f>'1 - Input'!$B$7*(1+'1 - Input'!$B$12)^(B112-1)</f>
        <v>2981.0181686400001</v>
      </c>
      <c r="E112" s="17">
        <f t="shared" si="114"/>
        <v>352199.17709154205</v>
      </c>
      <c r="F112" s="17">
        <f t="shared" si="115"/>
        <v>444257.38993027847</v>
      </c>
      <c r="G112" s="17">
        <f t="shared" si="70"/>
        <v>353650.91544482083</v>
      </c>
      <c r="H112" s="17">
        <f>IF(G112&gt;0,'1 - Input'!$B$8/12*G112,0)</f>
        <v>2652.3818658361561</v>
      </c>
      <c r="I112" s="17">
        <f t="shared" si="71"/>
        <v>350998.53357898467</v>
      </c>
      <c r="J112" s="17">
        <f t="shared" si="72"/>
        <v>0</v>
      </c>
      <c r="K112" s="17">
        <f>'1 - Input'!$B$22*(H112-J112)</f>
        <v>689.61928511740064</v>
      </c>
      <c r="L112" s="17">
        <f t="shared" si="73"/>
        <v>1962.7625807187555</v>
      </c>
      <c r="M112" s="17">
        <f t="shared" si="74"/>
        <v>444257.38993027847</v>
      </c>
      <c r="N112" s="17">
        <f>IF('1 - Input'!$B$17=1,MAX(0,L112-D112),0)</f>
        <v>0</v>
      </c>
      <c r="O112" s="17">
        <f>IF('1 - Input'!$B$17=1,MAX(0,D112-L112),0)</f>
        <v>1018.2555879212446</v>
      </c>
      <c r="P112" s="17">
        <f t="shared" si="75"/>
        <v>0</v>
      </c>
      <c r="Q112" s="17">
        <f>IF(AND(O112&gt;0,I112&gt;0),O112/(1-'1 - Input'!$B$22*P112),0)</f>
        <v>1018.2555879212446</v>
      </c>
      <c r="R112" s="17">
        <f t="shared" si="76"/>
        <v>1018.2555879212446</v>
      </c>
      <c r="S112" s="17">
        <f>'1 - Input'!$B$22*P112*R112</f>
        <v>0</v>
      </c>
      <c r="T112" s="17">
        <f t="shared" si="77"/>
        <v>1018.2555879212446</v>
      </c>
      <c r="U112" s="17">
        <f t="shared" si="78"/>
        <v>0</v>
      </c>
      <c r="V112" s="17">
        <f t="shared" si="79"/>
        <v>270.54629156016279</v>
      </c>
      <c r="W112" s="17">
        <f t="shared" si="80"/>
        <v>349980.27799106343</v>
      </c>
      <c r="X112" s="17">
        <f t="shared" si="81"/>
        <v>442968.58805079706</v>
      </c>
      <c r="Y112" s="17">
        <f>IF(MOD(A112,12)=0,W112*'1 - Input'!$B$23,0)</f>
        <v>0</v>
      </c>
      <c r="Z112" s="17">
        <f t="shared" si="82"/>
        <v>349980.27799106343</v>
      </c>
      <c r="AA112" s="17">
        <f>IF(MOD(A112,12)=0,X112*(1-'1 - Input'!$B$23),X112)</f>
        <v>442968.58805079706</v>
      </c>
      <c r="AB112" s="17">
        <f>IF('1 - Input'!$B$17=1,MIN(L112,D112)+T112,L112)</f>
        <v>2981.0181686400001</v>
      </c>
      <c r="AC112" s="17">
        <f t="shared" si="116"/>
        <v>195440.06470176016</v>
      </c>
      <c r="AD112" s="17">
        <f t="shared" si="117"/>
        <v>57113.547324938772</v>
      </c>
      <c r="AE112" s="17">
        <f t="shared" si="118"/>
        <v>0</v>
      </c>
      <c r="AF112" s="17">
        <f t="shared" si="119"/>
        <v>5912.9468690914155</v>
      </c>
      <c r="AG112" s="17">
        <f t="shared" si="120"/>
        <v>4197.5607736737047</v>
      </c>
      <c r="AH112" s="17">
        <f t="shared" si="121"/>
        <v>0</v>
      </c>
      <c r="AI112" s="15">
        <f t="shared" si="83"/>
        <v>0</v>
      </c>
      <c r="AK112" s="14">
        <v>69</v>
      </c>
      <c r="AL112" s="15">
        <f t="shared" si="84"/>
        <v>6</v>
      </c>
      <c r="AM112" s="16">
        <f>(1+INDEX('1 - Input'!$B$34:$E$63,AL112,'1 - Input'!$B$16))^(1/12)-1</f>
        <v>4.1219243192651689E-3</v>
      </c>
      <c r="AN112" s="17">
        <f>'1 - Input'!$B$7*(1+'1 - Input'!$B$12)^(AL112-1)</f>
        <v>2981.0181686400001</v>
      </c>
      <c r="AO112" s="17">
        <f t="shared" si="122"/>
        <v>352199.17709154205</v>
      </c>
      <c r="AP112" s="17">
        <f t="shared" si="123"/>
        <v>444257.38993027847</v>
      </c>
      <c r="AQ112" s="17">
        <f t="shared" si="85"/>
        <v>353650.91544482083</v>
      </c>
      <c r="AR112" s="17">
        <f>IF(AQ112&gt;0,'1 - Input'!$B$8/12*AQ112,0)</f>
        <v>2652.3818658361561</v>
      </c>
      <c r="AS112" s="17">
        <f t="shared" si="86"/>
        <v>350998.53357898467</v>
      </c>
      <c r="AT112" s="17">
        <f t="shared" si="87"/>
        <v>0</v>
      </c>
      <c r="AU112" s="17">
        <f>'1 - Input'!$B$22*(AR112-AT112)</f>
        <v>689.61928511740064</v>
      </c>
      <c r="AV112" s="17">
        <f t="shared" si="88"/>
        <v>1962.7625807187555</v>
      </c>
      <c r="AW112" s="17">
        <f t="shared" si="89"/>
        <v>444257.38993027847</v>
      </c>
      <c r="AX112" s="17">
        <f>IF('1 - Input'!$B$17=1,MAX(0,AV112-AN112),0)</f>
        <v>0</v>
      </c>
      <c r="AY112" s="17">
        <f>IF('1 - Input'!$B$17=1,MAX(0,AN112-AV112),0)</f>
        <v>1018.2555879212446</v>
      </c>
      <c r="AZ112" s="17">
        <f t="shared" si="90"/>
        <v>0</v>
      </c>
      <c r="BA112" s="17">
        <f>IF(AND(AY112&gt;0,AS112&gt;0),AY112/(1-'1 - Input'!$B$22*AZ112),0)</f>
        <v>1018.2555879212446</v>
      </c>
      <c r="BB112" s="17">
        <f t="shared" si="91"/>
        <v>1018.2555879212446</v>
      </c>
      <c r="BC112" s="17">
        <f>'1 - Input'!$B$22*AZ112*BB112</f>
        <v>0</v>
      </c>
      <c r="BD112" s="17">
        <f t="shared" si="92"/>
        <v>1018.2555879212446</v>
      </c>
      <c r="BE112" s="17">
        <f t="shared" si="93"/>
        <v>0</v>
      </c>
      <c r="BF112" s="17">
        <f t="shared" si="94"/>
        <v>270.54629156016279</v>
      </c>
      <c r="BG112" s="17">
        <f t="shared" si="95"/>
        <v>349980.27799106343</v>
      </c>
      <c r="BH112" s="17">
        <f t="shared" si="96"/>
        <v>442968.58805079706</v>
      </c>
      <c r="BI112" s="17">
        <f>IF(MOD(AK112,12)=0,BG112*'1 - Input'!$B$23,0)</f>
        <v>0</v>
      </c>
      <c r="BJ112" s="17">
        <f t="shared" si="97"/>
        <v>349980.27799106343</v>
      </c>
      <c r="BK112" s="17">
        <f>IF(MOD(AK112,12)=0,BH112*(1-'1 - Input'!$B$23),BH112)</f>
        <v>442968.58805079706</v>
      </c>
      <c r="BL112" s="17">
        <f>IF('1 - Input'!$B$17=1,MIN(AV112,AN112)+BD112,AV112)</f>
        <v>2981.0181686400001</v>
      </c>
      <c r="BM112" s="17">
        <f t="shared" si="124"/>
        <v>195440.06470176016</v>
      </c>
      <c r="BN112" s="17">
        <f t="shared" si="125"/>
        <v>57113.547324938772</v>
      </c>
      <c r="BO112" s="17">
        <f t="shared" si="126"/>
        <v>0</v>
      </c>
      <c r="BP112" s="17">
        <f t="shared" si="127"/>
        <v>5912.9468690914155</v>
      </c>
      <c r="BQ112" s="17">
        <f t="shared" si="128"/>
        <v>4197.5607736737047</v>
      </c>
      <c r="BR112" s="17">
        <f t="shared" si="129"/>
        <v>0</v>
      </c>
      <c r="BS112" s="15">
        <f t="shared" si="98"/>
        <v>0</v>
      </c>
      <c r="BU112" s="14">
        <v>69</v>
      </c>
      <c r="BV112" s="15">
        <f t="shared" si="99"/>
        <v>6</v>
      </c>
      <c r="BW112" s="16">
        <f>(1+INDEX('1 - Input'!$B$34:$E$63,BV112,'1 - Input'!$B$16))^(1/12)-1</f>
        <v>4.1219243192651689E-3</v>
      </c>
      <c r="BX112" s="17">
        <f>'1 - Input'!$B$7*(1+'1 - Input'!$B$12)^(BV112-1)</f>
        <v>2981.0181686400001</v>
      </c>
      <c r="BY112" s="17">
        <f t="shared" si="130"/>
        <v>417267.89757345396</v>
      </c>
      <c r="BZ112" s="17">
        <f t="shared" si="131"/>
        <v>290191.05923056352</v>
      </c>
      <c r="CA112" s="17">
        <f t="shared" si="100"/>
        <v>418987.84426811064</v>
      </c>
      <c r="CB112" s="17">
        <f>IF(CA112&gt;0,'1 - Input'!$B$8/12*CA112,0)</f>
        <v>3142.4088320108299</v>
      </c>
      <c r="CC112" s="17">
        <f t="shared" si="101"/>
        <v>415845.43543609983</v>
      </c>
      <c r="CD112" s="17">
        <f t="shared" si="102"/>
        <v>3142.4088320108299</v>
      </c>
      <c r="CE112" s="17">
        <f>'1 - Input'!$B$22*(CB112-CD112)</f>
        <v>0</v>
      </c>
      <c r="CF112" s="17">
        <f t="shared" si="103"/>
        <v>3142.4088320108299</v>
      </c>
      <c r="CG112" s="17">
        <f t="shared" si="104"/>
        <v>287048.65039855271</v>
      </c>
      <c r="CH112" s="17">
        <f>IF('1 - Input'!$B$17=1,MAX(0,CF112-BX112),0)</f>
        <v>161.39066337082977</v>
      </c>
      <c r="CI112" s="17">
        <f>IF('1 - Input'!$B$17=1,MAX(0,BX112-CF112),0)</f>
        <v>0</v>
      </c>
      <c r="CJ112" s="17">
        <f t="shared" si="105"/>
        <v>0.30972273364616132</v>
      </c>
      <c r="CK112" s="17">
        <f>IF(AND(CI112&gt;0,CC112&gt;0),CI112/(1-'1 - Input'!$B$22*CJ112),0)</f>
        <v>0</v>
      </c>
      <c r="CL112" s="17">
        <f t="shared" si="106"/>
        <v>0</v>
      </c>
      <c r="CM112" s="17">
        <f>'1 - Input'!$B$22*CJ112*CL112</f>
        <v>0</v>
      </c>
      <c r="CN112" s="17">
        <f t="shared" si="107"/>
        <v>0</v>
      </c>
      <c r="CO112" s="17">
        <f t="shared" si="108"/>
        <v>0</v>
      </c>
      <c r="CP112" s="17">
        <f t="shared" si="109"/>
        <v>0</v>
      </c>
      <c r="CQ112" s="17">
        <f t="shared" si="110"/>
        <v>416006.82609947067</v>
      </c>
      <c r="CR112" s="17">
        <f t="shared" si="111"/>
        <v>287210.04106192355</v>
      </c>
      <c r="CS112" s="17">
        <f>IF(MOD(BU112,12)=0,CQ112*'1 - Input'!$B$23,0)</f>
        <v>0</v>
      </c>
      <c r="CT112" s="17">
        <f t="shared" si="112"/>
        <v>416006.82609947067</v>
      </c>
      <c r="CU112" s="17">
        <f>IF(MOD(BU112,12)=0,CR112*(1-'1 - Input'!$B$23),CR112)</f>
        <v>287210.04106192355</v>
      </c>
      <c r="CV112" s="17">
        <f>IF('1 - Input'!$B$17=1,MIN(CF112,BX112)+CN112,CF112)</f>
        <v>2981.0181686400001</v>
      </c>
      <c r="CW112" s="17">
        <f t="shared" si="132"/>
        <v>195440.06470176016</v>
      </c>
      <c r="CX112" s="17">
        <f t="shared" si="133"/>
        <v>0</v>
      </c>
      <c r="CY112" s="17">
        <f t="shared" si="134"/>
        <v>0</v>
      </c>
      <c r="CZ112" s="17">
        <f t="shared" si="135"/>
        <v>0</v>
      </c>
      <c r="DA112" s="17">
        <f t="shared" si="136"/>
        <v>4542.6401775618569</v>
      </c>
      <c r="DB112" s="17">
        <f t="shared" si="137"/>
        <v>0</v>
      </c>
      <c r="DC112" s="15">
        <f t="shared" si="113"/>
        <v>0</v>
      </c>
    </row>
    <row r="113" spans="1:107">
      <c r="A113" s="14">
        <v>70</v>
      </c>
      <c r="B113" s="15">
        <f t="shared" si="69"/>
        <v>6</v>
      </c>
      <c r="C113" s="16">
        <f>(1+INDEX('1 - Input'!$B$34:$E$63,B113,'1 - Input'!$B$16))^(1/12)-1</f>
        <v>4.1219243192651689E-3</v>
      </c>
      <c r="D113" s="17">
        <f>'1 - Input'!$B$7*(1+'1 - Input'!$B$12)^(B113-1)</f>
        <v>2981.0181686400001</v>
      </c>
      <c r="E113" s="17">
        <f t="shared" si="114"/>
        <v>349980.27799106343</v>
      </c>
      <c r="F113" s="17">
        <f t="shared" si="115"/>
        <v>442968.58805079706</v>
      </c>
      <c r="G113" s="17">
        <f t="shared" si="70"/>
        <v>351422.87021017796</v>
      </c>
      <c r="H113" s="17">
        <f>IF(G113&gt;0,'1 - Input'!$B$8/12*G113,0)</f>
        <v>2635.6715265763346</v>
      </c>
      <c r="I113" s="17">
        <f t="shared" si="71"/>
        <v>348787.19868360163</v>
      </c>
      <c r="J113" s="17">
        <f t="shared" si="72"/>
        <v>0</v>
      </c>
      <c r="K113" s="17">
        <f>'1 - Input'!$B$22*(H113-J113)</f>
        <v>685.27459690984699</v>
      </c>
      <c r="L113" s="17">
        <f t="shared" si="73"/>
        <v>1950.3969296664877</v>
      </c>
      <c r="M113" s="17">
        <f t="shared" si="74"/>
        <v>442968.58805079706</v>
      </c>
      <c r="N113" s="17">
        <f>IF('1 - Input'!$B$17=1,MAX(0,L113-D113),0)</f>
        <v>0</v>
      </c>
      <c r="O113" s="17">
        <f>IF('1 - Input'!$B$17=1,MAX(0,D113-L113),0)</f>
        <v>1030.6212389735124</v>
      </c>
      <c r="P113" s="17">
        <f t="shared" si="75"/>
        <v>0</v>
      </c>
      <c r="Q113" s="17">
        <f>IF(AND(O113&gt;0,I113&gt;0),O113/(1-'1 - Input'!$B$22*P113),0)</f>
        <v>1030.6212389735124</v>
      </c>
      <c r="R113" s="17">
        <f t="shared" si="76"/>
        <v>1030.6212389735124</v>
      </c>
      <c r="S113" s="17">
        <f>'1 - Input'!$B$22*P113*R113</f>
        <v>0</v>
      </c>
      <c r="T113" s="17">
        <f t="shared" si="77"/>
        <v>1030.6212389735124</v>
      </c>
      <c r="U113" s="17">
        <f t="shared" si="78"/>
        <v>0</v>
      </c>
      <c r="V113" s="17">
        <f t="shared" si="79"/>
        <v>278.29387249363316</v>
      </c>
      <c r="W113" s="17">
        <f t="shared" si="80"/>
        <v>347756.57744462811</v>
      </c>
      <c r="X113" s="17">
        <f t="shared" si="81"/>
        <v>441659.67293932993</v>
      </c>
      <c r="Y113" s="17">
        <f>IF(MOD(A113,12)=0,W113*'1 - Input'!$B$23,0)</f>
        <v>0</v>
      </c>
      <c r="Z113" s="17">
        <f t="shared" si="82"/>
        <v>347756.57744462811</v>
      </c>
      <c r="AA113" s="17">
        <f>IF(MOD(A113,12)=0,X113*(1-'1 - Input'!$B$23),X113)</f>
        <v>441659.67293932993</v>
      </c>
      <c r="AB113" s="17">
        <f>IF('1 - Input'!$B$17=1,MIN(L113,D113)+T113,L113)</f>
        <v>2981.0181686400001</v>
      </c>
      <c r="AC113" s="17">
        <f t="shared" si="116"/>
        <v>198421.08287040016</v>
      </c>
      <c r="AD113" s="17">
        <f t="shared" si="117"/>
        <v>57798.821921848619</v>
      </c>
      <c r="AE113" s="17">
        <f t="shared" si="118"/>
        <v>0</v>
      </c>
      <c r="AF113" s="17">
        <f t="shared" si="119"/>
        <v>6191.2407415850485</v>
      </c>
      <c r="AG113" s="17">
        <f t="shared" si="120"/>
        <v>4197.5607736737047</v>
      </c>
      <c r="AH113" s="17">
        <f t="shared" si="121"/>
        <v>0</v>
      </c>
      <c r="AI113" s="15">
        <f t="shared" si="83"/>
        <v>0</v>
      </c>
      <c r="AK113" s="14">
        <v>70</v>
      </c>
      <c r="AL113" s="15">
        <f t="shared" si="84"/>
        <v>6</v>
      </c>
      <c r="AM113" s="16">
        <f>(1+INDEX('1 - Input'!$B$34:$E$63,AL113,'1 - Input'!$B$16))^(1/12)-1</f>
        <v>4.1219243192651689E-3</v>
      </c>
      <c r="AN113" s="17">
        <f>'1 - Input'!$B$7*(1+'1 - Input'!$B$12)^(AL113-1)</f>
        <v>2981.0181686400001</v>
      </c>
      <c r="AO113" s="17">
        <f t="shared" si="122"/>
        <v>349980.27799106343</v>
      </c>
      <c r="AP113" s="17">
        <f t="shared" si="123"/>
        <v>442968.58805079706</v>
      </c>
      <c r="AQ113" s="17">
        <f t="shared" si="85"/>
        <v>351422.87021017796</v>
      </c>
      <c r="AR113" s="17">
        <f>IF(AQ113&gt;0,'1 - Input'!$B$8/12*AQ113,0)</f>
        <v>2635.6715265763346</v>
      </c>
      <c r="AS113" s="17">
        <f t="shared" si="86"/>
        <v>348787.19868360163</v>
      </c>
      <c r="AT113" s="17">
        <f t="shared" si="87"/>
        <v>0</v>
      </c>
      <c r="AU113" s="17">
        <f>'1 - Input'!$B$22*(AR113-AT113)</f>
        <v>685.27459690984699</v>
      </c>
      <c r="AV113" s="17">
        <f t="shared" si="88"/>
        <v>1950.3969296664877</v>
      </c>
      <c r="AW113" s="17">
        <f t="shared" si="89"/>
        <v>442968.58805079706</v>
      </c>
      <c r="AX113" s="17">
        <f>IF('1 - Input'!$B$17=1,MAX(0,AV113-AN113),0)</f>
        <v>0</v>
      </c>
      <c r="AY113" s="17">
        <f>IF('1 - Input'!$B$17=1,MAX(0,AN113-AV113),0)</f>
        <v>1030.6212389735124</v>
      </c>
      <c r="AZ113" s="17">
        <f t="shared" si="90"/>
        <v>0</v>
      </c>
      <c r="BA113" s="17">
        <f>IF(AND(AY113&gt;0,AS113&gt;0),AY113/(1-'1 - Input'!$B$22*AZ113),0)</f>
        <v>1030.6212389735124</v>
      </c>
      <c r="BB113" s="17">
        <f t="shared" si="91"/>
        <v>1030.6212389735124</v>
      </c>
      <c r="BC113" s="17">
        <f>'1 - Input'!$B$22*AZ113*BB113</f>
        <v>0</v>
      </c>
      <c r="BD113" s="17">
        <f t="shared" si="92"/>
        <v>1030.6212389735124</v>
      </c>
      <c r="BE113" s="17">
        <f t="shared" si="93"/>
        <v>0</v>
      </c>
      <c r="BF113" s="17">
        <f t="shared" si="94"/>
        <v>278.29387249363316</v>
      </c>
      <c r="BG113" s="17">
        <f t="shared" si="95"/>
        <v>347756.57744462811</v>
      </c>
      <c r="BH113" s="17">
        <f t="shared" si="96"/>
        <v>441659.67293932993</v>
      </c>
      <c r="BI113" s="17">
        <f>IF(MOD(AK113,12)=0,BG113*'1 - Input'!$B$23,0)</f>
        <v>0</v>
      </c>
      <c r="BJ113" s="17">
        <f t="shared" si="97"/>
        <v>347756.57744462811</v>
      </c>
      <c r="BK113" s="17">
        <f>IF(MOD(AK113,12)=0,BH113*(1-'1 - Input'!$B$23),BH113)</f>
        <v>441659.67293932993</v>
      </c>
      <c r="BL113" s="17">
        <f>IF('1 - Input'!$B$17=1,MIN(AV113,AN113)+BD113,AV113)</f>
        <v>2981.0181686400001</v>
      </c>
      <c r="BM113" s="17">
        <f t="shared" si="124"/>
        <v>198421.08287040016</v>
      </c>
      <c r="BN113" s="17">
        <f t="shared" si="125"/>
        <v>57798.821921848619</v>
      </c>
      <c r="BO113" s="17">
        <f t="shared" si="126"/>
        <v>0</v>
      </c>
      <c r="BP113" s="17">
        <f t="shared" si="127"/>
        <v>6191.2407415850485</v>
      </c>
      <c r="BQ113" s="17">
        <f t="shared" si="128"/>
        <v>4197.5607736737047</v>
      </c>
      <c r="BR113" s="17">
        <f t="shared" si="129"/>
        <v>0</v>
      </c>
      <c r="BS113" s="15">
        <f t="shared" si="98"/>
        <v>0</v>
      </c>
      <c r="BU113" s="14">
        <v>70</v>
      </c>
      <c r="BV113" s="15">
        <f t="shared" si="99"/>
        <v>6</v>
      </c>
      <c r="BW113" s="16">
        <f>(1+INDEX('1 - Input'!$B$34:$E$63,BV113,'1 - Input'!$B$16))^(1/12)-1</f>
        <v>4.1219243192651689E-3</v>
      </c>
      <c r="BX113" s="17">
        <f>'1 - Input'!$B$7*(1+'1 - Input'!$B$12)^(BV113-1)</f>
        <v>2981.0181686400001</v>
      </c>
      <c r="BY113" s="17">
        <f t="shared" si="130"/>
        <v>416006.82609947067</v>
      </c>
      <c r="BZ113" s="17">
        <f t="shared" si="131"/>
        <v>287210.04106192355</v>
      </c>
      <c r="CA113" s="17">
        <f t="shared" si="100"/>
        <v>417721.5747529504</v>
      </c>
      <c r="CB113" s="17">
        <f>IF(CA113&gt;0,'1 - Input'!$B$8/12*CA113,0)</f>
        <v>3132.9118106471278</v>
      </c>
      <c r="CC113" s="17">
        <f t="shared" si="101"/>
        <v>414588.66294230329</v>
      </c>
      <c r="CD113" s="17">
        <f t="shared" si="102"/>
        <v>3132.9118106471278</v>
      </c>
      <c r="CE113" s="17">
        <f>'1 - Input'!$B$22*(CB113-CD113)</f>
        <v>0</v>
      </c>
      <c r="CF113" s="17">
        <f t="shared" si="103"/>
        <v>3132.9118106471278</v>
      </c>
      <c r="CG113" s="17">
        <f t="shared" si="104"/>
        <v>284077.12925127643</v>
      </c>
      <c r="CH113" s="17">
        <f>IF('1 - Input'!$B$17=1,MAX(0,CF113-BX113),0)</f>
        <v>151.89364200712771</v>
      </c>
      <c r="CI113" s="17">
        <f>IF('1 - Input'!$B$17=1,MAX(0,BX113-CF113),0)</f>
        <v>0</v>
      </c>
      <c r="CJ113" s="17">
        <f t="shared" si="105"/>
        <v>0.31479764247482489</v>
      </c>
      <c r="CK113" s="17">
        <f>IF(AND(CI113&gt;0,CC113&gt;0),CI113/(1-'1 - Input'!$B$22*CJ113),0)</f>
        <v>0</v>
      </c>
      <c r="CL113" s="17">
        <f t="shared" si="106"/>
        <v>0</v>
      </c>
      <c r="CM113" s="17">
        <f>'1 - Input'!$B$22*CJ113*CL113</f>
        <v>0</v>
      </c>
      <c r="CN113" s="17">
        <f t="shared" si="107"/>
        <v>0</v>
      </c>
      <c r="CO113" s="17">
        <f t="shared" si="108"/>
        <v>0</v>
      </c>
      <c r="CP113" s="17">
        <f t="shared" si="109"/>
        <v>0</v>
      </c>
      <c r="CQ113" s="17">
        <f t="shared" si="110"/>
        <v>414740.55658431043</v>
      </c>
      <c r="CR113" s="17">
        <f t="shared" si="111"/>
        <v>284229.02289328357</v>
      </c>
      <c r="CS113" s="17">
        <f>IF(MOD(BU113,12)=0,CQ113*'1 - Input'!$B$23,0)</f>
        <v>0</v>
      </c>
      <c r="CT113" s="17">
        <f t="shared" si="112"/>
        <v>414740.55658431043</v>
      </c>
      <c r="CU113" s="17">
        <f>IF(MOD(BU113,12)=0,CR113*(1-'1 - Input'!$B$23),CR113)</f>
        <v>284229.02289328357</v>
      </c>
      <c r="CV113" s="17">
        <f>IF('1 - Input'!$B$17=1,MIN(CF113,BX113)+CN113,CF113)</f>
        <v>2981.0181686400001</v>
      </c>
      <c r="CW113" s="17">
        <f t="shared" si="132"/>
        <v>198421.08287040016</v>
      </c>
      <c r="CX113" s="17">
        <f t="shared" si="133"/>
        <v>0</v>
      </c>
      <c r="CY113" s="17">
        <f t="shared" si="134"/>
        <v>0</v>
      </c>
      <c r="CZ113" s="17">
        <f t="shared" si="135"/>
        <v>0</v>
      </c>
      <c r="DA113" s="17">
        <f t="shared" si="136"/>
        <v>4542.6401775618569</v>
      </c>
      <c r="DB113" s="17">
        <f t="shared" si="137"/>
        <v>0</v>
      </c>
      <c r="DC113" s="15">
        <f t="shared" si="113"/>
        <v>0</v>
      </c>
    </row>
    <row r="114" spans="1:107">
      <c r="A114" s="14">
        <v>71</v>
      </c>
      <c r="B114" s="15">
        <f t="shared" si="69"/>
        <v>6</v>
      </c>
      <c r="C114" s="16">
        <f>(1+INDEX('1 - Input'!$B$34:$E$63,B114,'1 - Input'!$B$16))^(1/12)-1</f>
        <v>4.1219243192651689E-3</v>
      </c>
      <c r="D114" s="17">
        <f>'1 - Input'!$B$7*(1+'1 - Input'!$B$12)^(B114-1)</f>
        <v>2981.0181686400001</v>
      </c>
      <c r="E114" s="17">
        <f t="shared" si="114"/>
        <v>347756.57744462811</v>
      </c>
      <c r="F114" s="17">
        <f t="shared" si="115"/>
        <v>441659.67293932993</v>
      </c>
      <c r="G114" s="17">
        <f t="shared" si="70"/>
        <v>349190.00373838155</v>
      </c>
      <c r="H114" s="17">
        <f>IF(G114&gt;0,'1 - Input'!$B$8/12*G114,0)</f>
        <v>2618.9250280378615</v>
      </c>
      <c r="I114" s="17">
        <f t="shared" si="71"/>
        <v>346571.07871034369</v>
      </c>
      <c r="J114" s="17">
        <f t="shared" si="72"/>
        <v>0</v>
      </c>
      <c r="K114" s="17">
        <f>'1 - Input'!$B$22*(H114-J114)</f>
        <v>680.92050728984395</v>
      </c>
      <c r="L114" s="17">
        <f t="shared" si="73"/>
        <v>1938.0045207480175</v>
      </c>
      <c r="M114" s="17">
        <f t="shared" si="74"/>
        <v>441659.67293932993</v>
      </c>
      <c r="N114" s="17">
        <f>IF('1 - Input'!$B$17=1,MAX(0,L114-D114),0)</f>
        <v>0</v>
      </c>
      <c r="O114" s="17">
        <f>IF('1 - Input'!$B$17=1,MAX(0,D114-L114),0)</f>
        <v>1043.0136478919826</v>
      </c>
      <c r="P114" s="17">
        <f t="shared" si="75"/>
        <v>0</v>
      </c>
      <c r="Q114" s="17">
        <f>IF(AND(O114&gt;0,I114&gt;0),O114/(1-'1 - Input'!$B$22*P114),0)</f>
        <v>1043.0136478919826</v>
      </c>
      <c r="R114" s="17">
        <f t="shared" si="76"/>
        <v>1043.0136478919826</v>
      </c>
      <c r="S114" s="17">
        <f>'1 - Input'!$B$22*P114*R114</f>
        <v>0</v>
      </c>
      <c r="T114" s="17">
        <f t="shared" si="77"/>
        <v>1043.0136478919826</v>
      </c>
      <c r="U114" s="17">
        <f t="shared" si="78"/>
        <v>0</v>
      </c>
      <c r="V114" s="17">
        <f t="shared" si="79"/>
        <v>286.17131558916606</v>
      </c>
      <c r="W114" s="17">
        <f t="shared" si="80"/>
        <v>345528.0650624517</v>
      </c>
      <c r="X114" s="17">
        <f t="shared" si="81"/>
        <v>440330.48797584878</v>
      </c>
      <c r="Y114" s="17">
        <f>IF(MOD(A114,12)=0,W114*'1 - Input'!$B$23,0)</f>
        <v>0</v>
      </c>
      <c r="Z114" s="17">
        <f t="shared" si="82"/>
        <v>345528.0650624517</v>
      </c>
      <c r="AA114" s="17">
        <f>IF(MOD(A114,12)=0,X114*(1-'1 - Input'!$B$23),X114)</f>
        <v>440330.48797584878</v>
      </c>
      <c r="AB114" s="17">
        <f>IF('1 - Input'!$B$17=1,MIN(L114,D114)+T114,L114)</f>
        <v>2981.0181686400001</v>
      </c>
      <c r="AC114" s="17">
        <f t="shared" si="116"/>
        <v>201402.10103904016</v>
      </c>
      <c r="AD114" s="17">
        <f t="shared" si="117"/>
        <v>58479.742429138467</v>
      </c>
      <c r="AE114" s="17">
        <f t="shared" si="118"/>
        <v>0</v>
      </c>
      <c r="AF114" s="17">
        <f t="shared" si="119"/>
        <v>6477.4120571742142</v>
      </c>
      <c r="AG114" s="17">
        <f t="shared" si="120"/>
        <v>4197.5607736737047</v>
      </c>
      <c r="AH114" s="17">
        <f t="shared" si="121"/>
        <v>0</v>
      </c>
      <c r="AI114" s="15">
        <f t="shared" si="83"/>
        <v>0</v>
      </c>
      <c r="AK114" s="14">
        <v>71</v>
      </c>
      <c r="AL114" s="15">
        <f t="shared" si="84"/>
        <v>6</v>
      </c>
      <c r="AM114" s="16">
        <f>(1+INDEX('1 - Input'!$B$34:$E$63,AL114,'1 - Input'!$B$16))^(1/12)-1</f>
        <v>4.1219243192651689E-3</v>
      </c>
      <c r="AN114" s="17">
        <f>'1 - Input'!$B$7*(1+'1 - Input'!$B$12)^(AL114-1)</f>
        <v>2981.0181686400001</v>
      </c>
      <c r="AO114" s="17">
        <f t="shared" si="122"/>
        <v>347756.57744462811</v>
      </c>
      <c r="AP114" s="17">
        <f t="shared" si="123"/>
        <v>441659.67293932993</v>
      </c>
      <c r="AQ114" s="17">
        <f t="shared" si="85"/>
        <v>349190.00373838155</v>
      </c>
      <c r="AR114" s="17">
        <f>IF(AQ114&gt;0,'1 - Input'!$B$8/12*AQ114,0)</f>
        <v>2618.9250280378615</v>
      </c>
      <c r="AS114" s="17">
        <f t="shared" si="86"/>
        <v>346571.07871034369</v>
      </c>
      <c r="AT114" s="17">
        <f t="shared" si="87"/>
        <v>0</v>
      </c>
      <c r="AU114" s="17">
        <f>'1 - Input'!$B$22*(AR114-AT114)</f>
        <v>680.92050728984395</v>
      </c>
      <c r="AV114" s="17">
        <f t="shared" si="88"/>
        <v>1938.0045207480175</v>
      </c>
      <c r="AW114" s="17">
        <f t="shared" si="89"/>
        <v>441659.67293932993</v>
      </c>
      <c r="AX114" s="17">
        <f>IF('1 - Input'!$B$17=1,MAX(0,AV114-AN114),0)</f>
        <v>0</v>
      </c>
      <c r="AY114" s="17">
        <f>IF('1 - Input'!$B$17=1,MAX(0,AN114-AV114),0)</f>
        <v>1043.0136478919826</v>
      </c>
      <c r="AZ114" s="17">
        <f t="shared" si="90"/>
        <v>0</v>
      </c>
      <c r="BA114" s="17">
        <f>IF(AND(AY114&gt;0,AS114&gt;0),AY114/(1-'1 - Input'!$B$22*AZ114),0)</f>
        <v>1043.0136478919826</v>
      </c>
      <c r="BB114" s="17">
        <f t="shared" si="91"/>
        <v>1043.0136478919826</v>
      </c>
      <c r="BC114" s="17">
        <f>'1 - Input'!$B$22*AZ114*BB114</f>
        <v>0</v>
      </c>
      <c r="BD114" s="17">
        <f t="shared" si="92"/>
        <v>1043.0136478919826</v>
      </c>
      <c r="BE114" s="17">
        <f t="shared" si="93"/>
        <v>0</v>
      </c>
      <c r="BF114" s="17">
        <f t="shared" si="94"/>
        <v>286.17131558916606</v>
      </c>
      <c r="BG114" s="17">
        <f t="shared" si="95"/>
        <v>345528.0650624517</v>
      </c>
      <c r="BH114" s="17">
        <f t="shared" si="96"/>
        <v>440330.48797584878</v>
      </c>
      <c r="BI114" s="17">
        <f>IF(MOD(AK114,12)=0,BG114*'1 - Input'!$B$23,0)</f>
        <v>0</v>
      </c>
      <c r="BJ114" s="17">
        <f t="shared" si="97"/>
        <v>345528.0650624517</v>
      </c>
      <c r="BK114" s="17">
        <f>IF(MOD(AK114,12)=0,BH114*(1-'1 - Input'!$B$23),BH114)</f>
        <v>440330.48797584878</v>
      </c>
      <c r="BL114" s="17">
        <f>IF('1 - Input'!$B$17=1,MIN(AV114,AN114)+BD114,AV114)</f>
        <v>2981.0181686400001</v>
      </c>
      <c r="BM114" s="17">
        <f t="shared" si="124"/>
        <v>201402.10103904016</v>
      </c>
      <c r="BN114" s="17">
        <f t="shared" si="125"/>
        <v>58479.742429138467</v>
      </c>
      <c r="BO114" s="17">
        <f t="shared" si="126"/>
        <v>0</v>
      </c>
      <c r="BP114" s="17">
        <f t="shared" si="127"/>
        <v>6477.4120571742142</v>
      </c>
      <c r="BQ114" s="17">
        <f t="shared" si="128"/>
        <v>4197.5607736737047</v>
      </c>
      <c r="BR114" s="17">
        <f t="shared" si="129"/>
        <v>0</v>
      </c>
      <c r="BS114" s="15">
        <f t="shared" si="98"/>
        <v>0</v>
      </c>
      <c r="BU114" s="14">
        <v>71</v>
      </c>
      <c r="BV114" s="15">
        <f t="shared" si="99"/>
        <v>6</v>
      </c>
      <c r="BW114" s="16">
        <f>(1+INDEX('1 - Input'!$B$34:$E$63,BV114,'1 - Input'!$B$16))^(1/12)-1</f>
        <v>4.1219243192651689E-3</v>
      </c>
      <c r="BX114" s="17">
        <f>'1 - Input'!$B$7*(1+'1 - Input'!$B$12)^(BV114-1)</f>
        <v>2981.0181686400001</v>
      </c>
      <c r="BY114" s="17">
        <f t="shared" si="130"/>
        <v>414740.55658431043</v>
      </c>
      <c r="BZ114" s="17">
        <f t="shared" si="131"/>
        <v>284229.02289328357</v>
      </c>
      <c r="CA114" s="17">
        <f t="shared" si="100"/>
        <v>416450.08577068086</v>
      </c>
      <c r="CB114" s="17">
        <f>IF(CA114&gt;0,'1 - Input'!$B$8/12*CA114,0)</f>
        <v>3123.3756432801065</v>
      </c>
      <c r="CC114" s="17">
        <f t="shared" si="101"/>
        <v>413326.71012740076</v>
      </c>
      <c r="CD114" s="17">
        <f t="shared" si="102"/>
        <v>3123.3756432801065</v>
      </c>
      <c r="CE114" s="17">
        <f>'1 - Input'!$B$22*(CB114-CD114)</f>
        <v>0</v>
      </c>
      <c r="CF114" s="17">
        <f t="shared" si="103"/>
        <v>3123.3756432801065</v>
      </c>
      <c r="CG114" s="17">
        <f t="shared" si="104"/>
        <v>281105.64725000347</v>
      </c>
      <c r="CH114" s="17">
        <f>IF('1 - Input'!$B$17=1,MAX(0,CF114-BX114),0)</f>
        <v>142.35747464010637</v>
      </c>
      <c r="CI114" s="17">
        <f>IF('1 - Input'!$B$17=1,MAX(0,BX114-CF114),0)</f>
        <v>0</v>
      </c>
      <c r="CJ114" s="17">
        <f t="shared" si="105"/>
        <v>0.3198947942092647</v>
      </c>
      <c r="CK114" s="17">
        <f>IF(AND(CI114&gt;0,CC114&gt;0),CI114/(1-'1 - Input'!$B$22*CJ114),0)</f>
        <v>0</v>
      </c>
      <c r="CL114" s="17">
        <f t="shared" si="106"/>
        <v>0</v>
      </c>
      <c r="CM114" s="17">
        <f>'1 - Input'!$B$22*CJ114*CL114</f>
        <v>0</v>
      </c>
      <c r="CN114" s="17">
        <f t="shared" si="107"/>
        <v>0</v>
      </c>
      <c r="CO114" s="17">
        <f t="shared" si="108"/>
        <v>0</v>
      </c>
      <c r="CP114" s="17">
        <f t="shared" si="109"/>
        <v>0</v>
      </c>
      <c r="CQ114" s="17">
        <f t="shared" si="110"/>
        <v>413469.06760204089</v>
      </c>
      <c r="CR114" s="17">
        <f t="shared" si="111"/>
        <v>281248.0047246436</v>
      </c>
      <c r="CS114" s="17">
        <f>IF(MOD(BU114,12)=0,CQ114*'1 - Input'!$B$23,0)</f>
        <v>0</v>
      </c>
      <c r="CT114" s="17">
        <f t="shared" si="112"/>
        <v>413469.06760204089</v>
      </c>
      <c r="CU114" s="17">
        <f>IF(MOD(BU114,12)=0,CR114*(1-'1 - Input'!$B$23),CR114)</f>
        <v>281248.0047246436</v>
      </c>
      <c r="CV114" s="17">
        <f>IF('1 - Input'!$B$17=1,MIN(CF114,BX114)+CN114,CF114)</f>
        <v>2981.0181686400001</v>
      </c>
      <c r="CW114" s="17">
        <f t="shared" si="132"/>
        <v>201402.10103904016</v>
      </c>
      <c r="CX114" s="17">
        <f t="shared" si="133"/>
        <v>0</v>
      </c>
      <c r="CY114" s="17">
        <f t="shared" si="134"/>
        <v>0</v>
      </c>
      <c r="CZ114" s="17">
        <f t="shared" si="135"/>
        <v>0</v>
      </c>
      <c r="DA114" s="17">
        <f t="shared" si="136"/>
        <v>4542.6401775618569</v>
      </c>
      <c r="DB114" s="17">
        <f t="shared" si="137"/>
        <v>0</v>
      </c>
      <c r="DC114" s="15">
        <f t="shared" si="113"/>
        <v>0</v>
      </c>
    </row>
    <row r="115" spans="1:107">
      <c r="A115" s="14">
        <v>72</v>
      </c>
      <c r="B115" s="15">
        <f t="shared" si="69"/>
        <v>6</v>
      </c>
      <c r="C115" s="16">
        <f>(1+INDEX('1 - Input'!$B$34:$E$63,B115,'1 - Input'!$B$16))^(1/12)-1</f>
        <v>4.1219243192651689E-3</v>
      </c>
      <c r="D115" s="17">
        <f>'1 - Input'!$B$7*(1+'1 - Input'!$B$12)^(B115-1)</f>
        <v>2981.0181686400001</v>
      </c>
      <c r="E115" s="17">
        <f t="shared" si="114"/>
        <v>345528.0650624517</v>
      </c>
      <c r="F115" s="17">
        <f t="shared" si="115"/>
        <v>440330.48797584878</v>
      </c>
      <c r="G115" s="17">
        <f t="shared" si="70"/>
        <v>346952.30559682124</v>
      </c>
      <c r="H115" s="17">
        <f>IF(G115&gt;0,'1 - Input'!$B$8/12*G115,0)</f>
        <v>2602.1422919761594</v>
      </c>
      <c r="I115" s="17">
        <f t="shared" si="71"/>
        <v>344350.1633048451</v>
      </c>
      <c r="J115" s="17">
        <f t="shared" si="72"/>
        <v>0</v>
      </c>
      <c r="K115" s="17">
        <f>'1 - Input'!$B$22*(H115-J115)</f>
        <v>676.55699591380142</v>
      </c>
      <c r="L115" s="17">
        <f t="shared" si="73"/>
        <v>1925.5852960623579</v>
      </c>
      <c r="M115" s="17">
        <f t="shared" si="74"/>
        <v>440330.48797584878</v>
      </c>
      <c r="N115" s="17">
        <f>IF('1 - Input'!$B$17=1,MAX(0,L115-D115),0)</f>
        <v>0</v>
      </c>
      <c r="O115" s="17">
        <f>IF('1 - Input'!$B$17=1,MAX(0,D115-L115),0)</f>
        <v>1055.4328725776422</v>
      </c>
      <c r="P115" s="17">
        <f t="shared" si="75"/>
        <v>0</v>
      </c>
      <c r="Q115" s="17">
        <f>IF(AND(O115&gt;0,I115&gt;0),O115/(1-'1 - Input'!$B$22*P115),0)</f>
        <v>1055.4328725776422</v>
      </c>
      <c r="R115" s="17">
        <f t="shared" si="76"/>
        <v>1055.4328725776422</v>
      </c>
      <c r="S115" s="17">
        <f>'1 - Input'!$B$22*P115*R115</f>
        <v>0</v>
      </c>
      <c r="T115" s="17">
        <f t="shared" si="77"/>
        <v>1055.4328725776422</v>
      </c>
      <c r="U115" s="17">
        <f t="shared" si="78"/>
        <v>0</v>
      </c>
      <c r="V115" s="17">
        <f t="shared" si="79"/>
        <v>294.17958977058174</v>
      </c>
      <c r="W115" s="17">
        <f t="shared" si="80"/>
        <v>343294.73043226748</v>
      </c>
      <c r="X115" s="17">
        <f t="shared" si="81"/>
        <v>438980.87551350059</v>
      </c>
      <c r="Y115" s="17">
        <f>IF(MOD(A115,12)=0,W115*'1 - Input'!$B$23,0)</f>
        <v>686.589460864535</v>
      </c>
      <c r="Z115" s="17">
        <f t="shared" si="82"/>
        <v>342608.14097140293</v>
      </c>
      <c r="AA115" s="17">
        <f>IF(MOD(A115,12)=0,X115*(1-'1 - Input'!$B$23),X115)</f>
        <v>438102.91376247362</v>
      </c>
      <c r="AB115" s="17">
        <f>IF('1 - Input'!$B$17=1,MIN(L115,D115)+T115,L115)</f>
        <v>2981.0181686400001</v>
      </c>
      <c r="AC115" s="17">
        <f t="shared" si="116"/>
        <v>204383.11920768017</v>
      </c>
      <c r="AD115" s="17">
        <f t="shared" si="117"/>
        <v>59156.299425052268</v>
      </c>
      <c r="AE115" s="17">
        <f t="shared" si="118"/>
        <v>0</v>
      </c>
      <c r="AF115" s="17">
        <f t="shared" si="119"/>
        <v>6771.5916469447957</v>
      </c>
      <c r="AG115" s="17">
        <f t="shared" si="120"/>
        <v>4884.1502345382396</v>
      </c>
      <c r="AH115" s="17">
        <f t="shared" si="121"/>
        <v>0</v>
      </c>
      <c r="AI115" s="15">
        <f t="shared" si="83"/>
        <v>0</v>
      </c>
      <c r="AK115" s="14">
        <v>72</v>
      </c>
      <c r="AL115" s="15">
        <f t="shared" si="84"/>
        <v>6</v>
      </c>
      <c r="AM115" s="16">
        <f>(1+INDEX('1 - Input'!$B$34:$E$63,AL115,'1 - Input'!$B$16))^(1/12)-1</f>
        <v>4.1219243192651689E-3</v>
      </c>
      <c r="AN115" s="17">
        <f>'1 - Input'!$B$7*(1+'1 - Input'!$B$12)^(AL115-1)</f>
        <v>2981.0181686400001</v>
      </c>
      <c r="AO115" s="17">
        <f t="shared" si="122"/>
        <v>345528.0650624517</v>
      </c>
      <c r="AP115" s="17">
        <f t="shared" si="123"/>
        <v>440330.48797584878</v>
      </c>
      <c r="AQ115" s="17">
        <f t="shared" si="85"/>
        <v>346952.30559682124</v>
      </c>
      <c r="AR115" s="17">
        <f>IF(AQ115&gt;0,'1 - Input'!$B$8/12*AQ115,0)</f>
        <v>2602.1422919761594</v>
      </c>
      <c r="AS115" s="17">
        <f t="shared" si="86"/>
        <v>344350.1633048451</v>
      </c>
      <c r="AT115" s="17">
        <f t="shared" si="87"/>
        <v>0</v>
      </c>
      <c r="AU115" s="17">
        <f>'1 - Input'!$B$22*(AR115-AT115)</f>
        <v>676.55699591380142</v>
      </c>
      <c r="AV115" s="17">
        <f t="shared" si="88"/>
        <v>1925.5852960623579</v>
      </c>
      <c r="AW115" s="17">
        <f t="shared" si="89"/>
        <v>440330.48797584878</v>
      </c>
      <c r="AX115" s="17">
        <f>IF('1 - Input'!$B$17=1,MAX(0,AV115-AN115),0)</f>
        <v>0</v>
      </c>
      <c r="AY115" s="17">
        <f>IF('1 - Input'!$B$17=1,MAX(0,AN115-AV115),0)</f>
        <v>1055.4328725776422</v>
      </c>
      <c r="AZ115" s="17">
        <f t="shared" si="90"/>
        <v>0</v>
      </c>
      <c r="BA115" s="17">
        <f>IF(AND(AY115&gt;0,AS115&gt;0),AY115/(1-'1 - Input'!$B$22*AZ115),0)</f>
        <v>1055.4328725776422</v>
      </c>
      <c r="BB115" s="17">
        <f t="shared" si="91"/>
        <v>1055.4328725776422</v>
      </c>
      <c r="BC115" s="17">
        <f>'1 - Input'!$B$22*AZ115*BB115</f>
        <v>0</v>
      </c>
      <c r="BD115" s="17">
        <f t="shared" si="92"/>
        <v>1055.4328725776422</v>
      </c>
      <c r="BE115" s="17">
        <f t="shared" si="93"/>
        <v>0</v>
      </c>
      <c r="BF115" s="17">
        <f t="shared" si="94"/>
        <v>294.17958977058174</v>
      </c>
      <c r="BG115" s="17">
        <f t="shared" si="95"/>
        <v>343294.73043226748</v>
      </c>
      <c r="BH115" s="17">
        <f t="shared" si="96"/>
        <v>438980.87551350059</v>
      </c>
      <c r="BI115" s="17">
        <f>IF(MOD(AK115,12)=0,BG115*'1 - Input'!$B$23,0)</f>
        <v>686.589460864535</v>
      </c>
      <c r="BJ115" s="17">
        <f t="shared" si="97"/>
        <v>342608.14097140293</v>
      </c>
      <c r="BK115" s="17">
        <f>IF(MOD(AK115,12)=0,BH115*(1-'1 - Input'!$B$23),BH115)</f>
        <v>438102.91376247362</v>
      </c>
      <c r="BL115" s="17">
        <f>IF('1 - Input'!$B$17=1,MIN(AV115,AN115)+BD115,AV115)</f>
        <v>2981.0181686400001</v>
      </c>
      <c r="BM115" s="17">
        <f t="shared" si="124"/>
        <v>204383.11920768017</v>
      </c>
      <c r="BN115" s="17">
        <f t="shared" si="125"/>
        <v>59156.299425052268</v>
      </c>
      <c r="BO115" s="17">
        <f t="shared" si="126"/>
        <v>0</v>
      </c>
      <c r="BP115" s="17">
        <f t="shared" si="127"/>
        <v>6771.5916469447957</v>
      </c>
      <c r="BQ115" s="17">
        <f t="shared" si="128"/>
        <v>4884.1502345382396</v>
      </c>
      <c r="BR115" s="17">
        <f t="shared" si="129"/>
        <v>0</v>
      </c>
      <c r="BS115" s="15">
        <f t="shared" si="98"/>
        <v>0</v>
      </c>
      <c r="BU115" s="14">
        <v>72</v>
      </c>
      <c r="BV115" s="15">
        <f t="shared" si="99"/>
        <v>6</v>
      </c>
      <c r="BW115" s="16">
        <f>(1+INDEX('1 - Input'!$B$34:$E$63,BV115,'1 - Input'!$B$16))^(1/12)-1</f>
        <v>4.1219243192651689E-3</v>
      </c>
      <c r="BX115" s="17">
        <f>'1 - Input'!$B$7*(1+'1 - Input'!$B$12)^(BV115-1)</f>
        <v>2981.0181686400001</v>
      </c>
      <c r="BY115" s="17">
        <f t="shared" si="130"/>
        <v>413469.06760204089</v>
      </c>
      <c r="BZ115" s="17">
        <f t="shared" si="131"/>
        <v>281248.0047246436</v>
      </c>
      <c r="CA115" s="17">
        <f t="shared" si="100"/>
        <v>415173.35580705362</v>
      </c>
      <c r="CB115" s="17">
        <f>IF(CA115&gt;0,'1 - Input'!$B$8/12*CA115,0)</f>
        <v>3113.8001685529021</v>
      </c>
      <c r="CC115" s="17">
        <f t="shared" si="101"/>
        <v>412059.55563850072</v>
      </c>
      <c r="CD115" s="17">
        <f t="shared" si="102"/>
        <v>3113.8001685529021</v>
      </c>
      <c r="CE115" s="17">
        <f>'1 - Input'!$B$22*(CB115-CD115)</f>
        <v>0</v>
      </c>
      <c r="CF115" s="17">
        <f t="shared" si="103"/>
        <v>3113.8001685529021</v>
      </c>
      <c r="CG115" s="17">
        <f t="shared" si="104"/>
        <v>278134.2045560907</v>
      </c>
      <c r="CH115" s="17">
        <f>IF('1 - Input'!$B$17=1,MAX(0,CF115-BX115),0)</f>
        <v>132.78199991290194</v>
      </c>
      <c r="CI115" s="17">
        <f>IF('1 - Input'!$B$17=1,MAX(0,BX115-CF115),0)</f>
        <v>0</v>
      </c>
      <c r="CJ115" s="17">
        <f t="shared" si="105"/>
        <v>0.3250145500809658</v>
      </c>
      <c r="CK115" s="17">
        <f>IF(AND(CI115&gt;0,CC115&gt;0),CI115/(1-'1 - Input'!$B$22*CJ115),0)</f>
        <v>0</v>
      </c>
      <c r="CL115" s="17">
        <f t="shared" si="106"/>
        <v>0</v>
      </c>
      <c r="CM115" s="17">
        <f>'1 - Input'!$B$22*CJ115*CL115</f>
        <v>0</v>
      </c>
      <c r="CN115" s="17">
        <f t="shared" si="107"/>
        <v>0</v>
      </c>
      <c r="CO115" s="17">
        <f t="shared" si="108"/>
        <v>0</v>
      </c>
      <c r="CP115" s="17">
        <f t="shared" si="109"/>
        <v>0</v>
      </c>
      <c r="CQ115" s="17">
        <f t="shared" si="110"/>
        <v>412192.33763841365</v>
      </c>
      <c r="CR115" s="17">
        <f t="shared" si="111"/>
        <v>278266.98655600363</v>
      </c>
      <c r="CS115" s="17">
        <f>IF(MOD(BU115,12)=0,CQ115*'1 - Input'!$B$23,0)</f>
        <v>824.38467527682735</v>
      </c>
      <c r="CT115" s="17">
        <f t="shared" si="112"/>
        <v>411367.95296313684</v>
      </c>
      <c r="CU115" s="17">
        <f>IF(MOD(BU115,12)=0,CR115*(1-'1 - Input'!$B$23),CR115)</f>
        <v>277710.45258289162</v>
      </c>
      <c r="CV115" s="17">
        <f>IF('1 - Input'!$B$17=1,MIN(CF115,BX115)+CN115,CF115)</f>
        <v>2981.0181686400001</v>
      </c>
      <c r="CW115" s="17">
        <f t="shared" si="132"/>
        <v>204383.11920768017</v>
      </c>
      <c r="CX115" s="17">
        <f t="shared" si="133"/>
        <v>0</v>
      </c>
      <c r="CY115" s="17">
        <f t="shared" si="134"/>
        <v>0</v>
      </c>
      <c r="CZ115" s="17">
        <f t="shared" si="135"/>
        <v>0</v>
      </c>
      <c r="DA115" s="17">
        <f t="shared" si="136"/>
        <v>5367.0248528386846</v>
      </c>
      <c r="DB115" s="17">
        <f t="shared" si="137"/>
        <v>0</v>
      </c>
      <c r="DC115" s="15">
        <f t="shared" si="113"/>
        <v>0</v>
      </c>
    </row>
    <row r="116" spans="1:107">
      <c r="A116" s="14">
        <v>73</v>
      </c>
      <c r="B116" s="15">
        <f t="shared" si="69"/>
        <v>7</v>
      </c>
      <c r="C116" s="16">
        <f>(1+INDEX('1 - Input'!$B$34:$E$63,B116,'1 - Input'!$B$16))^(1/12)-1</f>
        <v>4.1219243192651689E-3</v>
      </c>
      <c r="D116" s="17">
        <f>'1 - Input'!$B$7*(1+'1 - Input'!$B$12)^(B116-1)</f>
        <v>3040.6385320128002</v>
      </c>
      <c r="E116" s="17">
        <f t="shared" si="114"/>
        <v>342608.14097140293</v>
      </c>
      <c r="F116" s="17">
        <f t="shared" si="115"/>
        <v>438102.91376247362</v>
      </c>
      <c r="G116" s="17">
        <f t="shared" si="70"/>
        <v>344020.34579965117</v>
      </c>
      <c r="H116" s="17">
        <f>IF(G116&gt;0,'1 - Input'!$B$8/12*G116,0)</f>
        <v>2580.1525934973838</v>
      </c>
      <c r="I116" s="17">
        <f t="shared" si="71"/>
        <v>341440.19320615381</v>
      </c>
      <c r="J116" s="17">
        <f t="shared" si="72"/>
        <v>0</v>
      </c>
      <c r="K116" s="17">
        <f>'1 - Input'!$B$22*(H116-J116)</f>
        <v>670.83967430931978</v>
      </c>
      <c r="L116" s="17">
        <f t="shared" si="73"/>
        <v>1909.3129191880639</v>
      </c>
      <c r="M116" s="17">
        <f t="shared" si="74"/>
        <v>438102.91376247362</v>
      </c>
      <c r="N116" s="17">
        <f>IF('1 - Input'!$B$17=1,MAX(0,L116-D116),0)</f>
        <v>0</v>
      </c>
      <c r="O116" s="17">
        <f>IF('1 - Input'!$B$17=1,MAX(0,D116-L116),0)</f>
        <v>1131.3256128247363</v>
      </c>
      <c r="P116" s="17">
        <f t="shared" si="75"/>
        <v>0</v>
      </c>
      <c r="Q116" s="17">
        <f>IF(AND(O116&gt;0,I116&gt;0),O116/(1-'1 - Input'!$B$22*P116),0)</f>
        <v>1131.3256128247363</v>
      </c>
      <c r="R116" s="17">
        <f t="shared" si="76"/>
        <v>1131.3256128247363</v>
      </c>
      <c r="S116" s="17">
        <f>'1 - Input'!$B$22*P116*R116</f>
        <v>0</v>
      </c>
      <c r="T116" s="17">
        <f t="shared" si="77"/>
        <v>1131.3256128247363</v>
      </c>
      <c r="U116" s="17">
        <f t="shared" si="78"/>
        <v>0</v>
      </c>
      <c r="V116" s="17">
        <f t="shared" si="79"/>
        <v>320.28160054565529</v>
      </c>
      <c r="W116" s="17">
        <f t="shared" si="80"/>
        <v>340308.86759332905</v>
      </c>
      <c r="X116" s="17">
        <f t="shared" si="81"/>
        <v>436651.30654910323</v>
      </c>
      <c r="Y116" s="17">
        <f>IF(MOD(A116,12)=0,W116*'1 - Input'!$B$23,0)</f>
        <v>0</v>
      </c>
      <c r="Z116" s="17">
        <f t="shared" si="82"/>
        <v>340308.86759332905</v>
      </c>
      <c r="AA116" s="17">
        <f>IF(MOD(A116,12)=0,X116*(1-'1 - Input'!$B$23),X116)</f>
        <v>436651.30654910323</v>
      </c>
      <c r="AB116" s="17">
        <f>IF('1 - Input'!$B$17=1,MIN(L116,D116)+T116,L116)</f>
        <v>3040.6385320128002</v>
      </c>
      <c r="AC116" s="17">
        <f t="shared" si="116"/>
        <v>207423.75773969296</v>
      </c>
      <c r="AD116" s="17">
        <f t="shared" si="117"/>
        <v>59827.139099361586</v>
      </c>
      <c r="AE116" s="17">
        <f t="shared" si="118"/>
        <v>0</v>
      </c>
      <c r="AF116" s="17">
        <f t="shared" si="119"/>
        <v>7091.8732474904509</v>
      </c>
      <c r="AG116" s="17">
        <f t="shared" si="120"/>
        <v>4884.1502345382396</v>
      </c>
      <c r="AH116" s="17">
        <f t="shared" si="121"/>
        <v>0</v>
      </c>
      <c r="AI116" s="15">
        <f t="shared" si="83"/>
        <v>0</v>
      </c>
      <c r="AK116" s="14">
        <v>73</v>
      </c>
      <c r="AL116" s="15">
        <f t="shared" si="84"/>
        <v>7</v>
      </c>
      <c r="AM116" s="16">
        <f>(1+INDEX('1 - Input'!$B$34:$E$63,AL116,'1 - Input'!$B$16))^(1/12)-1</f>
        <v>4.1219243192651689E-3</v>
      </c>
      <c r="AN116" s="17">
        <f>'1 - Input'!$B$7*(1+'1 - Input'!$B$12)^(AL116-1)</f>
        <v>3040.6385320128002</v>
      </c>
      <c r="AO116" s="17">
        <f t="shared" si="122"/>
        <v>342608.14097140293</v>
      </c>
      <c r="AP116" s="17">
        <f t="shared" si="123"/>
        <v>438102.91376247362</v>
      </c>
      <c r="AQ116" s="17">
        <f t="shared" si="85"/>
        <v>344020.34579965117</v>
      </c>
      <c r="AR116" s="17">
        <f>IF(AQ116&gt;0,'1 - Input'!$B$8/12*AQ116,0)</f>
        <v>2580.1525934973838</v>
      </c>
      <c r="AS116" s="17">
        <f t="shared" si="86"/>
        <v>341440.19320615381</v>
      </c>
      <c r="AT116" s="17">
        <f t="shared" si="87"/>
        <v>0</v>
      </c>
      <c r="AU116" s="17">
        <f>'1 - Input'!$B$22*(AR116-AT116)</f>
        <v>670.83967430931978</v>
      </c>
      <c r="AV116" s="17">
        <f t="shared" si="88"/>
        <v>1909.3129191880639</v>
      </c>
      <c r="AW116" s="17">
        <f t="shared" si="89"/>
        <v>438102.91376247362</v>
      </c>
      <c r="AX116" s="17">
        <f>IF('1 - Input'!$B$17=1,MAX(0,AV116-AN116),0)</f>
        <v>0</v>
      </c>
      <c r="AY116" s="17">
        <f>IF('1 - Input'!$B$17=1,MAX(0,AN116-AV116),0)</f>
        <v>1131.3256128247363</v>
      </c>
      <c r="AZ116" s="17">
        <f t="shared" si="90"/>
        <v>0</v>
      </c>
      <c r="BA116" s="17">
        <f>IF(AND(AY116&gt;0,AS116&gt;0),AY116/(1-'1 - Input'!$B$22*AZ116),0)</f>
        <v>1131.3256128247363</v>
      </c>
      <c r="BB116" s="17">
        <f t="shared" si="91"/>
        <v>1131.3256128247363</v>
      </c>
      <c r="BC116" s="17">
        <f>'1 - Input'!$B$22*AZ116*BB116</f>
        <v>0</v>
      </c>
      <c r="BD116" s="17">
        <f t="shared" si="92"/>
        <v>1131.3256128247363</v>
      </c>
      <c r="BE116" s="17">
        <f t="shared" si="93"/>
        <v>0</v>
      </c>
      <c r="BF116" s="17">
        <f t="shared" si="94"/>
        <v>320.28160054565529</v>
      </c>
      <c r="BG116" s="17">
        <f t="shared" si="95"/>
        <v>340308.86759332905</v>
      </c>
      <c r="BH116" s="17">
        <f t="shared" si="96"/>
        <v>436651.30654910323</v>
      </c>
      <c r="BI116" s="17">
        <f>IF(MOD(AK116,12)=0,BG116*'1 - Input'!$B$23,0)</f>
        <v>0</v>
      </c>
      <c r="BJ116" s="17">
        <f t="shared" si="97"/>
        <v>340308.86759332905</v>
      </c>
      <c r="BK116" s="17">
        <f>IF(MOD(AK116,12)=0,BH116*(1-'1 - Input'!$B$23),BH116)</f>
        <v>436651.30654910323</v>
      </c>
      <c r="BL116" s="17">
        <f>IF('1 - Input'!$B$17=1,MIN(AV116,AN116)+BD116,AV116)</f>
        <v>3040.6385320128002</v>
      </c>
      <c r="BM116" s="17">
        <f t="shared" si="124"/>
        <v>207423.75773969296</v>
      </c>
      <c r="BN116" s="17">
        <f t="shared" si="125"/>
        <v>59827.139099361586</v>
      </c>
      <c r="BO116" s="17">
        <f t="shared" si="126"/>
        <v>0</v>
      </c>
      <c r="BP116" s="17">
        <f t="shared" si="127"/>
        <v>7091.8732474904509</v>
      </c>
      <c r="BQ116" s="17">
        <f t="shared" si="128"/>
        <v>4884.1502345382396</v>
      </c>
      <c r="BR116" s="17">
        <f t="shared" si="129"/>
        <v>0</v>
      </c>
      <c r="BS116" s="15">
        <f t="shared" si="98"/>
        <v>0</v>
      </c>
      <c r="BU116" s="14">
        <v>73</v>
      </c>
      <c r="BV116" s="15">
        <f t="shared" si="99"/>
        <v>7</v>
      </c>
      <c r="BW116" s="16">
        <f>(1+INDEX('1 - Input'!$B$34:$E$63,BV116,'1 - Input'!$B$16))^(1/12)-1</f>
        <v>4.1219243192651689E-3</v>
      </c>
      <c r="BX116" s="17">
        <f>'1 - Input'!$B$7*(1+'1 - Input'!$B$12)^(BV116-1)</f>
        <v>3040.6385320128002</v>
      </c>
      <c r="BY116" s="17">
        <f t="shared" si="130"/>
        <v>411367.95296313684</v>
      </c>
      <c r="BZ116" s="17">
        <f t="shared" si="131"/>
        <v>277710.45258289162</v>
      </c>
      <c r="CA116" s="17">
        <f t="shared" si="100"/>
        <v>413063.58053262194</v>
      </c>
      <c r="CB116" s="17">
        <f>IF(CA116&gt;0,'1 - Input'!$B$8/12*CA116,0)</f>
        <v>3097.9768539946645</v>
      </c>
      <c r="CC116" s="17">
        <f t="shared" si="101"/>
        <v>409965.60367862729</v>
      </c>
      <c r="CD116" s="17">
        <f t="shared" si="102"/>
        <v>3097.9768539946645</v>
      </c>
      <c r="CE116" s="17">
        <f>'1 - Input'!$B$22*(CB116-CD116)</f>
        <v>0</v>
      </c>
      <c r="CF116" s="17">
        <f t="shared" si="103"/>
        <v>3097.9768539946645</v>
      </c>
      <c r="CG116" s="17">
        <f t="shared" si="104"/>
        <v>274612.47572889697</v>
      </c>
      <c r="CH116" s="17">
        <f>IF('1 - Input'!$B$17=1,MAX(0,CF116-BX116),0)</f>
        <v>57.338321981864283</v>
      </c>
      <c r="CI116" s="17">
        <f>IF('1 - Input'!$B$17=1,MAX(0,BX116-CF116),0)</f>
        <v>0</v>
      </c>
      <c r="CJ116" s="17">
        <f t="shared" si="105"/>
        <v>0.33015727840385811</v>
      </c>
      <c r="CK116" s="17">
        <f>IF(AND(CI116&gt;0,CC116&gt;0),CI116/(1-'1 - Input'!$B$22*CJ116),0)</f>
        <v>0</v>
      </c>
      <c r="CL116" s="17">
        <f t="shared" si="106"/>
        <v>0</v>
      </c>
      <c r="CM116" s="17">
        <f>'1 - Input'!$B$22*CJ116*CL116</f>
        <v>0</v>
      </c>
      <c r="CN116" s="17">
        <f t="shared" si="107"/>
        <v>0</v>
      </c>
      <c r="CO116" s="17">
        <f t="shared" si="108"/>
        <v>0</v>
      </c>
      <c r="CP116" s="17">
        <f t="shared" si="109"/>
        <v>0</v>
      </c>
      <c r="CQ116" s="17">
        <f t="shared" si="110"/>
        <v>410022.94200060912</v>
      </c>
      <c r="CR116" s="17">
        <f t="shared" si="111"/>
        <v>274669.81405087886</v>
      </c>
      <c r="CS116" s="17">
        <f>IF(MOD(BU116,12)=0,CQ116*'1 - Input'!$B$23,0)</f>
        <v>0</v>
      </c>
      <c r="CT116" s="17">
        <f t="shared" si="112"/>
        <v>410022.94200060912</v>
      </c>
      <c r="CU116" s="17">
        <f>IF(MOD(BU116,12)=0,CR116*(1-'1 - Input'!$B$23),CR116)</f>
        <v>274669.81405087886</v>
      </c>
      <c r="CV116" s="17">
        <f>IF('1 - Input'!$B$17=1,MIN(CF116,BX116)+CN116,CF116)</f>
        <v>3040.6385320128002</v>
      </c>
      <c r="CW116" s="17">
        <f t="shared" si="132"/>
        <v>207423.75773969296</v>
      </c>
      <c r="CX116" s="17">
        <f t="shared" si="133"/>
        <v>0</v>
      </c>
      <c r="CY116" s="17">
        <f t="shared" si="134"/>
        <v>0</v>
      </c>
      <c r="CZ116" s="17">
        <f t="shared" si="135"/>
        <v>0</v>
      </c>
      <c r="DA116" s="17">
        <f t="shared" si="136"/>
        <v>5367.0248528386846</v>
      </c>
      <c r="DB116" s="17">
        <f t="shared" si="137"/>
        <v>0</v>
      </c>
      <c r="DC116" s="15">
        <f t="shared" si="113"/>
        <v>0</v>
      </c>
    </row>
    <row r="117" spans="1:107">
      <c r="A117" s="14">
        <v>74</v>
      </c>
      <c r="B117" s="15">
        <f t="shared" si="69"/>
        <v>7</v>
      </c>
      <c r="C117" s="16">
        <f>(1+INDEX('1 - Input'!$B$34:$E$63,B117,'1 - Input'!$B$16))^(1/12)-1</f>
        <v>4.1219243192651689E-3</v>
      </c>
      <c r="D117" s="17">
        <f>'1 - Input'!$B$7*(1+'1 - Input'!$B$12)^(B117-1)</f>
        <v>3040.6385320128002</v>
      </c>
      <c r="E117" s="17">
        <f t="shared" si="114"/>
        <v>340308.86759332905</v>
      </c>
      <c r="F117" s="17">
        <f t="shared" si="115"/>
        <v>436651.30654910323</v>
      </c>
      <c r="G117" s="17">
        <f t="shared" si="70"/>
        <v>341711.59499072359</v>
      </c>
      <c r="H117" s="17">
        <f>IF(G117&gt;0,'1 - Input'!$B$8/12*G117,0)</f>
        <v>2562.8369624304269</v>
      </c>
      <c r="I117" s="17">
        <f t="shared" si="71"/>
        <v>339148.75802829314</v>
      </c>
      <c r="J117" s="17">
        <f t="shared" si="72"/>
        <v>0</v>
      </c>
      <c r="K117" s="17">
        <f>'1 - Input'!$B$22*(H117-J117)</f>
        <v>666.33761023191096</v>
      </c>
      <c r="L117" s="17">
        <f t="shared" si="73"/>
        <v>1896.4993521985159</v>
      </c>
      <c r="M117" s="17">
        <f t="shared" si="74"/>
        <v>436651.30654910323</v>
      </c>
      <c r="N117" s="17">
        <f>IF('1 - Input'!$B$17=1,MAX(0,L117-D117),0)</f>
        <v>0</v>
      </c>
      <c r="O117" s="17">
        <f>IF('1 - Input'!$B$17=1,MAX(0,D117-L117),0)</f>
        <v>1144.1391798142843</v>
      </c>
      <c r="P117" s="17">
        <f t="shared" si="75"/>
        <v>0</v>
      </c>
      <c r="Q117" s="17">
        <f>IF(AND(O117&gt;0,I117&gt;0),O117/(1-'1 - Input'!$B$22*P117),0)</f>
        <v>1144.1391798142843</v>
      </c>
      <c r="R117" s="17">
        <f t="shared" si="76"/>
        <v>1144.1391798142843</v>
      </c>
      <c r="S117" s="17">
        <f>'1 - Input'!$B$22*P117*R117</f>
        <v>0</v>
      </c>
      <c r="T117" s="17">
        <f t="shared" si="77"/>
        <v>1144.1391798142843</v>
      </c>
      <c r="U117" s="17">
        <f t="shared" si="78"/>
        <v>0</v>
      </c>
      <c r="V117" s="17">
        <f t="shared" si="79"/>
        <v>328.93084009199185</v>
      </c>
      <c r="W117" s="17">
        <f t="shared" si="80"/>
        <v>338004.61884847889</v>
      </c>
      <c r="X117" s="17">
        <f t="shared" si="81"/>
        <v>435178.23652919696</v>
      </c>
      <c r="Y117" s="17">
        <f>IF(MOD(A117,12)=0,W117*'1 - Input'!$B$23,0)</f>
        <v>0</v>
      </c>
      <c r="Z117" s="17">
        <f t="shared" si="82"/>
        <v>338004.61884847889</v>
      </c>
      <c r="AA117" s="17">
        <f>IF(MOD(A117,12)=0,X117*(1-'1 - Input'!$B$23),X117)</f>
        <v>435178.23652919696</v>
      </c>
      <c r="AB117" s="17">
        <f>IF('1 - Input'!$B$17=1,MIN(L117,D117)+T117,L117)</f>
        <v>3040.6385320128002</v>
      </c>
      <c r="AC117" s="17">
        <f t="shared" si="116"/>
        <v>210464.39627170574</v>
      </c>
      <c r="AD117" s="17">
        <f t="shared" si="117"/>
        <v>60493.476709593495</v>
      </c>
      <c r="AE117" s="17">
        <f t="shared" si="118"/>
        <v>0</v>
      </c>
      <c r="AF117" s="17">
        <f t="shared" si="119"/>
        <v>7420.8040875824427</v>
      </c>
      <c r="AG117" s="17">
        <f t="shared" si="120"/>
        <v>4884.1502345382396</v>
      </c>
      <c r="AH117" s="17">
        <f t="shared" si="121"/>
        <v>0</v>
      </c>
      <c r="AI117" s="15">
        <f t="shared" si="83"/>
        <v>0</v>
      </c>
      <c r="AK117" s="14">
        <v>74</v>
      </c>
      <c r="AL117" s="15">
        <f t="shared" si="84"/>
        <v>7</v>
      </c>
      <c r="AM117" s="16">
        <f>(1+INDEX('1 - Input'!$B$34:$E$63,AL117,'1 - Input'!$B$16))^(1/12)-1</f>
        <v>4.1219243192651689E-3</v>
      </c>
      <c r="AN117" s="17">
        <f>'1 - Input'!$B$7*(1+'1 - Input'!$B$12)^(AL117-1)</f>
        <v>3040.6385320128002</v>
      </c>
      <c r="AO117" s="17">
        <f t="shared" si="122"/>
        <v>340308.86759332905</v>
      </c>
      <c r="AP117" s="17">
        <f t="shared" si="123"/>
        <v>436651.30654910323</v>
      </c>
      <c r="AQ117" s="17">
        <f t="shared" si="85"/>
        <v>341711.59499072359</v>
      </c>
      <c r="AR117" s="17">
        <f>IF(AQ117&gt;0,'1 - Input'!$B$8/12*AQ117,0)</f>
        <v>2562.8369624304269</v>
      </c>
      <c r="AS117" s="17">
        <f t="shared" si="86"/>
        <v>339148.75802829314</v>
      </c>
      <c r="AT117" s="17">
        <f t="shared" si="87"/>
        <v>0</v>
      </c>
      <c r="AU117" s="17">
        <f>'1 - Input'!$B$22*(AR117-AT117)</f>
        <v>666.33761023191096</v>
      </c>
      <c r="AV117" s="17">
        <f t="shared" si="88"/>
        <v>1896.4993521985159</v>
      </c>
      <c r="AW117" s="17">
        <f t="shared" si="89"/>
        <v>436651.30654910323</v>
      </c>
      <c r="AX117" s="17">
        <f>IF('1 - Input'!$B$17=1,MAX(0,AV117-AN117),0)</f>
        <v>0</v>
      </c>
      <c r="AY117" s="17">
        <f>IF('1 - Input'!$B$17=1,MAX(0,AN117-AV117),0)</f>
        <v>1144.1391798142843</v>
      </c>
      <c r="AZ117" s="17">
        <f t="shared" si="90"/>
        <v>0</v>
      </c>
      <c r="BA117" s="17">
        <f>IF(AND(AY117&gt;0,AS117&gt;0),AY117/(1-'1 - Input'!$B$22*AZ117),0)</f>
        <v>1144.1391798142843</v>
      </c>
      <c r="BB117" s="17">
        <f t="shared" si="91"/>
        <v>1144.1391798142843</v>
      </c>
      <c r="BC117" s="17">
        <f>'1 - Input'!$B$22*AZ117*BB117</f>
        <v>0</v>
      </c>
      <c r="BD117" s="17">
        <f t="shared" si="92"/>
        <v>1144.1391798142843</v>
      </c>
      <c r="BE117" s="17">
        <f t="shared" si="93"/>
        <v>0</v>
      </c>
      <c r="BF117" s="17">
        <f t="shared" si="94"/>
        <v>328.93084009199185</v>
      </c>
      <c r="BG117" s="17">
        <f t="shared" si="95"/>
        <v>338004.61884847889</v>
      </c>
      <c r="BH117" s="17">
        <f t="shared" si="96"/>
        <v>435178.23652919696</v>
      </c>
      <c r="BI117" s="17">
        <f>IF(MOD(AK117,12)=0,BG117*'1 - Input'!$B$23,0)</f>
        <v>0</v>
      </c>
      <c r="BJ117" s="17">
        <f t="shared" si="97"/>
        <v>338004.61884847889</v>
      </c>
      <c r="BK117" s="17">
        <f>IF(MOD(AK117,12)=0,BH117*(1-'1 - Input'!$B$23),BH117)</f>
        <v>435178.23652919696</v>
      </c>
      <c r="BL117" s="17">
        <f>IF('1 - Input'!$B$17=1,MIN(AV117,AN117)+BD117,AV117)</f>
        <v>3040.6385320128002</v>
      </c>
      <c r="BM117" s="17">
        <f t="shared" si="124"/>
        <v>210464.39627170574</v>
      </c>
      <c r="BN117" s="17">
        <f t="shared" si="125"/>
        <v>60493.476709593495</v>
      </c>
      <c r="BO117" s="17">
        <f t="shared" si="126"/>
        <v>0</v>
      </c>
      <c r="BP117" s="17">
        <f t="shared" si="127"/>
        <v>7420.8040875824427</v>
      </c>
      <c r="BQ117" s="17">
        <f t="shared" si="128"/>
        <v>4884.1502345382396</v>
      </c>
      <c r="BR117" s="17">
        <f t="shared" si="129"/>
        <v>0</v>
      </c>
      <c r="BS117" s="15">
        <f t="shared" si="98"/>
        <v>0</v>
      </c>
      <c r="BU117" s="14">
        <v>74</v>
      </c>
      <c r="BV117" s="15">
        <f t="shared" si="99"/>
        <v>7</v>
      </c>
      <c r="BW117" s="16">
        <f>(1+INDEX('1 - Input'!$B$34:$E$63,BV117,'1 - Input'!$B$16))^(1/12)-1</f>
        <v>4.1219243192651689E-3</v>
      </c>
      <c r="BX117" s="17">
        <f>'1 - Input'!$B$7*(1+'1 - Input'!$B$12)^(BV117-1)</f>
        <v>3040.6385320128002</v>
      </c>
      <c r="BY117" s="17">
        <f t="shared" si="130"/>
        <v>410022.94200060912</v>
      </c>
      <c r="BZ117" s="17">
        <f t="shared" si="131"/>
        <v>274669.81405087886</v>
      </c>
      <c r="CA117" s="17">
        <f t="shared" si="100"/>
        <v>411713.02553669811</v>
      </c>
      <c r="CB117" s="17">
        <f>IF(CA117&gt;0,'1 - Input'!$B$8/12*CA117,0)</f>
        <v>3087.8476915252359</v>
      </c>
      <c r="CC117" s="17">
        <f t="shared" si="101"/>
        <v>408625.17784517288</v>
      </c>
      <c r="CD117" s="17">
        <f t="shared" si="102"/>
        <v>3087.8476915252359</v>
      </c>
      <c r="CE117" s="17">
        <f>'1 - Input'!$B$22*(CB117-CD117)</f>
        <v>0</v>
      </c>
      <c r="CF117" s="17">
        <f t="shared" si="103"/>
        <v>3087.8476915252359</v>
      </c>
      <c r="CG117" s="17">
        <f t="shared" si="104"/>
        <v>271581.96635935362</v>
      </c>
      <c r="CH117" s="17">
        <f>IF('1 - Input'!$B$17=1,MAX(0,CF117-BX117),0)</f>
        <v>47.20915951243569</v>
      </c>
      <c r="CI117" s="17">
        <f>IF('1 - Input'!$B$17=1,MAX(0,BX117-CF117),0)</f>
        <v>0</v>
      </c>
      <c r="CJ117" s="17">
        <f t="shared" si="105"/>
        <v>0.335376327539329</v>
      </c>
      <c r="CK117" s="17">
        <f>IF(AND(CI117&gt;0,CC117&gt;0),CI117/(1-'1 - Input'!$B$22*CJ117),0)</f>
        <v>0</v>
      </c>
      <c r="CL117" s="17">
        <f t="shared" si="106"/>
        <v>0</v>
      </c>
      <c r="CM117" s="17">
        <f>'1 - Input'!$B$22*CJ117*CL117</f>
        <v>0</v>
      </c>
      <c r="CN117" s="17">
        <f t="shared" si="107"/>
        <v>0</v>
      </c>
      <c r="CO117" s="17">
        <f t="shared" si="108"/>
        <v>0</v>
      </c>
      <c r="CP117" s="17">
        <f t="shared" si="109"/>
        <v>0</v>
      </c>
      <c r="CQ117" s="17">
        <f t="shared" si="110"/>
        <v>408672.3870046853</v>
      </c>
      <c r="CR117" s="17">
        <f t="shared" si="111"/>
        <v>271629.17551886605</v>
      </c>
      <c r="CS117" s="17">
        <f>IF(MOD(BU117,12)=0,CQ117*'1 - Input'!$B$23,0)</f>
        <v>0</v>
      </c>
      <c r="CT117" s="17">
        <f t="shared" si="112"/>
        <v>408672.3870046853</v>
      </c>
      <c r="CU117" s="17">
        <f>IF(MOD(BU117,12)=0,CR117*(1-'1 - Input'!$B$23),CR117)</f>
        <v>271629.17551886605</v>
      </c>
      <c r="CV117" s="17">
        <f>IF('1 - Input'!$B$17=1,MIN(CF117,BX117)+CN117,CF117)</f>
        <v>3040.6385320128002</v>
      </c>
      <c r="CW117" s="17">
        <f t="shared" si="132"/>
        <v>210464.39627170574</v>
      </c>
      <c r="CX117" s="17">
        <f t="shared" si="133"/>
        <v>0</v>
      </c>
      <c r="CY117" s="17">
        <f t="shared" si="134"/>
        <v>0</v>
      </c>
      <c r="CZ117" s="17">
        <f t="shared" si="135"/>
        <v>0</v>
      </c>
      <c r="DA117" s="17">
        <f t="shared" si="136"/>
        <v>5367.0248528386846</v>
      </c>
      <c r="DB117" s="17">
        <f t="shared" si="137"/>
        <v>0</v>
      </c>
      <c r="DC117" s="15">
        <f t="shared" si="113"/>
        <v>0</v>
      </c>
    </row>
    <row r="118" spans="1:107">
      <c r="A118" s="14">
        <v>75</v>
      </c>
      <c r="B118" s="15">
        <f t="shared" si="69"/>
        <v>7</v>
      </c>
      <c r="C118" s="16">
        <f>(1+INDEX('1 - Input'!$B$34:$E$63,B118,'1 - Input'!$B$16))^(1/12)-1</f>
        <v>4.1219243192651689E-3</v>
      </c>
      <c r="D118" s="17">
        <f>'1 - Input'!$B$7*(1+'1 - Input'!$B$12)^(B118-1)</f>
        <v>3040.6385320128002</v>
      </c>
      <c r="E118" s="17">
        <f t="shared" si="114"/>
        <v>338004.61884847889</v>
      </c>
      <c r="F118" s="17">
        <f t="shared" si="115"/>
        <v>435178.23652919696</v>
      </c>
      <c r="G118" s="17">
        <f t="shared" si="70"/>
        <v>339397.84830693441</v>
      </c>
      <c r="H118" s="17">
        <f>IF(G118&gt;0,'1 - Input'!$B$8/12*G118,0)</f>
        <v>2545.4838623020078</v>
      </c>
      <c r="I118" s="17">
        <f t="shared" si="71"/>
        <v>336852.36444463237</v>
      </c>
      <c r="J118" s="17">
        <f t="shared" si="72"/>
        <v>0</v>
      </c>
      <c r="K118" s="17">
        <f>'1 - Input'!$B$22*(H118-J118)</f>
        <v>661.82580419852206</v>
      </c>
      <c r="L118" s="17">
        <f t="shared" si="73"/>
        <v>1883.6580581034857</v>
      </c>
      <c r="M118" s="17">
        <f t="shared" si="74"/>
        <v>435178.23652919696</v>
      </c>
      <c r="N118" s="17">
        <f>IF('1 - Input'!$B$17=1,MAX(0,L118-D118),0)</f>
        <v>0</v>
      </c>
      <c r="O118" s="17">
        <f>IF('1 - Input'!$B$17=1,MAX(0,D118-L118),0)</f>
        <v>1156.9804739093145</v>
      </c>
      <c r="P118" s="17">
        <f t="shared" si="75"/>
        <v>0</v>
      </c>
      <c r="Q118" s="17">
        <f>IF(AND(O118&gt;0,I118&gt;0),O118/(1-'1 - Input'!$B$22*P118),0)</f>
        <v>1156.9804739093145</v>
      </c>
      <c r="R118" s="17">
        <f t="shared" si="76"/>
        <v>1156.9804739093145</v>
      </c>
      <c r="S118" s="17">
        <f>'1 - Input'!$B$22*P118*R118</f>
        <v>0</v>
      </c>
      <c r="T118" s="17">
        <f t="shared" si="77"/>
        <v>1156.9804739093145</v>
      </c>
      <c r="U118" s="17">
        <f t="shared" si="78"/>
        <v>0</v>
      </c>
      <c r="V118" s="17">
        <f t="shared" si="79"/>
        <v>337.71802157156844</v>
      </c>
      <c r="W118" s="17">
        <f t="shared" si="80"/>
        <v>335695.38397072308</v>
      </c>
      <c r="X118" s="17">
        <f t="shared" si="81"/>
        <v>433683.53803371609</v>
      </c>
      <c r="Y118" s="17">
        <f>IF(MOD(A118,12)=0,W118*'1 - Input'!$B$23,0)</f>
        <v>0</v>
      </c>
      <c r="Z118" s="17">
        <f t="shared" si="82"/>
        <v>335695.38397072308</v>
      </c>
      <c r="AA118" s="17">
        <f>IF(MOD(A118,12)=0,X118*(1-'1 - Input'!$B$23),X118)</f>
        <v>433683.53803371609</v>
      </c>
      <c r="AB118" s="17">
        <f>IF('1 - Input'!$B$17=1,MIN(L118,D118)+T118,L118)</f>
        <v>3040.6385320128002</v>
      </c>
      <c r="AC118" s="17">
        <f t="shared" si="116"/>
        <v>213505.03480371853</v>
      </c>
      <c r="AD118" s="17">
        <f t="shared" si="117"/>
        <v>61155.302513792019</v>
      </c>
      <c r="AE118" s="17">
        <f t="shared" si="118"/>
        <v>0</v>
      </c>
      <c r="AF118" s="17">
        <f t="shared" si="119"/>
        <v>7758.5221091540116</v>
      </c>
      <c r="AG118" s="17">
        <f t="shared" si="120"/>
        <v>4884.1502345382396</v>
      </c>
      <c r="AH118" s="17">
        <f t="shared" si="121"/>
        <v>0</v>
      </c>
      <c r="AI118" s="15">
        <f t="shared" si="83"/>
        <v>0</v>
      </c>
      <c r="AK118" s="14">
        <v>75</v>
      </c>
      <c r="AL118" s="15">
        <f t="shared" si="84"/>
        <v>7</v>
      </c>
      <c r="AM118" s="16">
        <f>(1+INDEX('1 - Input'!$B$34:$E$63,AL118,'1 - Input'!$B$16))^(1/12)-1</f>
        <v>4.1219243192651689E-3</v>
      </c>
      <c r="AN118" s="17">
        <f>'1 - Input'!$B$7*(1+'1 - Input'!$B$12)^(AL118-1)</f>
        <v>3040.6385320128002</v>
      </c>
      <c r="AO118" s="17">
        <f t="shared" si="122"/>
        <v>338004.61884847889</v>
      </c>
      <c r="AP118" s="17">
        <f t="shared" si="123"/>
        <v>435178.23652919696</v>
      </c>
      <c r="AQ118" s="17">
        <f t="shared" si="85"/>
        <v>339397.84830693441</v>
      </c>
      <c r="AR118" s="17">
        <f>IF(AQ118&gt;0,'1 - Input'!$B$8/12*AQ118,0)</f>
        <v>2545.4838623020078</v>
      </c>
      <c r="AS118" s="17">
        <f t="shared" si="86"/>
        <v>336852.36444463237</v>
      </c>
      <c r="AT118" s="17">
        <f t="shared" si="87"/>
        <v>0</v>
      </c>
      <c r="AU118" s="17">
        <f>'1 - Input'!$B$22*(AR118-AT118)</f>
        <v>661.82580419852206</v>
      </c>
      <c r="AV118" s="17">
        <f t="shared" si="88"/>
        <v>1883.6580581034857</v>
      </c>
      <c r="AW118" s="17">
        <f t="shared" si="89"/>
        <v>435178.23652919696</v>
      </c>
      <c r="AX118" s="17">
        <f>IF('1 - Input'!$B$17=1,MAX(0,AV118-AN118),0)</f>
        <v>0</v>
      </c>
      <c r="AY118" s="17">
        <f>IF('1 - Input'!$B$17=1,MAX(0,AN118-AV118),0)</f>
        <v>1156.9804739093145</v>
      </c>
      <c r="AZ118" s="17">
        <f t="shared" si="90"/>
        <v>0</v>
      </c>
      <c r="BA118" s="17">
        <f>IF(AND(AY118&gt;0,AS118&gt;0),AY118/(1-'1 - Input'!$B$22*AZ118),0)</f>
        <v>1156.9804739093145</v>
      </c>
      <c r="BB118" s="17">
        <f t="shared" si="91"/>
        <v>1156.9804739093145</v>
      </c>
      <c r="BC118" s="17">
        <f>'1 - Input'!$B$22*AZ118*BB118</f>
        <v>0</v>
      </c>
      <c r="BD118" s="17">
        <f t="shared" si="92"/>
        <v>1156.9804739093145</v>
      </c>
      <c r="BE118" s="17">
        <f t="shared" si="93"/>
        <v>0</v>
      </c>
      <c r="BF118" s="17">
        <f t="shared" si="94"/>
        <v>337.71802157156844</v>
      </c>
      <c r="BG118" s="17">
        <f t="shared" si="95"/>
        <v>335695.38397072308</v>
      </c>
      <c r="BH118" s="17">
        <f t="shared" si="96"/>
        <v>433683.53803371609</v>
      </c>
      <c r="BI118" s="17">
        <f>IF(MOD(AK118,12)=0,BG118*'1 - Input'!$B$23,0)</f>
        <v>0</v>
      </c>
      <c r="BJ118" s="17">
        <f t="shared" si="97"/>
        <v>335695.38397072308</v>
      </c>
      <c r="BK118" s="17">
        <f>IF(MOD(AK118,12)=0,BH118*(1-'1 - Input'!$B$23),BH118)</f>
        <v>433683.53803371609</v>
      </c>
      <c r="BL118" s="17">
        <f>IF('1 - Input'!$B$17=1,MIN(AV118,AN118)+BD118,AV118)</f>
        <v>3040.6385320128002</v>
      </c>
      <c r="BM118" s="17">
        <f t="shared" si="124"/>
        <v>213505.03480371853</v>
      </c>
      <c r="BN118" s="17">
        <f t="shared" si="125"/>
        <v>61155.302513792019</v>
      </c>
      <c r="BO118" s="17">
        <f t="shared" si="126"/>
        <v>0</v>
      </c>
      <c r="BP118" s="17">
        <f t="shared" si="127"/>
        <v>7758.5221091540116</v>
      </c>
      <c r="BQ118" s="17">
        <f t="shared" si="128"/>
        <v>4884.1502345382396</v>
      </c>
      <c r="BR118" s="17">
        <f t="shared" si="129"/>
        <v>0</v>
      </c>
      <c r="BS118" s="15">
        <f t="shared" si="98"/>
        <v>0</v>
      </c>
      <c r="BU118" s="14">
        <v>75</v>
      </c>
      <c r="BV118" s="15">
        <f t="shared" si="99"/>
        <v>7</v>
      </c>
      <c r="BW118" s="16">
        <f>(1+INDEX('1 - Input'!$B$34:$E$63,BV118,'1 - Input'!$B$16))^(1/12)-1</f>
        <v>4.1219243192651689E-3</v>
      </c>
      <c r="BX118" s="17">
        <f>'1 - Input'!$B$7*(1+'1 - Input'!$B$12)^(BV118-1)</f>
        <v>3040.6385320128002</v>
      </c>
      <c r="BY118" s="17">
        <f t="shared" si="130"/>
        <v>408672.3870046853</v>
      </c>
      <c r="BZ118" s="17">
        <f t="shared" si="131"/>
        <v>271629.17551886605</v>
      </c>
      <c r="CA118" s="17">
        <f t="shared" si="100"/>
        <v>410356.90365529206</v>
      </c>
      <c r="CB118" s="17">
        <f>IF(CA118&gt;0,'1 - Input'!$B$8/12*CA118,0)</f>
        <v>3077.6767774146902</v>
      </c>
      <c r="CC118" s="17">
        <f t="shared" si="101"/>
        <v>407279.22687787737</v>
      </c>
      <c r="CD118" s="17">
        <f t="shared" si="102"/>
        <v>3077.6767774146902</v>
      </c>
      <c r="CE118" s="17">
        <f>'1 - Input'!$B$22*(CB118-CD118)</f>
        <v>0</v>
      </c>
      <c r="CF118" s="17">
        <f t="shared" si="103"/>
        <v>3077.6767774146902</v>
      </c>
      <c r="CG118" s="17">
        <f t="shared" si="104"/>
        <v>268551.49874145136</v>
      </c>
      <c r="CH118" s="17">
        <f>IF('1 - Input'!$B$17=1,MAX(0,CF118-BX118),0)</f>
        <v>37.038245401889981</v>
      </c>
      <c r="CI118" s="17">
        <f>IF('1 - Input'!$B$17=1,MAX(0,BX118-CF118),0)</f>
        <v>0</v>
      </c>
      <c r="CJ118" s="17">
        <f t="shared" si="105"/>
        <v>0.34062068227708431</v>
      </c>
      <c r="CK118" s="17">
        <f>IF(AND(CI118&gt;0,CC118&gt;0),CI118/(1-'1 - Input'!$B$22*CJ118),0)</f>
        <v>0</v>
      </c>
      <c r="CL118" s="17">
        <f t="shared" si="106"/>
        <v>0</v>
      </c>
      <c r="CM118" s="17">
        <f>'1 - Input'!$B$22*CJ118*CL118</f>
        <v>0</v>
      </c>
      <c r="CN118" s="17">
        <f t="shared" si="107"/>
        <v>0</v>
      </c>
      <c r="CO118" s="17">
        <f t="shared" si="108"/>
        <v>0</v>
      </c>
      <c r="CP118" s="17">
        <f t="shared" si="109"/>
        <v>0</v>
      </c>
      <c r="CQ118" s="17">
        <f t="shared" si="110"/>
        <v>407316.26512327924</v>
      </c>
      <c r="CR118" s="17">
        <f t="shared" si="111"/>
        <v>268588.53698685323</v>
      </c>
      <c r="CS118" s="17">
        <f>IF(MOD(BU118,12)=0,CQ118*'1 - Input'!$B$23,0)</f>
        <v>0</v>
      </c>
      <c r="CT118" s="17">
        <f t="shared" si="112"/>
        <v>407316.26512327924</v>
      </c>
      <c r="CU118" s="17">
        <f>IF(MOD(BU118,12)=0,CR118*(1-'1 - Input'!$B$23),CR118)</f>
        <v>268588.53698685323</v>
      </c>
      <c r="CV118" s="17">
        <f>IF('1 - Input'!$B$17=1,MIN(CF118,BX118)+CN118,CF118)</f>
        <v>3040.6385320128002</v>
      </c>
      <c r="CW118" s="17">
        <f t="shared" si="132"/>
        <v>213505.03480371853</v>
      </c>
      <c r="CX118" s="17">
        <f t="shared" si="133"/>
        <v>0</v>
      </c>
      <c r="CY118" s="17">
        <f t="shared" si="134"/>
        <v>0</v>
      </c>
      <c r="CZ118" s="17">
        <f t="shared" si="135"/>
        <v>0</v>
      </c>
      <c r="DA118" s="17">
        <f t="shared" si="136"/>
        <v>5367.0248528386846</v>
      </c>
      <c r="DB118" s="17">
        <f t="shared" si="137"/>
        <v>0</v>
      </c>
      <c r="DC118" s="15">
        <f t="shared" si="113"/>
        <v>0</v>
      </c>
    </row>
    <row r="119" spans="1:107">
      <c r="A119" s="14">
        <v>76</v>
      </c>
      <c r="B119" s="15">
        <f t="shared" si="69"/>
        <v>7</v>
      </c>
      <c r="C119" s="16">
        <f>(1+INDEX('1 - Input'!$B$34:$E$63,B119,'1 - Input'!$B$16))^(1/12)-1</f>
        <v>4.1219243192651689E-3</v>
      </c>
      <c r="D119" s="17">
        <f>'1 - Input'!$B$7*(1+'1 - Input'!$B$12)^(B119-1)</f>
        <v>3040.6385320128002</v>
      </c>
      <c r="E119" s="17">
        <f t="shared" si="114"/>
        <v>335695.38397072308</v>
      </c>
      <c r="F119" s="17">
        <f t="shared" si="115"/>
        <v>433683.53803371609</v>
      </c>
      <c r="G119" s="17">
        <f t="shared" si="70"/>
        <v>337079.09493777709</v>
      </c>
      <c r="H119" s="17">
        <f>IF(G119&gt;0,'1 - Input'!$B$8/12*G119,0)</f>
        <v>2528.0932120333282</v>
      </c>
      <c r="I119" s="17">
        <f t="shared" si="71"/>
        <v>334551.00172574376</v>
      </c>
      <c r="J119" s="17">
        <f t="shared" si="72"/>
        <v>0</v>
      </c>
      <c r="K119" s="17">
        <f>'1 - Input'!$B$22*(H119-J119)</f>
        <v>657.30423512866537</v>
      </c>
      <c r="L119" s="17">
        <f t="shared" si="73"/>
        <v>1870.7889769046628</v>
      </c>
      <c r="M119" s="17">
        <f t="shared" si="74"/>
        <v>433683.53803371609</v>
      </c>
      <c r="N119" s="17">
        <f>IF('1 - Input'!$B$17=1,MAX(0,L119-D119),0)</f>
        <v>0</v>
      </c>
      <c r="O119" s="17">
        <f>IF('1 - Input'!$B$17=1,MAX(0,D119-L119),0)</f>
        <v>1169.8495551081373</v>
      </c>
      <c r="P119" s="17">
        <f t="shared" si="75"/>
        <v>0</v>
      </c>
      <c r="Q119" s="17">
        <f>IF(AND(O119&gt;0,I119&gt;0),O119/(1-'1 - Input'!$B$22*P119),0)</f>
        <v>1169.8495551081373</v>
      </c>
      <c r="R119" s="17">
        <f t="shared" si="76"/>
        <v>1169.8495551081373</v>
      </c>
      <c r="S119" s="17">
        <f>'1 - Input'!$B$22*P119*R119</f>
        <v>0</v>
      </c>
      <c r="T119" s="17">
        <f t="shared" si="77"/>
        <v>1169.8495551081373</v>
      </c>
      <c r="U119" s="17">
        <f t="shared" si="78"/>
        <v>0</v>
      </c>
      <c r="V119" s="17">
        <f t="shared" si="79"/>
        <v>346.64416755114672</v>
      </c>
      <c r="W119" s="17">
        <f t="shared" si="80"/>
        <v>333381.15217063564</v>
      </c>
      <c r="X119" s="17">
        <f t="shared" si="81"/>
        <v>432167.04431105684</v>
      </c>
      <c r="Y119" s="17">
        <f>IF(MOD(A119,12)=0,W119*'1 - Input'!$B$23,0)</f>
        <v>0</v>
      </c>
      <c r="Z119" s="17">
        <f t="shared" si="82"/>
        <v>333381.15217063564</v>
      </c>
      <c r="AA119" s="17">
        <f>IF(MOD(A119,12)=0,X119*(1-'1 - Input'!$B$23),X119)</f>
        <v>432167.04431105684</v>
      </c>
      <c r="AB119" s="17">
        <f>IF('1 - Input'!$B$17=1,MIN(L119,D119)+T119,L119)</f>
        <v>3040.6385320128002</v>
      </c>
      <c r="AC119" s="17">
        <f t="shared" si="116"/>
        <v>216545.67333573132</v>
      </c>
      <c r="AD119" s="17">
        <f t="shared" si="117"/>
        <v>61812.606748920683</v>
      </c>
      <c r="AE119" s="17">
        <f t="shared" si="118"/>
        <v>0</v>
      </c>
      <c r="AF119" s="17">
        <f t="shared" si="119"/>
        <v>8105.1662767051585</v>
      </c>
      <c r="AG119" s="17">
        <f t="shared" si="120"/>
        <v>4884.1502345382396</v>
      </c>
      <c r="AH119" s="17">
        <f t="shared" si="121"/>
        <v>0</v>
      </c>
      <c r="AI119" s="15">
        <f t="shared" si="83"/>
        <v>0</v>
      </c>
      <c r="AK119" s="14">
        <v>76</v>
      </c>
      <c r="AL119" s="15">
        <f t="shared" si="84"/>
        <v>7</v>
      </c>
      <c r="AM119" s="16">
        <f>(1+INDEX('1 - Input'!$B$34:$E$63,AL119,'1 - Input'!$B$16))^(1/12)-1</f>
        <v>4.1219243192651689E-3</v>
      </c>
      <c r="AN119" s="17">
        <f>'1 - Input'!$B$7*(1+'1 - Input'!$B$12)^(AL119-1)</f>
        <v>3040.6385320128002</v>
      </c>
      <c r="AO119" s="17">
        <f t="shared" si="122"/>
        <v>335695.38397072308</v>
      </c>
      <c r="AP119" s="17">
        <f t="shared" si="123"/>
        <v>433683.53803371609</v>
      </c>
      <c r="AQ119" s="17">
        <f t="shared" si="85"/>
        <v>337079.09493777709</v>
      </c>
      <c r="AR119" s="17">
        <f>IF(AQ119&gt;0,'1 - Input'!$B$8/12*AQ119,0)</f>
        <v>2528.0932120333282</v>
      </c>
      <c r="AS119" s="17">
        <f t="shared" si="86"/>
        <v>334551.00172574376</v>
      </c>
      <c r="AT119" s="17">
        <f t="shared" si="87"/>
        <v>0</v>
      </c>
      <c r="AU119" s="17">
        <f>'1 - Input'!$B$22*(AR119-AT119)</f>
        <v>657.30423512866537</v>
      </c>
      <c r="AV119" s="17">
        <f t="shared" si="88"/>
        <v>1870.7889769046628</v>
      </c>
      <c r="AW119" s="17">
        <f t="shared" si="89"/>
        <v>433683.53803371609</v>
      </c>
      <c r="AX119" s="17">
        <f>IF('1 - Input'!$B$17=1,MAX(0,AV119-AN119),0)</f>
        <v>0</v>
      </c>
      <c r="AY119" s="17">
        <f>IF('1 - Input'!$B$17=1,MAX(0,AN119-AV119),0)</f>
        <v>1169.8495551081373</v>
      </c>
      <c r="AZ119" s="17">
        <f t="shared" si="90"/>
        <v>0</v>
      </c>
      <c r="BA119" s="17">
        <f>IF(AND(AY119&gt;0,AS119&gt;0),AY119/(1-'1 - Input'!$B$22*AZ119),0)</f>
        <v>1169.8495551081373</v>
      </c>
      <c r="BB119" s="17">
        <f t="shared" si="91"/>
        <v>1169.8495551081373</v>
      </c>
      <c r="BC119" s="17">
        <f>'1 - Input'!$B$22*AZ119*BB119</f>
        <v>0</v>
      </c>
      <c r="BD119" s="17">
        <f t="shared" si="92"/>
        <v>1169.8495551081373</v>
      </c>
      <c r="BE119" s="17">
        <f t="shared" si="93"/>
        <v>0</v>
      </c>
      <c r="BF119" s="17">
        <f t="shared" si="94"/>
        <v>346.64416755114672</v>
      </c>
      <c r="BG119" s="17">
        <f t="shared" si="95"/>
        <v>333381.15217063564</v>
      </c>
      <c r="BH119" s="17">
        <f t="shared" si="96"/>
        <v>432167.04431105684</v>
      </c>
      <c r="BI119" s="17">
        <f>IF(MOD(AK119,12)=0,BG119*'1 - Input'!$B$23,0)</f>
        <v>0</v>
      </c>
      <c r="BJ119" s="17">
        <f t="shared" si="97"/>
        <v>333381.15217063564</v>
      </c>
      <c r="BK119" s="17">
        <f>IF(MOD(AK119,12)=0,BH119*(1-'1 - Input'!$B$23),BH119)</f>
        <v>432167.04431105684</v>
      </c>
      <c r="BL119" s="17">
        <f>IF('1 - Input'!$B$17=1,MIN(AV119,AN119)+BD119,AV119)</f>
        <v>3040.6385320128002</v>
      </c>
      <c r="BM119" s="17">
        <f t="shared" si="124"/>
        <v>216545.67333573132</v>
      </c>
      <c r="BN119" s="17">
        <f t="shared" si="125"/>
        <v>61812.606748920683</v>
      </c>
      <c r="BO119" s="17">
        <f t="shared" si="126"/>
        <v>0</v>
      </c>
      <c r="BP119" s="17">
        <f t="shared" si="127"/>
        <v>8105.1662767051585</v>
      </c>
      <c r="BQ119" s="17">
        <f t="shared" si="128"/>
        <v>4884.1502345382396</v>
      </c>
      <c r="BR119" s="17">
        <f t="shared" si="129"/>
        <v>0</v>
      </c>
      <c r="BS119" s="15">
        <f t="shared" si="98"/>
        <v>0</v>
      </c>
      <c r="BU119" s="14">
        <v>76</v>
      </c>
      <c r="BV119" s="15">
        <f t="shared" si="99"/>
        <v>7</v>
      </c>
      <c r="BW119" s="16">
        <f>(1+INDEX('1 - Input'!$B$34:$E$63,BV119,'1 - Input'!$B$16))^(1/12)-1</f>
        <v>4.1219243192651689E-3</v>
      </c>
      <c r="BX119" s="17">
        <f>'1 - Input'!$B$7*(1+'1 - Input'!$B$12)^(BV119-1)</f>
        <v>3040.6385320128002</v>
      </c>
      <c r="BY119" s="17">
        <f t="shared" si="130"/>
        <v>407316.26512327924</v>
      </c>
      <c r="BZ119" s="17">
        <f t="shared" si="131"/>
        <v>268588.53698685323</v>
      </c>
      <c r="CA119" s="17">
        <f t="shared" si="100"/>
        <v>408995.19194212317</v>
      </c>
      <c r="CB119" s="17">
        <f>IF(CA119&gt;0,'1 - Input'!$B$8/12*CA119,0)</f>
        <v>3067.4639395659237</v>
      </c>
      <c r="CC119" s="17">
        <f t="shared" si="101"/>
        <v>405927.72800255724</v>
      </c>
      <c r="CD119" s="17">
        <f t="shared" si="102"/>
        <v>3067.4639395659237</v>
      </c>
      <c r="CE119" s="17">
        <f>'1 - Input'!$B$22*(CB119-CD119)</f>
        <v>0</v>
      </c>
      <c r="CF119" s="17">
        <f t="shared" si="103"/>
        <v>3067.4639395659237</v>
      </c>
      <c r="CG119" s="17">
        <f t="shared" si="104"/>
        <v>265521.0730472873</v>
      </c>
      <c r="CH119" s="17">
        <f>IF('1 - Input'!$B$17=1,MAX(0,CF119-BX119),0)</f>
        <v>26.825407553123569</v>
      </c>
      <c r="CI119" s="17">
        <f>IF('1 - Input'!$B$17=1,MAX(0,BX119-CF119),0)</f>
        <v>0</v>
      </c>
      <c r="CJ119" s="17">
        <f t="shared" si="105"/>
        <v>0.34589077136013091</v>
      </c>
      <c r="CK119" s="17">
        <f>IF(AND(CI119&gt;0,CC119&gt;0),CI119/(1-'1 - Input'!$B$22*CJ119),0)</f>
        <v>0</v>
      </c>
      <c r="CL119" s="17">
        <f t="shared" si="106"/>
        <v>0</v>
      </c>
      <c r="CM119" s="17">
        <f>'1 - Input'!$B$22*CJ119*CL119</f>
        <v>0</v>
      </c>
      <c r="CN119" s="17">
        <f t="shared" si="107"/>
        <v>0</v>
      </c>
      <c r="CO119" s="17">
        <f t="shared" si="108"/>
        <v>0</v>
      </c>
      <c r="CP119" s="17">
        <f t="shared" si="109"/>
        <v>0</v>
      </c>
      <c r="CQ119" s="17">
        <f t="shared" si="110"/>
        <v>405954.55341011035</v>
      </c>
      <c r="CR119" s="17">
        <f t="shared" si="111"/>
        <v>265547.89845484041</v>
      </c>
      <c r="CS119" s="17">
        <f>IF(MOD(BU119,12)=0,CQ119*'1 - Input'!$B$23,0)</f>
        <v>0</v>
      </c>
      <c r="CT119" s="17">
        <f t="shared" si="112"/>
        <v>405954.55341011035</v>
      </c>
      <c r="CU119" s="17">
        <f>IF(MOD(BU119,12)=0,CR119*(1-'1 - Input'!$B$23),CR119)</f>
        <v>265547.89845484041</v>
      </c>
      <c r="CV119" s="17">
        <f>IF('1 - Input'!$B$17=1,MIN(CF119,BX119)+CN119,CF119)</f>
        <v>3040.6385320128002</v>
      </c>
      <c r="CW119" s="17">
        <f t="shared" si="132"/>
        <v>216545.67333573132</v>
      </c>
      <c r="CX119" s="17">
        <f t="shared" si="133"/>
        <v>0</v>
      </c>
      <c r="CY119" s="17">
        <f t="shared" si="134"/>
        <v>0</v>
      </c>
      <c r="CZ119" s="17">
        <f t="shared" si="135"/>
        <v>0</v>
      </c>
      <c r="DA119" s="17">
        <f t="shared" si="136"/>
        <v>5367.0248528386846</v>
      </c>
      <c r="DB119" s="17">
        <f t="shared" si="137"/>
        <v>0</v>
      </c>
      <c r="DC119" s="15">
        <f t="shared" si="113"/>
        <v>0</v>
      </c>
    </row>
    <row r="120" spans="1:107">
      <c r="A120" s="14">
        <v>77</v>
      </c>
      <c r="B120" s="15">
        <f t="shared" si="69"/>
        <v>7</v>
      </c>
      <c r="C120" s="16">
        <f>(1+INDEX('1 - Input'!$B$34:$E$63,B120,'1 - Input'!$B$16))^(1/12)-1</f>
        <v>4.1219243192651689E-3</v>
      </c>
      <c r="D120" s="17">
        <f>'1 - Input'!$B$7*(1+'1 - Input'!$B$12)^(B120-1)</f>
        <v>3040.6385320128002</v>
      </c>
      <c r="E120" s="17">
        <f t="shared" si="114"/>
        <v>333381.15217063564</v>
      </c>
      <c r="F120" s="17">
        <f t="shared" si="115"/>
        <v>432167.04431105684</v>
      </c>
      <c r="G120" s="17">
        <f t="shared" si="70"/>
        <v>334755.32404935244</v>
      </c>
      <c r="H120" s="17">
        <f>IF(G120&gt;0,'1 - Input'!$B$8/12*G120,0)</f>
        <v>2510.6649303701433</v>
      </c>
      <c r="I120" s="17">
        <f t="shared" si="71"/>
        <v>332244.65911898226</v>
      </c>
      <c r="J120" s="17">
        <f t="shared" si="72"/>
        <v>0</v>
      </c>
      <c r="K120" s="17">
        <f>'1 - Input'!$B$22*(H120-J120)</f>
        <v>652.77288189623732</v>
      </c>
      <c r="L120" s="17">
        <f t="shared" si="73"/>
        <v>1857.892048473906</v>
      </c>
      <c r="M120" s="17">
        <f t="shared" si="74"/>
        <v>432167.04431105684</v>
      </c>
      <c r="N120" s="17">
        <f>IF('1 - Input'!$B$17=1,MAX(0,L120-D120),0)</f>
        <v>0</v>
      </c>
      <c r="O120" s="17">
        <f>IF('1 - Input'!$B$17=1,MAX(0,D120-L120),0)</f>
        <v>1182.7464835388942</v>
      </c>
      <c r="P120" s="17">
        <f t="shared" si="75"/>
        <v>0</v>
      </c>
      <c r="Q120" s="17">
        <f>IF(AND(O120&gt;0,I120&gt;0),O120/(1-'1 - Input'!$B$22*P120),0)</f>
        <v>1182.7464835388942</v>
      </c>
      <c r="R120" s="17">
        <f t="shared" si="76"/>
        <v>1182.7464835388942</v>
      </c>
      <c r="S120" s="17">
        <f>'1 - Input'!$B$22*P120*R120</f>
        <v>0</v>
      </c>
      <c r="T120" s="17">
        <f t="shared" si="77"/>
        <v>1182.7464835388942</v>
      </c>
      <c r="U120" s="17">
        <f t="shared" si="78"/>
        <v>0</v>
      </c>
      <c r="V120" s="17">
        <f t="shared" si="79"/>
        <v>355.71030705544575</v>
      </c>
      <c r="W120" s="17">
        <f t="shared" si="80"/>
        <v>331061.91263544338</v>
      </c>
      <c r="X120" s="17">
        <f t="shared" si="81"/>
        <v>430628.58752046252</v>
      </c>
      <c r="Y120" s="17">
        <f>IF(MOD(A120,12)=0,W120*'1 - Input'!$B$23,0)</f>
        <v>0</v>
      </c>
      <c r="Z120" s="17">
        <f t="shared" si="82"/>
        <v>331061.91263544338</v>
      </c>
      <c r="AA120" s="17">
        <f>IF(MOD(A120,12)=0,X120*(1-'1 - Input'!$B$23),X120)</f>
        <v>430628.58752046252</v>
      </c>
      <c r="AB120" s="17">
        <f>IF('1 - Input'!$B$17=1,MIN(L120,D120)+T120,L120)</f>
        <v>3040.6385320128002</v>
      </c>
      <c r="AC120" s="17">
        <f t="shared" si="116"/>
        <v>219586.31186774411</v>
      </c>
      <c r="AD120" s="17">
        <f t="shared" si="117"/>
        <v>62465.379630816919</v>
      </c>
      <c r="AE120" s="17">
        <f t="shared" si="118"/>
        <v>0</v>
      </c>
      <c r="AF120" s="17">
        <f t="shared" si="119"/>
        <v>8460.8765837606043</v>
      </c>
      <c r="AG120" s="17">
        <f t="shared" si="120"/>
        <v>4884.1502345382396</v>
      </c>
      <c r="AH120" s="17">
        <f t="shared" si="121"/>
        <v>0</v>
      </c>
      <c r="AI120" s="15">
        <f t="shared" si="83"/>
        <v>0</v>
      </c>
      <c r="AK120" s="14">
        <v>77</v>
      </c>
      <c r="AL120" s="15">
        <f t="shared" si="84"/>
        <v>7</v>
      </c>
      <c r="AM120" s="16">
        <f>(1+INDEX('1 - Input'!$B$34:$E$63,AL120,'1 - Input'!$B$16))^(1/12)-1</f>
        <v>4.1219243192651689E-3</v>
      </c>
      <c r="AN120" s="17">
        <f>'1 - Input'!$B$7*(1+'1 - Input'!$B$12)^(AL120-1)</f>
        <v>3040.6385320128002</v>
      </c>
      <c r="AO120" s="17">
        <f t="shared" si="122"/>
        <v>333381.15217063564</v>
      </c>
      <c r="AP120" s="17">
        <f t="shared" si="123"/>
        <v>432167.04431105684</v>
      </c>
      <c r="AQ120" s="17">
        <f t="shared" si="85"/>
        <v>334755.32404935244</v>
      </c>
      <c r="AR120" s="17">
        <f>IF(AQ120&gt;0,'1 - Input'!$B$8/12*AQ120,0)</f>
        <v>2510.6649303701433</v>
      </c>
      <c r="AS120" s="17">
        <f t="shared" si="86"/>
        <v>332244.65911898226</v>
      </c>
      <c r="AT120" s="17">
        <f t="shared" si="87"/>
        <v>0</v>
      </c>
      <c r="AU120" s="17">
        <f>'1 - Input'!$B$22*(AR120-AT120)</f>
        <v>652.77288189623732</v>
      </c>
      <c r="AV120" s="17">
        <f t="shared" si="88"/>
        <v>1857.892048473906</v>
      </c>
      <c r="AW120" s="17">
        <f t="shared" si="89"/>
        <v>432167.04431105684</v>
      </c>
      <c r="AX120" s="17">
        <f>IF('1 - Input'!$B$17=1,MAX(0,AV120-AN120),0)</f>
        <v>0</v>
      </c>
      <c r="AY120" s="17">
        <f>IF('1 - Input'!$B$17=1,MAX(0,AN120-AV120),0)</f>
        <v>1182.7464835388942</v>
      </c>
      <c r="AZ120" s="17">
        <f t="shared" si="90"/>
        <v>0</v>
      </c>
      <c r="BA120" s="17">
        <f>IF(AND(AY120&gt;0,AS120&gt;0),AY120/(1-'1 - Input'!$B$22*AZ120),0)</f>
        <v>1182.7464835388942</v>
      </c>
      <c r="BB120" s="17">
        <f t="shared" si="91"/>
        <v>1182.7464835388942</v>
      </c>
      <c r="BC120" s="17">
        <f>'1 - Input'!$B$22*AZ120*BB120</f>
        <v>0</v>
      </c>
      <c r="BD120" s="17">
        <f t="shared" si="92"/>
        <v>1182.7464835388942</v>
      </c>
      <c r="BE120" s="17">
        <f t="shared" si="93"/>
        <v>0</v>
      </c>
      <c r="BF120" s="17">
        <f t="shared" si="94"/>
        <v>355.71030705544575</v>
      </c>
      <c r="BG120" s="17">
        <f t="shared" si="95"/>
        <v>331061.91263544338</v>
      </c>
      <c r="BH120" s="17">
        <f t="shared" si="96"/>
        <v>430628.58752046252</v>
      </c>
      <c r="BI120" s="17">
        <f>IF(MOD(AK120,12)=0,BG120*'1 - Input'!$B$23,0)</f>
        <v>0</v>
      </c>
      <c r="BJ120" s="17">
        <f t="shared" si="97"/>
        <v>331061.91263544338</v>
      </c>
      <c r="BK120" s="17">
        <f>IF(MOD(AK120,12)=0,BH120*(1-'1 - Input'!$B$23),BH120)</f>
        <v>430628.58752046252</v>
      </c>
      <c r="BL120" s="17">
        <f>IF('1 - Input'!$B$17=1,MIN(AV120,AN120)+BD120,AV120)</f>
        <v>3040.6385320128002</v>
      </c>
      <c r="BM120" s="17">
        <f t="shared" si="124"/>
        <v>219586.31186774411</v>
      </c>
      <c r="BN120" s="17">
        <f t="shared" si="125"/>
        <v>62465.379630816919</v>
      </c>
      <c r="BO120" s="17">
        <f t="shared" si="126"/>
        <v>0</v>
      </c>
      <c r="BP120" s="17">
        <f t="shared" si="127"/>
        <v>8460.8765837606043</v>
      </c>
      <c r="BQ120" s="17">
        <f t="shared" si="128"/>
        <v>4884.1502345382396</v>
      </c>
      <c r="BR120" s="17">
        <f t="shared" si="129"/>
        <v>0</v>
      </c>
      <c r="BS120" s="15">
        <f t="shared" si="98"/>
        <v>0</v>
      </c>
      <c r="BU120" s="14">
        <v>77</v>
      </c>
      <c r="BV120" s="15">
        <f t="shared" si="99"/>
        <v>7</v>
      </c>
      <c r="BW120" s="16">
        <f>(1+INDEX('1 - Input'!$B$34:$E$63,BV120,'1 - Input'!$B$16))^(1/12)-1</f>
        <v>4.1219243192651689E-3</v>
      </c>
      <c r="BX120" s="17">
        <f>'1 - Input'!$B$7*(1+'1 - Input'!$B$12)^(BV120-1)</f>
        <v>3040.6385320128002</v>
      </c>
      <c r="BY120" s="17">
        <f t="shared" si="130"/>
        <v>405954.55341011035</v>
      </c>
      <c r="BZ120" s="17">
        <f t="shared" si="131"/>
        <v>265547.89845484041</v>
      </c>
      <c r="CA120" s="17">
        <f t="shared" si="100"/>
        <v>407627.86735632794</v>
      </c>
      <c r="CB120" s="17">
        <f>IF(CA120&gt;0,'1 - Input'!$B$8/12*CA120,0)</f>
        <v>3057.2090051724595</v>
      </c>
      <c r="CC120" s="17">
        <f t="shared" si="101"/>
        <v>404570.65835115546</v>
      </c>
      <c r="CD120" s="17">
        <f t="shared" si="102"/>
        <v>3057.2090051724595</v>
      </c>
      <c r="CE120" s="17">
        <f>'1 - Input'!$B$22*(CB120-CD120)</f>
        <v>0</v>
      </c>
      <c r="CF120" s="17">
        <f t="shared" si="103"/>
        <v>3057.2090051724595</v>
      </c>
      <c r="CG120" s="17">
        <f t="shared" si="104"/>
        <v>262490.68944966793</v>
      </c>
      <c r="CH120" s="17">
        <f>IF('1 - Input'!$B$17=1,MAX(0,CF120-BX120),0)</f>
        <v>16.570473159659286</v>
      </c>
      <c r="CI120" s="17">
        <f>IF('1 - Input'!$B$17=1,MAX(0,BX120-CF120),0)</f>
        <v>0</v>
      </c>
      <c r="CJ120" s="17">
        <f t="shared" si="105"/>
        <v>0.35118703239760474</v>
      </c>
      <c r="CK120" s="17">
        <f>IF(AND(CI120&gt;0,CC120&gt;0),CI120/(1-'1 - Input'!$B$22*CJ120),0)</f>
        <v>0</v>
      </c>
      <c r="CL120" s="17">
        <f t="shared" si="106"/>
        <v>0</v>
      </c>
      <c r="CM120" s="17">
        <f>'1 - Input'!$B$22*CJ120*CL120</f>
        <v>0</v>
      </c>
      <c r="CN120" s="17">
        <f t="shared" si="107"/>
        <v>0</v>
      </c>
      <c r="CO120" s="17">
        <f t="shared" si="108"/>
        <v>0</v>
      </c>
      <c r="CP120" s="17">
        <f t="shared" si="109"/>
        <v>0</v>
      </c>
      <c r="CQ120" s="17">
        <f t="shared" si="110"/>
        <v>404587.22882431513</v>
      </c>
      <c r="CR120" s="17">
        <f t="shared" si="111"/>
        <v>262507.25992282759</v>
      </c>
      <c r="CS120" s="17">
        <f>IF(MOD(BU120,12)=0,CQ120*'1 - Input'!$B$23,0)</f>
        <v>0</v>
      </c>
      <c r="CT120" s="17">
        <f t="shared" si="112"/>
        <v>404587.22882431513</v>
      </c>
      <c r="CU120" s="17">
        <f>IF(MOD(BU120,12)=0,CR120*(1-'1 - Input'!$B$23),CR120)</f>
        <v>262507.25992282759</v>
      </c>
      <c r="CV120" s="17">
        <f>IF('1 - Input'!$B$17=1,MIN(CF120,BX120)+CN120,CF120)</f>
        <v>3040.6385320128002</v>
      </c>
      <c r="CW120" s="17">
        <f t="shared" si="132"/>
        <v>219586.31186774411</v>
      </c>
      <c r="CX120" s="17">
        <f t="shared" si="133"/>
        <v>0</v>
      </c>
      <c r="CY120" s="17">
        <f t="shared" si="134"/>
        <v>0</v>
      </c>
      <c r="CZ120" s="17">
        <f t="shared" si="135"/>
        <v>0</v>
      </c>
      <c r="DA120" s="17">
        <f t="shared" si="136"/>
        <v>5367.0248528386846</v>
      </c>
      <c r="DB120" s="17">
        <f t="shared" si="137"/>
        <v>0</v>
      </c>
      <c r="DC120" s="15">
        <f t="shared" si="113"/>
        <v>0</v>
      </c>
    </row>
    <row r="121" spans="1:107">
      <c r="A121" s="14">
        <v>78</v>
      </c>
      <c r="B121" s="15">
        <f t="shared" si="69"/>
        <v>7</v>
      </c>
      <c r="C121" s="16">
        <f>(1+INDEX('1 - Input'!$B$34:$E$63,B121,'1 - Input'!$B$16))^(1/12)-1</f>
        <v>4.1219243192651689E-3</v>
      </c>
      <c r="D121" s="17">
        <f>'1 - Input'!$B$7*(1+'1 - Input'!$B$12)^(B121-1)</f>
        <v>3040.6385320128002</v>
      </c>
      <c r="E121" s="17">
        <f t="shared" si="114"/>
        <v>331061.91263544338</v>
      </c>
      <c r="F121" s="17">
        <f t="shared" si="115"/>
        <v>430628.58752046252</v>
      </c>
      <c r="G121" s="17">
        <f t="shared" si="70"/>
        <v>332426.52478431788</v>
      </c>
      <c r="H121" s="17">
        <f>IF(G121&gt;0,'1 - Input'!$B$8/12*G121,0)</f>
        <v>2493.1989358823839</v>
      </c>
      <c r="I121" s="17">
        <f t="shared" si="71"/>
        <v>329933.32584843552</v>
      </c>
      <c r="J121" s="17">
        <f t="shared" si="72"/>
        <v>0</v>
      </c>
      <c r="K121" s="17">
        <f>'1 - Input'!$B$22*(H121-J121)</f>
        <v>648.23172332941988</v>
      </c>
      <c r="L121" s="17">
        <f t="shared" si="73"/>
        <v>1844.9672125529642</v>
      </c>
      <c r="M121" s="17">
        <f t="shared" si="74"/>
        <v>430628.58752046252</v>
      </c>
      <c r="N121" s="17">
        <f>IF('1 - Input'!$B$17=1,MAX(0,L121-D121),0)</f>
        <v>0</v>
      </c>
      <c r="O121" s="17">
        <f>IF('1 - Input'!$B$17=1,MAX(0,D121-L121),0)</f>
        <v>1195.671319459836</v>
      </c>
      <c r="P121" s="17">
        <f t="shared" si="75"/>
        <v>0</v>
      </c>
      <c r="Q121" s="17">
        <f>IF(AND(O121&gt;0,I121&gt;0),O121/(1-'1 - Input'!$B$22*P121),0)</f>
        <v>1195.671319459836</v>
      </c>
      <c r="R121" s="17">
        <f t="shared" si="76"/>
        <v>1195.671319459836</v>
      </c>
      <c r="S121" s="17">
        <f>'1 - Input'!$B$22*P121*R121</f>
        <v>0</v>
      </c>
      <c r="T121" s="17">
        <f t="shared" si="77"/>
        <v>1195.671319459836</v>
      </c>
      <c r="U121" s="17">
        <f t="shared" si="78"/>
        <v>0</v>
      </c>
      <c r="V121" s="17">
        <f t="shared" si="79"/>
        <v>364.91747560552432</v>
      </c>
      <c r="W121" s="17">
        <f t="shared" si="80"/>
        <v>328737.65452897566</v>
      </c>
      <c r="X121" s="17">
        <f t="shared" si="81"/>
        <v>429067.99872539716</v>
      </c>
      <c r="Y121" s="17">
        <f>IF(MOD(A121,12)=0,W121*'1 - Input'!$B$23,0)</f>
        <v>0</v>
      </c>
      <c r="Z121" s="17">
        <f t="shared" si="82"/>
        <v>328737.65452897566</v>
      </c>
      <c r="AA121" s="17">
        <f>IF(MOD(A121,12)=0,X121*(1-'1 - Input'!$B$23),X121)</f>
        <v>429067.99872539716</v>
      </c>
      <c r="AB121" s="17">
        <f>IF('1 - Input'!$B$17=1,MIN(L121,D121)+T121,L121)</f>
        <v>3040.6385320128002</v>
      </c>
      <c r="AC121" s="17">
        <f t="shared" si="116"/>
        <v>222626.9503997569</v>
      </c>
      <c r="AD121" s="17">
        <f t="shared" si="117"/>
        <v>63113.611354146342</v>
      </c>
      <c r="AE121" s="17">
        <f t="shared" si="118"/>
        <v>0</v>
      </c>
      <c r="AF121" s="17">
        <f t="shared" si="119"/>
        <v>8825.7940593661278</v>
      </c>
      <c r="AG121" s="17">
        <f t="shared" si="120"/>
        <v>4884.1502345382396</v>
      </c>
      <c r="AH121" s="17">
        <f t="shared" si="121"/>
        <v>0</v>
      </c>
      <c r="AI121" s="15">
        <f t="shared" si="83"/>
        <v>0</v>
      </c>
      <c r="AK121" s="14">
        <v>78</v>
      </c>
      <c r="AL121" s="15">
        <f t="shared" si="84"/>
        <v>7</v>
      </c>
      <c r="AM121" s="16">
        <f>(1+INDEX('1 - Input'!$B$34:$E$63,AL121,'1 - Input'!$B$16))^(1/12)-1</f>
        <v>4.1219243192651689E-3</v>
      </c>
      <c r="AN121" s="17">
        <f>'1 - Input'!$B$7*(1+'1 - Input'!$B$12)^(AL121-1)</f>
        <v>3040.6385320128002</v>
      </c>
      <c r="AO121" s="17">
        <f t="shared" si="122"/>
        <v>331061.91263544338</v>
      </c>
      <c r="AP121" s="17">
        <f t="shared" si="123"/>
        <v>430628.58752046252</v>
      </c>
      <c r="AQ121" s="17">
        <f t="shared" si="85"/>
        <v>332426.52478431788</v>
      </c>
      <c r="AR121" s="17">
        <f>IF(AQ121&gt;0,'1 - Input'!$B$8/12*AQ121,0)</f>
        <v>2493.1989358823839</v>
      </c>
      <c r="AS121" s="17">
        <f t="shared" si="86"/>
        <v>329933.32584843552</v>
      </c>
      <c r="AT121" s="17">
        <f t="shared" si="87"/>
        <v>0</v>
      </c>
      <c r="AU121" s="17">
        <f>'1 - Input'!$B$22*(AR121-AT121)</f>
        <v>648.23172332941988</v>
      </c>
      <c r="AV121" s="17">
        <f t="shared" si="88"/>
        <v>1844.9672125529642</v>
      </c>
      <c r="AW121" s="17">
        <f t="shared" si="89"/>
        <v>430628.58752046252</v>
      </c>
      <c r="AX121" s="17">
        <f>IF('1 - Input'!$B$17=1,MAX(0,AV121-AN121),0)</f>
        <v>0</v>
      </c>
      <c r="AY121" s="17">
        <f>IF('1 - Input'!$B$17=1,MAX(0,AN121-AV121),0)</f>
        <v>1195.671319459836</v>
      </c>
      <c r="AZ121" s="17">
        <f t="shared" si="90"/>
        <v>0</v>
      </c>
      <c r="BA121" s="17">
        <f>IF(AND(AY121&gt;0,AS121&gt;0),AY121/(1-'1 - Input'!$B$22*AZ121),0)</f>
        <v>1195.671319459836</v>
      </c>
      <c r="BB121" s="17">
        <f t="shared" si="91"/>
        <v>1195.671319459836</v>
      </c>
      <c r="BC121" s="17">
        <f>'1 - Input'!$B$22*AZ121*BB121</f>
        <v>0</v>
      </c>
      <c r="BD121" s="17">
        <f t="shared" si="92"/>
        <v>1195.671319459836</v>
      </c>
      <c r="BE121" s="17">
        <f t="shared" si="93"/>
        <v>0</v>
      </c>
      <c r="BF121" s="17">
        <f t="shared" si="94"/>
        <v>364.91747560552432</v>
      </c>
      <c r="BG121" s="17">
        <f t="shared" si="95"/>
        <v>328737.65452897566</v>
      </c>
      <c r="BH121" s="17">
        <f t="shared" si="96"/>
        <v>429067.99872539716</v>
      </c>
      <c r="BI121" s="17">
        <f>IF(MOD(AK121,12)=0,BG121*'1 - Input'!$B$23,0)</f>
        <v>0</v>
      </c>
      <c r="BJ121" s="17">
        <f t="shared" si="97"/>
        <v>328737.65452897566</v>
      </c>
      <c r="BK121" s="17">
        <f>IF(MOD(AK121,12)=0,BH121*(1-'1 - Input'!$B$23),BH121)</f>
        <v>429067.99872539716</v>
      </c>
      <c r="BL121" s="17">
        <f>IF('1 - Input'!$B$17=1,MIN(AV121,AN121)+BD121,AV121)</f>
        <v>3040.6385320128002</v>
      </c>
      <c r="BM121" s="17">
        <f t="shared" si="124"/>
        <v>222626.9503997569</v>
      </c>
      <c r="BN121" s="17">
        <f t="shared" si="125"/>
        <v>63113.611354146342</v>
      </c>
      <c r="BO121" s="17">
        <f t="shared" si="126"/>
        <v>0</v>
      </c>
      <c r="BP121" s="17">
        <f t="shared" si="127"/>
        <v>8825.7940593661278</v>
      </c>
      <c r="BQ121" s="17">
        <f t="shared" si="128"/>
        <v>4884.1502345382396</v>
      </c>
      <c r="BR121" s="17">
        <f t="shared" si="129"/>
        <v>0</v>
      </c>
      <c r="BS121" s="15">
        <f t="shared" si="98"/>
        <v>0</v>
      </c>
      <c r="BU121" s="14">
        <v>78</v>
      </c>
      <c r="BV121" s="15">
        <f t="shared" si="99"/>
        <v>7</v>
      </c>
      <c r="BW121" s="16">
        <f>(1+INDEX('1 - Input'!$B$34:$E$63,BV121,'1 - Input'!$B$16))^(1/12)-1</f>
        <v>4.1219243192651689E-3</v>
      </c>
      <c r="BX121" s="17">
        <f>'1 - Input'!$B$7*(1+'1 - Input'!$B$12)^(BV121-1)</f>
        <v>3040.6385320128002</v>
      </c>
      <c r="BY121" s="17">
        <f t="shared" si="130"/>
        <v>404587.22882431513</v>
      </c>
      <c r="BZ121" s="17">
        <f t="shared" si="131"/>
        <v>262507.25992282759</v>
      </c>
      <c r="CA121" s="17">
        <f t="shared" si="100"/>
        <v>406254.9067620702</v>
      </c>
      <c r="CB121" s="17">
        <f>IF(CA121&gt;0,'1 - Input'!$B$8/12*CA121,0)</f>
        <v>3046.9118007155262</v>
      </c>
      <c r="CC121" s="17">
        <f t="shared" si="101"/>
        <v>403207.99496135465</v>
      </c>
      <c r="CD121" s="17">
        <f t="shared" si="102"/>
        <v>3046.9118007155262</v>
      </c>
      <c r="CE121" s="17">
        <f>'1 - Input'!$B$22*(CB121-CD121)</f>
        <v>0</v>
      </c>
      <c r="CF121" s="17">
        <f t="shared" si="103"/>
        <v>3046.9118007155262</v>
      </c>
      <c r="CG121" s="17">
        <f t="shared" si="104"/>
        <v>259460.34812211207</v>
      </c>
      <c r="CH121" s="17">
        <f>IF('1 - Input'!$B$17=1,MAX(0,CF121-BX121),0)</f>
        <v>6.2732687027259999</v>
      </c>
      <c r="CI121" s="17">
        <f>IF('1 - Input'!$B$17=1,MAX(0,BX121-CF121),0)</f>
        <v>0</v>
      </c>
      <c r="CJ121" s="17">
        <f t="shared" si="105"/>
        <v>0.35650991209393068</v>
      </c>
      <c r="CK121" s="17">
        <f>IF(AND(CI121&gt;0,CC121&gt;0),CI121/(1-'1 - Input'!$B$22*CJ121),0)</f>
        <v>0</v>
      </c>
      <c r="CL121" s="17">
        <f t="shared" si="106"/>
        <v>0</v>
      </c>
      <c r="CM121" s="17">
        <f>'1 - Input'!$B$22*CJ121*CL121</f>
        <v>0</v>
      </c>
      <c r="CN121" s="17">
        <f t="shared" si="107"/>
        <v>0</v>
      </c>
      <c r="CO121" s="17">
        <f t="shared" si="108"/>
        <v>0</v>
      </c>
      <c r="CP121" s="17">
        <f t="shared" si="109"/>
        <v>0</v>
      </c>
      <c r="CQ121" s="17">
        <f t="shared" si="110"/>
        <v>403214.26823005738</v>
      </c>
      <c r="CR121" s="17">
        <f t="shared" si="111"/>
        <v>259466.62139081481</v>
      </c>
      <c r="CS121" s="17">
        <f>IF(MOD(BU121,12)=0,CQ121*'1 - Input'!$B$23,0)</f>
        <v>0</v>
      </c>
      <c r="CT121" s="17">
        <f t="shared" si="112"/>
        <v>403214.26823005738</v>
      </c>
      <c r="CU121" s="17">
        <f>IF(MOD(BU121,12)=0,CR121*(1-'1 - Input'!$B$23),CR121)</f>
        <v>259466.62139081481</v>
      </c>
      <c r="CV121" s="17">
        <f>IF('1 - Input'!$B$17=1,MIN(CF121,BX121)+CN121,CF121)</f>
        <v>3040.6385320128002</v>
      </c>
      <c r="CW121" s="17">
        <f t="shared" si="132"/>
        <v>222626.9503997569</v>
      </c>
      <c r="CX121" s="17">
        <f t="shared" si="133"/>
        <v>0</v>
      </c>
      <c r="CY121" s="17">
        <f t="shared" si="134"/>
        <v>0</v>
      </c>
      <c r="CZ121" s="17">
        <f t="shared" si="135"/>
        <v>0</v>
      </c>
      <c r="DA121" s="17">
        <f t="shared" si="136"/>
        <v>5367.0248528386846</v>
      </c>
      <c r="DB121" s="17">
        <f t="shared" si="137"/>
        <v>0</v>
      </c>
      <c r="DC121" s="15">
        <f t="shared" si="113"/>
        <v>0</v>
      </c>
    </row>
    <row r="122" spans="1:107">
      <c r="A122" s="14">
        <v>79</v>
      </c>
      <c r="B122" s="15">
        <f t="shared" si="69"/>
        <v>7</v>
      </c>
      <c r="C122" s="16">
        <f>(1+INDEX('1 - Input'!$B$34:$E$63,B122,'1 - Input'!$B$16))^(1/12)-1</f>
        <v>4.1219243192651689E-3</v>
      </c>
      <c r="D122" s="17">
        <f>'1 - Input'!$B$7*(1+'1 - Input'!$B$12)^(B122-1)</f>
        <v>3040.6385320128002</v>
      </c>
      <c r="E122" s="17">
        <f t="shared" si="114"/>
        <v>328737.65452897566</v>
      </c>
      <c r="F122" s="17">
        <f t="shared" si="115"/>
        <v>429067.99872539716</v>
      </c>
      <c r="G122" s="17">
        <f t="shared" si="70"/>
        <v>330092.68626183685</v>
      </c>
      <c r="H122" s="17">
        <f>IF(G122&gt;0,'1 - Input'!$B$8/12*G122,0)</f>
        <v>2475.6951469637761</v>
      </c>
      <c r="I122" s="17">
        <f t="shared" si="71"/>
        <v>327616.99111487309</v>
      </c>
      <c r="J122" s="17">
        <f t="shared" si="72"/>
        <v>0</v>
      </c>
      <c r="K122" s="17">
        <f>'1 - Input'!$B$22*(H122-J122)</f>
        <v>643.68073821058181</v>
      </c>
      <c r="L122" s="17">
        <f t="shared" si="73"/>
        <v>1832.0144087531944</v>
      </c>
      <c r="M122" s="17">
        <f t="shared" si="74"/>
        <v>429067.99872539716</v>
      </c>
      <c r="N122" s="17">
        <f>IF('1 - Input'!$B$17=1,MAX(0,L122-D122),0)</f>
        <v>0</v>
      </c>
      <c r="O122" s="17">
        <f>IF('1 - Input'!$B$17=1,MAX(0,D122-L122),0)</f>
        <v>1208.6241232596058</v>
      </c>
      <c r="P122" s="17">
        <f t="shared" si="75"/>
        <v>0</v>
      </c>
      <c r="Q122" s="17">
        <f>IF(AND(O122&gt;0,I122&gt;0),O122/(1-'1 - Input'!$B$22*P122),0)</f>
        <v>1208.6241232596058</v>
      </c>
      <c r="R122" s="17">
        <f t="shared" si="76"/>
        <v>1208.6241232596058</v>
      </c>
      <c r="S122" s="17">
        <f>'1 - Input'!$B$22*P122*R122</f>
        <v>0</v>
      </c>
      <c r="T122" s="17">
        <f t="shared" si="77"/>
        <v>1208.6241232596058</v>
      </c>
      <c r="U122" s="17">
        <f t="shared" si="78"/>
        <v>0</v>
      </c>
      <c r="V122" s="17">
        <f t="shared" si="79"/>
        <v>374.26671525739056</v>
      </c>
      <c r="W122" s="17">
        <f t="shared" si="80"/>
        <v>326408.36699161347</v>
      </c>
      <c r="X122" s="17">
        <f t="shared" si="81"/>
        <v>427485.10788688017</v>
      </c>
      <c r="Y122" s="17">
        <f>IF(MOD(A122,12)=0,W122*'1 - Input'!$B$23,0)</f>
        <v>0</v>
      </c>
      <c r="Z122" s="17">
        <f t="shared" si="82"/>
        <v>326408.36699161347</v>
      </c>
      <c r="AA122" s="17">
        <f>IF(MOD(A122,12)=0,X122*(1-'1 - Input'!$B$23),X122)</f>
        <v>427485.10788688017</v>
      </c>
      <c r="AB122" s="17">
        <f>IF('1 - Input'!$B$17=1,MIN(L122,D122)+T122,L122)</f>
        <v>3040.6385320128002</v>
      </c>
      <c r="AC122" s="17">
        <f t="shared" si="116"/>
        <v>225667.58893176969</v>
      </c>
      <c r="AD122" s="17">
        <f t="shared" si="117"/>
        <v>63757.292092356925</v>
      </c>
      <c r="AE122" s="17">
        <f t="shared" si="118"/>
        <v>0</v>
      </c>
      <c r="AF122" s="17">
        <f t="shared" si="119"/>
        <v>9200.0607746235182</v>
      </c>
      <c r="AG122" s="17">
        <f t="shared" si="120"/>
        <v>4884.1502345382396</v>
      </c>
      <c r="AH122" s="17">
        <f t="shared" si="121"/>
        <v>0</v>
      </c>
      <c r="AI122" s="15">
        <f t="shared" si="83"/>
        <v>0</v>
      </c>
      <c r="AK122" s="14">
        <v>79</v>
      </c>
      <c r="AL122" s="15">
        <f t="shared" si="84"/>
        <v>7</v>
      </c>
      <c r="AM122" s="16">
        <f>(1+INDEX('1 - Input'!$B$34:$E$63,AL122,'1 - Input'!$B$16))^(1/12)-1</f>
        <v>4.1219243192651689E-3</v>
      </c>
      <c r="AN122" s="17">
        <f>'1 - Input'!$B$7*(1+'1 - Input'!$B$12)^(AL122-1)</f>
        <v>3040.6385320128002</v>
      </c>
      <c r="AO122" s="17">
        <f t="shared" si="122"/>
        <v>328737.65452897566</v>
      </c>
      <c r="AP122" s="17">
        <f t="shared" si="123"/>
        <v>429067.99872539716</v>
      </c>
      <c r="AQ122" s="17">
        <f t="shared" si="85"/>
        <v>330092.68626183685</v>
      </c>
      <c r="AR122" s="17">
        <f>IF(AQ122&gt;0,'1 - Input'!$B$8/12*AQ122,0)</f>
        <v>2475.6951469637761</v>
      </c>
      <c r="AS122" s="17">
        <f t="shared" si="86"/>
        <v>327616.99111487309</v>
      </c>
      <c r="AT122" s="17">
        <f t="shared" si="87"/>
        <v>0</v>
      </c>
      <c r="AU122" s="17">
        <f>'1 - Input'!$B$22*(AR122-AT122)</f>
        <v>643.68073821058181</v>
      </c>
      <c r="AV122" s="17">
        <f t="shared" si="88"/>
        <v>1832.0144087531944</v>
      </c>
      <c r="AW122" s="17">
        <f t="shared" si="89"/>
        <v>429067.99872539716</v>
      </c>
      <c r="AX122" s="17">
        <f>IF('1 - Input'!$B$17=1,MAX(0,AV122-AN122),0)</f>
        <v>0</v>
      </c>
      <c r="AY122" s="17">
        <f>IF('1 - Input'!$B$17=1,MAX(0,AN122-AV122),0)</f>
        <v>1208.6241232596058</v>
      </c>
      <c r="AZ122" s="17">
        <f t="shared" si="90"/>
        <v>0</v>
      </c>
      <c r="BA122" s="17">
        <f>IF(AND(AY122&gt;0,AS122&gt;0),AY122/(1-'1 - Input'!$B$22*AZ122),0)</f>
        <v>1208.6241232596058</v>
      </c>
      <c r="BB122" s="17">
        <f t="shared" si="91"/>
        <v>1208.6241232596058</v>
      </c>
      <c r="BC122" s="17">
        <f>'1 - Input'!$B$22*AZ122*BB122</f>
        <v>0</v>
      </c>
      <c r="BD122" s="17">
        <f t="shared" si="92"/>
        <v>1208.6241232596058</v>
      </c>
      <c r="BE122" s="17">
        <f t="shared" si="93"/>
        <v>0</v>
      </c>
      <c r="BF122" s="17">
        <f t="shared" si="94"/>
        <v>374.26671525739056</v>
      </c>
      <c r="BG122" s="17">
        <f t="shared" si="95"/>
        <v>326408.36699161347</v>
      </c>
      <c r="BH122" s="17">
        <f t="shared" si="96"/>
        <v>427485.10788688017</v>
      </c>
      <c r="BI122" s="17">
        <f>IF(MOD(AK122,12)=0,BG122*'1 - Input'!$B$23,0)</f>
        <v>0</v>
      </c>
      <c r="BJ122" s="17">
        <f t="shared" si="97"/>
        <v>326408.36699161347</v>
      </c>
      <c r="BK122" s="17">
        <f>IF(MOD(AK122,12)=0,BH122*(1-'1 - Input'!$B$23),BH122)</f>
        <v>427485.10788688017</v>
      </c>
      <c r="BL122" s="17">
        <f>IF('1 - Input'!$B$17=1,MIN(AV122,AN122)+BD122,AV122)</f>
        <v>3040.6385320128002</v>
      </c>
      <c r="BM122" s="17">
        <f t="shared" si="124"/>
        <v>225667.58893176969</v>
      </c>
      <c r="BN122" s="17">
        <f t="shared" si="125"/>
        <v>63757.292092356925</v>
      </c>
      <c r="BO122" s="17">
        <f t="shared" si="126"/>
        <v>0</v>
      </c>
      <c r="BP122" s="17">
        <f t="shared" si="127"/>
        <v>9200.0607746235182</v>
      </c>
      <c r="BQ122" s="17">
        <f t="shared" si="128"/>
        <v>4884.1502345382396</v>
      </c>
      <c r="BR122" s="17">
        <f t="shared" si="129"/>
        <v>0</v>
      </c>
      <c r="BS122" s="15">
        <f t="shared" si="98"/>
        <v>0</v>
      </c>
      <c r="BU122" s="14">
        <v>79</v>
      </c>
      <c r="BV122" s="15">
        <f t="shared" si="99"/>
        <v>7</v>
      </c>
      <c r="BW122" s="16">
        <f>(1+INDEX('1 - Input'!$B$34:$E$63,BV122,'1 - Input'!$B$16))^(1/12)-1</f>
        <v>4.1219243192651689E-3</v>
      </c>
      <c r="BX122" s="17">
        <f>'1 - Input'!$B$7*(1+'1 - Input'!$B$12)^(BV122-1)</f>
        <v>3040.6385320128002</v>
      </c>
      <c r="BY122" s="17">
        <f t="shared" si="130"/>
        <v>403214.26823005738</v>
      </c>
      <c r="BZ122" s="17">
        <f t="shared" si="131"/>
        <v>259466.62139081481</v>
      </c>
      <c r="CA122" s="17">
        <f t="shared" si="100"/>
        <v>404876.28692814958</v>
      </c>
      <c r="CB122" s="17">
        <f>IF(CA122&gt;0,'1 - Input'!$B$8/12*CA122,0)</f>
        <v>3036.5721519611216</v>
      </c>
      <c r="CC122" s="17">
        <f t="shared" si="101"/>
        <v>401839.71477618848</v>
      </c>
      <c r="CD122" s="17">
        <f t="shared" si="102"/>
        <v>3036.5721519611216</v>
      </c>
      <c r="CE122" s="17">
        <f>'1 - Input'!$B$22*(CB122-CD122)</f>
        <v>0</v>
      </c>
      <c r="CF122" s="17">
        <f t="shared" si="103"/>
        <v>3036.5721519611216</v>
      </c>
      <c r="CG122" s="17">
        <f t="shared" si="104"/>
        <v>256430.04923885368</v>
      </c>
      <c r="CH122" s="17">
        <f>IF('1 - Input'!$B$17=1,MAX(0,CF122-BX122),0)</f>
        <v>0</v>
      </c>
      <c r="CI122" s="17">
        <f>IF('1 - Input'!$B$17=1,MAX(0,BX122-CF122),0)</f>
        <v>4.0663800516786068</v>
      </c>
      <c r="CJ122" s="17">
        <f t="shared" si="105"/>
        <v>0.36185986648513124</v>
      </c>
      <c r="CK122" s="17">
        <f>IF(AND(CI122&gt;0,CC122&gt;0),CI122/(1-'1 - Input'!$B$22*CJ122),0)</f>
        <v>4.488692219126122</v>
      </c>
      <c r="CL122" s="17">
        <f t="shared" si="106"/>
        <v>4.488692219126122</v>
      </c>
      <c r="CM122" s="17">
        <f>'1 - Input'!$B$22*CJ122*CL122</f>
        <v>0.42231216744751476</v>
      </c>
      <c r="CN122" s="17">
        <f t="shared" si="107"/>
        <v>4.0663800516786068</v>
      </c>
      <c r="CO122" s="17">
        <f t="shared" si="108"/>
        <v>0</v>
      </c>
      <c r="CP122" s="17">
        <f t="shared" si="109"/>
        <v>0</v>
      </c>
      <c r="CQ122" s="17">
        <f t="shared" si="110"/>
        <v>401835.22608396935</v>
      </c>
      <c r="CR122" s="17">
        <f t="shared" si="111"/>
        <v>256427.18482420166</v>
      </c>
      <c r="CS122" s="17">
        <f>IF(MOD(BU122,12)=0,CQ122*'1 - Input'!$B$23,0)</f>
        <v>0</v>
      </c>
      <c r="CT122" s="17">
        <f t="shared" si="112"/>
        <v>401835.22608396935</v>
      </c>
      <c r="CU122" s="17">
        <f>IF(MOD(BU122,12)=0,CR122*(1-'1 - Input'!$B$23),CR122)</f>
        <v>256427.18482420166</v>
      </c>
      <c r="CV122" s="17">
        <f>IF('1 - Input'!$B$17=1,MIN(CF122,BX122)+CN122,CF122)</f>
        <v>3040.6385320128002</v>
      </c>
      <c r="CW122" s="17">
        <f t="shared" si="132"/>
        <v>225667.58893176969</v>
      </c>
      <c r="CX122" s="17">
        <f t="shared" si="133"/>
        <v>0</v>
      </c>
      <c r="CY122" s="17">
        <f t="shared" si="134"/>
        <v>0.42231216744751476</v>
      </c>
      <c r="CZ122" s="17">
        <f t="shared" si="135"/>
        <v>0</v>
      </c>
      <c r="DA122" s="17">
        <f t="shared" si="136"/>
        <v>5367.0248528386846</v>
      </c>
      <c r="DB122" s="17">
        <f t="shared" si="137"/>
        <v>0</v>
      </c>
      <c r="DC122" s="15">
        <f t="shared" si="113"/>
        <v>0</v>
      </c>
    </row>
    <row r="123" spans="1:107">
      <c r="A123" s="14">
        <v>80</v>
      </c>
      <c r="B123" s="15">
        <f t="shared" si="69"/>
        <v>7</v>
      </c>
      <c r="C123" s="16">
        <f>(1+INDEX('1 - Input'!$B$34:$E$63,B123,'1 - Input'!$B$16))^(1/12)-1</f>
        <v>4.1219243192651689E-3</v>
      </c>
      <c r="D123" s="17">
        <f>'1 - Input'!$B$7*(1+'1 - Input'!$B$12)^(B123-1)</f>
        <v>3040.6385320128002</v>
      </c>
      <c r="E123" s="17">
        <f t="shared" si="114"/>
        <v>326408.36699161347</v>
      </c>
      <c r="F123" s="17">
        <f t="shared" si="115"/>
        <v>427485.10788688017</v>
      </c>
      <c r="G123" s="17">
        <f t="shared" si="70"/>
        <v>327753.79757752782</v>
      </c>
      <c r="H123" s="17">
        <f>IF(G123&gt;0,'1 - Input'!$B$8/12*G123,0)</f>
        <v>2458.1534818314585</v>
      </c>
      <c r="I123" s="17">
        <f t="shared" si="71"/>
        <v>325295.64409569633</v>
      </c>
      <c r="J123" s="17">
        <f t="shared" si="72"/>
        <v>0</v>
      </c>
      <c r="K123" s="17">
        <f>'1 - Input'!$B$22*(H123-J123)</f>
        <v>639.11990527617922</v>
      </c>
      <c r="L123" s="17">
        <f t="shared" si="73"/>
        <v>1819.0335765552793</v>
      </c>
      <c r="M123" s="17">
        <f t="shared" si="74"/>
        <v>427485.10788688017</v>
      </c>
      <c r="N123" s="17">
        <f>IF('1 - Input'!$B$17=1,MAX(0,L123-D123),0)</f>
        <v>0</v>
      </c>
      <c r="O123" s="17">
        <f>IF('1 - Input'!$B$17=1,MAX(0,D123-L123),0)</f>
        <v>1221.6049554575209</v>
      </c>
      <c r="P123" s="17">
        <f t="shared" si="75"/>
        <v>0</v>
      </c>
      <c r="Q123" s="17">
        <f>IF(AND(O123&gt;0,I123&gt;0),O123/(1-'1 - Input'!$B$22*P123),0)</f>
        <v>1221.6049554575209</v>
      </c>
      <c r="R123" s="17">
        <f t="shared" si="76"/>
        <v>1221.6049554575209</v>
      </c>
      <c r="S123" s="17">
        <f>'1 - Input'!$B$22*P123*R123</f>
        <v>0</v>
      </c>
      <c r="T123" s="17">
        <f t="shared" si="77"/>
        <v>1221.6049554575209</v>
      </c>
      <c r="U123" s="17">
        <f t="shared" si="78"/>
        <v>0</v>
      </c>
      <c r="V123" s="17">
        <f t="shared" si="79"/>
        <v>383.75907464082951</v>
      </c>
      <c r="W123" s="17">
        <f t="shared" si="80"/>
        <v>324074.03914023883</v>
      </c>
      <c r="X123" s="17">
        <f t="shared" si="81"/>
        <v>425879.7438567818</v>
      </c>
      <c r="Y123" s="17">
        <f>IF(MOD(A123,12)=0,W123*'1 - Input'!$B$23,0)</f>
        <v>0</v>
      </c>
      <c r="Z123" s="17">
        <f t="shared" si="82"/>
        <v>324074.03914023883</v>
      </c>
      <c r="AA123" s="17">
        <f>IF(MOD(A123,12)=0,X123*(1-'1 - Input'!$B$23),X123)</f>
        <v>425879.7438567818</v>
      </c>
      <c r="AB123" s="17">
        <f>IF('1 - Input'!$B$17=1,MIN(L123,D123)+T123,L123)</f>
        <v>3040.6385320128002</v>
      </c>
      <c r="AC123" s="17">
        <f t="shared" si="116"/>
        <v>228708.22746378247</v>
      </c>
      <c r="AD123" s="17">
        <f t="shared" si="117"/>
        <v>64396.411997633106</v>
      </c>
      <c r="AE123" s="17">
        <f t="shared" si="118"/>
        <v>0</v>
      </c>
      <c r="AF123" s="17">
        <f t="shared" si="119"/>
        <v>9583.8198492643478</v>
      </c>
      <c r="AG123" s="17">
        <f t="shared" si="120"/>
        <v>4884.1502345382396</v>
      </c>
      <c r="AH123" s="17">
        <f t="shared" si="121"/>
        <v>0</v>
      </c>
      <c r="AI123" s="15">
        <f t="shared" si="83"/>
        <v>0</v>
      </c>
      <c r="AK123" s="14">
        <v>80</v>
      </c>
      <c r="AL123" s="15">
        <f t="shared" si="84"/>
        <v>7</v>
      </c>
      <c r="AM123" s="16">
        <f>(1+INDEX('1 - Input'!$B$34:$E$63,AL123,'1 - Input'!$B$16))^(1/12)-1</f>
        <v>4.1219243192651689E-3</v>
      </c>
      <c r="AN123" s="17">
        <f>'1 - Input'!$B$7*(1+'1 - Input'!$B$12)^(AL123-1)</f>
        <v>3040.6385320128002</v>
      </c>
      <c r="AO123" s="17">
        <f t="shared" si="122"/>
        <v>326408.36699161347</v>
      </c>
      <c r="AP123" s="17">
        <f t="shared" si="123"/>
        <v>427485.10788688017</v>
      </c>
      <c r="AQ123" s="17">
        <f t="shared" si="85"/>
        <v>327753.79757752782</v>
      </c>
      <c r="AR123" s="17">
        <f>IF(AQ123&gt;0,'1 - Input'!$B$8/12*AQ123,0)</f>
        <v>2458.1534818314585</v>
      </c>
      <c r="AS123" s="17">
        <f t="shared" si="86"/>
        <v>325295.64409569633</v>
      </c>
      <c r="AT123" s="17">
        <f t="shared" si="87"/>
        <v>0</v>
      </c>
      <c r="AU123" s="17">
        <f>'1 - Input'!$B$22*(AR123-AT123)</f>
        <v>639.11990527617922</v>
      </c>
      <c r="AV123" s="17">
        <f t="shared" si="88"/>
        <v>1819.0335765552793</v>
      </c>
      <c r="AW123" s="17">
        <f t="shared" si="89"/>
        <v>427485.10788688017</v>
      </c>
      <c r="AX123" s="17">
        <f>IF('1 - Input'!$B$17=1,MAX(0,AV123-AN123),0)</f>
        <v>0</v>
      </c>
      <c r="AY123" s="17">
        <f>IF('1 - Input'!$B$17=1,MAX(0,AN123-AV123),0)</f>
        <v>1221.6049554575209</v>
      </c>
      <c r="AZ123" s="17">
        <f t="shared" si="90"/>
        <v>0</v>
      </c>
      <c r="BA123" s="17">
        <f>IF(AND(AY123&gt;0,AS123&gt;0),AY123/(1-'1 - Input'!$B$22*AZ123),0)</f>
        <v>1221.6049554575209</v>
      </c>
      <c r="BB123" s="17">
        <f t="shared" si="91"/>
        <v>1221.6049554575209</v>
      </c>
      <c r="BC123" s="17">
        <f>'1 - Input'!$B$22*AZ123*BB123</f>
        <v>0</v>
      </c>
      <c r="BD123" s="17">
        <f t="shared" si="92"/>
        <v>1221.6049554575209</v>
      </c>
      <c r="BE123" s="17">
        <f t="shared" si="93"/>
        <v>0</v>
      </c>
      <c r="BF123" s="17">
        <f t="shared" si="94"/>
        <v>383.75907464082951</v>
      </c>
      <c r="BG123" s="17">
        <f t="shared" si="95"/>
        <v>324074.03914023883</v>
      </c>
      <c r="BH123" s="17">
        <f t="shared" si="96"/>
        <v>425879.7438567818</v>
      </c>
      <c r="BI123" s="17">
        <f>IF(MOD(AK123,12)=0,BG123*'1 - Input'!$B$23,0)</f>
        <v>0</v>
      </c>
      <c r="BJ123" s="17">
        <f t="shared" si="97"/>
        <v>324074.03914023883</v>
      </c>
      <c r="BK123" s="17">
        <f>IF(MOD(AK123,12)=0,BH123*(1-'1 - Input'!$B$23),BH123)</f>
        <v>425879.7438567818</v>
      </c>
      <c r="BL123" s="17">
        <f>IF('1 - Input'!$B$17=1,MIN(AV123,AN123)+BD123,AV123)</f>
        <v>3040.6385320128002</v>
      </c>
      <c r="BM123" s="17">
        <f t="shared" si="124"/>
        <v>228708.22746378247</v>
      </c>
      <c r="BN123" s="17">
        <f t="shared" si="125"/>
        <v>64396.411997633106</v>
      </c>
      <c r="BO123" s="17">
        <f t="shared" si="126"/>
        <v>0</v>
      </c>
      <c r="BP123" s="17">
        <f t="shared" si="127"/>
        <v>9583.8198492643478</v>
      </c>
      <c r="BQ123" s="17">
        <f t="shared" si="128"/>
        <v>4884.1502345382396</v>
      </c>
      <c r="BR123" s="17">
        <f t="shared" si="129"/>
        <v>0</v>
      </c>
      <c r="BS123" s="15">
        <f t="shared" si="98"/>
        <v>0</v>
      </c>
      <c r="BU123" s="14">
        <v>80</v>
      </c>
      <c r="BV123" s="15">
        <f t="shared" si="99"/>
        <v>7</v>
      </c>
      <c r="BW123" s="16">
        <f>(1+INDEX('1 - Input'!$B$34:$E$63,BV123,'1 - Input'!$B$16))^(1/12)-1</f>
        <v>4.1219243192651689E-3</v>
      </c>
      <c r="BX123" s="17">
        <f>'1 - Input'!$B$7*(1+'1 - Input'!$B$12)^(BV123-1)</f>
        <v>3040.6385320128002</v>
      </c>
      <c r="BY123" s="17">
        <f t="shared" si="130"/>
        <v>401835.22608396935</v>
      </c>
      <c r="BZ123" s="17">
        <f t="shared" si="131"/>
        <v>256427.18482420166</v>
      </c>
      <c r="CA123" s="17">
        <f t="shared" si="100"/>
        <v>403491.56047470227</v>
      </c>
      <c r="CB123" s="17">
        <f>IF(CA123&gt;0,'1 - Input'!$B$8/12*CA123,0)</f>
        <v>3026.1867035602668</v>
      </c>
      <c r="CC123" s="17">
        <f t="shared" si="101"/>
        <v>400465.37377114198</v>
      </c>
      <c r="CD123" s="17">
        <f t="shared" si="102"/>
        <v>3026.1867035602668</v>
      </c>
      <c r="CE123" s="17">
        <f>'1 - Input'!$B$22*(CB123-CD123)</f>
        <v>0</v>
      </c>
      <c r="CF123" s="17">
        <f t="shared" si="103"/>
        <v>3026.1867035602668</v>
      </c>
      <c r="CG123" s="17">
        <f t="shared" si="104"/>
        <v>253400.99812064139</v>
      </c>
      <c r="CH123" s="17">
        <f>IF('1 - Input'!$B$17=1,MAX(0,CF123-BX123),0)</f>
        <v>0</v>
      </c>
      <c r="CI123" s="17">
        <f>IF('1 - Input'!$B$17=1,MAX(0,BX123-CF123),0)</f>
        <v>14.451828452533391</v>
      </c>
      <c r="CJ123" s="17">
        <f t="shared" si="105"/>
        <v>0.36723368681194635</v>
      </c>
      <c r="CK123" s="17">
        <f>IF(AND(CI123&gt;0,CC123&gt;0),CI123/(1-'1 - Input'!$B$22*CJ123),0)</f>
        <v>15.977358789740547</v>
      </c>
      <c r="CL123" s="17">
        <f t="shared" si="106"/>
        <v>15.977358789740547</v>
      </c>
      <c r="CM123" s="17">
        <f>'1 - Input'!$B$22*CJ123*CL123</f>
        <v>1.5255303372071563</v>
      </c>
      <c r="CN123" s="17">
        <f t="shared" si="107"/>
        <v>14.451828452533391</v>
      </c>
      <c r="CO123" s="17">
        <f t="shared" si="108"/>
        <v>0</v>
      </c>
      <c r="CP123" s="17">
        <f t="shared" si="109"/>
        <v>0</v>
      </c>
      <c r="CQ123" s="17">
        <f t="shared" si="110"/>
        <v>400449.39641235222</v>
      </c>
      <c r="CR123" s="17">
        <f t="shared" si="111"/>
        <v>253390.88818622555</v>
      </c>
      <c r="CS123" s="17">
        <f>IF(MOD(BU123,12)=0,CQ123*'1 - Input'!$B$23,0)</f>
        <v>0</v>
      </c>
      <c r="CT123" s="17">
        <f t="shared" si="112"/>
        <v>400449.39641235222</v>
      </c>
      <c r="CU123" s="17">
        <f>IF(MOD(BU123,12)=0,CR123*(1-'1 - Input'!$B$23),CR123)</f>
        <v>253390.88818622555</v>
      </c>
      <c r="CV123" s="17">
        <f>IF('1 - Input'!$B$17=1,MIN(CF123,BX123)+CN123,CF123)</f>
        <v>3040.6385320128002</v>
      </c>
      <c r="CW123" s="17">
        <f t="shared" si="132"/>
        <v>228708.22746378247</v>
      </c>
      <c r="CX123" s="17">
        <f t="shared" si="133"/>
        <v>0</v>
      </c>
      <c r="CY123" s="17">
        <f t="shared" si="134"/>
        <v>1.947842504654671</v>
      </c>
      <c r="CZ123" s="17">
        <f t="shared" si="135"/>
        <v>0</v>
      </c>
      <c r="DA123" s="17">
        <f t="shared" si="136"/>
        <v>5367.0248528386846</v>
      </c>
      <c r="DB123" s="17">
        <f t="shared" si="137"/>
        <v>0</v>
      </c>
      <c r="DC123" s="15">
        <f t="shared" si="113"/>
        <v>0</v>
      </c>
    </row>
    <row r="124" spans="1:107">
      <c r="A124" s="14">
        <v>81</v>
      </c>
      <c r="B124" s="15">
        <f t="shared" si="69"/>
        <v>7</v>
      </c>
      <c r="C124" s="16">
        <f>(1+INDEX('1 - Input'!$B$34:$E$63,B124,'1 - Input'!$B$16))^(1/12)-1</f>
        <v>4.1219243192651689E-3</v>
      </c>
      <c r="D124" s="17">
        <f>'1 - Input'!$B$7*(1+'1 - Input'!$B$12)^(B124-1)</f>
        <v>3040.6385320128002</v>
      </c>
      <c r="E124" s="17">
        <f t="shared" si="114"/>
        <v>324074.03914023883</v>
      </c>
      <c r="F124" s="17">
        <f t="shared" si="115"/>
        <v>425879.7438567818</v>
      </c>
      <c r="G124" s="17">
        <f t="shared" si="70"/>
        <v>325409.84780341346</v>
      </c>
      <c r="H124" s="17">
        <f>IF(G124&gt;0,'1 - Input'!$B$8/12*G124,0)</f>
        <v>2440.5738585256008</v>
      </c>
      <c r="I124" s="17">
        <f t="shared" si="71"/>
        <v>322969.27394488786</v>
      </c>
      <c r="J124" s="17">
        <f t="shared" si="72"/>
        <v>0</v>
      </c>
      <c r="K124" s="17">
        <f>'1 - Input'!$B$22*(H124-J124)</f>
        <v>634.54920321665622</v>
      </c>
      <c r="L124" s="17">
        <f t="shared" si="73"/>
        <v>1806.0246553089446</v>
      </c>
      <c r="M124" s="17">
        <f t="shared" si="74"/>
        <v>425879.7438567818</v>
      </c>
      <c r="N124" s="17">
        <f>IF('1 - Input'!$B$17=1,MAX(0,L124-D124),0)</f>
        <v>0</v>
      </c>
      <c r="O124" s="17">
        <f>IF('1 - Input'!$B$17=1,MAX(0,D124-L124),0)</f>
        <v>1234.6138767038556</v>
      </c>
      <c r="P124" s="17">
        <f t="shared" si="75"/>
        <v>0</v>
      </c>
      <c r="Q124" s="17">
        <f>IF(AND(O124&gt;0,I124&gt;0),O124/(1-'1 - Input'!$B$22*P124),0)</f>
        <v>1234.6138767038556</v>
      </c>
      <c r="R124" s="17">
        <f t="shared" si="76"/>
        <v>1234.6138767038556</v>
      </c>
      <c r="S124" s="17">
        <f>'1 - Input'!$B$22*P124*R124</f>
        <v>0</v>
      </c>
      <c r="T124" s="17">
        <f t="shared" si="77"/>
        <v>1234.6138767038556</v>
      </c>
      <c r="U124" s="17">
        <f t="shared" si="78"/>
        <v>0</v>
      </c>
      <c r="V124" s="17">
        <f t="shared" si="79"/>
        <v>393.39560899845765</v>
      </c>
      <c r="W124" s="17">
        <f t="shared" si="80"/>
        <v>321734.66006818402</v>
      </c>
      <c r="X124" s="17">
        <f t="shared" si="81"/>
        <v>424251.73437107948</v>
      </c>
      <c r="Y124" s="17">
        <f>IF(MOD(A124,12)=0,W124*'1 - Input'!$B$23,0)</f>
        <v>0</v>
      </c>
      <c r="Z124" s="17">
        <f t="shared" si="82"/>
        <v>321734.66006818402</v>
      </c>
      <c r="AA124" s="17">
        <f>IF(MOD(A124,12)=0,X124*(1-'1 - Input'!$B$23),X124)</f>
        <v>424251.73437107948</v>
      </c>
      <c r="AB124" s="17">
        <f>IF('1 - Input'!$B$17=1,MIN(L124,D124)+T124,L124)</f>
        <v>3040.6385320128002</v>
      </c>
      <c r="AC124" s="17">
        <f t="shared" si="116"/>
        <v>231748.86599579526</v>
      </c>
      <c r="AD124" s="17">
        <f t="shared" si="117"/>
        <v>65030.961200849764</v>
      </c>
      <c r="AE124" s="17">
        <f t="shared" si="118"/>
        <v>0</v>
      </c>
      <c r="AF124" s="17">
        <f t="shared" si="119"/>
        <v>9977.2154582628064</v>
      </c>
      <c r="AG124" s="17">
        <f t="shared" si="120"/>
        <v>4884.1502345382396</v>
      </c>
      <c r="AH124" s="17">
        <f t="shared" si="121"/>
        <v>0</v>
      </c>
      <c r="AI124" s="15">
        <f t="shared" si="83"/>
        <v>0</v>
      </c>
      <c r="AK124" s="14">
        <v>81</v>
      </c>
      <c r="AL124" s="15">
        <f t="shared" si="84"/>
        <v>7</v>
      </c>
      <c r="AM124" s="16">
        <f>(1+INDEX('1 - Input'!$B$34:$E$63,AL124,'1 - Input'!$B$16))^(1/12)-1</f>
        <v>4.1219243192651689E-3</v>
      </c>
      <c r="AN124" s="17">
        <f>'1 - Input'!$B$7*(1+'1 - Input'!$B$12)^(AL124-1)</f>
        <v>3040.6385320128002</v>
      </c>
      <c r="AO124" s="17">
        <f t="shared" si="122"/>
        <v>324074.03914023883</v>
      </c>
      <c r="AP124" s="17">
        <f t="shared" si="123"/>
        <v>425879.7438567818</v>
      </c>
      <c r="AQ124" s="17">
        <f t="shared" si="85"/>
        <v>325409.84780341346</v>
      </c>
      <c r="AR124" s="17">
        <f>IF(AQ124&gt;0,'1 - Input'!$B$8/12*AQ124,0)</f>
        <v>2440.5738585256008</v>
      </c>
      <c r="AS124" s="17">
        <f t="shared" si="86"/>
        <v>322969.27394488786</v>
      </c>
      <c r="AT124" s="17">
        <f t="shared" si="87"/>
        <v>0</v>
      </c>
      <c r="AU124" s="17">
        <f>'1 - Input'!$B$22*(AR124-AT124)</f>
        <v>634.54920321665622</v>
      </c>
      <c r="AV124" s="17">
        <f t="shared" si="88"/>
        <v>1806.0246553089446</v>
      </c>
      <c r="AW124" s="17">
        <f t="shared" si="89"/>
        <v>425879.7438567818</v>
      </c>
      <c r="AX124" s="17">
        <f>IF('1 - Input'!$B$17=1,MAX(0,AV124-AN124),0)</f>
        <v>0</v>
      </c>
      <c r="AY124" s="17">
        <f>IF('1 - Input'!$B$17=1,MAX(0,AN124-AV124),0)</f>
        <v>1234.6138767038556</v>
      </c>
      <c r="AZ124" s="17">
        <f t="shared" si="90"/>
        <v>0</v>
      </c>
      <c r="BA124" s="17">
        <f>IF(AND(AY124&gt;0,AS124&gt;0),AY124/(1-'1 - Input'!$B$22*AZ124),0)</f>
        <v>1234.6138767038556</v>
      </c>
      <c r="BB124" s="17">
        <f t="shared" si="91"/>
        <v>1234.6138767038556</v>
      </c>
      <c r="BC124" s="17">
        <f>'1 - Input'!$B$22*AZ124*BB124</f>
        <v>0</v>
      </c>
      <c r="BD124" s="17">
        <f t="shared" si="92"/>
        <v>1234.6138767038556</v>
      </c>
      <c r="BE124" s="17">
        <f t="shared" si="93"/>
        <v>0</v>
      </c>
      <c r="BF124" s="17">
        <f t="shared" si="94"/>
        <v>393.39560899845765</v>
      </c>
      <c r="BG124" s="17">
        <f t="shared" si="95"/>
        <v>321734.66006818402</v>
      </c>
      <c r="BH124" s="17">
        <f t="shared" si="96"/>
        <v>424251.73437107948</v>
      </c>
      <c r="BI124" s="17">
        <f>IF(MOD(AK124,12)=0,BG124*'1 - Input'!$B$23,0)</f>
        <v>0</v>
      </c>
      <c r="BJ124" s="17">
        <f t="shared" si="97"/>
        <v>321734.66006818402</v>
      </c>
      <c r="BK124" s="17">
        <f>IF(MOD(AK124,12)=0,BH124*(1-'1 - Input'!$B$23),BH124)</f>
        <v>424251.73437107948</v>
      </c>
      <c r="BL124" s="17">
        <f>IF('1 - Input'!$B$17=1,MIN(AV124,AN124)+BD124,AV124)</f>
        <v>3040.6385320128002</v>
      </c>
      <c r="BM124" s="17">
        <f t="shared" si="124"/>
        <v>231748.86599579526</v>
      </c>
      <c r="BN124" s="17">
        <f t="shared" si="125"/>
        <v>65030.961200849764</v>
      </c>
      <c r="BO124" s="17">
        <f t="shared" si="126"/>
        <v>0</v>
      </c>
      <c r="BP124" s="17">
        <f t="shared" si="127"/>
        <v>9977.2154582628064</v>
      </c>
      <c r="BQ124" s="17">
        <f t="shared" si="128"/>
        <v>4884.1502345382396</v>
      </c>
      <c r="BR124" s="17">
        <f t="shared" si="129"/>
        <v>0</v>
      </c>
      <c r="BS124" s="15">
        <f t="shared" si="98"/>
        <v>0</v>
      </c>
      <c r="BU124" s="14">
        <v>81</v>
      </c>
      <c r="BV124" s="15">
        <f t="shared" si="99"/>
        <v>7</v>
      </c>
      <c r="BW124" s="16">
        <f>(1+INDEX('1 - Input'!$B$34:$E$63,BV124,'1 - Input'!$B$16))^(1/12)-1</f>
        <v>4.1219243192651689E-3</v>
      </c>
      <c r="BX124" s="17">
        <f>'1 - Input'!$B$7*(1+'1 - Input'!$B$12)^(BV124-1)</f>
        <v>3040.6385320128002</v>
      </c>
      <c r="BY124" s="17">
        <f t="shared" si="130"/>
        <v>400449.39641235222</v>
      </c>
      <c r="BZ124" s="17">
        <f t="shared" si="131"/>
        <v>253390.88818622555</v>
      </c>
      <c r="CA124" s="17">
        <f t="shared" si="100"/>
        <v>402100.01851805934</v>
      </c>
      <c r="CB124" s="17">
        <f>IF(CA124&gt;0,'1 - Input'!$B$8/12*CA124,0)</f>
        <v>3015.7501388854448</v>
      </c>
      <c r="CC124" s="17">
        <f t="shared" si="101"/>
        <v>399084.26837917388</v>
      </c>
      <c r="CD124" s="17">
        <f t="shared" si="102"/>
        <v>3015.7501388854448</v>
      </c>
      <c r="CE124" s="17">
        <f>'1 - Input'!$B$22*(CB124-CD124)</f>
        <v>0</v>
      </c>
      <c r="CF124" s="17">
        <f t="shared" si="103"/>
        <v>3015.7501388854448</v>
      </c>
      <c r="CG124" s="17">
        <f t="shared" si="104"/>
        <v>250375.13804734009</v>
      </c>
      <c r="CH124" s="17">
        <f>IF('1 - Input'!$B$17=1,MAX(0,CF124-BX124),0)</f>
        <v>0</v>
      </c>
      <c r="CI124" s="17">
        <f>IF('1 - Input'!$B$17=1,MAX(0,BX124-CF124),0)</f>
        <v>24.888393127355357</v>
      </c>
      <c r="CJ124" s="17">
        <f t="shared" si="105"/>
        <v>0.37262588910305972</v>
      </c>
      <c r="CK124" s="17">
        <f>IF(AND(CI124&gt;0,CC124&gt;0),CI124/(1-'1 - Input'!$B$22*CJ124),0)</f>
        <v>27.558318267471822</v>
      </c>
      <c r="CL124" s="17">
        <f t="shared" si="106"/>
        <v>27.558318267471822</v>
      </c>
      <c r="CM124" s="17">
        <f>'1 - Input'!$B$22*CJ124*CL124</f>
        <v>2.669925140116463</v>
      </c>
      <c r="CN124" s="17">
        <f t="shared" si="107"/>
        <v>24.888393127355361</v>
      </c>
      <c r="CO124" s="17">
        <f t="shared" si="108"/>
        <v>0</v>
      </c>
      <c r="CP124" s="17">
        <f t="shared" si="109"/>
        <v>0</v>
      </c>
      <c r="CQ124" s="17">
        <f t="shared" si="110"/>
        <v>399056.71006090642</v>
      </c>
      <c r="CR124" s="17">
        <f t="shared" si="111"/>
        <v>250357.84867191923</v>
      </c>
      <c r="CS124" s="17">
        <f>IF(MOD(BU124,12)=0,CQ124*'1 - Input'!$B$23,0)</f>
        <v>0</v>
      </c>
      <c r="CT124" s="17">
        <f t="shared" si="112"/>
        <v>399056.71006090642</v>
      </c>
      <c r="CU124" s="17">
        <f>IF(MOD(BU124,12)=0,CR124*(1-'1 - Input'!$B$23),CR124)</f>
        <v>250357.84867191923</v>
      </c>
      <c r="CV124" s="17">
        <f>IF('1 - Input'!$B$17=1,MIN(CF124,BX124)+CN124,CF124)</f>
        <v>3040.6385320128002</v>
      </c>
      <c r="CW124" s="17">
        <f t="shared" si="132"/>
        <v>231748.86599579526</v>
      </c>
      <c r="CX124" s="17">
        <f t="shared" si="133"/>
        <v>0</v>
      </c>
      <c r="CY124" s="17">
        <f t="shared" si="134"/>
        <v>4.617767644771134</v>
      </c>
      <c r="CZ124" s="17">
        <f t="shared" si="135"/>
        <v>0</v>
      </c>
      <c r="DA124" s="17">
        <f t="shared" si="136"/>
        <v>5367.0248528386846</v>
      </c>
      <c r="DB124" s="17">
        <f t="shared" si="137"/>
        <v>0</v>
      </c>
      <c r="DC124" s="15">
        <f t="shared" si="113"/>
        <v>0</v>
      </c>
    </row>
    <row r="125" spans="1:107">
      <c r="A125" s="14">
        <v>82</v>
      </c>
      <c r="B125" s="15">
        <f t="shared" si="69"/>
        <v>7</v>
      </c>
      <c r="C125" s="16">
        <f>(1+INDEX('1 - Input'!$B$34:$E$63,B125,'1 - Input'!$B$16))^(1/12)-1</f>
        <v>4.1219243192651689E-3</v>
      </c>
      <c r="D125" s="17">
        <f>'1 - Input'!$B$7*(1+'1 - Input'!$B$12)^(B125-1)</f>
        <v>3040.6385320128002</v>
      </c>
      <c r="E125" s="17">
        <f t="shared" si="114"/>
        <v>321734.66006818402</v>
      </c>
      <c r="F125" s="17">
        <f t="shared" si="115"/>
        <v>424251.73437107948</v>
      </c>
      <c r="G125" s="17">
        <f t="shared" si="70"/>
        <v>323060.82598786958</v>
      </c>
      <c r="H125" s="17">
        <f>IF(G125&gt;0,'1 - Input'!$B$8/12*G125,0)</f>
        <v>2422.9561949090216</v>
      </c>
      <c r="I125" s="17">
        <f t="shared" si="71"/>
        <v>320637.86979296058</v>
      </c>
      <c r="J125" s="17">
        <f t="shared" si="72"/>
        <v>0</v>
      </c>
      <c r="K125" s="17">
        <f>'1 - Input'!$B$22*(H125-J125)</f>
        <v>629.96861067634563</v>
      </c>
      <c r="L125" s="17">
        <f t="shared" si="73"/>
        <v>1792.987584232676</v>
      </c>
      <c r="M125" s="17">
        <f t="shared" si="74"/>
        <v>424251.73437107948</v>
      </c>
      <c r="N125" s="17">
        <f>IF('1 - Input'!$B$17=1,MAX(0,L125-D125),0)</f>
        <v>0</v>
      </c>
      <c r="O125" s="17">
        <f>IF('1 - Input'!$B$17=1,MAX(0,D125-L125),0)</f>
        <v>1247.6509477801242</v>
      </c>
      <c r="P125" s="17">
        <f t="shared" si="75"/>
        <v>0</v>
      </c>
      <c r="Q125" s="17">
        <f>IF(AND(O125&gt;0,I125&gt;0),O125/(1-'1 - Input'!$B$22*P125),0)</f>
        <v>1247.6509477801242</v>
      </c>
      <c r="R125" s="17">
        <f t="shared" si="76"/>
        <v>1247.6509477801242</v>
      </c>
      <c r="S125" s="17">
        <f>'1 - Input'!$B$22*P125*R125</f>
        <v>0</v>
      </c>
      <c r="T125" s="17">
        <f t="shared" si="77"/>
        <v>1247.6509477801242</v>
      </c>
      <c r="U125" s="17">
        <f t="shared" si="78"/>
        <v>0</v>
      </c>
      <c r="V125" s="17">
        <f t="shared" si="79"/>
        <v>403.17738022500293</v>
      </c>
      <c r="W125" s="17">
        <f t="shared" si="80"/>
        <v>319390.21884518047</v>
      </c>
      <c r="X125" s="17">
        <f t="shared" si="81"/>
        <v>422600.90604307438</v>
      </c>
      <c r="Y125" s="17">
        <f>IF(MOD(A125,12)=0,W125*'1 - Input'!$B$23,0)</f>
        <v>0</v>
      </c>
      <c r="Z125" s="17">
        <f t="shared" si="82"/>
        <v>319390.21884518047</v>
      </c>
      <c r="AA125" s="17">
        <f>IF(MOD(A125,12)=0,X125*(1-'1 - Input'!$B$23),X125)</f>
        <v>422600.90604307438</v>
      </c>
      <c r="AB125" s="17">
        <f>IF('1 - Input'!$B$17=1,MIN(L125,D125)+T125,L125)</f>
        <v>3040.6385320128002</v>
      </c>
      <c r="AC125" s="17">
        <f t="shared" si="116"/>
        <v>234789.50452780805</v>
      </c>
      <c r="AD125" s="17">
        <f t="shared" si="117"/>
        <v>65660.929811526104</v>
      </c>
      <c r="AE125" s="17">
        <f t="shared" si="118"/>
        <v>0</v>
      </c>
      <c r="AF125" s="17">
        <f t="shared" si="119"/>
        <v>10380.392838487809</v>
      </c>
      <c r="AG125" s="17">
        <f t="shared" si="120"/>
        <v>4884.1502345382396</v>
      </c>
      <c r="AH125" s="17">
        <f t="shared" si="121"/>
        <v>0</v>
      </c>
      <c r="AI125" s="15">
        <f t="shared" si="83"/>
        <v>0</v>
      </c>
      <c r="AK125" s="14">
        <v>82</v>
      </c>
      <c r="AL125" s="15">
        <f t="shared" si="84"/>
        <v>7</v>
      </c>
      <c r="AM125" s="16">
        <f>(1+INDEX('1 - Input'!$B$34:$E$63,AL125,'1 - Input'!$B$16))^(1/12)-1</f>
        <v>4.1219243192651689E-3</v>
      </c>
      <c r="AN125" s="17">
        <f>'1 - Input'!$B$7*(1+'1 - Input'!$B$12)^(AL125-1)</f>
        <v>3040.6385320128002</v>
      </c>
      <c r="AO125" s="17">
        <f t="shared" si="122"/>
        <v>321734.66006818402</v>
      </c>
      <c r="AP125" s="17">
        <f t="shared" si="123"/>
        <v>424251.73437107948</v>
      </c>
      <c r="AQ125" s="17">
        <f t="shared" si="85"/>
        <v>323060.82598786958</v>
      </c>
      <c r="AR125" s="17">
        <f>IF(AQ125&gt;0,'1 - Input'!$B$8/12*AQ125,0)</f>
        <v>2422.9561949090216</v>
      </c>
      <c r="AS125" s="17">
        <f t="shared" si="86"/>
        <v>320637.86979296058</v>
      </c>
      <c r="AT125" s="17">
        <f t="shared" si="87"/>
        <v>0</v>
      </c>
      <c r="AU125" s="17">
        <f>'1 - Input'!$B$22*(AR125-AT125)</f>
        <v>629.96861067634563</v>
      </c>
      <c r="AV125" s="17">
        <f t="shared" si="88"/>
        <v>1792.987584232676</v>
      </c>
      <c r="AW125" s="17">
        <f t="shared" si="89"/>
        <v>424251.73437107948</v>
      </c>
      <c r="AX125" s="17">
        <f>IF('1 - Input'!$B$17=1,MAX(0,AV125-AN125),0)</f>
        <v>0</v>
      </c>
      <c r="AY125" s="17">
        <f>IF('1 - Input'!$B$17=1,MAX(0,AN125-AV125),0)</f>
        <v>1247.6509477801242</v>
      </c>
      <c r="AZ125" s="17">
        <f t="shared" si="90"/>
        <v>0</v>
      </c>
      <c r="BA125" s="17">
        <f>IF(AND(AY125&gt;0,AS125&gt;0),AY125/(1-'1 - Input'!$B$22*AZ125),0)</f>
        <v>1247.6509477801242</v>
      </c>
      <c r="BB125" s="17">
        <f t="shared" si="91"/>
        <v>1247.6509477801242</v>
      </c>
      <c r="BC125" s="17">
        <f>'1 - Input'!$B$22*AZ125*BB125</f>
        <v>0</v>
      </c>
      <c r="BD125" s="17">
        <f t="shared" si="92"/>
        <v>1247.6509477801242</v>
      </c>
      <c r="BE125" s="17">
        <f t="shared" si="93"/>
        <v>0</v>
      </c>
      <c r="BF125" s="17">
        <f t="shared" si="94"/>
        <v>403.17738022500293</v>
      </c>
      <c r="BG125" s="17">
        <f t="shared" si="95"/>
        <v>319390.21884518047</v>
      </c>
      <c r="BH125" s="17">
        <f t="shared" si="96"/>
        <v>422600.90604307438</v>
      </c>
      <c r="BI125" s="17">
        <f>IF(MOD(AK125,12)=0,BG125*'1 - Input'!$B$23,0)</f>
        <v>0</v>
      </c>
      <c r="BJ125" s="17">
        <f t="shared" si="97"/>
        <v>319390.21884518047</v>
      </c>
      <c r="BK125" s="17">
        <f>IF(MOD(AK125,12)=0,BH125*(1-'1 - Input'!$B$23),BH125)</f>
        <v>422600.90604307438</v>
      </c>
      <c r="BL125" s="17">
        <f>IF('1 - Input'!$B$17=1,MIN(AV125,AN125)+BD125,AV125)</f>
        <v>3040.6385320128002</v>
      </c>
      <c r="BM125" s="17">
        <f t="shared" si="124"/>
        <v>234789.50452780805</v>
      </c>
      <c r="BN125" s="17">
        <f t="shared" si="125"/>
        <v>65660.929811526104</v>
      </c>
      <c r="BO125" s="17">
        <f t="shared" si="126"/>
        <v>0</v>
      </c>
      <c r="BP125" s="17">
        <f t="shared" si="127"/>
        <v>10380.392838487809</v>
      </c>
      <c r="BQ125" s="17">
        <f t="shared" si="128"/>
        <v>4884.1502345382396</v>
      </c>
      <c r="BR125" s="17">
        <f t="shared" si="129"/>
        <v>0</v>
      </c>
      <c r="BS125" s="15">
        <f t="shared" si="98"/>
        <v>0</v>
      </c>
      <c r="BU125" s="14">
        <v>82</v>
      </c>
      <c r="BV125" s="15">
        <f t="shared" si="99"/>
        <v>7</v>
      </c>
      <c r="BW125" s="16">
        <f>(1+INDEX('1 - Input'!$B$34:$E$63,BV125,'1 - Input'!$B$16))^(1/12)-1</f>
        <v>4.1219243192651689E-3</v>
      </c>
      <c r="BX125" s="17">
        <f>'1 - Input'!$B$7*(1+'1 - Input'!$B$12)^(BV125-1)</f>
        <v>3040.6385320128002</v>
      </c>
      <c r="BY125" s="17">
        <f t="shared" si="130"/>
        <v>399056.71006090642</v>
      </c>
      <c r="BZ125" s="17">
        <f t="shared" si="131"/>
        <v>250357.84867191923</v>
      </c>
      <c r="CA125" s="17">
        <f t="shared" si="100"/>
        <v>400701.59161887242</v>
      </c>
      <c r="CB125" s="17">
        <f>IF(CA125&gt;0,'1 - Input'!$B$8/12*CA125,0)</f>
        <v>3005.2619371415431</v>
      </c>
      <c r="CC125" s="17">
        <f t="shared" si="101"/>
        <v>397696.32968173089</v>
      </c>
      <c r="CD125" s="17">
        <f t="shared" si="102"/>
        <v>3005.2619371415431</v>
      </c>
      <c r="CE125" s="17">
        <f>'1 - Input'!$B$22*(CB125-CD125)</f>
        <v>0</v>
      </c>
      <c r="CF125" s="17">
        <f t="shared" si="103"/>
        <v>3005.2619371415431</v>
      </c>
      <c r="CG125" s="17">
        <f t="shared" si="104"/>
        <v>247352.58673477769</v>
      </c>
      <c r="CH125" s="17">
        <f>IF('1 - Input'!$B$17=1,MAX(0,CF125-BX125),0)</f>
        <v>0</v>
      </c>
      <c r="CI125" s="17">
        <f>IF('1 - Input'!$B$17=1,MAX(0,BX125-CF125),0)</f>
        <v>35.376594871257112</v>
      </c>
      <c r="CJ125" s="17">
        <f t="shared" si="105"/>
        <v>0.3780365362367577</v>
      </c>
      <c r="CK125" s="17">
        <f>IF(AND(CI125&gt;0,CC125&gt;0),CI125/(1-'1 - Input'!$B$22*CJ125),0)</f>
        <v>39.232763562765648</v>
      </c>
      <c r="CL125" s="17">
        <f t="shared" si="106"/>
        <v>39.232763562765648</v>
      </c>
      <c r="CM125" s="17">
        <f>'1 - Input'!$B$22*CJ125*CL125</f>
        <v>3.8561686915085365</v>
      </c>
      <c r="CN125" s="17">
        <f t="shared" si="107"/>
        <v>35.376594871257112</v>
      </c>
      <c r="CO125" s="17">
        <f t="shared" si="108"/>
        <v>0</v>
      </c>
      <c r="CP125" s="17">
        <f t="shared" si="109"/>
        <v>0</v>
      </c>
      <c r="CQ125" s="17">
        <f t="shared" si="110"/>
        <v>397657.09691816813</v>
      </c>
      <c r="CR125" s="17">
        <f t="shared" si="111"/>
        <v>247328.18538925919</v>
      </c>
      <c r="CS125" s="17">
        <f>IF(MOD(BU125,12)=0,CQ125*'1 - Input'!$B$23,0)</f>
        <v>0</v>
      </c>
      <c r="CT125" s="17">
        <f t="shared" si="112"/>
        <v>397657.09691816813</v>
      </c>
      <c r="CU125" s="17">
        <f>IF(MOD(BU125,12)=0,CR125*(1-'1 - Input'!$B$23),CR125)</f>
        <v>247328.18538925919</v>
      </c>
      <c r="CV125" s="17">
        <f>IF('1 - Input'!$B$17=1,MIN(CF125,BX125)+CN125,CF125)</f>
        <v>3040.6385320128002</v>
      </c>
      <c r="CW125" s="17">
        <f t="shared" si="132"/>
        <v>234789.50452780805</v>
      </c>
      <c r="CX125" s="17">
        <f t="shared" si="133"/>
        <v>0</v>
      </c>
      <c r="CY125" s="17">
        <f t="shared" si="134"/>
        <v>8.4739363362796709</v>
      </c>
      <c r="CZ125" s="17">
        <f t="shared" si="135"/>
        <v>0</v>
      </c>
      <c r="DA125" s="17">
        <f t="shared" si="136"/>
        <v>5367.0248528386846</v>
      </c>
      <c r="DB125" s="17">
        <f t="shared" si="137"/>
        <v>0</v>
      </c>
      <c r="DC125" s="15">
        <f t="shared" si="113"/>
        <v>0</v>
      </c>
    </row>
    <row r="126" spans="1:107">
      <c r="A126" s="14">
        <v>83</v>
      </c>
      <c r="B126" s="15">
        <f t="shared" si="69"/>
        <v>7</v>
      </c>
      <c r="C126" s="16">
        <f>(1+INDEX('1 - Input'!$B$34:$E$63,B126,'1 - Input'!$B$16))^(1/12)-1</f>
        <v>4.1219243192651689E-3</v>
      </c>
      <c r="D126" s="17">
        <f>'1 - Input'!$B$7*(1+'1 - Input'!$B$12)^(B126-1)</f>
        <v>3040.6385320128002</v>
      </c>
      <c r="E126" s="17">
        <f t="shared" si="114"/>
        <v>319390.21884518047</v>
      </c>
      <c r="F126" s="17">
        <f t="shared" si="115"/>
        <v>422600.90604307438</v>
      </c>
      <c r="G126" s="17">
        <f t="shared" si="70"/>
        <v>320706.72115557385</v>
      </c>
      <c r="H126" s="17">
        <f>IF(G126&gt;0,'1 - Input'!$B$8/12*G126,0)</f>
        <v>2405.3004086668038</v>
      </c>
      <c r="I126" s="17">
        <f t="shared" si="71"/>
        <v>318301.42074690707</v>
      </c>
      <c r="J126" s="17">
        <f t="shared" si="72"/>
        <v>0</v>
      </c>
      <c r="K126" s="17">
        <f>'1 - Input'!$B$22*(H126-J126)</f>
        <v>625.37810625336897</v>
      </c>
      <c r="L126" s="17">
        <f t="shared" si="73"/>
        <v>1779.9223024134349</v>
      </c>
      <c r="M126" s="17">
        <f t="shared" si="74"/>
        <v>422600.90604307438</v>
      </c>
      <c r="N126" s="17">
        <f>IF('1 - Input'!$B$17=1,MAX(0,L126-D126),0)</f>
        <v>0</v>
      </c>
      <c r="O126" s="17">
        <f>IF('1 - Input'!$B$17=1,MAX(0,D126-L126),0)</f>
        <v>1260.7162295993653</v>
      </c>
      <c r="P126" s="17">
        <f t="shared" si="75"/>
        <v>0</v>
      </c>
      <c r="Q126" s="17">
        <f>IF(AND(O126&gt;0,I126&gt;0),O126/(1-'1 - Input'!$B$22*P126),0)</f>
        <v>1260.7162295993653</v>
      </c>
      <c r="R126" s="17">
        <f t="shared" si="76"/>
        <v>1260.7162295993653</v>
      </c>
      <c r="S126" s="17">
        <f>'1 - Input'!$B$22*P126*R126</f>
        <v>0</v>
      </c>
      <c r="T126" s="17">
        <f t="shared" si="77"/>
        <v>1260.7162295993653</v>
      </c>
      <c r="U126" s="17">
        <f t="shared" si="78"/>
        <v>0</v>
      </c>
      <c r="V126" s="17">
        <f t="shared" si="79"/>
        <v>413.10545690681209</v>
      </c>
      <c r="W126" s="17">
        <f t="shared" si="80"/>
        <v>317040.70451730769</v>
      </c>
      <c r="X126" s="17">
        <f t="shared" si="81"/>
        <v>420927.08435656817</v>
      </c>
      <c r="Y126" s="17">
        <f>IF(MOD(A126,12)=0,W126*'1 - Input'!$B$23,0)</f>
        <v>0</v>
      </c>
      <c r="Z126" s="17">
        <f t="shared" si="82"/>
        <v>317040.70451730769</v>
      </c>
      <c r="AA126" s="17">
        <f>IF(MOD(A126,12)=0,X126*(1-'1 - Input'!$B$23),X126)</f>
        <v>420927.08435656817</v>
      </c>
      <c r="AB126" s="17">
        <f>IF('1 - Input'!$B$17=1,MIN(L126,D126)+T126,L126)</f>
        <v>3040.6385320128002</v>
      </c>
      <c r="AC126" s="17">
        <f t="shared" si="116"/>
        <v>237830.14305982084</v>
      </c>
      <c r="AD126" s="17">
        <f t="shared" si="117"/>
        <v>66286.307917779472</v>
      </c>
      <c r="AE126" s="17">
        <f t="shared" si="118"/>
        <v>0</v>
      </c>
      <c r="AF126" s="17">
        <f t="shared" si="119"/>
        <v>10793.498295394622</v>
      </c>
      <c r="AG126" s="17">
        <f t="shared" si="120"/>
        <v>4884.1502345382396</v>
      </c>
      <c r="AH126" s="17">
        <f t="shared" si="121"/>
        <v>0</v>
      </c>
      <c r="AI126" s="15">
        <f t="shared" si="83"/>
        <v>0</v>
      </c>
      <c r="AK126" s="14">
        <v>83</v>
      </c>
      <c r="AL126" s="15">
        <f t="shared" si="84"/>
        <v>7</v>
      </c>
      <c r="AM126" s="16">
        <f>(1+INDEX('1 - Input'!$B$34:$E$63,AL126,'1 - Input'!$B$16))^(1/12)-1</f>
        <v>4.1219243192651689E-3</v>
      </c>
      <c r="AN126" s="17">
        <f>'1 - Input'!$B$7*(1+'1 - Input'!$B$12)^(AL126-1)</f>
        <v>3040.6385320128002</v>
      </c>
      <c r="AO126" s="17">
        <f t="shared" si="122"/>
        <v>319390.21884518047</v>
      </c>
      <c r="AP126" s="17">
        <f t="shared" si="123"/>
        <v>422600.90604307438</v>
      </c>
      <c r="AQ126" s="17">
        <f t="shared" si="85"/>
        <v>320706.72115557385</v>
      </c>
      <c r="AR126" s="17">
        <f>IF(AQ126&gt;0,'1 - Input'!$B$8/12*AQ126,0)</f>
        <v>2405.3004086668038</v>
      </c>
      <c r="AS126" s="17">
        <f t="shared" si="86"/>
        <v>318301.42074690707</v>
      </c>
      <c r="AT126" s="17">
        <f t="shared" si="87"/>
        <v>0</v>
      </c>
      <c r="AU126" s="17">
        <f>'1 - Input'!$B$22*(AR126-AT126)</f>
        <v>625.37810625336897</v>
      </c>
      <c r="AV126" s="17">
        <f t="shared" si="88"/>
        <v>1779.9223024134349</v>
      </c>
      <c r="AW126" s="17">
        <f t="shared" si="89"/>
        <v>422600.90604307438</v>
      </c>
      <c r="AX126" s="17">
        <f>IF('1 - Input'!$B$17=1,MAX(0,AV126-AN126),0)</f>
        <v>0</v>
      </c>
      <c r="AY126" s="17">
        <f>IF('1 - Input'!$B$17=1,MAX(0,AN126-AV126),0)</f>
        <v>1260.7162295993653</v>
      </c>
      <c r="AZ126" s="17">
        <f t="shared" si="90"/>
        <v>0</v>
      </c>
      <c r="BA126" s="17">
        <f>IF(AND(AY126&gt;0,AS126&gt;0),AY126/(1-'1 - Input'!$B$22*AZ126),0)</f>
        <v>1260.7162295993653</v>
      </c>
      <c r="BB126" s="17">
        <f t="shared" si="91"/>
        <v>1260.7162295993653</v>
      </c>
      <c r="BC126" s="17">
        <f>'1 - Input'!$B$22*AZ126*BB126</f>
        <v>0</v>
      </c>
      <c r="BD126" s="17">
        <f t="shared" si="92"/>
        <v>1260.7162295993653</v>
      </c>
      <c r="BE126" s="17">
        <f t="shared" si="93"/>
        <v>0</v>
      </c>
      <c r="BF126" s="17">
        <f t="shared" si="94"/>
        <v>413.10545690681209</v>
      </c>
      <c r="BG126" s="17">
        <f t="shared" si="95"/>
        <v>317040.70451730769</v>
      </c>
      <c r="BH126" s="17">
        <f t="shared" si="96"/>
        <v>420927.08435656817</v>
      </c>
      <c r="BI126" s="17">
        <f>IF(MOD(AK126,12)=0,BG126*'1 - Input'!$B$23,0)</f>
        <v>0</v>
      </c>
      <c r="BJ126" s="17">
        <f t="shared" si="97"/>
        <v>317040.70451730769</v>
      </c>
      <c r="BK126" s="17">
        <f>IF(MOD(AK126,12)=0,BH126*(1-'1 - Input'!$B$23),BH126)</f>
        <v>420927.08435656817</v>
      </c>
      <c r="BL126" s="17">
        <f>IF('1 - Input'!$B$17=1,MIN(AV126,AN126)+BD126,AV126)</f>
        <v>3040.6385320128002</v>
      </c>
      <c r="BM126" s="17">
        <f t="shared" si="124"/>
        <v>237830.14305982084</v>
      </c>
      <c r="BN126" s="17">
        <f t="shared" si="125"/>
        <v>66286.307917779472</v>
      </c>
      <c r="BO126" s="17">
        <f t="shared" si="126"/>
        <v>0</v>
      </c>
      <c r="BP126" s="17">
        <f t="shared" si="127"/>
        <v>10793.498295394622</v>
      </c>
      <c r="BQ126" s="17">
        <f t="shared" si="128"/>
        <v>4884.1502345382396</v>
      </c>
      <c r="BR126" s="17">
        <f t="shared" si="129"/>
        <v>0</v>
      </c>
      <c r="BS126" s="15">
        <f t="shared" si="98"/>
        <v>0</v>
      </c>
      <c r="BU126" s="14">
        <v>83</v>
      </c>
      <c r="BV126" s="15">
        <f t="shared" si="99"/>
        <v>7</v>
      </c>
      <c r="BW126" s="16">
        <f>(1+INDEX('1 - Input'!$B$34:$E$63,BV126,'1 - Input'!$B$16))^(1/12)-1</f>
        <v>4.1219243192651689E-3</v>
      </c>
      <c r="BX126" s="17">
        <f>'1 - Input'!$B$7*(1+'1 - Input'!$B$12)^(BV126-1)</f>
        <v>3040.6385320128002</v>
      </c>
      <c r="BY126" s="17">
        <f t="shared" si="130"/>
        <v>397657.09691816813</v>
      </c>
      <c r="BZ126" s="17">
        <f t="shared" si="131"/>
        <v>247328.18538925919</v>
      </c>
      <c r="CA126" s="17">
        <f t="shared" si="100"/>
        <v>399296.20937668352</v>
      </c>
      <c r="CB126" s="17">
        <f>IF(CA126&gt;0,'1 - Input'!$B$8/12*CA126,0)</f>
        <v>2994.7215703251263</v>
      </c>
      <c r="CC126" s="17">
        <f t="shared" si="101"/>
        <v>396301.48780635837</v>
      </c>
      <c r="CD126" s="17">
        <f t="shared" si="102"/>
        <v>2994.7215703251263</v>
      </c>
      <c r="CE126" s="17">
        <f>'1 - Input'!$B$22*(CB126-CD126)</f>
        <v>0</v>
      </c>
      <c r="CF126" s="17">
        <f t="shared" si="103"/>
        <v>2994.7215703251263</v>
      </c>
      <c r="CG126" s="17">
        <f t="shared" si="104"/>
        <v>244333.46381893408</v>
      </c>
      <c r="CH126" s="17">
        <f>IF('1 - Input'!$B$17=1,MAX(0,CF126-BX126),0)</f>
        <v>0</v>
      </c>
      <c r="CI126" s="17">
        <f>IF('1 - Input'!$B$17=1,MAX(0,BX126-CF126),0)</f>
        <v>45.916961687673847</v>
      </c>
      <c r="CJ126" s="17">
        <f t="shared" si="105"/>
        <v>0.38346569130641073</v>
      </c>
      <c r="CK126" s="17">
        <f>IF(AND(CI126&gt;0,CC126&gt;0),CI126/(1-'1 - Input'!$B$22*CJ126),0)</f>
        <v>51.001906871549238</v>
      </c>
      <c r="CL126" s="17">
        <f t="shared" si="106"/>
        <v>51.001906871549238</v>
      </c>
      <c r="CM126" s="17">
        <f>'1 - Input'!$B$22*CJ126*CL126</f>
        <v>5.0849451838753907</v>
      </c>
      <c r="CN126" s="17">
        <f t="shared" si="107"/>
        <v>45.916961687673847</v>
      </c>
      <c r="CO126" s="17">
        <f t="shared" si="108"/>
        <v>0</v>
      </c>
      <c r="CP126" s="17">
        <f t="shared" si="109"/>
        <v>0</v>
      </c>
      <c r="CQ126" s="17">
        <f t="shared" si="110"/>
        <v>396250.48589948681</v>
      </c>
      <c r="CR126" s="17">
        <f t="shared" si="111"/>
        <v>244302.01939353897</v>
      </c>
      <c r="CS126" s="17">
        <f>IF(MOD(BU126,12)=0,CQ126*'1 - Input'!$B$23,0)</f>
        <v>0</v>
      </c>
      <c r="CT126" s="17">
        <f t="shared" si="112"/>
        <v>396250.48589948681</v>
      </c>
      <c r="CU126" s="17">
        <f>IF(MOD(BU126,12)=0,CR126*(1-'1 - Input'!$B$23),CR126)</f>
        <v>244302.01939353897</v>
      </c>
      <c r="CV126" s="17">
        <f>IF('1 - Input'!$B$17=1,MIN(CF126,BX126)+CN126,CF126)</f>
        <v>3040.6385320128002</v>
      </c>
      <c r="CW126" s="17">
        <f t="shared" si="132"/>
        <v>237830.14305982084</v>
      </c>
      <c r="CX126" s="17">
        <f t="shared" si="133"/>
        <v>0</v>
      </c>
      <c r="CY126" s="17">
        <f t="shared" si="134"/>
        <v>13.558881520155062</v>
      </c>
      <c r="CZ126" s="17">
        <f t="shared" si="135"/>
        <v>0</v>
      </c>
      <c r="DA126" s="17">
        <f t="shared" si="136"/>
        <v>5367.0248528386846</v>
      </c>
      <c r="DB126" s="17">
        <f t="shared" si="137"/>
        <v>0</v>
      </c>
      <c r="DC126" s="15">
        <f t="shared" si="113"/>
        <v>0</v>
      </c>
    </row>
    <row r="127" spans="1:107">
      <c r="A127" s="14">
        <v>84</v>
      </c>
      <c r="B127" s="15">
        <f t="shared" si="69"/>
        <v>7</v>
      </c>
      <c r="C127" s="16">
        <f>(1+INDEX('1 - Input'!$B$34:$E$63,B127,'1 - Input'!$B$16))^(1/12)-1</f>
        <v>4.1219243192651689E-3</v>
      </c>
      <c r="D127" s="17">
        <f>'1 - Input'!$B$7*(1+'1 - Input'!$B$12)^(B127-1)</f>
        <v>3040.6385320128002</v>
      </c>
      <c r="E127" s="17">
        <f t="shared" si="114"/>
        <v>317040.70451730769</v>
      </c>
      <c r="F127" s="17">
        <f t="shared" si="115"/>
        <v>420927.08435656817</v>
      </c>
      <c r="G127" s="17">
        <f t="shared" si="70"/>
        <v>318347.52230745455</v>
      </c>
      <c r="H127" s="17">
        <f>IF(G127&gt;0,'1 - Input'!$B$8/12*G127,0)</f>
        <v>2387.606417305909</v>
      </c>
      <c r="I127" s="17">
        <f t="shared" si="71"/>
        <v>315959.91589014867</v>
      </c>
      <c r="J127" s="17">
        <f t="shared" si="72"/>
        <v>0</v>
      </c>
      <c r="K127" s="17">
        <f>'1 - Input'!$B$22*(H127-J127)</f>
        <v>620.77766849953639</v>
      </c>
      <c r="L127" s="17">
        <f t="shared" si="73"/>
        <v>1766.8287488063725</v>
      </c>
      <c r="M127" s="17">
        <f t="shared" si="74"/>
        <v>420927.08435656817</v>
      </c>
      <c r="N127" s="17">
        <f>IF('1 - Input'!$B$17=1,MAX(0,L127-D127),0)</f>
        <v>0</v>
      </c>
      <c r="O127" s="17">
        <f>IF('1 - Input'!$B$17=1,MAX(0,D127-L127),0)</f>
        <v>1273.8097832064277</v>
      </c>
      <c r="P127" s="17">
        <f t="shared" si="75"/>
        <v>0</v>
      </c>
      <c r="Q127" s="17">
        <f>IF(AND(O127&gt;0,I127&gt;0),O127/(1-'1 - Input'!$B$22*P127),0)</f>
        <v>1273.8097832064277</v>
      </c>
      <c r="R127" s="17">
        <f t="shared" si="76"/>
        <v>1273.8097832064277</v>
      </c>
      <c r="S127" s="17">
        <f>'1 - Input'!$B$22*P127*R127</f>
        <v>0</v>
      </c>
      <c r="T127" s="17">
        <f t="shared" si="77"/>
        <v>1273.8097832064277</v>
      </c>
      <c r="U127" s="17">
        <f t="shared" si="78"/>
        <v>0</v>
      </c>
      <c r="V127" s="17">
        <f t="shared" si="79"/>
        <v>423.18091436158431</v>
      </c>
      <c r="W127" s="17">
        <f t="shared" si="80"/>
        <v>314686.10610694223</v>
      </c>
      <c r="X127" s="17">
        <f t="shared" si="81"/>
        <v>419230.09365900018</v>
      </c>
      <c r="Y127" s="17">
        <f>IF(MOD(A127,12)=0,W127*'1 - Input'!$B$23,0)</f>
        <v>629.3722122138845</v>
      </c>
      <c r="Z127" s="17">
        <f t="shared" si="82"/>
        <v>314056.73389472836</v>
      </c>
      <c r="AA127" s="17">
        <f>IF(MOD(A127,12)=0,X127*(1-'1 - Input'!$B$23),X127)</f>
        <v>418391.6334716822</v>
      </c>
      <c r="AB127" s="17">
        <f>IF('1 - Input'!$B$17=1,MIN(L127,D127)+T127,L127)</f>
        <v>3040.6385320128002</v>
      </c>
      <c r="AC127" s="17">
        <f t="shared" si="116"/>
        <v>240870.78159183363</v>
      </c>
      <c r="AD127" s="17">
        <f t="shared" si="117"/>
        <v>66907.085586279005</v>
      </c>
      <c r="AE127" s="17">
        <f t="shared" si="118"/>
        <v>0</v>
      </c>
      <c r="AF127" s="17">
        <f t="shared" si="119"/>
        <v>11216.679209756207</v>
      </c>
      <c r="AG127" s="17">
        <f t="shared" si="120"/>
        <v>5513.5224467521239</v>
      </c>
      <c r="AH127" s="17">
        <f t="shared" si="121"/>
        <v>0</v>
      </c>
      <c r="AI127" s="15">
        <f t="shared" si="83"/>
        <v>0</v>
      </c>
      <c r="AK127" s="14">
        <v>84</v>
      </c>
      <c r="AL127" s="15">
        <f t="shared" si="84"/>
        <v>7</v>
      </c>
      <c r="AM127" s="16">
        <f>(1+INDEX('1 - Input'!$B$34:$E$63,AL127,'1 - Input'!$B$16))^(1/12)-1</f>
        <v>4.1219243192651689E-3</v>
      </c>
      <c r="AN127" s="17">
        <f>'1 - Input'!$B$7*(1+'1 - Input'!$B$12)^(AL127-1)</f>
        <v>3040.6385320128002</v>
      </c>
      <c r="AO127" s="17">
        <f t="shared" si="122"/>
        <v>317040.70451730769</v>
      </c>
      <c r="AP127" s="17">
        <f t="shared" si="123"/>
        <v>420927.08435656817</v>
      </c>
      <c r="AQ127" s="17">
        <f t="shared" si="85"/>
        <v>318347.52230745455</v>
      </c>
      <c r="AR127" s="17">
        <f>IF(AQ127&gt;0,'1 - Input'!$B$8/12*AQ127,0)</f>
        <v>2387.606417305909</v>
      </c>
      <c r="AS127" s="17">
        <f t="shared" si="86"/>
        <v>315959.91589014867</v>
      </c>
      <c r="AT127" s="17">
        <f t="shared" si="87"/>
        <v>0</v>
      </c>
      <c r="AU127" s="17">
        <f>'1 - Input'!$B$22*(AR127-AT127)</f>
        <v>620.77766849953639</v>
      </c>
      <c r="AV127" s="17">
        <f t="shared" si="88"/>
        <v>1766.8287488063725</v>
      </c>
      <c r="AW127" s="17">
        <f t="shared" si="89"/>
        <v>420927.08435656817</v>
      </c>
      <c r="AX127" s="17">
        <f>IF('1 - Input'!$B$17=1,MAX(0,AV127-AN127),0)</f>
        <v>0</v>
      </c>
      <c r="AY127" s="17">
        <f>IF('1 - Input'!$B$17=1,MAX(0,AN127-AV127),0)</f>
        <v>1273.8097832064277</v>
      </c>
      <c r="AZ127" s="17">
        <f t="shared" si="90"/>
        <v>0</v>
      </c>
      <c r="BA127" s="17">
        <f>IF(AND(AY127&gt;0,AS127&gt;0),AY127/(1-'1 - Input'!$B$22*AZ127),0)</f>
        <v>1273.8097832064277</v>
      </c>
      <c r="BB127" s="17">
        <f t="shared" si="91"/>
        <v>1273.8097832064277</v>
      </c>
      <c r="BC127" s="17">
        <f>'1 - Input'!$B$22*AZ127*BB127</f>
        <v>0</v>
      </c>
      <c r="BD127" s="17">
        <f t="shared" si="92"/>
        <v>1273.8097832064277</v>
      </c>
      <c r="BE127" s="17">
        <f t="shared" si="93"/>
        <v>0</v>
      </c>
      <c r="BF127" s="17">
        <f t="shared" si="94"/>
        <v>423.18091436158431</v>
      </c>
      <c r="BG127" s="17">
        <f t="shared" si="95"/>
        <v>314686.10610694223</v>
      </c>
      <c r="BH127" s="17">
        <f t="shared" si="96"/>
        <v>419230.09365900018</v>
      </c>
      <c r="BI127" s="17">
        <f>IF(MOD(AK127,12)=0,BG127*'1 - Input'!$B$23,0)</f>
        <v>629.3722122138845</v>
      </c>
      <c r="BJ127" s="17">
        <f t="shared" si="97"/>
        <v>314056.73389472836</v>
      </c>
      <c r="BK127" s="17">
        <f>IF(MOD(AK127,12)=0,BH127*(1-'1 - Input'!$B$23),BH127)</f>
        <v>418391.6334716822</v>
      </c>
      <c r="BL127" s="17">
        <f>IF('1 - Input'!$B$17=1,MIN(AV127,AN127)+BD127,AV127)</f>
        <v>3040.6385320128002</v>
      </c>
      <c r="BM127" s="17">
        <f t="shared" si="124"/>
        <v>240870.78159183363</v>
      </c>
      <c r="BN127" s="17">
        <f t="shared" si="125"/>
        <v>66907.085586279005</v>
      </c>
      <c r="BO127" s="17">
        <f t="shared" si="126"/>
        <v>0</v>
      </c>
      <c r="BP127" s="17">
        <f t="shared" si="127"/>
        <v>11216.679209756207</v>
      </c>
      <c r="BQ127" s="17">
        <f t="shared" si="128"/>
        <v>5513.5224467521239</v>
      </c>
      <c r="BR127" s="17">
        <f t="shared" si="129"/>
        <v>0</v>
      </c>
      <c r="BS127" s="15">
        <f t="shared" si="98"/>
        <v>0</v>
      </c>
      <c r="BU127" s="14">
        <v>84</v>
      </c>
      <c r="BV127" s="15">
        <f t="shared" si="99"/>
        <v>7</v>
      </c>
      <c r="BW127" s="16">
        <f>(1+INDEX('1 - Input'!$B$34:$E$63,BV127,'1 - Input'!$B$16))^(1/12)-1</f>
        <v>4.1219243192651689E-3</v>
      </c>
      <c r="BX127" s="17">
        <f>'1 - Input'!$B$7*(1+'1 - Input'!$B$12)^(BV127-1)</f>
        <v>3040.6385320128002</v>
      </c>
      <c r="BY127" s="17">
        <f t="shared" si="130"/>
        <v>396250.48589948681</v>
      </c>
      <c r="BZ127" s="17">
        <f t="shared" si="131"/>
        <v>244302.01939353897</v>
      </c>
      <c r="CA127" s="17">
        <f t="shared" si="100"/>
        <v>397883.80041383655</v>
      </c>
      <c r="CB127" s="17">
        <f>IF(CA127&gt;0,'1 - Input'!$B$8/12*CA127,0)</f>
        <v>2984.1285031037742</v>
      </c>
      <c r="CC127" s="17">
        <f t="shared" si="101"/>
        <v>394899.67191073275</v>
      </c>
      <c r="CD127" s="17">
        <f t="shared" si="102"/>
        <v>2984.1285031037742</v>
      </c>
      <c r="CE127" s="17">
        <f>'1 - Input'!$B$22*(CB127-CD127)</f>
        <v>0</v>
      </c>
      <c r="CF127" s="17">
        <f t="shared" si="103"/>
        <v>2984.1285031037742</v>
      </c>
      <c r="CG127" s="17">
        <f t="shared" si="104"/>
        <v>241317.8908904352</v>
      </c>
      <c r="CH127" s="17">
        <f>IF('1 - Input'!$B$17=1,MAX(0,CF127-BX127),0)</f>
        <v>0</v>
      </c>
      <c r="CI127" s="17">
        <f>IF('1 - Input'!$B$17=1,MAX(0,BX127-CF127),0)</f>
        <v>56.510028909026005</v>
      </c>
      <c r="CJ127" s="17">
        <f t="shared" si="105"/>
        <v>0.38891341762120979</v>
      </c>
      <c r="CK127" s="17">
        <f>IF(AND(CI127&gt;0,CC127&gt;0),CI127/(1-'1 - Input'!$B$22*CJ127),0)</f>
        <v>62.866980045979659</v>
      </c>
      <c r="CL127" s="17">
        <f t="shared" si="106"/>
        <v>62.866980045979659</v>
      </c>
      <c r="CM127" s="17">
        <f>'1 - Input'!$B$22*CJ127*CL127</f>
        <v>6.3569511369536515</v>
      </c>
      <c r="CN127" s="17">
        <f t="shared" si="107"/>
        <v>56.510028909026005</v>
      </c>
      <c r="CO127" s="17">
        <f t="shared" si="108"/>
        <v>0</v>
      </c>
      <c r="CP127" s="17">
        <f t="shared" si="109"/>
        <v>0</v>
      </c>
      <c r="CQ127" s="17">
        <f t="shared" si="110"/>
        <v>394836.80493068678</v>
      </c>
      <c r="CR127" s="17">
        <f t="shared" si="111"/>
        <v>241279.47372245442</v>
      </c>
      <c r="CS127" s="17">
        <f>IF(MOD(BU127,12)=0,CQ127*'1 - Input'!$B$23,0)</f>
        <v>789.67360986137362</v>
      </c>
      <c r="CT127" s="17">
        <f t="shared" si="112"/>
        <v>394047.13132082543</v>
      </c>
      <c r="CU127" s="17">
        <f>IF(MOD(BU127,12)=0,CR127*(1-'1 - Input'!$B$23),CR127)</f>
        <v>240796.9147750095</v>
      </c>
      <c r="CV127" s="17">
        <f>IF('1 - Input'!$B$17=1,MIN(CF127,BX127)+CN127,CF127)</f>
        <v>3040.6385320128002</v>
      </c>
      <c r="CW127" s="17">
        <f t="shared" si="132"/>
        <v>240870.78159183363</v>
      </c>
      <c r="CX127" s="17">
        <f t="shared" si="133"/>
        <v>0</v>
      </c>
      <c r="CY127" s="17">
        <f t="shared" si="134"/>
        <v>19.915832657108712</v>
      </c>
      <c r="CZ127" s="17">
        <f t="shared" si="135"/>
        <v>0</v>
      </c>
      <c r="DA127" s="17">
        <f t="shared" si="136"/>
        <v>6156.6984627000584</v>
      </c>
      <c r="DB127" s="17">
        <f t="shared" si="137"/>
        <v>0</v>
      </c>
      <c r="DC127" s="15">
        <f t="shared" si="113"/>
        <v>0</v>
      </c>
    </row>
    <row r="128" spans="1:107">
      <c r="A128" s="14">
        <v>85</v>
      </c>
      <c r="B128" s="15">
        <f t="shared" si="69"/>
        <v>8</v>
      </c>
      <c r="C128" s="16">
        <f>(1+INDEX('1 - Input'!$B$34:$E$63,B128,'1 - Input'!$B$16))^(1/12)-1</f>
        <v>4.1219243192651689E-3</v>
      </c>
      <c r="D128" s="17">
        <f>'1 - Input'!$B$7*(1+'1 - Input'!$B$12)^(B128-1)</f>
        <v>3101.4513026530553</v>
      </c>
      <c r="E128" s="17">
        <f t="shared" si="114"/>
        <v>314056.73389472836</v>
      </c>
      <c r="F128" s="17">
        <f t="shared" si="115"/>
        <v>418391.6334716822</v>
      </c>
      <c r="G128" s="17">
        <f t="shared" si="70"/>
        <v>315351.25198379805</v>
      </c>
      <c r="H128" s="17">
        <f>IF(G128&gt;0,'1 - Input'!$B$8/12*G128,0)</f>
        <v>2365.1343898784853</v>
      </c>
      <c r="I128" s="17">
        <f t="shared" si="71"/>
        <v>312986.11759391957</v>
      </c>
      <c r="J128" s="17">
        <f t="shared" si="72"/>
        <v>0</v>
      </c>
      <c r="K128" s="17">
        <f>'1 - Input'!$B$22*(H128-J128)</f>
        <v>614.93494136840616</v>
      </c>
      <c r="L128" s="17">
        <f t="shared" si="73"/>
        <v>1750.199448510079</v>
      </c>
      <c r="M128" s="17">
        <f t="shared" si="74"/>
        <v>418391.6334716822</v>
      </c>
      <c r="N128" s="17">
        <f>IF('1 - Input'!$B$17=1,MAX(0,L128-D128),0)</f>
        <v>0</v>
      </c>
      <c r="O128" s="17">
        <f>IF('1 - Input'!$B$17=1,MAX(0,D128-L128),0)</f>
        <v>1351.2518541429763</v>
      </c>
      <c r="P128" s="17">
        <f t="shared" si="75"/>
        <v>0</v>
      </c>
      <c r="Q128" s="17">
        <f>IF(AND(O128&gt;0,I128&gt;0),O128/(1-'1 - Input'!$B$22*P128),0)</f>
        <v>1351.2518541429763</v>
      </c>
      <c r="R128" s="17">
        <f t="shared" si="76"/>
        <v>1351.2518541429763</v>
      </c>
      <c r="S128" s="17">
        <f>'1 - Input'!$B$22*P128*R128</f>
        <v>0</v>
      </c>
      <c r="T128" s="17">
        <f t="shared" si="77"/>
        <v>1351.2518541429763</v>
      </c>
      <c r="U128" s="17">
        <f t="shared" si="78"/>
        <v>0</v>
      </c>
      <c r="V128" s="17">
        <f t="shared" si="79"/>
        <v>455.0661858795832</v>
      </c>
      <c r="W128" s="17">
        <f t="shared" si="80"/>
        <v>311634.86573977658</v>
      </c>
      <c r="X128" s="17">
        <f t="shared" si="81"/>
        <v>416585.31543165963</v>
      </c>
      <c r="Y128" s="17">
        <f>IF(MOD(A128,12)=0,W128*'1 - Input'!$B$23,0)</f>
        <v>0</v>
      </c>
      <c r="Z128" s="17">
        <f t="shared" si="82"/>
        <v>311634.86573977658</v>
      </c>
      <c r="AA128" s="17">
        <f>IF(MOD(A128,12)=0,X128*(1-'1 - Input'!$B$23),X128)</f>
        <v>416585.31543165963</v>
      </c>
      <c r="AB128" s="17">
        <f>IF('1 - Input'!$B$17=1,MIN(L128,D128)+T128,L128)</f>
        <v>3101.4513026530553</v>
      </c>
      <c r="AC128" s="17">
        <f t="shared" si="116"/>
        <v>243972.23289448669</v>
      </c>
      <c r="AD128" s="17">
        <f t="shared" si="117"/>
        <v>67522.020527647415</v>
      </c>
      <c r="AE128" s="17">
        <f t="shared" si="118"/>
        <v>0</v>
      </c>
      <c r="AF128" s="17">
        <f t="shared" si="119"/>
        <v>11671.745395635789</v>
      </c>
      <c r="AG128" s="17">
        <f t="shared" si="120"/>
        <v>5513.5224467521239</v>
      </c>
      <c r="AH128" s="17">
        <f t="shared" si="121"/>
        <v>0</v>
      </c>
      <c r="AI128" s="15">
        <f t="shared" si="83"/>
        <v>0</v>
      </c>
      <c r="AK128" s="14">
        <v>85</v>
      </c>
      <c r="AL128" s="15">
        <f t="shared" si="84"/>
        <v>8</v>
      </c>
      <c r="AM128" s="16">
        <f>(1+INDEX('1 - Input'!$B$34:$E$63,AL128,'1 - Input'!$B$16))^(1/12)-1</f>
        <v>4.1219243192651689E-3</v>
      </c>
      <c r="AN128" s="17">
        <f>'1 - Input'!$B$7*(1+'1 - Input'!$B$12)^(AL128-1)</f>
        <v>3101.4513026530553</v>
      </c>
      <c r="AO128" s="17">
        <f t="shared" si="122"/>
        <v>314056.73389472836</v>
      </c>
      <c r="AP128" s="17">
        <f t="shared" si="123"/>
        <v>418391.6334716822</v>
      </c>
      <c r="AQ128" s="17">
        <f t="shared" si="85"/>
        <v>315351.25198379805</v>
      </c>
      <c r="AR128" s="17">
        <f>IF(AQ128&gt;0,'1 - Input'!$B$8/12*AQ128,0)</f>
        <v>2365.1343898784853</v>
      </c>
      <c r="AS128" s="17">
        <f t="shared" si="86"/>
        <v>312986.11759391957</v>
      </c>
      <c r="AT128" s="17">
        <f t="shared" si="87"/>
        <v>0</v>
      </c>
      <c r="AU128" s="17">
        <f>'1 - Input'!$B$22*(AR128-AT128)</f>
        <v>614.93494136840616</v>
      </c>
      <c r="AV128" s="17">
        <f t="shared" si="88"/>
        <v>1750.199448510079</v>
      </c>
      <c r="AW128" s="17">
        <f t="shared" si="89"/>
        <v>418391.6334716822</v>
      </c>
      <c r="AX128" s="17">
        <f>IF('1 - Input'!$B$17=1,MAX(0,AV128-AN128),0)</f>
        <v>0</v>
      </c>
      <c r="AY128" s="17">
        <f>IF('1 - Input'!$B$17=1,MAX(0,AN128-AV128),0)</f>
        <v>1351.2518541429763</v>
      </c>
      <c r="AZ128" s="17">
        <f t="shared" si="90"/>
        <v>0</v>
      </c>
      <c r="BA128" s="17">
        <f>IF(AND(AY128&gt;0,AS128&gt;0),AY128/(1-'1 - Input'!$B$22*AZ128),0)</f>
        <v>1351.2518541429763</v>
      </c>
      <c r="BB128" s="17">
        <f t="shared" si="91"/>
        <v>1351.2518541429763</v>
      </c>
      <c r="BC128" s="17">
        <f>'1 - Input'!$B$22*AZ128*BB128</f>
        <v>0</v>
      </c>
      <c r="BD128" s="17">
        <f t="shared" si="92"/>
        <v>1351.2518541429763</v>
      </c>
      <c r="BE128" s="17">
        <f t="shared" si="93"/>
        <v>0</v>
      </c>
      <c r="BF128" s="17">
        <f t="shared" si="94"/>
        <v>455.0661858795832</v>
      </c>
      <c r="BG128" s="17">
        <f t="shared" si="95"/>
        <v>311634.86573977658</v>
      </c>
      <c r="BH128" s="17">
        <f t="shared" si="96"/>
        <v>416585.31543165963</v>
      </c>
      <c r="BI128" s="17">
        <f>IF(MOD(AK128,12)=0,BG128*'1 - Input'!$B$23,0)</f>
        <v>0</v>
      </c>
      <c r="BJ128" s="17">
        <f t="shared" si="97"/>
        <v>311634.86573977658</v>
      </c>
      <c r="BK128" s="17">
        <f>IF(MOD(AK128,12)=0,BH128*(1-'1 - Input'!$B$23),BH128)</f>
        <v>416585.31543165963</v>
      </c>
      <c r="BL128" s="17">
        <f>IF('1 - Input'!$B$17=1,MIN(AV128,AN128)+BD128,AV128)</f>
        <v>3101.4513026530553</v>
      </c>
      <c r="BM128" s="17">
        <f t="shared" si="124"/>
        <v>243972.23289448669</v>
      </c>
      <c r="BN128" s="17">
        <f t="shared" si="125"/>
        <v>67522.020527647415</v>
      </c>
      <c r="BO128" s="17">
        <f t="shared" si="126"/>
        <v>0</v>
      </c>
      <c r="BP128" s="17">
        <f t="shared" si="127"/>
        <v>11671.745395635789</v>
      </c>
      <c r="BQ128" s="17">
        <f t="shared" si="128"/>
        <v>5513.5224467521239</v>
      </c>
      <c r="BR128" s="17">
        <f t="shared" si="129"/>
        <v>0</v>
      </c>
      <c r="BS128" s="15">
        <f t="shared" si="98"/>
        <v>0</v>
      </c>
      <c r="BU128" s="14">
        <v>85</v>
      </c>
      <c r="BV128" s="15">
        <f t="shared" si="99"/>
        <v>8</v>
      </c>
      <c r="BW128" s="16">
        <f>(1+INDEX('1 - Input'!$B$34:$E$63,BV128,'1 - Input'!$B$16))^(1/12)-1</f>
        <v>4.1219243192651689E-3</v>
      </c>
      <c r="BX128" s="17">
        <f>'1 - Input'!$B$7*(1+'1 - Input'!$B$12)^(BV128-1)</f>
        <v>3101.4513026530553</v>
      </c>
      <c r="BY128" s="17">
        <f t="shared" si="130"/>
        <v>394047.13132082543</v>
      </c>
      <c r="BZ128" s="17">
        <f t="shared" si="131"/>
        <v>240796.9147750095</v>
      </c>
      <c r="CA128" s="17">
        <f t="shared" si="100"/>
        <v>395671.36377435341</v>
      </c>
      <c r="CB128" s="17">
        <f>IF(CA128&gt;0,'1 - Input'!$B$8/12*CA128,0)</f>
        <v>2967.5352283076504</v>
      </c>
      <c r="CC128" s="17">
        <f t="shared" si="101"/>
        <v>392703.82854604576</v>
      </c>
      <c r="CD128" s="17">
        <f t="shared" si="102"/>
        <v>2967.5352283076504</v>
      </c>
      <c r="CE128" s="17">
        <f>'1 - Input'!$B$22*(CB128-CD128)</f>
        <v>0</v>
      </c>
      <c r="CF128" s="17">
        <f t="shared" si="103"/>
        <v>2967.5352283076504</v>
      </c>
      <c r="CG128" s="17">
        <f t="shared" si="104"/>
        <v>237829.37954670185</v>
      </c>
      <c r="CH128" s="17">
        <f>IF('1 - Input'!$B$17=1,MAX(0,CF128-BX128),0)</f>
        <v>0</v>
      </c>
      <c r="CI128" s="17">
        <f>IF('1 - Input'!$B$17=1,MAX(0,BX128-CF128),0)</f>
        <v>133.91607434540492</v>
      </c>
      <c r="CJ128" s="17">
        <f t="shared" si="105"/>
        <v>0.39437977870690499</v>
      </c>
      <c r="CK128" s="17">
        <f>IF(AND(CI128&gt;0,CC128&gt;0),CI128/(1-'1 - Input'!$B$22*CJ128),0)</f>
        <v>149.21655193567238</v>
      </c>
      <c r="CL128" s="17">
        <f t="shared" si="106"/>
        <v>149.21655193567238</v>
      </c>
      <c r="CM128" s="17">
        <f>'1 - Input'!$B$22*CJ128*CL128</f>
        <v>15.300477590267446</v>
      </c>
      <c r="CN128" s="17">
        <f t="shared" si="107"/>
        <v>133.91607434540495</v>
      </c>
      <c r="CO128" s="17">
        <f t="shared" si="108"/>
        <v>0</v>
      </c>
      <c r="CP128" s="17">
        <f t="shared" si="109"/>
        <v>0</v>
      </c>
      <c r="CQ128" s="17">
        <f t="shared" si="110"/>
        <v>392554.61199411011</v>
      </c>
      <c r="CR128" s="17">
        <f t="shared" si="111"/>
        <v>237739.01098549797</v>
      </c>
      <c r="CS128" s="17">
        <f>IF(MOD(BU128,12)=0,CQ128*'1 - Input'!$B$23,0)</f>
        <v>0</v>
      </c>
      <c r="CT128" s="17">
        <f t="shared" si="112"/>
        <v>392554.61199411011</v>
      </c>
      <c r="CU128" s="17">
        <f>IF(MOD(BU128,12)=0,CR128*(1-'1 - Input'!$B$23),CR128)</f>
        <v>237739.01098549797</v>
      </c>
      <c r="CV128" s="17">
        <f>IF('1 - Input'!$B$17=1,MIN(CF128,BX128)+CN128,CF128)</f>
        <v>3101.4513026530553</v>
      </c>
      <c r="CW128" s="17">
        <f t="shared" si="132"/>
        <v>243972.23289448669</v>
      </c>
      <c r="CX128" s="17">
        <f t="shared" si="133"/>
        <v>0</v>
      </c>
      <c r="CY128" s="17">
        <f t="shared" si="134"/>
        <v>35.216310247376157</v>
      </c>
      <c r="CZ128" s="17">
        <f t="shared" si="135"/>
        <v>0</v>
      </c>
      <c r="DA128" s="17">
        <f t="shared" si="136"/>
        <v>6156.6984627000584</v>
      </c>
      <c r="DB128" s="17">
        <f t="shared" si="137"/>
        <v>0</v>
      </c>
      <c r="DC128" s="15">
        <f t="shared" si="113"/>
        <v>0</v>
      </c>
    </row>
    <row r="129" spans="1:107">
      <c r="A129" s="14">
        <v>86</v>
      </c>
      <c r="B129" s="15">
        <f t="shared" si="69"/>
        <v>8</v>
      </c>
      <c r="C129" s="16">
        <f>(1+INDEX('1 - Input'!$B$34:$E$63,B129,'1 - Input'!$B$16))^(1/12)-1</f>
        <v>4.1219243192651689E-3</v>
      </c>
      <c r="D129" s="17">
        <f>'1 - Input'!$B$7*(1+'1 - Input'!$B$12)^(B129-1)</f>
        <v>3101.4513026530553</v>
      </c>
      <c r="E129" s="17">
        <f t="shared" si="114"/>
        <v>311634.86573977658</v>
      </c>
      <c r="F129" s="17">
        <f t="shared" si="115"/>
        <v>416585.31543165963</v>
      </c>
      <c r="G129" s="17">
        <f t="shared" si="70"/>
        <v>312919.40107160032</v>
      </c>
      <c r="H129" s="17">
        <f>IF(G129&gt;0,'1 - Input'!$B$8/12*G129,0)</f>
        <v>2346.8955080370024</v>
      </c>
      <c r="I129" s="17">
        <f t="shared" si="71"/>
        <v>310572.50556356332</v>
      </c>
      <c r="J129" s="17">
        <f t="shared" si="72"/>
        <v>0</v>
      </c>
      <c r="K129" s="17">
        <f>'1 - Input'!$B$22*(H129-J129)</f>
        <v>610.19283208962065</v>
      </c>
      <c r="L129" s="17">
        <f t="shared" si="73"/>
        <v>1736.7026759473817</v>
      </c>
      <c r="M129" s="17">
        <f t="shared" si="74"/>
        <v>416585.31543165963</v>
      </c>
      <c r="N129" s="17">
        <f>IF('1 - Input'!$B$17=1,MAX(0,L129-D129),0)</f>
        <v>0</v>
      </c>
      <c r="O129" s="17">
        <f>IF('1 - Input'!$B$17=1,MAX(0,D129-L129),0)</f>
        <v>1364.7486267056736</v>
      </c>
      <c r="P129" s="17">
        <f t="shared" si="75"/>
        <v>0</v>
      </c>
      <c r="Q129" s="17">
        <f>IF(AND(O129&gt;0,I129&gt;0),O129/(1-'1 - Input'!$B$22*P129),0)</f>
        <v>1364.7486267056736</v>
      </c>
      <c r="R129" s="17">
        <f t="shared" si="76"/>
        <v>1364.7486267056736</v>
      </c>
      <c r="S129" s="17">
        <f>'1 - Input'!$B$22*P129*R129</f>
        <v>0</v>
      </c>
      <c r="T129" s="17">
        <f t="shared" si="77"/>
        <v>1364.7486267056736</v>
      </c>
      <c r="U129" s="17">
        <f t="shared" si="78"/>
        <v>0</v>
      </c>
      <c r="V129" s="17">
        <f t="shared" si="79"/>
        <v>465.85204449491442</v>
      </c>
      <c r="W129" s="17">
        <f t="shared" si="80"/>
        <v>309207.75693685765</v>
      </c>
      <c r="X129" s="17">
        <f t="shared" si="81"/>
        <v>414754.71476045903</v>
      </c>
      <c r="Y129" s="17">
        <f>IF(MOD(A129,12)=0,W129*'1 - Input'!$B$23,0)</f>
        <v>0</v>
      </c>
      <c r="Z129" s="17">
        <f t="shared" si="82"/>
        <v>309207.75693685765</v>
      </c>
      <c r="AA129" s="17">
        <f>IF(MOD(A129,12)=0,X129*(1-'1 - Input'!$B$23),X129)</f>
        <v>414754.71476045903</v>
      </c>
      <c r="AB129" s="17">
        <f>IF('1 - Input'!$B$17=1,MIN(L129,D129)+T129,L129)</f>
        <v>3101.4513026530553</v>
      </c>
      <c r="AC129" s="17">
        <f t="shared" si="116"/>
        <v>247073.68419713975</v>
      </c>
      <c r="AD129" s="17">
        <f t="shared" si="117"/>
        <v>68132.213359737041</v>
      </c>
      <c r="AE129" s="17">
        <f t="shared" si="118"/>
        <v>0</v>
      </c>
      <c r="AF129" s="17">
        <f t="shared" si="119"/>
        <v>12137.597440130703</v>
      </c>
      <c r="AG129" s="17">
        <f t="shared" si="120"/>
        <v>5513.5224467521239</v>
      </c>
      <c r="AH129" s="17">
        <f t="shared" si="121"/>
        <v>0</v>
      </c>
      <c r="AI129" s="15">
        <f t="shared" si="83"/>
        <v>0</v>
      </c>
      <c r="AK129" s="14">
        <v>86</v>
      </c>
      <c r="AL129" s="15">
        <f t="shared" si="84"/>
        <v>8</v>
      </c>
      <c r="AM129" s="16">
        <f>(1+INDEX('1 - Input'!$B$34:$E$63,AL129,'1 - Input'!$B$16))^(1/12)-1</f>
        <v>4.1219243192651689E-3</v>
      </c>
      <c r="AN129" s="17">
        <f>'1 - Input'!$B$7*(1+'1 - Input'!$B$12)^(AL129-1)</f>
        <v>3101.4513026530553</v>
      </c>
      <c r="AO129" s="17">
        <f t="shared" si="122"/>
        <v>311634.86573977658</v>
      </c>
      <c r="AP129" s="17">
        <f t="shared" si="123"/>
        <v>416585.31543165963</v>
      </c>
      <c r="AQ129" s="17">
        <f t="shared" si="85"/>
        <v>312919.40107160032</v>
      </c>
      <c r="AR129" s="17">
        <f>IF(AQ129&gt;0,'1 - Input'!$B$8/12*AQ129,0)</f>
        <v>2346.8955080370024</v>
      </c>
      <c r="AS129" s="17">
        <f t="shared" si="86"/>
        <v>310572.50556356332</v>
      </c>
      <c r="AT129" s="17">
        <f t="shared" si="87"/>
        <v>0</v>
      </c>
      <c r="AU129" s="17">
        <f>'1 - Input'!$B$22*(AR129-AT129)</f>
        <v>610.19283208962065</v>
      </c>
      <c r="AV129" s="17">
        <f t="shared" si="88"/>
        <v>1736.7026759473817</v>
      </c>
      <c r="AW129" s="17">
        <f t="shared" si="89"/>
        <v>416585.31543165963</v>
      </c>
      <c r="AX129" s="17">
        <f>IF('1 - Input'!$B$17=1,MAX(0,AV129-AN129),0)</f>
        <v>0</v>
      </c>
      <c r="AY129" s="17">
        <f>IF('1 - Input'!$B$17=1,MAX(0,AN129-AV129),0)</f>
        <v>1364.7486267056736</v>
      </c>
      <c r="AZ129" s="17">
        <f t="shared" si="90"/>
        <v>0</v>
      </c>
      <c r="BA129" s="17">
        <f>IF(AND(AY129&gt;0,AS129&gt;0),AY129/(1-'1 - Input'!$B$22*AZ129),0)</f>
        <v>1364.7486267056736</v>
      </c>
      <c r="BB129" s="17">
        <f t="shared" si="91"/>
        <v>1364.7486267056736</v>
      </c>
      <c r="BC129" s="17">
        <f>'1 - Input'!$B$22*AZ129*BB129</f>
        <v>0</v>
      </c>
      <c r="BD129" s="17">
        <f t="shared" si="92"/>
        <v>1364.7486267056736</v>
      </c>
      <c r="BE129" s="17">
        <f t="shared" si="93"/>
        <v>0</v>
      </c>
      <c r="BF129" s="17">
        <f t="shared" si="94"/>
        <v>465.85204449491442</v>
      </c>
      <c r="BG129" s="17">
        <f t="shared" si="95"/>
        <v>309207.75693685765</v>
      </c>
      <c r="BH129" s="17">
        <f t="shared" si="96"/>
        <v>414754.71476045903</v>
      </c>
      <c r="BI129" s="17">
        <f>IF(MOD(AK129,12)=0,BG129*'1 - Input'!$B$23,0)</f>
        <v>0</v>
      </c>
      <c r="BJ129" s="17">
        <f t="shared" si="97"/>
        <v>309207.75693685765</v>
      </c>
      <c r="BK129" s="17">
        <f>IF(MOD(AK129,12)=0,BH129*(1-'1 - Input'!$B$23),BH129)</f>
        <v>414754.71476045903</v>
      </c>
      <c r="BL129" s="17">
        <f>IF('1 - Input'!$B$17=1,MIN(AV129,AN129)+BD129,AV129)</f>
        <v>3101.4513026530553</v>
      </c>
      <c r="BM129" s="17">
        <f t="shared" si="124"/>
        <v>247073.68419713975</v>
      </c>
      <c r="BN129" s="17">
        <f t="shared" si="125"/>
        <v>68132.213359737041</v>
      </c>
      <c r="BO129" s="17">
        <f t="shared" si="126"/>
        <v>0</v>
      </c>
      <c r="BP129" s="17">
        <f t="shared" si="127"/>
        <v>12137.597440130703</v>
      </c>
      <c r="BQ129" s="17">
        <f t="shared" si="128"/>
        <v>5513.5224467521239</v>
      </c>
      <c r="BR129" s="17">
        <f t="shared" si="129"/>
        <v>0</v>
      </c>
      <c r="BS129" s="15">
        <f t="shared" si="98"/>
        <v>0</v>
      </c>
      <c r="BU129" s="14">
        <v>86</v>
      </c>
      <c r="BV129" s="15">
        <f t="shared" si="99"/>
        <v>8</v>
      </c>
      <c r="BW129" s="16">
        <f>(1+INDEX('1 - Input'!$B$34:$E$63,BV129,'1 - Input'!$B$16))^(1/12)-1</f>
        <v>4.1219243192651689E-3</v>
      </c>
      <c r="BX129" s="17">
        <f>'1 - Input'!$B$7*(1+'1 - Input'!$B$12)^(BV129-1)</f>
        <v>3101.4513026530553</v>
      </c>
      <c r="BY129" s="17">
        <f t="shared" si="130"/>
        <v>392554.61199411011</v>
      </c>
      <c r="BZ129" s="17">
        <f t="shared" si="131"/>
        <v>237739.01098549797</v>
      </c>
      <c r="CA129" s="17">
        <f t="shared" si="100"/>
        <v>394172.69239592832</v>
      </c>
      <c r="CB129" s="17">
        <f>IF(CA129&gt;0,'1 - Input'!$B$8/12*CA129,0)</f>
        <v>2956.2951929694623</v>
      </c>
      <c r="CC129" s="17">
        <f t="shared" si="101"/>
        <v>391216.39720295888</v>
      </c>
      <c r="CD129" s="17">
        <f t="shared" si="102"/>
        <v>2956.2951929694623</v>
      </c>
      <c r="CE129" s="17">
        <f>'1 - Input'!$B$22*(CB129-CD129)</f>
        <v>0</v>
      </c>
      <c r="CF129" s="17">
        <f t="shared" si="103"/>
        <v>2956.2951929694623</v>
      </c>
      <c r="CG129" s="17">
        <f t="shared" si="104"/>
        <v>234782.7157925285</v>
      </c>
      <c r="CH129" s="17">
        <f>IF('1 - Input'!$B$17=1,MAX(0,CF129-BX129),0)</f>
        <v>0</v>
      </c>
      <c r="CI129" s="17">
        <f>IF('1 - Input'!$B$17=1,MAX(0,BX129-CF129),0)</f>
        <v>145.15610968359306</v>
      </c>
      <c r="CJ129" s="17">
        <f t="shared" si="105"/>
        <v>0.3998648383065454</v>
      </c>
      <c r="CK129" s="17">
        <f>IF(AND(CI129&gt;0,CC129&gt;0),CI129/(1-'1 - Input'!$B$22*CJ129),0)</f>
        <v>161.99823296335046</v>
      </c>
      <c r="CL129" s="17">
        <f t="shared" si="106"/>
        <v>161.99823296335046</v>
      </c>
      <c r="CM129" s="17">
        <f>'1 - Input'!$B$22*CJ129*CL129</f>
        <v>16.842123279757416</v>
      </c>
      <c r="CN129" s="17">
        <f t="shared" si="107"/>
        <v>145.15610968359306</v>
      </c>
      <c r="CO129" s="17">
        <f t="shared" si="108"/>
        <v>0</v>
      </c>
      <c r="CP129" s="17">
        <f t="shared" si="109"/>
        <v>0</v>
      </c>
      <c r="CQ129" s="17">
        <f t="shared" si="110"/>
        <v>391054.3989699955</v>
      </c>
      <c r="CR129" s="17">
        <f t="shared" si="111"/>
        <v>234685.49495679498</v>
      </c>
      <c r="CS129" s="17">
        <f>IF(MOD(BU129,12)=0,CQ129*'1 - Input'!$B$23,0)</f>
        <v>0</v>
      </c>
      <c r="CT129" s="17">
        <f t="shared" si="112"/>
        <v>391054.3989699955</v>
      </c>
      <c r="CU129" s="17">
        <f>IF(MOD(BU129,12)=0,CR129*(1-'1 - Input'!$B$23),CR129)</f>
        <v>234685.49495679498</v>
      </c>
      <c r="CV129" s="17">
        <f>IF('1 - Input'!$B$17=1,MIN(CF129,BX129)+CN129,CF129)</f>
        <v>3101.4513026530553</v>
      </c>
      <c r="CW129" s="17">
        <f t="shared" si="132"/>
        <v>247073.68419713975</v>
      </c>
      <c r="CX129" s="17">
        <f t="shared" si="133"/>
        <v>0</v>
      </c>
      <c r="CY129" s="17">
        <f t="shared" si="134"/>
        <v>52.058433527133573</v>
      </c>
      <c r="CZ129" s="17">
        <f t="shared" si="135"/>
        <v>0</v>
      </c>
      <c r="DA129" s="17">
        <f t="shared" si="136"/>
        <v>6156.6984627000584</v>
      </c>
      <c r="DB129" s="17">
        <f t="shared" si="137"/>
        <v>0</v>
      </c>
      <c r="DC129" s="15">
        <f t="shared" si="113"/>
        <v>0</v>
      </c>
    </row>
    <row r="130" spans="1:107">
      <c r="A130" s="14">
        <v>87</v>
      </c>
      <c r="B130" s="15">
        <f t="shared" si="69"/>
        <v>8</v>
      </c>
      <c r="C130" s="16">
        <f>(1+INDEX('1 - Input'!$B$34:$E$63,B130,'1 - Input'!$B$16))^(1/12)-1</f>
        <v>4.1219243192651689E-3</v>
      </c>
      <c r="D130" s="17">
        <f>'1 - Input'!$B$7*(1+'1 - Input'!$B$12)^(B130-1)</f>
        <v>3101.4513026530553</v>
      </c>
      <c r="E130" s="17">
        <f t="shared" si="114"/>
        <v>309207.75693685765</v>
      </c>
      <c r="F130" s="17">
        <f t="shared" si="115"/>
        <v>414754.71476045903</v>
      </c>
      <c r="G130" s="17">
        <f t="shared" si="70"/>
        <v>310482.2879098811</v>
      </c>
      <c r="H130" s="17">
        <f>IF(G130&gt;0,'1 - Input'!$B$8/12*G130,0)</f>
        <v>2328.6171593241083</v>
      </c>
      <c r="I130" s="17">
        <f t="shared" si="71"/>
        <v>308153.67075055698</v>
      </c>
      <c r="J130" s="17">
        <f t="shared" si="72"/>
        <v>0</v>
      </c>
      <c r="K130" s="17">
        <f>'1 - Input'!$B$22*(H130-J130)</f>
        <v>605.44046142426816</v>
      </c>
      <c r="L130" s="17">
        <f t="shared" si="73"/>
        <v>1723.1766978998403</v>
      </c>
      <c r="M130" s="17">
        <f t="shared" si="74"/>
        <v>414754.71476045903</v>
      </c>
      <c r="N130" s="17">
        <f>IF('1 - Input'!$B$17=1,MAX(0,L130-D130),0)</f>
        <v>0</v>
      </c>
      <c r="O130" s="17">
        <f>IF('1 - Input'!$B$17=1,MAX(0,D130-L130),0)</f>
        <v>1378.274604753215</v>
      </c>
      <c r="P130" s="17">
        <f t="shared" si="75"/>
        <v>0</v>
      </c>
      <c r="Q130" s="17">
        <f>IF(AND(O130&gt;0,I130&gt;0),O130/(1-'1 - Input'!$B$22*P130),0)</f>
        <v>1378.274604753215</v>
      </c>
      <c r="R130" s="17">
        <f t="shared" si="76"/>
        <v>1378.274604753215</v>
      </c>
      <c r="S130" s="17">
        <f>'1 - Input'!$B$22*P130*R130</f>
        <v>0</v>
      </c>
      <c r="T130" s="17">
        <f t="shared" si="77"/>
        <v>1378.274604753215</v>
      </c>
      <c r="U130" s="17">
        <f t="shared" si="78"/>
        <v>0</v>
      </c>
      <c r="V130" s="17">
        <f t="shared" si="79"/>
        <v>476.79299565430296</v>
      </c>
      <c r="W130" s="17">
        <f t="shared" si="80"/>
        <v>306775.39614580374</v>
      </c>
      <c r="X130" s="17">
        <f t="shared" si="81"/>
        <v>412899.64716005151</v>
      </c>
      <c r="Y130" s="17">
        <f>IF(MOD(A130,12)=0,W130*'1 - Input'!$B$23,0)</f>
        <v>0</v>
      </c>
      <c r="Z130" s="17">
        <f t="shared" si="82"/>
        <v>306775.39614580374</v>
      </c>
      <c r="AA130" s="17">
        <f>IF(MOD(A130,12)=0,X130*(1-'1 - Input'!$B$23),X130)</f>
        <v>412899.64716005151</v>
      </c>
      <c r="AB130" s="17">
        <f>IF('1 - Input'!$B$17=1,MIN(L130,D130)+T130,L130)</f>
        <v>3101.4513026530553</v>
      </c>
      <c r="AC130" s="17">
        <f t="shared" si="116"/>
        <v>250175.13549979281</v>
      </c>
      <c r="AD130" s="17">
        <f t="shared" si="117"/>
        <v>68737.653821161308</v>
      </c>
      <c r="AE130" s="17">
        <f t="shared" si="118"/>
        <v>0</v>
      </c>
      <c r="AF130" s="17">
        <f t="shared" si="119"/>
        <v>12614.390435785006</v>
      </c>
      <c r="AG130" s="17">
        <f t="shared" si="120"/>
        <v>5513.5224467521239</v>
      </c>
      <c r="AH130" s="17">
        <f t="shared" si="121"/>
        <v>0</v>
      </c>
      <c r="AI130" s="15">
        <f t="shared" si="83"/>
        <v>0</v>
      </c>
      <c r="AK130" s="14">
        <v>87</v>
      </c>
      <c r="AL130" s="15">
        <f t="shared" si="84"/>
        <v>8</v>
      </c>
      <c r="AM130" s="16">
        <f>(1+INDEX('1 - Input'!$B$34:$E$63,AL130,'1 - Input'!$B$16))^(1/12)-1</f>
        <v>4.1219243192651689E-3</v>
      </c>
      <c r="AN130" s="17">
        <f>'1 - Input'!$B$7*(1+'1 - Input'!$B$12)^(AL130-1)</f>
        <v>3101.4513026530553</v>
      </c>
      <c r="AO130" s="17">
        <f t="shared" si="122"/>
        <v>309207.75693685765</v>
      </c>
      <c r="AP130" s="17">
        <f t="shared" si="123"/>
        <v>414754.71476045903</v>
      </c>
      <c r="AQ130" s="17">
        <f t="shared" si="85"/>
        <v>310482.2879098811</v>
      </c>
      <c r="AR130" s="17">
        <f>IF(AQ130&gt;0,'1 - Input'!$B$8/12*AQ130,0)</f>
        <v>2328.6171593241083</v>
      </c>
      <c r="AS130" s="17">
        <f t="shared" si="86"/>
        <v>308153.67075055698</v>
      </c>
      <c r="AT130" s="17">
        <f t="shared" si="87"/>
        <v>0</v>
      </c>
      <c r="AU130" s="17">
        <f>'1 - Input'!$B$22*(AR130-AT130)</f>
        <v>605.44046142426816</v>
      </c>
      <c r="AV130" s="17">
        <f t="shared" si="88"/>
        <v>1723.1766978998403</v>
      </c>
      <c r="AW130" s="17">
        <f t="shared" si="89"/>
        <v>414754.71476045903</v>
      </c>
      <c r="AX130" s="17">
        <f>IF('1 - Input'!$B$17=1,MAX(0,AV130-AN130),0)</f>
        <v>0</v>
      </c>
      <c r="AY130" s="17">
        <f>IF('1 - Input'!$B$17=1,MAX(0,AN130-AV130),0)</f>
        <v>1378.274604753215</v>
      </c>
      <c r="AZ130" s="17">
        <f t="shared" si="90"/>
        <v>0</v>
      </c>
      <c r="BA130" s="17">
        <f>IF(AND(AY130&gt;0,AS130&gt;0),AY130/(1-'1 - Input'!$B$22*AZ130),0)</f>
        <v>1378.274604753215</v>
      </c>
      <c r="BB130" s="17">
        <f t="shared" si="91"/>
        <v>1378.274604753215</v>
      </c>
      <c r="BC130" s="17">
        <f>'1 - Input'!$B$22*AZ130*BB130</f>
        <v>0</v>
      </c>
      <c r="BD130" s="17">
        <f t="shared" si="92"/>
        <v>1378.274604753215</v>
      </c>
      <c r="BE130" s="17">
        <f t="shared" si="93"/>
        <v>0</v>
      </c>
      <c r="BF130" s="17">
        <f t="shared" si="94"/>
        <v>476.79299565430296</v>
      </c>
      <c r="BG130" s="17">
        <f t="shared" si="95"/>
        <v>306775.39614580374</v>
      </c>
      <c r="BH130" s="17">
        <f t="shared" si="96"/>
        <v>412899.64716005151</v>
      </c>
      <c r="BI130" s="17">
        <f>IF(MOD(AK130,12)=0,BG130*'1 - Input'!$B$23,0)</f>
        <v>0</v>
      </c>
      <c r="BJ130" s="17">
        <f t="shared" si="97"/>
        <v>306775.39614580374</v>
      </c>
      <c r="BK130" s="17">
        <f>IF(MOD(AK130,12)=0,BH130*(1-'1 - Input'!$B$23),BH130)</f>
        <v>412899.64716005151</v>
      </c>
      <c r="BL130" s="17">
        <f>IF('1 - Input'!$B$17=1,MIN(AV130,AN130)+BD130,AV130)</f>
        <v>3101.4513026530553</v>
      </c>
      <c r="BM130" s="17">
        <f t="shared" si="124"/>
        <v>250175.13549979281</v>
      </c>
      <c r="BN130" s="17">
        <f t="shared" si="125"/>
        <v>68737.653821161308</v>
      </c>
      <c r="BO130" s="17">
        <f t="shared" si="126"/>
        <v>0</v>
      </c>
      <c r="BP130" s="17">
        <f t="shared" si="127"/>
        <v>12614.390435785006</v>
      </c>
      <c r="BQ130" s="17">
        <f t="shared" si="128"/>
        <v>5513.5224467521239</v>
      </c>
      <c r="BR130" s="17">
        <f t="shared" si="129"/>
        <v>0</v>
      </c>
      <c r="BS130" s="15">
        <f t="shared" si="98"/>
        <v>0</v>
      </c>
      <c r="BU130" s="14">
        <v>87</v>
      </c>
      <c r="BV130" s="15">
        <f t="shared" si="99"/>
        <v>8</v>
      </c>
      <c r="BW130" s="16">
        <f>(1+INDEX('1 - Input'!$B$34:$E$63,BV130,'1 - Input'!$B$16))^(1/12)-1</f>
        <v>4.1219243192651689E-3</v>
      </c>
      <c r="BX130" s="17">
        <f>'1 - Input'!$B$7*(1+'1 - Input'!$B$12)^(BV130-1)</f>
        <v>3101.4513026530553</v>
      </c>
      <c r="BY130" s="17">
        <f t="shared" si="130"/>
        <v>391054.3989699955</v>
      </c>
      <c r="BZ130" s="17">
        <f t="shared" si="131"/>
        <v>234685.49495679498</v>
      </c>
      <c r="CA130" s="17">
        <f t="shared" si="100"/>
        <v>392666.29560726555</v>
      </c>
      <c r="CB130" s="17">
        <f>IF(CA130&gt;0,'1 - Input'!$B$8/12*CA130,0)</f>
        <v>2944.9972170544916</v>
      </c>
      <c r="CC130" s="17">
        <f t="shared" si="101"/>
        <v>389721.29839021107</v>
      </c>
      <c r="CD130" s="17">
        <f t="shared" si="102"/>
        <v>2944.9972170544916</v>
      </c>
      <c r="CE130" s="17">
        <f>'1 - Input'!$B$22*(CB130-CD130)</f>
        <v>0</v>
      </c>
      <c r="CF130" s="17">
        <f t="shared" si="103"/>
        <v>2944.9972170544916</v>
      </c>
      <c r="CG130" s="17">
        <f t="shared" si="104"/>
        <v>231740.4977397405</v>
      </c>
      <c r="CH130" s="17">
        <f>IF('1 - Input'!$B$17=1,MAX(0,CF130-BX130),0)</f>
        <v>0</v>
      </c>
      <c r="CI130" s="17">
        <f>IF('1 - Input'!$B$17=1,MAX(0,BX130-CF130),0)</f>
        <v>156.45408559856378</v>
      </c>
      <c r="CJ130" s="17">
        <f t="shared" si="105"/>
        <v>0.40536866038122255</v>
      </c>
      <c r="CK130" s="17">
        <f>IF(AND(CI130&gt;0,CC130&gt;0),CI130/(1-'1 - Input'!$B$22*CJ130),0)</f>
        <v>174.88638510755439</v>
      </c>
      <c r="CL130" s="17">
        <f t="shared" si="106"/>
        <v>174.88638510755439</v>
      </c>
      <c r="CM130" s="17">
        <f>'1 - Input'!$B$22*CJ130*CL130</f>
        <v>18.432299508990617</v>
      </c>
      <c r="CN130" s="17">
        <f t="shared" si="107"/>
        <v>156.45408559856378</v>
      </c>
      <c r="CO130" s="17">
        <f t="shared" si="108"/>
        <v>0</v>
      </c>
      <c r="CP130" s="17">
        <f t="shared" si="109"/>
        <v>0</v>
      </c>
      <c r="CQ130" s="17">
        <f t="shared" si="110"/>
        <v>389546.41200510354</v>
      </c>
      <c r="CR130" s="17">
        <f t="shared" si="111"/>
        <v>231636.5048142829</v>
      </c>
      <c r="CS130" s="17">
        <f>IF(MOD(BU130,12)=0,CQ130*'1 - Input'!$B$23,0)</f>
        <v>0</v>
      </c>
      <c r="CT130" s="17">
        <f t="shared" si="112"/>
        <v>389546.41200510354</v>
      </c>
      <c r="CU130" s="17">
        <f>IF(MOD(BU130,12)=0,CR130*(1-'1 - Input'!$B$23),CR130)</f>
        <v>231636.5048142829</v>
      </c>
      <c r="CV130" s="17">
        <f>IF('1 - Input'!$B$17=1,MIN(CF130,BX130)+CN130,CF130)</f>
        <v>3101.4513026530553</v>
      </c>
      <c r="CW130" s="17">
        <f t="shared" si="132"/>
        <v>250175.13549979281</v>
      </c>
      <c r="CX130" s="17">
        <f t="shared" si="133"/>
        <v>0</v>
      </c>
      <c r="CY130" s="17">
        <f t="shared" si="134"/>
        <v>70.490733036124197</v>
      </c>
      <c r="CZ130" s="17">
        <f t="shared" si="135"/>
        <v>0</v>
      </c>
      <c r="DA130" s="17">
        <f t="shared" si="136"/>
        <v>6156.6984627000584</v>
      </c>
      <c r="DB130" s="17">
        <f t="shared" si="137"/>
        <v>0</v>
      </c>
      <c r="DC130" s="15">
        <f t="shared" si="113"/>
        <v>0</v>
      </c>
    </row>
    <row r="131" spans="1:107">
      <c r="A131" s="14">
        <v>88</v>
      </c>
      <c r="B131" s="15">
        <f t="shared" si="69"/>
        <v>8</v>
      </c>
      <c r="C131" s="16">
        <f>(1+INDEX('1 - Input'!$B$34:$E$63,B131,'1 - Input'!$B$16))^(1/12)-1</f>
        <v>4.1219243192651689E-3</v>
      </c>
      <c r="D131" s="17">
        <f>'1 - Input'!$B$7*(1+'1 - Input'!$B$12)^(B131-1)</f>
        <v>3101.4513026530553</v>
      </c>
      <c r="E131" s="17">
        <f t="shared" si="114"/>
        <v>306775.39614580374</v>
      </c>
      <c r="F131" s="17">
        <f t="shared" si="115"/>
        <v>412899.64716005151</v>
      </c>
      <c r="G131" s="17">
        <f t="shared" si="70"/>
        <v>308039.90111172933</v>
      </c>
      <c r="H131" s="17">
        <f>IF(G131&gt;0,'1 - Input'!$B$8/12*G131,0)</f>
        <v>2310.2992583379701</v>
      </c>
      <c r="I131" s="17">
        <f t="shared" si="71"/>
        <v>305729.60185339133</v>
      </c>
      <c r="J131" s="17">
        <f t="shared" si="72"/>
        <v>0</v>
      </c>
      <c r="K131" s="17">
        <f>'1 - Input'!$B$22*(H131-J131)</f>
        <v>600.67780716787229</v>
      </c>
      <c r="L131" s="17">
        <f t="shared" si="73"/>
        <v>1709.6214511700978</v>
      </c>
      <c r="M131" s="17">
        <f t="shared" si="74"/>
        <v>412899.64716005151</v>
      </c>
      <c r="N131" s="17">
        <f>IF('1 - Input'!$B$17=1,MAX(0,L131-D131),0)</f>
        <v>0</v>
      </c>
      <c r="O131" s="17">
        <f>IF('1 - Input'!$B$17=1,MAX(0,D131-L131),0)</f>
        <v>1391.8298514829576</v>
      </c>
      <c r="P131" s="17">
        <f t="shared" si="75"/>
        <v>0</v>
      </c>
      <c r="Q131" s="17">
        <f>IF(AND(O131&gt;0,I131&gt;0),O131/(1-'1 - Input'!$B$22*P131),0)</f>
        <v>1391.8298514829576</v>
      </c>
      <c r="R131" s="17">
        <f t="shared" si="76"/>
        <v>1391.8298514829576</v>
      </c>
      <c r="S131" s="17">
        <f>'1 - Input'!$B$22*P131*R131</f>
        <v>0</v>
      </c>
      <c r="T131" s="17">
        <f t="shared" si="77"/>
        <v>1391.8298514829576</v>
      </c>
      <c r="U131" s="17">
        <f t="shared" si="78"/>
        <v>0</v>
      </c>
      <c r="V131" s="17">
        <f t="shared" si="79"/>
        <v>487.89017268311369</v>
      </c>
      <c r="W131" s="17">
        <f t="shared" si="80"/>
        <v>304337.77200190839</v>
      </c>
      <c r="X131" s="17">
        <f t="shared" si="81"/>
        <v>411019.92713588546</v>
      </c>
      <c r="Y131" s="17">
        <f>IF(MOD(A131,12)=0,W131*'1 - Input'!$B$23,0)</f>
        <v>0</v>
      </c>
      <c r="Z131" s="17">
        <f t="shared" si="82"/>
        <v>304337.77200190839</v>
      </c>
      <c r="AA131" s="17">
        <f>IF(MOD(A131,12)=0,X131*(1-'1 - Input'!$B$23),X131)</f>
        <v>411019.92713588546</v>
      </c>
      <c r="AB131" s="17">
        <f>IF('1 - Input'!$B$17=1,MIN(L131,D131)+T131,L131)</f>
        <v>3101.4513026530553</v>
      </c>
      <c r="AC131" s="17">
        <f t="shared" si="116"/>
        <v>253276.58680244588</v>
      </c>
      <c r="AD131" s="17">
        <f t="shared" si="117"/>
        <v>69338.331628329179</v>
      </c>
      <c r="AE131" s="17">
        <f t="shared" si="118"/>
        <v>0</v>
      </c>
      <c r="AF131" s="17">
        <f t="shared" si="119"/>
        <v>13102.28060846812</v>
      </c>
      <c r="AG131" s="17">
        <f t="shared" si="120"/>
        <v>5513.5224467521239</v>
      </c>
      <c r="AH131" s="17">
        <f t="shared" si="121"/>
        <v>0</v>
      </c>
      <c r="AI131" s="15">
        <f t="shared" si="83"/>
        <v>0</v>
      </c>
      <c r="AK131" s="14">
        <v>88</v>
      </c>
      <c r="AL131" s="15">
        <f t="shared" si="84"/>
        <v>8</v>
      </c>
      <c r="AM131" s="16">
        <f>(1+INDEX('1 - Input'!$B$34:$E$63,AL131,'1 - Input'!$B$16))^(1/12)-1</f>
        <v>4.1219243192651689E-3</v>
      </c>
      <c r="AN131" s="17">
        <f>'1 - Input'!$B$7*(1+'1 - Input'!$B$12)^(AL131-1)</f>
        <v>3101.4513026530553</v>
      </c>
      <c r="AO131" s="17">
        <f t="shared" si="122"/>
        <v>306775.39614580374</v>
      </c>
      <c r="AP131" s="17">
        <f t="shared" si="123"/>
        <v>412899.64716005151</v>
      </c>
      <c r="AQ131" s="17">
        <f t="shared" si="85"/>
        <v>308039.90111172933</v>
      </c>
      <c r="AR131" s="17">
        <f>IF(AQ131&gt;0,'1 - Input'!$B$8/12*AQ131,0)</f>
        <v>2310.2992583379701</v>
      </c>
      <c r="AS131" s="17">
        <f t="shared" si="86"/>
        <v>305729.60185339133</v>
      </c>
      <c r="AT131" s="17">
        <f t="shared" si="87"/>
        <v>0</v>
      </c>
      <c r="AU131" s="17">
        <f>'1 - Input'!$B$22*(AR131-AT131)</f>
        <v>600.67780716787229</v>
      </c>
      <c r="AV131" s="17">
        <f t="shared" si="88"/>
        <v>1709.6214511700978</v>
      </c>
      <c r="AW131" s="17">
        <f t="shared" si="89"/>
        <v>412899.64716005151</v>
      </c>
      <c r="AX131" s="17">
        <f>IF('1 - Input'!$B$17=1,MAX(0,AV131-AN131),0)</f>
        <v>0</v>
      </c>
      <c r="AY131" s="17">
        <f>IF('1 - Input'!$B$17=1,MAX(0,AN131-AV131),0)</f>
        <v>1391.8298514829576</v>
      </c>
      <c r="AZ131" s="17">
        <f t="shared" si="90"/>
        <v>0</v>
      </c>
      <c r="BA131" s="17">
        <f>IF(AND(AY131&gt;0,AS131&gt;0),AY131/(1-'1 - Input'!$B$22*AZ131),0)</f>
        <v>1391.8298514829576</v>
      </c>
      <c r="BB131" s="17">
        <f t="shared" si="91"/>
        <v>1391.8298514829576</v>
      </c>
      <c r="BC131" s="17">
        <f>'1 - Input'!$B$22*AZ131*BB131</f>
        <v>0</v>
      </c>
      <c r="BD131" s="17">
        <f t="shared" si="92"/>
        <v>1391.8298514829576</v>
      </c>
      <c r="BE131" s="17">
        <f t="shared" si="93"/>
        <v>0</v>
      </c>
      <c r="BF131" s="17">
        <f t="shared" si="94"/>
        <v>487.89017268311369</v>
      </c>
      <c r="BG131" s="17">
        <f t="shared" si="95"/>
        <v>304337.77200190839</v>
      </c>
      <c r="BH131" s="17">
        <f t="shared" si="96"/>
        <v>411019.92713588546</v>
      </c>
      <c r="BI131" s="17">
        <f>IF(MOD(AK131,12)=0,BG131*'1 - Input'!$B$23,0)</f>
        <v>0</v>
      </c>
      <c r="BJ131" s="17">
        <f t="shared" si="97"/>
        <v>304337.77200190839</v>
      </c>
      <c r="BK131" s="17">
        <f>IF(MOD(AK131,12)=0,BH131*(1-'1 - Input'!$B$23),BH131)</f>
        <v>411019.92713588546</v>
      </c>
      <c r="BL131" s="17">
        <f>IF('1 - Input'!$B$17=1,MIN(AV131,AN131)+BD131,AV131)</f>
        <v>3101.4513026530553</v>
      </c>
      <c r="BM131" s="17">
        <f t="shared" si="124"/>
        <v>253276.58680244588</v>
      </c>
      <c r="BN131" s="17">
        <f t="shared" si="125"/>
        <v>69338.331628329179</v>
      </c>
      <c r="BO131" s="17">
        <f t="shared" si="126"/>
        <v>0</v>
      </c>
      <c r="BP131" s="17">
        <f t="shared" si="127"/>
        <v>13102.28060846812</v>
      </c>
      <c r="BQ131" s="17">
        <f t="shared" si="128"/>
        <v>5513.5224467521239</v>
      </c>
      <c r="BR131" s="17">
        <f t="shared" si="129"/>
        <v>0</v>
      </c>
      <c r="BS131" s="15">
        <f t="shared" si="98"/>
        <v>0</v>
      </c>
      <c r="BU131" s="14">
        <v>88</v>
      </c>
      <c r="BV131" s="15">
        <f t="shared" si="99"/>
        <v>8</v>
      </c>
      <c r="BW131" s="16">
        <f>(1+INDEX('1 - Input'!$B$34:$E$63,BV131,'1 - Input'!$B$16))^(1/12)-1</f>
        <v>4.1219243192651689E-3</v>
      </c>
      <c r="BX131" s="17">
        <f>'1 - Input'!$B$7*(1+'1 - Input'!$B$12)^(BV131-1)</f>
        <v>3101.4513026530553</v>
      </c>
      <c r="BY131" s="17">
        <f t="shared" si="130"/>
        <v>389546.41200510354</v>
      </c>
      <c r="BZ131" s="17">
        <f t="shared" si="131"/>
        <v>231636.5048142829</v>
      </c>
      <c r="CA131" s="17">
        <f t="shared" si="100"/>
        <v>391152.09283422987</v>
      </c>
      <c r="CB131" s="17">
        <f>IF(CA131&gt;0,'1 - Input'!$B$8/12*CA131,0)</f>
        <v>2933.6406962567239</v>
      </c>
      <c r="CC131" s="17">
        <f t="shared" si="101"/>
        <v>388218.45213797316</v>
      </c>
      <c r="CD131" s="17">
        <f t="shared" si="102"/>
        <v>2933.6406962567239</v>
      </c>
      <c r="CE131" s="17">
        <f>'1 - Input'!$B$22*(CB131-CD131)</f>
        <v>0</v>
      </c>
      <c r="CF131" s="17">
        <f t="shared" si="103"/>
        <v>2933.6406962567239</v>
      </c>
      <c r="CG131" s="17">
        <f t="shared" si="104"/>
        <v>228702.86411802619</v>
      </c>
      <c r="CH131" s="17">
        <f>IF('1 - Input'!$B$17=1,MAX(0,CF131-BX131),0)</f>
        <v>0</v>
      </c>
      <c r="CI131" s="17">
        <f>IF('1 - Input'!$B$17=1,MAX(0,BX131-CF131),0)</f>
        <v>167.81060639633142</v>
      </c>
      <c r="CJ131" s="17">
        <f t="shared" si="105"/>
        <v>0.41089130911081728</v>
      </c>
      <c r="CK131" s="17">
        <f>IF(AND(CI131&gt;0,CC131&gt;0),CI131/(1-'1 - Input'!$B$22*CJ131),0)</f>
        <v>187.88241138979211</v>
      </c>
      <c r="CL131" s="17">
        <f t="shared" si="106"/>
        <v>187.88241138979211</v>
      </c>
      <c r="CM131" s="17">
        <f>'1 - Input'!$B$22*CJ131*CL131</f>
        <v>20.071804993460692</v>
      </c>
      <c r="CN131" s="17">
        <f t="shared" si="107"/>
        <v>167.81060639633142</v>
      </c>
      <c r="CO131" s="17">
        <f t="shared" si="108"/>
        <v>0</v>
      </c>
      <c r="CP131" s="17">
        <f t="shared" si="109"/>
        <v>0</v>
      </c>
      <c r="CQ131" s="17">
        <f t="shared" si="110"/>
        <v>388030.56972658337</v>
      </c>
      <c r="CR131" s="17">
        <f t="shared" si="111"/>
        <v>228592.18095661124</v>
      </c>
      <c r="CS131" s="17">
        <f>IF(MOD(BU131,12)=0,CQ131*'1 - Input'!$B$23,0)</f>
        <v>0</v>
      </c>
      <c r="CT131" s="17">
        <f t="shared" si="112"/>
        <v>388030.56972658337</v>
      </c>
      <c r="CU131" s="17">
        <f>IF(MOD(BU131,12)=0,CR131*(1-'1 - Input'!$B$23),CR131)</f>
        <v>228592.18095661124</v>
      </c>
      <c r="CV131" s="17">
        <f>IF('1 - Input'!$B$17=1,MIN(CF131,BX131)+CN131,CF131)</f>
        <v>3101.4513026530553</v>
      </c>
      <c r="CW131" s="17">
        <f t="shared" si="132"/>
        <v>253276.58680244588</v>
      </c>
      <c r="CX131" s="17">
        <f t="shared" si="133"/>
        <v>0</v>
      </c>
      <c r="CY131" s="17">
        <f t="shared" si="134"/>
        <v>90.562538029584886</v>
      </c>
      <c r="CZ131" s="17">
        <f t="shared" si="135"/>
        <v>0</v>
      </c>
      <c r="DA131" s="17">
        <f t="shared" si="136"/>
        <v>6156.6984627000584</v>
      </c>
      <c r="DB131" s="17">
        <f t="shared" si="137"/>
        <v>0</v>
      </c>
      <c r="DC131" s="15">
        <f t="shared" si="113"/>
        <v>0</v>
      </c>
    </row>
    <row r="132" spans="1:107">
      <c r="A132" s="14">
        <v>89</v>
      </c>
      <c r="B132" s="15">
        <f t="shared" si="69"/>
        <v>8</v>
      </c>
      <c r="C132" s="16">
        <f>(1+INDEX('1 - Input'!$B$34:$E$63,B132,'1 - Input'!$B$16))^(1/12)-1</f>
        <v>4.1219243192651689E-3</v>
      </c>
      <c r="D132" s="17">
        <f>'1 - Input'!$B$7*(1+'1 - Input'!$B$12)^(B132-1)</f>
        <v>3101.4513026530553</v>
      </c>
      <c r="E132" s="17">
        <f t="shared" si="114"/>
        <v>304337.77200190839</v>
      </c>
      <c r="F132" s="17">
        <f t="shared" si="115"/>
        <v>411019.92713588546</v>
      </c>
      <c r="G132" s="17">
        <f t="shared" si="70"/>
        <v>305592.22926559404</v>
      </c>
      <c r="H132" s="17">
        <f>IF(G132&gt;0,'1 - Input'!$B$8/12*G132,0)</f>
        <v>2291.9417194919552</v>
      </c>
      <c r="I132" s="17">
        <f t="shared" si="71"/>
        <v>303300.28754610207</v>
      </c>
      <c r="J132" s="17">
        <f t="shared" si="72"/>
        <v>0</v>
      </c>
      <c r="K132" s="17">
        <f>'1 - Input'!$B$22*(H132-J132)</f>
        <v>595.90484706790835</v>
      </c>
      <c r="L132" s="17">
        <f t="shared" si="73"/>
        <v>1696.0368724240468</v>
      </c>
      <c r="M132" s="17">
        <f t="shared" si="74"/>
        <v>411019.92713588546</v>
      </c>
      <c r="N132" s="17">
        <f>IF('1 - Input'!$B$17=1,MAX(0,L132-D132),0)</f>
        <v>0</v>
      </c>
      <c r="O132" s="17">
        <f>IF('1 - Input'!$B$17=1,MAX(0,D132-L132),0)</f>
        <v>1405.4144302290085</v>
      </c>
      <c r="P132" s="17">
        <f t="shared" si="75"/>
        <v>0</v>
      </c>
      <c r="Q132" s="17">
        <f>IF(AND(O132&gt;0,I132&gt;0),O132/(1-'1 - Input'!$B$22*P132),0)</f>
        <v>1405.4144302290085</v>
      </c>
      <c r="R132" s="17">
        <f t="shared" si="76"/>
        <v>1405.4144302290085</v>
      </c>
      <c r="S132" s="17">
        <f>'1 - Input'!$B$22*P132*R132</f>
        <v>0</v>
      </c>
      <c r="T132" s="17">
        <f t="shared" si="77"/>
        <v>1405.4144302290085</v>
      </c>
      <c r="U132" s="17">
        <f t="shared" si="78"/>
        <v>0</v>
      </c>
      <c r="V132" s="17">
        <f t="shared" si="79"/>
        <v>499.14471602846066</v>
      </c>
      <c r="W132" s="17">
        <f t="shared" si="80"/>
        <v>301894.87311587308</v>
      </c>
      <c r="X132" s="17">
        <f t="shared" si="81"/>
        <v>409115.36798962799</v>
      </c>
      <c r="Y132" s="17">
        <f>IF(MOD(A132,12)=0,W132*'1 - Input'!$B$23,0)</f>
        <v>0</v>
      </c>
      <c r="Z132" s="17">
        <f t="shared" si="82"/>
        <v>301894.87311587308</v>
      </c>
      <c r="AA132" s="17">
        <f>IF(MOD(A132,12)=0,X132*(1-'1 - Input'!$B$23),X132)</f>
        <v>409115.36798962799</v>
      </c>
      <c r="AB132" s="17">
        <f>IF('1 - Input'!$B$17=1,MIN(L132,D132)+T132,L132)</f>
        <v>3101.4513026530553</v>
      </c>
      <c r="AC132" s="17">
        <f t="shared" si="116"/>
        <v>256378.03810509894</v>
      </c>
      <c r="AD132" s="17">
        <f t="shared" si="117"/>
        <v>69934.236475397091</v>
      </c>
      <c r="AE132" s="17">
        <f t="shared" si="118"/>
        <v>0</v>
      </c>
      <c r="AF132" s="17">
        <f t="shared" si="119"/>
        <v>13601.42532449658</v>
      </c>
      <c r="AG132" s="17">
        <f t="shared" si="120"/>
        <v>5513.5224467521239</v>
      </c>
      <c r="AH132" s="17">
        <f t="shared" si="121"/>
        <v>0</v>
      </c>
      <c r="AI132" s="15">
        <f t="shared" si="83"/>
        <v>0</v>
      </c>
      <c r="AK132" s="14">
        <v>89</v>
      </c>
      <c r="AL132" s="15">
        <f t="shared" si="84"/>
        <v>8</v>
      </c>
      <c r="AM132" s="16">
        <f>(1+INDEX('1 - Input'!$B$34:$E$63,AL132,'1 - Input'!$B$16))^(1/12)-1</f>
        <v>4.1219243192651689E-3</v>
      </c>
      <c r="AN132" s="17">
        <f>'1 - Input'!$B$7*(1+'1 - Input'!$B$12)^(AL132-1)</f>
        <v>3101.4513026530553</v>
      </c>
      <c r="AO132" s="17">
        <f t="shared" si="122"/>
        <v>304337.77200190839</v>
      </c>
      <c r="AP132" s="17">
        <f t="shared" si="123"/>
        <v>411019.92713588546</v>
      </c>
      <c r="AQ132" s="17">
        <f t="shared" si="85"/>
        <v>305592.22926559404</v>
      </c>
      <c r="AR132" s="17">
        <f>IF(AQ132&gt;0,'1 - Input'!$B$8/12*AQ132,0)</f>
        <v>2291.9417194919552</v>
      </c>
      <c r="AS132" s="17">
        <f t="shared" si="86"/>
        <v>303300.28754610207</v>
      </c>
      <c r="AT132" s="17">
        <f t="shared" si="87"/>
        <v>0</v>
      </c>
      <c r="AU132" s="17">
        <f>'1 - Input'!$B$22*(AR132-AT132)</f>
        <v>595.90484706790835</v>
      </c>
      <c r="AV132" s="17">
        <f t="shared" si="88"/>
        <v>1696.0368724240468</v>
      </c>
      <c r="AW132" s="17">
        <f t="shared" si="89"/>
        <v>411019.92713588546</v>
      </c>
      <c r="AX132" s="17">
        <f>IF('1 - Input'!$B$17=1,MAX(0,AV132-AN132),0)</f>
        <v>0</v>
      </c>
      <c r="AY132" s="17">
        <f>IF('1 - Input'!$B$17=1,MAX(0,AN132-AV132),0)</f>
        <v>1405.4144302290085</v>
      </c>
      <c r="AZ132" s="17">
        <f t="shared" si="90"/>
        <v>0</v>
      </c>
      <c r="BA132" s="17">
        <f>IF(AND(AY132&gt;0,AS132&gt;0),AY132/(1-'1 - Input'!$B$22*AZ132),0)</f>
        <v>1405.4144302290085</v>
      </c>
      <c r="BB132" s="17">
        <f t="shared" si="91"/>
        <v>1405.4144302290085</v>
      </c>
      <c r="BC132" s="17">
        <f>'1 - Input'!$B$22*AZ132*BB132</f>
        <v>0</v>
      </c>
      <c r="BD132" s="17">
        <f t="shared" si="92"/>
        <v>1405.4144302290085</v>
      </c>
      <c r="BE132" s="17">
        <f t="shared" si="93"/>
        <v>0</v>
      </c>
      <c r="BF132" s="17">
        <f t="shared" si="94"/>
        <v>499.14471602846066</v>
      </c>
      <c r="BG132" s="17">
        <f t="shared" si="95"/>
        <v>301894.87311587308</v>
      </c>
      <c r="BH132" s="17">
        <f t="shared" si="96"/>
        <v>409115.36798962799</v>
      </c>
      <c r="BI132" s="17">
        <f>IF(MOD(AK132,12)=0,BG132*'1 - Input'!$B$23,0)</f>
        <v>0</v>
      </c>
      <c r="BJ132" s="17">
        <f t="shared" si="97"/>
        <v>301894.87311587308</v>
      </c>
      <c r="BK132" s="17">
        <f>IF(MOD(AK132,12)=0,BH132*(1-'1 - Input'!$B$23),BH132)</f>
        <v>409115.36798962799</v>
      </c>
      <c r="BL132" s="17">
        <f>IF('1 - Input'!$B$17=1,MIN(AV132,AN132)+BD132,AV132)</f>
        <v>3101.4513026530553</v>
      </c>
      <c r="BM132" s="17">
        <f t="shared" si="124"/>
        <v>256378.03810509894</v>
      </c>
      <c r="BN132" s="17">
        <f t="shared" si="125"/>
        <v>69934.236475397091</v>
      </c>
      <c r="BO132" s="17">
        <f t="shared" si="126"/>
        <v>0</v>
      </c>
      <c r="BP132" s="17">
        <f t="shared" si="127"/>
        <v>13601.42532449658</v>
      </c>
      <c r="BQ132" s="17">
        <f t="shared" si="128"/>
        <v>5513.5224467521239</v>
      </c>
      <c r="BR132" s="17">
        <f t="shared" si="129"/>
        <v>0</v>
      </c>
      <c r="BS132" s="15">
        <f t="shared" si="98"/>
        <v>0</v>
      </c>
      <c r="BU132" s="14">
        <v>89</v>
      </c>
      <c r="BV132" s="15">
        <f t="shared" si="99"/>
        <v>8</v>
      </c>
      <c r="BW132" s="16">
        <f>(1+INDEX('1 - Input'!$B$34:$E$63,BV132,'1 - Input'!$B$16))^(1/12)-1</f>
        <v>4.1219243192651689E-3</v>
      </c>
      <c r="BX132" s="17">
        <f>'1 - Input'!$B$7*(1+'1 - Input'!$B$12)^(BV132-1)</f>
        <v>3101.4513026530553</v>
      </c>
      <c r="BY132" s="17">
        <f t="shared" si="130"/>
        <v>388030.56972658337</v>
      </c>
      <c r="BZ132" s="17">
        <f t="shared" si="131"/>
        <v>228592.18095661124</v>
      </c>
      <c r="CA132" s="17">
        <f t="shared" si="100"/>
        <v>389630.00236855767</v>
      </c>
      <c r="CB132" s="17">
        <f>IF(CA132&gt;0,'1 - Input'!$B$8/12*CA132,0)</f>
        <v>2922.2250177641827</v>
      </c>
      <c r="CC132" s="17">
        <f t="shared" si="101"/>
        <v>386707.77735079348</v>
      </c>
      <c r="CD132" s="17">
        <f t="shared" si="102"/>
        <v>2922.2250177641827</v>
      </c>
      <c r="CE132" s="17">
        <f>'1 - Input'!$B$22*(CB132-CD132)</f>
        <v>0</v>
      </c>
      <c r="CF132" s="17">
        <f t="shared" si="103"/>
        <v>2922.2250177641827</v>
      </c>
      <c r="CG132" s="17">
        <f t="shared" si="104"/>
        <v>225669.95593884707</v>
      </c>
      <c r="CH132" s="17">
        <f>IF('1 - Input'!$B$17=1,MAX(0,CF132-BX132),0)</f>
        <v>0</v>
      </c>
      <c r="CI132" s="17">
        <f>IF('1 - Input'!$B$17=1,MAX(0,BX132-CF132),0)</f>
        <v>179.22628488887267</v>
      </c>
      <c r="CJ132" s="17">
        <f t="shared" si="105"/>
        <v>0.41643284889474685</v>
      </c>
      <c r="CK132" s="17">
        <f>IF(AND(CI132&gt;0,CC132&gt;0),CI132/(1-'1 - Input'!$B$22*CJ132),0)</f>
        <v>200.98773792623072</v>
      </c>
      <c r="CL132" s="17">
        <f t="shared" si="106"/>
        <v>200.98773792623072</v>
      </c>
      <c r="CM132" s="17">
        <f>'1 - Input'!$B$22*CJ132*CL132</f>
        <v>21.761453037358066</v>
      </c>
      <c r="CN132" s="17">
        <f t="shared" si="107"/>
        <v>179.22628488887267</v>
      </c>
      <c r="CO132" s="17">
        <f t="shared" si="108"/>
        <v>0</v>
      </c>
      <c r="CP132" s="17">
        <f t="shared" si="109"/>
        <v>0</v>
      </c>
      <c r="CQ132" s="17">
        <f t="shared" si="110"/>
        <v>386506.78961286723</v>
      </c>
      <c r="CR132" s="17">
        <f t="shared" si="111"/>
        <v>225552.66609721837</v>
      </c>
      <c r="CS132" s="17">
        <f>IF(MOD(BU132,12)=0,CQ132*'1 - Input'!$B$23,0)</f>
        <v>0</v>
      </c>
      <c r="CT132" s="17">
        <f t="shared" si="112"/>
        <v>386506.78961286723</v>
      </c>
      <c r="CU132" s="17">
        <f>IF(MOD(BU132,12)=0,CR132*(1-'1 - Input'!$B$23),CR132)</f>
        <v>225552.66609721837</v>
      </c>
      <c r="CV132" s="17">
        <f>IF('1 - Input'!$B$17=1,MIN(CF132,BX132)+CN132,CF132)</f>
        <v>3101.4513026530553</v>
      </c>
      <c r="CW132" s="17">
        <f t="shared" si="132"/>
        <v>256378.03810509894</v>
      </c>
      <c r="CX132" s="17">
        <f t="shared" si="133"/>
        <v>0</v>
      </c>
      <c r="CY132" s="17">
        <f t="shared" si="134"/>
        <v>112.32399106694295</v>
      </c>
      <c r="CZ132" s="17">
        <f t="shared" si="135"/>
        <v>0</v>
      </c>
      <c r="DA132" s="17">
        <f t="shared" si="136"/>
        <v>6156.6984627000584</v>
      </c>
      <c r="DB132" s="17">
        <f t="shared" si="137"/>
        <v>0</v>
      </c>
      <c r="DC132" s="15">
        <f t="shared" si="113"/>
        <v>0</v>
      </c>
    </row>
    <row r="133" spans="1:107">
      <c r="A133" s="14">
        <v>90</v>
      </c>
      <c r="B133" s="15">
        <f t="shared" si="69"/>
        <v>8</v>
      </c>
      <c r="C133" s="16">
        <f>(1+INDEX('1 - Input'!$B$34:$E$63,B133,'1 - Input'!$B$16))^(1/12)-1</f>
        <v>4.1219243192651689E-3</v>
      </c>
      <c r="D133" s="17">
        <f>'1 - Input'!$B$7*(1+'1 - Input'!$B$12)^(B133-1)</f>
        <v>3101.4513026530553</v>
      </c>
      <c r="E133" s="17">
        <f t="shared" si="114"/>
        <v>301894.87311587308</v>
      </c>
      <c r="F133" s="17">
        <f t="shared" si="115"/>
        <v>409115.36798962799</v>
      </c>
      <c r="G133" s="17">
        <f t="shared" si="70"/>
        <v>303139.26093523088</v>
      </c>
      <c r="H133" s="17">
        <f>IF(G133&gt;0,'1 - Input'!$B$8/12*G133,0)</f>
        <v>2273.5444570142313</v>
      </c>
      <c r="I133" s="17">
        <f t="shared" si="71"/>
        <v>300865.71647821664</v>
      </c>
      <c r="J133" s="17">
        <f t="shared" si="72"/>
        <v>0</v>
      </c>
      <c r="K133" s="17">
        <f>'1 - Input'!$B$22*(H133-J133)</f>
        <v>591.12155882370018</v>
      </c>
      <c r="L133" s="17">
        <f t="shared" si="73"/>
        <v>1682.4228981905312</v>
      </c>
      <c r="M133" s="17">
        <f t="shared" si="74"/>
        <v>409115.36798962799</v>
      </c>
      <c r="N133" s="17">
        <f>IF('1 - Input'!$B$17=1,MAX(0,L133-D133),0)</f>
        <v>0</v>
      </c>
      <c r="O133" s="17">
        <f>IF('1 - Input'!$B$17=1,MAX(0,D133-L133),0)</f>
        <v>1419.0284044625241</v>
      </c>
      <c r="P133" s="17">
        <f t="shared" si="75"/>
        <v>0</v>
      </c>
      <c r="Q133" s="17">
        <f>IF(AND(O133&gt;0,I133&gt;0),O133/(1-'1 - Input'!$B$22*P133),0)</f>
        <v>1419.0284044625241</v>
      </c>
      <c r="R133" s="17">
        <f t="shared" si="76"/>
        <v>1419.0284044625241</v>
      </c>
      <c r="S133" s="17">
        <f>'1 - Input'!$B$22*P133*R133</f>
        <v>0</v>
      </c>
      <c r="T133" s="17">
        <f t="shared" si="77"/>
        <v>1419.0284044625241</v>
      </c>
      <c r="U133" s="17">
        <f t="shared" si="78"/>
        <v>0</v>
      </c>
      <c r="V133" s="17">
        <f t="shared" si="79"/>
        <v>510.55777330144565</v>
      </c>
      <c r="W133" s="17">
        <f t="shared" si="80"/>
        <v>299446.68807375414</v>
      </c>
      <c r="X133" s="17">
        <f t="shared" si="81"/>
        <v>407185.78181186406</v>
      </c>
      <c r="Y133" s="17">
        <f>IF(MOD(A133,12)=0,W133*'1 - Input'!$B$23,0)</f>
        <v>0</v>
      </c>
      <c r="Z133" s="17">
        <f t="shared" si="82"/>
        <v>299446.68807375414</v>
      </c>
      <c r="AA133" s="17">
        <f>IF(MOD(A133,12)=0,X133*(1-'1 - Input'!$B$23),X133)</f>
        <v>407185.78181186406</v>
      </c>
      <c r="AB133" s="17">
        <f>IF('1 - Input'!$B$17=1,MIN(L133,D133)+T133,L133)</f>
        <v>3101.4513026530553</v>
      </c>
      <c r="AC133" s="17">
        <f t="shared" si="116"/>
        <v>259479.489407752</v>
      </c>
      <c r="AD133" s="17">
        <f t="shared" si="117"/>
        <v>70525.358034220786</v>
      </c>
      <c r="AE133" s="17">
        <f t="shared" si="118"/>
        <v>0</v>
      </c>
      <c r="AF133" s="17">
        <f t="shared" si="119"/>
        <v>14111.983097798025</v>
      </c>
      <c r="AG133" s="17">
        <f t="shared" si="120"/>
        <v>5513.5224467521239</v>
      </c>
      <c r="AH133" s="17">
        <f t="shared" si="121"/>
        <v>0</v>
      </c>
      <c r="AI133" s="15">
        <f t="shared" si="83"/>
        <v>0</v>
      </c>
      <c r="AK133" s="14">
        <v>90</v>
      </c>
      <c r="AL133" s="15">
        <f t="shared" si="84"/>
        <v>8</v>
      </c>
      <c r="AM133" s="16">
        <f>(1+INDEX('1 - Input'!$B$34:$E$63,AL133,'1 - Input'!$B$16))^(1/12)-1</f>
        <v>4.1219243192651689E-3</v>
      </c>
      <c r="AN133" s="17">
        <f>'1 - Input'!$B$7*(1+'1 - Input'!$B$12)^(AL133-1)</f>
        <v>3101.4513026530553</v>
      </c>
      <c r="AO133" s="17">
        <f t="shared" si="122"/>
        <v>301894.87311587308</v>
      </c>
      <c r="AP133" s="17">
        <f t="shared" si="123"/>
        <v>409115.36798962799</v>
      </c>
      <c r="AQ133" s="17">
        <f t="shared" si="85"/>
        <v>303139.26093523088</v>
      </c>
      <c r="AR133" s="17">
        <f>IF(AQ133&gt;0,'1 - Input'!$B$8/12*AQ133,0)</f>
        <v>2273.5444570142313</v>
      </c>
      <c r="AS133" s="17">
        <f t="shared" si="86"/>
        <v>300865.71647821664</v>
      </c>
      <c r="AT133" s="17">
        <f t="shared" si="87"/>
        <v>0</v>
      </c>
      <c r="AU133" s="17">
        <f>'1 - Input'!$B$22*(AR133-AT133)</f>
        <v>591.12155882370018</v>
      </c>
      <c r="AV133" s="17">
        <f t="shared" si="88"/>
        <v>1682.4228981905312</v>
      </c>
      <c r="AW133" s="17">
        <f t="shared" si="89"/>
        <v>409115.36798962799</v>
      </c>
      <c r="AX133" s="17">
        <f>IF('1 - Input'!$B$17=1,MAX(0,AV133-AN133),0)</f>
        <v>0</v>
      </c>
      <c r="AY133" s="17">
        <f>IF('1 - Input'!$B$17=1,MAX(0,AN133-AV133),0)</f>
        <v>1419.0284044625241</v>
      </c>
      <c r="AZ133" s="17">
        <f t="shared" si="90"/>
        <v>0</v>
      </c>
      <c r="BA133" s="17">
        <f>IF(AND(AY133&gt;0,AS133&gt;0),AY133/(1-'1 - Input'!$B$22*AZ133),0)</f>
        <v>1419.0284044625241</v>
      </c>
      <c r="BB133" s="17">
        <f t="shared" si="91"/>
        <v>1419.0284044625241</v>
      </c>
      <c r="BC133" s="17">
        <f>'1 - Input'!$B$22*AZ133*BB133</f>
        <v>0</v>
      </c>
      <c r="BD133" s="17">
        <f t="shared" si="92"/>
        <v>1419.0284044625241</v>
      </c>
      <c r="BE133" s="17">
        <f t="shared" si="93"/>
        <v>0</v>
      </c>
      <c r="BF133" s="17">
        <f t="shared" si="94"/>
        <v>510.55777330144565</v>
      </c>
      <c r="BG133" s="17">
        <f t="shared" si="95"/>
        <v>299446.68807375414</v>
      </c>
      <c r="BH133" s="17">
        <f t="shared" si="96"/>
        <v>407185.78181186406</v>
      </c>
      <c r="BI133" s="17">
        <f>IF(MOD(AK133,12)=0,BG133*'1 - Input'!$B$23,0)</f>
        <v>0</v>
      </c>
      <c r="BJ133" s="17">
        <f t="shared" si="97"/>
        <v>299446.68807375414</v>
      </c>
      <c r="BK133" s="17">
        <f>IF(MOD(AK133,12)=0,BH133*(1-'1 - Input'!$B$23),BH133)</f>
        <v>407185.78181186406</v>
      </c>
      <c r="BL133" s="17">
        <f>IF('1 - Input'!$B$17=1,MIN(AV133,AN133)+BD133,AV133)</f>
        <v>3101.4513026530553</v>
      </c>
      <c r="BM133" s="17">
        <f t="shared" si="124"/>
        <v>259479.489407752</v>
      </c>
      <c r="BN133" s="17">
        <f t="shared" si="125"/>
        <v>70525.358034220786</v>
      </c>
      <c r="BO133" s="17">
        <f t="shared" si="126"/>
        <v>0</v>
      </c>
      <c r="BP133" s="17">
        <f t="shared" si="127"/>
        <v>14111.983097798025</v>
      </c>
      <c r="BQ133" s="17">
        <f t="shared" si="128"/>
        <v>5513.5224467521239</v>
      </c>
      <c r="BR133" s="17">
        <f t="shared" si="129"/>
        <v>0</v>
      </c>
      <c r="BS133" s="15">
        <f t="shared" si="98"/>
        <v>0</v>
      </c>
      <c r="BU133" s="14">
        <v>90</v>
      </c>
      <c r="BV133" s="15">
        <f t="shared" si="99"/>
        <v>8</v>
      </c>
      <c r="BW133" s="16">
        <f>(1+INDEX('1 - Input'!$B$34:$E$63,BV133,'1 - Input'!$B$16))^(1/12)-1</f>
        <v>4.1219243192651689E-3</v>
      </c>
      <c r="BX133" s="17">
        <f>'1 - Input'!$B$7*(1+'1 - Input'!$B$12)^(BV133-1)</f>
        <v>3101.4513026530553</v>
      </c>
      <c r="BY133" s="17">
        <f t="shared" si="130"/>
        <v>386506.78961286723</v>
      </c>
      <c r="BZ133" s="17">
        <f t="shared" si="131"/>
        <v>225552.66609721837</v>
      </c>
      <c r="CA133" s="17">
        <f t="shared" si="100"/>
        <v>388099.94134853361</v>
      </c>
      <c r="CB133" s="17">
        <f>IF(CA133&gt;0,'1 - Input'!$B$8/12*CA133,0)</f>
        <v>2910.7495601140022</v>
      </c>
      <c r="CC133" s="17">
        <f t="shared" si="101"/>
        <v>385189.19178841962</v>
      </c>
      <c r="CD133" s="17">
        <f t="shared" si="102"/>
        <v>2910.7495601140022</v>
      </c>
      <c r="CE133" s="17">
        <f>'1 - Input'!$B$22*(CB133-CD133)</f>
        <v>0</v>
      </c>
      <c r="CF133" s="17">
        <f t="shared" si="103"/>
        <v>2910.7495601140022</v>
      </c>
      <c r="CG133" s="17">
        <f t="shared" si="104"/>
        <v>222641.91653710438</v>
      </c>
      <c r="CH133" s="17">
        <f>IF('1 - Input'!$B$17=1,MAX(0,CF133-BX133),0)</f>
        <v>0</v>
      </c>
      <c r="CI133" s="17">
        <f>IF('1 - Input'!$B$17=1,MAX(0,BX133-CF133),0)</f>
        <v>190.70174253905316</v>
      </c>
      <c r="CJ133" s="17">
        <f t="shared" si="105"/>
        <v>0.42199334435271685</v>
      </c>
      <c r="CK133" s="17">
        <f>IF(AND(CI133&gt;0,CC133&gt;0),CI133/(1-'1 - Input'!$B$22*CJ133),0)</f>
        <v>214.20381437990744</v>
      </c>
      <c r="CL133" s="17">
        <f t="shared" si="106"/>
        <v>214.20381437990744</v>
      </c>
      <c r="CM133" s="17">
        <f>'1 - Input'!$B$22*CJ133*CL133</f>
        <v>23.502071840854288</v>
      </c>
      <c r="CN133" s="17">
        <f t="shared" si="107"/>
        <v>190.70174253905316</v>
      </c>
      <c r="CO133" s="17">
        <f t="shared" si="108"/>
        <v>0</v>
      </c>
      <c r="CP133" s="17">
        <f t="shared" si="109"/>
        <v>0</v>
      </c>
      <c r="CQ133" s="17">
        <f t="shared" si="110"/>
        <v>384974.98797403969</v>
      </c>
      <c r="CR133" s="17">
        <f t="shared" si="111"/>
        <v>222518.10530672775</v>
      </c>
      <c r="CS133" s="17">
        <f>IF(MOD(BU133,12)=0,CQ133*'1 - Input'!$B$23,0)</f>
        <v>0</v>
      </c>
      <c r="CT133" s="17">
        <f t="shared" si="112"/>
        <v>384974.98797403969</v>
      </c>
      <c r="CU133" s="17">
        <f>IF(MOD(BU133,12)=0,CR133*(1-'1 - Input'!$B$23),CR133)</f>
        <v>222518.10530672775</v>
      </c>
      <c r="CV133" s="17">
        <f>IF('1 - Input'!$B$17=1,MIN(CF133,BX133)+CN133,CF133)</f>
        <v>3101.4513026530553</v>
      </c>
      <c r="CW133" s="17">
        <f t="shared" si="132"/>
        <v>259479.489407752</v>
      </c>
      <c r="CX133" s="17">
        <f t="shared" si="133"/>
        <v>0</v>
      </c>
      <c r="CY133" s="17">
        <f t="shared" si="134"/>
        <v>135.82606290779725</v>
      </c>
      <c r="CZ133" s="17">
        <f t="shared" si="135"/>
        <v>0</v>
      </c>
      <c r="DA133" s="17">
        <f t="shared" si="136"/>
        <v>6156.6984627000584</v>
      </c>
      <c r="DB133" s="17">
        <f t="shared" si="137"/>
        <v>0</v>
      </c>
      <c r="DC133" s="15">
        <f t="shared" si="113"/>
        <v>0</v>
      </c>
    </row>
    <row r="134" spans="1:107">
      <c r="A134" s="14">
        <v>91</v>
      </c>
      <c r="B134" s="15">
        <f t="shared" si="69"/>
        <v>8</v>
      </c>
      <c r="C134" s="16">
        <f>(1+INDEX('1 - Input'!$B$34:$E$63,B134,'1 - Input'!$B$16))^(1/12)-1</f>
        <v>4.1219243192651689E-3</v>
      </c>
      <c r="D134" s="17">
        <f>'1 - Input'!$B$7*(1+'1 - Input'!$B$12)^(B134-1)</f>
        <v>3101.4513026530553</v>
      </c>
      <c r="E134" s="17">
        <f t="shared" si="114"/>
        <v>299446.68807375414</v>
      </c>
      <c r="F134" s="17">
        <f t="shared" si="115"/>
        <v>407185.78181186406</v>
      </c>
      <c r="G134" s="17">
        <f t="shared" si="70"/>
        <v>300680.98465964873</v>
      </c>
      <c r="H134" s="17">
        <f>IF(G134&gt;0,'1 - Input'!$B$8/12*G134,0)</f>
        <v>2255.1073849473655</v>
      </c>
      <c r="I134" s="17">
        <f t="shared" si="71"/>
        <v>298425.87727470137</v>
      </c>
      <c r="J134" s="17">
        <f t="shared" si="72"/>
        <v>0</v>
      </c>
      <c r="K134" s="17">
        <f>'1 - Input'!$B$22*(H134-J134)</f>
        <v>586.32792008631509</v>
      </c>
      <c r="L134" s="17">
        <f t="shared" si="73"/>
        <v>1668.7794648610504</v>
      </c>
      <c r="M134" s="17">
        <f t="shared" si="74"/>
        <v>407185.78181186406</v>
      </c>
      <c r="N134" s="17">
        <f>IF('1 - Input'!$B$17=1,MAX(0,L134-D134),0)</f>
        <v>0</v>
      </c>
      <c r="O134" s="17">
        <f>IF('1 - Input'!$B$17=1,MAX(0,D134-L134),0)</f>
        <v>1432.6718377920049</v>
      </c>
      <c r="P134" s="17">
        <f t="shared" si="75"/>
        <v>0</v>
      </c>
      <c r="Q134" s="17">
        <f>IF(AND(O134&gt;0,I134&gt;0),O134/(1-'1 - Input'!$B$22*P134),0)</f>
        <v>1432.6718377920049</v>
      </c>
      <c r="R134" s="17">
        <f t="shared" si="76"/>
        <v>1432.6718377920049</v>
      </c>
      <c r="S134" s="17">
        <f>'1 - Input'!$B$22*P134*R134</f>
        <v>0</v>
      </c>
      <c r="T134" s="17">
        <f t="shared" si="77"/>
        <v>1432.6718377920049</v>
      </c>
      <c r="U134" s="17">
        <f t="shared" si="78"/>
        <v>0</v>
      </c>
      <c r="V134" s="17">
        <f t="shared" si="79"/>
        <v>522.13049931963474</v>
      </c>
      <c r="W134" s="17">
        <f t="shared" si="80"/>
        <v>296993.20543690934</v>
      </c>
      <c r="X134" s="17">
        <f t="shared" si="81"/>
        <v>405230.97947475244</v>
      </c>
      <c r="Y134" s="17">
        <f>IF(MOD(A134,12)=0,W134*'1 - Input'!$B$23,0)</f>
        <v>0</v>
      </c>
      <c r="Z134" s="17">
        <f t="shared" si="82"/>
        <v>296993.20543690934</v>
      </c>
      <c r="AA134" s="17">
        <f>IF(MOD(A134,12)=0,X134*(1-'1 - Input'!$B$23),X134)</f>
        <v>405230.97947475244</v>
      </c>
      <c r="AB134" s="17">
        <f>IF('1 - Input'!$B$17=1,MIN(L134,D134)+T134,L134)</f>
        <v>3101.4513026530553</v>
      </c>
      <c r="AC134" s="17">
        <f t="shared" si="116"/>
        <v>262580.94071040506</v>
      </c>
      <c r="AD134" s="17">
        <f t="shared" si="117"/>
        <v>71111.685954307104</v>
      </c>
      <c r="AE134" s="17">
        <f t="shared" si="118"/>
        <v>0</v>
      </c>
      <c r="AF134" s="17">
        <f t="shared" si="119"/>
        <v>14634.113597117661</v>
      </c>
      <c r="AG134" s="17">
        <f t="shared" si="120"/>
        <v>5513.5224467521239</v>
      </c>
      <c r="AH134" s="17">
        <f t="shared" si="121"/>
        <v>0</v>
      </c>
      <c r="AI134" s="15">
        <f t="shared" si="83"/>
        <v>0</v>
      </c>
      <c r="AK134" s="14">
        <v>91</v>
      </c>
      <c r="AL134" s="15">
        <f t="shared" si="84"/>
        <v>8</v>
      </c>
      <c r="AM134" s="16">
        <f>(1+INDEX('1 - Input'!$B$34:$E$63,AL134,'1 - Input'!$B$16))^(1/12)-1</f>
        <v>4.1219243192651689E-3</v>
      </c>
      <c r="AN134" s="17">
        <f>'1 - Input'!$B$7*(1+'1 - Input'!$B$12)^(AL134-1)</f>
        <v>3101.4513026530553</v>
      </c>
      <c r="AO134" s="17">
        <f t="shared" si="122"/>
        <v>299446.68807375414</v>
      </c>
      <c r="AP134" s="17">
        <f t="shared" si="123"/>
        <v>407185.78181186406</v>
      </c>
      <c r="AQ134" s="17">
        <f t="shared" si="85"/>
        <v>300680.98465964873</v>
      </c>
      <c r="AR134" s="17">
        <f>IF(AQ134&gt;0,'1 - Input'!$B$8/12*AQ134,0)</f>
        <v>2255.1073849473655</v>
      </c>
      <c r="AS134" s="17">
        <f t="shared" si="86"/>
        <v>298425.87727470137</v>
      </c>
      <c r="AT134" s="17">
        <f t="shared" si="87"/>
        <v>0</v>
      </c>
      <c r="AU134" s="17">
        <f>'1 - Input'!$B$22*(AR134-AT134)</f>
        <v>586.32792008631509</v>
      </c>
      <c r="AV134" s="17">
        <f t="shared" si="88"/>
        <v>1668.7794648610504</v>
      </c>
      <c r="AW134" s="17">
        <f t="shared" si="89"/>
        <v>407185.78181186406</v>
      </c>
      <c r="AX134" s="17">
        <f>IF('1 - Input'!$B$17=1,MAX(0,AV134-AN134),0)</f>
        <v>0</v>
      </c>
      <c r="AY134" s="17">
        <f>IF('1 - Input'!$B$17=1,MAX(0,AN134-AV134),0)</f>
        <v>1432.6718377920049</v>
      </c>
      <c r="AZ134" s="17">
        <f t="shared" si="90"/>
        <v>0</v>
      </c>
      <c r="BA134" s="17">
        <f>IF(AND(AY134&gt;0,AS134&gt;0),AY134/(1-'1 - Input'!$B$22*AZ134),0)</f>
        <v>1432.6718377920049</v>
      </c>
      <c r="BB134" s="17">
        <f t="shared" si="91"/>
        <v>1432.6718377920049</v>
      </c>
      <c r="BC134" s="17">
        <f>'1 - Input'!$B$22*AZ134*BB134</f>
        <v>0</v>
      </c>
      <c r="BD134" s="17">
        <f t="shared" si="92"/>
        <v>1432.6718377920049</v>
      </c>
      <c r="BE134" s="17">
        <f t="shared" si="93"/>
        <v>0</v>
      </c>
      <c r="BF134" s="17">
        <f t="shared" si="94"/>
        <v>522.13049931963474</v>
      </c>
      <c r="BG134" s="17">
        <f t="shared" si="95"/>
        <v>296993.20543690934</v>
      </c>
      <c r="BH134" s="17">
        <f t="shared" si="96"/>
        <v>405230.97947475244</v>
      </c>
      <c r="BI134" s="17">
        <f>IF(MOD(AK134,12)=0,BG134*'1 - Input'!$B$23,0)</f>
        <v>0</v>
      </c>
      <c r="BJ134" s="17">
        <f t="shared" si="97"/>
        <v>296993.20543690934</v>
      </c>
      <c r="BK134" s="17">
        <f>IF(MOD(AK134,12)=0,BH134*(1-'1 - Input'!$B$23),BH134)</f>
        <v>405230.97947475244</v>
      </c>
      <c r="BL134" s="17">
        <f>IF('1 - Input'!$B$17=1,MIN(AV134,AN134)+BD134,AV134)</f>
        <v>3101.4513026530553</v>
      </c>
      <c r="BM134" s="17">
        <f t="shared" si="124"/>
        <v>262580.94071040506</v>
      </c>
      <c r="BN134" s="17">
        <f t="shared" si="125"/>
        <v>71111.685954307104</v>
      </c>
      <c r="BO134" s="17">
        <f t="shared" si="126"/>
        <v>0</v>
      </c>
      <c r="BP134" s="17">
        <f t="shared" si="127"/>
        <v>14634.113597117661</v>
      </c>
      <c r="BQ134" s="17">
        <f t="shared" si="128"/>
        <v>5513.5224467521239</v>
      </c>
      <c r="BR134" s="17">
        <f t="shared" si="129"/>
        <v>0</v>
      </c>
      <c r="BS134" s="15">
        <f t="shared" si="98"/>
        <v>0</v>
      </c>
      <c r="BU134" s="14">
        <v>91</v>
      </c>
      <c r="BV134" s="15">
        <f t="shared" si="99"/>
        <v>8</v>
      </c>
      <c r="BW134" s="16">
        <f>(1+INDEX('1 - Input'!$B$34:$E$63,BV134,'1 - Input'!$B$16))^(1/12)-1</f>
        <v>4.1219243192651689E-3</v>
      </c>
      <c r="BX134" s="17">
        <f>'1 - Input'!$B$7*(1+'1 - Input'!$B$12)^(BV134-1)</f>
        <v>3101.4513026530553</v>
      </c>
      <c r="BY134" s="17">
        <f t="shared" si="130"/>
        <v>384974.98797403969</v>
      </c>
      <c r="BZ134" s="17">
        <f t="shared" si="131"/>
        <v>222518.10530672775</v>
      </c>
      <c r="CA134" s="17">
        <f t="shared" si="100"/>
        <v>386561.82573927869</v>
      </c>
      <c r="CB134" s="17">
        <f>IF(CA134&gt;0,'1 - Input'!$B$8/12*CA134,0)</f>
        <v>2899.2136930445899</v>
      </c>
      <c r="CC134" s="17">
        <f t="shared" si="101"/>
        <v>383662.61204623408</v>
      </c>
      <c r="CD134" s="17">
        <f t="shared" si="102"/>
        <v>2899.2136930445899</v>
      </c>
      <c r="CE134" s="17">
        <f>'1 - Input'!$B$22*(CB134-CD134)</f>
        <v>0</v>
      </c>
      <c r="CF134" s="17">
        <f t="shared" si="103"/>
        <v>2899.2136930445899</v>
      </c>
      <c r="CG134" s="17">
        <f t="shared" si="104"/>
        <v>219618.89161368317</v>
      </c>
      <c r="CH134" s="17">
        <f>IF('1 - Input'!$B$17=1,MAX(0,CF134-BX134),0)</f>
        <v>0</v>
      </c>
      <c r="CI134" s="17">
        <f>IF('1 - Input'!$B$17=1,MAX(0,BX134-CF134),0)</f>
        <v>202.23760960846539</v>
      </c>
      <c r="CJ134" s="17">
        <f t="shared" si="105"/>
        <v>0.42757286032547381</v>
      </c>
      <c r="CK134" s="17">
        <f>IF(AND(CI134&gt;0,CC134&gt;0),CI134/(1-'1 - Input'!$B$22*CJ134),0)</f>
        <v>227.53211442322402</v>
      </c>
      <c r="CL134" s="17">
        <f t="shared" si="106"/>
        <v>227.53211442322402</v>
      </c>
      <c r="CM134" s="17">
        <f>'1 - Input'!$B$22*CJ134*CL134</f>
        <v>25.294504814758632</v>
      </c>
      <c r="CN134" s="17">
        <f t="shared" si="107"/>
        <v>202.23760960846539</v>
      </c>
      <c r="CO134" s="17">
        <f t="shared" si="108"/>
        <v>0</v>
      </c>
      <c r="CP134" s="17">
        <f t="shared" si="109"/>
        <v>0</v>
      </c>
      <c r="CQ134" s="17">
        <f t="shared" si="110"/>
        <v>383435.07993181085</v>
      </c>
      <c r="CR134" s="17">
        <f t="shared" si="111"/>
        <v>219488.64605623978</v>
      </c>
      <c r="CS134" s="17">
        <f>IF(MOD(BU134,12)=0,CQ134*'1 - Input'!$B$23,0)</f>
        <v>0</v>
      </c>
      <c r="CT134" s="17">
        <f t="shared" si="112"/>
        <v>383435.07993181085</v>
      </c>
      <c r="CU134" s="17">
        <f>IF(MOD(BU134,12)=0,CR134*(1-'1 - Input'!$B$23),CR134)</f>
        <v>219488.64605623978</v>
      </c>
      <c r="CV134" s="17">
        <f>IF('1 - Input'!$B$17=1,MIN(CF134,BX134)+CN134,CF134)</f>
        <v>3101.4513026530553</v>
      </c>
      <c r="CW134" s="17">
        <f t="shared" si="132"/>
        <v>262580.94071040506</v>
      </c>
      <c r="CX134" s="17">
        <f t="shared" si="133"/>
        <v>0</v>
      </c>
      <c r="CY134" s="17">
        <f t="shared" si="134"/>
        <v>161.12056772255588</v>
      </c>
      <c r="CZ134" s="17">
        <f t="shared" si="135"/>
        <v>0</v>
      </c>
      <c r="DA134" s="17">
        <f t="shared" si="136"/>
        <v>6156.6984627000584</v>
      </c>
      <c r="DB134" s="17">
        <f t="shared" si="137"/>
        <v>0</v>
      </c>
      <c r="DC134" s="15">
        <f t="shared" si="113"/>
        <v>0</v>
      </c>
    </row>
    <row r="135" spans="1:107">
      <c r="A135" s="14">
        <v>92</v>
      </c>
      <c r="B135" s="15">
        <f t="shared" si="69"/>
        <v>8</v>
      </c>
      <c r="C135" s="16">
        <f>(1+INDEX('1 - Input'!$B$34:$E$63,B135,'1 - Input'!$B$16))^(1/12)-1</f>
        <v>4.1219243192651689E-3</v>
      </c>
      <c r="D135" s="17">
        <f>'1 - Input'!$B$7*(1+'1 - Input'!$B$12)^(B135-1)</f>
        <v>3101.4513026530553</v>
      </c>
      <c r="E135" s="17">
        <f t="shared" si="114"/>
        <v>296993.20543690934</v>
      </c>
      <c r="F135" s="17">
        <f t="shared" si="115"/>
        <v>405230.97947475244</v>
      </c>
      <c r="G135" s="17">
        <f t="shared" si="70"/>
        <v>298217.38895305624</v>
      </c>
      <c r="H135" s="17">
        <f>IF(G135&gt;0,'1 - Input'!$B$8/12*G135,0)</f>
        <v>2236.6304171479219</v>
      </c>
      <c r="I135" s="17">
        <f t="shared" si="71"/>
        <v>295980.7585359083</v>
      </c>
      <c r="J135" s="17">
        <f t="shared" si="72"/>
        <v>0</v>
      </c>
      <c r="K135" s="17">
        <f>'1 - Input'!$B$22*(H135-J135)</f>
        <v>581.52390845845969</v>
      </c>
      <c r="L135" s="17">
        <f t="shared" si="73"/>
        <v>1655.1065086894623</v>
      </c>
      <c r="M135" s="17">
        <f t="shared" si="74"/>
        <v>405230.97947475244</v>
      </c>
      <c r="N135" s="17">
        <f>IF('1 - Input'!$B$17=1,MAX(0,L135-D135),0)</f>
        <v>0</v>
      </c>
      <c r="O135" s="17">
        <f>IF('1 - Input'!$B$17=1,MAX(0,D135-L135),0)</f>
        <v>1446.344793963593</v>
      </c>
      <c r="P135" s="17">
        <f t="shared" si="75"/>
        <v>0</v>
      </c>
      <c r="Q135" s="17">
        <f>IF(AND(O135&gt;0,I135&gt;0),O135/(1-'1 - Input'!$B$22*P135),0)</f>
        <v>1446.344793963593</v>
      </c>
      <c r="R135" s="17">
        <f t="shared" si="76"/>
        <v>1446.344793963593</v>
      </c>
      <c r="S135" s="17">
        <f>'1 - Input'!$B$22*P135*R135</f>
        <v>0</v>
      </c>
      <c r="T135" s="17">
        <f t="shared" si="77"/>
        <v>1446.344793963593</v>
      </c>
      <c r="U135" s="17">
        <f t="shared" si="78"/>
        <v>0</v>
      </c>
      <c r="V135" s="17">
        <f t="shared" si="79"/>
        <v>533.86405614978321</v>
      </c>
      <c r="W135" s="17">
        <f t="shared" si="80"/>
        <v>294534.41374194471</v>
      </c>
      <c r="X135" s="17">
        <f t="shared" si="81"/>
        <v>403250.77062463906</v>
      </c>
      <c r="Y135" s="17">
        <f>IF(MOD(A135,12)=0,W135*'1 - Input'!$B$23,0)</f>
        <v>0</v>
      </c>
      <c r="Z135" s="17">
        <f t="shared" si="82"/>
        <v>294534.41374194471</v>
      </c>
      <c r="AA135" s="17">
        <f>IF(MOD(A135,12)=0,X135*(1-'1 - Input'!$B$23),X135)</f>
        <v>403250.77062463906</v>
      </c>
      <c r="AB135" s="17">
        <f>IF('1 - Input'!$B$17=1,MIN(L135,D135)+T135,L135)</f>
        <v>3101.4513026530553</v>
      </c>
      <c r="AC135" s="17">
        <f t="shared" si="116"/>
        <v>265682.39201305812</v>
      </c>
      <c r="AD135" s="17">
        <f t="shared" si="117"/>
        <v>71693.209862765565</v>
      </c>
      <c r="AE135" s="17">
        <f t="shared" si="118"/>
        <v>0</v>
      </c>
      <c r="AF135" s="17">
        <f t="shared" si="119"/>
        <v>15167.977653267444</v>
      </c>
      <c r="AG135" s="17">
        <f t="shared" si="120"/>
        <v>5513.5224467521239</v>
      </c>
      <c r="AH135" s="17">
        <f t="shared" si="121"/>
        <v>0</v>
      </c>
      <c r="AI135" s="15">
        <f t="shared" si="83"/>
        <v>0</v>
      </c>
      <c r="AK135" s="14">
        <v>92</v>
      </c>
      <c r="AL135" s="15">
        <f t="shared" si="84"/>
        <v>8</v>
      </c>
      <c r="AM135" s="16">
        <f>(1+INDEX('1 - Input'!$B$34:$E$63,AL135,'1 - Input'!$B$16))^(1/12)-1</f>
        <v>4.1219243192651689E-3</v>
      </c>
      <c r="AN135" s="17">
        <f>'1 - Input'!$B$7*(1+'1 - Input'!$B$12)^(AL135-1)</f>
        <v>3101.4513026530553</v>
      </c>
      <c r="AO135" s="17">
        <f t="shared" si="122"/>
        <v>296993.20543690934</v>
      </c>
      <c r="AP135" s="17">
        <f t="shared" si="123"/>
        <v>405230.97947475244</v>
      </c>
      <c r="AQ135" s="17">
        <f t="shared" si="85"/>
        <v>298217.38895305624</v>
      </c>
      <c r="AR135" s="17">
        <f>IF(AQ135&gt;0,'1 - Input'!$B$8/12*AQ135,0)</f>
        <v>2236.6304171479219</v>
      </c>
      <c r="AS135" s="17">
        <f t="shared" si="86"/>
        <v>295980.7585359083</v>
      </c>
      <c r="AT135" s="17">
        <f t="shared" si="87"/>
        <v>0</v>
      </c>
      <c r="AU135" s="17">
        <f>'1 - Input'!$B$22*(AR135-AT135)</f>
        <v>581.52390845845969</v>
      </c>
      <c r="AV135" s="17">
        <f t="shared" si="88"/>
        <v>1655.1065086894623</v>
      </c>
      <c r="AW135" s="17">
        <f t="shared" si="89"/>
        <v>405230.97947475244</v>
      </c>
      <c r="AX135" s="17">
        <f>IF('1 - Input'!$B$17=1,MAX(0,AV135-AN135),0)</f>
        <v>0</v>
      </c>
      <c r="AY135" s="17">
        <f>IF('1 - Input'!$B$17=1,MAX(0,AN135-AV135),0)</f>
        <v>1446.344793963593</v>
      </c>
      <c r="AZ135" s="17">
        <f t="shared" si="90"/>
        <v>0</v>
      </c>
      <c r="BA135" s="17">
        <f>IF(AND(AY135&gt;0,AS135&gt;0),AY135/(1-'1 - Input'!$B$22*AZ135),0)</f>
        <v>1446.344793963593</v>
      </c>
      <c r="BB135" s="17">
        <f t="shared" si="91"/>
        <v>1446.344793963593</v>
      </c>
      <c r="BC135" s="17">
        <f>'1 - Input'!$B$22*AZ135*BB135</f>
        <v>0</v>
      </c>
      <c r="BD135" s="17">
        <f t="shared" si="92"/>
        <v>1446.344793963593</v>
      </c>
      <c r="BE135" s="17">
        <f t="shared" si="93"/>
        <v>0</v>
      </c>
      <c r="BF135" s="17">
        <f t="shared" si="94"/>
        <v>533.86405614978321</v>
      </c>
      <c r="BG135" s="17">
        <f t="shared" si="95"/>
        <v>294534.41374194471</v>
      </c>
      <c r="BH135" s="17">
        <f t="shared" si="96"/>
        <v>403250.77062463906</v>
      </c>
      <c r="BI135" s="17">
        <f>IF(MOD(AK135,12)=0,BG135*'1 - Input'!$B$23,0)</f>
        <v>0</v>
      </c>
      <c r="BJ135" s="17">
        <f t="shared" si="97"/>
        <v>294534.41374194471</v>
      </c>
      <c r="BK135" s="17">
        <f>IF(MOD(AK135,12)=0,BH135*(1-'1 - Input'!$B$23),BH135)</f>
        <v>403250.77062463906</v>
      </c>
      <c r="BL135" s="17">
        <f>IF('1 - Input'!$B$17=1,MIN(AV135,AN135)+BD135,AV135)</f>
        <v>3101.4513026530553</v>
      </c>
      <c r="BM135" s="17">
        <f t="shared" si="124"/>
        <v>265682.39201305812</v>
      </c>
      <c r="BN135" s="17">
        <f t="shared" si="125"/>
        <v>71693.209862765565</v>
      </c>
      <c r="BO135" s="17">
        <f t="shared" si="126"/>
        <v>0</v>
      </c>
      <c r="BP135" s="17">
        <f t="shared" si="127"/>
        <v>15167.977653267444</v>
      </c>
      <c r="BQ135" s="17">
        <f t="shared" si="128"/>
        <v>5513.5224467521239</v>
      </c>
      <c r="BR135" s="17">
        <f t="shared" si="129"/>
        <v>0</v>
      </c>
      <c r="BS135" s="15">
        <f t="shared" si="98"/>
        <v>0</v>
      </c>
      <c r="BU135" s="14">
        <v>92</v>
      </c>
      <c r="BV135" s="15">
        <f t="shared" si="99"/>
        <v>8</v>
      </c>
      <c r="BW135" s="16">
        <f>(1+INDEX('1 - Input'!$B$34:$E$63,BV135,'1 - Input'!$B$16))^(1/12)-1</f>
        <v>4.1219243192651689E-3</v>
      </c>
      <c r="BX135" s="17">
        <f>'1 - Input'!$B$7*(1+'1 - Input'!$B$12)^(BV135-1)</f>
        <v>3101.4513026530553</v>
      </c>
      <c r="BY135" s="17">
        <f t="shared" si="130"/>
        <v>383435.07993181085</v>
      </c>
      <c r="BZ135" s="17">
        <f t="shared" si="131"/>
        <v>219488.64605623978</v>
      </c>
      <c r="CA135" s="17">
        <f t="shared" si="100"/>
        <v>385015.57031264115</v>
      </c>
      <c r="CB135" s="17">
        <f>IF(CA135&gt;0,'1 - Input'!$B$8/12*CA135,0)</f>
        <v>2887.6167773448087</v>
      </c>
      <c r="CC135" s="17">
        <f t="shared" si="101"/>
        <v>382127.95353529637</v>
      </c>
      <c r="CD135" s="17">
        <f t="shared" si="102"/>
        <v>2887.6167773448087</v>
      </c>
      <c r="CE135" s="17">
        <f>'1 - Input'!$B$22*(CB135-CD135)</f>
        <v>0</v>
      </c>
      <c r="CF135" s="17">
        <f t="shared" si="103"/>
        <v>2887.6167773448087</v>
      </c>
      <c r="CG135" s="17">
        <f t="shared" si="104"/>
        <v>216601.02927889497</v>
      </c>
      <c r="CH135" s="17">
        <f>IF('1 - Input'!$B$17=1,MAX(0,CF135-BX135),0)</f>
        <v>0</v>
      </c>
      <c r="CI135" s="17">
        <f>IF('1 - Input'!$B$17=1,MAX(0,BX135-CF135),0)</f>
        <v>213.83452530824661</v>
      </c>
      <c r="CJ135" s="17">
        <f t="shared" si="105"/>
        <v>0.43317146187556266</v>
      </c>
      <c r="CK135" s="17">
        <f>IF(AND(CI135&gt;0,CC135&gt;0),CI135/(1-'1 - Input'!$B$22*CJ135),0)</f>
        <v>240.97413621099298</v>
      </c>
      <c r="CL135" s="17">
        <f t="shared" si="106"/>
        <v>240.97413621099298</v>
      </c>
      <c r="CM135" s="17">
        <f>'1 - Input'!$B$22*CJ135*CL135</f>
        <v>27.139610902746366</v>
      </c>
      <c r="CN135" s="17">
        <f t="shared" si="107"/>
        <v>213.83452530824661</v>
      </c>
      <c r="CO135" s="17">
        <f t="shared" si="108"/>
        <v>0</v>
      </c>
      <c r="CP135" s="17">
        <f t="shared" si="109"/>
        <v>0</v>
      </c>
      <c r="CQ135" s="17">
        <f t="shared" si="110"/>
        <v>381886.97939908539</v>
      </c>
      <c r="CR135" s="17">
        <f t="shared" si="111"/>
        <v>216464.43826154069</v>
      </c>
      <c r="CS135" s="17">
        <f>IF(MOD(BU135,12)=0,CQ135*'1 - Input'!$B$23,0)</f>
        <v>0</v>
      </c>
      <c r="CT135" s="17">
        <f t="shared" si="112"/>
        <v>381886.97939908539</v>
      </c>
      <c r="CU135" s="17">
        <f>IF(MOD(BU135,12)=0,CR135*(1-'1 - Input'!$B$23),CR135)</f>
        <v>216464.43826154069</v>
      </c>
      <c r="CV135" s="17">
        <f>IF('1 - Input'!$B$17=1,MIN(CF135,BX135)+CN135,CF135)</f>
        <v>3101.4513026530553</v>
      </c>
      <c r="CW135" s="17">
        <f t="shared" si="132"/>
        <v>265682.39201305812</v>
      </c>
      <c r="CX135" s="17">
        <f t="shared" si="133"/>
        <v>0</v>
      </c>
      <c r="CY135" s="17">
        <f t="shared" si="134"/>
        <v>188.26017862530225</v>
      </c>
      <c r="CZ135" s="17">
        <f t="shared" si="135"/>
        <v>0</v>
      </c>
      <c r="DA135" s="17">
        <f t="shared" si="136"/>
        <v>6156.6984627000584</v>
      </c>
      <c r="DB135" s="17">
        <f t="shared" si="137"/>
        <v>0</v>
      </c>
      <c r="DC135" s="15">
        <f t="shared" si="113"/>
        <v>0</v>
      </c>
    </row>
    <row r="136" spans="1:107">
      <c r="A136" s="14">
        <v>93</v>
      </c>
      <c r="B136" s="15">
        <f t="shared" si="69"/>
        <v>8</v>
      </c>
      <c r="C136" s="16">
        <f>(1+INDEX('1 - Input'!$B$34:$E$63,B136,'1 - Input'!$B$16))^(1/12)-1</f>
        <v>4.1219243192651689E-3</v>
      </c>
      <c r="D136" s="17">
        <f>'1 - Input'!$B$7*(1+'1 - Input'!$B$12)^(B136-1)</f>
        <v>3101.4513026530553</v>
      </c>
      <c r="E136" s="17">
        <f t="shared" si="114"/>
        <v>294534.41374194471</v>
      </c>
      <c r="F136" s="17">
        <f t="shared" si="115"/>
        <v>403250.77062463906</v>
      </c>
      <c r="G136" s="17">
        <f t="shared" si="70"/>
        <v>295748.46230480814</v>
      </c>
      <c r="H136" s="17">
        <f>IF(G136&gt;0,'1 - Input'!$B$8/12*G136,0)</f>
        <v>2218.1134672860608</v>
      </c>
      <c r="I136" s="17">
        <f t="shared" si="71"/>
        <v>293530.34883752209</v>
      </c>
      <c r="J136" s="17">
        <f t="shared" si="72"/>
        <v>0</v>
      </c>
      <c r="K136" s="17">
        <f>'1 - Input'!$B$22*(H136-J136)</f>
        <v>576.70950149437579</v>
      </c>
      <c r="L136" s="17">
        <f t="shared" si="73"/>
        <v>1641.4039657916851</v>
      </c>
      <c r="M136" s="17">
        <f t="shared" si="74"/>
        <v>403250.77062463906</v>
      </c>
      <c r="N136" s="17">
        <f>IF('1 - Input'!$B$17=1,MAX(0,L136-D136),0)</f>
        <v>0</v>
      </c>
      <c r="O136" s="17">
        <f>IF('1 - Input'!$B$17=1,MAX(0,D136-L136),0)</f>
        <v>1460.0473368613702</v>
      </c>
      <c r="P136" s="17">
        <f t="shared" si="75"/>
        <v>0</v>
      </c>
      <c r="Q136" s="17">
        <f>IF(AND(O136&gt;0,I136&gt;0),O136/(1-'1 - Input'!$B$22*P136),0)</f>
        <v>1460.0473368613702</v>
      </c>
      <c r="R136" s="17">
        <f t="shared" si="76"/>
        <v>1460.0473368613702</v>
      </c>
      <c r="S136" s="17">
        <f>'1 - Input'!$B$22*P136*R136</f>
        <v>0</v>
      </c>
      <c r="T136" s="17">
        <f t="shared" si="77"/>
        <v>1460.0473368613702</v>
      </c>
      <c r="U136" s="17">
        <f t="shared" si="78"/>
        <v>0</v>
      </c>
      <c r="V136" s="17">
        <f t="shared" si="79"/>
        <v>545.75961315080326</v>
      </c>
      <c r="W136" s="17">
        <f t="shared" si="80"/>
        <v>292070.30150066072</v>
      </c>
      <c r="X136" s="17">
        <f t="shared" si="81"/>
        <v>401244.9636746269</v>
      </c>
      <c r="Y136" s="17">
        <f>IF(MOD(A136,12)=0,W136*'1 - Input'!$B$23,0)</f>
        <v>0</v>
      </c>
      <c r="Z136" s="17">
        <f t="shared" si="82"/>
        <v>292070.30150066072</v>
      </c>
      <c r="AA136" s="17">
        <f>IF(MOD(A136,12)=0,X136*(1-'1 - Input'!$B$23),X136)</f>
        <v>401244.9636746269</v>
      </c>
      <c r="AB136" s="17">
        <f>IF('1 - Input'!$B$17=1,MIN(L136,D136)+T136,L136)</f>
        <v>3101.4513026530553</v>
      </c>
      <c r="AC136" s="17">
        <f t="shared" si="116"/>
        <v>268783.84331571119</v>
      </c>
      <c r="AD136" s="17">
        <f t="shared" si="117"/>
        <v>72269.919364259942</v>
      </c>
      <c r="AE136" s="17">
        <f t="shared" si="118"/>
        <v>0</v>
      </c>
      <c r="AF136" s="17">
        <f t="shared" si="119"/>
        <v>15713.737266418248</v>
      </c>
      <c r="AG136" s="17">
        <f t="shared" si="120"/>
        <v>5513.5224467521239</v>
      </c>
      <c r="AH136" s="17">
        <f t="shared" si="121"/>
        <v>0</v>
      </c>
      <c r="AI136" s="15">
        <f t="shared" si="83"/>
        <v>0</v>
      </c>
      <c r="AK136" s="14">
        <v>93</v>
      </c>
      <c r="AL136" s="15">
        <f t="shared" si="84"/>
        <v>8</v>
      </c>
      <c r="AM136" s="16">
        <f>(1+INDEX('1 - Input'!$B$34:$E$63,AL136,'1 - Input'!$B$16))^(1/12)-1</f>
        <v>4.1219243192651689E-3</v>
      </c>
      <c r="AN136" s="17">
        <f>'1 - Input'!$B$7*(1+'1 - Input'!$B$12)^(AL136-1)</f>
        <v>3101.4513026530553</v>
      </c>
      <c r="AO136" s="17">
        <f t="shared" si="122"/>
        <v>294534.41374194471</v>
      </c>
      <c r="AP136" s="17">
        <f t="shared" si="123"/>
        <v>403250.77062463906</v>
      </c>
      <c r="AQ136" s="17">
        <f t="shared" si="85"/>
        <v>295748.46230480814</v>
      </c>
      <c r="AR136" s="17">
        <f>IF(AQ136&gt;0,'1 - Input'!$B$8/12*AQ136,0)</f>
        <v>2218.1134672860608</v>
      </c>
      <c r="AS136" s="17">
        <f t="shared" si="86"/>
        <v>293530.34883752209</v>
      </c>
      <c r="AT136" s="17">
        <f t="shared" si="87"/>
        <v>0</v>
      </c>
      <c r="AU136" s="17">
        <f>'1 - Input'!$B$22*(AR136-AT136)</f>
        <v>576.70950149437579</v>
      </c>
      <c r="AV136" s="17">
        <f t="shared" si="88"/>
        <v>1641.4039657916851</v>
      </c>
      <c r="AW136" s="17">
        <f t="shared" si="89"/>
        <v>403250.77062463906</v>
      </c>
      <c r="AX136" s="17">
        <f>IF('1 - Input'!$B$17=1,MAX(0,AV136-AN136),0)</f>
        <v>0</v>
      </c>
      <c r="AY136" s="17">
        <f>IF('1 - Input'!$B$17=1,MAX(0,AN136-AV136),0)</f>
        <v>1460.0473368613702</v>
      </c>
      <c r="AZ136" s="17">
        <f t="shared" si="90"/>
        <v>0</v>
      </c>
      <c r="BA136" s="17">
        <f>IF(AND(AY136&gt;0,AS136&gt;0),AY136/(1-'1 - Input'!$B$22*AZ136),0)</f>
        <v>1460.0473368613702</v>
      </c>
      <c r="BB136" s="17">
        <f t="shared" si="91"/>
        <v>1460.0473368613702</v>
      </c>
      <c r="BC136" s="17">
        <f>'1 - Input'!$B$22*AZ136*BB136</f>
        <v>0</v>
      </c>
      <c r="BD136" s="17">
        <f t="shared" si="92"/>
        <v>1460.0473368613702</v>
      </c>
      <c r="BE136" s="17">
        <f t="shared" si="93"/>
        <v>0</v>
      </c>
      <c r="BF136" s="17">
        <f t="shared" si="94"/>
        <v>545.75961315080326</v>
      </c>
      <c r="BG136" s="17">
        <f t="shared" si="95"/>
        <v>292070.30150066072</v>
      </c>
      <c r="BH136" s="17">
        <f t="shared" si="96"/>
        <v>401244.9636746269</v>
      </c>
      <c r="BI136" s="17">
        <f>IF(MOD(AK136,12)=0,BG136*'1 - Input'!$B$23,0)</f>
        <v>0</v>
      </c>
      <c r="BJ136" s="17">
        <f t="shared" si="97"/>
        <v>292070.30150066072</v>
      </c>
      <c r="BK136" s="17">
        <f>IF(MOD(AK136,12)=0,BH136*(1-'1 - Input'!$B$23),BH136)</f>
        <v>401244.9636746269</v>
      </c>
      <c r="BL136" s="17">
        <f>IF('1 - Input'!$B$17=1,MIN(AV136,AN136)+BD136,AV136)</f>
        <v>3101.4513026530553</v>
      </c>
      <c r="BM136" s="17">
        <f t="shared" si="124"/>
        <v>268783.84331571119</v>
      </c>
      <c r="BN136" s="17">
        <f t="shared" si="125"/>
        <v>72269.919364259942</v>
      </c>
      <c r="BO136" s="17">
        <f t="shared" si="126"/>
        <v>0</v>
      </c>
      <c r="BP136" s="17">
        <f t="shared" si="127"/>
        <v>15713.737266418248</v>
      </c>
      <c r="BQ136" s="17">
        <f t="shared" si="128"/>
        <v>5513.5224467521239</v>
      </c>
      <c r="BR136" s="17">
        <f t="shared" si="129"/>
        <v>0</v>
      </c>
      <c r="BS136" s="15">
        <f t="shared" si="98"/>
        <v>0</v>
      </c>
      <c r="BU136" s="14">
        <v>93</v>
      </c>
      <c r="BV136" s="15">
        <f t="shared" si="99"/>
        <v>8</v>
      </c>
      <c r="BW136" s="16">
        <f>(1+INDEX('1 - Input'!$B$34:$E$63,BV136,'1 - Input'!$B$16))^(1/12)-1</f>
        <v>4.1219243192651689E-3</v>
      </c>
      <c r="BX136" s="17">
        <f>'1 - Input'!$B$7*(1+'1 - Input'!$B$12)^(BV136-1)</f>
        <v>3101.4513026530553</v>
      </c>
      <c r="BY136" s="17">
        <f t="shared" si="130"/>
        <v>381886.97939908539</v>
      </c>
      <c r="BZ136" s="17">
        <f t="shared" si="131"/>
        <v>216464.43826154069</v>
      </c>
      <c r="CA136" s="17">
        <f t="shared" si="100"/>
        <v>383461.08862668119</v>
      </c>
      <c r="CB136" s="17">
        <f>IF(CA136&gt;0,'1 - Input'!$B$8/12*CA136,0)</f>
        <v>2875.9581647001087</v>
      </c>
      <c r="CC136" s="17">
        <f t="shared" si="101"/>
        <v>380585.13046198105</v>
      </c>
      <c r="CD136" s="17">
        <f t="shared" si="102"/>
        <v>2875.9581647001087</v>
      </c>
      <c r="CE136" s="17">
        <f>'1 - Input'!$B$22*(CB136-CD136)</f>
        <v>0</v>
      </c>
      <c r="CF136" s="17">
        <f t="shared" si="103"/>
        <v>2875.9581647001087</v>
      </c>
      <c r="CG136" s="17">
        <f t="shared" si="104"/>
        <v>213588.48009684059</v>
      </c>
      <c r="CH136" s="17">
        <f>IF('1 - Input'!$B$17=1,MAX(0,CF136-BX136),0)</f>
        <v>0</v>
      </c>
      <c r="CI136" s="17">
        <f>IF('1 - Input'!$B$17=1,MAX(0,BX136-CF136),0)</f>
        <v>225.49313795294665</v>
      </c>
      <c r="CJ136" s="17">
        <f t="shared" si="105"/>
        <v>0.4387892142880836</v>
      </c>
      <c r="CK136" s="17">
        <f>IF(AND(CI136&gt;0,CC136&gt;0),CI136/(1-'1 - Input'!$B$22*CJ136),0)</f>
        <v>254.53140286430994</v>
      </c>
      <c r="CL136" s="17">
        <f t="shared" si="106"/>
        <v>254.53140286430994</v>
      </c>
      <c r="CM136" s="17">
        <f>'1 - Input'!$B$22*CJ136*CL136</f>
        <v>29.038264911363299</v>
      </c>
      <c r="CN136" s="17">
        <f t="shared" si="107"/>
        <v>225.49313795294665</v>
      </c>
      <c r="CO136" s="17">
        <f t="shared" si="108"/>
        <v>0</v>
      </c>
      <c r="CP136" s="17">
        <f t="shared" si="109"/>
        <v>0</v>
      </c>
      <c r="CQ136" s="17">
        <f t="shared" si="110"/>
        <v>380330.59905911674</v>
      </c>
      <c r="CR136" s="17">
        <f t="shared" si="111"/>
        <v>213445.63432825074</v>
      </c>
      <c r="CS136" s="17">
        <f>IF(MOD(BU136,12)=0,CQ136*'1 - Input'!$B$23,0)</f>
        <v>0</v>
      </c>
      <c r="CT136" s="17">
        <f t="shared" si="112"/>
        <v>380330.59905911674</v>
      </c>
      <c r="CU136" s="17">
        <f>IF(MOD(BU136,12)=0,CR136*(1-'1 - Input'!$B$23),CR136)</f>
        <v>213445.63432825074</v>
      </c>
      <c r="CV136" s="17">
        <f>IF('1 - Input'!$B$17=1,MIN(CF136,BX136)+CN136,CF136)</f>
        <v>3101.4513026530553</v>
      </c>
      <c r="CW136" s="17">
        <f t="shared" si="132"/>
        <v>268783.84331571119</v>
      </c>
      <c r="CX136" s="17">
        <f t="shared" si="133"/>
        <v>0</v>
      </c>
      <c r="CY136" s="17">
        <f t="shared" si="134"/>
        <v>217.29844353666556</v>
      </c>
      <c r="CZ136" s="17">
        <f t="shared" si="135"/>
        <v>0</v>
      </c>
      <c r="DA136" s="17">
        <f t="shared" si="136"/>
        <v>6156.6984627000584</v>
      </c>
      <c r="DB136" s="17">
        <f t="shared" si="137"/>
        <v>0</v>
      </c>
      <c r="DC136" s="15">
        <f t="shared" si="113"/>
        <v>0</v>
      </c>
    </row>
    <row r="137" spans="1:107">
      <c r="A137" s="14">
        <v>94</v>
      </c>
      <c r="B137" s="15">
        <f t="shared" si="69"/>
        <v>8</v>
      </c>
      <c r="C137" s="16">
        <f>(1+INDEX('1 - Input'!$B$34:$E$63,B137,'1 - Input'!$B$16))^(1/12)-1</f>
        <v>4.1219243192651689E-3</v>
      </c>
      <c r="D137" s="17">
        <f>'1 - Input'!$B$7*(1+'1 - Input'!$B$12)^(B137-1)</f>
        <v>3101.4513026530553</v>
      </c>
      <c r="E137" s="17">
        <f t="shared" si="114"/>
        <v>292070.30150066072</v>
      </c>
      <c r="F137" s="17">
        <f t="shared" si="115"/>
        <v>401244.9636746269</v>
      </c>
      <c r="G137" s="17">
        <f t="shared" si="70"/>
        <v>293274.19317935139</v>
      </c>
      <c r="H137" s="17">
        <f>IF(G137&gt;0,'1 - Input'!$B$8/12*G137,0)</f>
        <v>2199.5564488451355</v>
      </c>
      <c r="I137" s="17">
        <f t="shared" si="71"/>
        <v>291074.63673050626</v>
      </c>
      <c r="J137" s="17">
        <f t="shared" si="72"/>
        <v>0</v>
      </c>
      <c r="K137" s="17">
        <f>'1 - Input'!$B$22*(H137-J137)</f>
        <v>571.88467669973522</v>
      </c>
      <c r="L137" s="17">
        <f t="shared" si="73"/>
        <v>1627.6717721454002</v>
      </c>
      <c r="M137" s="17">
        <f t="shared" si="74"/>
        <v>401244.9636746269</v>
      </c>
      <c r="N137" s="17">
        <f>IF('1 - Input'!$B$17=1,MAX(0,L137-D137),0)</f>
        <v>0</v>
      </c>
      <c r="O137" s="17">
        <f>IF('1 - Input'!$B$17=1,MAX(0,D137-L137),0)</f>
        <v>1473.7795305076552</v>
      </c>
      <c r="P137" s="17">
        <f t="shared" si="75"/>
        <v>0</v>
      </c>
      <c r="Q137" s="17">
        <f>IF(AND(O137&gt;0,I137&gt;0),O137/(1-'1 - Input'!$B$22*P137),0)</f>
        <v>1473.7795305076552</v>
      </c>
      <c r="R137" s="17">
        <f t="shared" si="76"/>
        <v>1473.7795305076552</v>
      </c>
      <c r="S137" s="17">
        <f>'1 - Input'!$B$22*P137*R137</f>
        <v>0</v>
      </c>
      <c r="T137" s="17">
        <f t="shared" si="77"/>
        <v>1473.7795305076552</v>
      </c>
      <c r="U137" s="17">
        <f t="shared" si="78"/>
        <v>0</v>
      </c>
      <c r="V137" s="17">
        <f t="shared" si="79"/>
        <v>557.81834701698699</v>
      </c>
      <c r="W137" s="17">
        <f t="shared" si="80"/>
        <v>289600.85719999863</v>
      </c>
      <c r="X137" s="17">
        <f t="shared" si="81"/>
        <v>399213.36579710228</v>
      </c>
      <c r="Y137" s="17">
        <f>IF(MOD(A137,12)=0,W137*'1 - Input'!$B$23,0)</f>
        <v>0</v>
      </c>
      <c r="Z137" s="17">
        <f t="shared" si="82"/>
        <v>289600.85719999863</v>
      </c>
      <c r="AA137" s="17">
        <f>IF(MOD(A137,12)=0,X137*(1-'1 - Input'!$B$23),X137)</f>
        <v>399213.36579710228</v>
      </c>
      <c r="AB137" s="17">
        <f>IF('1 - Input'!$B$17=1,MIN(L137,D137)+T137,L137)</f>
        <v>3101.4513026530553</v>
      </c>
      <c r="AC137" s="17">
        <f t="shared" si="116"/>
        <v>271885.29461836425</v>
      </c>
      <c r="AD137" s="17">
        <f t="shared" si="117"/>
        <v>72841.804040959672</v>
      </c>
      <c r="AE137" s="17">
        <f t="shared" si="118"/>
        <v>0</v>
      </c>
      <c r="AF137" s="17">
        <f t="shared" si="119"/>
        <v>16271.555613435234</v>
      </c>
      <c r="AG137" s="17">
        <f t="shared" si="120"/>
        <v>5513.5224467521239</v>
      </c>
      <c r="AH137" s="17">
        <f t="shared" si="121"/>
        <v>0</v>
      </c>
      <c r="AI137" s="15">
        <f t="shared" si="83"/>
        <v>0</v>
      </c>
      <c r="AK137" s="14">
        <v>94</v>
      </c>
      <c r="AL137" s="15">
        <f t="shared" si="84"/>
        <v>8</v>
      </c>
      <c r="AM137" s="16">
        <f>(1+INDEX('1 - Input'!$B$34:$E$63,AL137,'1 - Input'!$B$16))^(1/12)-1</f>
        <v>4.1219243192651689E-3</v>
      </c>
      <c r="AN137" s="17">
        <f>'1 - Input'!$B$7*(1+'1 - Input'!$B$12)^(AL137-1)</f>
        <v>3101.4513026530553</v>
      </c>
      <c r="AO137" s="17">
        <f t="shared" si="122"/>
        <v>292070.30150066072</v>
      </c>
      <c r="AP137" s="17">
        <f t="shared" si="123"/>
        <v>401244.9636746269</v>
      </c>
      <c r="AQ137" s="17">
        <f t="shared" si="85"/>
        <v>293274.19317935139</v>
      </c>
      <c r="AR137" s="17">
        <f>IF(AQ137&gt;0,'1 - Input'!$B$8/12*AQ137,0)</f>
        <v>2199.5564488451355</v>
      </c>
      <c r="AS137" s="17">
        <f t="shared" si="86"/>
        <v>291074.63673050626</v>
      </c>
      <c r="AT137" s="17">
        <f t="shared" si="87"/>
        <v>0</v>
      </c>
      <c r="AU137" s="17">
        <f>'1 - Input'!$B$22*(AR137-AT137)</f>
        <v>571.88467669973522</v>
      </c>
      <c r="AV137" s="17">
        <f t="shared" si="88"/>
        <v>1627.6717721454002</v>
      </c>
      <c r="AW137" s="17">
        <f t="shared" si="89"/>
        <v>401244.9636746269</v>
      </c>
      <c r="AX137" s="17">
        <f>IF('1 - Input'!$B$17=1,MAX(0,AV137-AN137),0)</f>
        <v>0</v>
      </c>
      <c r="AY137" s="17">
        <f>IF('1 - Input'!$B$17=1,MAX(0,AN137-AV137),0)</f>
        <v>1473.7795305076552</v>
      </c>
      <c r="AZ137" s="17">
        <f t="shared" si="90"/>
        <v>0</v>
      </c>
      <c r="BA137" s="17">
        <f>IF(AND(AY137&gt;0,AS137&gt;0),AY137/(1-'1 - Input'!$B$22*AZ137),0)</f>
        <v>1473.7795305076552</v>
      </c>
      <c r="BB137" s="17">
        <f t="shared" si="91"/>
        <v>1473.7795305076552</v>
      </c>
      <c r="BC137" s="17">
        <f>'1 - Input'!$B$22*AZ137*BB137</f>
        <v>0</v>
      </c>
      <c r="BD137" s="17">
        <f t="shared" si="92"/>
        <v>1473.7795305076552</v>
      </c>
      <c r="BE137" s="17">
        <f t="shared" si="93"/>
        <v>0</v>
      </c>
      <c r="BF137" s="17">
        <f t="shared" si="94"/>
        <v>557.81834701698699</v>
      </c>
      <c r="BG137" s="17">
        <f t="shared" si="95"/>
        <v>289600.85719999863</v>
      </c>
      <c r="BH137" s="17">
        <f t="shared" si="96"/>
        <v>399213.36579710228</v>
      </c>
      <c r="BI137" s="17">
        <f>IF(MOD(AK137,12)=0,BG137*'1 - Input'!$B$23,0)</f>
        <v>0</v>
      </c>
      <c r="BJ137" s="17">
        <f t="shared" si="97"/>
        <v>289600.85719999863</v>
      </c>
      <c r="BK137" s="17">
        <f>IF(MOD(AK137,12)=0,BH137*(1-'1 - Input'!$B$23),BH137)</f>
        <v>399213.36579710228</v>
      </c>
      <c r="BL137" s="17">
        <f>IF('1 - Input'!$B$17=1,MIN(AV137,AN137)+BD137,AV137)</f>
        <v>3101.4513026530553</v>
      </c>
      <c r="BM137" s="17">
        <f t="shared" si="124"/>
        <v>271885.29461836425</v>
      </c>
      <c r="BN137" s="17">
        <f t="shared" si="125"/>
        <v>72841.804040959672</v>
      </c>
      <c r="BO137" s="17">
        <f t="shared" si="126"/>
        <v>0</v>
      </c>
      <c r="BP137" s="17">
        <f t="shared" si="127"/>
        <v>16271.555613435234</v>
      </c>
      <c r="BQ137" s="17">
        <f t="shared" si="128"/>
        <v>5513.5224467521239</v>
      </c>
      <c r="BR137" s="17">
        <f t="shared" si="129"/>
        <v>0</v>
      </c>
      <c r="BS137" s="15">
        <f t="shared" si="98"/>
        <v>0</v>
      </c>
      <c r="BU137" s="14">
        <v>94</v>
      </c>
      <c r="BV137" s="15">
        <f t="shared" si="99"/>
        <v>8</v>
      </c>
      <c r="BW137" s="16">
        <f>(1+INDEX('1 - Input'!$B$34:$E$63,BV137,'1 - Input'!$B$16))^(1/12)-1</f>
        <v>4.1219243192651689E-3</v>
      </c>
      <c r="BX137" s="17">
        <f>'1 - Input'!$B$7*(1+'1 - Input'!$B$12)^(BV137-1)</f>
        <v>3101.4513026530553</v>
      </c>
      <c r="BY137" s="17">
        <f t="shared" si="130"/>
        <v>380330.59905911674</v>
      </c>
      <c r="BZ137" s="17">
        <f t="shared" si="131"/>
        <v>213445.63432825074</v>
      </c>
      <c r="CA137" s="17">
        <f t="shared" si="100"/>
        <v>381898.29300473921</v>
      </c>
      <c r="CB137" s="17">
        <f>IF(CA137&gt;0,'1 - Input'!$B$8/12*CA137,0)</f>
        <v>2864.2371975355441</v>
      </c>
      <c r="CC137" s="17">
        <f t="shared" si="101"/>
        <v>379034.05580720369</v>
      </c>
      <c r="CD137" s="17">
        <f t="shared" si="102"/>
        <v>2864.2371975355441</v>
      </c>
      <c r="CE137" s="17">
        <f>'1 - Input'!$B$22*(CB137-CD137)</f>
        <v>0</v>
      </c>
      <c r="CF137" s="17">
        <f t="shared" si="103"/>
        <v>2864.2371975355441</v>
      </c>
      <c r="CG137" s="17">
        <f t="shared" si="104"/>
        <v>210581.3971307152</v>
      </c>
      <c r="CH137" s="17">
        <f>IF('1 - Input'!$B$17=1,MAX(0,CF137-BX137),0)</f>
        <v>0</v>
      </c>
      <c r="CI137" s="17">
        <f>IF('1 - Input'!$B$17=1,MAX(0,BX137-CF137),0)</f>
        <v>237.21410511751128</v>
      </c>
      <c r="CJ137" s="17">
        <f t="shared" si="105"/>
        <v>0.44442618307145532</v>
      </c>
      <c r="CK137" s="17">
        <f>IF(AND(CI137&gt;0,CC137&gt;0),CI137/(1-'1 - Input'!$B$22*CJ137),0)</f>
        <v>268.20546296552874</v>
      </c>
      <c r="CL137" s="17">
        <f t="shared" si="106"/>
        <v>268.20546296552874</v>
      </c>
      <c r="CM137" s="17">
        <f>'1 - Input'!$B$22*CJ137*CL137</f>
        <v>30.991357848017451</v>
      </c>
      <c r="CN137" s="17">
        <f t="shared" si="107"/>
        <v>237.21410511751128</v>
      </c>
      <c r="CO137" s="17">
        <f t="shared" si="108"/>
        <v>0</v>
      </c>
      <c r="CP137" s="17">
        <f t="shared" si="109"/>
        <v>0</v>
      </c>
      <c r="CQ137" s="17">
        <f t="shared" si="110"/>
        <v>378765.85034423816</v>
      </c>
      <c r="CR137" s="17">
        <f t="shared" si="111"/>
        <v>210432.38919793436</v>
      </c>
      <c r="CS137" s="17">
        <f>IF(MOD(BU137,12)=0,CQ137*'1 - Input'!$B$23,0)</f>
        <v>0</v>
      </c>
      <c r="CT137" s="17">
        <f t="shared" si="112"/>
        <v>378765.85034423816</v>
      </c>
      <c r="CU137" s="17">
        <f>IF(MOD(BU137,12)=0,CR137*(1-'1 - Input'!$B$23),CR137)</f>
        <v>210432.38919793436</v>
      </c>
      <c r="CV137" s="17">
        <f>IF('1 - Input'!$B$17=1,MIN(CF137,BX137)+CN137,CF137)</f>
        <v>3101.4513026530553</v>
      </c>
      <c r="CW137" s="17">
        <f t="shared" si="132"/>
        <v>271885.29461836425</v>
      </c>
      <c r="CX137" s="17">
        <f t="shared" si="133"/>
        <v>0</v>
      </c>
      <c r="CY137" s="17">
        <f t="shared" si="134"/>
        <v>248.28980138468302</v>
      </c>
      <c r="CZ137" s="17">
        <f t="shared" si="135"/>
        <v>0</v>
      </c>
      <c r="DA137" s="17">
        <f t="shared" si="136"/>
        <v>6156.6984627000584</v>
      </c>
      <c r="DB137" s="17">
        <f t="shared" si="137"/>
        <v>0</v>
      </c>
      <c r="DC137" s="15">
        <f t="shared" si="113"/>
        <v>0</v>
      </c>
    </row>
    <row r="138" spans="1:107">
      <c r="A138" s="14">
        <v>95</v>
      </c>
      <c r="B138" s="15">
        <f t="shared" si="69"/>
        <v>8</v>
      </c>
      <c r="C138" s="16">
        <f>(1+INDEX('1 - Input'!$B$34:$E$63,B138,'1 - Input'!$B$16))^(1/12)-1</f>
        <v>4.1219243192651689E-3</v>
      </c>
      <c r="D138" s="17">
        <f>'1 - Input'!$B$7*(1+'1 - Input'!$B$12)^(B138-1)</f>
        <v>3101.4513026530553</v>
      </c>
      <c r="E138" s="17">
        <f t="shared" si="114"/>
        <v>289600.85719999863</v>
      </c>
      <c r="F138" s="17">
        <f t="shared" si="115"/>
        <v>399213.36579710228</v>
      </c>
      <c r="G138" s="17">
        <f t="shared" si="70"/>
        <v>290794.57001617132</v>
      </c>
      <c r="H138" s="17">
        <f>IF(G138&gt;0,'1 - Input'!$B$8/12*G138,0)</f>
        <v>2180.9592751212849</v>
      </c>
      <c r="I138" s="17">
        <f t="shared" si="71"/>
        <v>288613.61074105004</v>
      </c>
      <c r="J138" s="17">
        <f t="shared" si="72"/>
        <v>0</v>
      </c>
      <c r="K138" s="17">
        <f>'1 - Input'!$B$22*(H138-J138)</f>
        <v>567.04941153153413</v>
      </c>
      <c r="L138" s="17">
        <f t="shared" si="73"/>
        <v>1613.9098635897508</v>
      </c>
      <c r="M138" s="17">
        <f t="shared" si="74"/>
        <v>399213.36579710228</v>
      </c>
      <c r="N138" s="17">
        <f>IF('1 - Input'!$B$17=1,MAX(0,L138-D138),0)</f>
        <v>0</v>
      </c>
      <c r="O138" s="17">
        <f>IF('1 - Input'!$B$17=1,MAX(0,D138-L138),0)</f>
        <v>1487.5414390633046</v>
      </c>
      <c r="P138" s="17">
        <f t="shared" si="75"/>
        <v>0</v>
      </c>
      <c r="Q138" s="17">
        <f>IF(AND(O138&gt;0,I138&gt;0),O138/(1-'1 - Input'!$B$22*P138),0)</f>
        <v>1487.5414390633046</v>
      </c>
      <c r="R138" s="17">
        <f t="shared" si="76"/>
        <v>1487.5414390633046</v>
      </c>
      <c r="S138" s="17">
        <f>'1 - Input'!$B$22*P138*R138</f>
        <v>0</v>
      </c>
      <c r="T138" s="17">
        <f t="shared" si="77"/>
        <v>1487.5414390633046</v>
      </c>
      <c r="U138" s="17">
        <f t="shared" si="78"/>
        <v>0</v>
      </c>
      <c r="V138" s="17">
        <f t="shared" si="79"/>
        <v>570.04144182147104</v>
      </c>
      <c r="W138" s="17">
        <f t="shared" si="80"/>
        <v>287126.06930198672</v>
      </c>
      <c r="X138" s="17">
        <f t="shared" si="81"/>
        <v>397155.78291621752</v>
      </c>
      <c r="Y138" s="17">
        <f>IF(MOD(A138,12)=0,W138*'1 - Input'!$B$23,0)</f>
        <v>0</v>
      </c>
      <c r="Z138" s="17">
        <f t="shared" si="82"/>
        <v>287126.06930198672</v>
      </c>
      <c r="AA138" s="17">
        <f>IF(MOD(A138,12)=0,X138*(1-'1 - Input'!$B$23),X138)</f>
        <v>397155.78291621752</v>
      </c>
      <c r="AB138" s="17">
        <f>IF('1 - Input'!$B$17=1,MIN(L138,D138)+T138,L138)</f>
        <v>3101.4513026530553</v>
      </c>
      <c r="AC138" s="17">
        <f t="shared" si="116"/>
        <v>274986.74592101731</v>
      </c>
      <c r="AD138" s="17">
        <f t="shared" si="117"/>
        <v>73408.85345249121</v>
      </c>
      <c r="AE138" s="17">
        <f t="shared" si="118"/>
        <v>0</v>
      </c>
      <c r="AF138" s="17">
        <f t="shared" si="119"/>
        <v>16841.597055256705</v>
      </c>
      <c r="AG138" s="17">
        <f t="shared" si="120"/>
        <v>5513.5224467521239</v>
      </c>
      <c r="AH138" s="17">
        <f t="shared" si="121"/>
        <v>0</v>
      </c>
      <c r="AI138" s="15">
        <f t="shared" si="83"/>
        <v>0</v>
      </c>
      <c r="AK138" s="14">
        <v>95</v>
      </c>
      <c r="AL138" s="15">
        <f t="shared" si="84"/>
        <v>8</v>
      </c>
      <c r="AM138" s="16">
        <f>(1+INDEX('1 - Input'!$B$34:$E$63,AL138,'1 - Input'!$B$16))^(1/12)-1</f>
        <v>4.1219243192651689E-3</v>
      </c>
      <c r="AN138" s="17">
        <f>'1 - Input'!$B$7*(1+'1 - Input'!$B$12)^(AL138-1)</f>
        <v>3101.4513026530553</v>
      </c>
      <c r="AO138" s="17">
        <f t="shared" si="122"/>
        <v>289600.85719999863</v>
      </c>
      <c r="AP138" s="17">
        <f t="shared" si="123"/>
        <v>399213.36579710228</v>
      </c>
      <c r="AQ138" s="17">
        <f t="shared" si="85"/>
        <v>290794.57001617132</v>
      </c>
      <c r="AR138" s="17">
        <f>IF(AQ138&gt;0,'1 - Input'!$B$8/12*AQ138,0)</f>
        <v>2180.9592751212849</v>
      </c>
      <c r="AS138" s="17">
        <f t="shared" si="86"/>
        <v>288613.61074105004</v>
      </c>
      <c r="AT138" s="17">
        <f t="shared" si="87"/>
        <v>0</v>
      </c>
      <c r="AU138" s="17">
        <f>'1 - Input'!$B$22*(AR138-AT138)</f>
        <v>567.04941153153413</v>
      </c>
      <c r="AV138" s="17">
        <f t="shared" si="88"/>
        <v>1613.9098635897508</v>
      </c>
      <c r="AW138" s="17">
        <f t="shared" si="89"/>
        <v>399213.36579710228</v>
      </c>
      <c r="AX138" s="17">
        <f>IF('1 - Input'!$B$17=1,MAX(0,AV138-AN138),0)</f>
        <v>0</v>
      </c>
      <c r="AY138" s="17">
        <f>IF('1 - Input'!$B$17=1,MAX(0,AN138-AV138),0)</f>
        <v>1487.5414390633046</v>
      </c>
      <c r="AZ138" s="17">
        <f t="shared" si="90"/>
        <v>0</v>
      </c>
      <c r="BA138" s="17">
        <f>IF(AND(AY138&gt;0,AS138&gt;0),AY138/(1-'1 - Input'!$B$22*AZ138),0)</f>
        <v>1487.5414390633046</v>
      </c>
      <c r="BB138" s="17">
        <f t="shared" si="91"/>
        <v>1487.5414390633046</v>
      </c>
      <c r="BC138" s="17">
        <f>'1 - Input'!$B$22*AZ138*BB138</f>
        <v>0</v>
      </c>
      <c r="BD138" s="17">
        <f t="shared" si="92"/>
        <v>1487.5414390633046</v>
      </c>
      <c r="BE138" s="17">
        <f t="shared" si="93"/>
        <v>0</v>
      </c>
      <c r="BF138" s="17">
        <f t="shared" si="94"/>
        <v>570.04144182147104</v>
      </c>
      <c r="BG138" s="17">
        <f t="shared" si="95"/>
        <v>287126.06930198672</v>
      </c>
      <c r="BH138" s="17">
        <f t="shared" si="96"/>
        <v>397155.78291621752</v>
      </c>
      <c r="BI138" s="17">
        <f>IF(MOD(AK138,12)=0,BG138*'1 - Input'!$B$23,0)</f>
        <v>0</v>
      </c>
      <c r="BJ138" s="17">
        <f t="shared" si="97"/>
        <v>287126.06930198672</v>
      </c>
      <c r="BK138" s="17">
        <f>IF(MOD(AK138,12)=0,BH138*(1-'1 - Input'!$B$23),BH138)</f>
        <v>397155.78291621752</v>
      </c>
      <c r="BL138" s="17">
        <f>IF('1 - Input'!$B$17=1,MIN(AV138,AN138)+BD138,AV138)</f>
        <v>3101.4513026530553</v>
      </c>
      <c r="BM138" s="17">
        <f t="shared" si="124"/>
        <v>274986.74592101731</v>
      </c>
      <c r="BN138" s="17">
        <f t="shared" si="125"/>
        <v>73408.85345249121</v>
      </c>
      <c r="BO138" s="17">
        <f t="shared" si="126"/>
        <v>0</v>
      </c>
      <c r="BP138" s="17">
        <f t="shared" si="127"/>
        <v>16841.597055256705</v>
      </c>
      <c r="BQ138" s="17">
        <f t="shared" si="128"/>
        <v>5513.5224467521239</v>
      </c>
      <c r="BR138" s="17">
        <f t="shared" si="129"/>
        <v>0</v>
      </c>
      <c r="BS138" s="15">
        <f t="shared" si="98"/>
        <v>0</v>
      </c>
      <c r="BU138" s="14">
        <v>95</v>
      </c>
      <c r="BV138" s="15">
        <f t="shared" si="99"/>
        <v>8</v>
      </c>
      <c r="BW138" s="16">
        <f>(1+INDEX('1 - Input'!$B$34:$E$63,BV138,'1 - Input'!$B$16))^(1/12)-1</f>
        <v>4.1219243192651689E-3</v>
      </c>
      <c r="BX138" s="17">
        <f>'1 - Input'!$B$7*(1+'1 - Input'!$B$12)^(BV138-1)</f>
        <v>3101.4513026530553</v>
      </c>
      <c r="BY138" s="17">
        <f t="shared" si="130"/>
        <v>378765.85034423816</v>
      </c>
      <c r="BZ138" s="17">
        <f t="shared" si="131"/>
        <v>210432.38919793436</v>
      </c>
      <c r="CA138" s="17">
        <f t="shared" si="100"/>
        <v>380327.09451407922</v>
      </c>
      <c r="CB138" s="17">
        <f>IF(CA138&gt;0,'1 - Input'!$B$8/12*CA138,0)</f>
        <v>2852.4532088555939</v>
      </c>
      <c r="CC138" s="17">
        <f t="shared" si="101"/>
        <v>377474.64130522363</v>
      </c>
      <c r="CD138" s="17">
        <f t="shared" si="102"/>
        <v>2852.4532088555939</v>
      </c>
      <c r="CE138" s="17">
        <f>'1 - Input'!$B$22*(CB138-CD138)</f>
        <v>0</v>
      </c>
      <c r="CF138" s="17">
        <f t="shared" si="103"/>
        <v>2852.4532088555939</v>
      </c>
      <c r="CG138" s="17">
        <f t="shared" si="104"/>
        <v>207579.93598907877</v>
      </c>
      <c r="CH138" s="17">
        <f>IF('1 - Input'!$B$17=1,MAX(0,CF138-BX138),0)</f>
        <v>0</v>
      </c>
      <c r="CI138" s="17">
        <f>IF('1 - Input'!$B$17=1,MAX(0,BX138-CF138),0)</f>
        <v>248.99809379746148</v>
      </c>
      <c r="CJ138" s="17">
        <f t="shared" si="105"/>
        <v>0.45008243395817693</v>
      </c>
      <c r="CK138" s="17">
        <f>IF(AND(CI138&gt;0,CC138&gt;0),CI138/(1-'1 - Input'!$B$22*CJ138),0)</f>
        <v>281.99789106463709</v>
      </c>
      <c r="CL138" s="17">
        <f t="shared" si="106"/>
        <v>281.99789106463709</v>
      </c>
      <c r="CM138" s="17">
        <f>'1 - Input'!$B$22*CJ138*CL138</f>
        <v>32.999797267175623</v>
      </c>
      <c r="CN138" s="17">
        <f t="shared" si="107"/>
        <v>248.99809379746148</v>
      </c>
      <c r="CO138" s="17">
        <f t="shared" si="108"/>
        <v>0</v>
      </c>
      <c r="CP138" s="17">
        <f t="shared" si="109"/>
        <v>0</v>
      </c>
      <c r="CQ138" s="17">
        <f t="shared" si="110"/>
        <v>377192.64341415901</v>
      </c>
      <c r="CR138" s="17">
        <f t="shared" si="111"/>
        <v>207424.86039519557</v>
      </c>
      <c r="CS138" s="17">
        <f>IF(MOD(BU138,12)=0,CQ138*'1 - Input'!$B$23,0)</f>
        <v>0</v>
      </c>
      <c r="CT138" s="17">
        <f t="shared" si="112"/>
        <v>377192.64341415901</v>
      </c>
      <c r="CU138" s="17">
        <f>IF(MOD(BU138,12)=0,CR138*(1-'1 - Input'!$B$23),CR138)</f>
        <v>207424.86039519557</v>
      </c>
      <c r="CV138" s="17">
        <f>IF('1 - Input'!$B$17=1,MIN(CF138,BX138)+CN138,CF138)</f>
        <v>3101.4513026530553</v>
      </c>
      <c r="CW138" s="17">
        <f t="shared" si="132"/>
        <v>274986.74592101731</v>
      </c>
      <c r="CX138" s="17">
        <f t="shared" si="133"/>
        <v>0</v>
      </c>
      <c r="CY138" s="17">
        <f t="shared" si="134"/>
        <v>281.28959865185863</v>
      </c>
      <c r="CZ138" s="17">
        <f t="shared" si="135"/>
        <v>0</v>
      </c>
      <c r="DA138" s="17">
        <f t="shared" si="136"/>
        <v>6156.6984627000584</v>
      </c>
      <c r="DB138" s="17">
        <f t="shared" si="137"/>
        <v>0</v>
      </c>
      <c r="DC138" s="15">
        <f t="shared" si="113"/>
        <v>0</v>
      </c>
    </row>
    <row r="139" spans="1:107">
      <c r="A139" s="14">
        <v>96</v>
      </c>
      <c r="B139" s="15">
        <f t="shared" si="69"/>
        <v>8</v>
      </c>
      <c r="C139" s="16">
        <f>(1+INDEX('1 - Input'!$B$34:$E$63,B139,'1 - Input'!$B$16))^(1/12)-1</f>
        <v>4.1219243192651689E-3</v>
      </c>
      <c r="D139" s="17">
        <f>'1 - Input'!$B$7*(1+'1 - Input'!$B$12)^(B139-1)</f>
        <v>3101.4513026530553</v>
      </c>
      <c r="E139" s="17">
        <f t="shared" si="114"/>
        <v>287126.06930198672</v>
      </c>
      <c r="F139" s="17">
        <f t="shared" si="115"/>
        <v>397155.78291621752</v>
      </c>
      <c r="G139" s="17">
        <f t="shared" si="70"/>
        <v>288309.58122973761</v>
      </c>
      <c r="H139" s="17">
        <f>IF(G139&gt;0,'1 - Input'!$B$8/12*G139,0)</f>
        <v>2162.3218592230319</v>
      </c>
      <c r="I139" s="17">
        <f t="shared" si="71"/>
        <v>286147.2593705146</v>
      </c>
      <c r="J139" s="17">
        <f t="shared" si="72"/>
        <v>0</v>
      </c>
      <c r="K139" s="17">
        <f>'1 - Input'!$B$22*(H139-J139)</f>
        <v>562.20368339798836</v>
      </c>
      <c r="L139" s="17">
        <f t="shared" si="73"/>
        <v>1600.1181758250436</v>
      </c>
      <c r="M139" s="17">
        <f t="shared" si="74"/>
        <v>397155.78291621752</v>
      </c>
      <c r="N139" s="17">
        <f>IF('1 - Input'!$B$17=1,MAX(0,L139-D139),0)</f>
        <v>0</v>
      </c>
      <c r="O139" s="17">
        <f>IF('1 - Input'!$B$17=1,MAX(0,D139-L139),0)</f>
        <v>1501.3331268280117</v>
      </c>
      <c r="P139" s="17">
        <f t="shared" si="75"/>
        <v>0</v>
      </c>
      <c r="Q139" s="17">
        <f>IF(AND(O139&gt;0,I139&gt;0),O139/(1-'1 - Input'!$B$22*P139),0)</f>
        <v>1501.3331268280117</v>
      </c>
      <c r="R139" s="17">
        <f t="shared" si="76"/>
        <v>1501.3331268280117</v>
      </c>
      <c r="S139" s="17">
        <f>'1 - Input'!$B$22*P139*R139</f>
        <v>0</v>
      </c>
      <c r="T139" s="17">
        <f t="shared" si="77"/>
        <v>1501.3331268280117</v>
      </c>
      <c r="U139" s="17">
        <f t="shared" si="78"/>
        <v>0</v>
      </c>
      <c r="V139" s="17">
        <f t="shared" si="79"/>
        <v>582.43008905995578</v>
      </c>
      <c r="W139" s="17">
        <f t="shared" si="80"/>
        <v>284645.92624368658</v>
      </c>
      <c r="X139" s="17">
        <f t="shared" si="81"/>
        <v>395072.01970032952</v>
      </c>
      <c r="Y139" s="17">
        <f>IF(MOD(A139,12)=0,W139*'1 - Input'!$B$23,0)</f>
        <v>569.29185248737315</v>
      </c>
      <c r="Z139" s="17">
        <f t="shared" si="82"/>
        <v>284076.63439119922</v>
      </c>
      <c r="AA139" s="17">
        <f>IF(MOD(A139,12)=0,X139*(1-'1 - Input'!$B$23),X139)</f>
        <v>394281.87566092884</v>
      </c>
      <c r="AB139" s="17">
        <f>IF('1 - Input'!$B$17=1,MIN(L139,D139)+T139,L139)</f>
        <v>3101.4513026530553</v>
      </c>
      <c r="AC139" s="17">
        <f t="shared" si="116"/>
        <v>278088.19722367037</v>
      </c>
      <c r="AD139" s="17">
        <f t="shared" si="117"/>
        <v>73971.057135889205</v>
      </c>
      <c r="AE139" s="17">
        <f t="shared" si="118"/>
        <v>0</v>
      </c>
      <c r="AF139" s="17">
        <f t="shared" si="119"/>
        <v>17424.02714431666</v>
      </c>
      <c r="AG139" s="17">
        <f t="shared" si="120"/>
        <v>6082.8142992394969</v>
      </c>
      <c r="AH139" s="17">
        <f t="shared" si="121"/>
        <v>0</v>
      </c>
      <c r="AI139" s="15">
        <f t="shared" si="83"/>
        <v>0</v>
      </c>
      <c r="AK139" s="14">
        <v>96</v>
      </c>
      <c r="AL139" s="15">
        <f t="shared" si="84"/>
        <v>8</v>
      </c>
      <c r="AM139" s="16">
        <f>(1+INDEX('1 - Input'!$B$34:$E$63,AL139,'1 - Input'!$B$16))^(1/12)-1</f>
        <v>4.1219243192651689E-3</v>
      </c>
      <c r="AN139" s="17">
        <f>'1 - Input'!$B$7*(1+'1 - Input'!$B$12)^(AL139-1)</f>
        <v>3101.4513026530553</v>
      </c>
      <c r="AO139" s="17">
        <f t="shared" si="122"/>
        <v>287126.06930198672</v>
      </c>
      <c r="AP139" s="17">
        <f t="shared" si="123"/>
        <v>397155.78291621752</v>
      </c>
      <c r="AQ139" s="17">
        <f t="shared" si="85"/>
        <v>288309.58122973761</v>
      </c>
      <c r="AR139" s="17">
        <f>IF(AQ139&gt;0,'1 - Input'!$B$8/12*AQ139,0)</f>
        <v>2162.3218592230319</v>
      </c>
      <c r="AS139" s="17">
        <f t="shared" si="86"/>
        <v>286147.2593705146</v>
      </c>
      <c r="AT139" s="17">
        <f t="shared" si="87"/>
        <v>0</v>
      </c>
      <c r="AU139" s="17">
        <f>'1 - Input'!$B$22*(AR139-AT139)</f>
        <v>562.20368339798836</v>
      </c>
      <c r="AV139" s="17">
        <f t="shared" si="88"/>
        <v>1600.1181758250436</v>
      </c>
      <c r="AW139" s="17">
        <f t="shared" si="89"/>
        <v>397155.78291621752</v>
      </c>
      <c r="AX139" s="17">
        <f>IF('1 - Input'!$B$17=1,MAX(0,AV139-AN139),0)</f>
        <v>0</v>
      </c>
      <c r="AY139" s="17">
        <f>IF('1 - Input'!$B$17=1,MAX(0,AN139-AV139),0)</f>
        <v>1501.3331268280117</v>
      </c>
      <c r="AZ139" s="17">
        <f t="shared" si="90"/>
        <v>0</v>
      </c>
      <c r="BA139" s="17">
        <f>IF(AND(AY139&gt;0,AS139&gt;0),AY139/(1-'1 - Input'!$B$22*AZ139),0)</f>
        <v>1501.3331268280117</v>
      </c>
      <c r="BB139" s="17">
        <f t="shared" si="91"/>
        <v>1501.3331268280117</v>
      </c>
      <c r="BC139" s="17">
        <f>'1 - Input'!$B$22*AZ139*BB139</f>
        <v>0</v>
      </c>
      <c r="BD139" s="17">
        <f t="shared" si="92"/>
        <v>1501.3331268280117</v>
      </c>
      <c r="BE139" s="17">
        <f t="shared" si="93"/>
        <v>0</v>
      </c>
      <c r="BF139" s="17">
        <f t="shared" si="94"/>
        <v>582.43008905995578</v>
      </c>
      <c r="BG139" s="17">
        <f t="shared" si="95"/>
        <v>284645.92624368658</v>
      </c>
      <c r="BH139" s="17">
        <f t="shared" si="96"/>
        <v>395072.01970032952</v>
      </c>
      <c r="BI139" s="17">
        <f>IF(MOD(AK139,12)=0,BG139*'1 - Input'!$B$23,0)</f>
        <v>569.29185248737315</v>
      </c>
      <c r="BJ139" s="17">
        <f t="shared" si="97"/>
        <v>284076.63439119922</v>
      </c>
      <c r="BK139" s="17">
        <f>IF(MOD(AK139,12)=0,BH139*(1-'1 - Input'!$B$23),BH139)</f>
        <v>394281.87566092884</v>
      </c>
      <c r="BL139" s="17">
        <f>IF('1 - Input'!$B$17=1,MIN(AV139,AN139)+BD139,AV139)</f>
        <v>3101.4513026530553</v>
      </c>
      <c r="BM139" s="17">
        <f t="shared" si="124"/>
        <v>278088.19722367037</v>
      </c>
      <c r="BN139" s="17">
        <f t="shared" si="125"/>
        <v>73971.057135889205</v>
      </c>
      <c r="BO139" s="17">
        <f t="shared" si="126"/>
        <v>0</v>
      </c>
      <c r="BP139" s="17">
        <f t="shared" si="127"/>
        <v>17424.02714431666</v>
      </c>
      <c r="BQ139" s="17">
        <f t="shared" si="128"/>
        <v>6082.8142992394969</v>
      </c>
      <c r="BR139" s="17">
        <f t="shared" si="129"/>
        <v>0</v>
      </c>
      <c r="BS139" s="15">
        <f t="shared" si="98"/>
        <v>0</v>
      </c>
      <c r="BU139" s="14">
        <v>96</v>
      </c>
      <c r="BV139" s="15">
        <f t="shared" si="99"/>
        <v>8</v>
      </c>
      <c r="BW139" s="16">
        <f>(1+INDEX('1 - Input'!$B$34:$E$63,BV139,'1 - Input'!$B$16))^(1/12)-1</f>
        <v>4.1219243192651689E-3</v>
      </c>
      <c r="BX139" s="17">
        <f>'1 - Input'!$B$7*(1+'1 - Input'!$B$12)^(BV139-1)</f>
        <v>3101.4513026530553</v>
      </c>
      <c r="BY139" s="17">
        <f t="shared" si="130"/>
        <v>377192.64341415901</v>
      </c>
      <c r="BZ139" s="17">
        <f t="shared" si="131"/>
        <v>207424.86039519557</v>
      </c>
      <c r="CA139" s="17">
        <f t="shared" si="100"/>
        <v>378747.40294409572</v>
      </c>
      <c r="CB139" s="17">
        <f>IF(CA139&gt;0,'1 - Input'!$B$8/12*CA139,0)</f>
        <v>2840.6055220807179</v>
      </c>
      <c r="CC139" s="17">
        <f t="shared" si="101"/>
        <v>375906.79742201499</v>
      </c>
      <c r="CD139" s="17">
        <f t="shared" si="102"/>
        <v>2840.6055220807179</v>
      </c>
      <c r="CE139" s="17">
        <f>'1 - Input'!$B$22*(CB139-CD139)</f>
        <v>0</v>
      </c>
      <c r="CF139" s="17">
        <f t="shared" si="103"/>
        <v>2840.6055220807179</v>
      </c>
      <c r="CG139" s="17">
        <f t="shared" si="104"/>
        <v>204584.25487311484</v>
      </c>
      <c r="CH139" s="17">
        <f>IF('1 - Input'!$B$17=1,MAX(0,CF139-BX139),0)</f>
        <v>0</v>
      </c>
      <c r="CI139" s="17">
        <f>IF('1 - Input'!$B$17=1,MAX(0,BX139-CF139),0)</f>
        <v>260.84578057233739</v>
      </c>
      <c r="CJ139" s="17">
        <f t="shared" si="105"/>
        <v>0.45575803290559658</v>
      </c>
      <c r="CK139" s="17">
        <f>IF(AND(CI139&gt;0,CC139&gt;0),CI139/(1-'1 - Input'!$B$22*CJ139),0)</f>
        <v>295.91028819732622</v>
      </c>
      <c r="CL139" s="17">
        <f t="shared" si="106"/>
        <v>295.91028819732622</v>
      </c>
      <c r="CM139" s="17">
        <f>'1 - Input'!$B$22*CJ139*CL139</f>
        <v>35.064507624988806</v>
      </c>
      <c r="CN139" s="17">
        <f t="shared" si="107"/>
        <v>260.84578057233739</v>
      </c>
      <c r="CO139" s="17">
        <f t="shared" si="108"/>
        <v>0</v>
      </c>
      <c r="CP139" s="17">
        <f t="shared" si="109"/>
        <v>0</v>
      </c>
      <c r="CQ139" s="17">
        <f t="shared" si="110"/>
        <v>375610.88713381765</v>
      </c>
      <c r="CR139" s="17">
        <f t="shared" si="111"/>
        <v>204423.20807578284</v>
      </c>
      <c r="CS139" s="17">
        <f>IF(MOD(BU139,12)=0,CQ139*'1 - Input'!$B$23,0)</f>
        <v>751.22177426763528</v>
      </c>
      <c r="CT139" s="17">
        <f t="shared" si="112"/>
        <v>374859.66535955004</v>
      </c>
      <c r="CU139" s="17">
        <f>IF(MOD(BU139,12)=0,CR139*(1-'1 - Input'!$B$23),CR139)</f>
        <v>204014.36165963128</v>
      </c>
      <c r="CV139" s="17">
        <f>IF('1 - Input'!$B$17=1,MIN(CF139,BX139)+CN139,CF139)</f>
        <v>3101.4513026530553</v>
      </c>
      <c r="CW139" s="17">
        <f t="shared" si="132"/>
        <v>278088.19722367037</v>
      </c>
      <c r="CX139" s="17">
        <f t="shared" si="133"/>
        <v>0</v>
      </c>
      <c r="CY139" s="17">
        <f t="shared" si="134"/>
        <v>316.35410627684746</v>
      </c>
      <c r="CZ139" s="17">
        <f t="shared" si="135"/>
        <v>0</v>
      </c>
      <c r="DA139" s="17">
        <f t="shared" si="136"/>
        <v>6907.9202369676932</v>
      </c>
      <c r="DB139" s="17">
        <f t="shared" si="137"/>
        <v>0</v>
      </c>
      <c r="DC139" s="15">
        <f t="shared" si="113"/>
        <v>0</v>
      </c>
    </row>
    <row r="140" spans="1:107">
      <c r="A140" s="14">
        <v>97</v>
      </c>
      <c r="B140" s="15">
        <f t="shared" si="69"/>
        <v>9</v>
      </c>
      <c r="C140" s="16">
        <f>(1+INDEX('1 - Input'!$B$34:$E$63,B140,'1 - Input'!$B$16))^(1/12)-1</f>
        <v>4.1219243192651689E-3</v>
      </c>
      <c r="D140" s="17">
        <f>'1 - Input'!$B$7*(1+'1 - Input'!$B$12)^(B140-1)</f>
        <v>3163.4803287061168</v>
      </c>
      <c r="E140" s="17">
        <f t="shared" si="114"/>
        <v>284076.63439119922</v>
      </c>
      <c r="F140" s="17">
        <f t="shared" si="115"/>
        <v>394281.87566092884</v>
      </c>
      <c r="G140" s="17">
        <f t="shared" si="70"/>
        <v>285247.57677903131</v>
      </c>
      <c r="H140" s="17">
        <f>IF(G140&gt;0,'1 - Input'!$B$8/12*G140,0)</f>
        <v>2139.3568258427349</v>
      </c>
      <c r="I140" s="17">
        <f t="shared" si="71"/>
        <v>283108.21995318856</v>
      </c>
      <c r="J140" s="17">
        <f t="shared" si="72"/>
        <v>0</v>
      </c>
      <c r="K140" s="17">
        <f>'1 - Input'!$B$22*(H140-J140)</f>
        <v>556.23277471911115</v>
      </c>
      <c r="L140" s="17">
        <f t="shared" si="73"/>
        <v>1583.1240511236238</v>
      </c>
      <c r="M140" s="17">
        <f t="shared" si="74"/>
        <v>394281.87566092884</v>
      </c>
      <c r="N140" s="17">
        <f>IF('1 - Input'!$B$17=1,MAX(0,L140-D140),0)</f>
        <v>0</v>
      </c>
      <c r="O140" s="17">
        <f>IF('1 - Input'!$B$17=1,MAX(0,D140-L140),0)</f>
        <v>1580.356277582493</v>
      </c>
      <c r="P140" s="17">
        <f t="shared" si="75"/>
        <v>0</v>
      </c>
      <c r="Q140" s="17">
        <f>IF(AND(O140&gt;0,I140&gt;0),O140/(1-'1 - Input'!$B$22*P140),0)</f>
        <v>1580.356277582493</v>
      </c>
      <c r="R140" s="17">
        <f t="shared" si="76"/>
        <v>1580.356277582493</v>
      </c>
      <c r="S140" s="17">
        <f>'1 - Input'!$B$22*P140*R140</f>
        <v>0</v>
      </c>
      <c r="T140" s="17">
        <f t="shared" si="77"/>
        <v>1580.356277582493</v>
      </c>
      <c r="U140" s="17">
        <f t="shared" si="78"/>
        <v>0</v>
      </c>
      <c r="V140" s="17">
        <f t="shared" si="79"/>
        <v>620.58948598727659</v>
      </c>
      <c r="W140" s="17">
        <f t="shared" si="80"/>
        <v>281527.86367560609</v>
      </c>
      <c r="X140" s="17">
        <f t="shared" si="81"/>
        <v>392080.92989735905</v>
      </c>
      <c r="Y140" s="17">
        <f>IF(MOD(A140,12)=0,W140*'1 - Input'!$B$23,0)</f>
        <v>0</v>
      </c>
      <c r="Z140" s="17">
        <f t="shared" si="82"/>
        <v>281527.86367560609</v>
      </c>
      <c r="AA140" s="17">
        <f>IF(MOD(A140,12)=0,X140*(1-'1 - Input'!$B$23),X140)</f>
        <v>392080.92989735905</v>
      </c>
      <c r="AB140" s="17">
        <f>IF('1 - Input'!$B$17=1,MIN(L140,D140)+T140,L140)</f>
        <v>3163.4803287061168</v>
      </c>
      <c r="AC140" s="17">
        <f t="shared" si="116"/>
        <v>281251.67755237647</v>
      </c>
      <c r="AD140" s="17">
        <f t="shared" si="117"/>
        <v>74527.28991060832</v>
      </c>
      <c r="AE140" s="17">
        <f t="shared" si="118"/>
        <v>0</v>
      </c>
      <c r="AF140" s="17">
        <f t="shared" si="119"/>
        <v>18044.616630303935</v>
      </c>
      <c r="AG140" s="17">
        <f t="shared" si="120"/>
        <v>6082.8142992394969</v>
      </c>
      <c r="AH140" s="17">
        <f t="shared" si="121"/>
        <v>0</v>
      </c>
      <c r="AI140" s="15">
        <f t="shared" si="83"/>
        <v>0</v>
      </c>
      <c r="AK140" s="14">
        <v>97</v>
      </c>
      <c r="AL140" s="15">
        <f t="shared" si="84"/>
        <v>9</v>
      </c>
      <c r="AM140" s="16">
        <f>(1+INDEX('1 - Input'!$B$34:$E$63,AL140,'1 - Input'!$B$16))^(1/12)-1</f>
        <v>4.1219243192651689E-3</v>
      </c>
      <c r="AN140" s="17">
        <f>'1 - Input'!$B$7*(1+'1 - Input'!$B$12)^(AL140-1)</f>
        <v>3163.4803287061168</v>
      </c>
      <c r="AO140" s="17">
        <f t="shared" si="122"/>
        <v>284076.63439119922</v>
      </c>
      <c r="AP140" s="17">
        <f t="shared" si="123"/>
        <v>394281.87566092884</v>
      </c>
      <c r="AQ140" s="17">
        <f t="shared" si="85"/>
        <v>285247.57677903131</v>
      </c>
      <c r="AR140" s="17">
        <f>IF(AQ140&gt;0,'1 - Input'!$B$8/12*AQ140,0)</f>
        <v>2139.3568258427349</v>
      </c>
      <c r="AS140" s="17">
        <f t="shared" si="86"/>
        <v>283108.21995318856</v>
      </c>
      <c r="AT140" s="17">
        <f t="shared" si="87"/>
        <v>0</v>
      </c>
      <c r="AU140" s="17">
        <f>'1 - Input'!$B$22*(AR140-AT140)</f>
        <v>556.23277471911115</v>
      </c>
      <c r="AV140" s="17">
        <f t="shared" si="88"/>
        <v>1583.1240511236238</v>
      </c>
      <c r="AW140" s="17">
        <f t="shared" si="89"/>
        <v>394281.87566092884</v>
      </c>
      <c r="AX140" s="17">
        <f>IF('1 - Input'!$B$17=1,MAX(0,AV140-AN140),0)</f>
        <v>0</v>
      </c>
      <c r="AY140" s="17">
        <f>IF('1 - Input'!$B$17=1,MAX(0,AN140-AV140),0)</f>
        <v>1580.356277582493</v>
      </c>
      <c r="AZ140" s="17">
        <f t="shared" si="90"/>
        <v>0</v>
      </c>
      <c r="BA140" s="17">
        <f>IF(AND(AY140&gt;0,AS140&gt;0),AY140/(1-'1 - Input'!$B$22*AZ140),0)</f>
        <v>1580.356277582493</v>
      </c>
      <c r="BB140" s="17">
        <f t="shared" si="91"/>
        <v>1580.356277582493</v>
      </c>
      <c r="BC140" s="17">
        <f>'1 - Input'!$B$22*AZ140*BB140</f>
        <v>0</v>
      </c>
      <c r="BD140" s="17">
        <f t="shared" si="92"/>
        <v>1580.356277582493</v>
      </c>
      <c r="BE140" s="17">
        <f t="shared" si="93"/>
        <v>0</v>
      </c>
      <c r="BF140" s="17">
        <f t="shared" si="94"/>
        <v>620.58948598727659</v>
      </c>
      <c r="BG140" s="17">
        <f t="shared" si="95"/>
        <v>281527.86367560609</v>
      </c>
      <c r="BH140" s="17">
        <f t="shared" si="96"/>
        <v>392080.92989735905</v>
      </c>
      <c r="BI140" s="17">
        <f>IF(MOD(AK140,12)=0,BG140*'1 - Input'!$B$23,0)</f>
        <v>0</v>
      </c>
      <c r="BJ140" s="17">
        <f t="shared" si="97"/>
        <v>281527.86367560609</v>
      </c>
      <c r="BK140" s="17">
        <f>IF(MOD(AK140,12)=0,BH140*(1-'1 - Input'!$B$23),BH140)</f>
        <v>392080.92989735905</v>
      </c>
      <c r="BL140" s="17">
        <f>IF('1 - Input'!$B$17=1,MIN(AV140,AN140)+BD140,AV140)</f>
        <v>3163.4803287061168</v>
      </c>
      <c r="BM140" s="17">
        <f t="shared" si="124"/>
        <v>281251.67755237647</v>
      </c>
      <c r="BN140" s="17">
        <f t="shared" si="125"/>
        <v>74527.28991060832</v>
      </c>
      <c r="BO140" s="17">
        <f t="shared" si="126"/>
        <v>0</v>
      </c>
      <c r="BP140" s="17">
        <f t="shared" si="127"/>
        <v>18044.616630303935</v>
      </c>
      <c r="BQ140" s="17">
        <f t="shared" si="128"/>
        <v>6082.8142992394969</v>
      </c>
      <c r="BR140" s="17">
        <f t="shared" si="129"/>
        <v>0</v>
      </c>
      <c r="BS140" s="15">
        <f t="shared" si="98"/>
        <v>0</v>
      </c>
      <c r="BU140" s="14">
        <v>97</v>
      </c>
      <c r="BV140" s="15">
        <f t="shared" si="99"/>
        <v>9</v>
      </c>
      <c r="BW140" s="16">
        <f>(1+INDEX('1 - Input'!$B$34:$E$63,BV140,'1 - Input'!$B$16))^(1/12)-1</f>
        <v>4.1219243192651689E-3</v>
      </c>
      <c r="BX140" s="17">
        <f>'1 - Input'!$B$7*(1+'1 - Input'!$B$12)^(BV140-1)</f>
        <v>3163.4803287061168</v>
      </c>
      <c r="BY140" s="17">
        <f t="shared" si="130"/>
        <v>374859.66535955004</v>
      </c>
      <c r="BZ140" s="17">
        <f t="shared" si="131"/>
        <v>204014.36165963128</v>
      </c>
      <c r="CA140" s="17">
        <f t="shared" si="100"/>
        <v>376404.80853050714</v>
      </c>
      <c r="CB140" s="17">
        <f>IF(CA140&gt;0,'1 - Input'!$B$8/12*CA140,0)</f>
        <v>2823.0360639788037</v>
      </c>
      <c r="CC140" s="17">
        <f t="shared" si="101"/>
        <v>373581.77246652835</v>
      </c>
      <c r="CD140" s="17">
        <f t="shared" si="102"/>
        <v>2823.0360639788037</v>
      </c>
      <c r="CE140" s="17">
        <f>'1 - Input'!$B$22*(CB140-CD140)</f>
        <v>0</v>
      </c>
      <c r="CF140" s="17">
        <f t="shared" si="103"/>
        <v>2823.0360639788037</v>
      </c>
      <c r="CG140" s="17">
        <f t="shared" si="104"/>
        <v>201191.32559565248</v>
      </c>
      <c r="CH140" s="17">
        <f>IF('1 - Input'!$B$17=1,MAX(0,CF140-BX140),0)</f>
        <v>0</v>
      </c>
      <c r="CI140" s="17">
        <f>IF('1 - Input'!$B$17=1,MAX(0,BX140-CF140),0)</f>
        <v>340.44426472731311</v>
      </c>
      <c r="CJ140" s="17">
        <f t="shared" si="105"/>
        <v>0.46145304609667881</v>
      </c>
      <c r="CK140" s="17">
        <f>IF(AND(CI140&gt;0,CC140&gt;0),CI140/(1-'1 - Input'!$B$22*CJ140),0)</f>
        <v>386.85871973081277</v>
      </c>
      <c r="CL140" s="17">
        <f t="shared" si="106"/>
        <v>386.85871973081277</v>
      </c>
      <c r="CM140" s="17">
        <f>'1 - Input'!$B$22*CJ140*CL140</f>
        <v>46.414455003499675</v>
      </c>
      <c r="CN140" s="17">
        <f t="shared" si="107"/>
        <v>340.44426472731311</v>
      </c>
      <c r="CO140" s="17">
        <f t="shared" si="108"/>
        <v>0</v>
      </c>
      <c r="CP140" s="17">
        <f t="shared" si="109"/>
        <v>0</v>
      </c>
      <c r="CQ140" s="17">
        <f t="shared" si="110"/>
        <v>373194.91374679754</v>
      </c>
      <c r="CR140" s="17">
        <f t="shared" si="111"/>
        <v>200982.98401055051</v>
      </c>
      <c r="CS140" s="17">
        <f>IF(MOD(BU140,12)=0,CQ140*'1 - Input'!$B$23,0)</f>
        <v>0</v>
      </c>
      <c r="CT140" s="17">
        <f t="shared" si="112"/>
        <v>373194.91374679754</v>
      </c>
      <c r="CU140" s="17">
        <f>IF(MOD(BU140,12)=0,CR140*(1-'1 - Input'!$B$23),CR140)</f>
        <v>200982.98401055051</v>
      </c>
      <c r="CV140" s="17">
        <f>IF('1 - Input'!$B$17=1,MIN(CF140,BX140)+CN140,CF140)</f>
        <v>3163.4803287061168</v>
      </c>
      <c r="CW140" s="17">
        <f t="shared" si="132"/>
        <v>281251.67755237647</v>
      </c>
      <c r="CX140" s="17">
        <f t="shared" si="133"/>
        <v>0</v>
      </c>
      <c r="CY140" s="17">
        <f t="shared" si="134"/>
        <v>362.76856128034711</v>
      </c>
      <c r="CZ140" s="17">
        <f t="shared" si="135"/>
        <v>0</v>
      </c>
      <c r="DA140" s="17">
        <f t="shared" si="136"/>
        <v>6907.9202369676932</v>
      </c>
      <c r="DB140" s="17">
        <f t="shared" si="137"/>
        <v>0</v>
      </c>
      <c r="DC140" s="15">
        <f t="shared" si="113"/>
        <v>0</v>
      </c>
    </row>
    <row r="141" spans="1:107">
      <c r="A141" s="14">
        <v>98</v>
      </c>
      <c r="B141" s="15">
        <f t="shared" si="69"/>
        <v>9</v>
      </c>
      <c r="C141" s="16">
        <f>(1+INDEX('1 - Input'!$B$34:$E$63,B141,'1 - Input'!$B$16))^(1/12)-1</f>
        <v>4.1219243192651689E-3</v>
      </c>
      <c r="D141" s="17">
        <f>'1 - Input'!$B$7*(1+'1 - Input'!$B$12)^(B141-1)</f>
        <v>3163.4803287061168</v>
      </c>
      <c r="E141" s="17">
        <f t="shared" si="114"/>
        <v>281527.86367560609</v>
      </c>
      <c r="F141" s="17">
        <f t="shared" si="115"/>
        <v>392080.92989735905</v>
      </c>
      <c r="G141" s="17">
        <f t="shared" si="70"/>
        <v>282688.30022344133</v>
      </c>
      <c r="H141" s="17">
        <f>IF(G141&gt;0,'1 - Input'!$B$8/12*G141,0)</f>
        <v>2120.1622516758098</v>
      </c>
      <c r="I141" s="17">
        <f t="shared" si="71"/>
        <v>280568.13797176554</v>
      </c>
      <c r="J141" s="17">
        <f t="shared" si="72"/>
        <v>0</v>
      </c>
      <c r="K141" s="17">
        <f>'1 - Input'!$B$22*(H141-J141)</f>
        <v>551.24218543571055</v>
      </c>
      <c r="L141" s="17">
        <f t="shared" si="73"/>
        <v>1568.9200662400992</v>
      </c>
      <c r="M141" s="17">
        <f t="shared" si="74"/>
        <v>392080.92989735905</v>
      </c>
      <c r="N141" s="17">
        <f>IF('1 - Input'!$B$17=1,MAX(0,L141-D141),0)</f>
        <v>0</v>
      </c>
      <c r="O141" s="17">
        <f>IF('1 - Input'!$B$17=1,MAX(0,D141-L141),0)</f>
        <v>1594.5602624660175</v>
      </c>
      <c r="P141" s="17">
        <f t="shared" si="75"/>
        <v>0</v>
      </c>
      <c r="Q141" s="17">
        <f>IF(AND(O141&gt;0,I141&gt;0),O141/(1-'1 - Input'!$B$22*P141),0)</f>
        <v>1594.5602624660175</v>
      </c>
      <c r="R141" s="17">
        <f t="shared" si="76"/>
        <v>1594.5602624660175</v>
      </c>
      <c r="S141" s="17">
        <f>'1 - Input'!$B$22*P141*R141</f>
        <v>0</v>
      </c>
      <c r="T141" s="17">
        <f t="shared" si="77"/>
        <v>1594.5602624660175</v>
      </c>
      <c r="U141" s="17">
        <f t="shared" si="78"/>
        <v>0</v>
      </c>
      <c r="V141" s="17">
        <f t="shared" si="79"/>
        <v>633.76357717099984</v>
      </c>
      <c r="W141" s="17">
        <f t="shared" si="80"/>
        <v>278973.57770929951</v>
      </c>
      <c r="X141" s="17">
        <f t="shared" si="81"/>
        <v>389852.60605772201</v>
      </c>
      <c r="Y141" s="17">
        <f>IF(MOD(A141,12)=0,W141*'1 - Input'!$B$23,0)</f>
        <v>0</v>
      </c>
      <c r="Z141" s="17">
        <f t="shared" si="82"/>
        <v>278973.57770929951</v>
      </c>
      <c r="AA141" s="17">
        <f>IF(MOD(A141,12)=0,X141*(1-'1 - Input'!$B$23),X141)</f>
        <v>389852.60605772201</v>
      </c>
      <c r="AB141" s="17">
        <f>IF('1 - Input'!$B$17=1,MIN(L141,D141)+T141,L141)</f>
        <v>3163.4803287061168</v>
      </c>
      <c r="AC141" s="17">
        <f t="shared" si="116"/>
        <v>284415.15788108256</v>
      </c>
      <c r="AD141" s="17">
        <f t="shared" si="117"/>
        <v>75078.532096044029</v>
      </c>
      <c r="AE141" s="17">
        <f t="shared" si="118"/>
        <v>0</v>
      </c>
      <c r="AF141" s="17">
        <f t="shared" si="119"/>
        <v>18678.380207474936</v>
      </c>
      <c r="AG141" s="17">
        <f t="shared" si="120"/>
        <v>6082.8142992394969</v>
      </c>
      <c r="AH141" s="17">
        <f t="shared" si="121"/>
        <v>0</v>
      </c>
      <c r="AI141" s="15">
        <f t="shared" si="83"/>
        <v>0</v>
      </c>
      <c r="AK141" s="14">
        <v>98</v>
      </c>
      <c r="AL141" s="15">
        <f t="shared" si="84"/>
        <v>9</v>
      </c>
      <c r="AM141" s="16">
        <f>(1+INDEX('1 - Input'!$B$34:$E$63,AL141,'1 - Input'!$B$16))^(1/12)-1</f>
        <v>4.1219243192651689E-3</v>
      </c>
      <c r="AN141" s="17">
        <f>'1 - Input'!$B$7*(1+'1 - Input'!$B$12)^(AL141-1)</f>
        <v>3163.4803287061168</v>
      </c>
      <c r="AO141" s="17">
        <f t="shared" si="122"/>
        <v>281527.86367560609</v>
      </c>
      <c r="AP141" s="17">
        <f t="shared" si="123"/>
        <v>392080.92989735905</v>
      </c>
      <c r="AQ141" s="17">
        <f t="shared" si="85"/>
        <v>282688.30022344133</v>
      </c>
      <c r="AR141" s="17">
        <f>IF(AQ141&gt;0,'1 - Input'!$B$8/12*AQ141,0)</f>
        <v>2120.1622516758098</v>
      </c>
      <c r="AS141" s="17">
        <f t="shared" si="86"/>
        <v>280568.13797176554</v>
      </c>
      <c r="AT141" s="17">
        <f t="shared" si="87"/>
        <v>0</v>
      </c>
      <c r="AU141" s="17">
        <f>'1 - Input'!$B$22*(AR141-AT141)</f>
        <v>551.24218543571055</v>
      </c>
      <c r="AV141" s="17">
        <f t="shared" si="88"/>
        <v>1568.9200662400992</v>
      </c>
      <c r="AW141" s="17">
        <f t="shared" si="89"/>
        <v>392080.92989735905</v>
      </c>
      <c r="AX141" s="17">
        <f>IF('1 - Input'!$B$17=1,MAX(0,AV141-AN141),0)</f>
        <v>0</v>
      </c>
      <c r="AY141" s="17">
        <f>IF('1 - Input'!$B$17=1,MAX(0,AN141-AV141),0)</f>
        <v>1594.5602624660175</v>
      </c>
      <c r="AZ141" s="17">
        <f t="shared" si="90"/>
        <v>0</v>
      </c>
      <c r="BA141" s="17">
        <f>IF(AND(AY141&gt;0,AS141&gt;0),AY141/(1-'1 - Input'!$B$22*AZ141),0)</f>
        <v>1594.5602624660175</v>
      </c>
      <c r="BB141" s="17">
        <f t="shared" si="91"/>
        <v>1594.5602624660175</v>
      </c>
      <c r="BC141" s="17">
        <f>'1 - Input'!$B$22*AZ141*BB141</f>
        <v>0</v>
      </c>
      <c r="BD141" s="17">
        <f t="shared" si="92"/>
        <v>1594.5602624660175</v>
      </c>
      <c r="BE141" s="17">
        <f t="shared" si="93"/>
        <v>0</v>
      </c>
      <c r="BF141" s="17">
        <f t="shared" si="94"/>
        <v>633.76357717099984</v>
      </c>
      <c r="BG141" s="17">
        <f t="shared" si="95"/>
        <v>278973.57770929951</v>
      </c>
      <c r="BH141" s="17">
        <f t="shared" si="96"/>
        <v>389852.60605772201</v>
      </c>
      <c r="BI141" s="17">
        <f>IF(MOD(AK141,12)=0,BG141*'1 - Input'!$B$23,0)</f>
        <v>0</v>
      </c>
      <c r="BJ141" s="17">
        <f t="shared" si="97"/>
        <v>278973.57770929951</v>
      </c>
      <c r="BK141" s="17">
        <f>IF(MOD(AK141,12)=0,BH141*(1-'1 - Input'!$B$23),BH141)</f>
        <v>389852.60605772201</v>
      </c>
      <c r="BL141" s="17">
        <f>IF('1 - Input'!$B$17=1,MIN(AV141,AN141)+BD141,AV141)</f>
        <v>3163.4803287061168</v>
      </c>
      <c r="BM141" s="17">
        <f t="shared" si="124"/>
        <v>284415.15788108256</v>
      </c>
      <c r="BN141" s="17">
        <f t="shared" si="125"/>
        <v>75078.532096044029</v>
      </c>
      <c r="BO141" s="17">
        <f t="shared" si="126"/>
        <v>0</v>
      </c>
      <c r="BP141" s="17">
        <f t="shared" si="127"/>
        <v>18678.380207474936</v>
      </c>
      <c r="BQ141" s="17">
        <f t="shared" si="128"/>
        <v>6082.8142992394969</v>
      </c>
      <c r="BR141" s="17">
        <f t="shared" si="129"/>
        <v>0</v>
      </c>
      <c r="BS141" s="15">
        <f t="shared" si="98"/>
        <v>0</v>
      </c>
      <c r="BU141" s="14">
        <v>98</v>
      </c>
      <c r="BV141" s="15">
        <f t="shared" si="99"/>
        <v>9</v>
      </c>
      <c r="BW141" s="16">
        <f>(1+INDEX('1 - Input'!$B$34:$E$63,BV141,'1 - Input'!$B$16))^(1/12)-1</f>
        <v>4.1219243192651689E-3</v>
      </c>
      <c r="BX141" s="17">
        <f>'1 - Input'!$B$7*(1+'1 - Input'!$B$12)^(BV141-1)</f>
        <v>3163.4803287061168</v>
      </c>
      <c r="BY141" s="17">
        <f t="shared" si="130"/>
        <v>373194.91374679754</v>
      </c>
      <c r="BZ141" s="17">
        <f t="shared" si="131"/>
        <v>200982.98401055051</v>
      </c>
      <c r="CA141" s="17">
        <f t="shared" si="100"/>
        <v>374733.19493759651</v>
      </c>
      <c r="CB141" s="17">
        <f>IF(CA141&gt;0,'1 - Input'!$B$8/12*CA141,0)</f>
        <v>2810.4989620319739</v>
      </c>
      <c r="CC141" s="17">
        <f t="shared" si="101"/>
        <v>371922.69597556454</v>
      </c>
      <c r="CD141" s="17">
        <f t="shared" si="102"/>
        <v>2810.4989620319739</v>
      </c>
      <c r="CE141" s="17">
        <f>'1 - Input'!$B$22*(CB141-CD141)</f>
        <v>0</v>
      </c>
      <c r="CF141" s="17">
        <f t="shared" si="103"/>
        <v>2810.4989620319739</v>
      </c>
      <c r="CG141" s="17">
        <f t="shared" si="104"/>
        <v>198172.48504851855</v>
      </c>
      <c r="CH141" s="17">
        <f>IF('1 - Input'!$B$17=1,MAX(0,CF141-BX141),0)</f>
        <v>0</v>
      </c>
      <c r="CI141" s="17">
        <f>IF('1 - Input'!$B$17=1,MAX(0,BX141-CF141),0)</f>
        <v>352.98136667414292</v>
      </c>
      <c r="CJ141" s="17">
        <f t="shared" si="105"/>
        <v>0.46716753994077698</v>
      </c>
      <c r="CK141" s="17">
        <f>IF(AND(CI141&gt;0,CC141&gt;0),CI141/(1-'1 - Input'!$B$22*CJ141),0)</f>
        <v>401.78341017780622</v>
      </c>
      <c r="CL141" s="17">
        <f t="shared" si="106"/>
        <v>401.78341017780622</v>
      </c>
      <c r="CM141" s="17">
        <f>'1 - Input'!$B$22*CJ141*CL141</f>
        <v>48.802043503663285</v>
      </c>
      <c r="CN141" s="17">
        <f t="shared" si="107"/>
        <v>352.98136667414292</v>
      </c>
      <c r="CO141" s="17">
        <f t="shared" si="108"/>
        <v>0</v>
      </c>
      <c r="CP141" s="17">
        <f t="shared" si="109"/>
        <v>0</v>
      </c>
      <c r="CQ141" s="17">
        <f t="shared" si="110"/>
        <v>371520.91256538674</v>
      </c>
      <c r="CR141" s="17">
        <f t="shared" si="111"/>
        <v>197958.40180566252</v>
      </c>
      <c r="CS141" s="17">
        <f>IF(MOD(BU141,12)=0,CQ141*'1 - Input'!$B$23,0)</f>
        <v>0</v>
      </c>
      <c r="CT141" s="17">
        <f t="shared" si="112"/>
        <v>371520.91256538674</v>
      </c>
      <c r="CU141" s="17">
        <f>IF(MOD(BU141,12)=0,CR141*(1-'1 - Input'!$B$23),CR141)</f>
        <v>197958.40180566252</v>
      </c>
      <c r="CV141" s="17">
        <f>IF('1 - Input'!$B$17=1,MIN(CF141,BX141)+CN141,CF141)</f>
        <v>3163.4803287061168</v>
      </c>
      <c r="CW141" s="17">
        <f t="shared" si="132"/>
        <v>284415.15788108256</v>
      </c>
      <c r="CX141" s="17">
        <f t="shared" si="133"/>
        <v>0</v>
      </c>
      <c r="CY141" s="17">
        <f t="shared" si="134"/>
        <v>411.57060478401041</v>
      </c>
      <c r="CZ141" s="17">
        <f t="shared" si="135"/>
        <v>0</v>
      </c>
      <c r="DA141" s="17">
        <f t="shared" si="136"/>
        <v>6907.9202369676932</v>
      </c>
      <c r="DB141" s="17">
        <f t="shared" si="137"/>
        <v>0</v>
      </c>
      <c r="DC141" s="15">
        <f t="shared" si="113"/>
        <v>0</v>
      </c>
    </row>
    <row r="142" spans="1:107">
      <c r="A142" s="14">
        <v>99</v>
      </c>
      <c r="B142" s="15">
        <f t="shared" si="69"/>
        <v>9</v>
      </c>
      <c r="C142" s="16">
        <f>(1+INDEX('1 - Input'!$B$34:$E$63,B142,'1 - Input'!$B$16))^(1/12)-1</f>
        <v>4.1219243192651689E-3</v>
      </c>
      <c r="D142" s="17">
        <f>'1 - Input'!$B$7*(1+'1 - Input'!$B$12)^(B142-1)</f>
        <v>3163.4803287061168</v>
      </c>
      <c r="E142" s="17">
        <f t="shared" si="114"/>
        <v>278973.57770929951</v>
      </c>
      <c r="F142" s="17">
        <f t="shared" si="115"/>
        <v>389852.60605772201</v>
      </c>
      <c r="G142" s="17">
        <f t="shared" si="70"/>
        <v>280123.48568369186</v>
      </c>
      <c r="H142" s="17">
        <f>IF(G142&gt;0,'1 - Input'!$B$8/12*G142,0)</f>
        <v>2100.9261426276889</v>
      </c>
      <c r="I142" s="17">
        <f t="shared" si="71"/>
        <v>278022.5595410642</v>
      </c>
      <c r="J142" s="17">
        <f t="shared" si="72"/>
        <v>0</v>
      </c>
      <c r="K142" s="17">
        <f>'1 - Input'!$B$22*(H142-J142)</f>
        <v>546.24079708319914</v>
      </c>
      <c r="L142" s="17">
        <f t="shared" si="73"/>
        <v>1554.6853455444898</v>
      </c>
      <c r="M142" s="17">
        <f t="shared" si="74"/>
        <v>389852.60605772201</v>
      </c>
      <c r="N142" s="17">
        <f>IF('1 - Input'!$B$17=1,MAX(0,L142-D142),0)</f>
        <v>0</v>
      </c>
      <c r="O142" s="17">
        <f>IF('1 - Input'!$B$17=1,MAX(0,D142-L142),0)</f>
        <v>1608.794983161627</v>
      </c>
      <c r="P142" s="17">
        <f t="shared" si="75"/>
        <v>0</v>
      </c>
      <c r="Q142" s="17">
        <f>IF(AND(O142&gt;0,I142&gt;0),O142/(1-'1 - Input'!$B$22*P142),0)</f>
        <v>1608.794983161627</v>
      </c>
      <c r="R142" s="17">
        <f t="shared" si="76"/>
        <v>1608.794983161627</v>
      </c>
      <c r="S142" s="17">
        <f>'1 - Input'!$B$22*P142*R142</f>
        <v>0</v>
      </c>
      <c r="T142" s="17">
        <f t="shared" si="77"/>
        <v>1608.794983161627</v>
      </c>
      <c r="U142" s="17">
        <f t="shared" si="78"/>
        <v>0</v>
      </c>
      <c r="V142" s="17">
        <f t="shared" si="79"/>
        <v>647.11158008081463</v>
      </c>
      <c r="W142" s="17">
        <f t="shared" si="80"/>
        <v>276413.76455790258</v>
      </c>
      <c r="X142" s="17">
        <f t="shared" si="81"/>
        <v>387596.69949447957</v>
      </c>
      <c r="Y142" s="17">
        <f>IF(MOD(A142,12)=0,W142*'1 - Input'!$B$23,0)</f>
        <v>0</v>
      </c>
      <c r="Z142" s="17">
        <f t="shared" si="82"/>
        <v>276413.76455790258</v>
      </c>
      <c r="AA142" s="17">
        <f>IF(MOD(A142,12)=0,X142*(1-'1 - Input'!$B$23),X142)</f>
        <v>387596.69949447957</v>
      </c>
      <c r="AB142" s="17">
        <f>IF('1 - Input'!$B$17=1,MIN(L142,D142)+T142,L142)</f>
        <v>3163.4803287061168</v>
      </c>
      <c r="AC142" s="17">
        <f t="shared" si="116"/>
        <v>287578.63820978865</v>
      </c>
      <c r="AD142" s="17">
        <f t="shared" si="117"/>
        <v>75624.772893127229</v>
      </c>
      <c r="AE142" s="17">
        <f t="shared" si="118"/>
        <v>0</v>
      </c>
      <c r="AF142" s="17">
        <f t="shared" si="119"/>
        <v>19325.491787555751</v>
      </c>
      <c r="AG142" s="17">
        <f t="shared" si="120"/>
        <v>6082.8142992394969</v>
      </c>
      <c r="AH142" s="17">
        <f t="shared" si="121"/>
        <v>0</v>
      </c>
      <c r="AI142" s="15">
        <f t="shared" si="83"/>
        <v>0</v>
      </c>
      <c r="AK142" s="14">
        <v>99</v>
      </c>
      <c r="AL142" s="15">
        <f t="shared" si="84"/>
        <v>9</v>
      </c>
      <c r="AM142" s="16">
        <f>(1+INDEX('1 - Input'!$B$34:$E$63,AL142,'1 - Input'!$B$16))^(1/12)-1</f>
        <v>4.1219243192651689E-3</v>
      </c>
      <c r="AN142" s="17">
        <f>'1 - Input'!$B$7*(1+'1 - Input'!$B$12)^(AL142-1)</f>
        <v>3163.4803287061168</v>
      </c>
      <c r="AO142" s="17">
        <f t="shared" si="122"/>
        <v>278973.57770929951</v>
      </c>
      <c r="AP142" s="17">
        <f t="shared" si="123"/>
        <v>389852.60605772201</v>
      </c>
      <c r="AQ142" s="17">
        <f t="shared" si="85"/>
        <v>280123.48568369186</v>
      </c>
      <c r="AR142" s="17">
        <f>IF(AQ142&gt;0,'1 - Input'!$B$8/12*AQ142,0)</f>
        <v>2100.9261426276889</v>
      </c>
      <c r="AS142" s="17">
        <f t="shared" si="86"/>
        <v>278022.5595410642</v>
      </c>
      <c r="AT142" s="17">
        <f t="shared" si="87"/>
        <v>0</v>
      </c>
      <c r="AU142" s="17">
        <f>'1 - Input'!$B$22*(AR142-AT142)</f>
        <v>546.24079708319914</v>
      </c>
      <c r="AV142" s="17">
        <f t="shared" si="88"/>
        <v>1554.6853455444898</v>
      </c>
      <c r="AW142" s="17">
        <f t="shared" si="89"/>
        <v>389852.60605772201</v>
      </c>
      <c r="AX142" s="17">
        <f>IF('1 - Input'!$B$17=1,MAX(0,AV142-AN142),0)</f>
        <v>0</v>
      </c>
      <c r="AY142" s="17">
        <f>IF('1 - Input'!$B$17=1,MAX(0,AN142-AV142),0)</f>
        <v>1608.794983161627</v>
      </c>
      <c r="AZ142" s="17">
        <f t="shared" si="90"/>
        <v>0</v>
      </c>
      <c r="BA142" s="17">
        <f>IF(AND(AY142&gt;0,AS142&gt;0),AY142/(1-'1 - Input'!$B$22*AZ142),0)</f>
        <v>1608.794983161627</v>
      </c>
      <c r="BB142" s="17">
        <f t="shared" si="91"/>
        <v>1608.794983161627</v>
      </c>
      <c r="BC142" s="17">
        <f>'1 - Input'!$B$22*AZ142*BB142</f>
        <v>0</v>
      </c>
      <c r="BD142" s="17">
        <f t="shared" si="92"/>
        <v>1608.794983161627</v>
      </c>
      <c r="BE142" s="17">
        <f t="shared" si="93"/>
        <v>0</v>
      </c>
      <c r="BF142" s="17">
        <f t="shared" si="94"/>
        <v>647.11158008081463</v>
      </c>
      <c r="BG142" s="17">
        <f t="shared" si="95"/>
        <v>276413.76455790258</v>
      </c>
      <c r="BH142" s="17">
        <f t="shared" si="96"/>
        <v>387596.69949447957</v>
      </c>
      <c r="BI142" s="17">
        <f>IF(MOD(AK142,12)=0,BG142*'1 - Input'!$B$23,0)</f>
        <v>0</v>
      </c>
      <c r="BJ142" s="17">
        <f t="shared" si="97"/>
        <v>276413.76455790258</v>
      </c>
      <c r="BK142" s="17">
        <f>IF(MOD(AK142,12)=0,BH142*(1-'1 - Input'!$B$23),BH142)</f>
        <v>387596.69949447957</v>
      </c>
      <c r="BL142" s="17">
        <f>IF('1 - Input'!$B$17=1,MIN(AV142,AN142)+BD142,AV142)</f>
        <v>3163.4803287061168</v>
      </c>
      <c r="BM142" s="17">
        <f t="shared" si="124"/>
        <v>287578.63820978865</v>
      </c>
      <c r="BN142" s="17">
        <f t="shared" si="125"/>
        <v>75624.772893127229</v>
      </c>
      <c r="BO142" s="17">
        <f t="shared" si="126"/>
        <v>0</v>
      </c>
      <c r="BP142" s="17">
        <f t="shared" si="127"/>
        <v>19325.491787555751</v>
      </c>
      <c r="BQ142" s="17">
        <f t="shared" si="128"/>
        <v>6082.8142992394969</v>
      </c>
      <c r="BR142" s="17">
        <f t="shared" si="129"/>
        <v>0</v>
      </c>
      <c r="BS142" s="15">
        <f t="shared" si="98"/>
        <v>0</v>
      </c>
      <c r="BU142" s="14">
        <v>99</v>
      </c>
      <c r="BV142" s="15">
        <f t="shared" si="99"/>
        <v>9</v>
      </c>
      <c r="BW142" s="16">
        <f>(1+INDEX('1 - Input'!$B$34:$E$63,BV142,'1 - Input'!$B$16))^(1/12)-1</f>
        <v>4.1219243192651689E-3</v>
      </c>
      <c r="BX142" s="17">
        <f>'1 - Input'!$B$7*(1+'1 - Input'!$B$12)^(BV142-1)</f>
        <v>3163.4803287061168</v>
      </c>
      <c r="BY142" s="17">
        <f t="shared" si="130"/>
        <v>371520.91256538674</v>
      </c>
      <c r="BZ142" s="17">
        <f t="shared" si="131"/>
        <v>197958.40180566252</v>
      </c>
      <c r="CA142" s="17">
        <f t="shared" si="100"/>
        <v>373052.29365000559</v>
      </c>
      <c r="CB142" s="17">
        <f>IF(CA142&gt;0,'1 - Input'!$B$8/12*CA142,0)</f>
        <v>2797.892202375042</v>
      </c>
      <c r="CC142" s="17">
        <f t="shared" si="101"/>
        <v>370254.40144763055</v>
      </c>
      <c r="CD142" s="17">
        <f t="shared" si="102"/>
        <v>2797.892202375042</v>
      </c>
      <c r="CE142" s="17">
        <f>'1 - Input'!$B$22*(CB142-CD142)</f>
        <v>0</v>
      </c>
      <c r="CF142" s="17">
        <f t="shared" si="103"/>
        <v>2797.892202375042</v>
      </c>
      <c r="CG142" s="17">
        <f t="shared" si="104"/>
        <v>195160.50960328747</v>
      </c>
      <c r="CH142" s="17">
        <f>IF('1 - Input'!$B$17=1,MAX(0,CF142-BX142),0)</f>
        <v>0</v>
      </c>
      <c r="CI142" s="17">
        <f>IF('1 - Input'!$B$17=1,MAX(0,BX142-CF142),0)</f>
        <v>365.58812633107482</v>
      </c>
      <c r="CJ142" s="17">
        <f t="shared" si="105"/>
        <v>0.47290158107440805</v>
      </c>
      <c r="CK142" s="17">
        <f>IF(AND(CI142&gt;0,CC142&gt;0),CI142/(1-'1 - Input'!$B$22*CJ142),0)</f>
        <v>416.84050515662477</v>
      </c>
      <c r="CL142" s="17">
        <f t="shared" si="106"/>
        <v>416.84050515662477</v>
      </c>
      <c r="CM142" s="17">
        <f>'1 - Input'!$B$22*CJ142*CL142</f>
        <v>51.252378825549933</v>
      </c>
      <c r="CN142" s="17">
        <f t="shared" si="107"/>
        <v>365.58812633107482</v>
      </c>
      <c r="CO142" s="17">
        <f t="shared" si="108"/>
        <v>0</v>
      </c>
      <c r="CP142" s="17">
        <f t="shared" si="109"/>
        <v>0</v>
      </c>
      <c r="CQ142" s="17">
        <f t="shared" si="110"/>
        <v>369837.56094247394</v>
      </c>
      <c r="CR142" s="17">
        <f t="shared" si="111"/>
        <v>194940.79363207528</v>
      </c>
      <c r="CS142" s="17">
        <f>IF(MOD(BU142,12)=0,CQ142*'1 - Input'!$B$23,0)</f>
        <v>0</v>
      </c>
      <c r="CT142" s="17">
        <f t="shared" si="112"/>
        <v>369837.56094247394</v>
      </c>
      <c r="CU142" s="17">
        <f>IF(MOD(BU142,12)=0,CR142*(1-'1 - Input'!$B$23),CR142)</f>
        <v>194940.79363207528</v>
      </c>
      <c r="CV142" s="17">
        <f>IF('1 - Input'!$B$17=1,MIN(CF142,BX142)+CN142,CF142)</f>
        <v>3163.4803287061168</v>
      </c>
      <c r="CW142" s="17">
        <f t="shared" si="132"/>
        <v>287578.63820978865</v>
      </c>
      <c r="CX142" s="17">
        <f t="shared" si="133"/>
        <v>0</v>
      </c>
      <c r="CY142" s="17">
        <f t="shared" si="134"/>
        <v>462.82298360956037</v>
      </c>
      <c r="CZ142" s="17">
        <f t="shared" si="135"/>
        <v>0</v>
      </c>
      <c r="DA142" s="17">
        <f t="shared" si="136"/>
        <v>6907.9202369676932</v>
      </c>
      <c r="DB142" s="17">
        <f t="shared" si="137"/>
        <v>0</v>
      </c>
      <c r="DC142" s="15">
        <f t="shared" si="113"/>
        <v>0</v>
      </c>
    </row>
    <row r="143" spans="1:107">
      <c r="A143" s="14">
        <v>100</v>
      </c>
      <c r="B143" s="15">
        <f t="shared" si="69"/>
        <v>9</v>
      </c>
      <c r="C143" s="16">
        <f>(1+INDEX('1 - Input'!$B$34:$E$63,B143,'1 - Input'!$B$16))^(1/12)-1</f>
        <v>4.1219243192651689E-3</v>
      </c>
      <c r="D143" s="17">
        <f>'1 - Input'!$B$7*(1+'1 - Input'!$B$12)^(B143-1)</f>
        <v>3163.4803287061168</v>
      </c>
      <c r="E143" s="17">
        <f t="shared" si="114"/>
        <v>276413.76455790258</v>
      </c>
      <c r="F143" s="17">
        <f t="shared" si="115"/>
        <v>387596.69949447957</v>
      </c>
      <c r="G143" s="17">
        <f t="shared" si="70"/>
        <v>277553.12117621343</v>
      </c>
      <c r="H143" s="17">
        <f>IF(G143&gt;0,'1 - Input'!$B$8/12*G143,0)</f>
        <v>2081.6484088216007</v>
      </c>
      <c r="I143" s="17">
        <f t="shared" si="71"/>
        <v>275471.47276739182</v>
      </c>
      <c r="J143" s="17">
        <f t="shared" si="72"/>
        <v>0</v>
      </c>
      <c r="K143" s="17">
        <f>'1 - Input'!$B$22*(H143-J143)</f>
        <v>541.22858629361622</v>
      </c>
      <c r="L143" s="17">
        <f t="shared" si="73"/>
        <v>1540.4198225279845</v>
      </c>
      <c r="M143" s="17">
        <f t="shared" si="74"/>
        <v>387596.69949447957</v>
      </c>
      <c r="N143" s="17">
        <f>IF('1 - Input'!$B$17=1,MAX(0,L143-D143),0)</f>
        <v>0</v>
      </c>
      <c r="O143" s="17">
        <f>IF('1 - Input'!$B$17=1,MAX(0,D143-L143),0)</f>
        <v>1623.0605061781323</v>
      </c>
      <c r="P143" s="17">
        <f t="shared" si="75"/>
        <v>0</v>
      </c>
      <c r="Q143" s="17">
        <f>IF(AND(O143&gt;0,I143&gt;0),O143/(1-'1 - Input'!$B$22*P143),0)</f>
        <v>1623.0605061781323</v>
      </c>
      <c r="R143" s="17">
        <f t="shared" si="76"/>
        <v>1623.0605061781323</v>
      </c>
      <c r="S143" s="17">
        <f>'1 - Input'!$B$22*P143*R143</f>
        <v>0</v>
      </c>
      <c r="T143" s="17">
        <f t="shared" si="77"/>
        <v>1623.0605061781323</v>
      </c>
      <c r="U143" s="17">
        <f t="shared" si="78"/>
        <v>0</v>
      </c>
      <c r="V143" s="17">
        <f t="shared" si="79"/>
        <v>660.63474892252782</v>
      </c>
      <c r="W143" s="17">
        <f t="shared" si="80"/>
        <v>273848.4122612137</v>
      </c>
      <c r="X143" s="17">
        <f t="shared" si="81"/>
        <v>385313.0042393789</v>
      </c>
      <c r="Y143" s="17">
        <f>IF(MOD(A143,12)=0,W143*'1 - Input'!$B$23,0)</f>
        <v>0</v>
      </c>
      <c r="Z143" s="17">
        <f t="shared" si="82"/>
        <v>273848.4122612137</v>
      </c>
      <c r="AA143" s="17">
        <f>IF(MOD(A143,12)=0,X143*(1-'1 - Input'!$B$23),X143)</f>
        <v>385313.0042393789</v>
      </c>
      <c r="AB143" s="17">
        <f>IF('1 - Input'!$B$17=1,MIN(L143,D143)+T143,L143)</f>
        <v>3163.4803287061168</v>
      </c>
      <c r="AC143" s="17">
        <f t="shared" si="116"/>
        <v>290742.11853849475</v>
      </c>
      <c r="AD143" s="17">
        <f t="shared" si="117"/>
        <v>76166.00147942084</v>
      </c>
      <c r="AE143" s="17">
        <f t="shared" si="118"/>
        <v>0</v>
      </c>
      <c r="AF143" s="17">
        <f t="shared" si="119"/>
        <v>19986.126536478278</v>
      </c>
      <c r="AG143" s="17">
        <f t="shared" si="120"/>
        <v>6082.8142992394969</v>
      </c>
      <c r="AH143" s="17">
        <f t="shared" si="121"/>
        <v>0</v>
      </c>
      <c r="AI143" s="15">
        <f t="shared" si="83"/>
        <v>0</v>
      </c>
      <c r="AK143" s="14">
        <v>100</v>
      </c>
      <c r="AL143" s="15">
        <f t="shared" si="84"/>
        <v>9</v>
      </c>
      <c r="AM143" s="16">
        <f>(1+INDEX('1 - Input'!$B$34:$E$63,AL143,'1 - Input'!$B$16))^(1/12)-1</f>
        <v>4.1219243192651689E-3</v>
      </c>
      <c r="AN143" s="17">
        <f>'1 - Input'!$B$7*(1+'1 - Input'!$B$12)^(AL143-1)</f>
        <v>3163.4803287061168</v>
      </c>
      <c r="AO143" s="17">
        <f t="shared" si="122"/>
        <v>276413.76455790258</v>
      </c>
      <c r="AP143" s="17">
        <f t="shared" si="123"/>
        <v>387596.69949447957</v>
      </c>
      <c r="AQ143" s="17">
        <f t="shared" si="85"/>
        <v>277553.12117621343</v>
      </c>
      <c r="AR143" s="17">
        <f>IF(AQ143&gt;0,'1 - Input'!$B$8/12*AQ143,0)</f>
        <v>2081.6484088216007</v>
      </c>
      <c r="AS143" s="17">
        <f t="shared" si="86"/>
        <v>275471.47276739182</v>
      </c>
      <c r="AT143" s="17">
        <f t="shared" si="87"/>
        <v>0</v>
      </c>
      <c r="AU143" s="17">
        <f>'1 - Input'!$B$22*(AR143-AT143)</f>
        <v>541.22858629361622</v>
      </c>
      <c r="AV143" s="17">
        <f t="shared" si="88"/>
        <v>1540.4198225279845</v>
      </c>
      <c r="AW143" s="17">
        <f t="shared" si="89"/>
        <v>387596.69949447957</v>
      </c>
      <c r="AX143" s="17">
        <f>IF('1 - Input'!$B$17=1,MAX(0,AV143-AN143),0)</f>
        <v>0</v>
      </c>
      <c r="AY143" s="17">
        <f>IF('1 - Input'!$B$17=1,MAX(0,AN143-AV143),0)</f>
        <v>1623.0605061781323</v>
      </c>
      <c r="AZ143" s="17">
        <f t="shared" si="90"/>
        <v>0</v>
      </c>
      <c r="BA143" s="17">
        <f>IF(AND(AY143&gt;0,AS143&gt;0),AY143/(1-'1 - Input'!$B$22*AZ143),0)</f>
        <v>1623.0605061781323</v>
      </c>
      <c r="BB143" s="17">
        <f t="shared" si="91"/>
        <v>1623.0605061781323</v>
      </c>
      <c r="BC143" s="17">
        <f>'1 - Input'!$B$22*AZ143*BB143</f>
        <v>0</v>
      </c>
      <c r="BD143" s="17">
        <f t="shared" si="92"/>
        <v>1623.0605061781323</v>
      </c>
      <c r="BE143" s="17">
        <f t="shared" si="93"/>
        <v>0</v>
      </c>
      <c r="BF143" s="17">
        <f t="shared" si="94"/>
        <v>660.63474892252782</v>
      </c>
      <c r="BG143" s="17">
        <f t="shared" si="95"/>
        <v>273848.4122612137</v>
      </c>
      <c r="BH143" s="17">
        <f t="shared" si="96"/>
        <v>385313.0042393789</v>
      </c>
      <c r="BI143" s="17">
        <f>IF(MOD(AK143,12)=0,BG143*'1 - Input'!$B$23,0)</f>
        <v>0</v>
      </c>
      <c r="BJ143" s="17">
        <f t="shared" si="97"/>
        <v>273848.4122612137</v>
      </c>
      <c r="BK143" s="17">
        <f>IF(MOD(AK143,12)=0,BH143*(1-'1 - Input'!$B$23),BH143)</f>
        <v>385313.0042393789</v>
      </c>
      <c r="BL143" s="17">
        <f>IF('1 - Input'!$B$17=1,MIN(AV143,AN143)+BD143,AV143)</f>
        <v>3163.4803287061168</v>
      </c>
      <c r="BM143" s="17">
        <f t="shared" si="124"/>
        <v>290742.11853849475</v>
      </c>
      <c r="BN143" s="17">
        <f t="shared" si="125"/>
        <v>76166.00147942084</v>
      </c>
      <c r="BO143" s="17">
        <f t="shared" si="126"/>
        <v>0</v>
      </c>
      <c r="BP143" s="17">
        <f t="shared" si="127"/>
        <v>19986.126536478278</v>
      </c>
      <c r="BQ143" s="17">
        <f t="shared" si="128"/>
        <v>6082.8142992394969</v>
      </c>
      <c r="BR143" s="17">
        <f t="shared" si="129"/>
        <v>0</v>
      </c>
      <c r="BS143" s="15">
        <f t="shared" si="98"/>
        <v>0</v>
      </c>
      <c r="BU143" s="14">
        <v>100</v>
      </c>
      <c r="BV143" s="15">
        <f t="shared" si="99"/>
        <v>9</v>
      </c>
      <c r="BW143" s="16">
        <f>(1+INDEX('1 - Input'!$B$34:$E$63,BV143,'1 - Input'!$B$16))^(1/12)-1</f>
        <v>4.1219243192651689E-3</v>
      </c>
      <c r="BX143" s="17">
        <f>'1 - Input'!$B$7*(1+'1 - Input'!$B$12)^(BV143-1)</f>
        <v>3163.4803287061168</v>
      </c>
      <c r="BY143" s="17">
        <f t="shared" si="130"/>
        <v>369837.56094247394</v>
      </c>
      <c r="BZ143" s="17">
        <f t="shared" si="131"/>
        <v>194940.79363207528</v>
      </c>
      <c r="CA143" s="17">
        <f t="shared" si="100"/>
        <v>371362.00337910041</v>
      </c>
      <c r="CB143" s="17">
        <f>IF(CA143&gt;0,'1 - Input'!$B$8/12*CA143,0)</f>
        <v>2785.2150253432528</v>
      </c>
      <c r="CC143" s="17">
        <f t="shared" si="101"/>
        <v>368576.78835375718</v>
      </c>
      <c r="CD143" s="17">
        <f t="shared" si="102"/>
        <v>2785.2150253432528</v>
      </c>
      <c r="CE143" s="17">
        <f>'1 - Input'!$B$22*(CB143-CD143)</f>
        <v>0</v>
      </c>
      <c r="CF143" s="17">
        <f t="shared" si="103"/>
        <v>2785.2150253432528</v>
      </c>
      <c r="CG143" s="17">
        <f t="shared" si="104"/>
        <v>192155.57860673202</v>
      </c>
      <c r="CH143" s="17">
        <f>IF('1 - Input'!$B$17=1,MAX(0,CF143-BX143),0)</f>
        <v>0</v>
      </c>
      <c r="CI143" s="17">
        <f>IF('1 - Input'!$B$17=1,MAX(0,BX143-CF143),0)</f>
        <v>378.26530336286396</v>
      </c>
      <c r="CJ143" s="17">
        <f t="shared" si="105"/>
        <v>0.478655236362029</v>
      </c>
      <c r="CK143" s="17">
        <f>IF(AND(CI143&gt;0,CC143&gt;0),CI143/(1-'1 - Input'!$B$22*CJ143),0)</f>
        <v>432.03181945354157</v>
      </c>
      <c r="CL143" s="17">
        <f t="shared" si="106"/>
        <v>432.03181945354157</v>
      </c>
      <c r="CM143" s="17">
        <f>'1 - Input'!$B$22*CJ143*CL143</f>
        <v>53.766516090677626</v>
      </c>
      <c r="CN143" s="17">
        <f t="shared" si="107"/>
        <v>378.26530336286396</v>
      </c>
      <c r="CO143" s="17">
        <f t="shared" si="108"/>
        <v>0</v>
      </c>
      <c r="CP143" s="17">
        <f t="shared" si="109"/>
        <v>0</v>
      </c>
      <c r="CQ143" s="17">
        <f t="shared" si="110"/>
        <v>368144.75653430365</v>
      </c>
      <c r="CR143" s="17">
        <f t="shared" si="111"/>
        <v>191930.34107993494</v>
      </c>
      <c r="CS143" s="17">
        <f>IF(MOD(BU143,12)=0,CQ143*'1 - Input'!$B$23,0)</f>
        <v>0</v>
      </c>
      <c r="CT143" s="17">
        <f t="shared" si="112"/>
        <v>368144.75653430365</v>
      </c>
      <c r="CU143" s="17">
        <f>IF(MOD(BU143,12)=0,CR143*(1-'1 - Input'!$B$23),CR143)</f>
        <v>191930.34107993494</v>
      </c>
      <c r="CV143" s="17">
        <f>IF('1 - Input'!$B$17=1,MIN(CF143,BX143)+CN143,CF143)</f>
        <v>3163.4803287061168</v>
      </c>
      <c r="CW143" s="17">
        <f t="shared" si="132"/>
        <v>290742.11853849475</v>
      </c>
      <c r="CX143" s="17">
        <f t="shared" si="133"/>
        <v>0</v>
      </c>
      <c r="CY143" s="17">
        <f t="shared" si="134"/>
        <v>516.58949970023798</v>
      </c>
      <c r="CZ143" s="17">
        <f t="shared" si="135"/>
        <v>0</v>
      </c>
      <c r="DA143" s="17">
        <f t="shared" si="136"/>
        <v>6907.9202369676932</v>
      </c>
      <c r="DB143" s="17">
        <f t="shared" si="137"/>
        <v>0</v>
      </c>
      <c r="DC143" s="15">
        <f t="shared" si="113"/>
        <v>0</v>
      </c>
    </row>
    <row r="144" spans="1:107">
      <c r="A144" s="14">
        <v>101</v>
      </c>
      <c r="B144" s="15">
        <f t="shared" si="69"/>
        <v>9</v>
      </c>
      <c r="C144" s="16">
        <f>(1+INDEX('1 - Input'!$B$34:$E$63,B144,'1 - Input'!$B$16))^(1/12)-1</f>
        <v>4.1219243192651689E-3</v>
      </c>
      <c r="D144" s="17">
        <f>'1 - Input'!$B$7*(1+'1 - Input'!$B$12)^(B144-1)</f>
        <v>3163.4803287061168</v>
      </c>
      <c r="E144" s="17">
        <f t="shared" si="114"/>
        <v>273848.4122612137</v>
      </c>
      <c r="F144" s="17">
        <f t="shared" si="115"/>
        <v>385313.0042393789</v>
      </c>
      <c r="G144" s="17">
        <f t="shared" si="70"/>
        <v>274977.19469150534</v>
      </c>
      <c r="H144" s="17">
        <f>IF(G144&gt;0,'1 - Input'!$B$8/12*G144,0)</f>
        <v>2062.3289601862898</v>
      </c>
      <c r="I144" s="17">
        <f t="shared" si="71"/>
        <v>272914.86573131906</v>
      </c>
      <c r="J144" s="17">
        <f t="shared" si="72"/>
        <v>0</v>
      </c>
      <c r="K144" s="17">
        <f>'1 - Input'!$B$22*(H144-J144)</f>
        <v>536.20552964843534</v>
      </c>
      <c r="L144" s="17">
        <f t="shared" si="73"/>
        <v>1526.1234305378543</v>
      </c>
      <c r="M144" s="17">
        <f t="shared" si="74"/>
        <v>385313.0042393789</v>
      </c>
      <c r="N144" s="17">
        <f>IF('1 - Input'!$B$17=1,MAX(0,L144-D144),0)</f>
        <v>0</v>
      </c>
      <c r="O144" s="17">
        <f>IF('1 - Input'!$B$17=1,MAX(0,D144-L144),0)</f>
        <v>1637.3568981682624</v>
      </c>
      <c r="P144" s="17">
        <f t="shared" si="75"/>
        <v>0</v>
      </c>
      <c r="Q144" s="17">
        <f>IF(AND(O144&gt;0,I144&gt;0),O144/(1-'1 - Input'!$B$22*P144),0)</f>
        <v>1637.3568981682624</v>
      </c>
      <c r="R144" s="17">
        <f t="shared" si="76"/>
        <v>1637.3568981682624</v>
      </c>
      <c r="S144" s="17">
        <f>'1 - Input'!$B$22*P144*R144</f>
        <v>0</v>
      </c>
      <c r="T144" s="17">
        <f t="shared" si="77"/>
        <v>1637.3568981682624</v>
      </c>
      <c r="U144" s="17">
        <f t="shared" si="78"/>
        <v>0</v>
      </c>
      <c r="V144" s="17">
        <f t="shared" si="79"/>
        <v>674.33434574657565</v>
      </c>
      <c r="W144" s="17">
        <f t="shared" si="80"/>
        <v>271277.50883315079</v>
      </c>
      <c r="X144" s="17">
        <f t="shared" si="81"/>
        <v>383001.31299546408</v>
      </c>
      <c r="Y144" s="17">
        <f>IF(MOD(A144,12)=0,W144*'1 - Input'!$B$23,0)</f>
        <v>0</v>
      </c>
      <c r="Z144" s="17">
        <f t="shared" si="82"/>
        <v>271277.50883315079</v>
      </c>
      <c r="AA144" s="17">
        <f>IF(MOD(A144,12)=0,X144*(1-'1 - Input'!$B$23),X144)</f>
        <v>383001.31299546408</v>
      </c>
      <c r="AB144" s="17">
        <f>IF('1 - Input'!$B$17=1,MIN(L144,D144)+T144,L144)</f>
        <v>3163.4803287061168</v>
      </c>
      <c r="AC144" s="17">
        <f t="shared" si="116"/>
        <v>293905.59886720084</v>
      </c>
      <c r="AD144" s="17">
        <f t="shared" si="117"/>
        <v>76702.207009069272</v>
      </c>
      <c r="AE144" s="17">
        <f t="shared" si="118"/>
        <v>0</v>
      </c>
      <c r="AF144" s="17">
        <f t="shared" si="119"/>
        <v>20660.460882224852</v>
      </c>
      <c r="AG144" s="17">
        <f t="shared" si="120"/>
        <v>6082.8142992394969</v>
      </c>
      <c r="AH144" s="17">
        <f t="shared" si="121"/>
        <v>0</v>
      </c>
      <c r="AI144" s="15">
        <f t="shared" si="83"/>
        <v>0</v>
      </c>
      <c r="AK144" s="14">
        <v>101</v>
      </c>
      <c r="AL144" s="15">
        <f t="shared" si="84"/>
        <v>9</v>
      </c>
      <c r="AM144" s="16">
        <f>(1+INDEX('1 - Input'!$B$34:$E$63,AL144,'1 - Input'!$B$16))^(1/12)-1</f>
        <v>4.1219243192651689E-3</v>
      </c>
      <c r="AN144" s="17">
        <f>'1 - Input'!$B$7*(1+'1 - Input'!$B$12)^(AL144-1)</f>
        <v>3163.4803287061168</v>
      </c>
      <c r="AO144" s="17">
        <f t="shared" si="122"/>
        <v>273848.4122612137</v>
      </c>
      <c r="AP144" s="17">
        <f t="shared" si="123"/>
        <v>385313.0042393789</v>
      </c>
      <c r="AQ144" s="17">
        <f t="shared" si="85"/>
        <v>274977.19469150534</v>
      </c>
      <c r="AR144" s="17">
        <f>IF(AQ144&gt;0,'1 - Input'!$B$8/12*AQ144,0)</f>
        <v>2062.3289601862898</v>
      </c>
      <c r="AS144" s="17">
        <f t="shared" si="86"/>
        <v>272914.86573131906</v>
      </c>
      <c r="AT144" s="17">
        <f t="shared" si="87"/>
        <v>0</v>
      </c>
      <c r="AU144" s="17">
        <f>'1 - Input'!$B$22*(AR144-AT144)</f>
        <v>536.20552964843534</v>
      </c>
      <c r="AV144" s="17">
        <f t="shared" si="88"/>
        <v>1526.1234305378543</v>
      </c>
      <c r="AW144" s="17">
        <f t="shared" si="89"/>
        <v>385313.0042393789</v>
      </c>
      <c r="AX144" s="17">
        <f>IF('1 - Input'!$B$17=1,MAX(0,AV144-AN144),0)</f>
        <v>0</v>
      </c>
      <c r="AY144" s="17">
        <f>IF('1 - Input'!$B$17=1,MAX(0,AN144-AV144),0)</f>
        <v>1637.3568981682624</v>
      </c>
      <c r="AZ144" s="17">
        <f t="shared" si="90"/>
        <v>0</v>
      </c>
      <c r="BA144" s="17">
        <f>IF(AND(AY144&gt;0,AS144&gt;0),AY144/(1-'1 - Input'!$B$22*AZ144),0)</f>
        <v>1637.3568981682624</v>
      </c>
      <c r="BB144" s="17">
        <f t="shared" si="91"/>
        <v>1637.3568981682624</v>
      </c>
      <c r="BC144" s="17">
        <f>'1 - Input'!$B$22*AZ144*BB144</f>
        <v>0</v>
      </c>
      <c r="BD144" s="17">
        <f t="shared" si="92"/>
        <v>1637.3568981682624</v>
      </c>
      <c r="BE144" s="17">
        <f t="shared" si="93"/>
        <v>0</v>
      </c>
      <c r="BF144" s="17">
        <f t="shared" si="94"/>
        <v>674.33434574657565</v>
      </c>
      <c r="BG144" s="17">
        <f t="shared" si="95"/>
        <v>271277.50883315079</v>
      </c>
      <c r="BH144" s="17">
        <f t="shared" si="96"/>
        <v>383001.31299546408</v>
      </c>
      <c r="BI144" s="17">
        <f>IF(MOD(AK144,12)=0,BG144*'1 - Input'!$B$23,0)</f>
        <v>0</v>
      </c>
      <c r="BJ144" s="17">
        <f t="shared" si="97"/>
        <v>271277.50883315079</v>
      </c>
      <c r="BK144" s="17">
        <f>IF(MOD(AK144,12)=0,BH144*(1-'1 - Input'!$B$23),BH144)</f>
        <v>383001.31299546408</v>
      </c>
      <c r="BL144" s="17">
        <f>IF('1 - Input'!$B$17=1,MIN(AV144,AN144)+BD144,AV144)</f>
        <v>3163.4803287061168</v>
      </c>
      <c r="BM144" s="17">
        <f t="shared" si="124"/>
        <v>293905.59886720084</v>
      </c>
      <c r="BN144" s="17">
        <f t="shared" si="125"/>
        <v>76702.207009069272</v>
      </c>
      <c r="BO144" s="17">
        <f t="shared" si="126"/>
        <v>0</v>
      </c>
      <c r="BP144" s="17">
        <f t="shared" si="127"/>
        <v>20660.460882224852</v>
      </c>
      <c r="BQ144" s="17">
        <f t="shared" si="128"/>
        <v>6082.8142992394969</v>
      </c>
      <c r="BR144" s="17">
        <f t="shared" si="129"/>
        <v>0</v>
      </c>
      <c r="BS144" s="15">
        <f t="shared" si="98"/>
        <v>0</v>
      </c>
      <c r="BU144" s="14">
        <v>101</v>
      </c>
      <c r="BV144" s="15">
        <f t="shared" si="99"/>
        <v>9</v>
      </c>
      <c r="BW144" s="16">
        <f>(1+INDEX('1 - Input'!$B$34:$E$63,BV144,'1 - Input'!$B$16))^(1/12)-1</f>
        <v>4.1219243192651689E-3</v>
      </c>
      <c r="BX144" s="17">
        <f>'1 - Input'!$B$7*(1+'1 - Input'!$B$12)^(BV144-1)</f>
        <v>3163.4803287061168</v>
      </c>
      <c r="BY144" s="17">
        <f t="shared" si="130"/>
        <v>368144.75653430365</v>
      </c>
      <c r="BZ144" s="17">
        <f t="shared" si="131"/>
        <v>191930.34107993494</v>
      </c>
      <c r="CA144" s="17">
        <f t="shared" si="100"/>
        <v>369662.22135927237</v>
      </c>
      <c r="CB144" s="17">
        <f>IF(CA144&gt;0,'1 - Input'!$B$8/12*CA144,0)</f>
        <v>2772.4666601945428</v>
      </c>
      <c r="CC144" s="17">
        <f t="shared" si="101"/>
        <v>366889.75469907781</v>
      </c>
      <c r="CD144" s="17">
        <f t="shared" si="102"/>
        <v>2772.4666601945428</v>
      </c>
      <c r="CE144" s="17">
        <f>'1 - Input'!$B$22*(CB144-CD144)</f>
        <v>0</v>
      </c>
      <c r="CF144" s="17">
        <f t="shared" si="103"/>
        <v>2772.4666601945428</v>
      </c>
      <c r="CG144" s="17">
        <f t="shared" si="104"/>
        <v>189157.8744197404</v>
      </c>
      <c r="CH144" s="17">
        <f>IF('1 - Input'!$B$17=1,MAX(0,CF144-BX144),0)</f>
        <v>0</v>
      </c>
      <c r="CI144" s="17">
        <f>IF('1 - Input'!$B$17=1,MAX(0,BX144-CF144),0)</f>
        <v>391.013668511574</v>
      </c>
      <c r="CJ144" s="17">
        <f t="shared" si="105"/>
        <v>0.48442857289681673</v>
      </c>
      <c r="CK144" s="17">
        <f>IF(AND(CI144&gt;0,CC144&gt;0),CI144/(1-'1 - Input'!$B$22*CJ144),0)</f>
        <v>447.35919886381834</v>
      </c>
      <c r="CL144" s="17">
        <f t="shared" si="106"/>
        <v>447.35919886381834</v>
      </c>
      <c r="CM144" s="17">
        <f>'1 - Input'!$B$22*CJ144*CL144</f>
        <v>56.345530352244317</v>
      </c>
      <c r="CN144" s="17">
        <f t="shared" si="107"/>
        <v>391.013668511574</v>
      </c>
      <c r="CO144" s="17">
        <f t="shared" si="108"/>
        <v>0</v>
      </c>
      <c r="CP144" s="17">
        <f t="shared" si="109"/>
        <v>0</v>
      </c>
      <c r="CQ144" s="17">
        <f t="shared" si="110"/>
        <v>366442.39550021401</v>
      </c>
      <c r="CR144" s="17">
        <f t="shared" si="111"/>
        <v>188927.22879915446</v>
      </c>
      <c r="CS144" s="17">
        <f>IF(MOD(BU144,12)=0,CQ144*'1 - Input'!$B$23,0)</f>
        <v>0</v>
      </c>
      <c r="CT144" s="17">
        <f t="shared" si="112"/>
        <v>366442.39550021401</v>
      </c>
      <c r="CU144" s="17">
        <f>IF(MOD(BU144,12)=0,CR144*(1-'1 - Input'!$B$23),CR144)</f>
        <v>188927.22879915446</v>
      </c>
      <c r="CV144" s="17">
        <f>IF('1 - Input'!$B$17=1,MIN(CF144,BX144)+CN144,CF144)</f>
        <v>3163.4803287061168</v>
      </c>
      <c r="CW144" s="17">
        <f t="shared" si="132"/>
        <v>293905.59886720084</v>
      </c>
      <c r="CX144" s="17">
        <f t="shared" si="133"/>
        <v>0</v>
      </c>
      <c r="CY144" s="17">
        <f t="shared" si="134"/>
        <v>572.93503005248226</v>
      </c>
      <c r="CZ144" s="17">
        <f t="shared" si="135"/>
        <v>0</v>
      </c>
      <c r="DA144" s="17">
        <f t="shared" si="136"/>
        <v>6907.9202369676932</v>
      </c>
      <c r="DB144" s="17">
        <f t="shared" si="137"/>
        <v>0</v>
      </c>
      <c r="DC144" s="15">
        <f t="shared" si="113"/>
        <v>0</v>
      </c>
    </row>
    <row r="145" spans="1:107">
      <c r="A145" s="14">
        <v>102</v>
      </c>
      <c r="B145" s="15">
        <f t="shared" si="69"/>
        <v>9</v>
      </c>
      <c r="C145" s="16">
        <f>(1+INDEX('1 - Input'!$B$34:$E$63,B145,'1 - Input'!$B$16))^(1/12)-1</f>
        <v>4.1219243192651689E-3</v>
      </c>
      <c r="D145" s="17">
        <f>'1 - Input'!$B$7*(1+'1 - Input'!$B$12)^(B145-1)</f>
        <v>3163.4803287061168</v>
      </c>
      <c r="E145" s="17">
        <f t="shared" si="114"/>
        <v>271277.50883315079</v>
      </c>
      <c r="F145" s="17">
        <f t="shared" si="115"/>
        <v>383001.31299546408</v>
      </c>
      <c r="G145" s="17">
        <f t="shared" si="70"/>
        <v>272395.69419407984</v>
      </c>
      <c r="H145" s="17">
        <f>IF(G145&gt;0,'1 - Input'!$B$8/12*G145,0)</f>
        <v>2042.9677064555988</v>
      </c>
      <c r="I145" s="17">
        <f t="shared" si="71"/>
        <v>270352.72648762423</v>
      </c>
      <c r="J145" s="17">
        <f t="shared" si="72"/>
        <v>0</v>
      </c>
      <c r="K145" s="17">
        <f>'1 - Input'!$B$22*(H145-J145)</f>
        <v>531.17160367845565</v>
      </c>
      <c r="L145" s="17">
        <f t="shared" si="73"/>
        <v>1511.796102777143</v>
      </c>
      <c r="M145" s="17">
        <f t="shared" si="74"/>
        <v>383001.31299546408</v>
      </c>
      <c r="N145" s="17">
        <f>IF('1 - Input'!$B$17=1,MAX(0,L145-D145),0)</f>
        <v>0</v>
      </c>
      <c r="O145" s="17">
        <f>IF('1 - Input'!$B$17=1,MAX(0,D145-L145),0)</f>
        <v>1651.6842259289738</v>
      </c>
      <c r="P145" s="17">
        <f t="shared" si="75"/>
        <v>0</v>
      </c>
      <c r="Q145" s="17">
        <f>IF(AND(O145&gt;0,I145&gt;0),O145/(1-'1 - Input'!$B$22*P145),0)</f>
        <v>1651.6842259289738</v>
      </c>
      <c r="R145" s="17">
        <f t="shared" si="76"/>
        <v>1651.6842259289738</v>
      </c>
      <c r="S145" s="17">
        <f>'1 - Input'!$B$22*P145*R145</f>
        <v>0</v>
      </c>
      <c r="T145" s="17">
        <f t="shared" si="77"/>
        <v>1651.6842259289738</v>
      </c>
      <c r="U145" s="17">
        <f t="shared" si="78"/>
        <v>0</v>
      </c>
      <c r="V145" s="17">
        <f t="shared" si="79"/>
        <v>688.21164049444724</v>
      </c>
      <c r="W145" s="17">
        <f t="shared" si="80"/>
        <v>268701.04226169526</v>
      </c>
      <c r="X145" s="17">
        <f t="shared" si="81"/>
        <v>380661.4171290407</v>
      </c>
      <c r="Y145" s="17">
        <f>IF(MOD(A145,12)=0,W145*'1 - Input'!$B$23,0)</f>
        <v>0</v>
      </c>
      <c r="Z145" s="17">
        <f t="shared" si="82"/>
        <v>268701.04226169526</v>
      </c>
      <c r="AA145" s="17">
        <f>IF(MOD(A145,12)=0,X145*(1-'1 - Input'!$B$23),X145)</f>
        <v>380661.4171290407</v>
      </c>
      <c r="AB145" s="17">
        <f>IF('1 - Input'!$B$17=1,MIN(L145,D145)+T145,L145)</f>
        <v>3163.4803287061168</v>
      </c>
      <c r="AC145" s="17">
        <f t="shared" si="116"/>
        <v>297069.07919590693</v>
      </c>
      <c r="AD145" s="17">
        <f t="shared" si="117"/>
        <v>77233.378612747721</v>
      </c>
      <c r="AE145" s="17">
        <f t="shared" si="118"/>
        <v>0</v>
      </c>
      <c r="AF145" s="17">
        <f t="shared" si="119"/>
        <v>21348.672522719298</v>
      </c>
      <c r="AG145" s="17">
        <f t="shared" si="120"/>
        <v>6082.8142992394969</v>
      </c>
      <c r="AH145" s="17">
        <f t="shared" si="121"/>
        <v>0</v>
      </c>
      <c r="AI145" s="15">
        <f t="shared" si="83"/>
        <v>0</v>
      </c>
      <c r="AK145" s="14">
        <v>102</v>
      </c>
      <c r="AL145" s="15">
        <f t="shared" si="84"/>
        <v>9</v>
      </c>
      <c r="AM145" s="16">
        <f>(1+INDEX('1 - Input'!$B$34:$E$63,AL145,'1 - Input'!$B$16))^(1/12)-1</f>
        <v>4.1219243192651689E-3</v>
      </c>
      <c r="AN145" s="17">
        <f>'1 - Input'!$B$7*(1+'1 - Input'!$B$12)^(AL145-1)</f>
        <v>3163.4803287061168</v>
      </c>
      <c r="AO145" s="17">
        <f t="shared" si="122"/>
        <v>271277.50883315079</v>
      </c>
      <c r="AP145" s="17">
        <f t="shared" si="123"/>
        <v>383001.31299546408</v>
      </c>
      <c r="AQ145" s="17">
        <f t="shared" si="85"/>
        <v>272395.69419407984</v>
      </c>
      <c r="AR145" s="17">
        <f>IF(AQ145&gt;0,'1 - Input'!$B$8/12*AQ145,0)</f>
        <v>2042.9677064555988</v>
      </c>
      <c r="AS145" s="17">
        <f t="shared" si="86"/>
        <v>270352.72648762423</v>
      </c>
      <c r="AT145" s="17">
        <f t="shared" si="87"/>
        <v>0</v>
      </c>
      <c r="AU145" s="17">
        <f>'1 - Input'!$B$22*(AR145-AT145)</f>
        <v>531.17160367845565</v>
      </c>
      <c r="AV145" s="17">
        <f t="shared" si="88"/>
        <v>1511.796102777143</v>
      </c>
      <c r="AW145" s="17">
        <f t="shared" si="89"/>
        <v>383001.31299546408</v>
      </c>
      <c r="AX145" s="17">
        <f>IF('1 - Input'!$B$17=1,MAX(0,AV145-AN145),0)</f>
        <v>0</v>
      </c>
      <c r="AY145" s="17">
        <f>IF('1 - Input'!$B$17=1,MAX(0,AN145-AV145),0)</f>
        <v>1651.6842259289738</v>
      </c>
      <c r="AZ145" s="17">
        <f t="shared" si="90"/>
        <v>0</v>
      </c>
      <c r="BA145" s="17">
        <f>IF(AND(AY145&gt;0,AS145&gt;0),AY145/(1-'1 - Input'!$B$22*AZ145),0)</f>
        <v>1651.6842259289738</v>
      </c>
      <c r="BB145" s="17">
        <f t="shared" si="91"/>
        <v>1651.6842259289738</v>
      </c>
      <c r="BC145" s="17">
        <f>'1 - Input'!$B$22*AZ145*BB145</f>
        <v>0</v>
      </c>
      <c r="BD145" s="17">
        <f t="shared" si="92"/>
        <v>1651.6842259289738</v>
      </c>
      <c r="BE145" s="17">
        <f t="shared" si="93"/>
        <v>0</v>
      </c>
      <c r="BF145" s="17">
        <f t="shared" si="94"/>
        <v>688.21164049444724</v>
      </c>
      <c r="BG145" s="17">
        <f t="shared" si="95"/>
        <v>268701.04226169526</v>
      </c>
      <c r="BH145" s="17">
        <f t="shared" si="96"/>
        <v>380661.4171290407</v>
      </c>
      <c r="BI145" s="17">
        <f>IF(MOD(AK145,12)=0,BG145*'1 - Input'!$B$23,0)</f>
        <v>0</v>
      </c>
      <c r="BJ145" s="17">
        <f t="shared" si="97"/>
        <v>268701.04226169526</v>
      </c>
      <c r="BK145" s="17">
        <f>IF(MOD(AK145,12)=0,BH145*(1-'1 - Input'!$B$23),BH145)</f>
        <v>380661.4171290407</v>
      </c>
      <c r="BL145" s="17">
        <f>IF('1 - Input'!$B$17=1,MIN(AV145,AN145)+BD145,AV145)</f>
        <v>3163.4803287061168</v>
      </c>
      <c r="BM145" s="17">
        <f t="shared" si="124"/>
        <v>297069.07919590693</v>
      </c>
      <c r="BN145" s="17">
        <f t="shared" si="125"/>
        <v>77233.378612747721</v>
      </c>
      <c r="BO145" s="17">
        <f t="shared" si="126"/>
        <v>0</v>
      </c>
      <c r="BP145" s="17">
        <f t="shared" si="127"/>
        <v>21348.672522719298</v>
      </c>
      <c r="BQ145" s="17">
        <f t="shared" si="128"/>
        <v>6082.8142992394969</v>
      </c>
      <c r="BR145" s="17">
        <f t="shared" si="129"/>
        <v>0</v>
      </c>
      <c r="BS145" s="15">
        <f t="shared" si="98"/>
        <v>0</v>
      </c>
      <c r="BU145" s="14">
        <v>102</v>
      </c>
      <c r="BV145" s="15">
        <f t="shared" si="99"/>
        <v>9</v>
      </c>
      <c r="BW145" s="16">
        <f>(1+INDEX('1 - Input'!$B$34:$E$63,BV145,'1 - Input'!$B$16))^(1/12)-1</f>
        <v>4.1219243192651689E-3</v>
      </c>
      <c r="BX145" s="17">
        <f>'1 - Input'!$B$7*(1+'1 - Input'!$B$12)^(BV145-1)</f>
        <v>3163.4803287061168</v>
      </c>
      <c r="BY145" s="17">
        <f t="shared" si="130"/>
        <v>366442.39550021401</v>
      </c>
      <c r="BZ145" s="17">
        <f t="shared" si="131"/>
        <v>188927.22879915446</v>
      </c>
      <c r="CA145" s="17">
        <f t="shared" si="100"/>
        <v>367952.84332183615</v>
      </c>
      <c r="CB145" s="17">
        <f>IF(CA145&gt;0,'1 - Input'!$B$8/12*CA145,0)</f>
        <v>2759.646324913771</v>
      </c>
      <c r="CC145" s="17">
        <f t="shared" si="101"/>
        <v>365193.19699692237</v>
      </c>
      <c r="CD145" s="17">
        <f t="shared" si="102"/>
        <v>2759.646324913771</v>
      </c>
      <c r="CE145" s="17">
        <f>'1 - Input'!$B$22*(CB145-CD145)</f>
        <v>0</v>
      </c>
      <c r="CF145" s="17">
        <f t="shared" si="103"/>
        <v>2759.646324913771</v>
      </c>
      <c r="CG145" s="17">
        <f t="shared" si="104"/>
        <v>186167.58247424068</v>
      </c>
      <c r="CH145" s="17">
        <f>IF('1 - Input'!$B$17=1,MAX(0,CF145-BX145),0)</f>
        <v>0</v>
      </c>
      <c r="CI145" s="17">
        <f>IF('1 - Input'!$B$17=1,MAX(0,BX145-CF145),0)</f>
        <v>403.83400379234581</v>
      </c>
      <c r="CJ145" s="17">
        <f t="shared" si="105"/>
        <v>0.49022165800145068</v>
      </c>
      <c r="CK145" s="17">
        <f>IF(AND(CI145&gt;0,CC145&gt;0),CI145/(1-'1 - Input'!$B$22*CJ145),0)</f>
        <v>462.82452082226206</v>
      </c>
      <c r="CL145" s="17">
        <f t="shared" si="106"/>
        <v>462.82452082226206</v>
      </c>
      <c r="CM145" s="17">
        <f>'1 - Input'!$B$22*CJ145*CL145</f>
        <v>58.990517029916226</v>
      </c>
      <c r="CN145" s="17">
        <f t="shared" si="107"/>
        <v>403.83400379234581</v>
      </c>
      <c r="CO145" s="17">
        <f t="shared" si="108"/>
        <v>0</v>
      </c>
      <c r="CP145" s="17">
        <f t="shared" si="109"/>
        <v>0</v>
      </c>
      <c r="CQ145" s="17">
        <f t="shared" si="110"/>
        <v>364730.37247610011</v>
      </c>
      <c r="CR145" s="17">
        <f t="shared" si="111"/>
        <v>185931.64455737965</v>
      </c>
      <c r="CS145" s="17">
        <f>IF(MOD(BU145,12)=0,CQ145*'1 - Input'!$B$23,0)</f>
        <v>0</v>
      </c>
      <c r="CT145" s="17">
        <f t="shared" si="112"/>
        <v>364730.37247610011</v>
      </c>
      <c r="CU145" s="17">
        <f>IF(MOD(BU145,12)=0,CR145*(1-'1 - Input'!$B$23),CR145)</f>
        <v>185931.64455737965</v>
      </c>
      <c r="CV145" s="17">
        <f>IF('1 - Input'!$B$17=1,MIN(CF145,BX145)+CN145,CF145)</f>
        <v>3163.4803287061168</v>
      </c>
      <c r="CW145" s="17">
        <f t="shared" si="132"/>
        <v>297069.07919590693</v>
      </c>
      <c r="CX145" s="17">
        <f t="shared" si="133"/>
        <v>0</v>
      </c>
      <c r="CY145" s="17">
        <f t="shared" si="134"/>
        <v>631.92554708239845</v>
      </c>
      <c r="CZ145" s="17">
        <f t="shared" si="135"/>
        <v>0</v>
      </c>
      <c r="DA145" s="17">
        <f t="shared" si="136"/>
        <v>6907.9202369676932</v>
      </c>
      <c r="DB145" s="17">
        <f t="shared" si="137"/>
        <v>0</v>
      </c>
      <c r="DC145" s="15">
        <f t="shared" si="113"/>
        <v>0</v>
      </c>
    </row>
    <row r="146" spans="1:107">
      <c r="A146" s="14">
        <v>103</v>
      </c>
      <c r="B146" s="15">
        <f t="shared" si="69"/>
        <v>9</v>
      </c>
      <c r="C146" s="16">
        <f>(1+INDEX('1 - Input'!$B$34:$E$63,B146,'1 - Input'!$B$16))^(1/12)-1</f>
        <v>4.1219243192651689E-3</v>
      </c>
      <c r="D146" s="17">
        <f>'1 - Input'!$B$7*(1+'1 - Input'!$B$12)^(B146-1)</f>
        <v>3163.4803287061168</v>
      </c>
      <c r="E146" s="17">
        <f t="shared" si="114"/>
        <v>268701.04226169526</v>
      </c>
      <c r="F146" s="17">
        <f t="shared" si="115"/>
        <v>380661.4171290407</v>
      </c>
      <c r="G146" s="17">
        <f t="shared" si="70"/>
        <v>269808.60762240563</v>
      </c>
      <c r="H146" s="17">
        <f>IF(G146&gt;0,'1 - Input'!$B$8/12*G146,0)</f>
        <v>2023.5645571680423</v>
      </c>
      <c r="I146" s="17">
        <f t="shared" si="71"/>
        <v>267785.04306523758</v>
      </c>
      <c r="J146" s="17">
        <f t="shared" si="72"/>
        <v>0</v>
      </c>
      <c r="K146" s="17">
        <f>'1 - Input'!$B$22*(H146-J146)</f>
        <v>526.126784863691</v>
      </c>
      <c r="L146" s="17">
        <f t="shared" si="73"/>
        <v>1497.4377723043513</v>
      </c>
      <c r="M146" s="17">
        <f t="shared" si="74"/>
        <v>380661.4171290407</v>
      </c>
      <c r="N146" s="17">
        <f>IF('1 - Input'!$B$17=1,MAX(0,L146-D146),0)</f>
        <v>0</v>
      </c>
      <c r="O146" s="17">
        <f>IF('1 - Input'!$B$17=1,MAX(0,D146-L146),0)</f>
        <v>1666.0425564017655</v>
      </c>
      <c r="P146" s="17">
        <f t="shared" si="75"/>
        <v>0</v>
      </c>
      <c r="Q146" s="17">
        <f>IF(AND(O146&gt;0,I146&gt;0),O146/(1-'1 - Input'!$B$22*P146),0)</f>
        <v>1666.0425564017655</v>
      </c>
      <c r="R146" s="17">
        <f t="shared" si="76"/>
        <v>1666.0425564017655</v>
      </c>
      <c r="S146" s="17">
        <f>'1 - Input'!$B$22*P146*R146</f>
        <v>0</v>
      </c>
      <c r="T146" s="17">
        <f t="shared" si="77"/>
        <v>1666.0425564017655</v>
      </c>
      <c r="U146" s="17">
        <f t="shared" si="78"/>
        <v>0</v>
      </c>
      <c r="V146" s="17">
        <f t="shared" si="79"/>
        <v>702.26791104537631</v>
      </c>
      <c r="W146" s="17">
        <f t="shared" si="80"/>
        <v>266119.00050883583</v>
      </c>
      <c r="X146" s="17">
        <f t="shared" si="81"/>
        <v>378293.1066615936</v>
      </c>
      <c r="Y146" s="17">
        <f>IF(MOD(A146,12)=0,W146*'1 - Input'!$B$23,0)</f>
        <v>0</v>
      </c>
      <c r="Z146" s="17">
        <f t="shared" si="82"/>
        <v>266119.00050883583</v>
      </c>
      <c r="AA146" s="17">
        <f>IF(MOD(A146,12)=0,X146*(1-'1 - Input'!$B$23),X146)</f>
        <v>378293.1066615936</v>
      </c>
      <c r="AB146" s="17">
        <f>IF('1 - Input'!$B$17=1,MIN(L146,D146)+T146,L146)</f>
        <v>3163.4803287061168</v>
      </c>
      <c r="AC146" s="17">
        <f t="shared" si="116"/>
        <v>300232.55952461303</v>
      </c>
      <c r="AD146" s="17">
        <f t="shared" si="117"/>
        <v>77759.505397611414</v>
      </c>
      <c r="AE146" s="17">
        <f t="shared" si="118"/>
        <v>0</v>
      </c>
      <c r="AF146" s="17">
        <f t="shared" si="119"/>
        <v>22050.940433764674</v>
      </c>
      <c r="AG146" s="17">
        <f t="shared" si="120"/>
        <v>6082.8142992394969</v>
      </c>
      <c r="AH146" s="17">
        <f t="shared" si="121"/>
        <v>0</v>
      </c>
      <c r="AI146" s="15">
        <f t="shared" si="83"/>
        <v>0</v>
      </c>
      <c r="AK146" s="14">
        <v>103</v>
      </c>
      <c r="AL146" s="15">
        <f t="shared" si="84"/>
        <v>9</v>
      </c>
      <c r="AM146" s="16">
        <f>(1+INDEX('1 - Input'!$B$34:$E$63,AL146,'1 - Input'!$B$16))^(1/12)-1</f>
        <v>4.1219243192651689E-3</v>
      </c>
      <c r="AN146" s="17">
        <f>'1 - Input'!$B$7*(1+'1 - Input'!$B$12)^(AL146-1)</f>
        <v>3163.4803287061168</v>
      </c>
      <c r="AO146" s="17">
        <f t="shared" si="122"/>
        <v>268701.04226169526</v>
      </c>
      <c r="AP146" s="17">
        <f t="shared" si="123"/>
        <v>380661.4171290407</v>
      </c>
      <c r="AQ146" s="17">
        <f t="shared" si="85"/>
        <v>269808.60762240563</v>
      </c>
      <c r="AR146" s="17">
        <f>IF(AQ146&gt;0,'1 - Input'!$B$8/12*AQ146,0)</f>
        <v>2023.5645571680423</v>
      </c>
      <c r="AS146" s="17">
        <f t="shared" si="86"/>
        <v>267785.04306523758</v>
      </c>
      <c r="AT146" s="17">
        <f t="shared" si="87"/>
        <v>0</v>
      </c>
      <c r="AU146" s="17">
        <f>'1 - Input'!$B$22*(AR146-AT146)</f>
        <v>526.126784863691</v>
      </c>
      <c r="AV146" s="17">
        <f t="shared" si="88"/>
        <v>1497.4377723043513</v>
      </c>
      <c r="AW146" s="17">
        <f t="shared" si="89"/>
        <v>380661.4171290407</v>
      </c>
      <c r="AX146" s="17">
        <f>IF('1 - Input'!$B$17=1,MAX(0,AV146-AN146),0)</f>
        <v>0</v>
      </c>
      <c r="AY146" s="17">
        <f>IF('1 - Input'!$B$17=1,MAX(0,AN146-AV146),0)</f>
        <v>1666.0425564017655</v>
      </c>
      <c r="AZ146" s="17">
        <f t="shared" si="90"/>
        <v>0</v>
      </c>
      <c r="BA146" s="17">
        <f>IF(AND(AY146&gt;0,AS146&gt;0),AY146/(1-'1 - Input'!$B$22*AZ146),0)</f>
        <v>1666.0425564017655</v>
      </c>
      <c r="BB146" s="17">
        <f t="shared" si="91"/>
        <v>1666.0425564017655</v>
      </c>
      <c r="BC146" s="17">
        <f>'1 - Input'!$B$22*AZ146*BB146</f>
        <v>0</v>
      </c>
      <c r="BD146" s="17">
        <f t="shared" si="92"/>
        <v>1666.0425564017655</v>
      </c>
      <c r="BE146" s="17">
        <f t="shared" si="93"/>
        <v>0</v>
      </c>
      <c r="BF146" s="17">
        <f t="shared" si="94"/>
        <v>702.26791104537631</v>
      </c>
      <c r="BG146" s="17">
        <f t="shared" si="95"/>
        <v>266119.00050883583</v>
      </c>
      <c r="BH146" s="17">
        <f t="shared" si="96"/>
        <v>378293.1066615936</v>
      </c>
      <c r="BI146" s="17">
        <f>IF(MOD(AK146,12)=0,BG146*'1 - Input'!$B$23,0)</f>
        <v>0</v>
      </c>
      <c r="BJ146" s="17">
        <f t="shared" si="97"/>
        <v>266119.00050883583</v>
      </c>
      <c r="BK146" s="17">
        <f>IF(MOD(AK146,12)=0,BH146*(1-'1 - Input'!$B$23),BH146)</f>
        <v>378293.1066615936</v>
      </c>
      <c r="BL146" s="17">
        <f>IF('1 - Input'!$B$17=1,MIN(AV146,AN146)+BD146,AV146)</f>
        <v>3163.4803287061168</v>
      </c>
      <c r="BM146" s="17">
        <f t="shared" si="124"/>
        <v>300232.55952461303</v>
      </c>
      <c r="BN146" s="17">
        <f t="shared" si="125"/>
        <v>77759.505397611414</v>
      </c>
      <c r="BO146" s="17">
        <f t="shared" si="126"/>
        <v>0</v>
      </c>
      <c r="BP146" s="17">
        <f t="shared" si="127"/>
        <v>22050.940433764674</v>
      </c>
      <c r="BQ146" s="17">
        <f t="shared" si="128"/>
        <v>6082.8142992394969</v>
      </c>
      <c r="BR146" s="17">
        <f t="shared" si="129"/>
        <v>0</v>
      </c>
      <c r="BS146" s="15">
        <f t="shared" si="98"/>
        <v>0</v>
      </c>
      <c r="BU146" s="14">
        <v>103</v>
      </c>
      <c r="BV146" s="15">
        <f t="shared" si="99"/>
        <v>9</v>
      </c>
      <c r="BW146" s="16">
        <f>(1+INDEX('1 - Input'!$B$34:$E$63,BV146,'1 - Input'!$B$16))^(1/12)-1</f>
        <v>4.1219243192651689E-3</v>
      </c>
      <c r="BX146" s="17">
        <f>'1 - Input'!$B$7*(1+'1 - Input'!$B$12)^(BV146-1)</f>
        <v>3163.4803287061168</v>
      </c>
      <c r="BY146" s="17">
        <f t="shared" si="130"/>
        <v>364730.37247610011</v>
      </c>
      <c r="BZ146" s="17">
        <f t="shared" si="131"/>
        <v>185931.64455737965</v>
      </c>
      <c r="CA146" s="17">
        <f t="shared" si="100"/>
        <v>366233.76346838399</v>
      </c>
      <c r="CB146" s="17">
        <f>IF(CA146&gt;0,'1 - Input'!$B$8/12*CA146,0)</f>
        <v>2746.7532260128796</v>
      </c>
      <c r="CC146" s="17">
        <f t="shared" si="101"/>
        <v>363487.01024237112</v>
      </c>
      <c r="CD146" s="17">
        <f t="shared" si="102"/>
        <v>2746.7532260128796</v>
      </c>
      <c r="CE146" s="17">
        <f>'1 - Input'!$B$22*(CB146-CD146)</f>
        <v>0</v>
      </c>
      <c r="CF146" s="17">
        <f t="shared" si="103"/>
        <v>2746.7532260128796</v>
      </c>
      <c r="CG146" s="17">
        <f t="shared" si="104"/>
        <v>183184.89133136676</v>
      </c>
      <c r="CH146" s="17">
        <f>IF('1 - Input'!$B$17=1,MAX(0,CF146-BX146),0)</f>
        <v>0</v>
      </c>
      <c r="CI146" s="17">
        <f>IF('1 - Input'!$B$17=1,MAX(0,BX146-CF146),0)</f>
        <v>416.72710269323716</v>
      </c>
      <c r="CJ146" s="17">
        <f t="shared" si="105"/>
        <v>0.49603455922889761</v>
      </c>
      <c r="CK146" s="17">
        <f>IF(AND(CI146&gt;0,CC146&gt;0),CI146/(1-'1 - Input'!$B$22*CJ146),0)</f>
        <v>478.42969504866164</v>
      </c>
      <c r="CL146" s="17">
        <f t="shared" si="106"/>
        <v>478.42969504866164</v>
      </c>
      <c r="CM146" s="17">
        <f>'1 - Input'!$B$22*CJ146*CL146</f>
        <v>61.702592355424478</v>
      </c>
      <c r="CN146" s="17">
        <f t="shared" si="107"/>
        <v>416.72710269323716</v>
      </c>
      <c r="CO146" s="17">
        <f t="shared" si="108"/>
        <v>0</v>
      </c>
      <c r="CP146" s="17">
        <f t="shared" si="109"/>
        <v>0</v>
      </c>
      <c r="CQ146" s="17">
        <f t="shared" si="110"/>
        <v>363008.58054732246</v>
      </c>
      <c r="CR146" s="17">
        <f t="shared" si="111"/>
        <v>182943.77929922359</v>
      </c>
      <c r="CS146" s="17">
        <f>IF(MOD(BU146,12)=0,CQ146*'1 - Input'!$B$23,0)</f>
        <v>0</v>
      </c>
      <c r="CT146" s="17">
        <f t="shared" si="112"/>
        <v>363008.58054732246</v>
      </c>
      <c r="CU146" s="17">
        <f>IF(MOD(BU146,12)=0,CR146*(1-'1 - Input'!$B$23),CR146)</f>
        <v>182943.77929922359</v>
      </c>
      <c r="CV146" s="17">
        <f>IF('1 - Input'!$B$17=1,MIN(CF146,BX146)+CN146,CF146)</f>
        <v>3163.4803287061168</v>
      </c>
      <c r="CW146" s="17">
        <f t="shared" si="132"/>
        <v>300232.55952461303</v>
      </c>
      <c r="CX146" s="17">
        <f t="shared" si="133"/>
        <v>0</v>
      </c>
      <c r="CY146" s="17">
        <f t="shared" si="134"/>
        <v>693.62813943782294</v>
      </c>
      <c r="CZ146" s="17">
        <f t="shared" si="135"/>
        <v>0</v>
      </c>
      <c r="DA146" s="17">
        <f t="shared" si="136"/>
        <v>6907.9202369676932</v>
      </c>
      <c r="DB146" s="17">
        <f t="shared" si="137"/>
        <v>0</v>
      </c>
      <c r="DC146" s="15">
        <f t="shared" si="113"/>
        <v>0</v>
      </c>
    </row>
    <row r="147" spans="1:107">
      <c r="A147" s="14">
        <v>104</v>
      </c>
      <c r="B147" s="15">
        <f t="shared" si="69"/>
        <v>9</v>
      </c>
      <c r="C147" s="16">
        <f>(1+INDEX('1 - Input'!$B$34:$E$63,B147,'1 - Input'!$B$16))^(1/12)-1</f>
        <v>4.1219243192651689E-3</v>
      </c>
      <c r="D147" s="17">
        <f>'1 - Input'!$B$7*(1+'1 - Input'!$B$12)^(B147-1)</f>
        <v>3163.4803287061168</v>
      </c>
      <c r="E147" s="17">
        <f t="shared" si="114"/>
        <v>266119.00050883583</v>
      </c>
      <c r="F147" s="17">
        <f t="shared" si="115"/>
        <v>378293.1066615936</v>
      </c>
      <c r="G147" s="17">
        <f t="shared" si="70"/>
        <v>267215.92288885172</v>
      </c>
      <c r="H147" s="17">
        <f>IF(G147&gt;0,'1 - Input'!$B$8/12*G147,0)</f>
        <v>2004.1194216663878</v>
      </c>
      <c r="I147" s="17">
        <f t="shared" si="71"/>
        <v>265211.80346718535</v>
      </c>
      <c r="J147" s="17">
        <f t="shared" si="72"/>
        <v>0</v>
      </c>
      <c r="K147" s="17">
        <f>'1 - Input'!$B$22*(H147-J147)</f>
        <v>521.07104963326083</v>
      </c>
      <c r="L147" s="17">
        <f t="shared" si="73"/>
        <v>1483.048372033127</v>
      </c>
      <c r="M147" s="17">
        <f t="shared" si="74"/>
        <v>378293.1066615936</v>
      </c>
      <c r="N147" s="17">
        <f>IF('1 - Input'!$B$17=1,MAX(0,L147-D147),0)</f>
        <v>0</v>
      </c>
      <c r="O147" s="17">
        <f>IF('1 - Input'!$B$17=1,MAX(0,D147-L147),0)</f>
        <v>1680.4319566729898</v>
      </c>
      <c r="P147" s="17">
        <f t="shared" si="75"/>
        <v>0</v>
      </c>
      <c r="Q147" s="17">
        <f>IF(AND(O147&gt;0,I147&gt;0),O147/(1-'1 - Input'!$B$22*P147),0)</f>
        <v>1680.4319566729898</v>
      </c>
      <c r="R147" s="17">
        <f t="shared" si="76"/>
        <v>1680.4319566729898</v>
      </c>
      <c r="S147" s="17">
        <f>'1 - Input'!$B$22*P147*R147</f>
        <v>0</v>
      </c>
      <c r="T147" s="17">
        <f t="shared" si="77"/>
        <v>1680.4319566729898</v>
      </c>
      <c r="U147" s="17">
        <f t="shared" si="78"/>
        <v>0</v>
      </c>
      <c r="V147" s="17">
        <f t="shared" si="79"/>
        <v>716.50444326329875</v>
      </c>
      <c r="W147" s="17">
        <f t="shared" si="80"/>
        <v>263531.37151051237</v>
      </c>
      <c r="X147" s="17">
        <f t="shared" si="81"/>
        <v>375896.17026165733</v>
      </c>
      <c r="Y147" s="17">
        <f>IF(MOD(A147,12)=0,W147*'1 - Input'!$B$23,0)</f>
        <v>0</v>
      </c>
      <c r="Z147" s="17">
        <f t="shared" si="82"/>
        <v>263531.37151051237</v>
      </c>
      <c r="AA147" s="17">
        <f>IF(MOD(A147,12)=0,X147*(1-'1 - Input'!$B$23),X147)</f>
        <v>375896.17026165733</v>
      </c>
      <c r="AB147" s="17">
        <f>IF('1 - Input'!$B$17=1,MIN(L147,D147)+T147,L147)</f>
        <v>3163.4803287061168</v>
      </c>
      <c r="AC147" s="17">
        <f t="shared" si="116"/>
        <v>303396.03985331912</v>
      </c>
      <c r="AD147" s="17">
        <f t="shared" si="117"/>
        <v>78280.576447244675</v>
      </c>
      <c r="AE147" s="17">
        <f t="shared" si="118"/>
        <v>0</v>
      </c>
      <c r="AF147" s="17">
        <f t="shared" si="119"/>
        <v>22767.444877027974</v>
      </c>
      <c r="AG147" s="17">
        <f t="shared" si="120"/>
        <v>6082.8142992394969</v>
      </c>
      <c r="AH147" s="17">
        <f t="shared" si="121"/>
        <v>0</v>
      </c>
      <c r="AI147" s="15">
        <f t="shared" si="83"/>
        <v>0</v>
      </c>
      <c r="AK147" s="14">
        <v>104</v>
      </c>
      <c r="AL147" s="15">
        <f t="shared" si="84"/>
        <v>9</v>
      </c>
      <c r="AM147" s="16">
        <f>(1+INDEX('1 - Input'!$B$34:$E$63,AL147,'1 - Input'!$B$16))^(1/12)-1</f>
        <v>4.1219243192651689E-3</v>
      </c>
      <c r="AN147" s="17">
        <f>'1 - Input'!$B$7*(1+'1 - Input'!$B$12)^(AL147-1)</f>
        <v>3163.4803287061168</v>
      </c>
      <c r="AO147" s="17">
        <f t="shared" si="122"/>
        <v>266119.00050883583</v>
      </c>
      <c r="AP147" s="17">
        <f t="shared" si="123"/>
        <v>378293.1066615936</v>
      </c>
      <c r="AQ147" s="17">
        <f t="shared" si="85"/>
        <v>267215.92288885172</v>
      </c>
      <c r="AR147" s="17">
        <f>IF(AQ147&gt;0,'1 - Input'!$B$8/12*AQ147,0)</f>
        <v>2004.1194216663878</v>
      </c>
      <c r="AS147" s="17">
        <f t="shared" si="86"/>
        <v>265211.80346718535</v>
      </c>
      <c r="AT147" s="17">
        <f t="shared" si="87"/>
        <v>0</v>
      </c>
      <c r="AU147" s="17">
        <f>'1 - Input'!$B$22*(AR147-AT147)</f>
        <v>521.07104963326083</v>
      </c>
      <c r="AV147" s="17">
        <f t="shared" si="88"/>
        <v>1483.048372033127</v>
      </c>
      <c r="AW147" s="17">
        <f t="shared" si="89"/>
        <v>378293.1066615936</v>
      </c>
      <c r="AX147" s="17">
        <f>IF('1 - Input'!$B$17=1,MAX(0,AV147-AN147),0)</f>
        <v>0</v>
      </c>
      <c r="AY147" s="17">
        <f>IF('1 - Input'!$B$17=1,MAX(0,AN147-AV147),0)</f>
        <v>1680.4319566729898</v>
      </c>
      <c r="AZ147" s="17">
        <f t="shared" si="90"/>
        <v>0</v>
      </c>
      <c r="BA147" s="17">
        <f>IF(AND(AY147&gt;0,AS147&gt;0),AY147/(1-'1 - Input'!$B$22*AZ147),0)</f>
        <v>1680.4319566729898</v>
      </c>
      <c r="BB147" s="17">
        <f t="shared" si="91"/>
        <v>1680.4319566729898</v>
      </c>
      <c r="BC147" s="17">
        <f>'1 - Input'!$B$22*AZ147*BB147</f>
        <v>0</v>
      </c>
      <c r="BD147" s="17">
        <f t="shared" si="92"/>
        <v>1680.4319566729898</v>
      </c>
      <c r="BE147" s="17">
        <f t="shared" si="93"/>
        <v>0</v>
      </c>
      <c r="BF147" s="17">
        <f t="shared" si="94"/>
        <v>716.50444326329875</v>
      </c>
      <c r="BG147" s="17">
        <f t="shared" si="95"/>
        <v>263531.37151051237</v>
      </c>
      <c r="BH147" s="17">
        <f t="shared" si="96"/>
        <v>375896.17026165733</v>
      </c>
      <c r="BI147" s="17">
        <f>IF(MOD(AK147,12)=0,BG147*'1 - Input'!$B$23,0)</f>
        <v>0</v>
      </c>
      <c r="BJ147" s="17">
        <f t="shared" si="97"/>
        <v>263531.37151051237</v>
      </c>
      <c r="BK147" s="17">
        <f>IF(MOD(AK147,12)=0,BH147*(1-'1 - Input'!$B$23),BH147)</f>
        <v>375896.17026165733</v>
      </c>
      <c r="BL147" s="17">
        <f>IF('1 - Input'!$B$17=1,MIN(AV147,AN147)+BD147,AV147)</f>
        <v>3163.4803287061168</v>
      </c>
      <c r="BM147" s="17">
        <f t="shared" si="124"/>
        <v>303396.03985331912</v>
      </c>
      <c r="BN147" s="17">
        <f t="shared" si="125"/>
        <v>78280.576447244675</v>
      </c>
      <c r="BO147" s="17">
        <f t="shared" si="126"/>
        <v>0</v>
      </c>
      <c r="BP147" s="17">
        <f t="shared" si="127"/>
        <v>22767.444877027974</v>
      </c>
      <c r="BQ147" s="17">
        <f t="shared" si="128"/>
        <v>6082.8142992394969</v>
      </c>
      <c r="BR147" s="17">
        <f t="shared" si="129"/>
        <v>0</v>
      </c>
      <c r="BS147" s="15">
        <f t="shared" si="98"/>
        <v>0</v>
      </c>
      <c r="BU147" s="14">
        <v>104</v>
      </c>
      <c r="BV147" s="15">
        <f t="shared" si="99"/>
        <v>9</v>
      </c>
      <c r="BW147" s="16">
        <f>(1+INDEX('1 - Input'!$B$34:$E$63,BV147,'1 - Input'!$B$16))^(1/12)-1</f>
        <v>4.1219243192651689E-3</v>
      </c>
      <c r="BX147" s="17">
        <f>'1 - Input'!$B$7*(1+'1 - Input'!$B$12)^(BV147-1)</f>
        <v>3163.4803287061168</v>
      </c>
      <c r="BY147" s="17">
        <f t="shared" si="130"/>
        <v>363008.58054732246</v>
      </c>
      <c r="BZ147" s="17">
        <f t="shared" si="131"/>
        <v>182943.77929922359</v>
      </c>
      <c r="CA147" s="17">
        <f t="shared" si="100"/>
        <v>364504.87444358238</v>
      </c>
      <c r="CB147" s="17">
        <f>IF(CA147&gt;0,'1 - Input'!$B$8/12*CA147,0)</f>
        <v>2733.7865583268676</v>
      </c>
      <c r="CC147" s="17">
        <f t="shared" si="101"/>
        <v>361771.08788525552</v>
      </c>
      <c r="CD147" s="17">
        <f t="shared" si="102"/>
        <v>2733.7865583268676</v>
      </c>
      <c r="CE147" s="17">
        <f>'1 - Input'!$B$22*(CB147-CD147)</f>
        <v>0</v>
      </c>
      <c r="CF147" s="17">
        <f t="shared" si="103"/>
        <v>2733.7865583268676</v>
      </c>
      <c r="CG147" s="17">
        <f t="shared" si="104"/>
        <v>180209.99274089673</v>
      </c>
      <c r="CH147" s="17">
        <f>IF('1 - Input'!$B$17=1,MAX(0,CF147-BX147),0)</f>
        <v>0</v>
      </c>
      <c r="CI147" s="17">
        <f>IF('1 - Input'!$B$17=1,MAX(0,BX147-CF147),0)</f>
        <v>429.69377037924914</v>
      </c>
      <c r="CJ147" s="17">
        <f t="shared" si="105"/>
        <v>0.50186734436319935</v>
      </c>
      <c r="CK147" s="17">
        <f>IF(AND(CI147&gt;0,CC147&gt;0),CI147/(1-'1 - Input'!$B$22*CJ147),0)</f>
        <v>494.17666420852424</v>
      </c>
      <c r="CL147" s="17">
        <f t="shared" si="106"/>
        <v>494.17666420852424</v>
      </c>
      <c r="CM147" s="17">
        <f>'1 - Input'!$B$22*CJ147*CL147</f>
        <v>64.482893829275113</v>
      </c>
      <c r="CN147" s="17">
        <f t="shared" si="107"/>
        <v>429.69377037924914</v>
      </c>
      <c r="CO147" s="17">
        <f t="shared" si="108"/>
        <v>0</v>
      </c>
      <c r="CP147" s="17">
        <f t="shared" si="109"/>
        <v>0</v>
      </c>
      <c r="CQ147" s="17">
        <f t="shared" si="110"/>
        <v>361276.91122104699</v>
      </c>
      <c r="CR147" s="17">
        <f t="shared" si="111"/>
        <v>179963.82720680081</v>
      </c>
      <c r="CS147" s="17">
        <f>IF(MOD(BU147,12)=0,CQ147*'1 - Input'!$B$23,0)</f>
        <v>0</v>
      </c>
      <c r="CT147" s="17">
        <f t="shared" si="112"/>
        <v>361276.91122104699</v>
      </c>
      <c r="CU147" s="17">
        <f>IF(MOD(BU147,12)=0,CR147*(1-'1 - Input'!$B$23),CR147)</f>
        <v>179963.82720680081</v>
      </c>
      <c r="CV147" s="17">
        <f>IF('1 - Input'!$B$17=1,MIN(CF147,BX147)+CN147,CF147)</f>
        <v>3163.4803287061168</v>
      </c>
      <c r="CW147" s="17">
        <f t="shared" si="132"/>
        <v>303396.03985331912</v>
      </c>
      <c r="CX147" s="17">
        <f t="shared" si="133"/>
        <v>0</v>
      </c>
      <c r="CY147" s="17">
        <f t="shared" si="134"/>
        <v>758.11103326709804</v>
      </c>
      <c r="CZ147" s="17">
        <f t="shared" si="135"/>
        <v>0</v>
      </c>
      <c r="DA147" s="17">
        <f t="shared" si="136"/>
        <v>6907.9202369676932</v>
      </c>
      <c r="DB147" s="17">
        <f t="shared" si="137"/>
        <v>0</v>
      </c>
      <c r="DC147" s="15">
        <f t="shared" si="113"/>
        <v>0</v>
      </c>
    </row>
    <row r="148" spans="1:107">
      <c r="A148" s="14">
        <v>105</v>
      </c>
      <c r="B148" s="15">
        <f t="shared" si="69"/>
        <v>9</v>
      </c>
      <c r="C148" s="16">
        <f>(1+INDEX('1 - Input'!$B$34:$E$63,B148,'1 - Input'!$B$16))^(1/12)-1</f>
        <v>4.1219243192651689E-3</v>
      </c>
      <c r="D148" s="17">
        <f>'1 - Input'!$B$7*(1+'1 - Input'!$B$12)^(B148-1)</f>
        <v>3163.4803287061168</v>
      </c>
      <c r="E148" s="17">
        <f t="shared" si="114"/>
        <v>263531.37151051237</v>
      </c>
      <c r="F148" s="17">
        <f t="shared" si="115"/>
        <v>375896.17026165733</v>
      </c>
      <c r="G148" s="17">
        <f t="shared" si="70"/>
        <v>264617.62787963083</v>
      </c>
      <c r="H148" s="17">
        <f>IF(G148&gt;0,'1 - Input'!$B$8/12*G148,0)</f>
        <v>1984.6322090972312</v>
      </c>
      <c r="I148" s="17">
        <f t="shared" si="71"/>
        <v>262632.99567053362</v>
      </c>
      <c r="J148" s="17">
        <f t="shared" si="72"/>
        <v>0</v>
      </c>
      <c r="K148" s="17">
        <f>'1 - Input'!$B$22*(H148-J148)</f>
        <v>516.00437436528011</v>
      </c>
      <c r="L148" s="17">
        <f t="shared" si="73"/>
        <v>1468.6278347319512</v>
      </c>
      <c r="M148" s="17">
        <f t="shared" si="74"/>
        <v>375896.17026165733</v>
      </c>
      <c r="N148" s="17">
        <f>IF('1 - Input'!$B$17=1,MAX(0,L148-D148),0)</f>
        <v>0</v>
      </c>
      <c r="O148" s="17">
        <f>IF('1 - Input'!$B$17=1,MAX(0,D148-L148),0)</f>
        <v>1694.8524939741656</v>
      </c>
      <c r="P148" s="17">
        <f t="shared" si="75"/>
        <v>0</v>
      </c>
      <c r="Q148" s="17">
        <f>IF(AND(O148&gt;0,I148&gt;0),O148/(1-'1 - Input'!$B$22*P148),0)</f>
        <v>1694.8524939741656</v>
      </c>
      <c r="R148" s="17">
        <f t="shared" si="76"/>
        <v>1694.8524939741656</v>
      </c>
      <c r="S148" s="17">
        <f>'1 - Input'!$B$22*P148*R148</f>
        <v>0</v>
      </c>
      <c r="T148" s="17">
        <f t="shared" si="77"/>
        <v>1694.8524939741656</v>
      </c>
      <c r="U148" s="17">
        <f t="shared" si="78"/>
        <v>0</v>
      </c>
      <c r="V148" s="17">
        <f t="shared" si="79"/>
        <v>730.92253104408769</v>
      </c>
      <c r="W148" s="17">
        <f t="shared" si="80"/>
        <v>260938.14317655945</v>
      </c>
      <c r="X148" s="17">
        <f t="shared" si="81"/>
        <v>373470.39523663907</v>
      </c>
      <c r="Y148" s="17">
        <f>IF(MOD(A148,12)=0,W148*'1 - Input'!$B$23,0)</f>
        <v>0</v>
      </c>
      <c r="Z148" s="17">
        <f t="shared" si="82"/>
        <v>260938.14317655945</v>
      </c>
      <c r="AA148" s="17">
        <f>IF(MOD(A148,12)=0,X148*(1-'1 - Input'!$B$23),X148)</f>
        <v>373470.39523663907</v>
      </c>
      <c r="AB148" s="17">
        <f>IF('1 - Input'!$B$17=1,MIN(L148,D148)+T148,L148)</f>
        <v>3163.4803287061168</v>
      </c>
      <c r="AC148" s="17">
        <f t="shared" si="116"/>
        <v>306559.52018202521</v>
      </c>
      <c r="AD148" s="17">
        <f t="shared" si="117"/>
        <v>78796.580821609954</v>
      </c>
      <c r="AE148" s="17">
        <f t="shared" si="118"/>
        <v>0</v>
      </c>
      <c r="AF148" s="17">
        <f t="shared" si="119"/>
        <v>23498.367408072063</v>
      </c>
      <c r="AG148" s="17">
        <f t="shared" si="120"/>
        <v>6082.8142992394969</v>
      </c>
      <c r="AH148" s="17">
        <f t="shared" si="121"/>
        <v>0</v>
      </c>
      <c r="AI148" s="15">
        <f t="shared" si="83"/>
        <v>0</v>
      </c>
      <c r="AK148" s="14">
        <v>105</v>
      </c>
      <c r="AL148" s="15">
        <f t="shared" si="84"/>
        <v>9</v>
      </c>
      <c r="AM148" s="16">
        <f>(1+INDEX('1 - Input'!$B$34:$E$63,AL148,'1 - Input'!$B$16))^(1/12)-1</f>
        <v>4.1219243192651689E-3</v>
      </c>
      <c r="AN148" s="17">
        <f>'1 - Input'!$B$7*(1+'1 - Input'!$B$12)^(AL148-1)</f>
        <v>3163.4803287061168</v>
      </c>
      <c r="AO148" s="17">
        <f t="shared" si="122"/>
        <v>263531.37151051237</v>
      </c>
      <c r="AP148" s="17">
        <f t="shared" si="123"/>
        <v>375896.17026165733</v>
      </c>
      <c r="AQ148" s="17">
        <f t="shared" si="85"/>
        <v>264617.62787963083</v>
      </c>
      <c r="AR148" s="17">
        <f>IF(AQ148&gt;0,'1 - Input'!$B$8/12*AQ148,0)</f>
        <v>1984.6322090972312</v>
      </c>
      <c r="AS148" s="17">
        <f t="shared" si="86"/>
        <v>262632.99567053362</v>
      </c>
      <c r="AT148" s="17">
        <f t="shared" si="87"/>
        <v>0</v>
      </c>
      <c r="AU148" s="17">
        <f>'1 - Input'!$B$22*(AR148-AT148)</f>
        <v>516.00437436528011</v>
      </c>
      <c r="AV148" s="17">
        <f t="shared" si="88"/>
        <v>1468.6278347319512</v>
      </c>
      <c r="AW148" s="17">
        <f t="shared" si="89"/>
        <v>375896.17026165733</v>
      </c>
      <c r="AX148" s="17">
        <f>IF('1 - Input'!$B$17=1,MAX(0,AV148-AN148),0)</f>
        <v>0</v>
      </c>
      <c r="AY148" s="17">
        <f>IF('1 - Input'!$B$17=1,MAX(0,AN148-AV148),0)</f>
        <v>1694.8524939741656</v>
      </c>
      <c r="AZ148" s="17">
        <f t="shared" si="90"/>
        <v>0</v>
      </c>
      <c r="BA148" s="17">
        <f>IF(AND(AY148&gt;0,AS148&gt;0),AY148/(1-'1 - Input'!$B$22*AZ148),0)</f>
        <v>1694.8524939741656</v>
      </c>
      <c r="BB148" s="17">
        <f t="shared" si="91"/>
        <v>1694.8524939741656</v>
      </c>
      <c r="BC148" s="17">
        <f>'1 - Input'!$B$22*AZ148*BB148</f>
        <v>0</v>
      </c>
      <c r="BD148" s="17">
        <f t="shared" si="92"/>
        <v>1694.8524939741656</v>
      </c>
      <c r="BE148" s="17">
        <f t="shared" si="93"/>
        <v>0</v>
      </c>
      <c r="BF148" s="17">
        <f t="shared" si="94"/>
        <v>730.92253104408769</v>
      </c>
      <c r="BG148" s="17">
        <f t="shared" si="95"/>
        <v>260938.14317655945</v>
      </c>
      <c r="BH148" s="17">
        <f t="shared" si="96"/>
        <v>373470.39523663907</v>
      </c>
      <c r="BI148" s="17">
        <f>IF(MOD(AK148,12)=0,BG148*'1 - Input'!$B$23,0)</f>
        <v>0</v>
      </c>
      <c r="BJ148" s="17">
        <f t="shared" si="97"/>
        <v>260938.14317655945</v>
      </c>
      <c r="BK148" s="17">
        <f>IF(MOD(AK148,12)=0,BH148*(1-'1 - Input'!$B$23),BH148)</f>
        <v>373470.39523663907</v>
      </c>
      <c r="BL148" s="17">
        <f>IF('1 - Input'!$B$17=1,MIN(AV148,AN148)+BD148,AV148)</f>
        <v>3163.4803287061168</v>
      </c>
      <c r="BM148" s="17">
        <f t="shared" si="124"/>
        <v>306559.52018202521</v>
      </c>
      <c r="BN148" s="17">
        <f t="shared" si="125"/>
        <v>78796.580821609954</v>
      </c>
      <c r="BO148" s="17">
        <f t="shared" si="126"/>
        <v>0</v>
      </c>
      <c r="BP148" s="17">
        <f t="shared" si="127"/>
        <v>23498.367408072063</v>
      </c>
      <c r="BQ148" s="17">
        <f t="shared" si="128"/>
        <v>6082.8142992394969</v>
      </c>
      <c r="BR148" s="17">
        <f t="shared" si="129"/>
        <v>0</v>
      </c>
      <c r="BS148" s="15">
        <f t="shared" si="98"/>
        <v>0</v>
      </c>
      <c r="BU148" s="14">
        <v>105</v>
      </c>
      <c r="BV148" s="15">
        <f t="shared" si="99"/>
        <v>9</v>
      </c>
      <c r="BW148" s="16">
        <f>(1+INDEX('1 - Input'!$B$34:$E$63,BV148,'1 - Input'!$B$16))^(1/12)-1</f>
        <v>4.1219243192651689E-3</v>
      </c>
      <c r="BX148" s="17">
        <f>'1 - Input'!$B$7*(1+'1 - Input'!$B$12)^(BV148-1)</f>
        <v>3163.4803287061168</v>
      </c>
      <c r="BY148" s="17">
        <f t="shared" si="130"/>
        <v>361276.91122104699</v>
      </c>
      <c r="BZ148" s="17">
        <f t="shared" si="131"/>
        <v>179963.82720680081</v>
      </c>
      <c r="CA148" s="17">
        <f t="shared" si="100"/>
        <v>362766.06730739801</v>
      </c>
      <c r="CB148" s="17">
        <f>IF(CA148&gt;0,'1 - Input'!$B$8/12*CA148,0)</f>
        <v>2720.7455048054849</v>
      </c>
      <c r="CC148" s="17">
        <f t="shared" si="101"/>
        <v>360045.32180259255</v>
      </c>
      <c r="CD148" s="17">
        <f t="shared" si="102"/>
        <v>2720.7455048054849</v>
      </c>
      <c r="CE148" s="17">
        <f>'1 - Input'!$B$22*(CB148-CD148)</f>
        <v>0</v>
      </c>
      <c r="CF148" s="17">
        <f t="shared" si="103"/>
        <v>2720.7455048054849</v>
      </c>
      <c r="CG148" s="17">
        <f t="shared" si="104"/>
        <v>177243.08170199531</v>
      </c>
      <c r="CH148" s="17">
        <f>IF('1 - Input'!$B$17=1,MAX(0,CF148-BX148),0)</f>
        <v>0</v>
      </c>
      <c r="CI148" s="17">
        <f>IF('1 - Input'!$B$17=1,MAX(0,BX148-CF148),0)</f>
        <v>442.73482390063191</v>
      </c>
      <c r="CJ148" s="17">
        <f t="shared" si="105"/>
        <v>0.50772008142026337</v>
      </c>
      <c r="CK148" s="17">
        <f>IF(AND(CI148&gt;0,CC148&gt;0),CI148/(1-'1 - Input'!$B$22*CJ148),0)</f>
        <v>510.06740458951469</v>
      </c>
      <c r="CL148" s="17">
        <f t="shared" si="106"/>
        <v>510.06740458951469</v>
      </c>
      <c r="CM148" s="17">
        <f>'1 - Input'!$B$22*CJ148*CL148</f>
        <v>67.332580688882814</v>
      </c>
      <c r="CN148" s="17">
        <f t="shared" si="107"/>
        <v>442.73482390063191</v>
      </c>
      <c r="CO148" s="17">
        <f t="shared" si="108"/>
        <v>0</v>
      </c>
      <c r="CP148" s="17">
        <f t="shared" si="109"/>
        <v>0</v>
      </c>
      <c r="CQ148" s="17">
        <f t="shared" si="110"/>
        <v>359535.25439800305</v>
      </c>
      <c r="CR148" s="17">
        <f t="shared" si="111"/>
        <v>176991.98576159382</v>
      </c>
      <c r="CS148" s="17">
        <f>IF(MOD(BU148,12)=0,CQ148*'1 - Input'!$B$23,0)</f>
        <v>0</v>
      </c>
      <c r="CT148" s="17">
        <f t="shared" si="112"/>
        <v>359535.25439800305</v>
      </c>
      <c r="CU148" s="17">
        <f>IF(MOD(BU148,12)=0,CR148*(1-'1 - Input'!$B$23),CR148)</f>
        <v>176991.98576159382</v>
      </c>
      <c r="CV148" s="17">
        <f>IF('1 - Input'!$B$17=1,MIN(CF148,BX148)+CN148,CF148)</f>
        <v>3163.4803287061168</v>
      </c>
      <c r="CW148" s="17">
        <f t="shared" si="132"/>
        <v>306559.52018202521</v>
      </c>
      <c r="CX148" s="17">
        <f t="shared" si="133"/>
        <v>0</v>
      </c>
      <c r="CY148" s="17">
        <f t="shared" si="134"/>
        <v>825.44361395598082</v>
      </c>
      <c r="CZ148" s="17">
        <f t="shared" si="135"/>
        <v>0</v>
      </c>
      <c r="DA148" s="17">
        <f t="shared" si="136"/>
        <v>6907.9202369676932</v>
      </c>
      <c r="DB148" s="17">
        <f t="shared" si="137"/>
        <v>0</v>
      </c>
      <c r="DC148" s="15">
        <f t="shared" si="113"/>
        <v>0</v>
      </c>
    </row>
    <row r="149" spans="1:107">
      <c r="A149" s="14">
        <v>106</v>
      </c>
      <c r="B149" s="15">
        <f t="shared" si="69"/>
        <v>9</v>
      </c>
      <c r="C149" s="16">
        <f>(1+INDEX('1 - Input'!$B$34:$E$63,B149,'1 - Input'!$B$16))^(1/12)-1</f>
        <v>4.1219243192651689E-3</v>
      </c>
      <c r="D149" s="17">
        <f>'1 - Input'!$B$7*(1+'1 - Input'!$B$12)^(B149-1)</f>
        <v>3163.4803287061168</v>
      </c>
      <c r="E149" s="17">
        <f t="shared" si="114"/>
        <v>260938.14317655945</v>
      </c>
      <c r="F149" s="17">
        <f t="shared" si="115"/>
        <v>373470.39523663907</v>
      </c>
      <c r="G149" s="17">
        <f t="shared" si="70"/>
        <v>262013.7104547428</v>
      </c>
      <c r="H149" s="17">
        <f>IF(G149&gt;0,'1 - Input'!$B$8/12*G149,0)</f>
        <v>1965.102828410571</v>
      </c>
      <c r="I149" s="17">
        <f t="shared" si="71"/>
        <v>260048.60762633223</v>
      </c>
      <c r="J149" s="17">
        <f t="shared" si="72"/>
        <v>0</v>
      </c>
      <c r="K149" s="17">
        <f>'1 - Input'!$B$22*(H149-J149)</f>
        <v>510.92673538674848</v>
      </c>
      <c r="L149" s="17">
        <f t="shared" si="73"/>
        <v>1454.1760930238224</v>
      </c>
      <c r="M149" s="17">
        <f t="shared" si="74"/>
        <v>373470.39523663907</v>
      </c>
      <c r="N149" s="17">
        <f>IF('1 - Input'!$B$17=1,MAX(0,L149-D149),0)</f>
        <v>0</v>
      </c>
      <c r="O149" s="17">
        <f>IF('1 - Input'!$B$17=1,MAX(0,D149-L149),0)</f>
        <v>1709.3042356822943</v>
      </c>
      <c r="P149" s="17">
        <f t="shared" si="75"/>
        <v>0</v>
      </c>
      <c r="Q149" s="17">
        <f>IF(AND(O149&gt;0,I149&gt;0),O149/(1-'1 - Input'!$B$22*P149),0)</f>
        <v>1709.3042356822943</v>
      </c>
      <c r="R149" s="17">
        <f t="shared" si="76"/>
        <v>1709.3042356822943</v>
      </c>
      <c r="S149" s="17">
        <f>'1 - Input'!$B$22*P149*R149</f>
        <v>0</v>
      </c>
      <c r="T149" s="17">
        <f t="shared" si="77"/>
        <v>1709.3042356822943</v>
      </c>
      <c r="U149" s="17">
        <f t="shared" si="78"/>
        <v>0</v>
      </c>
      <c r="V149" s="17">
        <f t="shared" si="79"/>
        <v>745.52347636305421</v>
      </c>
      <c r="W149" s="17">
        <f t="shared" si="80"/>
        <v>258339.30339064993</v>
      </c>
      <c r="X149" s="17">
        <f t="shared" si="81"/>
        <v>371015.56752459373</v>
      </c>
      <c r="Y149" s="17">
        <f>IF(MOD(A149,12)=0,W149*'1 - Input'!$B$23,0)</f>
        <v>0</v>
      </c>
      <c r="Z149" s="17">
        <f t="shared" si="82"/>
        <v>258339.30339064993</v>
      </c>
      <c r="AA149" s="17">
        <f>IF(MOD(A149,12)=0,X149*(1-'1 - Input'!$B$23),X149)</f>
        <v>371015.56752459373</v>
      </c>
      <c r="AB149" s="17">
        <f>IF('1 - Input'!$B$17=1,MIN(L149,D149)+T149,L149)</f>
        <v>3163.4803287061168</v>
      </c>
      <c r="AC149" s="17">
        <f t="shared" si="116"/>
        <v>309723.0005107313</v>
      </c>
      <c r="AD149" s="17">
        <f t="shared" si="117"/>
        <v>79307.507556996701</v>
      </c>
      <c r="AE149" s="17">
        <f t="shared" si="118"/>
        <v>0</v>
      </c>
      <c r="AF149" s="17">
        <f t="shared" si="119"/>
        <v>24243.890884435117</v>
      </c>
      <c r="AG149" s="17">
        <f t="shared" si="120"/>
        <v>6082.8142992394969</v>
      </c>
      <c r="AH149" s="17">
        <f t="shared" si="121"/>
        <v>0</v>
      </c>
      <c r="AI149" s="15">
        <f t="shared" si="83"/>
        <v>0</v>
      </c>
      <c r="AK149" s="14">
        <v>106</v>
      </c>
      <c r="AL149" s="15">
        <f t="shared" si="84"/>
        <v>9</v>
      </c>
      <c r="AM149" s="16">
        <f>(1+INDEX('1 - Input'!$B$34:$E$63,AL149,'1 - Input'!$B$16))^(1/12)-1</f>
        <v>4.1219243192651689E-3</v>
      </c>
      <c r="AN149" s="17">
        <f>'1 - Input'!$B$7*(1+'1 - Input'!$B$12)^(AL149-1)</f>
        <v>3163.4803287061168</v>
      </c>
      <c r="AO149" s="17">
        <f t="shared" si="122"/>
        <v>260938.14317655945</v>
      </c>
      <c r="AP149" s="17">
        <f t="shared" si="123"/>
        <v>373470.39523663907</v>
      </c>
      <c r="AQ149" s="17">
        <f t="shared" si="85"/>
        <v>262013.7104547428</v>
      </c>
      <c r="AR149" s="17">
        <f>IF(AQ149&gt;0,'1 - Input'!$B$8/12*AQ149,0)</f>
        <v>1965.102828410571</v>
      </c>
      <c r="AS149" s="17">
        <f t="shared" si="86"/>
        <v>260048.60762633223</v>
      </c>
      <c r="AT149" s="17">
        <f t="shared" si="87"/>
        <v>0</v>
      </c>
      <c r="AU149" s="17">
        <f>'1 - Input'!$B$22*(AR149-AT149)</f>
        <v>510.92673538674848</v>
      </c>
      <c r="AV149" s="17">
        <f t="shared" si="88"/>
        <v>1454.1760930238224</v>
      </c>
      <c r="AW149" s="17">
        <f t="shared" si="89"/>
        <v>373470.39523663907</v>
      </c>
      <c r="AX149" s="17">
        <f>IF('1 - Input'!$B$17=1,MAX(0,AV149-AN149),0)</f>
        <v>0</v>
      </c>
      <c r="AY149" s="17">
        <f>IF('1 - Input'!$B$17=1,MAX(0,AN149-AV149),0)</f>
        <v>1709.3042356822943</v>
      </c>
      <c r="AZ149" s="17">
        <f t="shared" si="90"/>
        <v>0</v>
      </c>
      <c r="BA149" s="17">
        <f>IF(AND(AY149&gt;0,AS149&gt;0),AY149/(1-'1 - Input'!$B$22*AZ149),0)</f>
        <v>1709.3042356822943</v>
      </c>
      <c r="BB149" s="17">
        <f t="shared" si="91"/>
        <v>1709.3042356822943</v>
      </c>
      <c r="BC149" s="17">
        <f>'1 - Input'!$B$22*AZ149*BB149</f>
        <v>0</v>
      </c>
      <c r="BD149" s="17">
        <f t="shared" si="92"/>
        <v>1709.3042356822943</v>
      </c>
      <c r="BE149" s="17">
        <f t="shared" si="93"/>
        <v>0</v>
      </c>
      <c r="BF149" s="17">
        <f t="shared" si="94"/>
        <v>745.52347636305421</v>
      </c>
      <c r="BG149" s="17">
        <f t="shared" si="95"/>
        <v>258339.30339064993</v>
      </c>
      <c r="BH149" s="17">
        <f t="shared" si="96"/>
        <v>371015.56752459373</v>
      </c>
      <c r="BI149" s="17">
        <f>IF(MOD(AK149,12)=0,BG149*'1 - Input'!$B$23,0)</f>
        <v>0</v>
      </c>
      <c r="BJ149" s="17">
        <f t="shared" si="97"/>
        <v>258339.30339064993</v>
      </c>
      <c r="BK149" s="17">
        <f>IF(MOD(AK149,12)=0,BH149*(1-'1 - Input'!$B$23),BH149)</f>
        <v>371015.56752459373</v>
      </c>
      <c r="BL149" s="17">
        <f>IF('1 - Input'!$B$17=1,MIN(AV149,AN149)+BD149,AV149)</f>
        <v>3163.4803287061168</v>
      </c>
      <c r="BM149" s="17">
        <f t="shared" si="124"/>
        <v>309723.0005107313</v>
      </c>
      <c r="BN149" s="17">
        <f t="shared" si="125"/>
        <v>79307.507556996701</v>
      </c>
      <c r="BO149" s="17">
        <f t="shared" si="126"/>
        <v>0</v>
      </c>
      <c r="BP149" s="17">
        <f t="shared" si="127"/>
        <v>24243.890884435117</v>
      </c>
      <c r="BQ149" s="17">
        <f t="shared" si="128"/>
        <v>6082.8142992394969</v>
      </c>
      <c r="BR149" s="17">
        <f t="shared" si="129"/>
        <v>0</v>
      </c>
      <c r="BS149" s="15">
        <f t="shared" si="98"/>
        <v>0</v>
      </c>
      <c r="BU149" s="14">
        <v>106</v>
      </c>
      <c r="BV149" s="15">
        <f t="shared" si="99"/>
        <v>9</v>
      </c>
      <c r="BW149" s="16">
        <f>(1+INDEX('1 - Input'!$B$34:$E$63,BV149,'1 - Input'!$B$16))^(1/12)-1</f>
        <v>4.1219243192651689E-3</v>
      </c>
      <c r="BX149" s="17">
        <f>'1 - Input'!$B$7*(1+'1 - Input'!$B$12)^(BV149-1)</f>
        <v>3163.4803287061168</v>
      </c>
      <c r="BY149" s="17">
        <f t="shared" si="130"/>
        <v>359535.25439800305</v>
      </c>
      <c r="BZ149" s="17">
        <f t="shared" si="131"/>
        <v>176991.98576159382</v>
      </c>
      <c r="CA149" s="17">
        <f t="shared" si="100"/>
        <v>361017.23150673934</v>
      </c>
      <c r="CB149" s="17">
        <f>IF(CA149&gt;0,'1 - Input'!$B$8/12*CA149,0)</f>
        <v>2707.629236300545</v>
      </c>
      <c r="CC149" s="17">
        <f t="shared" si="101"/>
        <v>358309.6022704388</v>
      </c>
      <c r="CD149" s="17">
        <f t="shared" si="102"/>
        <v>2707.629236300545</v>
      </c>
      <c r="CE149" s="17">
        <f>'1 - Input'!$B$22*(CB149-CD149)</f>
        <v>0</v>
      </c>
      <c r="CF149" s="17">
        <f t="shared" si="103"/>
        <v>2707.629236300545</v>
      </c>
      <c r="CG149" s="17">
        <f t="shared" si="104"/>
        <v>174284.35652529329</v>
      </c>
      <c r="CH149" s="17">
        <f>IF('1 - Input'!$B$17=1,MAX(0,CF149-BX149),0)</f>
        <v>0</v>
      </c>
      <c r="CI149" s="17">
        <f>IF('1 - Input'!$B$17=1,MAX(0,BX149-CF149),0)</f>
        <v>455.85109240557176</v>
      </c>
      <c r="CJ149" s="17">
        <f t="shared" si="105"/>
        <v>0.51359283864865579</v>
      </c>
      <c r="CK149" s="17">
        <f>IF(AND(CI149&gt;0,CC149&gt;0),CI149/(1-'1 - Input'!$B$22*CJ149),0)</f>
        <v>526.10392679402185</v>
      </c>
      <c r="CL149" s="17">
        <f t="shared" si="106"/>
        <v>526.10392679402185</v>
      </c>
      <c r="CM149" s="17">
        <f>'1 - Input'!$B$22*CJ149*CL149</f>
        <v>70.252834388450026</v>
      </c>
      <c r="CN149" s="17">
        <f t="shared" si="107"/>
        <v>455.85109240557182</v>
      </c>
      <c r="CO149" s="17">
        <f t="shared" si="108"/>
        <v>0</v>
      </c>
      <c r="CP149" s="17">
        <f t="shared" si="109"/>
        <v>0</v>
      </c>
      <c r="CQ149" s="17">
        <f t="shared" si="110"/>
        <v>357783.49834364478</v>
      </c>
      <c r="CR149" s="17">
        <f t="shared" si="111"/>
        <v>174028.45580768559</v>
      </c>
      <c r="CS149" s="17">
        <f>IF(MOD(BU149,12)=0,CQ149*'1 - Input'!$B$23,0)</f>
        <v>0</v>
      </c>
      <c r="CT149" s="17">
        <f t="shared" si="112"/>
        <v>357783.49834364478</v>
      </c>
      <c r="CU149" s="17">
        <f>IF(MOD(BU149,12)=0,CR149*(1-'1 - Input'!$B$23),CR149)</f>
        <v>174028.45580768559</v>
      </c>
      <c r="CV149" s="17">
        <f>IF('1 - Input'!$B$17=1,MIN(CF149,BX149)+CN149,CF149)</f>
        <v>3163.4803287061168</v>
      </c>
      <c r="CW149" s="17">
        <f t="shared" si="132"/>
        <v>309723.0005107313</v>
      </c>
      <c r="CX149" s="17">
        <f t="shared" si="133"/>
        <v>0</v>
      </c>
      <c r="CY149" s="17">
        <f t="shared" si="134"/>
        <v>895.69644834443079</v>
      </c>
      <c r="CZ149" s="17">
        <f t="shared" si="135"/>
        <v>0</v>
      </c>
      <c r="DA149" s="17">
        <f t="shared" si="136"/>
        <v>6907.9202369676932</v>
      </c>
      <c r="DB149" s="17">
        <f t="shared" si="137"/>
        <v>0</v>
      </c>
      <c r="DC149" s="15">
        <f t="shared" si="113"/>
        <v>0</v>
      </c>
    </row>
    <row r="150" spans="1:107">
      <c r="A150" s="14">
        <v>107</v>
      </c>
      <c r="B150" s="15">
        <f t="shared" si="69"/>
        <v>9</v>
      </c>
      <c r="C150" s="16">
        <f>(1+INDEX('1 - Input'!$B$34:$E$63,B150,'1 - Input'!$B$16))^(1/12)-1</f>
        <v>4.1219243192651689E-3</v>
      </c>
      <c r="D150" s="17">
        <f>'1 - Input'!$B$7*(1+'1 - Input'!$B$12)^(B150-1)</f>
        <v>3163.4803287061168</v>
      </c>
      <c r="E150" s="17">
        <f t="shared" si="114"/>
        <v>258339.30339064993</v>
      </c>
      <c r="F150" s="17">
        <f t="shared" si="115"/>
        <v>371015.56752459373</v>
      </c>
      <c r="G150" s="17">
        <f t="shared" si="70"/>
        <v>259404.15844791787</v>
      </c>
      <c r="H150" s="17">
        <f>IF(G150&gt;0,'1 - Input'!$B$8/12*G150,0)</f>
        <v>1945.531188359384</v>
      </c>
      <c r="I150" s="17">
        <f t="shared" si="71"/>
        <v>257458.62725955847</v>
      </c>
      <c r="J150" s="17">
        <f t="shared" si="72"/>
        <v>0</v>
      </c>
      <c r="K150" s="17">
        <f>'1 - Input'!$B$22*(H150-J150)</f>
        <v>505.83810897343989</v>
      </c>
      <c r="L150" s="17">
        <f t="shared" si="73"/>
        <v>1439.6930793859442</v>
      </c>
      <c r="M150" s="17">
        <f t="shared" si="74"/>
        <v>371015.56752459373</v>
      </c>
      <c r="N150" s="17">
        <f>IF('1 - Input'!$B$17=1,MAX(0,L150-D150),0)</f>
        <v>0</v>
      </c>
      <c r="O150" s="17">
        <f>IF('1 - Input'!$B$17=1,MAX(0,D150-L150),0)</f>
        <v>1723.7872493201726</v>
      </c>
      <c r="P150" s="17">
        <f t="shared" si="75"/>
        <v>0</v>
      </c>
      <c r="Q150" s="17">
        <f>IF(AND(O150&gt;0,I150&gt;0),O150/(1-'1 - Input'!$B$22*P150),0)</f>
        <v>1723.7872493201726</v>
      </c>
      <c r="R150" s="17">
        <f t="shared" si="76"/>
        <v>1723.7872493201726</v>
      </c>
      <c r="S150" s="17">
        <f>'1 - Input'!$B$22*P150*R150</f>
        <v>0</v>
      </c>
      <c r="T150" s="17">
        <f t="shared" si="77"/>
        <v>1723.7872493201726</v>
      </c>
      <c r="U150" s="17">
        <f t="shared" si="78"/>
        <v>0</v>
      </c>
      <c r="V150" s="17">
        <f t="shared" si="79"/>
        <v>760.30858932272531</v>
      </c>
      <c r="W150" s="17">
        <f t="shared" si="80"/>
        <v>255734.84001023829</v>
      </c>
      <c r="X150" s="17">
        <f t="shared" si="81"/>
        <v>368531.47168595082</v>
      </c>
      <c r="Y150" s="17">
        <f>IF(MOD(A150,12)=0,W150*'1 - Input'!$B$23,0)</f>
        <v>0</v>
      </c>
      <c r="Z150" s="17">
        <f t="shared" si="82"/>
        <v>255734.84001023829</v>
      </c>
      <c r="AA150" s="17">
        <f>IF(MOD(A150,12)=0,X150*(1-'1 - Input'!$B$23),X150)</f>
        <v>368531.47168595082</v>
      </c>
      <c r="AB150" s="17">
        <f>IF('1 - Input'!$B$17=1,MIN(L150,D150)+T150,L150)</f>
        <v>3163.4803287061168</v>
      </c>
      <c r="AC150" s="17">
        <f t="shared" si="116"/>
        <v>312886.4808394374</v>
      </c>
      <c r="AD150" s="17">
        <f t="shared" si="117"/>
        <v>79813.345665970148</v>
      </c>
      <c r="AE150" s="17">
        <f t="shared" si="118"/>
        <v>0</v>
      </c>
      <c r="AF150" s="17">
        <f t="shared" si="119"/>
        <v>25004.199473757842</v>
      </c>
      <c r="AG150" s="17">
        <f t="shared" si="120"/>
        <v>6082.8142992394969</v>
      </c>
      <c r="AH150" s="17">
        <f t="shared" si="121"/>
        <v>0</v>
      </c>
      <c r="AI150" s="15">
        <f t="shared" si="83"/>
        <v>0</v>
      </c>
      <c r="AK150" s="14">
        <v>107</v>
      </c>
      <c r="AL150" s="15">
        <f t="shared" si="84"/>
        <v>9</v>
      </c>
      <c r="AM150" s="16">
        <f>(1+INDEX('1 - Input'!$B$34:$E$63,AL150,'1 - Input'!$B$16))^(1/12)-1</f>
        <v>4.1219243192651689E-3</v>
      </c>
      <c r="AN150" s="17">
        <f>'1 - Input'!$B$7*(1+'1 - Input'!$B$12)^(AL150-1)</f>
        <v>3163.4803287061168</v>
      </c>
      <c r="AO150" s="17">
        <f t="shared" si="122"/>
        <v>258339.30339064993</v>
      </c>
      <c r="AP150" s="17">
        <f t="shared" si="123"/>
        <v>371015.56752459373</v>
      </c>
      <c r="AQ150" s="17">
        <f t="shared" si="85"/>
        <v>259404.15844791787</v>
      </c>
      <c r="AR150" s="17">
        <f>IF(AQ150&gt;0,'1 - Input'!$B$8/12*AQ150,0)</f>
        <v>1945.531188359384</v>
      </c>
      <c r="AS150" s="17">
        <f t="shared" si="86"/>
        <v>257458.62725955847</v>
      </c>
      <c r="AT150" s="17">
        <f t="shared" si="87"/>
        <v>0</v>
      </c>
      <c r="AU150" s="17">
        <f>'1 - Input'!$B$22*(AR150-AT150)</f>
        <v>505.83810897343989</v>
      </c>
      <c r="AV150" s="17">
        <f t="shared" si="88"/>
        <v>1439.6930793859442</v>
      </c>
      <c r="AW150" s="17">
        <f t="shared" si="89"/>
        <v>371015.56752459373</v>
      </c>
      <c r="AX150" s="17">
        <f>IF('1 - Input'!$B$17=1,MAX(0,AV150-AN150),0)</f>
        <v>0</v>
      </c>
      <c r="AY150" s="17">
        <f>IF('1 - Input'!$B$17=1,MAX(0,AN150-AV150),0)</f>
        <v>1723.7872493201726</v>
      </c>
      <c r="AZ150" s="17">
        <f t="shared" si="90"/>
        <v>0</v>
      </c>
      <c r="BA150" s="17">
        <f>IF(AND(AY150&gt;0,AS150&gt;0),AY150/(1-'1 - Input'!$B$22*AZ150),0)</f>
        <v>1723.7872493201726</v>
      </c>
      <c r="BB150" s="17">
        <f t="shared" si="91"/>
        <v>1723.7872493201726</v>
      </c>
      <c r="BC150" s="17">
        <f>'1 - Input'!$B$22*AZ150*BB150</f>
        <v>0</v>
      </c>
      <c r="BD150" s="17">
        <f t="shared" si="92"/>
        <v>1723.7872493201726</v>
      </c>
      <c r="BE150" s="17">
        <f t="shared" si="93"/>
        <v>0</v>
      </c>
      <c r="BF150" s="17">
        <f t="shared" si="94"/>
        <v>760.30858932272531</v>
      </c>
      <c r="BG150" s="17">
        <f t="shared" si="95"/>
        <v>255734.84001023829</v>
      </c>
      <c r="BH150" s="17">
        <f t="shared" si="96"/>
        <v>368531.47168595082</v>
      </c>
      <c r="BI150" s="17">
        <f>IF(MOD(AK150,12)=0,BG150*'1 - Input'!$B$23,0)</f>
        <v>0</v>
      </c>
      <c r="BJ150" s="17">
        <f t="shared" si="97"/>
        <v>255734.84001023829</v>
      </c>
      <c r="BK150" s="17">
        <f>IF(MOD(AK150,12)=0,BH150*(1-'1 - Input'!$B$23),BH150)</f>
        <v>368531.47168595082</v>
      </c>
      <c r="BL150" s="17">
        <f>IF('1 - Input'!$B$17=1,MIN(AV150,AN150)+BD150,AV150)</f>
        <v>3163.4803287061168</v>
      </c>
      <c r="BM150" s="17">
        <f t="shared" si="124"/>
        <v>312886.4808394374</v>
      </c>
      <c r="BN150" s="17">
        <f t="shared" si="125"/>
        <v>79813.345665970148</v>
      </c>
      <c r="BO150" s="17">
        <f t="shared" si="126"/>
        <v>0</v>
      </c>
      <c r="BP150" s="17">
        <f t="shared" si="127"/>
        <v>25004.199473757842</v>
      </c>
      <c r="BQ150" s="17">
        <f t="shared" si="128"/>
        <v>6082.8142992394969</v>
      </c>
      <c r="BR150" s="17">
        <f t="shared" si="129"/>
        <v>0</v>
      </c>
      <c r="BS150" s="15">
        <f t="shared" si="98"/>
        <v>0</v>
      </c>
      <c r="BU150" s="14">
        <v>107</v>
      </c>
      <c r="BV150" s="15">
        <f t="shared" si="99"/>
        <v>9</v>
      </c>
      <c r="BW150" s="16">
        <f>(1+INDEX('1 - Input'!$B$34:$E$63,BV150,'1 - Input'!$B$16))^(1/12)-1</f>
        <v>4.1219243192651689E-3</v>
      </c>
      <c r="BX150" s="17">
        <f>'1 - Input'!$B$7*(1+'1 - Input'!$B$12)^(BV150-1)</f>
        <v>3163.4803287061168</v>
      </c>
      <c r="BY150" s="17">
        <f t="shared" si="130"/>
        <v>357783.49834364478</v>
      </c>
      <c r="BZ150" s="17">
        <f t="shared" si="131"/>
        <v>174028.45580768559</v>
      </c>
      <c r="CA150" s="17">
        <f t="shared" si="100"/>
        <v>359258.25484649924</v>
      </c>
      <c r="CB150" s="17">
        <f>IF(CA150&gt;0,'1 - Input'!$B$8/12*CA150,0)</f>
        <v>2694.4369113487442</v>
      </c>
      <c r="CC150" s="17">
        <f t="shared" si="101"/>
        <v>356563.81793515052</v>
      </c>
      <c r="CD150" s="17">
        <f t="shared" si="102"/>
        <v>2694.4369113487442</v>
      </c>
      <c r="CE150" s="17">
        <f>'1 - Input'!$B$22*(CB150-CD150)</f>
        <v>0</v>
      </c>
      <c r="CF150" s="17">
        <f t="shared" si="103"/>
        <v>2694.4369113487442</v>
      </c>
      <c r="CG150" s="17">
        <f t="shared" si="104"/>
        <v>171334.01889633684</v>
      </c>
      <c r="CH150" s="17">
        <f>IF('1 - Input'!$B$17=1,MAX(0,CF150-BX150),0)</f>
        <v>0</v>
      </c>
      <c r="CI150" s="17">
        <f>IF('1 - Input'!$B$17=1,MAX(0,BX150-CF150),0)</f>
        <v>469.04341735737262</v>
      </c>
      <c r="CJ150" s="17">
        <f t="shared" si="105"/>
        <v>0.51948568453039745</v>
      </c>
      <c r="CK150" s="17">
        <f>IF(AND(CI150&gt;0,CC150&gt;0),CI150/(1-'1 - Input'!$B$22*CJ150),0)</f>
        <v>542.2882764482963</v>
      </c>
      <c r="CL150" s="17">
        <f t="shared" si="106"/>
        <v>542.2882764482963</v>
      </c>
      <c r="CM150" s="17">
        <f>'1 - Input'!$B$22*CJ150*CL150</f>
        <v>73.244859090923683</v>
      </c>
      <c r="CN150" s="17">
        <f t="shared" si="107"/>
        <v>469.04341735737262</v>
      </c>
      <c r="CO150" s="17">
        <f t="shared" si="108"/>
        <v>0</v>
      </c>
      <c r="CP150" s="17">
        <f t="shared" si="109"/>
        <v>0</v>
      </c>
      <c r="CQ150" s="17">
        <f t="shared" si="110"/>
        <v>356021.5296587022</v>
      </c>
      <c r="CR150" s="17">
        <f t="shared" si="111"/>
        <v>171073.44161639211</v>
      </c>
      <c r="CS150" s="17">
        <f>IF(MOD(BU150,12)=0,CQ150*'1 - Input'!$B$23,0)</f>
        <v>0</v>
      </c>
      <c r="CT150" s="17">
        <f t="shared" si="112"/>
        <v>356021.5296587022</v>
      </c>
      <c r="CU150" s="17">
        <f>IF(MOD(BU150,12)=0,CR150*(1-'1 - Input'!$B$23),CR150)</f>
        <v>171073.44161639211</v>
      </c>
      <c r="CV150" s="17">
        <f>IF('1 - Input'!$B$17=1,MIN(CF150,BX150)+CN150,CF150)</f>
        <v>3163.4803287061168</v>
      </c>
      <c r="CW150" s="17">
        <f t="shared" si="132"/>
        <v>312886.4808394374</v>
      </c>
      <c r="CX150" s="17">
        <f t="shared" si="133"/>
        <v>0</v>
      </c>
      <c r="CY150" s="17">
        <f t="shared" si="134"/>
        <v>968.94130743535447</v>
      </c>
      <c r="CZ150" s="17">
        <f t="shared" si="135"/>
        <v>0</v>
      </c>
      <c r="DA150" s="17">
        <f t="shared" si="136"/>
        <v>6907.9202369676932</v>
      </c>
      <c r="DB150" s="17">
        <f t="shared" si="137"/>
        <v>0</v>
      </c>
      <c r="DC150" s="15">
        <f t="shared" si="113"/>
        <v>0</v>
      </c>
    </row>
    <row r="151" spans="1:107">
      <c r="A151" s="14">
        <v>108</v>
      </c>
      <c r="B151" s="15">
        <f t="shared" si="69"/>
        <v>9</v>
      </c>
      <c r="C151" s="16">
        <f>(1+INDEX('1 - Input'!$B$34:$E$63,B151,'1 - Input'!$B$16))^(1/12)-1</f>
        <v>4.1219243192651689E-3</v>
      </c>
      <c r="D151" s="17">
        <f>'1 - Input'!$B$7*(1+'1 - Input'!$B$12)^(B151-1)</f>
        <v>3163.4803287061168</v>
      </c>
      <c r="E151" s="17">
        <f t="shared" si="114"/>
        <v>255734.84001023829</v>
      </c>
      <c r="F151" s="17">
        <f t="shared" si="115"/>
        <v>368531.47168595082</v>
      </c>
      <c r="G151" s="17">
        <f t="shared" si="70"/>
        <v>256788.95966655988</v>
      </c>
      <c r="H151" s="17">
        <f>IF(G151&gt;0,'1 - Input'!$B$8/12*G151,0)</f>
        <v>1925.9171974991991</v>
      </c>
      <c r="I151" s="17">
        <f t="shared" si="71"/>
        <v>254863.04246906069</v>
      </c>
      <c r="J151" s="17">
        <f t="shared" si="72"/>
        <v>0</v>
      </c>
      <c r="K151" s="17">
        <f>'1 - Input'!$B$22*(H151-J151)</f>
        <v>500.73847134979178</v>
      </c>
      <c r="L151" s="17">
        <f t="shared" si="73"/>
        <v>1425.1787261494073</v>
      </c>
      <c r="M151" s="17">
        <f t="shared" si="74"/>
        <v>368531.47168595082</v>
      </c>
      <c r="N151" s="17">
        <f>IF('1 - Input'!$B$17=1,MAX(0,L151-D151),0)</f>
        <v>0</v>
      </c>
      <c r="O151" s="17">
        <f>IF('1 - Input'!$B$17=1,MAX(0,D151-L151),0)</f>
        <v>1738.3016025567094</v>
      </c>
      <c r="P151" s="17">
        <f t="shared" si="75"/>
        <v>0</v>
      </c>
      <c r="Q151" s="17">
        <f>IF(AND(O151&gt;0,I151&gt;0),O151/(1-'1 - Input'!$B$22*P151),0)</f>
        <v>1738.3016025567094</v>
      </c>
      <c r="R151" s="17">
        <f t="shared" si="76"/>
        <v>1738.3016025567094</v>
      </c>
      <c r="S151" s="17">
        <f>'1 - Input'!$B$22*P151*R151</f>
        <v>0</v>
      </c>
      <c r="T151" s="17">
        <f t="shared" si="77"/>
        <v>1738.3016025567094</v>
      </c>
      <c r="U151" s="17">
        <f t="shared" si="78"/>
        <v>0</v>
      </c>
      <c r="V151" s="17">
        <f t="shared" si="79"/>
        <v>775.27918820089656</v>
      </c>
      <c r="W151" s="17">
        <f t="shared" si="80"/>
        <v>253124.74086650397</v>
      </c>
      <c r="X151" s="17">
        <f t="shared" si="81"/>
        <v>366017.89089519321</v>
      </c>
      <c r="Y151" s="17">
        <f>IF(MOD(A151,12)=0,W151*'1 - Input'!$B$23,0)</f>
        <v>506.24948173300794</v>
      </c>
      <c r="Z151" s="17">
        <f t="shared" si="82"/>
        <v>252618.49138477095</v>
      </c>
      <c r="AA151" s="17">
        <f>IF(MOD(A151,12)=0,X151*(1-'1 - Input'!$B$23),X151)</f>
        <v>365285.85511340282</v>
      </c>
      <c r="AB151" s="17">
        <f>IF('1 - Input'!$B$17=1,MIN(L151,D151)+T151,L151)</f>
        <v>3163.4803287061168</v>
      </c>
      <c r="AC151" s="17">
        <f t="shared" si="116"/>
        <v>316049.96116814349</v>
      </c>
      <c r="AD151" s="17">
        <f t="shared" si="117"/>
        <v>80314.084137319936</v>
      </c>
      <c r="AE151" s="17">
        <f t="shared" si="118"/>
        <v>0</v>
      </c>
      <c r="AF151" s="17">
        <f t="shared" si="119"/>
        <v>25779.478661958739</v>
      </c>
      <c r="AG151" s="17">
        <f t="shared" si="120"/>
        <v>6589.0637809725049</v>
      </c>
      <c r="AH151" s="17">
        <f t="shared" si="121"/>
        <v>0</v>
      </c>
      <c r="AI151" s="15">
        <f t="shared" si="83"/>
        <v>0</v>
      </c>
      <c r="AK151" s="14">
        <v>108</v>
      </c>
      <c r="AL151" s="15">
        <f t="shared" si="84"/>
        <v>9</v>
      </c>
      <c r="AM151" s="16">
        <f>(1+INDEX('1 - Input'!$B$34:$E$63,AL151,'1 - Input'!$B$16))^(1/12)-1</f>
        <v>4.1219243192651689E-3</v>
      </c>
      <c r="AN151" s="17">
        <f>'1 - Input'!$B$7*(1+'1 - Input'!$B$12)^(AL151-1)</f>
        <v>3163.4803287061168</v>
      </c>
      <c r="AO151" s="17">
        <f t="shared" si="122"/>
        <v>255734.84001023829</v>
      </c>
      <c r="AP151" s="17">
        <f t="shared" si="123"/>
        <v>368531.47168595082</v>
      </c>
      <c r="AQ151" s="17">
        <f t="shared" si="85"/>
        <v>256788.95966655988</v>
      </c>
      <c r="AR151" s="17">
        <f>IF(AQ151&gt;0,'1 - Input'!$B$8/12*AQ151,0)</f>
        <v>1925.9171974991991</v>
      </c>
      <c r="AS151" s="17">
        <f t="shared" si="86"/>
        <v>254863.04246906069</v>
      </c>
      <c r="AT151" s="17">
        <f t="shared" si="87"/>
        <v>0</v>
      </c>
      <c r="AU151" s="17">
        <f>'1 - Input'!$B$22*(AR151-AT151)</f>
        <v>500.73847134979178</v>
      </c>
      <c r="AV151" s="17">
        <f t="shared" si="88"/>
        <v>1425.1787261494073</v>
      </c>
      <c r="AW151" s="17">
        <f t="shared" si="89"/>
        <v>368531.47168595082</v>
      </c>
      <c r="AX151" s="17">
        <f>IF('1 - Input'!$B$17=1,MAX(0,AV151-AN151),0)</f>
        <v>0</v>
      </c>
      <c r="AY151" s="17">
        <f>IF('1 - Input'!$B$17=1,MAX(0,AN151-AV151),0)</f>
        <v>1738.3016025567094</v>
      </c>
      <c r="AZ151" s="17">
        <f t="shared" si="90"/>
        <v>0</v>
      </c>
      <c r="BA151" s="17">
        <f>IF(AND(AY151&gt;0,AS151&gt;0),AY151/(1-'1 - Input'!$B$22*AZ151),0)</f>
        <v>1738.3016025567094</v>
      </c>
      <c r="BB151" s="17">
        <f t="shared" si="91"/>
        <v>1738.3016025567094</v>
      </c>
      <c r="BC151" s="17">
        <f>'1 - Input'!$B$22*AZ151*BB151</f>
        <v>0</v>
      </c>
      <c r="BD151" s="17">
        <f t="shared" si="92"/>
        <v>1738.3016025567094</v>
      </c>
      <c r="BE151" s="17">
        <f t="shared" si="93"/>
        <v>0</v>
      </c>
      <c r="BF151" s="17">
        <f t="shared" si="94"/>
        <v>775.27918820089656</v>
      </c>
      <c r="BG151" s="17">
        <f t="shared" si="95"/>
        <v>253124.74086650397</v>
      </c>
      <c r="BH151" s="17">
        <f t="shared" si="96"/>
        <v>366017.89089519321</v>
      </c>
      <c r="BI151" s="17">
        <f>IF(MOD(AK151,12)=0,BG151*'1 - Input'!$B$23,0)</f>
        <v>506.24948173300794</v>
      </c>
      <c r="BJ151" s="17">
        <f t="shared" si="97"/>
        <v>252618.49138477095</v>
      </c>
      <c r="BK151" s="17">
        <f>IF(MOD(AK151,12)=0,BH151*(1-'1 - Input'!$B$23),BH151)</f>
        <v>365285.85511340282</v>
      </c>
      <c r="BL151" s="17">
        <f>IF('1 - Input'!$B$17=1,MIN(AV151,AN151)+BD151,AV151)</f>
        <v>3163.4803287061168</v>
      </c>
      <c r="BM151" s="17">
        <f t="shared" si="124"/>
        <v>316049.96116814349</v>
      </c>
      <c r="BN151" s="17">
        <f t="shared" si="125"/>
        <v>80314.084137319936</v>
      </c>
      <c r="BO151" s="17">
        <f t="shared" si="126"/>
        <v>0</v>
      </c>
      <c r="BP151" s="17">
        <f t="shared" si="127"/>
        <v>25779.478661958739</v>
      </c>
      <c r="BQ151" s="17">
        <f t="shared" si="128"/>
        <v>6589.0637809725049</v>
      </c>
      <c r="BR151" s="17">
        <f t="shared" si="129"/>
        <v>0</v>
      </c>
      <c r="BS151" s="15">
        <f t="shared" si="98"/>
        <v>0</v>
      </c>
      <c r="BU151" s="14">
        <v>108</v>
      </c>
      <c r="BV151" s="15">
        <f t="shared" si="99"/>
        <v>9</v>
      </c>
      <c r="BW151" s="16">
        <f>(1+INDEX('1 - Input'!$B$34:$E$63,BV151,'1 - Input'!$B$16))^(1/12)-1</f>
        <v>4.1219243192651689E-3</v>
      </c>
      <c r="BX151" s="17">
        <f>'1 - Input'!$B$7*(1+'1 - Input'!$B$12)^(BV151-1)</f>
        <v>3163.4803287061168</v>
      </c>
      <c r="BY151" s="17">
        <f t="shared" si="130"/>
        <v>356021.5296587022</v>
      </c>
      <c r="BZ151" s="17">
        <f t="shared" si="131"/>
        <v>171073.44161639211</v>
      </c>
      <c r="CA151" s="17">
        <f t="shared" si="100"/>
        <v>357489.0234599844</v>
      </c>
      <c r="CB151" s="17">
        <f>IF(CA151&gt;0,'1 - Input'!$B$8/12*CA151,0)</f>
        <v>2681.1676759498828</v>
      </c>
      <c r="CC151" s="17">
        <f t="shared" si="101"/>
        <v>354807.85578403453</v>
      </c>
      <c r="CD151" s="17">
        <f t="shared" si="102"/>
        <v>2681.1676759498828</v>
      </c>
      <c r="CE151" s="17">
        <f>'1 - Input'!$B$22*(CB151-CD151)</f>
        <v>0</v>
      </c>
      <c r="CF151" s="17">
        <f t="shared" si="103"/>
        <v>2681.1676759498828</v>
      </c>
      <c r="CG151" s="17">
        <f t="shared" si="104"/>
        <v>168392.27394044222</v>
      </c>
      <c r="CH151" s="17">
        <f>IF('1 - Input'!$B$17=1,MAX(0,CF151-BX151),0)</f>
        <v>0</v>
      </c>
      <c r="CI151" s="17">
        <f>IF('1 - Input'!$B$17=1,MAX(0,BX151-CF151),0)</f>
        <v>482.312652756234</v>
      </c>
      <c r="CJ151" s="17">
        <f t="shared" si="105"/>
        <v>0.5253986877817618</v>
      </c>
      <c r="CK151" s="17">
        <f>IF(AND(CI151&gt;0,CC151&gt;0),CI151/(1-'1 - Input'!$B$22*CJ151),0)</f>
        <v>558.62253492860464</v>
      </c>
      <c r="CL151" s="17">
        <f t="shared" si="106"/>
        <v>558.62253492860464</v>
      </c>
      <c r="CM151" s="17">
        <f>'1 - Input'!$B$22*CJ151*CL151</f>
        <v>76.309882172370664</v>
      </c>
      <c r="CN151" s="17">
        <f t="shared" si="107"/>
        <v>482.312652756234</v>
      </c>
      <c r="CO151" s="17">
        <f t="shared" si="108"/>
        <v>0</v>
      </c>
      <c r="CP151" s="17">
        <f t="shared" si="109"/>
        <v>0</v>
      </c>
      <c r="CQ151" s="17">
        <f t="shared" si="110"/>
        <v>354249.23324910592</v>
      </c>
      <c r="CR151" s="17">
        <f t="shared" si="111"/>
        <v>168127.15095233041</v>
      </c>
      <c r="CS151" s="17">
        <f>IF(MOD(BU151,12)=0,CQ151*'1 - Input'!$B$23,0)</f>
        <v>708.49846649821188</v>
      </c>
      <c r="CT151" s="17">
        <f t="shared" si="112"/>
        <v>353540.7347826077</v>
      </c>
      <c r="CU151" s="17">
        <f>IF(MOD(BU151,12)=0,CR151*(1-'1 - Input'!$B$23),CR151)</f>
        <v>167790.89665042574</v>
      </c>
      <c r="CV151" s="17">
        <f>IF('1 - Input'!$B$17=1,MIN(CF151,BX151)+CN151,CF151)</f>
        <v>3163.4803287061168</v>
      </c>
      <c r="CW151" s="17">
        <f t="shared" si="132"/>
        <v>316049.96116814349</v>
      </c>
      <c r="CX151" s="17">
        <f t="shared" si="133"/>
        <v>0</v>
      </c>
      <c r="CY151" s="17">
        <f t="shared" si="134"/>
        <v>1045.2511896077251</v>
      </c>
      <c r="CZ151" s="17">
        <f t="shared" si="135"/>
        <v>0</v>
      </c>
      <c r="DA151" s="17">
        <f t="shared" si="136"/>
        <v>7616.4187034659053</v>
      </c>
      <c r="DB151" s="17">
        <f t="shared" si="137"/>
        <v>0</v>
      </c>
      <c r="DC151" s="15">
        <f t="shared" si="113"/>
        <v>0</v>
      </c>
    </row>
    <row r="152" spans="1:107">
      <c r="A152" s="14">
        <v>109</v>
      </c>
      <c r="B152" s="15">
        <f t="shared" si="69"/>
        <v>10</v>
      </c>
      <c r="C152" s="16">
        <f>(1+INDEX('1 - Input'!$B$34:$E$63,B152,'1 - Input'!$B$16))^(1/12)-1</f>
        <v>4.1219243192651689E-3</v>
      </c>
      <c r="D152" s="17">
        <f>'1 - Input'!$B$7*(1+'1 - Input'!$B$12)^(B152-1)</f>
        <v>3226.7499352802392</v>
      </c>
      <c r="E152" s="17">
        <f t="shared" si="114"/>
        <v>252618.49138477095</v>
      </c>
      <c r="F152" s="17">
        <f t="shared" si="115"/>
        <v>365285.85511340282</v>
      </c>
      <c r="G152" s="17">
        <f t="shared" si="70"/>
        <v>253659.76568790592</v>
      </c>
      <c r="H152" s="17">
        <f>IF(G152&gt;0,'1 - Input'!$B$8/12*G152,0)</f>
        <v>1902.4482426592942</v>
      </c>
      <c r="I152" s="17">
        <f t="shared" si="71"/>
        <v>251757.31744524662</v>
      </c>
      <c r="J152" s="17">
        <f t="shared" si="72"/>
        <v>0</v>
      </c>
      <c r="K152" s="17">
        <f>'1 - Input'!$B$22*(H152-J152)</f>
        <v>494.63654309141651</v>
      </c>
      <c r="L152" s="17">
        <f t="shared" si="73"/>
        <v>1407.8116995678777</v>
      </c>
      <c r="M152" s="17">
        <f t="shared" si="74"/>
        <v>365285.85511340282</v>
      </c>
      <c r="N152" s="17">
        <f>IF('1 - Input'!$B$17=1,MAX(0,L152-D152),0)</f>
        <v>0</v>
      </c>
      <c r="O152" s="17">
        <f>IF('1 - Input'!$B$17=1,MAX(0,D152-L152),0)</f>
        <v>1818.9382357123616</v>
      </c>
      <c r="P152" s="17">
        <f t="shared" si="75"/>
        <v>0</v>
      </c>
      <c r="Q152" s="17">
        <f>IF(AND(O152&gt;0,I152&gt;0),O152/(1-'1 - Input'!$B$22*P152),0)</f>
        <v>1818.9382357123616</v>
      </c>
      <c r="R152" s="17">
        <f t="shared" si="76"/>
        <v>1818.9382357123616</v>
      </c>
      <c r="S152" s="17">
        <f>'1 - Input'!$B$22*P152*R152</f>
        <v>0</v>
      </c>
      <c r="T152" s="17">
        <f t="shared" si="77"/>
        <v>1818.9382357123616</v>
      </c>
      <c r="U152" s="17">
        <f t="shared" si="78"/>
        <v>0</v>
      </c>
      <c r="V152" s="17">
        <f t="shared" si="79"/>
        <v>820.23990446288155</v>
      </c>
      <c r="W152" s="17">
        <f t="shared" si="80"/>
        <v>249938.37920953427</v>
      </c>
      <c r="X152" s="17">
        <f t="shared" si="81"/>
        <v>362646.67697322759</v>
      </c>
      <c r="Y152" s="17">
        <f>IF(MOD(A152,12)=0,W152*'1 - Input'!$B$23,0)</f>
        <v>0</v>
      </c>
      <c r="Z152" s="17">
        <f t="shared" si="82"/>
        <v>249938.37920953427</v>
      </c>
      <c r="AA152" s="17">
        <f>IF(MOD(A152,12)=0,X152*(1-'1 - Input'!$B$23),X152)</f>
        <v>362646.67697322759</v>
      </c>
      <c r="AB152" s="17">
        <f>IF('1 - Input'!$B$17=1,MIN(L152,D152)+T152,L152)</f>
        <v>3226.7499352802392</v>
      </c>
      <c r="AC152" s="17">
        <f t="shared" si="116"/>
        <v>319276.71110342373</v>
      </c>
      <c r="AD152" s="17">
        <f t="shared" si="117"/>
        <v>80808.720680411352</v>
      </c>
      <c r="AE152" s="17">
        <f t="shared" si="118"/>
        <v>0</v>
      </c>
      <c r="AF152" s="17">
        <f t="shared" si="119"/>
        <v>26599.718566421619</v>
      </c>
      <c r="AG152" s="17">
        <f t="shared" si="120"/>
        <v>6589.0637809725049</v>
      </c>
      <c r="AH152" s="17">
        <f t="shared" si="121"/>
        <v>0</v>
      </c>
      <c r="AI152" s="15">
        <f t="shared" si="83"/>
        <v>0</v>
      </c>
      <c r="AK152" s="14">
        <v>109</v>
      </c>
      <c r="AL152" s="15">
        <f t="shared" si="84"/>
        <v>10</v>
      </c>
      <c r="AM152" s="16">
        <f>(1+INDEX('1 - Input'!$B$34:$E$63,AL152,'1 - Input'!$B$16))^(1/12)-1</f>
        <v>4.1219243192651689E-3</v>
      </c>
      <c r="AN152" s="17">
        <f>'1 - Input'!$B$7*(1+'1 - Input'!$B$12)^(AL152-1)</f>
        <v>3226.7499352802392</v>
      </c>
      <c r="AO152" s="17">
        <f t="shared" si="122"/>
        <v>252618.49138477095</v>
      </c>
      <c r="AP152" s="17">
        <f t="shared" si="123"/>
        <v>365285.85511340282</v>
      </c>
      <c r="AQ152" s="17">
        <f t="shared" si="85"/>
        <v>253659.76568790592</v>
      </c>
      <c r="AR152" s="17">
        <f>IF(AQ152&gt;0,'1 - Input'!$B$8/12*AQ152,0)</f>
        <v>1902.4482426592942</v>
      </c>
      <c r="AS152" s="17">
        <f t="shared" si="86"/>
        <v>251757.31744524662</v>
      </c>
      <c r="AT152" s="17">
        <f t="shared" si="87"/>
        <v>0</v>
      </c>
      <c r="AU152" s="17">
        <f>'1 - Input'!$B$22*(AR152-AT152)</f>
        <v>494.63654309141651</v>
      </c>
      <c r="AV152" s="17">
        <f t="shared" si="88"/>
        <v>1407.8116995678777</v>
      </c>
      <c r="AW152" s="17">
        <f t="shared" si="89"/>
        <v>365285.85511340282</v>
      </c>
      <c r="AX152" s="17">
        <f>IF('1 - Input'!$B$17=1,MAX(0,AV152-AN152),0)</f>
        <v>0</v>
      </c>
      <c r="AY152" s="17">
        <f>IF('1 - Input'!$B$17=1,MAX(0,AN152-AV152),0)</f>
        <v>1818.9382357123616</v>
      </c>
      <c r="AZ152" s="17">
        <f t="shared" si="90"/>
        <v>0</v>
      </c>
      <c r="BA152" s="17">
        <f>IF(AND(AY152&gt;0,AS152&gt;0),AY152/(1-'1 - Input'!$B$22*AZ152),0)</f>
        <v>1818.9382357123616</v>
      </c>
      <c r="BB152" s="17">
        <f t="shared" si="91"/>
        <v>1818.9382357123616</v>
      </c>
      <c r="BC152" s="17">
        <f>'1 - Input'!$B$22*AZ152*BB152</f>
        <v>0</v>
      </c>
      <c r="BD152" s="17">
        <f t="shared" si="92"/>
        <v>1818.9382357123616</v>
      </c>
      <c r="BE152" s="17">
        <f t="shared" si="93"/>
        <v>0</v>
      </c>
      <c r="BF152" s="17">
        <f t="shared" si="94"/>
        <v>820.23990446288155</v>
      </c>
      <c r="BG152" s="17">
        <f t="shared" si="95"/>
        <v>249938.37920953427</v>
      </c>
      <c r="BH152" s="17">
        <f t="shared" si="96"/>
        <v>362646.67697322759</v>
      </c>
      <c r="BI152" s="17">
        <f>IF(MOD(AK152,12)=0,BG152*'1 - Input'!$B$23,0)</f>
        <v>0</v>
      </c>
      <c r="BJ152" s="17">
        <f t="shared" si="97"/>
        <v>249938.37920953427</v>
      </c>
      <c r="BK152" s="17">
        <f>IF(MOD(AK152,12)=0,BH152*(1-'1 - Input'!$B$23),BH152)</f>
        <v>362646.67697322759</v>
      </c>
      <c r="BL152" s="17">
        <f>IF('1 - Input'!$B$17=1,MIN(AV152,AN152)+BD152,AV152)</f>
        <v>3226.7499352802392</v>
      </c>
      <c r="BM152" s="17">
        <f t="shared" si="124"/>
        <v>319276.71110342373</v>
      </c>
      <c r="BN152" s="17">
        <f t="shared" si="125"/>
        <v>80808.720680411352</v>
      </c>
      <c r="BO152" s="17">
        <f t="shared" si="126"/>
        <v>0</v>
      </c>
      <c r="BP152" s="17">
        <f t="shared" si="127"/>
        <v>26599.718566421619</v>
      </c>
      <c r="BQ152" s="17">
        <f t="shared" si="128"/>
        <v>6589.0637809725049</v>
      </c>
      <c r="BR152" s="17">
        <f t="shared" si="129"/>
        <v>0</v>
      </c>
      <c r="BS152" s="15">
        <f t="shared" si="98"/>
        <v>0</v>
      </c>
      <c r="BU152" s="14">
        <v>109</v>
      </c>
      <c r="BV152" s="15">
        <f t="shared" si="99"/>
        <v>10</v>
      </c>
      <c r="BW152" s="16">
        <f>(1+INDEX('1 - Input'!$B$34:$E$63,BV152,'1 - Input'!$B$16))^(1/12)-1</f>
        <v>4.1219243192651689E-3</v>
      </c>
      <c r="BX152" s="17">
        <f>'1 - Input'!$B$7*(1+'1 - Input'!$B$12)^(BV152-1)</f>
        <v>3226.7499352802392</v>
      </c>
      <c r="BY152" s="17">
        <f t="shared" si="130"/>
        <v>353540.7347826077</v>
      </c>
      <c r="BZ152" s="17">
        <f t="shared" si="131"/>
        <v>167790.89665042574</v>
      </c>
      <c r="CA152" s="17">
        <f t="shared" si="100"/>
        <v>354998.00293515902</v>
      </c>
      <c r="CB152" s="17">
        <f>IF(CA152&gt;0,'1 - Input'!$B$8/12*CA152,0)</f>
        <v>2662.4850220136927</v>
      </c>
      <c r="CC152" s="17">
        <f t="shared" si="101"/>
        <v>352335.5179131453</v>
      </c>
      <c r="CD152" s="17">
        <f t="shared" si="102"/>
        <v>2662.4850220136927</v>
      </c>
      <c r="CE152" s="17">
        <f>'1 - Input'!$B$22*(CB152-CD152)</f>
        <v>0</v>
      </c>
      <c r="CF152" s="17">
        <f t="shared" si="103"/>
        <v>2662.4850220136927</v>
      </c>
      <c r="CG152" s="17">
        <f t="shared" si="104"/>
        <v>165128.41162841205</v>
      </c>
      <c r="CH152" s="17">
        <f>IF('1 - Input'!$B$17=1,MAX(0,CF152-BX152),0)</f>
        <v>0</v>
      </c>
      <c r="CI152" s="17">
        <f>IF('1 - Input'!$B$17=1,MAX(0,BX152-CF152),0)</f>
        <v>564.2649132665465</v>
      </c>
      <c r="CJ152" s="17">
        <f t="shared" si="105"/>
        <v>0.53133191735407703</v>
      </c>
      <c r="CK152" s="17">
        <f>IF(AND(CI152&gt;0,CC152&gt;0),CI152/(1-'1 - Input'!$B$22*CJ152),0)</f>
        <v>654.71078477980211</v>
      </c>
      <c r="CL152" s="17">
        <f t="shared" si="106"/>
        <v>654.71078477980211</v>
      </c>
      <c r="CM152" s="17">
        <f>'1 - Input'!$B$22*CJ152*CL152</f>
        <v>90.445871513255639</v>
      </c>
      <c r="CN152" s="17">
        <f t="shared" si="107"/>
        <v>564.2649132665465</v>
      </c>
      <c r="CO152" s="17">
        <f t="shared" si="108"/>
        <v>0</v>
      </c>
      <c r="CP152" s="17">
        <f t="shared" si="109"/>
        <v>0</v>
      </c>
      <c r="CQ152" s="17">
        <f t="shared" si="110"/>
        <v>351680.8071283655</v>
      </c>
      <c r="CR152" s="17">
        <f t="shared" si="111"/>
        <v>164821.56958022169</v>
      </c>
      <c r="CS152" s="17">
        <f>IF(MOD(BU152,12)=0,CQ152*'1 - Input'!$B$23,0)</f>
        <v>0</v>
      </c>
      <c r="CT152" s="17">
        <f t="shared" si="112"/>
        <v>351680.8071283655</v>
      </c>
      <c r="CU152" s="17">
        <f>IF(MOD(BU152,12)=0,CR152*(1-'1 - Input'!$B$23),CR152)</f>
        <v>164821.56958022169</v>
      </c>
      <c r="CV152" s="17">
        <f>IF('1 - Input'!$B$17=1,MIN(CF152,BX152)+CN152,CF152)</f>
        <v>3226.7499352802392</v>
      </c>
      <c r="CW152" s="17">
        <f t="shared" si="132"/>
        <v>319276.71110342373</v>
      </c>
      <c r="CX152" s="17">
        <f t="shared" si="133"/>
        <v>0</v>
      </c>
      <c r="CY152" s="17">
        <f t="shared" si="134"/>
        <v>1135.6970611209808</v>
      </c>
      <c r="CZ152" s="17">
        <f t="shared" si="135"/>
        <v>0</v>
      </c>
      <c r="DA152" s="17">
        <f t="shared" si="136"/>
        <v>7616.4187034659053</v>
      </c>
      <c r="DB152" s="17">
        <f t="shared" si="137"/>
        <v>0</v>
      </c>
      <c r="DC152" s="15">
        <f t="shared" si="113"/>
        <v>0</v>
      </c>
    </row>
    <row r="153" spans="1:107">
      <c r="A153" s="14">
        <v>110</v>
      </c>
      <c r="B153" s="15">
        <f t="shared" si="69"/>
        <v>10</v>
      </c>
      <c r="C153" s="16">
        <f>(1+INDEX('1 - Input'!$B$34:$E$63,B153,'1 - Input'!$B$16))^(1/12)-1</f>
        <v>4.1219243192651689E-3</v>
      </c>
      <c r="D153" s="17">
        <f>'1 - Input'!$B$7*(1+'1 - Input'!$B$12)^(B153-1)</f>
        <v>3226.7499352802392</v>
      </c>
      <c r="E153" s="17">
        <f t="shared" si="114"/>
        <v>249938.37920953427</v>
      </c>
      <c r="F153" s="17">
        <f t="shared" si="115"/>
        <v>362646.67697322759</v>
      </c>
      <c r="G153" s="17">
        <f t="shared" si="70"/>
        <v>250968.60629311576</v>
      </c>
      <c r="H153" s="17">
        <f>IF(G153&gt;0,'1 - Input'!$B$8/12*G153,0)</f>
        <v>1882.2645471983681</v>
      </c>
      <c r="I153" s="17">
        <f t="shared" si="71"/>
        <v>249086.34174591739</v>
      </c>
      <c r="J153" s="17">
        <f t="shared" si="72"/>
        <v>0</v>
      </c>
      <c r="K153" s="17">
        <f>'1 - Input'!$B$22*(H153-J153)</f>
        <v>489.38878227157574</v>
      </c>
      <c r="L153" s="17">
        <f t="shared" si="73"/>
        <v>1392.8757649267923</v>
      </c>
      <c r="M153" s="17">
        <f t="shared" si="74"/>
        <v>362646.67697322759</v>
      </c>
      <c r="N153" s="17">
        <f>IF('1 - Input'!$B$17=1,MAX(0,L153-D153),0)</f>
        <v>0</v>
      </c>
      <c r="O153" s="17">
        <f>IF('1 - Input'!$B$17=1,MAX(0,D153-L153),0)</f>
        <v>1833.874170353447</v>
      </c>
      <c r="P153" s="17">
        <f t="shared" si="75"/>
        <v>0</v>
      </c>
      <c r="Q153" s="17">
        <f>IF(AND(O153&gt;0,I153&gt;0),O153/(1-'1 - Input'!$B$22*P153),0)</f>
        <v>1833.874170353447</v>
      </c>
      <c r="R153" s="17">
        <f t="shared" si="76"/>
        <v>1833.874170353447</v>
      </c>
      <c r="S153" s="17">
        <f>'1 - Input'!$B$22*P153*R153</f>
        <v>0</v>
      </c>
      <c r="T153" s="17">
        <f t="shared" si="77"/>
        <v>1833.874170353447</v>
      </c>
      <c r="U153" s="17">
        <f t="shared" si="78"/>
        <v>0</v>
      </c>
      <c r="V153" s="17">
        <f t="shared" si="79"/>
        <v>836.07701687021995</v>
      </c>
      <c r="W153" s="17">
        <f t="shared" si="80"/>
        <v>247252.46757556393</v>
      </c>
      <c r="X153" s="17">
        <f t="shared" si="81"/>
        <v>359976.72578600392</v>
      </c>
      <c r="Y153" s="17">
        <f>IF(MOD(A153,12)=0,W153*'1 - Input'!$B$23,0)</f>
        <v>0</v>
      </c>
      <c r="Z153" s="17">
        <f t="shared" si="82"/>
        <v>247252.46757556393</v>
      </c>
      <c r="AA153" s="17">
        <f>IF(MOD(A153,12)=0,X153*(1-'1 - Input'!$B$23),X153)</f>
        <v>359976.72578600392</v>
      </c>
      <c r="AB153" s="17">
        <f>IF('1 - Input'!$B$17=1,MIN(L153,D153)+T153,L153)</f>
        <v>3226.7499352802392</v>
      </c>
      <c r="AC153" s="17">
        <f t="shared" si="116"/>
        <v>322503.46103870397</v>
      </c>
      <c r="AD153" s="17">
        <f t="shared" si="117"/>
        <v>81298.109462682929</v>
      </c>
      <c r="AE153" s="17">
        <f t="shared" si="118"/>
        <v>0</v>
      </c>
      <c r="AF153" s="17">
        <f t="shared" si="119"/>
        <v>27435.795583291838</v>
      </c>
      <c r="AG153" s="17">
        <f t="shared" si="120"/>
        <v>6589.0637809725049</v>
      </c>
      <c r="AH153" s="17">
        <f t="shared" si="121"/>
        <v>0</v>
      </c>
      <c r="AI153" s="15">
        <f t="shared" si="83"/>
        <v>0</v>
      </c>
      <c r="AK153" s="14">
        <v>110</v>
      </c>
      <c r="AL153" s="15">
        <f t="shared" si="84"/>
        <v>10</v>
      </c>
      <c r="AM153" s="16">
        <f>(1+INDEX('1 - Input'!$B$34:$E$63,AL153,'1 - Input'!$B$16))^(1/12)-1</f>
        <v>4.1219243192651689E-3</v>
      </c>
      <c r="AN153" s="17">
        <f>'1 - Input'!$B$7*(1+'1 - Input'!$B$12)^(AL153-1)</f>
        <v>3226.7499352802392</v>
      </c>
      <c r="AO153" s="17">
        <f t="shared" si="122"/>
        <v>249938.37920953427</v>
      </c>
      <c r="AP153" s="17">
        <f t="shared" si="123"/>
        <v>362646.67697322759</v>
      </c>
      <c r="AQ153" s="17">
        <f t="shared" si="85"/>
        <v>250968.60629311576</v>
      </c>
      <c r="AR153" s="17">
        <f>IF(AQ153&gt;0,'1 - Input'!$B$8/12*AQ153,0)</f>
        <v>1882.2645471983681</v>
      </c>
      <c r="AS153" s="17">
        <f t="shared" si="86"/>
        <v>249086.34174591739</v>
      </c>
      <c r="AT153" s="17">
        <f t="shared" si="87"/>
        <v>0</v>
      </c>
      <c r="AU153" s="17">
        <f>'1 - Input'!$B$22*(AR153-AT153)</f>
        <v>489.38878227157574</v>
      </c>
      <c r="AV153" s="17">
        <f t="shared" si="88"/>
        <v>1392.8757649267923</v>
      </c>
      <c r="AW153" s="17">
        <f t="shared" si="89"/>
        <v>362646.67697322759</v>
      </c>
      <c r="AX153" s="17">
        <f>IF('1 - Input'!$B$17=1,MAX(0,AV153-AN153),0)</f>
        <v>0</v>
      </c>
      <c r="AY153" s="17">
        <f>IF('1 - Input'!$B$17=1,MAX(0,AN153-AV153),0)</f>
        <v>1833.874170353447</v>
      </c>
      <c r="AZ153" s="17">
        <f t="shared" si="90"/>
        <v>0</v>
      </c>
      <c r="BA153" s="17">
        <f>IF(AND(AY153&gt;0,AS153&gt;0),AY153/(1-'1 - Input'!$B$22*AZ153),0)</f>
        <v>1833.874170353447</v>
      </c>
      <c r="BB153" s="17">
        <f t="shared" si="91"/>
        <v>1833.874170353447</v>
      </c>
      <c r="BC153" s="17">
        <f>'1 - Input'!$B$22*AZ153*BB153</f>
        <v>0</v>
      </c>
      <c r="BD153" s="17">
        <f t="shared" si="92"/>
        <v>1833.874170353447</v>
      </c>
      <c r="BE153" s="17">
        <f t="shared" si="93"/>
        <v>0</v>
      </c>
      <c r="BF153" s="17">
        <f t="shared" si="94"/>
        <v>836.07701687021995</v>
      </c>
      <c r="BG153" s="17">
        <f t="shared" si="95"/>
        <v>247252.46757556393</v>
      </c>
      <c r="BH153" s="17">
        <f t="shared" si="96"/>
        <v>359976.72578600392</v>
      </c>
      <c r="BI153" s="17">
        <f>IF(MOD(AK153,12)=0,BG153*'1 - Input'!$B$23,0)</f>
        <v>0</v>
      </c>
      <c r="BJ153" s="17">
        <f t="shared" si="97"/>
        <v>247252.46757556393</v>
      </c>
      <c r="BK153" s="17">
        <f>IF(MOD(AK153,12)=0,BH153*(1-'1 - Input'!$B$23),BH153)</f>
        <v>359976.72578600392</v>
      </c>
      <c r="BL153" s="17">
        <f>IF('1 - Input'!$B$17=1,MIN(AV153,AN153)+BD153,AV153)</f>
        <v>3226.7499352802392</v>
      </c>
      <c r="BM153" s="17">
        <f t="shared" si="124"/>
        <v>322503.46103870397</v>
      </c>
      <c r="BN153" s="17">
        <f t="shared" si="125"/>
        <v>81298.109462682929</v>
      </c>
      <c r="BO153" s="17">
        <f t="shared" si="126"/>
        <v>0</v>
      </c>
      <c r="BP153" s="17">
        <f t="shared" si="127"/>
        <v>27435.795583291838</v>
      </c>
      <c r="BQ153" s="17">
        <f t="shared" si="128"/>
        <v>6589.0637809725049</v>
      </c>
      <c r="BR153" s="17">
        <f t="shared" si="129"/>
        <v>0</v>
      </c>
      <c r="BS153" s="15">
        <f t="shared" si="98"/>
        <v>0</v>
      </c>
      <c r="BU153" s="14">
        <v>110</v>
      </c>
      <c r="BV153" s="15">
        <f t="shared" si="99"/>
        <v>10</v>
      </c>
      <c r="BW153" s="16">
        <f>(1+INDEX('1 - Input'!$B$34:$E$63,BV153,'1 - Input'!$B$16))^(1/12)-1</f>
        <v>4.1219243192651689E-3</v>
      </c>
      <c r="BX153" s="17">
        <f>'1 - Input'!$B$7*(1+'1 - Input'!$B$12)^(BV153-1)</f>
        <v>3226.7499352802392</v>
      </c>
      <c r="BY153" s="17">
        <f t="shared" si="130"/>
        <v>351680.8071283655</v>
      </c>
      <c r="BZ153" s="17">
        <f t="shared" si="131"/>
        <v>164821.56958022169</v>
      </c>
      <c r="CA153" s="17">
        <f t="shared" si="100"/>
        <v>353130.4087998867</v>
      </c>
      <c r="CB153" s="17">
        <f>IF(CA153&gt;0,'1 - Input'!$B$8/12*CA153,0)</f>
        <v>2648.4780659991502</v>
      </c>
      <c r="CC153" s="17">
        <f t="shared" si="101"/>
        <v>350481.93073388754</v>
      </c>
      <c r="CD153" s="17">
        <f t="shared" si="102"/>
        <v>2648.4780659991502</v>
      </c>
      <c r="CE153" s="17">
        <f>'1 - Input'!$B$22*(CB153-CD153)</f>
        <v>0</v>
      </c>
      <c r="CF153" s="17">
        <f t="shared" si="103"/>
        <v>2648.4780659991502</v>
      </c>
      <c r="CG153" s="17">
        <f t="shared" si="104"/>
        <v>162173.09151422256</v>
      </c>
      <c r="CH153" s="17">
        <f>IF('1 - Input'!$B$17=1,MAX(0,CF153-BX153),0)</f>
        <v>0</v>
      </c>
      <c r="CI153" s="17">
        <f>IF('1 - Input'!$B$17=1,MAX(0,BX153-CF153),0)</f>
        <v>578.27186928108904</v>
      </c>
      <c r="CJ153" s="17">
        <f t="shared" si="105"/>
        <v>0.53728544243452969</v>
      </c>
      <c r="CK153" s="17">
        <f>IF(AND(CI153&gt;0,CC153&gt;0),CI153/(1-'1 - Input'!$B$22*CJ153),0)</f>
        <v>672.17015087636048</v>
      </c>
      <c r="CL153" s="17">
        <f t="shared" si="106"/>
        <v>672.17015087636048</v>
      </c>
      <c r="CM153" s="17">
        <f>'1 - Input'!$B$22*CJ153*CL153</f>
        <v>93.898281595271371</v>
      </c>
      <c r="CN153" s="17">
        <f t="shared" si="107"/>
        <v>578.27186928108915</v>
      </c>
      <c r="CO153" s="17">
        <f t="shared" si="108"/>
        <v>0</v>
      </c>
      <c r="CP153" s="17">
        <f t="shared" si="109"/>
        <v>0</v>
      </c>
      <c r="CQ153" s="17">
        <f t="shared" si="110"/>
        <v>349809.7605830112</v>
      </c>
      <c r="CR153" s="17">
        <f t="shared" si="111"/>
        <v>161862.06860025108</v>
      </c>
      <c r="CS153" s="17">
        <f>IF(MOD(BU153,12)=0,CQ153*'1 - Input'!$B$23,0)</f>
        <v>0</v>
      </c>
      <c r="CT153" s="17">
        <f t="shared" si="112"/>
        <v>349809.7605830112</v>
      </c>
      <c r="CU153" s="17">
        <f>IF(MOD(BU153,12)=0,CR153*(1-'1 - Input'!$B$23),CR153)</f>
        <v>161862.06860025108</v>
      </c>
      <c r="CV153" s="17">
        <f>IF('1 - Input'!$B$17=1,MIN(CF153,BX153)+CN153,CF153)</f>
        <v>3226.7499352802392</v>
      </c>
      <c r="CW153" s="17">
        <f t="shared" si="132"/>
        <v>322503.46103870397</v>
      </c>
      <c r="CX153" s="17">
        <f t="shared" si="133"/>
        <v>0</v>
      </c>
      <c r="CY153" s="17">
        <f t="shared" si="134"/>
        <v>1229.5953427162522</v>
      </c>
      <c r="CZ153" s="17">
        <f t="shared" si="135"/>
        <v>0</v>
      </c>
      <c r="DA153" s="17">
        <f t="shared" si="136"/>
        <v>7616.4187034659053</v>
      </c>
      <c r="DB153" s="17">
        <f t="shared" si="137"/>
        <v>0</v>
      </c>
      <c r="DC153" s="15">
        <f t="shared" si="113"/>
        <v>0</v>
      </c>
    </row>
    <row r="154" spans="1:107">
      <c r="A154" s="14">
        <v>111</v>
      </c>
      <c r="B154" s="15">
        <f t="shared" si="69"/>
        <v>10</v>
      </c>
      <c r="C154" s="16">
        <f>(1+INDEX('1 - Input'!$B$34:$E$63,B154,'1 - Input'!$B$16))^(1/12)-1</f>
        <v>4.1219243192651689E-3</v>
      </c>
      <c r="D154" s="17">
        <f>'1 - Input'!$B$7*(1+'1 - Input'!$B$12)^(B154-1)</f>
        <v>3226.7499352802392</v>
      </c>
      <c r="E154" s="17">
        <f t="shared" si="114"/>
        <v>247252.46757556393</v>
      </c>
      <c r="F154" s="17">
        <f t="shared" si="115"/>
        <v>359976.72578600392</v>
      </c>
      <c r="G154" s="17">
        <f t="shared" si="70"/>
        <v>248271.62353466198</v>
      </c>
      <c r="H154" s="17">
        <f>IF(G154&gt;0,'1 - Input'!$B$8/12*G154,0)</f>
        <v>1862.0371765099649</v>
      </c>
      <c r="I154" s="17">
        <f t="shared" si="71"/>
        <v>246409.58635815201</v>
      </c>
      <c r="J154" s="17">
        <f t="shared" si="72"/>
        <v>0</v>
      </c>
      <c r="K154" s="17">
        <f>'1 - Input'!$B$22*(H154-J154)</f>
        <v>484.12966589259088</v>
      </c>
      <c r="L154" s="17">
        <f t="shared" si="73"/>
        <v>1377.9075106173741</v>
      </c>
      <c r="M154" s="17">
        <f t="shared" si="74"/>
        <v>359976.72578600392</v>
      </c>
      <c r="N154" s="17">
        <f>IF('1 - Input'!$B$17=1,MAX(0,L154-D154),0)</f>
        <v>0</v>
      </c>
      <c r="O154" s="17">
        <f>IF('1 - Input'!$B$17=1,MAX(0,D154-L154),0)</f>
        <v>1848.8424246628651</v>
      </c>
      <c r="P154" s="17">
        <f t="shared" si="75"/>
        <v>0</v>
      </c>
      <c r="Q154" s="17">
        <f>IF(AND(O154&gt;0,I154&gt;0),O154/(1-'1 - Input'!$B$22*P154),0)</f>
        <v>1848.8424246628651</v>
      </c>
      <c r="R154" s="17">
        <f t="shared" si="76"/>
        <v>1848.8424246628651</v>
      </c>
      <c r="S154" s="17">
        <f>'1 - Input'!$B$22*P154*R154</f>
        <v>0</v>
      </c>
      <c r="T154" s="17">
        <f t="shared" si="77"/>
        <v>1848.8424246628651</v>
      </c>
      <c r="U154" s="17">
        <f t="shared" si="78"/>
        <v>0</v>
      </c>
      <c r="V154" s="17">
        <f t="shared" si="79"/>
        <v>852.10867208969296</v>
      </c>
      <c r="W154" s="17">
        <f t="shared" si="80"/>
        <v>244560.74393348914</v>
      </c>
      <c r="X154" s="17">
        <f t="shared" si="81"/>
        <v>357275.77468925132</v>
      </c>
      <c r="Y154" s="17">
        <f>IF(MOD(A154,12)=0,W154*'1 - Input'!$B$23,0)</f>
        <v>0</v>
      </c>
      <c r="Z154" s="17">
        <f t="shared" si="82"/>
        <v>244560.74393348914</v>
      </c>
      <c r="AA154" s="17">
        <f>IF(MOD(A154,12)=0,X154*(1-'1 - Input'!$B$23),X154)</f>
        <v>357275.77468925132</v>
      </c>
      <c r="AB154" s="17">
        <f>IF('1 - Input'!$B$17=1,MIN(L154,D154)+T154,L154)</f>
        <v>3226.7499352802392</v>
      </c>
      <c r="AC154" s="17">
        <f t="shared" si="116"/>
        <v>325730.21097398421</v>
      </c>
      <c r="AD154" s="17">
        <f t="shared" si="117"/>
        <v>81782.239128575515</v>
      </c>
      <c r="AE154" s="17">
        <f t="shared" si="118"/>
        <v>0</v>
      </c>
      <c r="AF154" s="17">
        <f t="shared" si="119"/>
        <v>28287.904255381531</v>
      </c>
      <c r="AG154" s="17">
        <f t="shared" si="120"/>
        <v>6589.0637809725049</v>
      </c>
      <c r="AH154" s="17">
        <f t="shared" si="121"/>
        <v>0</v>
      </c>
      <c r="AI154" s="15">
        <f t="shared" si="83"/>
        <v>0</v>
      </c>
      <c r="AK154" s="14">
        <v>111</v>
      </c>
      <c r="AL154" s="15">
        <f t="shared" si="84"/>
        <v>10</v>
      </c>
      <c r="AM154" s="16">
        <f>(1+INDEX('1 - Input'!$B$34:$E$63,AL154,'1 - Input'!$B$16))^(1/12)-1</f>
        <v>4.1219243192651689E-3</v>
      </c>
      <c r="AN154" s="17">
        <f>'1 - Input'!$B$7*(1+'1 - Input'!$B$12)^(AL154-1)</f>
        <v>3226.7499352802392</v>
      </c>
      <c r="AO154" s="17">
        <f t="shared" si="122"/>
        <v>247252.46757556393</v>
      </c>
      <c r="AP154" s="17">
        <f t="shared" si="123"/>
        <v>359976.72578600392</v>
      </c>
      <c r="AQ154" s="17">
        <f t="shared" si="85"/>
        <v>248271.62353466198</v>
      </c>
      <c r="AR154" s="17">
        <f>IF(AQ154&gt;0,'1 - Input'!$B$8/12*AQ154,0)</f>
        <v>1862.0371765099649</v>
      </c>
      <c r="AS154" s="17">
        <f t="shared" si="86"/>
        <v>246409.58635815201</v>
      </c>
      <c r="AT154" s="17">
        <f t="shared" si="87"/>
        <v>0</v>
      </c>
      <c r="AU154" s="17">
        <f>'1 - Input'!$B$22*(AR154-AT154)</f>
        <v>484.12966589259088</v>
      </c>
      <c r="AV154" s="17">
        <f t="shared" si="88"/>
        <v>1377.9075106173741</v>
      </c>
      <c r="AW154" s="17">
        <f t="shared" si="89"/>
        <v>359976.72578600392</v>
      </c>
      <c r="AX154" s="17">
        <f>IF('1 - Input'!$B$17=1,MAX(0,AV154-AN154),0)</f>
        <v>0</v>
      </c>
      <c r="AY154" s="17">
        <f>IF('1 - Input'!$B$17=1,MAX(0,AN154-AV154),0)</f>
        <v>1848.8424246628651</v>
      </c>
      <c r="AZ154" s="17">
        <f t="shared" si="90"/>
        <v>0</v>
      </c>
      <c r="BA154" s="17">
        <f>IF(AND(AY154&gt;0,AS154&gt;0),AY154/(1-'1 - Input'!$B$22*AZ154),0)</f>
        <v>1848.8424246628651</v>
      </c>
      <c r="BB154" s="17">
        <f t="shared" si="91"/>
        <v>1848.8424246628651</v>
      </c>
      <c r="BC154" s="17">
        <f>'1 - Input'!$B$22*AZ154*BB154</f>
        <v>0</v>
      </c>
      <c r="BD154" s="17">
        <f t="shared" si="92"/>
        <v>1848.8424246628651</v>
      </c>
      <c r="BE154" s="17">
        <f t="shared" si="93"/>
        <v>0</v>
      </c>
      <c r="BF154" s="17">
        <f t="shared" si="94"/>
        <v>852.10867208969296</v>
      </c>
      <c r="BG154" s="17">
        <f t="shared" si="95"/>
        <v>244560.74393348914</v>
      </c>
      <c r="BH154" s="17">
        <f t="shared" si="96"/>
        <v>357275.77468925132</v>
      </c>
      <c r="BI154" s="17">
        <f>IF(MOD(AK154,12)=0,BG154*'1 - Input'!$B$23,0)</f>
        <v>0</v>
      </c>
      <c r="BJ154" s="17">
        <f t="shared" si="97"/>
        <v>244560.74393348914</v>
      </c>
      <c r="BK154" s="17">
        <f>IF(MOD(AK154,12)=0,BH154*(1-'1 - Input'!$B$23),BH154)</f>
        <v>357275.77468925132</v>
      </c>
      <c r="BL154" s="17">
        <f>IF('1 - Input'!$B$17=1,MIN(AV154,AN154)+BD154,AV154)</f>
        <v>3226.7499352802392</v>
      </c>
      <c r="BM154" s="17">
        <f t="shared" si="124"/>
        <v>325730.21097398421</v>
      </c>
      <c r="BN154" s="17">
        <f t="shared" si="125"/>
        <v>81782.239128575515</v>
      </c>
      <c r="BO154" s="17">
        <f t="shared" si="126"/>
        <v>0</v>
      </c>
      <c r="BP154" s="17">
        <f t="shared" si="127"/>
        <v>28287.904255381531</v>
      </c>
      <c r="BQ154" s="17">
        <f t="shared" si="128"/>
        <v>6589.0637809725049</v>
      </c>
      <c r="BR154" s="17">
        <f t="shared" si="129"/>
        <v>0</v>
      </c>
      <c r="BS154" s="15">
        <f t="shared" si="98"/>
        <v>0</v>
      </c>
      <c r="BU154" s="14">
        <v>111</v>
      </c>
      <c r="BV154" s="15">
        <f t="shared" si="99"/>
        <v>10</v>
      </c>
      <c r="BW154" s="16">
        <f>(1+INDEX('1 - Input'!$B$34:$E$63,BV154,'1 - Input'!$B$16))^(1/12)-1</f>
        <v>4.1219243192651689E-3</v>
      </c>
      <c r="BX154" s="17">
        <f>'1 - Input'!$B$7*(1+'1 - Input'!$B$12)^(BV154-1)</f>
        <v>3226.7499352802392</v>
      </c>
      <c r="BY154" s="17">
        <f t="shared" si="130"/>
        <v>349809.7605830112</v>
      </c>
      <c r="BZ154" s="17">
        <f t="shared" si="131"/>
        <v>161862.06860025108</v>
      </c>
      <c r="CA154" s="17">
        <f t="shared" si="100"/>
        <v>351251.64994227461</v>
      </c>
      <c r="CB154" s="17">
        <f>IF(CA154&gt;0,'1 - Input'!$B$8/12*CA154,0)</f>
        <v>2634.3873745670594</v>
      </c>
      <c r="CC154" s="17">
        <f t="shared" si="101"/>
        <v>348617.26256770757</v>
      </c>
      <c r="CD154" s="17">
        <f t="shared" si="102"/>
        <v>2634.3873745670594</v>
      </c>
      <c r="CE154" s="17">
        <f>'1 - Input'!$B$22*(CB154-CD154)</f>
        <v>0</v>
      </c>
      <c r="CF154" s="17">
        <f t="shared" si="103"/>
        <v>2634.3873745670594</v>
      </c>
      <c r="CG154" s="17">
        <f t="shared" si="104"/>
        <v>159227.68122568401</v>
      </c>
      <c r="CH154" s="17">
        <f>IF('1 - Input'!$B$17=1,MAX(0,CF154-BX154),0)</f>
        <v>0</v>
      </c>
      <c r="CI154" s="17">
        <f>IF('1 - Input'!$B$17=1,MAX(0,BX154-CF154),0)</f>
        <v>592.36256071317985</v>
      </c>
      <c r="CJ154" s="17">
        <f t="shared" si="105"/>
        <v>0.543259332446972</v>
      </c>
      <c r="CK154" s="17">
        <f>IF(AND(CI154&gt;0,CC154&gt;0),CI154/(1-'1 - Input'!$B$22*CJ154),0)</f>
        <v>689.79421890393871</v>
      </c>
      <c r="CL154" s="17">
        <f t="shared" si="106"/>
        <v>689.79421890393871</v>
      </c>
      <c r="CM154" s="17">
        <f>'1 - Input'!$B$22*CJ154*CL154</f>
        <v>97.431658190758895</v>
      </c>
      <c r="CN154" s="17">
        <f t="shared" si="107"/>
        <v>592.36256071317985</v>
      </c>
      <c r="CO154" s="17">
        <f t="shared" si="108"/>
        <v>0</v>
      </c>
      <c r="CP154" s="17">
        <f t="shared" si="109"/>
        <v>0</v>
      </c>
      <c r="CQ154" s="17">
        <f t="shared" si="110"/>
        <v>347927.46834880364</v>
      </c>
      <c r="CR154" s="17">
        <f t="shared" si="111"/>
        <v>158912.6241536676</v>
      </c>
      <c r="CS154" s="17">
        <f>IF(MOD(BU154,12)=0,CQ154*'1 - Input'!$B$23,0)</f>
        <v>0</v>
      </c>
      <c r="CT154" s="17">
        <f t="shared" si="112"/>
        <v>347927.46834880364</v>
      </c>
      <c r="CU154" s="17">
        <f>IF(MOD(BU154,12)=0,CR154*(1-'1 - Input'!$B$23),CR154)</f>
        <v>158912.6241536676</v>
      </c>
      <c r="CV154" s="17">
        <f>IF('1 - Input'!$B$17=1,MIN(CF154,BX154)+CN154,CF154)</f>
        <v>3226.7499352802392</v>
      </c>
      <c r="CW154" s="17">
        <f t="shared" si="132"/>
        <v>325730.21097398421</v>
      </c>
      <c r="CX154" s="17">
        <f t="shared" si="133"/>
        <v>0</v>
      </c>
      <c r="CY154" s="17">
        <f t="shared" si="134"/>
        <v>1327.0270009070111</v>
      </c>
      <c r="CZ154" s="17">
        <f t="shared" si="135"/>
        <v>0</v>
      </c>
      <c r="DA154" s="17">
        <f t="shared" si="136"/>
        <v>7616.4187034659053</v>
      </c>
      <c r="DB154" s="17">
        <f t="shared" si="137"/>
        <v>0</v>
      </c>
      <c r="DC154" s="15">
        <f t="shared" si="113"/>
        <v>0</v>
      </c>
    </row>
    <row r="155" spans="1:107">
      <c r="A155" s="14">
        <v>112</v>
      </c>
      <c r="B155" s="15">
        <f t="shared" si="69"/>
        <v>10</v>
      </c>
      <c r="C155" s="16">
        <f>(1+INDEX('1 - Input'!$B$34:$E$63,B155,'1 - Input'!$B$16))^(1/12)-1</f>
        <v>4.1219243192651689E-3</v>
      </c>
      <c r="D155" s="17">
        <f>'1 - Input'!$B$7*(1+'1 - Input'!$B$12)^(B155-1)</f>
        <v>3226.7499352802392</v>
      </c>
      <c r="E155" s="17">
        <f t="shared" si="114"/>
        <v>244560.74393348914</v>
      </c>
      <c r="F155" s="17">
        <f t="shared" si="115"/>
        <v>357275.77468925132</v>
      </c>
      <c r="G155" s="17">
        <f t="shared" si="70"/>
        <v>245568.80481144617</v>
      </c>
      <c r="H155" s="17">
        <f>IF(G155&gt;0,'1 - Input'!$B$8/12*G155,0)</f>
        <v>1841.7660360858463</v>
      </c>
      <c r="I155" s="17">
        <f t="shared" si="71"/>
        <v>243727.03877536033</v>
      </c>
      <c r="J155" s="17">
        <f t="shared" si="72"/>
        <v>0</v>
      </c>
      <c r="K155" s="17">
        <f>'1 - Input'!$B$22*(H155-J155)</f>
        <v>478.85916938232003</v>
      </c>
      <c r="L155" s="17">
        <f t="shared" si="73"/>
        <v>1362.9068667035262</v>
      </c>
      <c r="M155" s="17">
        <f t="shared" si="74"/>
        <v>357275.77468925132</v>
      </c>
      <c r="N155" s="17">
        <f>IF('1 - Input'!$B$17=1,MAX(0,L155-D155),0)</f>
        <v>0</v>
      </c>
      <c r="O155" s="17">
        <f>IF('1 - Input'!$B$17=1,MAX(0,D155-L155),0)</f>
        <v>1863.843068576713</v>
      </c>
      <c r="P155" s="17">
        <f t="shared" si="75"/>
        <v>0</v>
      </c>
      <c r="Q155" s="17">
        <f>IF(AND(O155&gt;0,I155&gt;0),O155/(1-'1 - Input'!$B$22*P155),0)</f>
        <v>1863.843068576713</v>
      </c>
      <c r="R155" s="17">
        <f t="shared" si="76"/>
        <v>1863.843068576713</v>
      </c>
      <c r="S155" s="17">
        <f>'1 - Input'!$B$22*P155*R155</f>
        <v>0</v>
      </c>
      <c r="T155" s="17">
        <f t="shared" si="77"/>
        <v>1863.843068576713</v>
      </c>
      <c r="U155" s="17">
        <f t="shared" si="78"/>
        <v>0</v>
      </c>
      <c r="V155" s="17">
        <f t="shared" si="79"/>
        <v>868.33625617474547</v>
      </c>
      <c r="W155" s="17">
        <f t="shared" si="80"/>
        <v>241863.19570678362</v>
      </c>
      <c r="X155" s="17">
        <f t="shared" si="81"/>
        <v>354543.5953644999</v>
      </c>
      <c r="Y155" s="17">
        <f>IF(MOD(A155,12)=0,W155*'1 - Input'!$B$23,0)</f>
        <v>0</v>
      </c>
      <c r="Z155" s="17">
        <f t="shared" si="82"/>
        <v>241863.19570678362</v>
      </c>
      <c r="AA155" s="17">
        <f>IF(MOD(A155,12)=0,X155*(1-'1 - Input'!$B$23),X155)</f>
        <v>354543.5953644999</v>
      </c>
      <c r="AB155" s="17">
        <f>IF('1 - Input'!$B$17=1,MIN(L155,D155)+T155,L155)</f>
        <v>3226.7499352802392</v>
      </c>
      <c r="AC155" s="17">
        <f t="shared" si="116"/>
        <v>328956.96090926445</v>
      </c>
      <c r="AD155" s="17">
        <f t="shared" si="117"/>
        <v>82261.09829795784</v>
      </c>
      <c r="AE155" s="17">
        <f t="shared" si="118"/>
        <v>0</v>
      </c>
      <c r="AF155" s="17">
        <f t="shared" si="119"/>
        <v>29156.240511556276</v>
      </c>
      <c r="AG155" s="17">
        <f t="shared" si="120"/>
        <v>6589.0637809725049</v>
      </c>
      <c r="AH155" s="17">
        <f t="shared" si="121"/>
        <v>0</v>
      </c>
      <c r="AI155" s="15">
        <f t="shared" si="83"/>
        <v>0</v>
      </c>
      <c r="AK155" s="14">
        <v>112</v>
      </c>
      <c r="AL155" s="15">
        <f t="shared" si="84"/>
        <v>10</v>
      </c>
      <c r="AM155" s="16">
        <f>(1+INDEX('1 - Input'!$B$34:$E$63,AL155,'1 - Input'!$B$16))^(1/12)-1</f>
        <v>4.1219243192651689E-3</v>
      </c>
      <c r="AN155" s="17">
        <f>'1 - Input'!$B$7*(1+'1 - Input'!$B$12)^(AL155-1)</f>
        <v>3226.7499352802392</v>
      </c>
      <c r="AO155" s="17">
        <f t="shared" si="122"/>
        <v>244560.74393348914</v>
      </c>
      <c r="AP155" s="17">
        <f t="shared" si="123"/>
        <v>357275.77468925132</v>
      </c>
      <c r="AQ155" s="17">
        <f t="shared" si="85"/>
        <v>245568.80481144617</v>
      </c>
      <c r="AR155" s="17">
        <f>IF(AQ155&gt;0,'1 - Input'!$B$8/12*AQ155,0)</f>
        <v>1841.7660360858463</v>
      </c>
      <c r="AS155" s="17">
        <f t="shared" si="86"/>
        <v>243727.03877536033</v>
      </c>
      <c r="AT155" s="17">
        <f t="shared" si="87"/>
        <v>0</v>
      </c>
      <c r="AU155" s="17">
        <f>'1 - Input'!$B$22*(AR155-AT155)</f>
        <v>478.85916938232003</v>
      </c>
      <c r="AV155" s="17">
        <f t="shared" si="88"/>
        <v>1362.9068667035262</v>
      </c>
      <c r="AW155" s="17">
        <f t="shared" si="89"/>
        <v>357275.77468925132</v>
      </c>
      <c r="AX155" s="17">
        <f>IF('1 - Input'!$B$17=1,MAX(0,AV155-AN155),0)</f>
        <v>0</v>
      </c>
      <c r="AY155" s="17">
        <f>IF('1 - Input'!$B$17=1,MAX(0,AN155-AV155),0)</f>
        <v>1863.843068576713</v>
      </c>
      <c r="AZ155" s="17">
        <f t="shared" si="90"/>
        <v>0</v>
      </c>
      <c r="BA155" s="17">
        <f>IF(AND(AY155&gt;0,AS155&gt;0),AY155/(1-'1 - Input'!$B$22*AZ155),0)</f>
        <v>1863.843068576713</v>
      </c>
      <c r="BB155" s="17">
        <f t="shared" si="91"/>
        <v>1863.843068576713</v>
      </c>
      <c r="BC155" s="17">
        <f>'1 - Input'!$B$22*AZ155*BB155</f>
        <v>0</v>
      </c>
      <c r="BD155" s="17">
        <f t="shared" si="92"/>
        <v>1863.843068576713</v>
      </c>
      <c r="BE155" s="17">
        <f t="shared" si="93"/>
        <v>0</v>
      </c>
      <c r="BF155" s="17">
        <f t="shared" si="94"/>
        <v>868.33625617474547</v>
      </c>
      <c r="BG155" s="17">
        <f t="shared" si="95"/>
        <v>241863.19570678362</v>
      </c>
      <c r="BH155" s="17">
        <f t="shared" si="96"/>
        <v>354543.5953644999</v>
      </c>
      <c r="BI155" s="17">
        <f>IF(MOD(AK155,12)=0,BG155*'1 - Input'!$B$23,0)</f>
        <v>0</v>
      </c>
      <c r="BJ155" s="17">
        <f t="shared" si="97"/>
        <v>241863.19570678362</v>
      </c>
      <c r="BK155" s="17">
        <f>IF(MOD(AK155,12)=0,BH155*(1-'1 - Input'!$B$23),BH155)</f>
        <v>354543.5953644999</v>
      </c>
      <c r="BL155" s="17">
        <f>IF('1 - Input'!$B$17=1,MIN(AV155,AN155)+BD155,AV155)</f>
        <v>3226.7499352802392</v>
      </c>
      <c r="BM155" s="17">
        <f t="shared" si="124"/>
        <v>328956.96090926445</v>
      </c>
      <c r="BN155" s="17">
        <f t="shared" si="125"/>
        <v>82261.09829795784</v>
      </c>
      <c r="BO155" s="17">
        <f t="shared" si="126"/>
        <v>0</v>
      </c>
      <c r="BP155" s="17">
        <f t="shared" si="127"/>
        <v>29156.240511556276</v>
      </c>
      <c r="BQ155" s="17">
        <f t="shared" si="128"/>
        <v>6589.0637809725049</v>
      </c>
      <c r="BR155" s="17">
        <f t="shared" si="129"/>
        <v>0</v>
      </c>
      <c r="BS155" s="15">
        <f t="shared" si="98"/>
        <v>0</v>
      </c>
      <c r="BU155" s="14">
        <v>112</v>
      </c>
      <c r="BV155" s="15">
        <f t="shared" si="99"/>
        <v>10</v>
      </c>
      <c r="BW155" s="16">
        <f>(1+INDEX('1 - Input'!$B$34:$E$63,BV155,'1 - Input'!$B$16))^(1/12)-1</f>
        <v>4.1219243192651689E-3</v>
      </c>
      <c r="BX155" s="17">
        <f>'1 - Input'!$B$7*(1+'1 - Input'!$B$12)^(BV155-1)</f>
        <v>3226.7499352802392</v>
      </c>
      <c r="BY155" s="17">
        <f t="shared" si="130"/>
        <v>347927.46834880364</v>
      </c>
      <c r="BZ155" s="17">
        <f t="shared" si="131"/>
        <v>158912.6241536676</v>
      </c>
      <c r="CA155" s="17">
        <f t="shared" si="100"/>
        <v>349361.59904193092</v>
      </c>
      <c r="CB155" s="17">
        <f>IF(CA155&gt;0,'1 - Input'!$B$8/12*CA155,0)</f>
        <v>2620.2119928144816</v>
      </c>
      <c r="CC155" s="17">
        <f t="shared" si="101"/>
        <v>346741.38704911643</v>
      </c>
      <c r="CD155" s="17">
        <f t="shared" si="102"/>
        <v>2620.2119928144816</v>
      </c>
      <c r="CE155" s="17">
        <f>'1 - Input'!$B$22*(CB155-CD155)</f>
        <v>0</v>
      </c>
      <c r="CF155" s="17">
        <f t="shared" si="103"/>
        <v>2620.2119928144816</v>
      </c>
      <c r="CG155" s="17">
        <f t="shared" si="104"/>
        <v>156292.41216085313</v>
      </c>
      <c r="CH155" s="17">
        <f>IF('1 - Input'!$B$17=1,MAX(0,CF155-BX155),0)</f>
        <v>0</v>
      </c>
      <c r="CI155" s="17">
        <f>IF('1 - Input'!$B$17=1,MAX(0,BX155-CF155),0)</f>
        <v>606.53794246575762</v>
      </c>
      <c r="CJ155" s="17">
        <f t="shared" si="105"/>
        <v>0.54925365705272999</v>
      </c>
      <c r="CK155" s="17">
        <f>IF(AND(CI155&gt;0,CC155&gt;0),CI155/(1-'1 - Input'!$B$22*CJ155),0)</f>
        <v>707.58533969721145</v>
      </c>
      <c r="CL155" s="17">
        <f t="shared" si="106"/>
        <v>707.58533969721145</v>
      </c>
      <c r="CM155" s="17">
        <f>'1 - Input'!$B$22*CJ155*CL155</f>
        <v>101.04739723145383</v>
      </c>
      <c r="CN155" s="17">
        <f t="shared" si="107"/>
        <v>606.53794246575762</v>
      </c>
      <c r="CO155" s="17">
        <f t="shared" si="108"/>
        <v>0</v>
      </c>
      <c r="CP155" s="17">
        <f t="shared" si="109"/>
        <v>0</v>
      </c>
      <c r="CQ155" s="17">
        <f t="shared" si="110"/>
        <v>346033.80170941923</v>
      </c>
      <c r="CR155" s="17">
        <f t="shared" si="111"/>
        <v>155973.47065666152</v>
      </c>
      <c r="CS155" s="17">
        <f>IF(MOD(BU155,12)=0,CQ155*'1 - Input'!$B$23,0)</f>
        <v>0</v>
      </c>
      <c r="CT155" s="17">
        <f t="shared" si="112"/>
        <v>346033.80170941923</v>
      </c>
      <c r="CU155" s="17">
        <f>IF(MOD(BU155,12)=0,CR155*(1-'1 - Input'!$B$23),CR155)</f>
        <v>155973.47065666152</v>
      </c>
      <c r="CV155" s="17">
        <f>IF('1 - Input'!$B$17=1,MIN(CF155,BX155)+CN155,CF155)</f>
        <v>3226.7499352802392</v>
      </c>
      <c r="CW155" s="17">
        <f t="shared" si="132"/>
        <v>328956.96090926445</v>
      </c>
      <c r="CX155" s="17">
        <f t="shared" si="133"/>
        <v>0</v>
      </c>
      <c r="CY155" s="17">
        <f t="shared" si="134"/>
        <v>1428.0743981384649</v>
      </c>
      <c r="CZ155" s="17">
        <f t="shared" si="135"/>
        <v>0</v>
      </c>
      <c r="DA155" s="17">
        <f t="shared" si="136"/>
        <v>7616.4187034659053</v>
      </c>
      <c r="DB155" s="17">
        <f t="shared" si="137"/>
        <v>0</v>
      </c>
      <c r="DC155" s="15">
        <f t="shared" si="113"/>
        <v>0</v>
      </c>
    </row>
    <row r="156" spans="1:107">
      <c r="A156" s="14">
        <v>113</v>
      </c>
      <c r="B156" s="15">
        <f t="shared" si="69"/>
        <v>10</v>
      </c>
      <c r="C156" s="16">
        <f>(1+INDEX('1 - Input'!$B$34:$E$63,B156,'1 - Input'!$B$16))^(1/12)-1</f>
        <v>4.1219243192651689E-3</v>
      </c>
      <c r="D156" s="17">
        <f>'1 - Input'!$B$7*(1+'1 - Input'!$B$12)^(B156-1)</f>
        <v>3226.7499352802392</v>
      </c>
      <c r="E156" s="17">
        <f t="shared" si="114"/>
        <v>241863.19570678362</v>
      </c>
      <c r="F156" s="17">
        <f t="shared" si="115"/>
        <v>354543.5953644999</v>
      </c>
      <c r="G156" s="17">
        <f t="shared" si="70"/>
        <v>242860.13749510259</v>
      </c>
      <c r="H156" s="17">
        <f>IF(G156&gt;0,'1 - Input'!$B$8/12*G156,0)</f>
        <v>1821.4510312132693</v>
      </c>
      <c r="I156" s="17">
        <f t="shared" si="71"/>
        <v>241038.68646388932</v>
      </c>
      <c r="J156" s="17">
        <f t="shared" si="72"/>
        <v>0</v>
      </c>
      <c r="K156" s="17">
        <f>'1 - Input'!$B$22*(H156-J156)</f>
        <v>473.57726811545001</v>
      </c>
      <c r="L156" s="17">
        <f t="shared" si="73"/>
        <v>1347.8737630978194</v>
      </c>
      <c r="M156" s="17">
        <f t="shared" si="74"/>
        <v>354543.5953644999</v>
      </c>
      <c r="N156" s="17">
        <f>IF('1 - Input'!$B$17=1,MAX(0,L156-D156),0)</f>
        <v>0</v>
      </c>
      <c r="O156" s="17">
        <f>IF('1 - Input'!$B$17=1,MAX(0,D156-L156),0)</f>
        <v>1878.8761721824199</v>
      </c>
      <c r="P156" s="17">
        <f t="shared" si="75"/>
        <v>0</v>
      </c>
      <c r="Q156" s="17">
        <f>IF(AND(O156&gt;0,I156&gt;0),O156/(1-'1 - Input'!$B$22*P156),0)</f>
        <v>1878.8761721824199</v>
      </c>
      <c r="R156" s="17">
        <f t="shared" si="76"/>
        <v>1878.8761721824199</v>
      </c>
      <c r="S156" s="17">
        <f>'1 - Input'!$B$22*P156*R156</f>
        <v>0</v>
      </c>
      <c r="T156" s="17">
        <f t="shared" si="77"/>
        <v>1878.8761721824199</v>
      </c>
      <c r="U156" s="17">
        <f t="shared" si="78"/>
        <v>0</v>
      </c>
      <c r="V156" s="17">
        <f t="shared" si="79"/>
        <v>884.76116381028669</v>
      </c>
      <c r="W156" s="17">
        <f t="shared" si="80"/>
        <v>239159.8102917069</v>
      </c>
      <c r="X156" s="17">
        <f t="shared" si="81"/>
        <v>351779.95802850719</v>
      </c>
      <c r="Y156" s="17">
        <f>IF(MOD(A156,12)=0,W156*'1 - Input'!$B$23,0)</f>
        <v>0</v>
      </c>
      <c r="Z156" s="17">
        <f t="shared" si="82"/>
        <v>239159.8102917069</v>
      </c>
      <c r="AA156" s="17">
        <f>IF(MOD(A156,12)=0,X156*(1-'1 - Input'!$B$23),X156)</f>
        <v>351779.95802850719</v>
      </c>
      <c r="AB156" s="17">
        <f>IF('1 - Input'!$B$17=1,MIN(L156,D156)+T156,L156)</f>
        <v>3226.7499352802392</v>
      </c>
      <c r="AC156" s="17">
        <f t="shared" si="116"/>
        <v>332183.71084454469</v>
      </c>
      <c r="AD156" s="17">
        <f t="shared" si="117"/>
        <v>82734.675566073289</v>
      </c>
      <c r="AE156" s="17">
        <f t="shared" si="118"/>
        <v>0</v>
      </c>
      <c r="AF156" s="17">
        <f t="shared" si="119"/>
        <v>30041.001675366562</v>
      </c>
      <c r="AG156" s="17">
        <f t="shared" si="120"/>
        <v>6589.0637809725049</v>
      </c>
      <c r="AH156" s="17">
        <f t="shared" si="121"/>
        <v>0</v>
      </c>
      <c r="AI156" s="15">
        <f t="shared" si="83"/>
        <v>0</v>
      </c>
      <c r="AK156" s="14">
        <v>113</v>
      </c>
      <c r="AL156" s="15">
        <f t="shared" si="84"/>
        <v>10</v>
      </c>
      <c r="AM156" s="16">
        <f>(1+INDEX('1 - Input'!$B$34:$E$63,AL156,'1 - Input'!$B$16))^(1/12)-1</f>
        <v>4.1219243192651689E-3</v>
      </c>
      <c r="AN156" s="17">
        <f>'1 - Input'!$B$7*(1+'1 - Input'!$B$12)^(AL156-1)</f>
        <v>3226.7499352802392</v>
      </c>
      <c r="AO156" s="17">
        <f t="shared" si="122"/>
        <v>241863.19570678362</v>
      </c>
      <c r="AP156" s="17">
        <f t="shared" si="123"/>
        <v>354543.5953644999</v>
      </c>
      <c r="AQ156" s="17">
        <f t="shared" si="85"/>
        <v>242860.13749510259</v>
      </c>
      <c r="AR156" s="17">
        <f>IF(AQ156&gt;0,'1 - Input'!$B$8/12*AQ156,0)</f>
        <v>1821.4510312132693</v>
      </c>
      <c r="AS156" s="17">
        <f t="shared" si="86"/>
        <v>241038.68646388932</v>
      </c>
      <c r="AT156" s="17">
        <f t="shared" si="87"/>
        <v>0</v>
      </c>
      <c r="AU156" s="17">
        <f>'1 - Input'!$B$22*(AR156-AT156)</f>
        <v>473.57726811545001</v>
      </c>
      <c r="AV156" s="17">
        <f t="shared" si="88"/>
        <v>1347.8737630978194</v>
      </c>
      <c r="AW156" s="17">
        <f t="shared" si="89"/>
        <v>354543.5953644999</v>
      </c>
      <c r="AX156" s="17">
        <f>IF('1 - Input'!$B$17=1,MAX(0,AV156-AN156),0)</f>
        <v>0</v>
      </c>
      <c r="AY156" s="17">
        <f>IF('1 - Input'!$B$17=1,MAX(0,AN156-AV156),0)</f>
        <v>1878.8761721824199</v>
      </c>
      <c r="AZ156" s="17">
        <f t="shared" si="90"/>
        <v>0</v>
      </c>
      <c r="BA156" s="17">
        <f>IF(AND(AY156&gt;0,AS156&gt;0),AY156/(1-'1 - Input'!$B$22*AZ156),0)</f>
        <v>1878.8761721824199</v>
      </c>
      <c r="BB156" s="17">
        <f t="shared" si="91"/>
        <v>1878.8761721824199</v>
      </c>
      <c r="BC156" s="17">
        <f>'1 - Input'!$B$22*AZ156*BB156</f>
        <v>0</v>
      </c>
      <c r="BD156" s="17">
        <f t="shared" si="92"/>
        <v>1878.8761721824199</v>
      </c>
      <c r="BE156" s="17">
        <f t="shared" si="93"/>
        <v>0</v>
      </c>
      <c r="BF156" s="17">
        <f t="shared" si="94"/>
        <v>884.76116381028669</v>
      </c>
      <c r="BG156" s="17">
        <f t="shared" si="95"/>
        <v>239159.8102917069</v>
      </c>
      <c r="BH156" s="17">
        <f t="shared" si="96"/>
        <v>351779.95802850719</v>
      </c>
      <c r="BI156" s="17">
        <f>IF(MOD(AK156,12)=0,BG156*'1 - Input'!$B$23,0)</f>
        <v>0</v>
      </c>
      <c r="BJ156" s="17">
        <f t="shared" si="97"/>
        <v>239159.8102917069</v>
      </c>
      <c r="BK156" s="17">
        <f>IF(MOD(AK156,12)=0,BH156*(1-'1 - Input'!$B$23),BH156)</f>
        <v>351779.95802850719</v>
      </c>
      <c r="BL156" s="17">
        <f>IF('1 - Input'!$B$17=1,MIN(AV156,AN156)+BD156,AV156)</f>
        <v>3226.7499352802392</v>
      </c>
      <c r="BM156" s="17">
        <f t="shared" si="124"/>
        <v>332183.71084454469</v>
      </c>
      <c r="BN156" s="17">
        <f t="shared" si="125"/>
        <v>82734.675566073289</v>
      </c>
      <c r="BO156" s="17">
        <f t="shared" si="126"/>
        <v>0</v>
      </c>
      <c r="BP156" s="17">
        <f t="shared" si="127"/>
        <v>30041.001675366562</v>
      </c>
      <c r="BQ156" s="17">
        <f t="shared" si="128"/>
        <v>6589.0637809725049</v>
      </c>
      <c r="BR156" s="17">
        <f t="shared" si="129"/>
        <v>0</v>
      </c>
      <c r="BS156" s="15">
        <f t="shared" si="98"/>
        <v>0</v>
      </c>
      <c r="BU156" s="14">
        <v>113</v>
      </c>
      <c r="BV156" s="15">
        <f t="shared" si="99"/>
        <v>10</v>
      </c>
      <c r="BW156" s="16">
        <f>(1+INDEX('1 - Input'!$B$34:$E$63,BV156,'1 - Input'!$B$16))^(1/12)-1</f>
        <v>4.1219243192651689E-3</v>
      </c>
      <c r="BX156" s="17">
        <f>'1 - Input'!$B$7*(1+'1 - Input'!$B$12)^(BV156-1)</f>
        <v>3226.7499352802392</v>
      </c>
      <c r="BY156" s="17">
        <f t="shared" si="130"/>
        <v>346033.80170941923</v>
      </c>
      <c r="BZ156" s="17">
        <f t="shared" si="131"/>
        <v>155973.47065666152</v>
      </c>
      <c r="CA156" s="17">
        <f t="shared" si="100"/>
        <v>347460.12685197307</v>
      </c>
      <c r="CB156" s="17">
        <f>IF(CA156&gt;0,'1 - Input'!$B$8/12*CA156,0)</f>
        <v>2605.9509513897979</v>
      </c>
      <c r="CC156" s="17">
        <f t="shared" si="101"/>
        <v>344854.17590058327</v>
      </c>
      <c r="CD156" s="17">
        <f t="shared" si="102"/>
        <v>2605.9509513897979</v>
      </c>
      <c r="CE156" s="17">
        <f>'1 - Input'!$B$22*(CB156-CD156)</f>
        <v>0</v>
      </c>
      <c r="CF156" s="17">
        <f t="shared" si="103"/>
        <v>2605.9509513897979</v>
      </c>
      <c r="CG156" s="17">
        <f t="shared" si="104"/>
        <v>153367.51970527173</v>
      </c>
      <c r="CH156" s="17">
        <f>IF('1 - Input'!$B$17=1,MAX(0,CF156-BX156),0)</f>
        <v>0</v>
      </c>
      <c r="CI156" s="17">
        <f>IF('1 - Input'!$B$17=1,MAX(0,BX156-CF156),0)</f>
        <v>620.79898389044138</v>
      </c>
      <c r="CJ156" s="17">
        <f t="shared" si="105"/>
        <v>0.55526848615141766</v>
      </c>
      <c r="CK156" s="17">
        <f>IF(AND(CI156&gt;0,CC156&gt;0),CI156/(1-'1 - Input'!$B$22*CJ156),0)</f>
        <v>725.54590585217431</v>
      </c>
      <c r="CL156" s="17">
        <f t="shared" si="106"/>
        <v>725.54590585217431</v>
      </c>
      <c r="CM156" s="17">
        <f>'1 - Input'!$B$22*CJ156*CL156</f>
        <v>104.74692196173291</v>
      </c>
      <c r="CN156" s="17">
        <f t="shared" si="107"/>
        <v>620.79898389044138</v>
      </c>
      <c r="CO156" s="17">
        <f t="shared" si="108"/>
        <v>0</v>
      </c>
      <c r="CP156" s="17">
        <f t="shared" si="109"/>
        <v>0</v>
      </c>
      <c r="CQ156" s="17">
        <f t="shared" si="110"/>
        <v>344128.62999473111</v>
      </c>
      <c r="CR156" s="17">
        <f t="shared" si="111"/>
        <v>153044.84657619544</v>
      </c>
      <c r="CS156" s="17">
        <f>IF(MOD(BU156,12)=0,CQ156*'1 - Input'!$B$23,0)</f>
        <v>0</v>
      </c>
      <c r="CT156" s="17">
        <f t="shared" si="112"/>
        <v>344128.62999473111</v>
      </c>
      <c r="CU156" s="17">
        <f>IF(MOD(BU156,12)=0,CR156*(1-'1 - Input'!$B$23),CR156)</f>
        <v>153044.84657619544</v>
      </c>
      <c r="CV156" s="17">
        <f>IF('1 - Input'!$B$17=1,MIN(CF156,BX156)+CN156,CF156)</f>
        <v>3226.7499352802392</v>
      </c>
      <c r="CW156" s="17">
        <f t="shared" si="132"/>
        <v>332183.71084454469</v>
      </c>
      <c r="CX156" s="17">
        <f t="shared" si="133"/>
        <v>0</v>
      </c>
      <c r="CY156" s="17">
        <f t="shared" si="134"/>
        <v>1532.8213201001977</v>
      </c>
      <c r="CZ156" s="17">
        <f t="shared" si="135"/>
        <v>0</v>
      </c>
      <c r="DA156" s="17">
        <f t="shared" si="136"/>
        <v>7616.4187034659053</v>
      </c>
      <c r="DB156" s="17">
        <f t="shared" si="137"/>
        <v>0</v>
      </c>
      <c r="DC156" s="15">
        <f t="shared" si="113"/>
        <v>0</v>
      </c>
    </row>
    <row r="157" spans="1:107">
      <c r="A157" s="14">
        <v>114</v>
      </c>
      <c r="B157" s="15">
        <f t="shared" si="69"/>
        <v>10</v>
      </c>
      <c r="C157" s="16">
        <f>(1+INDEX('1 - Input'!$B$34:$E$63,B157,'1 - Input'!$B$16))^(1/12)-1</f>
        <v>4.1219243192651689E-3</v>
      </c>
      <c r="D157" s="17">
        <f>'1 - Input'!$B$7*(1+'1 - Input'!$B$12)^(B157-1)</f>
        <v>3226.7499352802392</v>
      </c>
      <c r="E157" s="17">
        <f t="shared" si="114"/>
        <v>239159.8102917069</v>
      </c>
      <c r="F157" s="17">
        <f t="shared" si="115"/>
        <v>351779.95802850719</v>
      </c>
      <c r="G157" s="17">
        <f t="shared" si="70"/>
        <v>240145.60892993913</v>
      </c>
      <c r="H157" s="17">
        <f>IF(G157&gt;0,'1 - Input'!$B$8/12*G157,0)</f>
        <v>1801.0920669745435</v>
      </c>
      <c r="I157" s="17">
        <f t="shared" si="71"/>
        <v>238344.51686296458</v>
      </c>
      <c r="J157" s="17">
        <f t="shared" si="72"/>
        <v>0</v>
      </c>
      <c r="K157" s="17">
        <f>'1 - Input'!$B$22*(H157-J157)</f>
        <v>468.28393741338135</v>
      </c>
      <c r="L157" s="17">
        <f t="shared" si="73"/>
        <v>1332.8081295611621</v>
      </c>
      <c r="M157" s="17">
        <f t="shared" si="74"/>
        <v>351779.95802850719</v>
      </c>
      <c r="N157" s="17">
        <f>IF('1 - Input'!$B$17=1,MAX(0,L157-D157),0)</f>
        <v>0</v>
      </c>
      <c r="O157" s="17">
        <f>IF('1 - Input'!$B$17=1,MAX(0,D157-L157),0)</f>
        <v>1893.9418057190771</v>
      </c>
      <c r="P157" s="17">
        <f t="shared" si="75"/>
        <v>0</v>
      </c>
      <c r="Q157" s="17">
        <f>IF(AND(O157&gt;0,I157&gt;0),O157/(1-'1 - Input'!$B$22*P157),0)</f>
        <v>1893.9418057190771</v>
      </c>
      <c r="R157" s="17">
        <f t="shared" si="76"/>
        <v>1893.9418057190771</v>
      </c>
      <c r="S157" s="17">
        <f>'1 - Input'!$B$22*P157*R157</f>
        <v>0</v>
      </c>
      <c r="T157" s="17">
        <f t="shared" si="77"/>
        <v>1893.9418057190771</v>
      </c>
      <c r="U157" s="17">
        <f t="shared" si="78"/>
        <v>0</v>
      </c>
      <c r="V157" s="17">
        <f t="shared" si="79"/>
        <v>901.38479836366241</v>
      </c>
      <c r="W157" s="17">
        <f t="shared" si="80"/>
        <v>236450.5750572455</v>
      </c>
      <c r="X157" s="17">
        <f t="shared" si="81"/>
        <v>348984.63142442447</v>
      </c>
      <c r="Y157" s="17">
        <f>IF(MOD(A157,12)=0,W157*'1 - Input'!$B$23,0)</f>
        <v>0</v>
      </c>
      <c r="Z157" s="17">
        <f t="shared" si="82"/>
        <v>236450.5750572455</v>
      </c>
      <c r="AA157" s="17">
        <f>IF(MOD(A157,12)=0,X157*(1-'1 - Input'!$B$23),X157)</f>
        <v>348984.63142442447</v>
      </c>
      <c r="AB157" s="17">
        <f>IF('1 - Input'!$B$17=1,MIN(L157,D157)+T157,L157)</f>
        <v>3226.7499352802392</v>
      </c>
      <c r="AC157" s="17">
        <f t="shared" si="116"/>
        <v>335410.46077982493</v>
      </c>
      <c r="AD157" s="17">
        <f t="shared" si="117"/>
        <v>83202.959503486665</v>
      </c>
      <c r="AE157" s="17">
        <f t="shared" si="118"/>
        <v>0</v>
      </c>
      <c r="AF157" s="17">
        <f t="shared" si="119"/>
        <v>30942.386473730225</v>
      </c>
      <c r="AG157" s="17">
        <f t="shared" si="120"/>
        <v>6589.0637809725049</v>
      </c>
      <c r="AH157" s="17">
        <f t="shared" si="121"/>
        <v>0</v>
      </c>
      <c r="AI157" s="15">
        <f t="shared" si="83"/>
        <v>0</v>
      </c>
      <c r="AK157" s="14">
        <v>114</v>
      </c>
      <c r="AL157" s="15">
        <f t="shared" si="84"/>
        <v>10</v>
      </c>
      <c r="AM157" s="16">
        <f>(1+INDEX('1 - Input'!$B$34:$E$63,AL157,'1 - Input'!$B$16))^(1/12)-1</f>
        <v>4.1219243192651689E-3</v>
      </c>
      <c r="AN157" s="17">
        <f>'1 - Input'!$B$7*(1+'1 - Input'!$B$12)^(AL157-1)</f>
        <v>3226.7499352802392</v>
      </c>
      <c r="AO157" s="17">
        <f t="shared" si="122"/>
        <v>239159.8102917069</v>
      </c>
      <c r="AP157" s="17">
        <f t="shared" si="123"/>
        <v>351779.95802850719</v>
      </c>
      <c r="AQ157" s="17">
        <f t="shared" si="85"/>
        <v>240145.60892993913</v>
      </c>
      <c r="AR157" s="17">
        <f>IF(AQ157&gt;0,'1 - Input'!$B$8/12*AQ157,0)</f>
        <v>1801.0920669745435</v>
      </c>
      <c r="AS157" s="17">
        <f t="shared" si="86"/>
        <v>238344.51686296458</v>
      </c>
      <c r="AT157" s="17">
        <f t="shared" si="87"/>
        <v>0</v>
      </c>
      <c r="AU157" s="17">
        <f>'1 - Input'!$B$22*(AR157-AT157)</f>
        <v>468.28393741338135</v>
      </c>
      <c r="AV157" s="17">
        <f t="shared" si="88"/>
        <v>1332.8081295611621</v>
      </c>
      <c r="AW157" s="17">
        <f t="shared" si="89"/>
        <v>351779.95802850719</v>
      </c>
      <c r="AX157" s="17">
        <f>IF('1 - Input'!$B$17=1,MAX(0,AV157-AN157),0)</f>
        <v>0</v>
      </c>
      <c r="AY157" s="17">
        <f>IF('1 - Input'!$B$17=1,MAX(0,AN157-AV157),0)</f>
        <v>1893.9418057190771</v>
      </c>
      <c r="AZ157" s="17">
        <f t="shared" si="90"/>
        <v>0</v>
      </c>
      <c r="BA157" s="17">
        <f>IF(AND(AY157&gt;0,AS157&gt;0),AY157/(1-'1 - Input'!$B$22*AZ157),0)</f>
        <v>1893.9418057190771</v>
      </c>
      <c r="BB157" s="17">
        <f t="shared" si="91"/>
        <v>1893.9418057190771</v>
      </c>
      <c r="BC157" s="17">
        <f>'1 - Input'!$B$22*AZ157*BB157</f>
        <v>0</v>
      </c>
      <c r="BD157" s="17">
        <f t="shared" si="92"/>
        <v>1893.9418057190771</v>
      </c>
      <c r="BE157" s="17">
        <f t="shared" si="93"/>
        <v>0</v>
      </c>
      <c r="BF157" s="17">
        <f t="shared" si="94"/>
        <v>901.38479836366241</v>
      </c>
      <c r="BG157" s="17">
        <f t="shared" si="95"/>
        <v>236450.5750572455</v>
      </c>
      <c r="BH157" s="17">
        <f t="shared" si="96"/>
        <v>348984.63142442447</v>
      </c>
      <c r="BI157" s="17">
        <f>IF(MOD(AK157,12)=0,BG157*'1 - Input'!$B$23,0)</f>
        <v>0</v>
      </c>
      <c r="BJ157" s="17">
        <f t="shared" si="97"/>
        <v>236450.5750572455</v>
      </c>
      <c r="BK157" s="17">
        <f>IF(MOD(AK157,12)=0,BH157*(1-'1 - Input'!$B$23),BH157)</f>
        <v>348984.63142442447</v>
      </c>
      <c r="BL157" s="17">
        <f>IF('1 - Input'!$B$17=1,MIN(AV157,AN157)+BD157,AV157)</f>
        <v>3226.7499352802392</v>
      </c>
      <c r="BM157" s="17">
        <f t="shared" si="124"/>
        <v>335410.46077982493</v>
      </c>
      <c r="BN157" s="17">
        <f t="shared" si="125"/>
        <v>83202.959503486665</v>
      </c>
      <c r="BO157" s="17">
        <f t="shared" si="126"/>
        <v>0</v>
      </c>
      <c r="BP157" s="17">
        <f t="shared" si="127"/>
        <v>30942.386473730225</v>
      </c>
      <c r="BQ157" s="17">
        <f t="shared" si="128"/>
        <v>6589.0637809725049</v>
      </c>
      <c r="BR157" s="17">
        <f t="shared" si="129"/>
        <v>0</v>
      </c>
      <c r="BS157" s="15">
        <f t="shared" si="98"/>
        <v>0</v>
      </c>
      <c r="BU157" s="14">
        <v>114</v>
      </c>
      <c r="BV157" s="15">
        <f t="shared" si="99"/>
        <v>10</v>
      </c>
      <c r="BW157" s="16">
        <f>(1+INDEX('1 - Input'!$B$34:$E$63,BV157,'1 - Input'!$B$16))^(1/12)-1</f>
        <v>4.1219243192651689E-3</v>
      </c>
      <c r="BX157" s="17">
        <f>'1 - Input'!$B$7*(1+'1 - Input'!$B$12)^(BV157-1)</f>
        <v>3226.7499352802392</v>
      </c>
      <c r="BY157" s="17">
        <f t="shared" si="130"/>
        <v>344128.62999473111</v>
      </c>
      <c r="BZ157" s="17">
        <f t="shared" si="131"/>
        <v>153044.84657619544</v>
      </c>
      <c r="CA157" s="17">
        <f t="shared" si="100"/>
        <v>345547.1021636618</v>
      </c>
      <c r="CB157" s="17">
        <f>IF(CA157&gt;0,'1 - Input'!$B$8/12*CA157,0)</f>
        <v>2591.6032662274633</v>
      </c>
      <c r="CC157" s="17">
        <f t="shared" si="101"/>
        <v>342955.49889743433</v>
      </c>
      <c r="CD157" s="17">
        <f t="shared" si="102"/>
        <v>2591.6032662274633</v>
      </c>
      <c r="CE157" s="17">
        <f>'1 - Input'!$B$22*(CB157-CD157)</f>
        <v>0</v>
      </c>
      <c r="CF157" s="17">
        <f t="shared" si="103"/>
        <v>2591.6032662274633</v>
      </c>
      <c r="CG157" s="17">
        <f t="shared" si="104"/>
        <v>150453.24330996798</v>
      </c>
      <c r="CH157" s="17">
        <f>IF('1 - Input'!$B$17=1,MAX(0,CF157-BX157),0)</f>
        <v>0</v>
      </c>
      <c r="CI157" s="17">
        <f>IF('1 - Input'!$B$17=1,MAX(0,BX157-CF157),0)</f>
        <v>635.14666905277591</v>
      </c>
      <c r="CJ157" s="17">
        <f t="shared" si="105"/>
        <v>0.56130388988175062</v>
      </c>
      <c r="CK157" s="17">
        <f>IF(AND(CI157&gt;0,CC157&gt;0),CI157/(1-'1 - Input'!$B$22*CJ157),0)</f>
        <v>743.67835260929235</v>
      </c>
      <c r="CL157" s="17">
        <f t="shared" si="106"/>
        <v>743.67835260929235</v>
      </c>
      <c r="CM157" s="17">
        <f>'1 - Input'!$B$22*CJ157*CL157</f>
        <v>108.53168355651647</v>
      </c>
      <c r="CN157" s="17">
        <f t="shared" si="107"/>
        <v>635.14666905277591</v>
      </c>
      <c r="CO157" s="17">
        <f t="shared" si="108"/>
        <v>0</v>
      </c>
      <c r="CP157" s="17">
        <f t="shared" si="109"/>
        <v>0</v>
      </c>
      <c r="CQ157" s="17">
        <f t="shared" si="110"/>
        <v>342211.82054482505</v>
      </c>
      <c r="CR157" s="17">
        <f t="shared" si="111"/>
        <v>150126.99450949911</v>
      </c>
      <c r="CS157" s="17">
        <f>IF(MOD(BU157,12)=0,CQ157*'1 - Input'!$B$23,0)</f>
        <v>0</v>
      </c>
      <c r="CT157" s="17">
        <f t="shared" si="112"/>
        <v>342211.82054482505</v>
      </c>
      <c r="CU157" s="17">
        <f>IF(MOD(BU157,12)=0,CR157*(1-'1 - Input'!$B$23),CR157)</f>
        <v>150126.99450949911</v>
      </c>
      <c r="CV157" s="17">
        <f>IF('1 - Input'!$B$17=1,MIN(CF157,BX157)+CN157,CF157)</f>
        <v>3226.7499352802392</v>
      </c>
      <c r="CW157" s="17">
        <f t="shared" si="132"/>
        <v>335410.46077982493</v>
      </c>
      <c r="CX157" s="17">
        <f t="shared" si="133"/>
        <v>0</v>
      </c>
      <c r="CY157" s="17">
        <f t="shared" si="134"/>
        <v>1641.3530036567142</v>
      </c>
      <c r="CZ157" s="17">
        <f t="shared" si="135"/>
        <v>0</v>
      </c>
      <c r="DA157" s="17">
        <f t="shared" si="136"/>
        <v>7616.4187034659053</v>
      </c>
      <c r="DB157" s="17">
        <f t="shared" si="137"/>
        <v>0</v>
      </c>
      <c r="DC157" s="15">
        <f t="shared" si="113"/>
        <v>0</v>
      </c>
    </row>
    <row r="158" spans="1:107">
      <c r="A158" s="14">
        <v>115</v>
      </c>
      <c r="B158" s="15">
        <f t="shared" si="69"/>
        <v>10</v>
      </c>
      <c r="C158" s="16">
        <f>(1+INDEX('1 - Input'!$B$34:$E$63,B158,'1 - Input'!$B$16))^(1/12)-1</f>
        <v>4.1219243192651689E-3</v>
      </c>
      <c r="D158" s="17">
        <f>'1 - Input'!$B$7*(1+'1 - Input'!$B$12)^(B158-1)</f>
        <v>3226.7499352802392</v>
      </c>
      <c r="E158" s="17">
        <f t="shared" si="114"/>
        <v>236450.5750572455</v>
      </c>
      <c r="F158" s="17">
        <f t="shared" si="115"/>
        <v>348984.63142442447</v>
      </c>
      <c r="G158" s="17">
        <f t="shared" si="70"/>
        <v>237425.20643287819</v>
      </c>
      <c r="H158" s="17">
        <f>IF(G158&gt;0,'1 - Input'!$B$8/12*G158,0)</f>
        <v>1780.6890482465863</v>
      </c>
      <c r="I158" s="17">
        <f t="shared" si="71"/>
        <v>235644.51738463159</v>
      </c>
      <c r="J158" s="17">
        <f t="shared" si="72"/>
        <v>0</v>
      </c>
      <c r="K158" s="17">
        <f>'1 - Input'!$B$22*(H158-J158)</f>
        <v>462.97915254411242</v>
      </c>
      <c r="L158" s="17">
        <f t="shared" si="73"/>
        <v>1317.7098957024739</v>
      </c>
      <c r="M158" s="17">
        <f t="shared" si="74"/>
        <v>348984.63142442447</v>
      </c>
      <c r="N158" s="17">
        <f>IF('1 - Input'!$B$17=1,MAX(0,L158-D158),0)</f>
        <v>0</v>
      </c>
      <c r="O158" s="17">
        <f>IF('1 - Input'!$B$17=1,MAX(0,D158-L158),0)</f>
        <v>1909.0400395777654</v>
      </c>
      <c r="P158" s="17">
        <f t="shared" si="75"/>
        <v>0</v>
      </c>
      <c r="Q158" s="17">
        <f>IF(AND(O158&gt;0,I158&gt;0),O158/(1-'1 - Input'!$B$22*P158),0)</f>
        <v>1909.0400395777654</v>
      </c>
      <c r="R158" s="17">
        <f t="shared" si="76"/>
        <v>1909.0400395777654</v>
      </c>
      <c r="S158" s="17">
        <f>'1 - Input'!$B$22*P158*R158</f>
        <v>0</v>
      </c>
      <c r="T158" s="17">
        <f t="shared" si="77"/>
        <v>1909.0400395777654</v>
      </c>
      <c r="U158" s="17">
        <f t="shared" si="78"/>
        <v>0</v>
      </c>
      <c r="V158" s="17">
        <f t="shared" si="79"/>
        <v>918.2085719359327</v>
      </c>
      <c r="W158" s="17">
        <f t="shared" si="80"/>
        <v>233735.47734505383</v>
      </c>
      <c r="X158" s="17">
        <f t="shared" si="81"/>
        <v>346157.38281291077</v>
      </c>
      <c r="Y158" s="17">
        <f>IF(MOD(A158,12)=0,W158*'1 - Input'!$B$23,0)</f>
        <v>0</v>
      </c>
      <c r="Z158" s="17">
        <f t="shared" si="82"/>
        <v>233735.47734505383</v>
      </c>
      <c r="AA158" s="17">
        <f>IF(MOD(A158,12)=0,X158*(1-'1 - Input'!$B$23),X158)</f>
        <v>346157.38281291077</v>
      </c>
      <c r="AB158" s="17">
        <f>IF('1 - Input'!$B$17=1,MIN(L158,D158)+T158,L158)</f>
        <v>3226.7499352802392</v>
      </c>
      <c r="AC158" s="17">
        <f t="shared" si="116"/>
        <v>338637.21071510518</v>
      </c>
      <c r="AD158" s="17">
        <f t="shared" si="117"/>
        <v>83665.938656030776</v>
      </c>
      <c r="AE158" s="17">
        <f t="shared" si="118"/>
        <v>0</v>
      </c>
      <c r="AF158" s="17">
        <f t="shared" si="119"/>
        <v>31860.595045666156</v>
      </c>
      <c r="AG158" s="17">
        <f t="shared" si="120"/>
        <v>6589.0637809725049</v>
      </c>
      <c r="AH158" s="17">
        <f t="shared" si="121"/>
        <v>0</v>
      </c>
      <c r="AI158" s="15">
        <f t="shared" si="83"/>
        <v>0</v>
      </c>
      <c r="AK158" s="14">
        <v>115</v>
      </c>
      <c r="AL158" s="15">
        <f t="shared" si="84"/>
        <v>10</v>
      </c>
      <c r="AM158" s="16">
        <f>(1+INDEX('1 - Input'!$B$34:$E$63,AL158,'1 - Input'!$B$16))^(1/12)-1</f>
        <v>4.1219243192651689E-3</v>
      </c>
      <c r="AN158" s="17">
        <f>'1 - Input'!$B$7*(1+'1 - Input'!$B$12)^(AL158-1)</f>
        <v>3226.7499352802392</v>
      </c>
      <c r="AO158" s="17">
        <f t="shared" si="122"/>
        <v>236450.5750572455</v>
      </c>
      <c r="AP158" s="17">
        <f t="shared" si="123"/>
        <v>348984.63142442447</v>
      </c>
      <c r="AQ158" s="17">
        <f t="shared" si="85"/>
        <v>237425.20643287819</v>
      </c>
      <c r="AR158" s="17">
        <f>IF(AQ158&gt;0,'1 - Input'!$B$8/12*AQ158,0)</f>
        <v>1780.6890482465863</v>
      </c>
      <c r="AS158" s="17">
        <f t="shared" si="86"/>
        <v>235644.51738463159</v>
      </c>
      <c r="AT158" s="17">
        <f t="shared" si="87"/>
        <v>0</v>
      </c>
      <c r="AU158" s="17">
        <f>'1 - Input'!$B$22*(AR158-AT158)</f>
        <v>462.97915254411242</v>
      </c>
      <c r="AV158" s="17">
        <f t="shared" si="88"/>
        <v>1317.7098957024739</v>
      </c>
      <c r="AW158" s="17">
        <f t="shared" si="89"/>
        <v>348984.63142442447</v>
      </c>
      <c r="AX158" s="17">
        <f>IF('1 - Input'!$B$17=1,MAX(0,AV158-AN158),0)</f>
        <v>0</v>
      </c>
      <c r="AY158" s="17">
        <f>IF('1 - Input'!$B$17=1,MAX(0,AN158-AV158),0)</f>
        <v>1909.0400395777654</v>
      </c>
      <c r="AZ158" s="17">
        <f t="shared" si="90"/>
        <v>0</v>
      </c>
      <c r="BA158" s="17">
        <f>IF(AND(AY158&gt;0,AS158&gt;0),AY158/(1-'1 - Input'!$B$22*AZ158),0)</f>
        <v>1909.0400395777654</v>
      </c>
      <c r="BB158" s="17">
        <f t="shared" si="91"/>
        <v>1909.0400395777654</v>
      </c>
      <c r="BC158" s="17">
        <f>'1 - Input'!$B$22*AZ158*BB158</f>
        <v>0</v>
      </c>
      <c r="BD158" s="17">
        <f t="shared" si="92"/>
        <v>1909.0400395777654</v>
      </c>
      <c r="BE158" s="17">
        <f t="shared" si="93"/>
        <v>0</v>
      </c>
      <c r="BF158" s="17">
        <f t="shared" si="94"/>
        <v>918.2085719359327</v>
      </c>
      <c r="BG158" s="17">
        <f t="shared" si="95"/>
        <v>233735.47734505383</v>
      </c>
      <c r="BH158" s="17">
        <f t="shared" si="96"/>
        <v>346157.38281291077</v>
      </c>
      <c r="BI158" s="17">
        <f>IF(MOD(AK158,12)=0,BG158*'1 - Input'!$B$23,0)</f>
        <v>0</v>
      </c>
      <c r="BJ158" s="17">
        <f t="shared" si="97"/>
        <v>233735.47734505383</v>
      </c>
      <c r="BK158" s="17">
        <f>IF(MOD(AK158,12)=0,BH158*(1-'1 - Input'!$B$23),BH158)</f>
        <v>346157.38281291077</v>
      </c>
      <c r="BL158" s="17">
        <f>IF('1 - Input'!$B$17=1,MIN(AV158,AN158)+BD158,AV158)</f>
        <v>3226.7499352802392</v>
      </c>
      <c r="BM158" s="17">
        <f t="shared" si="124"/>
        <v>338637.21071510518</v>
      </c>
      <c r="BN158" s="17">
        <f t="shared" si="125"/>
        <v>83665.938656030776</v>
      </c>
      <c r="BO158" s="17">
        <f t="shared" si="126"/>
        <v>0</v>
      </c>
      <c r="BP158" s="17">
        <f t="shared" si="127"/>
        <v>31860.595045666156</v>
      </c>
      <c r="BQ158" s="17">
        <f t="shared" si="128"/>
        <v>6589.0637809725049</v>
      </c>
      <c r="BR158" s="17">
        <f t="shared" si="129"/>
        <v>0</v>
      </c>
      <c r="BS158" s="15">
        <f t="shared" si="98"/>
        <v>0</v>
      </c>
      <c r="BU158" s="14">
        <v>115</v>
      </c>
      <c r="BV158" s="15">
        <f t="shared" si="99"/>
        <v>10</v>
      </c>
      <c r="BW158" s="16">
        <f>(1+INDEX('1 - Input'!$B$34:$E$63,BV158,'1 - Input'!$B$16))^(1/12)-1</f>
        <v>4.1219243192651689E-3</v>
      </c>
      <c r="BX158" s="17">
        <f>'1 - Input'!$B$7*(1+'1 - Input'!$B$12)^(BV158-1)</f>
        <v>3226.7499352802392</v>
      </c>
      <c r="BY158" s="17">
        <f t="shared" si="130"/>
        <v>342211.82054482505</v>
      </c>
      <c r="BZ158" s="17">
        <f t="shared" si="131"/>
        <v>150126.99450949911</v>
      </c>
      <c r="CA158" s="17">
        <f t="shared" si="100"/>
        <v>343622.39177026879</v>
      </c>
      <c r="CB158" s="17">
        <f>IF(CA158&gt;0,'1 - Input'!$B$8/12*CA158,0)</f>
        <v>2577.1679382770158</v>
      </c>
      <c r="CC158" s="17">
        <f t="shared" si="101"/>
        <v>341045.22383199178</v>
      </c>
      <c r="CD158" s="17">
        <f t="shared" si="102"/>
        <v>2577.1679382770158</v>
      </c>
      <c r="CE158" s="17">
        <f>'1 - Input'!$B$22*(CB158-CD158)</f>
        <v>0</v>
      </c>
      <c r="CF158" s="17">
        <f t="shared" si="103"/>
        <v>2577.1679382770158</v>
      </c>
      <c r="CG158" s="17">
        <f t="shared" si="104"/>
        <v>147549.8265712221</v>
      </c>
      <c r="CH158" s="17">
        <f>IF('1 - Input'!$B$17=1,MAX(0,CF158-BX158),0)</f>
        <v>0</v>
      </c>
      <c r="CI158" s="17">
        <f>IF('1 - Input'!$B$17=1,MAX(0,BX158-CF158),0)</f>
        <v>649.58199700322348</v>
      </c>
      <c r="CJ158" s="17">
        <f t="shared" si="105"/>
        <v>0.56735993862236533</v>
      </c>
      <c r="CK158" s="17">
        <f>IF(AND(CI158&gt;0,CC158&gt;0),CI158/(1-'1 - Input'!$B$22*CJ158),0)</f>
        <v>761.98515875833721</v>
      </c>
      <c r="CL158" s="17">
        <f t="shared" si="106"/>
        <v>761.98515875833721</v>
      </c>
      <c r="CM158" s="17">
        <f>'1 - Input'!$B$22*CJ158*CL158</f>
        <v>112.40316175511371</v>
      </c>
      <c r="CN158" s="17">
        <f t="shared" si="107"/>
        <v>649.58199700322348</v>
      </c>
      <c r="CO158" s="17">
        <f t="shared" si="108"/>
        <v>0</v>
      </c>
      <c r="CP158" s="17">
        <f t="shared" si="109"/>
        <v>0</v>
      </c>
      <c r="CQ158" s="17">
        <f t="shared" si="110"/>
        <v>340283.23867323343</v>
      </c>
      <c r="CR158" s="17">
        <f t="shared" si="111"/>
        <v>147220.16126536805</v>
      </c>
      <c r="CS158" s="17">
        <f>IF(MOD(BU158,12)=0,CQ158*'1 - Input'!$B$23,0)</f>
        <v>0</v>
      </c>
      <c r="CT158" s="17">
        <f t="shared" si="112"/>
        <v>340283.23867323343</v>
      </c>
      <c r="CU158" s="17">
        <f>IF(MOD(BU158,12)=0,CR158*(1-'1 - Input'!$B$23),CR158)</f>
        <v>147220.16126536805</v>
      </c>
      <c r="CV158" s="17">
        <f>IF('1 - Input'!$B$17=1,MIN(CF158,BX158)+CN158,CF158)</f>
        <v>3226.7499352802392</v>
      </c>
      <c r="CW158" s="17">
        <f t="shared" si="132"/>
        <v>338637.21071510518</v>
      </c>
      <c r="CX158" s="17">
        <f t="shared" si="133"/>
        <v>0</v>
      </c>
      <c r="CY158" s="17">
        <f t="shared" si="134"/>
        <v>1753.7561654118279</v>
      </c>
      <c r="CZ158" s="17">
        <f t="shared" si="135"/>
        <v>0</v>
      </c>
      <c r="DA158" s="17">
        <f t="shared" si="136"/>
        <v>7616.4187034659053</v>
      </c>
      <c r="DB158" s="17">
        <f t="shared" si="137"/>
        <v>0</v>
      </c>
      <c r="DC158" s="15">
        <f t="shared" si="113"/>
        <v>0</v>
      </c>
    </row>
    <row r="159" spans="1:107">
      <c r="A159" s="14">
        <v>116</v>
      </c>
      <c r="B159" s="15">
        <f t="shared" si="69"/>
        <v>10</v>
      </c>
      <c r="C159" s="16">
        <f>(1+INDEX('1 - Input'!$B$34:$E$63,B159,'1 - Input'!$B$16))^(1/12)-1</f>
        <v>4.1219243192651689E-3</v>
      </c>
      <c r="D159" s="17">
        <f>'1 - Input'!$B$7*(1+'1 - Input'!$B$12)^(B159-1)</f>
        <v>3226.7499352802392</v>
      </c>
      <c r="E159" s="17">
        <f t="shared" si="114"/>
        <v>233735.47734505383</v>
      </c>
      <c r="F159" s="17">
        <f t="shared" si="115"/>
        <v>346157.38281291077</v>
      </c>
      <c r="G159" s="17">
        <f t="shared" si="70"/>
        <v>234698.91729339748</v>
      </c>
      <c r="H159" s="17">
        <f>IF(G159&gt;0,'1 - Input'!$B$8/12*G159,0)</f>
        <v>1760.2418797004809</v>
      </c>
      <c r="I159" s="17">
        <f t="shared" si="71"/>
        <v>232938.675413697</v>
      </c>
      <c r="J159" s="17">
        <f t="shared" si="72"/>
        <v>0</v>
      </c>
      <c r="K159" s="17">
        <f>'1 - Input'!$B$22*(H159-J159)</f>
        <v>457.66288872212505</v>
      </c>
      <c r="L159" s="17">
        <f t="shared" si="73"/>
        <v>1302.5789909783559</v>
      </c>
      <c r="M159" s="17">
        <f t="shared" si="74"/>
        <v>346157.38281291077</v>
      </c>
      <c r="N159" s="17">
        <f>IF('1 - Input'!$B$17=1,MAX(0,L159-D159),0)</f>
        <v>0</v>
      </c>
      <c r="O159" s="17">
        <f>IF('1 - Input'!$B$17=1,MAX(0,D159-L159),0)</f>
        <v>1924.1709443018833</v>
      </c>
      <c r="P159" s="17">
        <f t="shared" si="75"/>
        <v>0</v>
      </c>
      <c r="Q159" s="17">
        <f>IF(AND(O159&gt;0,I159&gt;0),O159/(1-'1 - Input'!$B$22*P159),0)</f>
        <v>1924.1709443018833</v>
      </c>
      <c r="R159" s="17">
        <f t="shared" si="76"/>
        <v>1924.1709443018833</v>
      </c>
      <c r="S159" s="17">
        <f>'1 - Input'!$B$22*P159*R159</f>
        <v>0</v>
      </c>
      <c r="T159" s="17">
        <f t="shared" si="77"/>
        <v>1924.1709443018833</v>
      </c>
      <c r="U159" s="17">
        <f t="shared" si="78"/>
        <v>0</v>
      </c>
      <c r="V159" s="17">
        <f t="shared" si="79"/>
        <v>935.23390541343258</v>
      </c>
      <c r="W159" s="17">
        <f t="shared" si="80"/>
        <v>231014.50446939512</v>
      </c>
      <c r="X159" s="17">
        <f t="shared" si="81"/>
        <v>343297.97796319542</v>
      </c>
      <c r="Y159" s="17">
        <f>IF(MOD(A159,12)=0,W159*'1 - Input'!$B$23,0)</f>
        <v>0</v>
      </c>
      <c r="Z159" s="17">
        <f t="shared" si="82"/>
        <v>231014.50446939512</v>
      </c>
      <c r="AA159" s="17">
        <f>IF(MOD(A159,12)=0,X159*(1-'1 - Input'!$B$23),X159)</f>
        <v>343297.97796319542</v>
      </c>
      <c r="AB159" s="17">
        <f>IF('1 - Input'!$B$17=1,MIN(L159,D159)+T159,L159)</f>
        <v>3226.7499352802392</v>
      </c>
      <c r="AC159" s="17">
        <f t="shared" si="116"/>
        <v>341863.96065038542</v>
      </c>
      <c r="AD159" s="17">
        <f t="shared" si="117"/>
        <v>84123.601544752906</v>
      </c>
      <c r="AE159" s="17">
        <f t="shared" si="118"/>
        <v>0</v>
      </c>
      <c r="AF159" s="17">
        <f t="shared" si="119"/>
        <v>32795.828951079588</v>
      </c>
      <c r="AG159" s="17">
        <f t="shared" si="120"/>
        <v>6589.0637809725049</v>
      </c>
      <c r="AH159" s="17">
        <f t="shared" si="121"/>
        <v>0</v>
      </c>
      <c r="AI159" s="15">
        <f t="shared" si="83"/>
        <v>0</v>
      </c>
      <c r="AK159" s="14">
        <v>116</v>
      </c>
      <c r="AL159" s="15">
        <f t="shared" si="84"/>
        <v>10</v>
      </c>
      <c r="AM159" s="16">
        <f>(1+INDEX('1 - Input'!$B$34:$E$63,AL159,'1 - Input'!$B$16))^(1/12)-1</f>
        <v>4.1219243192651689E-3</v>
      </c>
      <c r="AN159" s="17">
        <f>'1 - Input'!$B$7*(1+'1 - Input'!$B$12)^(AL159-1)</f>
        <v>3226.7499352802392</v>
      </c>
      <c r="AO159" s="17">
        <f t="shared" si="122"/>
        <v>233735.47734505383</v>
      </c>
      <c r="AP159" s="17">
        <f t="shared" si="123"/>
        <v>346157.38281291077</v>
      </c>
      <c r="AQ159" s="17">
        <f t="shared" si="85"/>
        <v>234698.91729339748</v>
      </c>
      <c r="AR159" s="17">
        <f>IF(AQ159&gt;0,'1 - Input'!$B$8/12*AQ159,0)</f>
        <v>1760.2418797004809</v>
      </c>
      <c r="AS159" s="17">
        <f t="shared" si="86"/>
        <v>232938.675413697</v>
      </c>
      <c r="AT159" s="17">
        <f t="shared" si="87"/>
        <v>0</v>
      </c>
      <c r="AU159" s="17">
        <f>'1 - Input'!$B$22*(AR159-AT159)</f>
        <v>457.66288872212505</v>
      </c>
      <c r="AV159" s="17">
        <f t="shared" si="88"/>
        <v>1302.5789909783559</v>
      </c>
      <c r="AW159" s="17">
        <f t="shared" si="89"/>
        <v>346157.38281291077</v>
      </c>
      <c r="AX159" s="17">
        <f>IF('1 - Input'!$B$17=1,MAX(0,AV159-AN159),0)</f>
        <v>0</v>
      </c>
      <c r="AY159" s="17">
        <f>IF('1 - Input'!$B$17=1,MAX(0,AN159-AV159),0)</f>
        <v>1924.1709443018833</v>
      </c>
      <c r="AZ159" s="17">
        <f t="shared" si="90"/>
        <v>0</v>
      </c>
      <c r="BA159" s="17">
        <f>IF(AND(AY159&gt;0,AS159&gt;0),AY159/(1-'1 - Input'!$B$22*AZ159),0)</f>
        <v>1924.1709443018833</v>
      </c>
      <c r="BB159" s="17">
        <f t="shared" si="91"/>
        <v>1924.1709443018833</v>
      </c>
      <c r="BC159" s="17">
        <f>'1 - Input'!$B$22*AZ159*BB159</f>
        <v>0</v>
      </c>
      <c r="BD159" s="17">
        <f t="shared" si="92"/>
        <v>1924.1709443018833</v>
      </c>
      <c r="BE159" s="17">
        <f t="shared" si="93"/>
        <v>0</v>
      </c>
      <c r="BF159" s="17">
        <f t="shared" si="94"/>
        <v>935.23390541343258</v>
      </c>
      <c r="BG159" s="17">
        <f t="shared" si="95"/>
        <v>231014.50446939512</v>
      </c>
      <c r="BH159" s="17">
        <f t="shared" si="96"/>
        <v>343297.97796319542</v>
      </c>
      <c r="BI159" s="17">
        <f>IF(MOD(AK159,12)=0,BG159*'1 - Input'!$B$23,0)</f>
        <v>0</v>
      </c>
      <c r="BJ159" s="17">
        <f t="shared" si="97"/>
        <v>231014.50446939512</v>
      </c>
      <c r="BK159" s="17">
        <f>IF(MOD(AK159,12)=0,BH159*(1-'1 - Input'!$B$23),BH159)</f>
        <v>343297.97796319542</v>
      </c>
      <c r="BL159" s="17">
        <f>IF('1 - Input'!$B$17=1,MIN(AV159,AN159)+BD159,AV159)</f>
        <v>3226.7499352802392</v>
      </c>
      <c r="BM159" s="17">
        <f t="shared" si="124"/>
        <v>341863.96065038542</v>
      </c>
      <c r="BN159" s="17">
        <f t="shared" si="125"/>
        <v>84123.601544752906</v>
      </c>
      <c r="BO159" s="17">
        <f t="shared" si="126"/>
        <v>0</v>
      </c>
      <c r="BP159" s="17">
        <f t="shared" si="127"/>
        <v>32795.828951079588</v>
      </c>
      <c r="BQ159" s="17">
        <f t="shared" si="128"/>
        <v>6589.0637809725049</v>
      </c>
      <c r="BR159" s="17">
        <f t="shared" si="129"/>
        <v>0</v>
      </c>
      <c r="BS159" s="15">
        <f t="shared" si="98"/>
        <v>0</v>
      </c>
      <c r="BU159" s="14">
        <v>116</v>
      </c>
      <c r="BV159" s="15">
        <f t="shared" si="99"/>
        <v>10</v>
      </c>
      <c r="BW159" s="16">
        <f>(1+INDEX('1 - Input'!$B$34:$E$63,BV159,'1 - Input'!$B$16))^(1/12)-1</f>
        <v>4.1219243192651689E-3</v>
      </c>
      <c r="BX159" s="17">
        <f>'1 - Input'!$B$7*(1+'1 - Input'!$B$12)^(BV159-1)</f>
        <v>3226.7499352802392</v>
      </c>
      <c r="BY159" s="17">
        <f t="shared" si="130"/>
        <v>340283.23867323343</v>
      </c>
      <c r="BZ159" s="17">
        <f t="shared" si="131"/>
        <v>147220.16126536805</v>
      </c>
      <c r="CA159" s="17">
        <f t="shared" si="100"/>
        <v>341685.86043015897</v>
      </c>
      <c r="CB159" s="17">
        <f>IF(CA159&gt;0,'1 - Input'!$B$8/12*CA159,0)</f>
        <v>2562.643953226192</v>
      </c>
      <c r="CC159" s="17">
        <f t="shared" si="101"/>
        <v>339123.21647693275</v>
      </c>
      <c r="CD159" s="17">
        <f t="shared" si="102"/>
        <v>2562.643953226192</v>
      </c>
      <c r="CE159" s="17">
        <f>'1 - Input'!$B$22*(CB159-CD159)</f>
        <v>0</v>
      </c>
      <c r="CF159" s="17">
        <f t="shared" si="103"/>
        <v>2562.643953226192</v>
      </c>
      <c r="CG159" s="17">
        <f t="shared" si="104"/>
        <v>144657.51731214186</v>
      </c>
      <c r="CH159" s="17">
        <f>IF('1 - Input'!$B$17=1,MAX(0,CF159-BX159),0)</f>
        <v>0</v>
      </c>
      <c r="CI159" s="17">
        <f>IF('1 - Input'!$B$17=1,MAX(0,BX159-CF159),0)</f>
        <v>664.10598205404722</v>
      </c>
      <c r="CJ159" s="17">
        <f t="shared" si="105"/>
        <v>0.57343670299263771</v>
      </c>
      <c r="CK159" s="17">
        <f>IF(AND(CI159&gt;0,CC159&gt;0),CI159/(1-'1 - Input'!$B$22*CJ159),0)</f>
        <v>780.46884756552049</v>
      </c>
      <c r="CL159" s="17">
        <f t="shared" si="106"/>
        <v>780.46884756552049</v>
      </c>
      <c r="CM159" s="17">
        <f>'1 - Input'!$B$22*CJ159*CL159</f>
        <v>116.36286551147326</v>
      </c>
      <c r="CN159" s="17">
        <f t="shared" si="107"/>
        <v>664.10598205404722</v>
      </c>
      <c r="CO159" s="17">
        <f t="shared" si="108"/>
        <v>0</v>
      </c>
      <c r="CP159" s="17">
        <f t="shared" si="109"/>
        <v>0</v>
      </c>
      <c r="CQ159" s="17">
        <f t="shared" si="110"/>
        <v>338342.74762936722</v>
      </c>
      <c r="CR159" s="17">
        <f t="shared" si="111"/>
        <v>144324.59794731278</v>
      </c>
      <c r="CS159" s="17">
        <f>IF(MOD(BU159,12)=0,CQ159*'1 - Input'!$B$23,0)</f>
        <v>0</v>
      </c>
      <c r="CT159" s="17">
        <f t="shared" si="112"/>
        <v>338342.74762936722</v>
      </c>
      <c r="CU159" s="17">
        <f>IF(MOD(BU159,12)=0,CR159*(1-'1 - Input'!$B$23),CR159)</f>
        <v>144324.59794731278</v>
      </c>
      <c r="CV159" s="17">
        <f>IF('1 - Input'!$B$17=1,MIN(CF159,BX159)+CN159,CF159)</f>
        <v>3226.7499352802392</v>
      </c>
      <c r="CW159" s="17">
        <f t="shared" si="132"/>
        <v>341863.96065038542</v>
      </c>
      <c r="CX159" s="17">
        <f t="shared" si="133"/>
        <v>0</v>
      </c>
      <c r="CY159" s="17">
        <f t="shared" si="134"/>
        <v>1870.1190309233011</v>
      </c>
      <c r="CZ159" s="17">
        <f t="shared" si="135"/>
        <v>0</v>
      </c>
      <c r="DA159" s="17">
        <f t="shared" si="136"/>
        <v>7616.4187034659053</v>
      </c>
      <c r="DB159" s="17">
        <f t="shared" si="137"/>
        <v>0</v>
      </c>
      <c r="DC159" s="15">
        <f t="shared" si="113"/>
        <v>0</v>
      </c>
    </row>
    <row r="160" spans="1:107">
      <c r="A160" s="14">
        <v>117</v>
      </c>
      <c r="B160" s="15">
        <f t="shared" si="69"/>
        <v>10</v>
      </c>
      <c r="C160" s="16">
        <f>(1+INDEX('1 - Input'!$B$34:$E$63,B160,'1 - Input'!$B$16))^(1/12)-1</f>
        <v>4.1219243192651689E-3</v>
      </c>
      <c r="D160" s="17">
        <f>'1 - Input'!$B$7*(1+'1 - Input'!$B$12)^(B160-1)</f>
        <v>3226.7499352802392</v>
      </c>
      <c r="E160" s="17">
        <f t="shared" si="114"/>
        <v>231014.50446939512</v>
      </c>
      <c r="F160" s="17">
        <f t="shared" si="115"/>
        <v>343297.97796319542</v>
      </c>
      <c r="G160" s="17">
        <f t="shared" si="70"/>
        <v>231966.7287734705</v>
      </c>
      <c r="H160" s="17">
        <f>IF(G160&gt;0,'1 - Input'!$B$8/12*G160,0)</f>
        <v>1739.7504658010287</v>
      </c>
      <c r="I160" s="17">
        <f t="shared" si="71"/>
        <v>230226.97830766949</v>
      </c>
      <c r="J160" s="17">
        <f t="shared" si="72"/>
        <v>0</v>
      </c>
      <c r="K160" s="17">
        <f>'1 - Input'!$B$22*(H160-J160)</f>
        <v>452.33512110826746</v>
      </c>
      <c r="L160" s="17">
        <f t="shared" si="73"/>
        <v>1287.4153446927612</v>
      </c>
      <c r="M160" s="17">
        <f t="shared" si="74"/>
        <v>343297.97796319542</v>
      </c>
      <c r="N160" s="17">
        <f>IF('1 - Input'!$B$17=1,MAX(0,L160-D160),0)</f>
        <v>0</v>
      </c>
      <c r="O160" s="17">
        <f>IF('1 - Input'!$B$17=1,MAX(0,D160-L160),0)</f>
        <v>1939.334590587478</v>
      </c>
      <c r="P160" s="17">
        <f t="shared" si="75"/>
        <v>0</v>
      </c>
      <c r="Q160" s="17">
        <f>IF(AND(O160&gt;0,I160&gt;0),O160/(1-'1 - Input'!$B$22*P160),0)</f>
        <v>1939.334590587478</v>
      </c>
      <c r="R160" s="17">
        <f t="shared" si="76"/>
        <v>1939.334590587478</v>
      </c>
      <c r="S160" s="17">
        <f>'1 - Input'!$B$22*P160*R160</f>
        <v>0</v>
      </c>
      <c r="T160" s="17">
        <f t="shared" si="77"/>
        <v>1939.334590587478</v>
      </c>
      <c r="U160" s="17">
        <f t="shared" si="78"/>
        <v>0</v>
      </c>
      <c r="V160" s="17">
        <f t="shared" si="79"/>
        <v>952.46222851964239</v>
      </c>
      <c r="W160" s="17">
        <f t="shared" si="80"/>
        <v>228287.64371708201</v>
      </c>
      <c r="X160" s="17">
        <f t="shared" si="81"/>
        <v>340406.18114408827</v>
      </c>
      <c r="Y160" s="17">
        <f>IF(MOD(A160,12)=0,W160*'1 - Input'!$B$23,0)</f>
        <v>0</v>
      </c>
      <c r="Z160" s="17">
        <f t="shared" si="82"/>
        <v>228287.64371708201</v>
      </c>
      <c r="AA160" s="17">
        <f>IF(MOD(A160,12)=0,X160*(1-'1 - Input'!$B$23),X160)</f>
        <v>340406.18114408827</v>
      </c>
      <c r="AB160" s="17">
        <f>IF('1 - Input'!$B$17=1,MIN(L160,D160)+T160,L160)</f>
        <v>3226.7499352802392</v>
      </c>
      <c r="AC160" s="17">
        <f t="shared" si="116"/>
        <v>345090.71058566566</v>
      </c>
      <c r="AD160" s="17">
        <f t="shared" si="117"/>
        <v>84575.936665861169</v>
      </c>
      <c r="AE160" s="17">
        <f t="shared" si="118"/>
        <v>0</v>
      </c>
      <c r="AF160" s="17">
        <f t="shared" si="119"/>
        <v>33748.291179599233</v>
      </c>
      <c r="AG160" s="17">
        <f t="shared" si="120"/>
        <v>6589.0637809725049</v>
      </c>
      <c r="AH160" s="17">
        <f t="shared" si="121"/>
        <v>0</v>
      </c>
      <c r="AI160" s="15">
        <f t="shared" si="83"/>
        <v>0</v>
      </c>
      <c r="AK160" s="14">
        <v>117</v>
      </c>
      <c r="AL160" s="15">
        <f t="shared" si="84"/>
        <v>10</v>
      </c>
      <c r="AM160" s="16">
        <f>(1+INDEX('1 - Input'!$B$34:$E$63,AL160,'1 - Input'!$B$16))^(1/12)-1</f>
        <v>4.1219243192651689E-3</v>
      </c>
      <c r="AN160" s="17">
        <f>'1 - Input'!$B$7*(1+'1 - Input'!$B$12)^(AL160-1)</f>
        <v>3226.7499352802392</v>
      </c>
      <c r="AO160" s="17">
        <f t="shared" si="122"/>
        <v>231014.50446939512</v>
      </c>
      <c r="AP160" s="17">
        <f t="shared" si="123"/>
        <v>343297.97796319542</v>
      </c>
      <c r="AQ160" s="17">
        <f t="shared" si="85"/>
        <v>231966.7287734705</v>
      </c>
      <c r="AR160" s="17">
        <f>IF(AQ160&gt;0,'1 - Input'!$B$8/12*AQ160,0)</f>
        <v>1739.7504658010287</v>
      </c>
      <c r="AS160" s="17">
        <f t="shared" si="86"/>
        <v>230226.97830766949</v>
      </c>
      <c r="AT160" s="17">
        <f t="shared" si="87"/>
        <v>0</v>
      </c>
      <c r="AU160" s="17">
        <f>'1 - Input'!$B$22*(AR160-AT160)</f>
        <v>452.33512110826746</v>
      </c>
      <c r="AV160" s="17">
        <f t="shared" si="88"/>
        <v>1287.4153446927612</v>
      </c>
      <c r="AW160" s="17">
        <f t="shared" si="89"/>
        <v>343297.97796319542</v>
      </c>
      <c r="AX160" s="17">
        <f>IF('1 - Input'!$B$17=1,MAX(0,AV160-AN160),0)</f>
        <v>0</v>
      </c>
      <c r="AY160" s="17">
        <f>IF('1 - Input'!$B$17=1,MAX(0,AN160-AV160),0)</f>
        <v>1939.334590587478</v>
      </c>
      <c r="AZ160" s="17">
        <f t="shared" si="90"/>
        <v>0</v>
      </c>
      <c r="BA160" s="17">
        <f>IF(AND(AY160&gt;0,AS160&gt;0),AY160/(1-'1 - Input'!$B$22*AZ160),0)</f>
        <v>1939.334590587478</v>
      </c>
      <c r="BB160" s="17">
        <f t="shared" si="91"/>
        <v>1939.334590587478</v>
      </c>
      <c r="BC160" s="17">
        <f>'1 - Input'!$B$22*AZ160*BB160</f>
        <v>0</v>
      </c>
      <c r="BD160" s="17">
        <f t="shared" si="92"/>
        <v>1939.334590587478</v>
      </c>
      <c r="BE160" s="17">
        <f t="shared" si="93"/>
        <v>0</v>
      </c>
      <c r="BF160" s="17">
        <f t="shared" si="94"/>
        <v>952.46222851964239</v>
      </c>
      <c r="BG160" s="17">
        <f t="shared" si="95"/>
        <v>228287.64371708201</v>
      </c>
      <c r="BH160" s="17">
        <f t="shared" si="96"/>
        <v>340406.18114408827</v>
      </c>
      <c r="BI160" s="17">
        <f>IF(MOD(AK160,12)=0,BG160*'1 - Input'!$B$23,0)</f>
        <v>0</v>
      </c>
      <c r="BJ160" s="17">
        <f t="shared" si="97"/>
        <v>228287.64371708201</v>
      </c>
      <c r="BK160" s="17">
        <f>IF(MOD(AK160,12)=0,BH160*(1-'1 - Input'!$B$23),BH160)</f>
        <v>340406.18114408827</v>
      </c>
      <c r="BL160" s="17">
        <f>IF('1 - Input'!$B$17=1,MIN(AV160,AN160)+BD160,AV160)</f>
        <v>3226.7499352802392</v>
      </c>
      <c r="BM160" s="17">
        <f t="shared" si="124"/>
        <v>345090.71058566566</v>
      </c>
      <c r="BN160" s="17">
        <f t="shared" si="125"/>
        <v>84575.936665861169</v>
      </c>
      <c r="BO160" s="17">
        <f t="shared" si="126"/>
        <v>0</v>
      </c>
      <c r="BP160" s="17">
        <f t="shared" si="127"/>
        <v>33748.291179599233</v>
      </c>
      <c r="BQ160" s="17">
        <f t="shared" si="128"/>
        <v>6589.0637809725049</v>
      </c>
      <c r="BR160" s="17">
        <f t="shared" si="129"/>
        <v>0</v>
      </c>
      <c r="BS160" s="15">
        <f t="shared" si="98"/>
        <v>0</v>
      </c>
      <c r="BU160" s="14">
        <v>117</v>
      </c>
      <c r="BV160" s="15">
        <f t="shared" si="99"/>
        <v>10</v>
      </c>
      <c r="BW160" s="16">
        <f>(1+INDEX('1 - Input'!$B$34:$E$63,BV160,'1 - Input'!$B$16))^(1/12)-1</f>
        <v>4.1219243192651689E-3</v>
      </c>
      <c r="BX160" s="17">
        <f>'1 - Input'!$B$7*(1+'1 - Input'!$B$12)^(BV160-1)</f>
        <v>3226.7499352802392</v>
      </c>
      <c r="BY160" s="17">
        <f t="shared" si="130"/>
        <v>338342.74762936722</v>
      </c>
      <c r="BZ160" s="17">
        <f t="shared" si="131"/>
        <v>144324.59794731278</v>
      </c>
      <c r="CA160" s="17">
        <f t="shared" si="100"/>
        <v>339737.37082906772</v>
      </c>
      <c r="CB160" s="17">
        <f>IF(CA160&gt;0,'1 - Input'!$B$8/12*CA160,0)</f>
        <v>2548.030281218008</v>
      </c>
      <c r="CC160" s="17">
        <f t="shared" si="101"/>
        <v>337189.34054784972</v>
      </c>
      <c r="CD160" s="17">
        <f t="shared" si="102"/>
        <v>2548.030281218008</v>
      </c>
      <c r="CE160" s="17">
        <f>'1 - Input'!$B$22*(CB160-CD160)</f>
        <v>0</v>
      </c>
      <c r="CF160" s="17">
        <f t="shared" si="103"/>
        <v>2548.030281218008</v>
      </c>
      <c r="CG160" s="17">
        <f t="shared" si="104"/>
        <v>141776.56766609478</v>
      </c>
      <c r="CH160" s="17">
        <f>IF('1 - Input'!$B$17=1,MAX(0,CF160-BX160),0)</f>
        <v>0</v>
      </c>
      <c r="CI160" s="17">
        <f>IF('1 - Input'!$B$17=1,MAX(0,BX160-CF160),0)</f>
        <v>678.71965406223126</v>
      </c>
      <c r="CJ160" s="17">
        <f t="shared" si="105"/>
        <v>0.57953425385350932</v>
      </c>
      <c r="CK160" s="17">
        <f>IF(AND(CI160&gt;0,CC160&gt;0),CI160/(1-'1 - Input'!$B$22*CJ160),0)</f>
        <v>799.1319877235494</v>
      </c>
      <c r="CL160" s="17">
        <f t="shared" si="106"/>
        <v>799.1319877235494</v>
      </c>
      <c r="CM160" s="17">
        <f>'1 - Input'!$B$22*CJ160*CL160</f>
        <v>120.41233366131813</v>
      </c>
      <c r="CN160" s="17">
        <f t="shared" si="107"/>
        <v>678.71965406223126</v>
      </c>
      <c r="CO160" s="17">
        <f t="shared" si="108"/>
        <v>0</v>
      </c>
      <c r="CP160" s="17">
        <f t="shared" si="109"/>
        <v>0</v>
      </c>
      <c r="CQ160" s="17">
        <f t="shared" si="110"/>
        <v>336390.20856012619</v>
      </c>
      <c r="CR160" s="17">
        <f t="shared" si="111"/>
        <v>141440.56003860707</v>
      </c>
      <c r="CS160" s="17">
        <f>IF(MOD(BU160,12)=0,CQ160*'1 - Input'!$B$23,0)</f>
        <v>0</v>
      </c>
      <c r="CT160" s="17">
        <f t="shared" si="112"/>
        <v>336390.20856012619</v>
      </c>
      <c r="CU160" s="17">
        <f>IF(MOD(BU160,12)=0,CR160*(1-'1 - Input'!$B$23),CR160)</f>
        <v>141440.56003860707</v>
      </c>
      <c r="CV160" s="17">
        <f>IF('1 - Input'!$B$17=1,MIN(CF160,BX160)+CN160,CF160)</f>
        <v>3226.7499352802392</v>
      </c>
      <c r="CW160" s="17">
        <f t="shared" si="132"/>
        <v>345090.71058566566</v>
      </c>
      <c r="CX160" s="17">
        <f t="shared" si="133"/>
        <v>0</v>
      </c>
      <c r="CY160" s="17">
        <f t="shared" si="134"/>
        <v>1990.5313645846193</v>
      </c>
      <c r="CZ160" s="17">
        <f t="shared" si="135"/>
        <v>0</v>
      </c>
      <c r="DA160" s="17">
        <f t="shared" si="136"/>
        <v>7616.4187034659053</v>
      </c>
      <c r="DB160" s="17">
        <f t="shared" si="137"/>
        <v>0</v>
      </c>
      <c r="DC160" s="15">
        <f t="shared" si="113"/>
        <v>0</v>
      </c>
    </row>
    <row r="161" spans="1:107">
      <c r="A161" s="14">
        <v>118</v>
      </c>
      <c r="B161" s="15">
        <f t="shared" si="69"/>
        <v>10</v>
      </c>
      <c r="C161" s="16">
        <f>(1+INDEX('1 - Input'!$B$34:$E$63,B161,'1 - Input'!$B$16))^(1/12)-1</f>
        <v>4.1219243192651689E-3</v>
      </c>
      <c r="D161" s="17">
        <f>'1 - Input'!$B$7*(1+'1 - Input'!$B$12)^(B161-1)</f>
        <v>3226.7499352802392</v>
      </c>
      <c r="E161" s="17">
        <f t="shared" si="114"/>
        <v>228287.64371708201</v>
      </c>
      <c r="F161" s="17">
        <f t="shared" si="115"/>
        <v>340406.18114408827</v>
      </c>
      <c r="G161" s="17">
        <f t="shared" si="70"/>
        <v>229228.62810750719</v>
      </c>
      <c r="H161" s="17">
        <f>IF(G161&gt;0,'1 - Input'!$B$8/12*G161,0)</f>
        <v>1719.2147108063039</v>
      </c>
      <c r="I161" s="17">
        <f t="shared" si="71"/>
        <v>227509.4133967009</v>
      </c>
      <c r="J161" s="17">
        <f t="shared" si="72"/>
        <v>0</v>
      </c>
      <c r="K161" s="17">
        <f>'1 - Input'!$B$22*(H161-J161)</f>
        <v>446.99582480963903</v>
      </c>
      <c r="L161" s="17">
        <f t="shared" si="73"/>
        <v>1272.2188859966648</v>
      </c>
      <c r="M161" s="17">
        <f t="shared" si="74"/>
        <v>340406.18114408827</v>
      </c>
      <c r="N161" s="17">
        <f>IF('1 - Input'!$B$17=1,MAX(0,L161-D161),0)</f>
        <v>0</v>
      </c>
      <c r="O161" s="17">
        <f>IF('1 - Input'!$B$17=1,MAX(0,D161-L161),0)</f>
        <v>1954.5310492835745</v>
      </c>
      <c r="P161" s="17">
        <f t="shared" si="75"/>
        <v>0</v>
      </c>
      <c r="Q161" s="17">
        <f>IF(AND(O161&gt;0,I161&gt;0),O161/(1-'1 - Input'!$B$22*P161),0)</f>
        <v>1954.5310492835745</v>
      </c>
      <c r="R161" s="17">
        <f t="shared" si="76"/>
        <v>1954.5310492835745</v>
      </c>
      <c r="S161" s="17">
        <f>'1 - Input'!$B$22*P161*R161</f>
        <v>0</v>
      </c>
      <c r="T161" s="17">
        <f t="shared" si="77"/>
        <v>1954.5310492835745</v>
      </c>
      <c r="U161" s="17">
        <f t="shared" si="78"/>
        <v>0</v>
      </c>
      <c r="V161" s="17">
        <f t="shared" si="79"/>
        <v>969.89497986734671</v>
      </c>
      <c r="W161" s="17">
        <f t="shared" si="80"/>
        <v>225554.88234741733</v>
      </c>
      <c r="X161" s="17">
        <f t="shared" si="81"/>
        <v>337481.75511493738</v>
      </c>
      <c r="Y161" s="17">
        <f>IF(MOD(A161,12)=0,W161*'1 - Input'!$B$23,0)</f>
        <v>0</v>
      </c>
      <c r="Z161" s="17">
        <f t="shared" si="82"/>
        <v>225554.88234741733</v>
      </c>
      <c r="AA161" s="17">
        <f>IF(MOD(A161,12)=0,X161*(1-'1 - Input'!$B$23),X161)</f>
        <v>337481.75511493738</v>
      </c>
      <c r="AB161" s="17">
        <f>IF('1 - Input'!$B$17=1,MIN(L161,D161)+T161,L161)</f>
        <v>3226.7499352802392</v>
      </c>
      <c r="AC161" s="17">
        <f t="shared" si="116"/>
        <v>348317.4605209459</v>
      </c>
      <c r="AD161" s="17">
        <f t="shared" si="117"/>
        <v>85022.932490670806</v>
      </c>
      <c r="AE161" s="17">
        <f t="shared" si="118"/>
        <v>0</v>
      </c>
      <c r="AF161" s="17">
        <f t="shared" si="119"/>
        <v>34718.186159466582</v>
      </c>
      <c r="AG161" s="17">
        <f t="shared" si="120"/>
        <v>6589.0637809725049</v>
      </c>
      <c r="AH161" s="17">
        <f t="shared" si="121"/>
        <v>0</v>
      </c>
      <c r="AI161" s="15">
        <f t="shared" si="83"/>
        <v>0</v>
      </c>
      <c r="AK161" s="14">
        <v>118</v>
      </c>
      <c r="AL161" s="15">
        <f t="shared" si="84"/>
        <v>10</v>
      </c>
      <c r="AM161" s="16">
        <f>(1+INDEX('1 - Input'!$B$34:$E$63,AL161,'1 - Input'!$B$16))^(1/12)-1</f>
        <v>4.1219243192651689E-3</v>
      </c>
      <c r="AN161" s="17">
        <f>'1 - Input'!$B$7*(1+'1 - Input'!$B$12)^(AL161-1)</f>
        <v>3226.7499352802392</v>
      </c>
      <c r="AO161" s="17">
        <f t="shared" si="122"/>
        <v>228287.64371708201</v>
      </c>
      <c r="AP161" s="17">
        <f t="shared" si="123"/>
        <v>340406.18114408827</v>
      </c>
      <c r="AQ161" s="17">
        <f t="shared" si="85"/>
        <v>229228.62810750719</v>
      </c>
      <c r="AR161" s="17">
        <f>IF(AQ161&gt;0,'1 - Input'!$B$8/12*AQ161,0)</f>
        <v>1719.2147108063039</v>
      </c>
      <c r="AS161" s="17">
        <f t="shared" si="86"/>
        <v>227509.4133967009</v>
      </c>
      <c r="AT161" s="17">
        <f t="shared" si="87"/>
        <v>0</v>
      </c>
      <c r="AU161" s="17">
        <f>'1 - Input'!$B$22*(AR161-AT161)</f>
        <v>446.99582480963903</v>
      </c>
      <c r="AV161" s="17">
        <f t="shared" si="88"/>
        <v>1272.2188859966648</v>
      </c>
      <c r="AW161" s="17">
        <f t="shared" si="89"/>
        <v>340406.18114408827</v>
      </c>
      <c r="AX161" s="17">
        <f>IF('1 - Input'!$B$17=1,MAX(0,AV161-AN161),0)</f>
        <v>0</v>
      </c>
      <c r="AY161" s="17">
        <f>IF('1 - Input'!$B$17=1,MAX(0,AN161-AV161),0)</f>
        <v>1954.5310492835745</v>
      </c>
      <c r="AZ161" s="17">
        <f t="shared" si="90"/>
        <v>0</v>
      </c>
      <c r="BA161" s="17">
        <f>IF(AND(AY161&gt;0,AS161&gt;0),AY161/(1-'1 - Input'!$B$22*AZ161),0)</f>
        <v>1954.5310492835745</v>
      </c>
      <c r="BB161" s="17">
        <f t="shared" si="91"/>
        <v>1954.5310492835745</v>
      </c>
      <c r="BC161" s="17">
        <f>'1 - Input'!$B$22*AZ161*BB161</f>
        <v>0</v>
      </c>
      <c r="BD161" s="17">
        <f t="shared" si="92"/>
        <v>1954.5310492835745</v>
      </c>
      <c r="BE161" s="17">
        <f t="shared" si="93"/>
        <v>0</v>
      </c>
      <c r="BF161" s="17">
        <f t="shared" si="94"/>
        <v>969.89497986734671</v>
      </c>
      <c r="BG161" s="17">
        <f t="shared" si="95"/>
        <v>225554.88234741733</v>
      </c>
      <c r="BH161" s="17">
        <f t="shared" si="96"/>
        <v>337481.75511493738</v>
      </c>
      <c r="BI161" s="17">
        <f>IF(MOD(AK161,12)=0,BG161*'1 - Input'!$B$23,0)</f>
        <v>0</v>
      </c>
      <c r="BJ161" s="17">
        <f t="shared" si="97"/>
        <v>225554.88234741733</v>
      </c>
      <c r="BK161" s="17">
        <f>IF(MOD(AK161,12)=0,BH161*(1-'1 - Input'!$B$23),BH161)</f>
        <v>337481.75511493738</v>
      </c>
      <c r="BL161" s="17">
        <f>IF('1 - Input'!$B$17=1,MIN(AV161,AN161)+BD161,AV161)</f>
        <v>3226.7499352802392</v>
      </c>
      <c r="BM161" s="17">
        <f t="shared" si="124"/>
        <v>348317.4605209459</v>
      </c>
      <c r="BN161" s="17">
        <f t="shared" si="125"/>
        <v>85022.932490670806</v>
      </c>
      <c r="BO161" s="17">
        <f t="shared" si="126"/>
        <v>0</v>
      </c>
      <c r="BP161" s="17">
        <f t="shared" si="127"/>
        <v>34718.186159466582</v>
      </c>
      <c r="BQ161" s="17">
        <f t="shared" si="128"/>
        <v>6589.0637809725049</v>
      </c>
      <c r="BR161" s="17">
        <f t="shared" si="129"/>
        <v>0</v>
      </c>
      <c r="BS161" s="15">
        <f t="shared" si="98"/>
        <v>0</v>
      </c>
      <c r="BU161" s="14">
        <v>118</v>
      </c>
      <c r="BV161" s="15">
        <f t="shared" si="99"/>
        <v>10</v>
      </c>
      <c r="BW161" s="16">
        <f>(1+INDEX('1 - Input'!$B$34:$E$63,BV161,'1 - Input'!$B$16))^(1/12)-1</f>
        <v>4.1219243192651689E-3</v>
      </c>
      <c r="BX161" s="17">
        <f>'1 - Input'!$B$7*(1+'1 - Input'!$B$12)^(BV161-1)</f>
        <v>3226.7499352802392</v>
      </c>
      <c r="BY161" s="17">
        <f t="shared" si="130"/>
        <v>336390.20856012619</v>
      </c>
      <c r="BZ161" s="17">
        <f t="shared" si="131"/>
        <v>141440.56003860707</v>
      </c>
      <c r="CA161" s="17">
        <f t="shared" si="100"/>
        <v>337776.78354155284</v>
      </c>
      <c r="CB161" s="17">
        <f>IF(CA161&gt;0,'1 - Input'!$B$8/12*CA161,0)</f>
        <v>2533.3258765616461</v>
      </c>
      <c r="CC161" s="17">
        <f t="shared" si="101"/>
        <v>335243.45766499121</v>
      </c>
      <c r="CD161" s="17">
        <f t="shared" si="102"/>
        <v>2533.3258765616461</v>
      </c>
      <c r="CE161" s="17">
        <f>'1 - Input'!$B$22*(CB161-CD161)</f>
        <v>0</v>
      </c>
      <c r="CF161" s="17">
        <f t="shared" si="103"/>
        <v>2533.3258765616461</v>
      </c>
      <c r="CG161" s="17">
        <f t="shared" si="104"/>
        <v>138907.23416204544</v>
      </c>
      <c r="CH161" s="17">
        <f>IF('1 - Input'!$B$17=1,MAX(0,CF161-BX161),0)</f>
        <v>0</v>
      </c>
      <c r="CI161" s="17">
        <f>IF('1 - Input'!$B$17=1,MAX(0,BX161-CF161),0)</f>
        <v>693.42405871859319</v>
      </c>
      <c r="CJ161" s="17">
        <f t="shared" si="105"/>
        <v>0.58565266230831137</v>
      </c>
      <c r="CK161" s="17">
        <f>IF(AND(CI161&gt;0,CC161&gt;0),CI161/(1-'1 - Input'!$B$22*CJ161),0)</f>
        <v>817.97719432525025</v>
      </c>
      <c r="CL161" s="17">
        <f t="shared" si="106"/>
        <v>817.97719432525025</v>
      </c>
      <c r="CM161" s="17">
        <f>'1 - Input'!$B$22*CJ161*CL161</f>
        <v>124.55313560665709</v>
      </c>
      <c r="CN161" s="17">
        <f t="shared" si="107"/>
        <v>693.42405871859319</v>
      </c>
      <c r="CO161" s="17">
        <f t="shared" si="108"/>
        <v>0</v>
      </c>
      <c r="CP161" s="17">
        <f t="shared" si="109"/>
        <v>0</v>
      </c>
      <c r="CQ161" s="17">
        <f t="shared" si="110"/>
        <v>334425.48047066596</v>
      </c>
      <c r="CR161" s="17">
        <f t="shared" si="111"/>
        <v>138568.30748928426</v>
      </c>
      <c r="CS161" s="17">
        <f>IF(MOD(BU161,12)=0,CQ161*'1 - Input'!$B$23,0)</f>
        <v>0</v>
      </c>
      <c r="CT161" s="17">
        <f t="shared" si="112"/>
        <v>334425.48047066596</v>
      </c>
      <c r="CU161" s="17">
        <f>IF(MOD(BU161,12)=0,CR161*(1-'1 - Input'!$B$23),CR161)</f>
        <v>138568.30748928426</v>
      </c>
      <c r="CV161" s="17">
        <f>IF('1 - Input'!$B$17=1,MIN(CF161,BX161)+CN161,CF161)</f>
        <v>3226.7499352802392</v>
      </c>
      <c r="CW161" s="17">
        <f t="shared" si="132"/>
        <v>348317.4605209459</v>
      </c>
      <c r="CX161" s="17">
        <f t="shared" si="133"/>
        <v>0</v>
      </c>
      <c r="CY161" s="17">
        <f t="shared" si="134"/>
        <v>2115.0845001912762</v>
      </c>
      <c r="CZ161" s="17">
        <f t="shared" si="135"/>
        <v>0</v>
      </c>
      <c r="DA161" s="17">
        <f t="shared" si="136"/>
        <v>7616.4187034659053</v>
      </c>
      <c r="DB161" s="17">
        <f t="shared" si="137"/>
        <v>0</v>
      </c>
      <c r="DC161" s="15">
        <f t="shared" si="113"/>
        <v>0</v>
      </c>
    </row>
    <row r="162" spans="1:107">
      <c r="A162" s="14">
        <v>119</v>
      </c>
      <c r="B162" s="15">
        <f t="shared" si="69"/>
        <v>10</v>
      </c>
      <c r="C162" s="16">
        <f>(1+INDEX('1 - Input'!$B$34:$E$63,B162,'1 - Input'!$B$16))^(1/12)-1</f>
        <v>4.1219243192651689E-3</v>
      </c>
      <c r="D162" s="17">
        <f>'1 - Input'!$B$7*(1+'1 - Input'!$B$12)^(B162-1)</f>
        <v>3226.7499352802392</v>
      </c>
      <c r="E162" s="17">
        <f t="shared" si="114"/>
        <v>225554.88234741733</v>
      </c>
      <c r="F162" s="17">
        <f t="shared" si="115"/>
        <v>337481.75511493738</v>
      </c>
      <c r="G162" s="17">
        <f t="shared" si="70"/>
        <v>226484.60250229415</v>
      </c>
      <c r="H162" s="17">
        <f>IF(G162&gt;0,'1 - Input'!$B$8/12*G162,0)</f>
        <v>1698.6345187672061</v>
      </c>
      <c r="I162" s="17">
        <f t="shared" si="71"/>
        <v>224785.96798352693</v>
      </c>
      <c r="J162" s="17">
        <f t="shared" si="72"/>
        <v>0</v>
      </c>
      <c r="K162" s="17">
        <f>'1 - Input'!$B$22*(H162-J162)</f>
        <v>441.64497487947364</v>
      </c>
      <c r="L162" s="17">
        <f t="shared" si="73"/>
        <v>1256.9895438877325</v>
      </c>
      <c r="M162" s="17">
        <f t="shared" si="74"/>
        <v>337481.75511493738</v>
      </c>
      <c r="N162" s="17">
        <f>IF('1 - Input'!$B$17=1,MAX(0,L162-D162),0)</f>
        <v>0</v>
      </c>
      <c r="O162" s="17">
        <f>IF('1 - Input'!$B$17=1,MAX(0,D162-L162),0)</f>
        <v>1969.7603913925068</v>
      </c>
      <c r="P162" s="17">
        <f t="shared" si="75"/>
        <v>0</v>
      </c>
      <c r="Q162" s="17">
        <f>IF(AND(O162&gt;0,I162&gt;0),O162/(1-'1 - Input'!$B$22*P162),0)</f>
        <v>1969.7603913925068</v>
      </c>
      <c r="R162" s="17">
        <f t="shared" si="76"/>
        <v>1969.7603913925068</v>
      </c>
      <c r="S162" s="17">
        <f>'1 - Input'!$B$22*P162*R162</f>
        <v>0</v>
      </c>
      <c r="T162" s="17">
        <f t="shared" si="77"/>
        <v>1969.7603913925068</v>
      </c>
      <c r="U162" s="17">
        <f t="shared" si="78"/>
        <v>0</v>
      </c>
      <c r="V162" s="17">
        <f t="shared" si="79"/>
        <v>987.53360701109875</v>
      </c>
      <c r="W162" s="17">
        <f t="shared" si="80"/>
        <v>222816.20759213442</v>
      </c>
      <c r="X162" s="17">
        <f t="shared" si="81"/>
        <v>334524.46111653378</v>
      </c>
      <c r="Y162" s="17">
        <f>IF(MOD(A162,12)=0,W162*'1 - Input'!$B$23,0)</f>
        <v>0</v>
      </c>
      <c r="Z162" s="17">
        <f t="shared" si="82"/>
        <v>222816.20759213442</v>
      </c>
      <c r="AA162" s="17">
        <f>IF(MOD(A162,12)=0,X162*(1-'1 - Input'!$B$23),X162)</f>
        <v>334524.46111653378</v>
      </c>
      <c r="AB162" s="17">
        <f>IF('1 - Input'!$B$17=1,MIN(L162,D162)+T162,L162)</f>
        <v>3226.7499352802392</v>
      </c>
      <c r="AC162" s="17">
        <f t="shared" si="116"/>
        <v>351544.21045622614</v>
      </c>
      <c r="AD162" s="17">
        <f t="shared" si="117"/>
        <v>85464.577465550276</v>
      </c>
      <c r="AE162" s="17">
        <f t="shared" si="118"/>
        <v>0</v>
      </c>
      <c r="AF162" s="17">
        <f t="shared" si="119"/>
        <v>35705.719766477683</v>
      </c>
      <c r="AG162" s="17">
        <f t="shared" si="120"/>
        <v>6589.0637809725049</v>
      </c>
      <c r="AH162" s="17">
        <f t="shared" si="121"/>
        <v>0</v>
      </c>
      <c r="AI162" s="15">
        <f t="shared" si="83"/>
        <v>0</v>
      </c>
      <c r="AK162" s="14">
        <v>119</v>
      </c>
      <c r="AL162" s="15">
        <f t="shared" si="84"/>
        <v>10</v>
      </c>
      <c r="AM162" s="16">
        <f>(1+INDEX('1 - Input'!$B$34:$E$63,AL162,'1 - Input'!$B$16))^(1/12)-1</f>
        <v>4.1219243192651689E-3</v>
      </c>
      <c r="AN162" s="17">
        <f>'1 - Input'!$B$7*(1+'1 - Input'!$B$12)^(AL162-1)</f>
        <v>3226.7499352802392</v>
      </c>
      <c r="AO162" s="17">
        <f t="shared" si="122"/>
        <v>225554.88234741733</v>
      </c>
      <c r="AP162" s="17">
        <f t="shared" si="123"/>
        <v>337481.75511493738</v>
      </c>
      <c r="AQ162" s="17">
        <f t="shared" si="85"/>
        <v>226484.60250229415</v>
      </c>
      <c r="AR162" s="17">
        <f>IF(AQ162&gt;0,'1 - Input'!$B$8/12*AQ162,0)</f>
        <v>1698.6345187672061</v>
      </c>
      <c r="AS162" s="17">
        <f t="shared" si="86"/>
        <v>224785.96798352693</v>
      </c>
      <c r="AT162" s="17">
        <f t="shared" si="87"/>
        <v>0</v>
      </c>
      <c r="AU162" s="17">
        <f>'1 - Input'!$B$22*(AR162-AT162)</f>
        <v>441.64497487947364</v>
      </c>
      <c r="AV162" s="17">
        <f t="shared" si="88"/>
        <v>1256.9895438877325</v>
      </c>
      <c r="AW162" s="17">
        <f t="shared" si="89"/>
        <v>337481.75511493738</v>
      </c>
      <c r="AX162" s="17">
        <f>IF('1 - Input'!$B$17=1,MAX(0,AV162-AN162),0)</f>
        <v>0</v>
      </c>
      <c r="AY162" s="17">
        <f>IF('1 - Input'!$B$17=1,MAX(0,AN162-AV162),0)</f>
        <v>1969.7603913925068</v>
      </c>
      <c r="AZ162" s="17">
        <f t="shared" si="90"/>
        <v>0</v>
      </c>
      <c r="BA162" s="17">
        <f>IF(AND(AY162&gt;0,AS162&gt;0),AY162/(1-'1 - Input'!$B$22*AZ162),0)</f>
        <v>1969.7603913925068</v>
      </c>
      <c r="BB162" s="17">
        <f t="shared" si="91"/>
        <v>1969.7603913925068</v>
      </c>
      <c r="BC162" s="17">
        <f>'1 - Input'!$B$22*AZ162*BB162</f>
        <v>0</v>
      </c>
      <c r="BD162" s="17">
        <f t="shared" si="92"/>
        <v>1969.7603913925068</v>
      </c>
      <c r="BE162" s="17">
        <f t="shared" si="93"/>
        <v>0</v>
      </c>
      <c r="BF162" s="17">
        <f t="shared" si="94"/>
        <v>987.53360701109875</v>
      </c>
      <c r="BG162" s="17">
        <f t="shared" si="95"/>
        <v>222816.20759213442</v>
      </c>
      <c r="BH162" s="17">
        <f t="shared" si="96"/>
        <v>334524.46111653378</v>
      </c>
      <c r="BI162" s="17">
        <f>IF(MOD(AK162,12)=0,BG162*'1 - Input'!$B$23,0)</f>
        <v>0</v>
      </c>
      <c r="BJ162" s="17">
        <f t="shared" si="97"/>
        <v>222816.20759213442</v>
      </c>
      <c r="BK162" s="17">
        <f>IF(MOD(AK162,12)=0,BH162*(1-'1 - Input'!$B$23),BH162)</f>
        <v>334524.46111653378</v>
      </c>
      <c r="BL162" s="17">
        <f>IF('1 - Input'!$B$17=1,MIN(AV162,AN162)+BD162,AV162)</f>
        <v>3226.7499352802392</v>
      </c>
      <c r="BM162" s="17">
        <f t="shared" si="124"/>
        <v>351544.21045622614</v>
      </c>
      <c r="BN162" s="17">
        <f t="shared" si="125"/>
        <v>85464.577465550276</v>
      </c>
      <c r="BO162" s="17">
        <f t="shared" si="126"/>
        <v>0</v>
      </c>
      <c r="BP162" s="17">
        <f t="shared" si="127"/>
        <v>35705.719766477683</v>
      </c>
      <c r="BQ162" s="17">
        <f t="shared" si="128"/>
        <v>6589.0637809725049</v>
      </c>
      <c r="BR162" s="17">
        <f t="shared" si="129"/>
        <v>0</v>
      </c>
      <c r="BS162" s="15">
        <f t="shared" si="98"/>
        <v>0</v>
      </c>
      <c r="BU162" s="14">
        <v>119</v>
      </c>
      <c r="BV162" s="15">
        <f t="shared" si="99"/>
        <v>10</v>
      </c>
      <c r="BW162" s="16">
        <f>(1+INDEX('1 - Input'!$B$34:$E$63,BV162,'1 - Input'!$B$16))^(1/12)-1</f>
        <v>4.1219243192651689E-3</v>
      </c>
      <c r="BX162" s="17">
        <f>'1 - Input'!$B$7*(1+'1 - Input'!$B$12)^(BV162-1)</f>
        <v>3226.7499352802392</v>
      </c>
      <c r="BY162" s="17">
        <f t="shared" si="130"/>
        <v>334425.48047066596</v>
      </c>
      <c r="BZ162" s="17">
        <f t="shared" si="131"/>
        <v>138568.30748928426</v>
      </c>
      <c r="CA162" s="17">
        <f t="shared" si="100"/>
        <v>335803.95699159993</v>
      </c>
      <c r="CB162" s="17">
        <f>IF(CA162&gt;0,'1 - Input'!$B$8/12*CA162,0)</f>
        <v>2518.5296774369995</v>
      </c>
      <c r="CC162" s="17">
        <f t="shared" si="101"/>
        <v>333285.42731416295</v>
      </c>
      <c r="CD162" s="17">
        <f t="shared" si="102"/>
        <v>2518.5296774369995</v>
      </c>
      <c r="CE162" s="17">
        <f>'1 - Input'!$B$22*(CB162-CD162)</f>
        <v>0</v>
      </c>
      <c r="CF162" s="17">
        <f t="shared" si="103"/>
        <v>2518.5296774369995</v>
      </c>
      <c r="CG162" s="17">
        <f t="shared" si="104"/>
        <v>136049.77781184725</v>
      </c>
      <c r="CH162" s="17">
        <f>IF('1 - Input'!$B$17=1,MAX(0,CF162-BX162),0)</f>
        <v>0</v>
      </c>
      <c r="CI162" s="17">
        <f>IF('1 - Input'!$B$17=1,MAX(0,BX162-CF162),0)</f>
        <v>708.22025784323978</v>
      </c>
      <c r="CJ162" s="17">
        <f t="shared" si="105"/>
        <v>0.5917919997035952</v>
      </c>
      <c r="CK162" s="17">
        <f>IF(AND(CI162&gt;0,CC162&gt;0),CI162/(1-'1 - Input'!$B$22*CJ162),0)</f>
        <v>837.00712986142287</v>
      </c>
      <c r="CL162" s="17">
        <f t="shared" si="106"/>
        <v>837.00712986142287</v>
      </c>
      <c r="CM162" s="17">
        <f>'1 - Input'!$B$22*CJ162*CL162</f>
        <v>128.78687201818315</v>
      </c>
      <c r="CN162" s="17">
        <f t="shared" si="107"/>
        <v>708.22025784323978</v>
      </c>
      <c r="CO162" s="17">
        <f t="shared" si="108"/>
        <v>0</v>
      </c>
      <c r="CP162" s="17">
        <f t="shared" si="109"/>
        <v>0</v>
      </c>
      <c r="CQ162" s="17">
        <f t="shared" si="110"/>
        <v>332448.4201843015</v>
      </c>
      <c r="CR162" s="17">
        <f t="shared" si="111"/>
        <v>135708.10480513269</v>
      </c>
      <c r="CS162" s="17">
        <f>IF(MOD(BU162,12)=0,CQ162*'1 - Input'!$B$23,0)</f>
        <v>0</v>
      </c>
      <c r="CT162" s="17">
        <f t="shared" si="112"/>
        <v>332448.4201843015</v>
      </c>
      <c r="CU162" s="17">
        <f>IF(MOD(BU162,12)=0,CR162*(1-'1 - Input'!$B$23),CR162)</f>
        <v>135708.10480513269</v>
      </c>
      <c r="CV162" s="17">
        <f>IF('1 - Input'!$B$17=1,MIN(CF162,BX162)+CN162,CF162)</f>
        <v>3226.7499352802392</v>
      </c>
      <c r="CW162" s="17">
        <f t="shared" si="132"/>
        <v>351544.21045622614</v>
      </c>
      <c r="CX162" s="17">
        <f t="shared" si="133"/>
        <v>0</v>
      </c>
      <c r="CY162" s="17">
        <f t="shared" si="134"/>
        <v>2243.8713722094594</v>
      </c>
      <c r="CZ162" s="17">
        <f t="shared" si="135"/>
        <v>0</v>
      </c>
      <c r="DA162" s="17">
        <f t="shared" si="136"/>
        <v>7616.4187034659053</v>
      </c>
      <c r="DB162" s="17">
        <f t="shared" si="137"/>
        <v>0</v>
      </c>
      <c r="DC162" s="15">
        <f t="shared" si="113"/>
        <v>0</v>
      </c>
    </row>
    <row r="163" spans="1:107">
      <c r="A163" s="14">
        <v>120</v>
      </c>
      <c r="B163" s="15">
        <f t="shared" si="69"/>
        <v>10</v>
      </c>
      <c r="C163" s="16">
        <f>(1+INDEX('1 - Input'!$B$34:$E$63,B163,'1 - Input'!$B$16))^(1/12)-1</f>
        <v>4.1219243192651689E-3</v>
      </c>
      <c r="D163" s="17">
        <f>'1 - Input'!$B$7*(1+'1 - Input'!$B$12)^(B163-1)</f>
        <v>3226.7499352802392</v>
      </c>
      <c r="E163" s="17">
        <f t="shared" si="114"/>
        <v>222816.20759213442</v>
      </c>
      <c r="F163" s="17">
        <f t="shared" si="115"/>
        <v>334524.46111653378</v>
      </c>
      <c r="G163" s="17">
        <f t="shared" si="70"/>
        <v>223734.63913693489</v>
      </c>
      <c r="H163" s="17">
        <f>IF(G163&gt;0,'1 - Input'!$B$8/12*G163,0)</f>
        <v>1678.0097935270117</v>
      </c>
      <c r="I163" s="17">
        <f t="shared" si="71"/>
        <v>222056.62934340787</v>
      </c>
      <c r="J163" s="17">
        <f t="shared" si="72"/>
        <v>0</v>
      </c>
      <c r="K163" s="17">
        <f>'1 - Input'!$B$22*(H163-J163)</f>
        <v>436.28254631702305</v>
      </c>
      <c r="L163" s="17">
        <f t="shared" si="73"/>
        <v>1241.7272472099885</v>
      </c>
      <c r="M163" s="17">
        <f t="shared" si="74"/>
        <v>334524.46111653378</v>
      </c>
      <c r="N163" s="17">
        <f>IF('1 - Input'!$B$17=1,MAX(0,L163-D163),0)</f>
        <v>0</v>
      </c>
      <c r="O163" s="17">
        <f>IF('1 - Input'!$B$17=1,MAX(0,D163-L163),0)</f>
        <v>1985.0226880702508</v>
      </c>
      <c r="P163" s="17">
        <f t="shared" si="75"/>
        <v>0</v>
      </c>
      <c r="Q163" s="17">
        <f>IF(AND(O163&gt;0,I163&gt;0),O163/(1-'1 - Input'!$B$22*P163),0)</f>
        <v>1985.0226880702508</v>
      </c>
      <c r="R163" s="17">
        <f t="shared" si="76"/>
        <v>1985.0226880702508</v>
      </c>
      <c r="S163" s="17">
        <f>'1 - Input'!$B$22*P163*R163</f>
        <v>0</v>
      </c>
      <c r="T163" s="17">
        <f t="shared" si="77"/>
        <v>1985.0226880702508</v>
      </c>
      <c r="U163" s="17">
        <f t="shared" si="78"/>
        <v>0</v>
      </c>
      <c r="V163" s="17">
        <f t="shared" si="79"/>
        <v>1005.3795664999847</v>
      </c>
      <c r="W163" s="17">
        <f t="shared" si="80"/>
        <v>220071.60665533761</v>
      </c>
      <c r="X163" s="17">
        <f t="shared" si="81"/>
        <v>331534.05886196357</v>
      </c>
      <c r="Y163" s="17">
        <f>IF(MOD(A163,12)=0,W163*'1 - Input'!$B$23,0)</f>
        <v>440.14321331067526</v>
      </c>
      <c r="Z163" s="17">
        <f t="shared" si="82"/>
        <v>219631.46344202693</v>
      </c>
      <c r="AA163" s="17">
        <f>IF(MOD(A163,12)=0,X163*(1-'1 - Input'!$B$23),X163)</f>
        <v>330870.99074423965</v>
      </c>
      <c r="AB163" s="17">
        <f>IF('1 - Input'!$B$17=1,MIN(L163,D163)+T163,L163)</f>
        <v>3226.7499352802392</v>
      </c>
      <c r="AC163" s="17">
        <f t="shared" si="116"/>
        <v>354770.96039150638</v>
      </c>
      <c r="AD163" s="17">
        <f t="shared" si="117"/>
        <v>85900.860011867306</v>
      </c>
      <c r="AE163" s="17">
        <f t="shared" si="118"/>
        <v>0</v>
      </c>
      <c r="AF163" s="17">
        <f t="shared" si="119"/>
        <v>36711.099332977668</v>
      </c>
      <c r="AG163" s="17">
        <f t="shared" si="120"/>
        <v>7029.2069942831804</v>
      </c>
      <c r="AH163" s="17">
        <f t="shared" si="121"/>
        <v>0</v>
      </c>
      <c r="AI163" s="15">
        <f t="shared" si="83"/>
        <v>0</v>
      </c>
      <c r="AK163" s="14">
        <v>120</v>
      </c>
      <c r="AL163" s="15">
        <f t="shared" si="84"/>
        <v>10</v>
      </c>
      <c r="AM163" s="16">
        <f>(1+INDEX('1 - Input'!$B$34:$E$63,AL163,'1 - Input'!$B$16))^(1/12)-1</f>
        <v>4.1219243192651689E-3</v>
      </c>
      <c r="AN163" s="17">
        <f>'1 - Input'!$B$7*(1+'1 - Input'!$B$12)^(AL163-1)</f>
        <v>3226.7499352802392</v>
      </c>
      <c r="AO163" s="17">
        <f t="shared" si="122"/>
        <v>222816.20759213442</v>
      </c>
      <c r="AP163" s="17">
        <f t="shared" si="123"/>
        <v>334524.46111653378</v>
      </c>
      <c r="AQ163" s="17">
        <f t="shared" si="85"/>
        <v>223734.63913693489</v>
      </c>
      <c r="AR163" s="17">
        <f>IF(AQ163&gt;0,'1 - Input'!$B$8/12*AQ163,0)</f>
        <v>1678.0097935270117</v>
      </c>
      <c r="AS163" s="17">
        <f t="shared" si="86"/>
        <v>222056.62934340787</v>
      </c>
      <c r="AT163" s="17">
        <f t="shared" si="87"/>
        <v>0</v>
      </c>
      <c r="AU163" s="17">
        <f>'1 - Input'!$B$22*(AR163-AT163)</f>
        <v>436.28254631702305</v>
      </c>
      <c r="AV163" s="17">
        <f t="shared" si="88"/>
        <v>1241.7272472099885</v>
      </c>
      <c r="AW163" s="17">
        <f t="shared" si="89"/>
        <v>334524.46111653378</v>
      </c>
      <c r="AX163" s="17">
        <f>IF('1 - Input'!$B$17=1,MAX(0,AV163-AN163),0)</f>
        <v>0</v>
      </c>
      <c r="AY163" s="17">
        <f>IF('1 - Input'!$B$17=1,MAX(0,AN163-AV163),0)</f>
        <v>1985.0226880702508</v>
      </c>
      <c r="AZ163" s="17">
        <f t="shared" si="90"/>
        <v>0</v>
      </c>
      <c r="BA163" s="17">
        <f>IF(AND(AY163&gt;0,AS163&gt;0),AY163/(1-'1 - Input'!$B$22*AZ163),0)</f>
        <v>1985.0226880702508</v>
      </c>
      <c r="BB163" s="17">
        <f t="shared" si="91"/>
        <v>1985.0226880702508</v>
      </c>
      <c r="BC163" s="17">
        <f>'1 - Input'!$B$22*AZ163*BB163</f>
        <v>0</v>
      </c>
      <c r="BD163" s="17">
        <f t="shared" si="92"/>
        <v>1985.0226880702508</v>
      </c>
      <c r="BE163" s="17">
        <f t="shared" si="93"/>
        <v>0</v>
      </c>
      <c r="BF163" s="17">
        <f t="shared" si="94"/>
        <v>1005.3795664999847</v>
      </c>
      <c r="BG163" s="17">
        <f t="shared" si="95"/>
        <v>220071.60665533761</v>
      </c>
      <c r="BH163" s="17">
        <f t="shared" si="96"/>
        <v>331534.05886196357</v>
      </c>
      <c r="BI163" s="17">
        <f>IF(MOD(AK163,12)=0,BG163*'1 - Input'!$B$23,0)</f>
        <v>440.14321331067526</v>
      </c>
      <c r="BJ163" s="17">
        <f t="shared" si="97"/>
        <v>219631.46344202693</v>
      </c>
      <c r="BK163" s="17">
        <f>IF(MOD(AK163,12)=0,BH163*(1-'1 - Input'!$B$23),BH163)</f>
        <v>330870.99074423965</v>
      </c>
      <c r="BL163" s="17">
        <f>IF('1 - Input'!$B$17=1,MIN(AV163,AN163)+BD163,AV163)</f>
        <v>3226.7499352802392</v>
      </c>
      <c r="BM163" s="17">
        <f t="shared" si="124"/>
        <v>354770.96039150638</v>
      </c>
      <c r="BN163" s="17">
        <f t="shared" si="125"/>
        <v>85900.860011867306</v>
      </c>
      <c r="BO163" s="17">
        <f t="shared" si="126"/>
        <v>0</v>
      </c>
      <c r="BP163" s="17">
        <f t="shared" si="127"/>
        <v>36711.099332977668</v>
      </c>
      <c r="BQ163" s="17">
        <f t="shared" si="128"/>
        <v>7029.2069942831804</v>
      </c>
      <c r="BR163" s="17">
        <f t="shared" si="129"/>
        <v>0</v>
      </c>
      <c r="BS163" s="15">
        <f t="shared" si="98"/>
        <v>0</v>
      </c>
      <c r="BU163" s="14">
        <v>120</v>
      </c>
      <c r="BV163" s="15">
        <f t="shared" si="99"/>
        <v>10</v>
      </c>
      <c r="BW163" s="16">
        <f>(1+INDEX('1 - Input'!$B$34:$E$63,BV163,'1 - Input'!$B$16))^(1/12)-1</f>
        <v>4.1219243192651689E-3</v>
      </c>
      <c r="BX163" s="17">
        <f>'1 - Input'!$B$7*(1+'1 - Input'!$B$12)^(BV163-1)</f>
        <v>3226.7499352802392</v>
      </c>
      <c r="BY163" s="17">
        <f t="shared" si="130"/>
        <v>332448.4201843015</v>
      </c>
      <c r="BZ163" s="17">
        <f t="shared" si="131"/>
        <v>135708.10480513269</v>
      </c>
      <c r="CA163" s="17">
        <f t="shared" si="100"/>
        <v>333818.74741236045</v>
      </c>
      <c r="CB163" s="17">
        <f>IF(CA163&gt;0,'1 - Input'!$B$8/12*CA163,0)</f>
        <v>2503.6406055927032</v>
      </c>
      <c r="CC163" s="17">
        <f t="shared" si="101"/>
        <v>331315.10680676776</v>
      </c>
      <c r="CD163" s="17">
        <f t="shared" si="102"/>
        <v>2503.6406055927032</v>
      </c>
      <c r="CE163" s="17">
        <f>'1 - Input'!$B$22*(CB163-CD163)</f>
        <v>0</v>
      </c>
      <c r="CF163" s="17">
        <f t="shared" si="103"/>
        <v>2503.6406055927032</v>
      </c>
      <c r="CG163" s="17">
        <f t="shared" si="104"/>
        <v>133204.46419954</v>
      </c>
      <c r="CH163" s="17">
        <f>IF('1 - Input'!$B$17=1,MAX(0,CF163-BX163),0)</f>
        <v>0</v>
      </c>
      <c r="CI163" s="17">
        <f>IF('1 - Input'!$B$17=1,MAX(0,BX163-CF163),0)</f>
        <v>723.10932968753605</v>
      </c>
      <c r="CJ163" s="17">
        <f t="shared" si="105"/>
        <v>0.59795233762996336</v>
      </c>
      <c r="CK163" s="17">
        <f>IF(AND(CI163&gt;0,CC163&gt;0),CI163/(1-'1 - Input'!$B$22*CJ163),0)</f>
        <v>856.22450524362137</v>
      </c>
      <c r="CL163" s="17">
        <f t="shared" si="106"/>
        <v>856.22450524362137</v>
      </c>
      <c r="CM163" s="17">
        <f>'1 - Input'!$B$22*CJ163*CL163</f>
        <v>133.11517555608538</v>
      </c>
      <c r="CN163" s="17">
        <f t="shared" si="107"/>
        <v>723.10932968753605</v>
      </c>
      <c r="CO163" s="17">
        <f t="shared" si="108"/>
        <v>0</v>
      </c>
      <c r="CP163" s="17">
        <f t="shared" si="109"/>
        <v>0</v>
      </c>
      <c r="CQ163" s="17">
        <f t="shared" si="110"/>
        <v>330458.88230152411</v>
      </c>
      <c r="CR163" s="17">
        <f t="shared" si="111"/>
        <v>132860.22113874287</v>
      </c>
      <c r="CS163" s="17">
        <f>IF(MOD(BU163,12)=0,CQ163*'1 - Input'!$B$23,0)</f>
        <v>660.91776460304823</v>
      </c>
      <c r="CT163" s="17">
        <f t="shared" si="112"/>
        <v>329797.96453692106</v>
      </c>
      <c r="CU163" s="17">
        <f>IF(MOD(BU163,12)=0,CR163*(1-'1 - Input'!$B$23),CR163)</f>
        <v>132594.50069646537</v>
      </c>
      <c r="CV163" s="17">
        <f>IF('1 - Input'!$B$17=1,MIN(CF163,BX163)+CN163,CF163)</f>
        <v>3226.7499352802392</v>
      </c>
      <c r="CW163" s="17">
        <f t="shared" si="132"/>
        <v>354770.96039150638</v>
      </c>
      <c r="CX163" s="17">
        <f t="shared" si="133"/>
        <v>0</v>
      </c>
      <c r="CY163" s="17">
        <f t="shared" si="134"/>
        <v>2376.9865477655449</v>
      </c>
      <c r="CZ163" s="17">
        <f t="shared" si="135"/>
        <v>0</v>
      </c>
      <c r="DA163" s="17">
        <f t="shared" si="136"/>
        <v>8277.3364680689538</v>
      </c>
      <c r="DB163" s="17">
        <f t="shared" si="137"/>
        <v>0</v>
      </c>
      <c r="DC163" s="15">
        <f t="shared" si="113"/>
        <v>0</v>
      </c>
    </row>
    <row r="164" spans="1:107">
      <c r="A164" s="14">
        <v>121</v>
      </c>
      <c r="B164" s="15">
        <f t="shared" si="69"/>
        <v>11</v>
      </c>
      <c r="C164" s="16">
        <f>(1+INDEX('1 - Input'!$B$34:$E$63,B164,'1 - Input'!$B$16))^(1/12)-1</f>
        <v>4.1219243192651689E-3</v>
      </c>
      <c r="D164" s="17">
        <f>'1 - Input'!$B$7*(1+'1 - Input'!$B$12)^(B164-1)</f>
        <v>3291.284933985844</v>
      </c>
      <c r="E164" s="17">
        <f t="shared" si="114"/>
        <v>219631.46344202693</v>
      </c>
      <c r="F164" s="17">
        <f t="shared" si="115"/>
        <v>330870.99074423965</v>
      </c>
      <c r="G164" s="17">
        <f t="shared" si="70"/>
        <v>220536.76771246441</v>
      </c>
      <c r="H164" s="17">
        <f>IF(G164&gt;0,'1 - Input'!$B$8/12*G164,0)</f>
        <v>1654.025757843483</v>
      </c>
      <c r="I164" s="17">
        <f t="shared" si="71"/>
        <v>218882.74195462093</v>
      </c>
      <c r="J164" s="17">
        <f t="shared" si="72"/>
        <v>0</v>
      </c>
      <c r="K164" s="17">
        <f>'1 - Input'!$B$22*(H164-J164)</f>
        <v>430.04669703930557</v>
      </c>
      <c r="L164" s="17">
        <f t="shared" si="73"/>
        <v>1223.9790608041774</v>
      </c>
      <c r="M164" s="17">
        <f t="shared" si="74"/>
        <v>330870.99074423965</v>
      </c>
      <c r="N164" s="17">
        <f>IF('1 - Input'!$B$17=1,MAX(0,L164-D164),0)</f>
        <v>0</v>
      </c>
      <c r="O164" s="17">
        <f>IF('1 - Input'!$B$17=1,MAX(0,D164-L164),0)</f>
        <v>2067.3058731816664</v>
      </c>
      <c r="P164" s="17">
        <f t="shared" si="75"/>
        <v>0</v>
      </c>
      <c r="Q164" s="17">
        <f>IF(AND(O164&gt;0,I164&gt;0),O164/(1-'1 - Input'!$B$22*P164),0)</f>
        <v>2067.3058731816664</v>
      </c>
      <c r="R164" s="17">
        <f t="shared" si="76"/>
        <v>2067.3058731816664</v>
      </c>
      <c r="S164" s="17">
        <f>'1 - Input'!$B$22*P164*R164</f>
        <v>0</v>
      </c>
      <c r="T164" s="17">
        <f t="shared" si="77"/>
        <v>2067.3058731816664</v>
      </c>
      <c r="U164" s="17">
        <f t="shared" si="78"/>
        <v>0</v>
      </c>
      <c r="V164" s="17">
        <f t="shared" si="79"/>
        <v>1057.7077131924189</v>
      </c>
      <c r="W164" s="17">
        <f t="shared" si="80"/>
        <v>216815.43608143926</v>
      </c>
      <c r="X164" s="17">
        <f t="shared" si="81"/>
        <v>327745.97715786559</v>
      </c>
      <c r="Y164" s="17">
        <f>IF(MOD(A164,12)=0,W164*'1 - Input'!$B$23,0)</f>
        <v>0</v>
      </c>
      <c r="Z164" s="17">
        <f t="shared" si="82"/>
        <v>216815.43608143926</v>
      </c>
      <c r="AA164" s="17">
        <f>IF(MOD(A164,12)=0,X164*(1-'1 - Input'!$B$23),X164)</f>
        <v>327745.97715786559</v>
      </c>
      <c r="AB164" s="17">
        <f>IF('1 - Input'!$B$17=1,MIN(L164,D164)+T164,L164)</f>
        <v>3291.284933985844</v>
      </c>
      <c r="AC164" s="17">
        <f t="shared" si="116"/>
        <v>358062.24532549223</v>
      </c>
      <c r="AD164" s="17">
        <f t="shared" si="117"/>
        <v>86330.906708906608</v>
      </c>
      <c r="AE164" s="17">
        <f t="shared" si="118"/>
        <v>0</v>
      </c>
      <c r="AF164" s="17">
        <f t="shared" si="119"/>
        <v>37768.807046170085</v>
      </c>
      <c r="AG164" s="17">
        <f t="shared" si="120"/>
        <v>7029.2069942831804</v>
      </c>
      <c r="AH164" s="17">
        <f t="shared" si="121"/>
        <v>0</v>
      </c>
      <c r="AI164" s="15">
        <f t="shared" si="83"/>
        <v>0</v>
      </c>
      <c r="AK164" s="14">
        <v>121</v>
      </c>
      <c r="AL164" s="15">
        <f t="shared" si="84"/>
        <v>11</v>
      </c>
      <c r="AM164" s="16">
        <f>(1+INDEX('1 - Input'!$B$34:$E$63,AL164,'1 - Input'!$B$16))^(1/12)-1</f>
        <v>4.1219243192651689E-3</v>
      </c>
      <c r="AN164" s="17">
        <f>'1 - Input'!$B$7*(1+'1 - Input'!$B$12)^(AL164-1)</f>
        <v>3291.284933985844</v>
      </c>
      <c r="AO164" s="17">
        <f t="shared" si="122"/>
        <v>219631.46344202693</v>
      </c>
      <c r="AP164" s="17">
        <f t="shared" si="123"/>
        <v>330870.99074423965</v>
      </c>
      <c r="AQ164" s="17">
        <f t="shared" si="85"/>
        <v>220536.76771246441</v>
      </c>
      <c r="AR164" s="17">
        <f>IF(AQ164&gt;0,'1 - Input'!$B$8/12*AQ164,0)</f>
        <v>1654.025757843483</v>
      </c>
      <c r="AS164" s="17">
        <f t="shared" si="86"/>
        <v>218882.74195462093</v>
      </c>
      <c r="AT164" s="17">
        <f t="shared" si="87"/>
        <v>0</v>
      </c>
      <c r="AU164" s="17">
        <f>'1 - Input'!$B$22*(AR164-AT164)</f>
        <v>430.04669703930557</v>
      </c>
      <c r="AV164" s="17">
        <f t="shared" si="88"/>
        <v>1223.9790608041774</v>
      </c>
      <c r="AW164" s="17">
        <f t="shared" si="89"/>
        <v>330870.99074423965</v>
      </c>
      <c r="AX164" s="17">
        <f>IF('1 - Input'!$B$17=1,MAX(0,AV164-AN164),0)</f>
        <v>0</v>
      </c>
      <c r="AY164" s="17">
        <f>IF('1 - Input'!$B$17=1,MAX(0,AN164-AV164),0)</f>
        <v>2067.3058731816664</v>
      </c>
      <c r="AZ164" s="17">
        <f t="shared" si="90"/>
        <v>0</v>
      </c>
      <c r="BA164" s="17">
        <f>IF(AND(AY164&gt;0,AS164&gt;0),AY164/(1-'1 - Input'!$B$22*AZ164),0)</f>
        <v>2067.3058731816664</v>
      </c>
      <c r="BB164" s="17">
        <f t="shared" si="91"/>
        <v>2067.3058731816664</v>
      </c>
      <c r="BC164" s="17">
        <f>'1 - Input'!$B$22*AZ164*BB164</f>
        <v>0</v>
      </c>
      <c r="BD164" s="17">
        <f t="shared" si="92"/>
        <v>2067.3058731816664</v>
      </c>
      <c r="BE164" s="17">
        <f t="shared" si="93"/>
        <v>0</v>
      </c>
      <c r="BF164" s="17">
        <f t="shared" si="94"/>
        <v>1057.7077131924189</v>
      </c>
      <c r="BG164" s="17">
        <f t="shared" si="95"/>
        <v>216815.43608143926</v>
      </c>
      <c r="BH164" s="17">
        <f t="shared" si="96"/>
        <v>327745.97715786559</v>
      </c>
      <c r="BI164" s="17">
        <f>IF(MOD(AK164,12)=0,BG164*'1 - Input'!$B$23,0)</f>
        <v>0</v>
      </c>
      <c r="BJ164" s="17">
        <f t="shared" si="97"/>
        <v>216815.43608143926</v>
      </c>
      <c r="BK164" s="17">
        <f>IF(MOD(AK164,12)=0,BH164*(1-'1 - Input'!$B$23),BH164)</f>
        <v>327745.97715786559</v>
      </c>
      <c r="BL164" s="17">
        <f>IF('1 - Input'!$B$17=1,MIN(AV164,AN164)+BD164,AV164)</f>
        <v>3291.284933985844</v>
      </c>
      <c r="BM164" s="17">
        <f t="shared" si="124"/>
        <v>358062.24532549223</v>
      </c>
      <c r="BN164" s="17">
        <f t="shared" si="125"/>
        <v>86330.906708906608</v>
      </c>
      <c r="BO164" s="17">
        <f t="shared" si="126"/>
        <v>0</v>
      </c>
      <c r="BP164" s="17">
        <f t="shared" si="127"/>
        <v>37768.807046170085</v>
      </c>
      <c r="BQ164" s="17">
        <f t="shared" si="128"/>
        <v>7029.2069942831804</v>
      </c>
      <c r="BR164" s="17">
        <f t="shared" si="129"/>
        <v>0</v>
      </c>
      <c r="BS164" s="15">
        <f t="shared" si="98"/>
        <v>0</v>
      </c>
      <c r="BU164" s="14">
        <v>121</v>
      </c>
      <c r="BV164" s="15">
        <f t="shared" si="99"/>
        <v>11</v>
      </c>
      <c r="BW164" s="16">
        <f>(1+INDEX('1 - Input'!$B$34:$E$63,BV164,'1 - Input'!$B$16))^(1/12)-1</f>
        <v>4.1219243192651689E-3</v>
      </c>
      <c r="BX164" s="17">
        <f>'1 - Input'!$B$7*(1+'1 - Input'!$B$12)^(BV164-1)</f>
        <v>3291.284933985844</v>
      </c>
      <c r="BY164" s="17">
        <f t="shared" si="130"/>
        <v>329797.96453692106</v>
      </c>
      <c r="BZ164" s="17">
        <f t="shared" si="131"/>
        <v>132594.50069646537</v>
      </c>
      <c r="CA164" s="17">
        <f t="shared" si="100"/>
        <v>331157.36678738997</v>
      </c>
      <c r="CB164" s="17">
        <f>IF(CA164&gt;0,'1 - Input'!$B$8/12*CA164,0)</f>
        <v>2483.6802509054246</v>
      </c>
      <c r="CC164" s="17">
        <f t="shared" si="101"/>
        <v>328673.68653648457</v>
      </c>
      <c r="CD164" s="17">
        <f t="shared" si="102"/>
        <v>2483.6802509054246</v>
      </c>
      <c r="CE164" s="17">
        <f>'1 - Input'!$B$22*(CB164-CD164)</f>
        <v>0</v>
      </c>
      <c r="CF164" s="17">
        <f t="shared" si="103"/>
        <v>2483.6802509054246</v>
      </c>
      <c r="CG164" s="17">
        <f t="shared" si="104"/>
        <v>130110.82044555995</v>
      </c>
      <c r="CH164" s="17">
        <f>IF('1 - Input'!$B$17=1,MAX(0,CF164-BX164),0)</f>
        <v>0</v>
      </c>
      <c r="CI164" s="17">
        <f>IF('1 - Input'!$B$17=1,MAX(0,BX164-CF164),0)</f>
        <v>807.60468308041936</v>
      </c>
      <c r="CJ164" s="17">
        <f t="shared" si="105"/>
        <v>0.60413374792290542</v>
      </c>
      <c r="CK164" s="17">
        <f>IF(AND(CI164&gt;0,CC164&gt;0),CI164/(1-'1 - Input'!$B$22*CJ164),0)</f>
        <v>958.0976563644823</v>
      </c>
      <c r="CL164" s="17">
        <f t="shared" si="106"/>
        <v>958.0976563644823</v>
      </c>
      <c r="CM164" s="17">
        <f>'1 - Input'!$B$22*CJ164*CL164</f>
        <v>150.49297328406291</v>
      </c>
      <c r="CN164" s="17">
        <f t="shared" si="107"/>
        <v>807.60468308041936</v>
      </c>
      <c r="CO164" s="17">
        <f t="shared" si="108"/>
        <v>0</v>
      </c>
      <c r="CP164" s="17">
        <f t="shared" si="109"/>
        <v>0</v>
      </c>
      <c r="CQ164" s="17">
        <f t="shared" si="110"/>
        <v>327715.58888012008</v>
      </c>
      <c r="CR164" s="17">
        <f t="shared" si="111"/>
        <v>129731.5419172111</v>
      </c>
      <c r="CS164" s="17">
        <f>IF(MOD(BU164,12)=0,CQ164*'1 - Input'!$B$23,0)</f>
        <v>0</v>
      </c>
      <c r="CT164" s="17">
        <f t="shared" si="112"/>
        <v>327715.58888012008</v>
      </c>
      <c r="CU164" s="17">
        <f>IF(MOD(BU164,12)=0,CR164*(1-'1 - Input'!$B$23),CR164)</f>
        <v>129731.5419172111</v>
      </c>
      <c r="CV164" s="17">
        <f>IF('1 - Input'!$B$17=1,MIN(CF164,BX164)+CN164,CF164)</f>
        <v>3291.284933985844</v>
      </c>
      <c r="CW164" s="17">
        <f t="shared" si="132"/>
        <v>358062.24532549223</v>
      </c>
      <c r="CX164" s="17">
        <f t="shared" si="133"/>
        <v>0</v>
      </c>
      <c r="CY164" s="17">
        <f t="shared" si="134"/>
        <v>2527.4795210496077</v>
      </c>
      <c r="CZ164" s="17">
        <f t="shared" si="135"/>
        <v>0</v>
      </c>
      <c r="DA164" s="17">
        <f t="shared" si="136"/>
        <v>8277.3364680689538</v>
      </c>
      <c r="DB164" s="17">
        <f t="shared" si="137"/>
        <v>0</v>
      </c>
      <c r="DC164" s="15">
        <f t="shared" si="113"/>
        <v>0</v>
      </c>
    </row>
    <row r="165" spans="1:107">
      <c r="A165" s="14">
        <v>122</v>
      </c>
      <c r="B165" s="15">
        <f t="shared" si="69"/>
        <v>11</v>
      </c>
      <c r="C165" s="16">
        <f>(1+INDEX('1 - Input'!$B$34:$E$63,B165,'1 - Input'!$B$16))^(1/12)-1</f>
        <v>4.1219243192651689E-3</v>
      </c>
      <c r="D165" s="17">
        <f>'1 - Input'!$B$7*(1+'1 - Input'!$B$12)^(B165-1)</f>
        <v>3291.284933985844</v>
      </c>
      <c r="E165" s="17">
        <f t="shared" si="114"/>
        <v>216815.43608143926</v>
      </c>
      <c r="F165" s="17">
        <f t="shared" si="115"/>
        <v>327745.97715786559</v>
      </c>
      <c r="G165" s="17">
        <f t="shared" si="70"/>
        <v>217709.13290021542</v>
      </c>
      <c r="H165" s="17">
        <f>IF(G165&gt;0,'1 - Input'!$B$8/12*G165,0)</f>
        <v>1632.8184967516156</v>
      </c>
      <c r="I165" s="17">
        <f t="shared" si="71"/>
        <v>216076.3144034638</v>
      </c>
      <c r="J165" s="17">
        <f t="shared" si="72"/>
        <v>0</v>
      </c>
      <c r="K165" s="17">
        <f>'1 - Input'!$B$22*(H165-J165)</f>
        <v>424.53280915542007</v>
      </c>
      <c r="L165" s="17">
        <f t="shared" si="73"/>
        <v>1208.2856875961957</v>
      </c>
      <c r="M165" s="17">
        <f t="shared" si="74"/>
        <v>327745.97715786559</v>
      </c>
      <c r="N165" s="17">
        <f>IF('1 - Input'!$B$17=1,MAX(0,L165-D165),0)</f>
        <v>0</v>
      </c>
      <c r="O165" s="17">
        <f>IF('1 - Input'!$B$17=1,MAX(0,D165-L165),0)</f>
        <v>2082.9992463896483</v>
      </c>
      <c r="P165" s="17">
        <f t="shared" si="75"/>
        <v>0</v>
      </c>
      <c r="Q165" s="17">
        <f>IF(AND(O165&gt;0,I165&gt;0),O165/(1-'1 - Input'!$B$22*P165),0)</f>
        <v>2082.9992463896483</v>
      </c>
      <c r="R165" s="17">
        <f t="shared" si="76"/>
        <v>2082.9992463896483</v>
      </c>
      <c r="S165" s="17">
        <f>'1 - Input'!$B$22*P165*R165</f>
        <v>0</v>
      </c>
      <c r="T165" s="17">
        <f t="shared" si="77"/>
        <v>2082.9992463896483</v>
      </c>
      <c r="U165" s="17">
        <f t="shared" si="78"/>
        <v>0</v>
      </c>
      <c r="V165" s="17">
        <f t="shared" si="79"/>
        <v>1076.5077329469493</v>
      </c>
      <c r="W165" s="17">
        <f t="shared" si="80"/>
        <v>213993.31515707416</v>
      </c>
      <c r="X165" s="17">
        <f t="shared" si="81"/>
        <v>324586.47017852898</v>
      </c>
      <c r="Y165" s="17">
        <f>IF(MOD(A165,12)=0,W165*'1 - Input'!$B$23,0)</f>
        <v>0</v>
      </c>
      <c r="Z165" s="17">
        <f t="shared" si="82"/>
        <v>213993.31515707416</v>
      </c>
      <c r="AA165" s="17">
        <f>IF(MOD(A165,12)=0,X165*(1-'1 - Input'!$B$23),X165)</f>
        <v>324586.47017852898</v>
      </c>
      <c r="AB165" s="17">
        <f>IF('1 - Input'!$B$17=1,MIN(L165,D165)+T165,L165)</f>
        <v>3291.284933985844</v>
      </c>
      <c r="AC165" s="17">
        <f t="shared" si="116"/>
        <v>361353.53025947808</v>
      </c>
      <c r="AD165" s="17">
        <f t="shared" si="117"/>
        <v>86755.439518062034</v>
      </c>
      <c r="AE165" s="17">
        <f t="shared" si="118"/>
        <v>0</v>
      </c>
      <c r="AF165" s="17">
        <f t="shared" si="119"/>
        <v>38845.314779117034</v>
      </c>
      <c r="AG165" s="17">
        <f t="shared" si="120"/>
        <v>7029.2069942831804</v>
      </c>
      <c r="AH165" s="17">
        <f t="shared" si="121"/>
        <v>0</v>
      </c>
      <c r="AI165" s="15">
        <f t="shared" si="83"/>
        <v>0</v>
      </c>
      <c r="AK165" s="14">
        <v>122</v>
      </c>
      <c r="AL165" s="15">
        <f t="shared" si="84"/>
        <v>11</v>
      </c>
      <c r="AM165" s="16">
        <f>(1+INDEX('1 - Input'!$B$34:$E$63,AL165,'1 - Input'!$B$16))^(1/12)-1</f>
        <v>4.1219243192651689E-3</v>
      </c>
      <c r="AN165" s="17">
        <f>'1 - Input'!$B$7*(1+'1 - Input'!$B$12)^(AL165-1)</f>
        <v>3291.284933985844</v>
      </c>
      <c r="AO165" s="17">
        <f t="shared" si="122"/>
        <v>216815.43608143926</v>
      </c>
      <c r="AP165" s="17">
        <f t="shared" si="123"/>
        <v>327745.97715786559</v>
      </c>
      <c r="AQ165" s="17">
        <f t="shared" si="85"/>
        <v>217709.13290021542</v>
      </c>
      <c r="AR165" s="17">
        <f>IF(AQ165&gt;0,'1 - Input'!$B$8/12*AQ165,0)</f>
        <v>1632.8184967516156</v>
      </c>
      <c r="AS165" s="17">
        <f t="shared" si="86"/>
        <v>216076.3144034638</v>
      </c>
      <c r="AT165" s="17">
        <f t="shared" si="87"/>
        <v>0</v>
      </c>
      <c r="AU165" s="17">
        <f>'1 - Input'!$B$22*(AR165-AT165)</f>
        <v>424.53280915542007</v>
      </c>
      <c r="AV165" s="17">
        <f t="shared" si="88"/>
        <v>1208.2856875961957</v>
      </c>
      <c r="AW165" s="17">
        <f t="shared" si="89"/>
        <v>327745.97715786559</v>
      </c>
      <c r="AX165" s="17">
        <f>IF('1 - Input'!$B$17=1,MAX(0,AV165-AN165),0)</f>
        <v>0</v>
      </c>
      <c r="AY165" s="17">
        <f>IF('1 - Input'!$B$17=1,MAX(0,AN165-AV165),0)</f>
        <v>2082.9992463896483</v>
      </c>
      <c r="AZ165" s="17">
        <f t="shared" si="90"/>
        <v>0</v>
      </c>
      <c r="BA165" s="17">
        <f>IF(AND(AY165&gt;0,AS165&gt;0),AY165/(1-'1 - Input'!$B$22*AZ165),0)</f>
        <v>2082.9992463896483</v>
      </c>
      <c r="BB165" s="17">
        <f t="shared" si="91"/>
        <v>2082.9992463896483</v>
      </c>
      <c r="BC165" s="17">
        <f>'1 - Input'!$B$22*AZ165*BB165</f>
        <v>0</v>
      </c>
      <c r="BD165" s="17">
        <f t="shared" si="92"/>
        <v>2082.9992463896483</v>
      </c>
      <c r="BE165" s="17">
        <f t="shared" si="93"/>
        <v>0</v>
      </c>
      <c r="BF165" s="17">
        <f t="shared" si="94"/>
        <v>1076.5077329469493</v>
      </c>
      <c r="BG165" s="17">
        <f t="shared" si="95"/>
        <v>213993.31515707416</v>
      </c>
      <c r="BH165" s="17">
        <f t="shared" si="96"/>
        <v>324586.47017852898</v>
      </c>
      <c r="BI165" s="17">
        <f>IF(MOD(AK165,12)=0,BG165*'1 - Input'!$B$23,0)</f>
        <v>0</v>
      </c>
      <c r="BJ165" s="17">
        <f t="shared" si="97"/>
        <v>213993.31515707416</v>
      </c>
      <c r="BK165" s="17">
        <f>IF(MOD(AK165,12)=0,BH165*(1-'1 - Input'!$B$23),BH165)</f>
        <v>324586.47017852898</v>
      </c>
      <c r="BL165" s="17">
        <f>IF('1 - Input'!$B$17=1,MIN(AV165,AN165)+BD165,AV165)</f>
        <v>3291.284933985844</v>
      </c>
      <c r="BM165" s="17">
        <f t="shared" si="124"/>
        <v>361353.53025947808</v>
      </c>
      <c r="BN165" s="17">
        <f t="shared" si="125"/>
        <v>86755.439518062034</v>
      </c>
      <c r="BO165" s="17">
        <f t="shared" si="126"/>
        <v>0</v>
      </c>
      <c r="BP165" s="17">
        <f t="shared" si="127"/>
        <v>38845.314779117034</v>
      </c>
      <c r="BQ165" s="17">
        <f t="shared" si="128"/>
        <v>7029.2069942831804</v>
      </c>
      <c r="BR165" s="17">
        <f t="shared" si="129"/>
        <v>0</v>
      </c>
      <c r="BS165" s="15">
        <f t="shared" si="98"/>
        <v>0</v>
      </c>
      <c r="BU165" s="14">
        <v>122</v>
      </c>
      <c r="BV165" s="15">
        <f t="shared" si="99"/>
        <v>11</v>
      </c>
      <c r="BW165" s="16">
        <f>(1+INDEX('1 - Input'!$B$34:$E$63,BV165,'1 - Input'!$B$16))^(1/12)-1</f>
        <v>4.1219243192651689E-3</v>
      </c>
      <c r="BX165" s="17">
        <f>'1 - Input'!$B$7*(1+'1 - Input'!$B$12)^(BV165-1)</f>
        <v>3291.284933985844</v>
      </c>
      <c r="BY165" s="17">
        <f t="shared" si="130"/>
        <v>327715.58888012008</v>
      </c>
      <c r="BZ165" s="17">
        <f t="shared" si="131"/>
        <v>129731.5419172111</v>
      </c>
      <c r="CA165" s="17">
        <f t="shared" si="100"/>
        <v>329066.40773572738</v>
      </c>
      <c r="CB165" s="17">
        <f>IF(CA165&gt;0,'1 - Input'!$B$8/12*CA165,0)</f>
        <v>2467.9980580179554</v>
      </c>
      <c r="CC165" s="17">
        <f t="shared" si="101"/>
        <v>326598.40967770939</v>
      </c>
      <c r="CD165" s="17">
        <f t="shared" si="102"/>
        <v>2467.9980580179554</v>
      </c>
      <c r="CE165" s="17">
        <f>'1 - Input'!$B$22*(CB165-CD165)</f>
        <v>0</v>
      </c>
      <c r="CF165" s="17">
        <f t="shared" si="103"/>
        <v>2467.9980580179554</v>
      </c>
      <c r="CG165" s="17">
        <f t="shared" si="104"/>
        <v>127263.54385919315</v>
      </c>
      <c r="CH165" s="17">
        <f>IF('1 - Input'!$B$17=1,MAX(0,CF165-BX165),0)</f>
        <v>0</v>
      </c>
      <c r="CI165" s="17">
        <f>IF('1 - Input'!$B$17=1,MAX(0,BX165-CF165),0)</f>
        <v>823.28687596788859</v>
      </c>
      <c r="CJ165" s="17">
        <f t="shared" si="105"/>
        <v>0.61033630266363481</v>
      </c>
      <c r="CK165" s="17">
        <f>IF(AND(CI165&gt;0,CC165&gt;0),CI165/(1-'1 - Input'!$B$22*CJ165),0)</f>
        <v>978.57432995942293</v>
      </c>
      <c r="CL165" s="17">
        <f t="shared" si="106"/>
        <v>978.57432995942293</v>
      </c>
      <c r="CM165" s="17">
        <f>'1 - Input'!$B$22*CJ165*CL165</f>
        <v>155.28745399153428</v>
      </c>
      <c r="CN165" s="17">
        <f t="shared" si="107"/>
        <v>823.28687596788859</v>
      </c>
      <c r="CO165" s="17">
        <f t="shared" si="108"/>
        <v>0</v>
      </c>
      <c r="CP165" s="17">
        <f t="shared" si="109"/>
        <v>0</v>
      </c>
      <c r="CQ165" s="17">
        <f t="shared" si="110"/>
        <v>325619.83534774999</v>
      </c>
      <c r="CR165" s="17">
        <f t="shared" si="111"/>
        <v>126882.2289676627</v>
      </c>
      <c r="CS165" s="17">
        <f>IF(MOD(BU165,12)=0,CQ165*'1 - Input'!$B$23,0)</f>
        <v>0</v>
      </c>
      <c r="CT165" s="17">
        <f t="shared" si="112"/>
        <v>325619.83534774999</v>
      </c>
      <c r="CU165" s="17">
        <f>IF(MOD(BU165,12)=0,CR165*(1-'1 - Input'!$B$23),CR165)</f>
        <v>126882.2289676627</v>
      </c>
      <c r="CV165" s="17">
        <f>IF('1 - Input'!$B$17=1,MIN(CF165,BX165)+CN165,CF165)</f>
        <v>3291.284933985844</v>
      </c>
      <c r="CW165" s="17">
        <f t="shared" si="132"/>
        <v>361353.53025947808</v>
      </c>
      <c r="CX165" s="17">
        <f t="shared" si="133"/>
        <v>0</v>
      </c>
      <c r="CY165" s="17">
        <f t="shared" si="134"/>
        <v>2682.7669750411419</v>
      </c>
      <c r="CZ165" s="17">
        <f t="shared" si="135"/>
        <v>0</v>
      </c>
      <c r="DA165" s="17">
        <f t="shared" si="136"/>
        <v>8277.3364680689538</v>
      </c>
      <c r="DB165" s="17">
        <f t="shared" si="137"/>
        <v>0</v>
      </c>
      <c r="DC165" s="15">
        <f t="shared" si="113"/>
        <v>0</v>
      </c>
    </row>
    <row r="166" spans="1:107">
      <c r="A166" s="14">
        <v>123</v>
      </c>
      <c r="B166" s="15">
        <f t="shared" si="69"/>
        <v>11</v>
      </c>
      <c r="C166" s="16">
        <f>(1+INDEX('1 - Input'!$B$34:$E$63,B166,'1 - Input'!$B$16))^(1/12)-1</f>
        <v>4.1219243192651689E-3</v>
      </c>
      <c r="D166" s="17">
        <f>'1 - Input'!$B$7*(1+'1 - Input'!$B$12)^(B166-1)</f>
        <v>3291.284933985844</v>
      </c>
      <c r="E166" s="17">
        <f t="shared" si="114"/>
        <v>213993.31515707416</v>
      </c>
      <c r="F166" s="17">
        <f t="shared" si="115"/>
        <v>324586.47017852898</v>
      </c>
      <c r="G166" s="17">
        <f t="shared" si="70"/>
        <v>214875.37940698027</v>
      </c>
      <c r="H166" s="17">
        <f>IF(G166&gt;0,'1 - Input'!$B$8/12*G166,0)</f>
        <v>1611.565345552352</v>
      </c>
      <c r="I166" s="17">
        <f t="shared" si="71"/>
        <v>213263.81406142793</v>
      </c>
      <c r="J166" s="17">
        <f t="shared" si="72"/>
        <v>0</v>
      </c>
      <c r="K166" s="17">
        <f>'1 - Input'!$B$22*(H166-J166)</f>
        <v>419.00698984361156</v>
      </c>
      <c r="L166" s="17">
        <f t="shared" si="73"/>
        <v>1192.5583557087405</v>
      </c>
      <c r="M166" s="17">
        <f t="shared" si="74"/>
        <v>324586.47017852898</v>
      </c>
      <c r="N166" s="17">
        <f>IF('1 - Input'!$B$17=1,MAX(0,L166-D166),0)</f>
        <v>0</v>
      </c>
      <c r="O166" s="17">
        <f>IF('1 - Input'!$B$17=1,MAX(0,D166-L166),0)</f>
        <v>2098.7265782771037</v>
      </c>
      <c r="P166" s="17">
        <f t="shared" si="75"/>
        <v>0</v>
      </c>
      <c r="Q166" s="17">
        <f>IF(AND(O166&gt;0,I166&gt;0),O166/(1-'1 - Input'!$B$22*P166),0)</f>
        <v>2098.7265782771037</v>
      </c>
      <c r="R166" s="17">
        <f t="shared" si="76"/>
        <v>2098.7265782771037</v>
      </c>
      <c r="S166" s="17">
        <f>'1 - Input'!$B$22*P166*R166</f>
        <v>0</v>
      </c>
      <c r="T166" s="17">
        <f t="shared" si="77"/>
        <v>2098.7265782771037</v>
      </c>
      <c r="U166" s="17">
        <f t="shared" si="78"/>
        <v>0</v>
      </c>
      <c r="V166" s="17">
        <f t="shared" si="79"/>
        <v>1095.5248933607947</v>
      </c>
      <c r="W166" s="17">
        <f t="shared" si="80"/>
        <v>211165.08748315083</v>
      </c>
      <c r="X166" s="17">
        <f t="shared" si="81"/>
        <v>321392.21870689106</v>
      </c>
      <c r="Y166" s="17">
        <f>IF(MOD(A166,12)=0,W166*'1 - Input'!$B$23,0)</f>
        <v>0</v>
      </c>
      <c r="Z166" s="17">
        <f t="shared" si="82"/>
        <v>211165.08748315083</v>
      </c>
      <c r="AA166" s="17">
        <f>IF(MOD(A166,12)=0,X166*(1-'1 - Input'!$B$23),X166)</f>
        <v>321392.21870689106</v>
      </c>
      <c r="AB166" s="17">
        <f>IF('1 - Input'!$B$17=1,MIN(L166,D166)+T166,L166)</f>
        <v>3291.284933985844</v>
      </c>
      <c r="AC166" s="17">
        <f t="shared" si="116"/>
        <v>364644.81519346393</v>
      </c>
      <c r="AD166" s="17">
        <f t="shared" si="117"/>
        <v>87174.446507905639</v>
      </c>
      <c r="AE166" s="17">
        <f t="shared" si="118"/>
        <v>0</v>
      </c>
      <c r="AF166" s="17">
        <f t="shared" si="119"/>
        <v>39940.839672477829</v>
      </c>
      <c r="AG166" s="17">
        <f t="shared" si="120"/>
        <v>7029.2069942831804</v>
      </c>
      <c r="AH166" s="17">
        <f t="shared" si="121"/>
        <v>0</v>
      </c>
      <c r="AI166" s="15">
        <f t="shared" si="83"/>
        <v>0</v>
      </c>
      <c r="AK166" s="14">
        <v>123</v>
      </c>
      <c r="AL166" s="15">
        <f t="shared" si="84"/>
        <v>11</v>
      </c>
      <c r="AM166" s="16">
        <f>(1+INDEX('1 - Input'!$B$34:$E$63,AL166,'1 - Input'!$B$16))^(1/12)-1</f>
        <v>4.1219243192651689E-3</v>
      </c>
      <c r="AN166" s="17">
        <f>'1 - Input'!$B$7*(1+'1 - Input'!$B$12)^(AL166-1)</f>
        <v>3291.284933985844</v>
      </c>
      <c r="AO166" s="17">
        <f t="shared" si="122"/>
        <v>213993.31515707416</v>
      </c>
      <c r="AP166" s="17">
        <f t="shared" si="123"/>
        <v>324586.47017852898</v>
      </c>
      <c r="AQ166" s="17">
        <f t="shared" si="85"/>
        <v>214875.37940698027</v>
      </c>
      <c r="AR166" s="17">
        <f>IF(AQ166&gt;0,'1 - Input'!$B$8/12*AQ166,0)</f>
        <v>1611.565345552352</v>
      </c>
      <c r="AS166" s="17">
        <f t="shared" si="86"/>
        <v>213263.81406142793</v>
      </c>
      <c r="AT166" s="17">
        <f t="shared" si="87"/>
        <v>0</v>
      </c>
      <c r="AU166" s="17">
        <f>'1 - Input'!$B$22*(AR166-AT166)</f>
        <v>419.00698984361156</v>
      </c>
      <c r="AV166" s="17">
        <f t="shared" si="88"/>
        <v>1192.5583557087405</v>
      </c>
      <c r="AW166" s="17">
        <f t="shared" si="89"/>
        <v>324586.47017852898</v>
      </c>
      <c r="AX166" s="17">
        <f>IF('1 - Input'!$B$17=1,MAX(0,AV166-AN166),0)</f>
        <v>0</v>
      </c>
      <c r="AY166" s="17">
        <f>IF('1 - Input'!$B$17=1,MAX(0,AN166-AV166),0)</f>
        <v>2098.7265782771037</v>
      </c>
      <c r="AZ166" s="17">
        <f t="shared" si="90"/>
        <v>0</v>
      </c>
      <c r="BA166" s="17">
        <f>IF(AND(AY166&gt;0,AS166&gt;0),AY166/(1-'1 - Input'!$B$22*AZ166),0)</f>
        <v>2098.7265782771037</v>
      </c>
      <c r="BB166" s="17">
        <f t="shared" si="91"/>
        <v>2098.7265782771037</v>
      </c>
      <c r="BC166" s="17">
        <f>'1 - Input'!$B$22*AZ166*BB166</f>
        <v>0</v>
      </c>
      <c r="BD166" s="17">
        <f t="shared" si="92"/>
        <v>2098.7265782771037</v>
      </c>
      <c r="BE166" s="17">
        <f t="shared" si="93"/>
        <v>0</v>
      </c>
      <c r="BF166" s="17">
        <f t="shared" si="94"/>
        <v>1095.5248933607947</v>
      </c>
      <c r="BG166" s="17">
        <f t="shared" si="95"/>
        <v>211165.08748315083</v>
      </c>
      <c r="BH166" s="17">
        <f t="shared" si="96"/>
        <v>321392.21870689106</v>
      </c>
      <c r="BI166" s="17">
        <f>IF(MOD(AK166,12)=0,BG166*'1 - Input'!$B$23,0)</f>
        <v>0</v>
      </c>
      <c r="BJ166" s="17">
        <f t="shared" si="97"/>
        <v>211165.08748315083</v>
      </c>
      <c r="BK166" s="17">
        <f>IF(MOD(AK166,12)=0,BH166*(1-'1 - Input'!$B$23),BH166)</f>
        <v>321392.21870689106</v>
      </c>
      <c r="BL166" s="17">
        <f>IF('1 - Input'!$B$17=1,MIN(AV166,AN166)+BD166,AV166)</f>
        <v>3291.284933985844</v>
      </c>
      <c r="BM166" s="17">
        <f t="shared" si="124"/>
        <v>364644.81519346393</v>
      </c>
      <c r="BN166" s="17">
        <f t="shared" si="125"/>
        <v>87174.446507905639</v>
      </c>
      <c r="BO166" s="17">
        <f t="shared" si="126"/>
        <v>0</v>
      </c>
      <c r="BP166" s="17">
        <f t="shared" si="127"/>
        <v>39940.839672477829</v>
      </c>
      <c r="BQ166" s="17">
        <f t="shared" si="128"/>
        <v>7029.2069942831804</v>
      </c>
      <c r="BR166" s="17">
        <f t="shared" si="129"/>
        <v>0</v>
      </c>
      <c r="BS166" s="15">
        <f t="shared" si="98"/>
        <v>0</v>
      </c>
      <c r="BU166" s="14">
        <v>123</v>
      </c>
      <c r="BV166" s="15">
        <f t="shared" si="99"/>
        <v>11</v>
      </c>
      <c r="BW166" s="16">
        <f>(1+INDEX('1 - Input'!$B$34:$E$63,BV166,'1 - Input'!$B$16))^(1/12)-1</f>
        <v>4.1219243192651689E-3</v>
      </c>
      <c r="BX166" s="17">
        <f>'1 - Input'!$B$7*(1+'1 - Input'!$B$12)^(BV166-1)</f>
        <v>3291.284933985844</v>
      </c>
      <c r="BY166" s="17">
        <f t="shared" si="130"/>
        <v>325619.83534774999</v>
      </c>
      <c r="BZ166" s="17">
        <f t="shared" si="131"/>
        <v>126882.2289676627</v>
      </c>
      <c r="CA166" s="17">
        <f t="shared" si="100"/>
        <v>326962.01566590503</v>
      </c>
      <c r="CB166" s="17">
        <f>IF(CA166&gt;0,'1 - Input'!$B$8/12*CA166,0)</f>
        <v>2452.2151174942878</v>
      </c>
      <c r="CC166" s="17">
        <f t="shared" si="101"/>
        <v>324509.80054841074</v>
      </c>
      <c r="CD166" s="17">
        <f t="shared" si="102"/>
        <v>2452.2151174942878</v>
      </c>
      <c r="CE166" s="17">
        <f>'1 - Input'!$B$22*(CB166-CD166)</f>
        <v>0</v>
      </c>
      <c r="CF166" s="17">
        <f t="shared" si="103"/>
        <v>2452.2151174942878</v>
      </c>
      <c r="CG166" s="17">
        <f t="shared" si="104"/>
        <v>124430.01385016841</v>
      </c>
      <c r="CH166" s="17">
        <f>IF('1 - Input'!$B$17=1,MAX(0,CF166-BX166),0)</f>
        <v>0</v>
      </c>
      <c r="CI166" s="17">
        <f>IF('1 - Input'!$B$17=1,MAX(0,BX166-CF166),0)</f>
        <v>839.06981649155614</v>
      </c>
      <c r="CJ166" s="17">
        <f t="shared" si="105"/>
        <v>0.61656007417992975</v>
      </c>
      <c r="CK166" s="17">
        <f>IF(AND(CI166&gt;0,CC166&gt;0),CI166/(1-'1 - Input'!$B$22*CJ166),0)</f>
        <v>999.25620054628496</v>
      </c>
      <c r="CL166" s="17">
        <f t="shared" si="106"/>
        <v>999.25620054628496</v>
      </c>
      <c r="CM166" s="17">
        <f>'1 - Input'!$B$22*CJ166*CL166</f>
        <v>160.18638405472879</v>
      </c>
      <c r="CN166" s="17">
        <f t="shared" si="107"/>
        <v>839.06981649155614</v>
      </c>
      <c r="CO166" s="17">
        <f t="shared" si="108"/>
        <v>0</v>
      </c>
      <c r="CP166" s="17">
        <f t="shared" si="109"/>
        <v>0</v>
      </c>
      <c r="CQ166" s="17">
        <f t="shared" si="110"/>
        <v>323510.54434786446</v>
      </c>
      <c r="CR166" s="17">
        <f t="shared" si="111"/>
        <v>124046.85912675571</v>
      </c>
      <c r="CS166" s="17">
        <f>IF(MOD(BU166,12)=0,CQ166*'1 - Input'!$B$23,0)</f>
        <v>0</v>
      </c>
      <c r="CT166" s="17">
        <f t="shared" si="112"/>
        <v>323510.54434786446</v>
      </c>
      <c r="CU166" s="17">
        <f>IF(MOD(BU166,12)=0,CR166*(1-'1 - Input'!$B$23),CR166)</f>
        <v>124046.85912675571</v>
      </c>
      <c r="CV166" s="17">
        <f>IF('1 - Input'!$B$17=1,MIN(CF166,BX166)+CN166,CF166)</f>
        <v>3291.284933985844</v>
      </c>
      <c r="CW166" s="17">
        <f t="shared" si="132"/>
        <v>364644.81519346393</v>
      </c>
      <c r="CX166" s="17">
        <f t="shared" si="133"/>
        <v>0</v>
      </c>
      <c r="CY166" s="17">
        <f t="shared" si="134"/>
        <v>2842.9533590958708</v>
      </c>
      <c r="CZ166" s="17">
        <f t="shared" si="135"/>
        <v>0</v>
      </c>
      <c r="DA166" s="17">
        <f t="shared" si="136"/>
        <v>8277.3364680689538</v>
      </c>
      <c r="DB166" s="17">
        <f t="shared" si="137"/>
        <v>0</v>
      </c>
      <c r="DC166" s="15">
        <f t="shared" si="113"/>
        <v>0</v>
      </c>
    </row>
    <row r="167" spans="1:107">
      <c r="A167" s="14">
        <v>124</v>
      </c>
      <c r="B167" s="15">
        <f t="shared" si="69"/>
        <v>11</v>
      </c>
      <c r="C167" s="16">
        <f>(1+INDEX('1 - Input'!$B$34:$E$63,B167,'1 - Input'!$B$16))^(1/12)-1</f>
        <v>4.1219243192651689E-3</v>
      </c>
      <c r="D167" s="17">
        <f>'1 - Input'!$B$7*(1+'1 - Input'!$B$12)^(B167-1)</f>
        <v>3291.284933985844</v>
      </c>
      <c r="E167" s="17">
        <f t="shared" si="114"/>
        <v>211165.08748315083</v>
      </c>
      <c r="F167" s="17">
        <f t="shared" si="115"/>
        <v>321392.21870689106</v>
      </c>
      <c r="G167" s="17">
        <f t="shared" si="70"/>
        <v>212035.49399262739</v>
      </c>
      <c r="H167" s="17">
        <f>IF(G167&gt;0,'1 - Input'!$B$8/12*G167,0)</f>
        <v>1590.2662049447054</v>
      </c>
      <c r="I167" s="17">
        <f t="shared" si="71"/>
        <v>210445.2277876827</v>
      </c>
      <c r="J167" s="17">
        <f t="shared" si="72"/>
        <v>0</v>
      </c>
      <c r="K167" s="17">
        <f>'1 - Input'!$B$22*(H167-J167)</f>
        <v>413.46921328562343</v>
      </c>
      <c r="L167" s="17">
        <f t="shared" si="73"/>
        <v>1176.7969916590819</v>
      </c>
      <c r="M167" s="17">
        <f t="shared" si="74"/>
        <v>321392.21870689106</v>
      </c>
      <c r="N167" s="17">
        <f>IF('1 - Input'!$B$17=1,MAX(0,L167-D167),0)</f>
        <v>0</v>
      </c>
      <c r="O167" s="17">
        <f>IF('1 - Input'!$B$17=1,MAX(0,D167-L167),0)</f>
        <v>2114.4879423267621</v>
      </c>
      <c r="P167" s="17">
        <f t="shared" si="75"/>
        <v>0</v>
      </c>
      <c r="Q167" s="17">
        <f>IF(AND(O167&gt;0,I167&gt;0),O167/(1-'1 - Input'!$B$22*P167),0)</f>
        <v>2114.4879423267621</v>
      </c>
      <c r="R167" s="17">
        <f t="shared" si="76"/>
        <v>2114.4879423267621</v>
      </c>
      <c r="S167" s="17">
        <f>'1 - Input'!$B$22*P167*R167</f>
        <v>0</v>
      </c>
      <c r="T167" s="17">
        <f t="shared" si="77"/>
        <v>2114.4879423267621</v>
      </c>
      <c r="U167" s="17">
        <f t="shared" si="78"/>
        <v>0</v>
      </c>
      <c r="V167" s="17">
        <f t="shared" si="79"/>
        <v>1114.7607242145959</v>
      </c>
      <c r="W167" s="17">
        <f t="shared" si="80"/>
        <v>208330.73984535594</v>
      </c>
      <c r="X167" s="17">
        <f t="shared" si="81"/>
        <v>318162.9700403497</v>
      </c>
      <c r="Y167" s="17">
        <f>IF(MOD(A167,12)=0,W167*'1 - Input'!$B$23,0)</f>
        <v>0</v>
      </c>
      <c r="Z167" s="17">
        <f t="shared" si="82"/>
        <v>208330.73984535594</v>
      </c>
      <c r="AA167" s="17">
        <f>IF(MOD(A167,12)=0,X167*(1-'1 - Input'!$B$23),X167)</f>
        <v>318162.9700403497</v>
      </c>
      <c r="AB167" s="17">
        <f>IF('1 - Input'!$B$17=1,MIN(L167,D167)+T167,L167)</f>
        <v>3291.284933985844</v>
      </c>
      <c r="AC167" s="17">
        <f t="shared" si="116"/>
        <v>367936.10012744978</v>
      </c>
      <c r="AD167" s="17">
        <f t="shared" si="117"/>
        <v>87587.915721191268</v>
      </c>
      <c r="AE167" s="17">
        <f t="shared" si="118"/>
        <v>0</v>
      </c>
      <c r="AF167" s="17">
        <f t="shared" si="119"/>
        <v>41055.600396692425</v>
      </c>
      <c r="AG167" s="17">
        <f t="shared" si="120"/>
        <v>7029.2069942831804</v>
      </c>
      <c r="AH167" s="17">
        <f t="shared" si="121"/>
        <v>0</v>
      </c>
      <c r="AI167" s="15">
        <f t="shared" si="83"/>
        <v>0</v>
      </c>
      <c r="AK167" s="14">
        <v>124</v>
      </c>
      <c r="AL167" s="15">
        <f t="shared" si="84"/>
        <v>11</v>
      </c>
      <c r="AM167" s="16">
        <f>(1+INDEX('1 - Input'!$B$34:$E$63,AL167,'1 - Input'!$B$16))^(1/12)-1</f>
        <v>4.1219243192651689E-3</v>
      </c>
      <c r="AN167" s="17">
        <f>'1 - Input'!$B$7*(1+'1 - Input'!$B$12)^(AL167-1)</f>
        <v>3291.284933985844</v>
      </c>
      <c r="AO167" s="17">
        <f t="shared" si="122"/>
        <v>211165.08748315083</v>
      </c>
      <c r="AP167" s="17">
        <f t="shared" si="123"/>
        <v>321392.21870689106</v>
      </c>
      <c r="AQ167" s="17">
        <f t="shared" si="85"/>
        <v>212035.49399262739</v>
      </c>
      <c r="AR167" s="17">
        <f>IF(AQ167&gt;0,'1 - Input'!$B$8/12*AQ167,0)</f>
        <v>1590.2662049447054</v>
      </c>
      <c r="AS167" s="17">
        <f t="shared" si="86"/>
        <v>210445.2277876827</v>
      </c>
      <c r="AT167" s="17">
        <f t="shared" si="87"/>
        <v>0</v>
      </c>
      <c r="AU167" s="17">
        <f>'1 - Input'!$B$22*(AR167-AT167)</f>
        <v>413.46921328562343</v>
      </c>
      <c r="AV167" s="17">
        <f t="shared" si="88"/>
        <v>1176.7969916590819</v>
      </c>
      <c r="AW167" s="17">
        <f t="shared" si="89"/>
        <v>321392.21870689106</v>
      </c>
      <c r="AX167" s="17">
        <f>IF('1 - Input'!$B$17=1,MAX(0,AV167-AN167),0)</f>
        <v>0</v>
      </c>
      <c r="AY167" s="17">
        <f>IF('1 - Input'!$B$17=1,MAX(0,AN167-AV167),0)</f>
        <v>2114.4879423267621</v>
      </c>
      <c r="AZ167" s="17">
        <f t="shared" si="90"/>
        <v>0</v>
      </c>
      <c r="BA167" s="17">
        <f>IF(AND(AY167&gt;0,AS167&gt;0),AY167/(1-'1 - Input'!$B$22*AZ167),0)</f>
        <v>2114.4879423267621</v>
      </c>
      <c r="BB167" s="17">
        <f t="shared" si="91"/>
        <v>2114.4879423267621</v>
      </c>
      <c r="BC167" s="17">
        <f>'1 - Input'!$B$22*AZ167*BB167</f>
        <v>0</v>
      </c>
      <c r="BD167" s="17">
        <f t="shared" si="92"/>
        <v>2114.4879423267621</v>
      </c>
      <c r="BE167" s="17">
        <f t="shared" si="93"/>
        <v>0</v>
      </c>
      <c r="BF167" s="17">
        <f t="shared" si="94"/>
        <v>1114.7607242145959</v>
      </c>
      <c r="BG167" s="17">
        <f t="shared" si="95"/>
        <v>208330.73984535594</v>
      </c>
      <c r="BH167" s="17">
        <f t="shared" si="96"/>
        <v>318162.9700403497</v>
      </c>
      <c r="BI167" s="17">
        <f>IF(MOD(AK167,12)=0,BG167*'1 - Input'!$B$23,0)</f>
        <v>0</v>
      </c>
      <c r="BJ167" s="17">
        <f t="shared" si="97"/>
        <v>208330.73984535594</v>
      </c>
      <c r="BK167" s="17">
        <f>IF(MOD(AK167,12)=0,BH167*(1-'1 - Input'!$B$23),BH167)</f>
        <v>318162.9700403497</v>
      </c>
      <c r="BL167" s="17">
        <f>IF('1 - Input'!$B$17=1,MIN(AV167,AN167)+BD167,AV167)</f>
        <v>3291.284933985844</v>
      </c>
      <c r="BM167" s="17">
        <f t="shared" si="124"/>
        <v>367936.10012744978</v>
      </c>
      <c r="BN167" s="17">
        <f t="shared" si="125"/>
        <v>87587.915721191268</v>
      </c>
      <c r="BO167" s="17">
        <f t="shared" si="126"/>
        <v>0</v>
      </c>
      <c r="BP167" s="17">
        <f t="shared" si="127"/>
        <v>41055.600396692425</v>
      </c>
      <c r="BQ167" s="17">
        <f t="shared" si="128"/>
        <v>7029.2069942831804</v>
      </c>
      <c r="BR167" s="17">
        <f t="shared" si="129"/>
        <v>0</v>
      </c>
      <c r="BS167" s="15">
        <f t="shared" si="98"/>
        <v>0</v>
      </c>
      <c r="BU167" s="14">
        <v>124</v>
      </c>
      <c r="BV167" s="15">
        <f t="shared" si="99"/>
        <v>11</v>
      </c>
      <c r="BW167" s="16">
        <f>(1+INDEX('1 - Input'!$B$34:$E$63,BV167,'1 - Input'!$B$16))^(1/12)-1</f>
        <v>4.1219243192651689E-3</v>
      </c>
      <c r="BX167" s="17">
        <f>'1 - Input'!$B$7*(1+'1 - Input'!$B$12)^(BV167-1)</f>
        <v>3291.284933985844</v>
      </c>
      <c r="BY167" s="17">
        <f t="shared" si="130"/>
        <v>323510.54434786446</v>
      </c>
      <c r="BZ167" s="17">
        <f t="shared" si="131"/>
        <v>124046.85912675571</v>
      </c>
      <c r="CA167" s="17">
        <f t="shared" si="100"/>
        <v>324844.03032815061</v>
      </c>
      <c r="CB167" s="17">
        <f>IF(CA167&gt;0,'1 - Input'!$B$8/12*CA167,0)</f>
        <v>2436.3302274611297</v>
      </c>
      <c r="CC167" s="17">
        <f t="shared" si="101"/>
        <v>322407.70010068949</v>
      </c>
      <c r="CD167" s="17">
        <f t="shared" si="102"/>
        <v>2436.3302274611297</v>
      </c>
      <c r="CE167" s="17">
        <f>'1 - Input'!$B$22*(CB167-CD167)</f>
        <v>0</v>
      </c>
      <c r="CF167" s="17">
        <f t="shared" si="103"/>
        <v>2436.3302274611297</v>
      </c>
      <c r="CG167" s="17">
        <f t="shared" si="104"/>
        <v>121610.52889929457</v>
      </c>
      <c r="CH167" s="17">
        <f>IF('1 - Input'!$B$17=1,MAX(0,CF167-BX167),0)</f>
        <v>0</v>
      </c>
      <c r="CI167" s="17">
        <f>IF('1 - Input'!$B$17=1,MAX(0,BX167-CF167),0)</f>
        <v>854.95470652471431</v>
      </c>
      <c r="CJ167" s="17">
        <f t="shared" si="105"/>
        <v>0.62280513504697621</v>
      </c>
      <c r="CK167" s="17">
        <f>IF(AND(CI167&gt;0,CC167&gt;0),CI167/(1-'1 - Input'!$B$22*CJ167),0)</f>
        <v>1020.1463221949057</v>
      </c>
      <c r="CL167" s="17">
        <f t="shared" si="106"/>
        <v>1020.1463221949057</v>
      </c>
      <c r="CM167" s="17">
        <f>'1 - Input'!$B$22*CJ167*CL167</f>
        <v>165.19161567019134</v>
      </c>
      <c r="CN167" s="17">
        <f t="shared" si="107"/>
        <v>854.95470652471431</v>
      </c>
      <c r="CO167" s="17">
        <f t="shared" si="108"/>
        <v>0</v>
      </c>
      <c r="CP167" s="17">
        <f t="shared" si="109"/>
        <v>0</v>
      </c>
      <c r="CQ167" s="17">
        <f t="shared" si="110"/>
        <v>321387.55377849459</v>
      </c>
      <c r="CR167" s="17">
        <f t="shared" si="111"/>
        <v>121225.73494506194</v>
      </c>
      <c r="CS167" s="17">
        <f>IF(MOD(BU167,12)=0,CQ167*'1 - Input'!$B$23,0)</f>
        <v>0</v>
      </c>
      <c r="CT167" s="17">
        <f t="shared" si="112"/>
        <v>321387.55377849459</v>
      </c>
      <c r="CU167" s="17">
        <f>IF(MOD(BU167,12)=0,CR167*(1-'1 - Input'!$B$23),CR167)</f>
        <v>121225.73494506194</v>
      </c>
      <c r="CV167" s="17">
        <f>IF('1 - Input'!$B$17=1,MIN(CF167,BX167)+CN167,CF167)</f>
        <v>3291.284933985844</v>
      </c>
      <c r="CW167" s="17">
        <f t="shared" si="132"/>
        <v>367936.10012744978</v>
      </c>
      <c r="CX167" s="17">
        <f t="shared" si="133"/>
        <v>0</v>
      </c>
      <c r="CY167" s="17">
        <f t="shared" si="134"/>
        <v>3008.1449747660622</v>
      </c>
      <c r="CZ167" s="17">
        <f t="shared" si="135"/>
        <v>0</v>
      </c>
      <c r="DA167" s="17">
        <f t="shared" si="136"/>
        <v>8277.3364680689538</v>
      </c>
      <c r="DB167" s="17">
        <f t="shared" si="137"/>
        <v>0</v>
      </c>
      <c r="DC167" s="15">
        <f t="shared" si="113"/>
        <v>0</v>
      </c>
    </row>
    <row r="168" spans="1:107">
      <c r="A168" s="14">
        <v>125</v>
      </c>
      <c r="B168" s="15">
        <f t="shared" si="69"/>
        <v>11</v>
      </c>
      <c r="C168" s="16">
        <f>(1+INDEX('1 - Input'!$B$34:$E$63,B168,'1 - Input'!$B$16))^(1/12)-1</f>
        <v>4.1219243192651689E-3</v>
      </c>
      <c r="D168" s="17">
        <f>'1 - Input'!$B$7*(1+'1 - Input'!$B$12)^(B168-1)</f>
        <v>3291.284933985844</v>
      </c>
      <c r="E168" s="17">
        <f t="shared" si="114"/>
        <v>208330.73984535594</v>
      </c>
      <c r="F168" s="17">
        <f t="shared" si="115"/>
        <v>318162.9700403497</v>
      </c>
      <c r="G168" s="17">
        <f t="shared" si="70"/>
        <v>209189.46338837504</v>
      </c>
      <c r="H168" s="17">
        <f>IF(G168&gt;0,'1 - Input'!$B$8/12*G168,0)</f>
        <v>1568.9209754128128</v>
      </c>
      <c r="I168" s="17">
        <f t="shared" si="71"/>
        <v>207620.54241296221</v>
      </c>
      <c r="J168" s="17">
        <f t="shared" si="72"/>
        <v>0</v>
      </c>
      <c r="K168" s="17">
        <f>'1 - Input'!$B$22*(H168-J168)</f>
        <v>407.91945360733132</v>
      </c>
      <c r="L168" s="17">
        <f t="shared" si="73"/>
        <v>1161.0015218054814</v>
      </c>
      <c r="M168" s="17">
        <f t="shared" si="74"/>
        <v>318162.9700403497</v>
      </c>
      <c r="N168" s="17">
        <f>IF('1 - Input'!$B$17=1,MAX(0,L168-D168),0)</f>
        <v>0</v>
      </c>
      <c r="O168" s="17">
        <f>IF('1 - Input'!$B$17=1,MAX(0,D168-L168),0)</f>
        <v>2130.2834121803626</v>
      </c>
      <c r="P168" s="17">
        <f t="shared" si="75"/>
        <v>0</v>
      </c>
      <c r="Q168" s="17">
        <f>IF(AND(O168&gt;0,I168&gt;0),O168/(1-'1 - Input'!$B$22*P168),0)</f>
        <v>2130.2834121803626</v>
      </c>
      <c r="R168" s="17">
        <f t="shared" si="76"/>
        <v>2130.2834121803626</v>
      </c>
      <c r="S168" s="17">
        <f>'1 - Input'!$B$22*P168*R168</f>
        <v>0</v>
      </c>
      <c r="T168" s="17">
        <f t="shared" si="77"/>
        <v>2130.2834121803626</v>
      </c>
      <c r="U168" s="17">
        <f t="shared" si="78"/>
        <v>0</v>
      </c>
      <c r="V168" s="17">
        <f t="shared" si="79"/>
        <v>1134.2167647764986</v>
      </c>
      <c r="W168" s="17">
        <f t="shared" si="80"/>
        <v>205490.25900078184</v>
      </c>
      <c r="X168" s="17">
        <f t="shared" si="81"/>
        <v>314898.46986339282</v>
      </c>
      <c r="Y168" s="17">
        <f>IF(MOD(A168,12)=0,W168*'1 - Input'!$B$23,0)</f>
        <v>0</v>
      </c>
      <c r="Z168" s="17">
        <f t="shared" si="82"/>
        <v>205490.25900078184</v>
      </c>
      <c r="AA168" s="17">
        <f>IF(MOD(A168,12)=0,X168*(1-'1 - Input'!$B$23),X168)</f>
        <v>314898.46986339282</v>
      </c>
      <c r="AB168" s="17">
        <f>IF('1 - Input'!$B$17=1,MIN(L168,D168)+T168,L168)</f>
        <v>3291.284933985844</v>
      </c>
      <c r="AC168" s="17">
        <f t="shared" si="116"/>
        <v>371227.38506143563</v>
      </c>
      <c r="AD168" s="17">
        <f t="shared" si="117"/>
        <v>87995.835174798602</v>
      </c>
      <c r="AE168" s="17">
        <f t="shared" si="118"/>
        <v>0</v>
      </c>
      <c r="AF168" s="17">
        <f t="shared" si="119"/>
        <v>42189.817161468927</v>
      </c>
      <c r="AG168" s="17">
        <f t="shared" si="120"/>
        <v>7029.2069942831804</v>
      </c>
      <c r="AH168" s="17">
        <f t="shared" si="121"/>
        <v>0</v>
      </c>
      <c r="AI168" s="15">
        <f t="shared" si="83"/>
        <v>0</v>
      </c>
      <c r="AK168" s="14">
        <v>125</v>
      </c>
      <c r="AL168" s="15">
        <f t="shared" si="84"/>
        <v>11</v>
      </c>
      <c r="AM168" s="16">
        <f>(1+INDEX('1 - Input'!$B$34:$E$63,AL168,'1 - Input'!$B$16))^(1/12)-1</f>
        <v>4.1219243192651689E-3</v>
      </c>
      <c r="AN168" s="17">
        <f>'1 - Input'!$B$7*(1+'1 - Input'!$B$12)^(AL168-1)</f>
        <v>3291.284933985844</v>
      </c>
      <c r="AO168" s="17">
        <f t="shared" si="122"/>
        <v>208330.73984535594</v>
      </c>
      <c r="AP168" s="17">
        <f t="shared" si="123"/>
        <v>318162.9700403497</v>
      </c>
      <c r="AQ168" s="17">
        <f t="shared" si="85"/>
        <v>209189.46338837504</v>
      </c>
      <c r="AR168" s="17">
        <f>IF(AQ168&gt;0,'1 - Input'!$B$8/12*AQ168,0)</f>
        <v>1568.9209754128128</v>
      </c>
      <c r="AS168" s="17">
        <f t="shared" si="86"/>
        <v>207620.54241296221</v>
      </c>
      <c r="AT168" s="17">
        <f t="shared" si="87"/>
        <v>0</v>
      </c>
      <c r="AU168" s="17">
        <f>'1 - Input'!$B$22*(AR168-AT168)</f>
        <v>407.91945360733132</v>
      </c>
      <c r="AV168" s="17">
        <f t="shared" si="88"/>
        <v>1161.0015218054814</v>
      </c>
      <c r="AW168" s="17">
        <f t="shared" si="89"/>
        <v>318162.9700403497</v>
      </c>
      <c r="AX168" s="17">
        <f>IF('1 - Input'!$B$17=1,MAX(0,AV168-AN168),0)</f>
        <v>0</v>
      </c>
      <c r="AY168" s="17">
        <f>IF('1 - Input'!$B$17=1,MAX(0,AN168-AV168),0)</f>
        <v>2130.2834121803626</v>
      </c>
      <c r="AZ168" s="17">
        <f t="shared" si="90"/>
        <v>0</v>
      </c>
      <c r="BA168" s="17">
        <f>IF(AND(AY168&gt;0,AS168&gt;0),AY168/(1-'1 - Input'!$B$22*AZ168),0)</f>
        <v>2130.2834121803626</v>
      </c>
      <c r="BB168" s="17">
        <f t="shared" si="91"/>
        <v>2130.2834121803626</v>
      </c>
      <c r="BC168" s="17">
        <f>'1 - Input'!$B$22*AZ168*BB168</f>
        <v>0</v>
      </c>
      <c r="BD168" s="17">
        <f t="shared" si="92"/>
        <v>2130.2834121803626</v>
      </c>
      <c r="BE168" s="17">
        <f t="shared" si="93"/>
        <v>0</v>
      </c>
      <c r="BF168" s="17">
        <f t="shared" si="94"/>
        <v>1134.2167647764986</v>
      </c>
      <c r="BG168" s="17">
        <f t="shared" si="95"/>
        <v>205490.25900078184</v>
      </c>
      <c r="BH168" s="17">
        <f t="shared" si="96"/>
        <v>314898.46986339282</v>
      </c>
      <c r="BI168" s="17">
        <f>IF(MOD(AK168,12)=0,BG168*'1 - Input'!$B$23,0)</f>
        <v>0</v>
      </c>
      <c r="BJ168" s="17">
        <f t="shared" si="97"/>
        <v>205490.25900078184</v>
      </c>
      <c r="BK168" s="17">
        <f>IF(MOD(AK168,12)=0,BH168*(1-'1 - Input'!$B$23),BH168)</f>
        <v>314898.46986339282</v>
      </c>
      <c r="BL168" s="17">
        <f>IF('1 - Input'!$B$17=1,MIN(AV168,AN168)+BD168,AV168)</f>
        <v>3291.284933985844</v>
      </c>
      <c r="BM168" s="17">
        <f t="shared" si="124"/>
        <v>371227.38506143563</v>
      </c>
      <c r="BN168" s="17">
        <f t="shared" si="125"/>
        <v>87995.835174798602</v>
      </c>
      <c r="BO168" s="17">
        <f t="shared" si="126"/>
        <v>0</v>
      </c>
      <c r="BP168" s="17">
        <f t="shared" si="127"/>
        <v>42189.817161468927</v>
      </c>
      <c r="BQ168" s="17">
        <f t="shared" si="128"/>
        <v>7029.2069942831804</v>
      </c>
      <c r="BR168" s="17">
        <f t="shared" si="129"/>
        <v>0</v>
      </c>
      <c r="BS168" s="15">
        <f t="shared" si="98"/>
        <v>0</v>
      </c>
      <c r="BU168" s="14">
        <v>125</v>
      </c>
      <c r="BV168" s="15">
        <f t="shared" si="99"/>
        <v>11</v>
      </c>
      <c r="BW168" s="16">
        <f>(1+INDEX('1 - Input'!$B$34:$E$63,BV168,'1 - Input'!$B$16))^(1/12)-1</f>
        <v>4.1219243192651689E-3</v>
      </c>
      <c r="BX168" s="17">
        <f>'1 - Input'!$B$7*(1+'1 - Input'!$B$12)^(BV168-1)</f>
        <v>3291.284933985844</v>
      </c>
      <c r="BY168" s="17">
        <f t="shared" si="130"/>
        <v>321387.55377849459</v>
      </c>
      <c r="BZ168" s="17">
        <f t="shared" si="131"/>
        <v>121225.73494506194</v>
      </c>
      <c r="CA168" s="17">
        <f t="shared" si="100"/>
        <v>322712.28895232332</v>
      </c>
      <c r="CB168" s="17">
        <f>IF(CA168&gt;0,'1 - Input'!$B$8/12*CA168,0)</f>
        <v>2420.3421671424248</v>
      </c>
      <c r="CC168" s="17">
        <f t="shared" si="101"/>
        <v>320291.94678518089</v>
      </c>
      <c r="CD168" s="17">
        <f t="shared" si="102"/>
        <v>2420.3421671424248</v>
      </c>
      <c r="CE168" s="17">
        <f>'1 - Input'!$B$22*(CB168-CD168)</f>
        <v>0</v>
      </c>
      <c r="CF168" s="17">
        <f t="shared" si="103"/>
        <v>2420.3421671424248</v>
      </c>
      <c r="CG168" s="17">
        <f t="shared" si="104"/>
        <v>118805.39277791951</v>
      </c>
      <c r="CH168" s="17">
        <f>IF('1 - Input'!$B$17=1,MAX(0,CF168-BX168),0)</f>
        <v>0</v>
      </c>
      <c r="CI168" s="17">
        <f>IF('1 - Input'!$B$17=1,MAX(0,BX168-CF168),0)</f>
        <v>870.94276684341912</v>
      </c>
      <c r="CJ168" s="17">
        <f t="shared" si="105"/>
        <v>0.62907155808821491</v>
      </c>
      <c r="CK168" s="17">
        <f>IF(AND(CI168&gt;0,CC168&gt;0),CI168/(1-'1 - Input'!$B$22*CJ168),0)</f>
        <v>1041.2478054730909</v>
      </c>
      <c r="CL168" s="17">
        <f t="shared" si="106"/>
        <v>1041.2478054730909</v>
      </c>
      <c r="CM168" s="17">
        <f>'1 - Input'!$B$22*CJ168*CL168</f>
        <v>170.30503862967188</v>
      </c>
      <c r="CN168" s="17">
        <f t="shared" si="107"/>
        <v>870.94276684341901</v>
      </c>
      <c r="CO168" s="17">
        <f t="shared" si="108"/>
        <v>0</v>
      </c>
      <c r="CP168" s="17">
        <f t="shared" si="109"/>
        <v>0</v>
      </c>
      <c r="CQ168" s="17">
        <f t="shared" si="110"/>
        <v>319250.69897970778</v>
      </c>
      <c r="CR168" s="17">
        <f t="shared" si="111"/>
        <v>118419.16435179132</v>
      </c>
      <c r="CS168" s="17">
        <f>IF(MOD(BU168,12)=0,CQ168*'1 - Input'!$B$23,0)</f>
        <v>0</v>
      </c>
      <c r="CT168" s="17">
        <f t="shared" si="112"/>
        <v>319250.69897970778</v>
      </c>
      <c r="CU168" s="17">
        <f>IF(MOD(BU168,12)=0,CR168*(1-'1 - Input'!$B$23),CR168)</f>
        <v>118419.16435179132</v>
      </c>
      <c r="CV168" s="17">
        <f>IF('1 - Input'!$B$17=1,MIN(CF168,BX168)+CN168,CF168)</f>
        <v>3291.284933985844</v>
      </c>
      <c r="CW168" s="17">
        <f t="shared" si="132"/>
        <v>371227.38506143563</v>
      </c>
      <c r="CX168" s="17">
        <f t="shared" si="133"/>
        <v>0</v>
      </c>
      <c r="CY168" s="17">
        <f t="shared" si="134"/>
        <v>3178.450013395734</v>
      </c>
      <c r="CZ168" s="17">
        <f t="shared" si="135"/>
        <v>0</v>
      </c>
      <c r="DA168" s="17">
        <f t="shared" si="136"/>
        <v>8277.3364680689538</v>
      </c>
      <c r="DB168" s="17">
        <f t="shared" si="137"/>
        <v>0</v>
      </c>
      <c r="DC168" s="15">
        <f t="shared" si="113"/>
        <v>0</v>
      </c>
    </row>
    <row r="169" spans="1:107">
      <c r="A169" s="14">
        <v>126</v>
      </c>
      <c r="B169" s="15">
        <f t="shared" si="69"/>
        <v>11</v>
      </c>
      <c r="C169" s="16">
        <f>(1+INDEX('1 - Input'!$B$34:$E$63,B169,'1 - Input'!$B$16))^(1/12)-1</f>
        <v>4.1219243192651689E-3</v>
      </c>
      <c r="D169" s="17">
        <f>'1 - Input'!$B$7*(1+'1 - Input'!$B$12)^(B169-1)</f>
        <v>3291.284933985844</v>
      </c>
      <c r="E169" s="17">
        <f t="shared" si="114"/>
        <v>205490.25900078184</v>
      </c>
      <c r="F169" s="17">
        <f t="shared" si="115"/>
        <v>314898.46986339282</v>
      </c>
      <c r="G169" s="17">
        <f t="shared" si="70"/>
        <v>206337.27429672924</v>
      </c>
      <c r="H169" s="17">
        <f>IF(G169&gt;0,'1 - Input'!$B$8/12*G169,0)</f>
        <v>1547.5295572254693</v>
      </c>
      <c r="I169" s="17">
        <f t="shared" si="71"/>
        <v>204789.74473950377</v>
      </c>
      <c r="J169" s="17">
        <f t="shared" si="72"/>
        <v>0</v>
      </c>
      <c r="K169" s="17">
        <f>'1 - Input'!$B$22*(H169-J169)</f>
        <v>402.35768487862202</v>
      </c>
      <c r="L169" s="17">
        <f t="shared" si="73"/>
        <v>1145.1718723468473</v>
      </c>
      <c r="M169" s="17">
        <f t="shared" si="74"/>
        <v>314898.46986339282</v>
      </c>
      <c r="N169" s="17">
        <f>IF('1 - Input'!$B$17=1,MAX(0,L169-D169),0)</f>
        <v>0</v>
      </c>
      <c r="O169" s="17">
        <f>IF('1 - Input'!$B$17=1,MAX(0,D169-L169),0)</f>
        <v>2146.1130616389964</v>
      </c>
      <c r="P169" s="17">
        <f t="shared" si="75"/>
        <v>0</v>
      </c>
      <c r="Q169" s="17">
        <f>IF(AND(O169&gt;0,I169&gt;0),O169/(1-'1 - Input'!$B$22*P169),0)</f>
        <v>2146.1130616389964</v>
      </c>
      <c r="R169" s="17">
        <f t="shared" si="76"/>
        <v>2146.1130616389964</v>
      </c>
      <c r="S169" s="17">
        <f>'1 - Input'!$B$22*P169*R169</f>
        <v>0</v>
      </c>
      <c r="T169" s="17">
        <f t="shared" si="77"/>
        <v>2146.1130616389964</v>
      </c>
      <c r="U169" s="17">
        <f t="shared" si="78"/>
        <v>0</v>
      </c>
      <c r="V169" s="17">
        <f t="shared" si="79"/>
        <v>1153.8945638580751</v>
      </c>
      <c r="W169" s="17">
        <f t="shared" si="80"/>
        <v>202643.63167786479</v>
      </c>
      <c r="X169" s="17">
        <f t="shared" si="81"/>
        <v>311598.46223789576</v>
      </c>
      <c r="Y169" s="17">
        <f>IF(MOD(A169,12)=0,W169*'1 - Input'!$B$23,0)</f>
        <v>0</v>
      </c>
      <c r="Z169" s="17">
        <f t="shared" si="82"/>
        <v>202643.63167786479</v>
      </c>
      <c r="AA169" s="17">
        <f>IF(MOD(A169,12)=0,X169*(1-'1 - Input'!$B$23),X169)</f>
        <v>311598.46223789576</v>
      </c>
      <c r="AB169" s="17">
        <f>IF('1 - Input'!$B$17=1,MIN(L169,D169)+T169,L169)</f>
        <v>3291.284933985844</v>
      </c>
      <c r="AC169" s="17">
        <f t="shared" si="116"/>
        <v>374518.66999542149</v>
      </c>
      <c r="AD169" s="17">
        <f t="shared" si="117"/>
        <v>88398.19285967722</v>
      </c>
      <c r="AE169" s="17">
        <f t="shared" si="118"/>
        <v>0</v>
      </c>
      <c r="AF169" s="17">
        <f t="shared" si="119"/>
        <v>43343.711725327004</v>
      </c>
      <c r="AG169" s="17">
        <f t="shared" si="120"/>
        <v>7029.2069942831804</v>
      </c>
      <c r="AH169" s="17">
        <f t="shared" si="121"/>
        <v>0</v>
      </c>
      <c r="AI169" s="15">
        <f t="shared" si="83"/>
        <v>0</v>
      </c>
      <c r="AK169" s="14">
        <v>126</v>
      </c>
      <c r="AL169" s="15">
        <f t="shared" si="84"/>
        <v>11</v>
      </c>
      <c r="AM169" s="16">
        <f>(1+INDEX('1 - Input'!$B$34:$E$63,AL169,'1 - Input'!$B$16))^(1/12)-1</f>
        <v>4.1219243192651689E-3</v>
      </c>
      <c r="AN169" s="17">
        <f>'1 - Input'!$B$7*(1+'1 - Input'!$B$12)^(AL169-1)</f>
        <v>3291.284933985844</v>
      </c>
      <c r="AO169" s="17">
        <f t="shared" si="122"/>
        <v>205490.25900078184</v>
      </c>
      <c r="AP169" s="17">
        <f t="shared" si="123"/>
        <v>314898.46986339282</v>
      </c>
      <c r="AQ169" s="17">
        <f t="shared" si="85"/>
        <v>206337.27429672924</v>
      </c>
      <c r="AR169" s="17">
        <f>IF(AQ169&gt;0,'1 - Input'!$B$8/12*AQ169,0)</f>
        <v>1547.5295572254693</v>
      </c>
      <c r="AS169" s="17">
        <f t="shared" si="86"/>
        <v>204789.74473950377</v>
      </c>
      <c r="AT169" s="17">
        <f t="shared" si="87"/>
        <v>0</v>
      </c>
      <c r="AU169" s="17">
        <f>'1 - Input'!$B$22*(AR169-AT169)</f>
        <v>402.35768487862202</v>
      </c>
      <c r="AV169" s="17">
        <f t="shared" si="88"/>
        <v>1145.1718723468473</v>
      </c>
      <c r="AW169" s="17">
        <f t="shared" si="89"/>
        <v>314898.46986339282</v>
      </c>
      <c r="AX169" s="17">
        <f>IF('1 - Input'!$B$17=1,MAX(0,AV169-AN169),0)</f>
        <v>0</v>
      </c>
      <c r="AY169" s="17">
        <f>IF('1 - Input'!$B$17=1,MAX(0,AN169-AV169),0)</f>
        <v>2146.1130616389964</v>
      </c>
      <c r="AZ169" s="17">
        <f t="shared" si="90"/>
        <v>0</v>
      </c>
      <c r="BA169" s="17">
        <f>IF(AND(AY169&gt;0,AS169&gt;0),AY169/(1-'1 - Input'!$B$22*AZ169),0)</f>
        <v>2146.1130616389964</v>
      </c>
      <c r="BB169" s="17">
        <f t="shared" si="91"/>
        <v>2146.1130616389964</v>
      </c>
      <c r="BC169" s="17">
        <f>'1 - Input'!$B$22*AZ169*BB169</f>
        <v>0</v>
      </c>
      <c r="BD169" s="17">
        <f t="shared" si="92"/>
        <v>2146.1130616389964</v>
      </c>
      <c r="BE169" s="17">
        <f t="shared" si="93"/>
        <v>0</v>
      </c>
      <c r="BF169" s="17">
        <f t="shared" si="94"/>
        <v>1153.8945638580751</v>
      </c>
      <c r="BG169" s="17">
        <f t="shared" si="95"/>
        <v>202643.63167786479</v>
      </c>
      <c r="BH169" s="17">
        <f t="shared" si="96"/>
        <v>311598.46223789576</v>
      </c>
      <c r="BI169" s="17">
        <f>IF(MOD(AK169,12)=0,BG169*'1 - Input'!$B$23,0)</f>
        <v>0</v>
      </c>
      <c r="BJ169" s="17">
        <f t="shared" si="97"/>
        <v>202643.63167786479</v>
      </c>
      <c r="BK169" s="17">
        <f>IF(MOD(AK169,12)=0,BH169*(1-'1 - Input'!$B$23),BH169)</f>
        <v>311598.46223789576</v>
      </c>
      <c r="BL169" s="17">
        <f>IF('1 - Input'!$B$17=1,MIN(AV169,AN169)+BD169,AV169)</f>
        <v>3291.284933985844</v>
      </c>
      <c r="BM169" s="17">
        <f t="shared" si="124"/>
        <v>374518.66999542149</v>
      </c>
      <c r="BN169" s="17">
        <f t="shared" si="125"/>
        <v>88398.19285967722</v>
      </c>
      <c r="BO169" s="17">
        <f t="shared" si="126"/>
        <v>0</v>
      </c>
      <c r="BP169" s="17">
        <f t="shared" si="127"/>
        <v>43343.711725327004</v>
      </c>
      <c r="BQ169" s="17">
        <f t="shared" si="128"/>
        <v>7029.2069942831804</v>
      </c>
      <c r="BR169" s="17">
        <f t="shared" si="129"/>
        <v>0</v>
      </c>
      <c r="BS169" s="15">
        <f t="shared" si="98"/>
        <v>0</v>
      </c>
      <c r="BU169" s="14">
        <v>126</v>
      </c>
      <c r="BV169" s="15">
        <f t="shared" si="99"/>
        <v>11</v>
      </c>
      <c r="BW169" s="16">
        <f>(1+INDEX('1 - Input'!$B$34:$E$63,BV169,'1 - Input'!$B$16))^(1/12)-1</f>
        <v>4.1219243192651689E-3</v>
      </c>
      <c r="BX169" s="17">
        <f>'1 - Input'!$B$7*(1+'1 - Input'!$B$12)^(BV169-1)</f>
        <v>3291.284933985844</v>
      </c>
      <c r="BY169" s="17">
        <f t="shared" si="130"/>
        <v>319250.69897970778</v>
      </c>
      <c r="BZ169" s="17">
        <f t="shared" si="131"/>
        <v>118419.16435179132</v>
      </c>
      <c r="CA169" s="17">
        <f t="shared" si="100"/>
        <v>320566.62619977462</v>
      </c>
      <c r="CB169" s="17">
        <f>IF(CA169&gt;0,'1 - Input'!$B$8/12*CA169,0)</f>
        <v>2404.2496964983097</v>
      </c>
      <c r="CC169" s="17">
        <f t="shared" si="101"/>
        <v>318162.37650327629</v>
      </c>
      <c r="CD169" s="17">
        <f t="shared" si="102"/>
        <v>2404.2496964983097</v>
      </c>
      <c r="CE169" s="17">
        <f>'1 - Input'!$B$22*(CB169-CD169)</f>
        <v>0</v>
      </c>
      <c r="CF169" s="17">
        <f t="shared" si="103"/>
        <v>2404.2496964983097</v>
      </c>
      <c r="CG169" s="17">
        <f t="shared" si="104"/>
        <v>116014.914655293</v>
      </c>
      <c r="CH169" s="17">
        <f>IF('1 - Input'!$B$17=1,MAX(0,CF169-BX169),0)</f>
        <v>0</v>
      </c>
      <c r="CI169" s="17">
        <f>IF('1 - Input'!$B$17=1,MAX(0,BX169-CF169),0)</f>
        <v>887.03523748753423</v>
      </c>
      <c r="CJ169" s="17">
        <f t="shared" si="105"/>
        <v>0.63535941637619009</v>
      </c>
      <c r="CK169" s="17">
        <f>IF(AND(CI169&gt;0,CC169&gt;0),CI169/(1-'1 - Input'!$B$22*CJ169),0)</f>
        <v>1062.5638186911035</v>
      </c>
      <c r="CL169" s="17">
        <f t="shared" si="106"/>
        <v>1062.5638186911035</v>
      </c>
      <c r="CM169" s="17">
        <f>'1 - Input'!$B$22*CJ169*CL169</f>
        <v>175.52858120356922</v>
      </c>
      <c r="CN169" s="17">
        <f t="shared" si="107"/>
        <v>887.03523748753423</v>
      </c>
      <c r="CO169" s="17">
        <f t="shared" si="108"/>
        <v>0</v>
      </c>
      <c r="CP169" s="17">
        <f t="shared" si="109"/>
        <v>0</v>
      </c>
      <c r="CQ169" s="17">
        <f t="shared" si="110"/>
        <v>317099.81268458517</v>
      </c>
      <c r="CR169" s="17">
        <f t="shared" si="111"/>
        <v>115627.46076430794</v>
      </c>
      <c r="CS169" s="17">
        <f>IF(MOD(BU169,12)=0,CQ169*'1 - Input'!$B$23,0)</f>
        <v>0</v>
      </c>
      <c r="CT169" s="17">
        <f t="shared" si="112"/>
        <v>317099.81268458517</v>
      </c>
      <c r="CU169" s="17">
        <f>IF(MOD(BU169,12)=0,CR169*(1-'1 - Input'!$B$23),CR169)</f>
        <v>115627.46076430794</v>
      </c>
      <c r="CV169" s="17">
        <f>IF('1 - Input'!$B$17=1,MIN(CF169,BX169)+CN169,CF169)</f>
        <v>3291.284933985844</v>
      </c>
      <c r="CW169" s="17">
        <f t="shared" si="132"/>
        <v>374518.66999542149</v>
      </c>
      <c r="CX169" s="17">
        <f t="shared" si="133"/>
        <v>0</v>
      </c>
      <c r="CY169" s="17">
        <f t="shared" si="134"/>
        <v>3353.9785945993031</v>
      </c>
      <c r="CZ169" s="17">
        <f t="shared" si="135"/>
        <v>0</v>
      </c>
      <c r="DA169" s="17">
        <f t="shared" si="136"/>
        <v>8277.3364680689538</v>
      </c>
      <c r="DB169" s="17">
        <f t="shared" si="137"/>
        <v>0</v>
      </c>
      <c r="DC169" s="15">
        <f t="shared" si="113"/>
        <v>0</v>
      </c>
    </row>
    <row r="170" spans="1:107">
      <c r="A170" s="14">
        <v>127</v>
      </c>
      <c r="B170" s="15">
        <f t="shared" si="69"/>
        <v>11</v>
      </c>
      <c r="C170" s="16">
        <f>(1+INDEX('1 - Input'!$B$34:$E$63,B170,'1 - Input'!$B$16))^(1/12)-1</f>
        <v>4.1219243192651689E-3</v>
      </c>
      <c r="D170" s="17">
        <f>'1 - Input'!$B$7*(1+'1 - Input'!$B$12)^(B170-1)</f>
        <v>3291.284933985844</v>
      </c>
      <c r="E170" s="17">
        <f t="shared" si="114"/>
        <v>202643.63167786479</v>
      </c>
      <c r="F170" s="17">
        <f t="shared" si="115"/>
        <v>311598.46223789576</v>
      </c>
      <c r="G170" s="17">
        <f t="shared" si="70"/>
        <v>203478.91339142199</v>
      </c>
      <c r="H170" s="17">
        <f>IF(G170&gt;0,'1 - Input'!$B$8/12*G170,0)</f>
        <v>1526.0918504356648</v>
      </c>
      <c r="I170" s="17">
        <f t="shared" si="71"/>
        <v>201952.82154098633</v>
      </c>
      <c r="J170" s="17">
        <f t="shared" si="72"/>
        <v>0</v>
      </c>
      <c r="K170" s="17">
        <f>'1 - Input'!$B$22*(H170-J170)</f>
        <v>396.78388111327286</v>
      </c>
      <c r="L170" s="17">
        <f t="shared" si="73"/>
        <v>1129.307969322392</v>
      </c>
      <c r="M170" s="17">
        <f t="shared" si="74"/>
        <v>311598.46223789576</v>
      </c>
      <c r="N170" s="17">
        <f>IF('1 - Input'!$B$17=1,MAX(0,L170-D170),0)</f>
        <v>0</v>
      </c>
      <c r="O170" s="17">
        <f>IF('1 - Input'!$B$17=1,MAX(0,D170-L170),0)</f>
        <v>2161.9769646634522</v>
      </c>
      <c r="P170" s="17">
        <f t="shared" si="75"/>
        <v>0</v>
      </c>
      <c r="Q170" s="17">
        <f>IF(AND(O170&gt;0,I170&gt;0),O170/(1-'1 - Input'!$B$22*P170),0)</f>
        <v>2161.9769646634522</v>
      </c>
      <c r="R170" s="17">
        <f t="shared" si="76"/>
        <v>2161.9769646634522</v>
      </c>
      <c r="S170" s="17">
        <f>'1 - Input'!$B$22*P170*R170</f>
        <v>0</v>
      </c>
      <c r="T170" s="17">
        <f t="shared" si="77"/>
        <v>2161.9769646634522</v>
      </c>
      <c r="U170" s="17">
        <f t="shared" si="78"/>
        <v>0</v>
      </c>
      <c r="V170" s="17">
        <f t="shared" si="79"/>
        <v>1173.7956798705791</v>
      </c>
      <c r="W170" s="17">
        <f t="shared" si="80"/>
        <v>199790.84457632288</v>
      </c>
      <c r="X170" s="17">
        <f t="shared" si="81"/>
        <v>308262.68959336175</v>
      </c>
      <c r="Y170" s="17">
        <f>IF(MOD(A170,12)=0,W170*'1 - Input'!$B$23,0)</f>
        <v>0</v>
      </c>
      <c r="Z170" s="17">
        <f t="shared" si="82"/>
        <v>199790.84457632288</v>
      </c>
      <c r="AA170" s="17">
        <f>IF(MOD(A170,12)=0,X170*(1-'1 - Input'!$B$23),X170)</f>
        <v>308262.68959336175</v>
      </c>
      <c r="AB170" s="17">
        <f>IF('1 - Input'!$B$17=1,MIN(L170,D170)+T170,L170)</f>
        <v>3291.284933985844</v>
      </c>
      <c r="AC170" s="17">
        <f t="shared" si="116"/>
        <v>377809.95492940734</v>
      </c>
      <c r="AD170" s="17">
        <f t="shared" si="117"/>
        <v>88794.976740790487</v>
      </c>
      <c r="AE170" s="17">
        <f t="shared" si="118"/>
        <v>0</v>
      </c>
      <c r="AF170" s="17">
        <f t="shared" si="119"/>
        <v>44517.507405197583</v>
      </c>
      <c r="AG170" s="17">
        <f t="shared" si="120"/>
        <v>7029.2069942831804</v>
      </c>
      <c r="AH170" s="17">
        <f t="shared" si="121"/>
        <v>0</v>
      </c>
      <c r="AI170" s="15">
        <f t="shared" si="83"/>
        <v>0</v>
      </c>
      <c r="AK170" s="14">
        <v>127</v>
      </c>
      <c r="AL170" s="15">
        <f t="shared" si="84"/>
        <v>11</v>
      </c>
      <c r="AM170" s="16">
        <f>(1+INDEX('1 - Input'!$B$34:$E$63,AL170,'1 - Input'!$B$16))^(1/12)-1</f>
        <v>4.1219243192651689E-3</v>
      </c>
      <c r="AN170" s="17">
        <f>'1 - Input'!$B$7*(1+'1 - Input'!$B$12)^(AL170-1)</f>
        <v>3291.284933985844</v>
      </c>
      <c r="AO170" s="17">
        <f t="shared" si="122"/>
        <v>202643.63167786479</v>
      </c>
      <c r="AP170" s="17">
        <f t="shared" si="123"/>
        <v>311598.46223789576</v>
      </c>
      <c r="AQ170" s="17">
        <f t="shared" si="85"/>
        <v>203478.91339142199</v>
      </c>
      <c r="AR170" s="17">
        <f>IF(AQ170&gt;0,'1 - Input'!$B$8/12*AQ170,0)</f>
        <v>1526.0918504356648</v>
      </c>
      <c r="AS170" s="17">
        <f t="shared" si="86"/>
        <v>201952.82154098633</v>
      </c>
      <c r="AT170" s="17">
        <f t="shared" si="87"/>
        <v>0</v>
      </c>
      <c r="AU170" s="17">
        <f>'1 - Input'!$B$22*(AR170-AT170)</f>
        <v>396.78388111327286</v>
      </c>
      <c r="AV170" s="17">
        <f t="shared" si="88"/>
        <v>1129.307969322392</v>
      </c>
      <c r="AW170" s="17">
        <f t="shared" si="89"/>
        <v>311598.46223789576</v>
      </c>
      <c r="AX170" s="17">
        <f>IF('1 - Input'!$B$17=1,MAX(0,AV170-AN170),0)</f>
        <v>0</v>
      </c>
      <c r="AY170" s="17">
        <f>IF('1 - Input'!$B$17=1,MAX(0,AN170-AV170),0)</f>
        <v>2161.9769646634522</v>
      </c>
      <c r="AZ170" s="17">
        <f t="shared" si="90"/>
        <v>0</v>
      </c>
      <c r="BA170" s="17">
        <f>IF(AND(AY170&gt;0,AS170&gt;0),AY170/(1-'1 - Input'!$B$22*AZ170),0)</f>
        <v>2161.9769646634522</v>
      </c>
      <c r="BB170" s="17">
        <f t="shared" si="91"/>
        <v>2161.9769646634522</v>
      </c>
      <c r="BC170" s="17">
        <f>'1 - Input'!$B$22*AZ170*BB170</f>
        <v>0</v>
      </c>
      <c r="BD170" s="17">
        <f t="shared" si="92"/>
        <v>2161.9769646634522</v>
      </c>
      <c r="BE170" s="17">
        <f t="shared" si="93"/>
        <v>0</v>
      </c>
      <c r="BF170" s="17">
        <f t="shared" si="94"/>
        <v>1173.7956798705791</v>
      </c>
      <c r="BG170" s="17">
        <f t="shared" si="95"/>
        <v>199790.84457632288</v>
      </c>
      <c r="BH170" s="17">
        <f t="shared" si="96"/>
        <v>308262.68959336175</v>
      </c>
      <c r="BI170" s="17">
        <f>IF(MOD(AK170,12)=0,BG170*'1 - Input'!$B$23,0)</f>
        <v>0</v>
      </c>
      <c r="BJ170" s="17">
        <f t="shared" si="97"/>
        <v>199790.84457632288</v>
      </c>
      <c r="BK170" s="17">
        <f>IF(MOD(AK170,12)=0,BH170*(1-'1 - Input'!$B$23),BH170)</f>
        <v>308262.68959336175</v>
      </c>
      <c r="BL170" s="17">
        <f>IF('1 - Input'!$B$17=1,MIN(AV170,AN170)+BD170,AV170)</f>
        <v>3291.284933985844</v>
      </c>
      <c r="BM170" s="17">
        <f t="shared" si="124"/>
        <v>377809.95492940734</v>
      </c>
      <c r="BN170" s="17">
        <f t="shared" si="125"/>
        <v>88794.976740790487</v>
      </c>
      <c r="BO170" s="17">
        <f t="shared" si="126"/>
        <v>0</v>
      </c>
      <c r="BP170" s="17">
        <f t="shared" si="127"/>
        <v>44517.507405197583</v>
      </c>
      <c r="BQ170" s="17">
        <f t="shared" si="128"/>
        <v>7029.2069942831804</v>
      </c>
      <c r="BR170" s="17">
        <f t="shared" si="129"/>
        <v>0</v>
      </c>
      <c r="BS170" s="15">
        <f t="shared" si="98"/>
        <v>0</v>
      </c>
      <c r="BU170" s="14">
        <v>127</v>
      </c>
      <c r="BV170" s="15">
        <f t="shared" si="99"/>
        <v>11</v>
      </c>
      <c r="BW170" s="16">
        <f>(1+INDEX('1 - Input'!$B$34:$E$63,BV170,'1 - Input'!$B$16))^(1/12)-1</f>
        <v>4.1219243192651689E-3</v>
      </c>
      <c r="BX170" s="17">
        <f>'1 - Input'!$B$7*(1+'1 - Input'!$B$12)^(BV170-1)</f>
        <v>3291.284933985844</v>
      </c>
      <c r="BY170" s="17">
        <f t="shared" si="130"/>
        <v>317099.81268458517</v>
      </c>
      <c r="BZ170" s="17">
        <f t="shared" si="131"/>
        <v>115627.46076430794</v>
      </c>
      <c r="CA170" s="17">
        <f t="shared" si="100"/>
        <v>318406.87411412416</v>
      </c>
      <c r="CB170" s="17">
        <f>IF(CA170&gt;0,'1 - Input'!$B$8/12*CA170,0)</f>
        <v>2388.0515558559309</v>
      </c>
      <c r="CC170" s="17">
        <f t="shared" si="101"/>
        <v>316018.82255826821</v>
      </c>
      <c r="CD170" s="17">
        <f t="shared" si="102"/>
        <v>2388.0515558559309</v>
      </c>
      <c r="CE170" s="17">
        <f>'1 - Input'!$B$22*(CB170-CD170)</f>
        <v>0</v>
      </c>
      <c r="CF170" s="17">
        <f t="shared" si="103"/>
        <v>2388.0515558559309</v>
      </c>
      <c r="CG170" s="17">
        <f t="shared" si="104"/>
        <v>113239.40920845201</v>
      </c>
      <c r="CH170" s="17">
        <f>IF('1 - Input'!$B$17=1,MAX(0,CF170-BX170),0)</f>
        <v>0</v>
      </c>
      <c r="CI170" s="17">
        <f>IF('1 - Input'!$B$17=1,MAX(0,BX170-CF170),0)</f>
        <v>903.23337812991304</v>
      </c>
      <c r="CJ170" s="17">
        <f t="shared" si="105"/>
        <v>0.6416687832334016</v>
      </c>
      <c r="CK170" s="17">
        <f>IF(AND(CI170&gt;0,CC170&gt;0),CI170/(1-'1 - Input'!$B$22*CJ170),0)</f>
        <v>1084.0975891779783</v>
      </c>
      <c r="CL170" s="17">
        <f t="shared" si="106"/>
        <v>1084.0975891779783</v>
      </c>
      <c r="CM170" s="17">
        <f>'1 - Input'!$B$22*CJ170*CL170</f>
        <v>180.86421104806533</v>
      </c>
      <c r="CN170" s="17">
        <f t="shared" si="107"/>
        <v>903.23337812991304</v>
      </c>
      <c r="CO170" s="17">
        <f t="shared" si="108"/>
        <v>0</v>
      </c>
      <c r="CP170" s="17">
        <f t="shared" si="109"/>
        <v>0</v>
      </c>
      <c r="CQ170" s="17">
        <f t="shared" si="110"/>
        <v>314934.72496909025</v>
      </c>
      <c r="CR170" s="17">
        <f t="shared" si="111"/>
        <v>112850.94320022812</v>
      </c>
      <c r="CS170" s="17">
        <f>IF(MOD(BU170,12)=0,CQ170*'1 - Input'!$B$23,0)</f>
        <v>0</v>
      </c>
      <c r="CT170" s="17">
        <f t="shared" si="112"/>
        <v>314934.72496909025</v>
      </c>
      <c r="CU170" s="17">
        <f>IF(MOD(BU170,12)=0,CR170*(1-'1 - Input'!$B$23),CR170)</f>
        <v>112850.94320022812</v>
      </c>
      <c r="CV170" s="17">
        <f>IF('1 - Input'!$B$17=1,MIN(CF170,BX170)+CN170,CF170)</f>
        <v>3291.284933985844</v>
      </c>
      <c r="CW170" s="17">
        <f t="shared" si="132"/>
        <v>377809.95492940734</v>
      </c>
      <c r="CX170" s="17">
        <f t="shared" si="133"/>
        <v>0</v>
      </c>
      <c r="CY170" s="17">
        <f t="shared" si="134"/>
        <v>3534.8428056473686</v>
      </c>
      <c r="CZ170" s="17">
        <f t="shared" si="135"/>
        <v>0</v>
      </c>
      <c r="DA170" s="17">
        <f t="shared" si="136"/>
        <v>8277.3364680689538</v>
      </c>
      <c r="DB170" s="17">
        <f t="shared" si="137"/>
        <v>0</v>
      </c>
      <c r="DC170" s="15">
        <f t="shared" si="113"/>
        <v>0</v>
      </c>
    </row>
    <row r="171" spans="1:107">
      <c r="A171" s="14">
        <v>128</v>
      </c>
      <c r="B171" s="15">
        <f t="shared" si="69"/>
        <v>11</v>
      </c>
      <c r="C171" s="16">
        <f>(1+INDEX('1 - Input'!$B$34:$E$63,B171,'1 - Input'!$B$16))^(1/12)-1</f>
        <v>4.1219243192651689E-3</v>
      </c>
      <c r="D171" s="17">
        <f>'1 - Input'!$B$7*(1+'1 - Input'!$B$12)^(B171-1)</f>
        <v>3291.284933985844</v>
      </c>
      <c r="E171" s="17">
        <f t="shared" si="114"/>
        <v>199790.84457632288</v>
      </c>
      <c r="F171" s="17">
        <f t="shared" si="115"/>
        <v>308262.68959336175</v>
      </c>
      <c r="G171" s="17">
        <f t="shared" si="70"/>
        <v>200614.36731734854</v>
      </c>
      <c r="H171" s="17">
        <f>IF(G171&gt;0,'1 - Input'!$B$8/12*G171,0)</f>
        <v>1504.607754880114</v>
      </c>
      <c r="I171" s="17">
        <f t="shared" si="71"/>
        <v>199109.75956246842</v>
      </c>
      <c r="J171" s="17">
        <f t="shared" si="72"/>
        <v>0</v>
      </c>
      <c r="K171" s="17">
        <f>'1 - Input'!$B$22*(H171-J171)</f>
        <v>391.19801626882969</v>
      </c>
      <c r="L171" s="17">
        <f t="shared" si="73"/>
        <v>1113.4097386112844</v>
      </c>
      <c r="M171" s="17">
        <f t="shared" si="74"/>
        <v>308262.68959336175</v>
      </c>
      <c r="N171" s="17">
        <f>IF('1 - Input'!$B$17=1,MAX(0,L171-D171),0)</f>
        <v>0</v>
      </c>
      <c r="O171" s="17">
        <f>IF('1 - Input'!$B$17=1,MAX(0,D171-L171),0)</f>
        <v>2177.8751953745596</v>
      </c>
      <c r="P171" s="17">
        <f t="shared" si="75"/>
        <v>0</v>
      </c>
      <c r="Q171" s="17">
        <f>IF(AND(O171&gt;0,I171&gt;0),O171/(1-'1 - Input'!$B$22*P171),0)</f>
        <v>2177.8751953745596</v>
      </c>
      <c r="R171" s="17">
        <f t="shared" si="76"/>
        <v>2177.8751953745596</v>
      </c>
      <c r="S171" s="17">
        <f>'1 - Input'!$B$22*P171*R171</f>
        <v>0</v>
      </c>
      <c r="T171" s="17">
        <f t="shared" si="77"/>
        <v>2177.8751953745596</v>
      </c>
      <c r="U171" s="17">
        <f t="shared" si="78"/>
        <v>0</v>
      </c>
      <c r="V171" s="17">
        <f t="shared" si="79"/>
        <v>1193.9216808815193</v>
      </c>
      <c r="W171" s="17">
        <f t="shared" si="80"/>
        <v>196931.88436709385</v>
      </c>
      <c r="X171" s="17">
        <f t="shared" si="81"/>
        <v>304890.89271710569</v>
      </c>
      <c r="Y171" s="17">
        <f>IF(MOD(A171,12)=0,W171*'1 - Input'!$B$23,0)</f>
        <v>0</v>
      </c>
      <c r="Z171" s="17">
        <f t="shared" si="82"/>
        <v>196931.88436709385</v>
      </c>
      <c r="AA171" s="17">
        <f>IF(MOD(A171,12)=0,X171*(1-'1 - Input'!$B$23),X171)</f>
        <v>304890.89271710569</v>
      </c>
      <c r="AB171" s="17">
        <f>IF('1 - Input'!$B$17=1,MIN(L171,D171)+T171,L171)</f>
        <v>3291.284933985844</v>
      </c>
      <c r="AC171" s="17">
        <f t="shared" si="116"/>
        <v>381101.23986339319</v>
      </c>
      <c r="AD171" s="17">
        <f t="shared" si="117"/>
        <v>89186.174757059314</v>
      </c>
      <c r="AE171" s="17">
        <f t="shared" si="118"/>
        <v>0</v>
      </c>
      <c r="AF171" s="17">
        <f t="shared" si="119"/>
        <v>45711.429086079101</v>
      </c>
      <c r="AG171" s="17">
        <f t="shared" si="120"/>
        <v>7029.2069942831804</v>
      </c>
      <c r="AH171" s="17">
        <f t="shared" si="121"/>
        <v>0</v>
      </c>
      <c r="AI171" s="15">
        <f t="shared" si="83"/>
        <v>0</v>
      </c>
      <c r="AK171" s="14">
        <v>128</v>
      </c>
      <c r="AL171" s="15">
        <f t="shared" si="84"/>
        <v>11</v>
      </c>
      <c r="AM171" s="16">
        <f>(1+INDEX('1 - Input'!$B$34:$E$63,AL171,'1 - Input'!$B$16))^(1/12)-1</f>
        <v>4.1219243192651689E-3</v>
      </c>
      <c r="AN171" s="17">
        <f>'1 - Input'!$B$7*(1+'1 - Input'!$B$12)^(AL171-1)</f>
        <v>3291.284933985844</v>
      </c>
      <c r="AO171" s="17">
        <f t="shared" si="122"/>
        <v>199790.84457632288</v>
      </c>
      <c r="AP171" s="17">
        <f t="shared" si="123"/>
        <v>308262.68959336175</v>
      </c>
      <c r="AQ171" s="17">
        <f t="shared" si="85"/>
        <v>200614.36731734854</v>
      </c>
      <c r="AR171" s="17">
        <f>IF(AQ171&gt;0,'1 - Input'!$B$8/12*AQ171,0)</f>
        <v>1504.607754880114</v>
      </c>
      <c r="AS171" s="17">
        <f t="shared" si="86"/>
        <v>199109.75956246842</v>
      </c>
      <c r="AT171" s="17">
        <f t="shared" si="87"/>
        <v>0</v>
      </c>
      <c r="AU171" s="17">
        <f>'1 - Input'!$B$22*(AR171-AT171)</f>
        <v>391.19801626882969</v>
      </c>
      <c r="AV171" s="17">
        <f t="shared" si="88"/>
        <v>1113.4097386112844</v>
      </c>
      <c r="AW171" s="17">
        <f t="shared" si="89"/>
        <v>308262.68959336175</v>
      </c>
      <c r="AX171" s="17">
        <f>IF('1 - Input'!$B$17=1,MAX(0,AV171-AN171),0)</f>
        <v>0</v>
      </c>
      <c r="AY171" s="17">
        <f>IF('1 - Input'!$B$17=1,MAX(0,AN171-AV171),0)</f>
        <v>2177.8751953745596</v>
      </c>
      <c r="AZ171" s="17">
        <f t="shared" si="90"/>
        <v>0</v>
      </c>
      <c r="BA171" s="17">
        <f>IF(AND(AY171&gt;0,AS171&gt;0),AY171/(1-'1 - Input'!$B$22*AZ171),0)</f>
        <v>2177.8751953745596</v>
      </c>
      <c r="BB171" s="17">
        <f t="shared" si="91"/>
        <v>2177.8751953745596</v>
      </c>
      <c r="BC171" s="17">
        <f>'1 - Input'!$B$22*AZ171*BB171</f>
        <v>0</v>
      </c>
      <c r="BD171" s="17">
        <f t="shared" si="92"/>
        <v>2177.8751953745596</v>
      </c>
      <c r="BE171" s="17">
        <f t="shared" si="93"/>
        <v>0</v>
      </c>
      <c r="BF171" s="17">
        <f t="shared" si="94"/>
        <v>1193.9216808815193</v>
      </c>
      <c r="BG171" s="17">
        <f t="shared" si="95"/>
        <v>196931.88436709385</v>
      </c>
      <c r="BH171" s="17">
        <f t="shared" si="96"/>
        <v>304890.89271710569</v>
      </c>
      <c r="BI171" s="17">
        <f>IF(MOD(AK171,12)=0,BG171*'1 - Input'!$B$23,0)</f>
        <v>0</v>
      </c>
      <c r="BJ171" s="17">
        <f t="shared" si="97"/>
        <v>196931.88436709385</v>
      </c>
      <c r="BK171" s="17">
        <f>IF(MOD(AK171,12)=0,BH171*(1-'1 - Input'!$B$23),BH171)</f>
        <v>304890.89271710569</v>
      </c>
      <c r="BL171" s="17">
        <f>IF('1 - Input'!$B$17=1,MIN(AV171,AN171)+BD171,AV171)</f>
        <v>3291.284933985844</v>
      </c>
      <c r="BM171" s="17">
        <f t="shared" si="124"/>
        <v>381101.23986339319</v>
      </c>
      <c r="BN171" s="17">
        <f t="shared" si="125"/>
        <v>89186.174757059314</v>
      </c>
      <c r="BO171" s="17">
        <f t="shared" si="126"/>
        <v>0</v>
      </c>
      <c r="BP171" s="17">
        <f t="shared" si="127"/>
        <v>45711.429086079101</v>
      </c>
      <c r="BQ171" s="17">
        <f t="shared" si="128"/>
        <v>7029.2069942831804</v>
      </c>
      <c r="BR171" s="17">
        <f t="shared" si="129"/>
        <v>0</v>
      </c>
      <c r="BS171" s="15">
        <f t="shared" si="98"/>
        <v>0</v>
      </c>
      <c r="BU171" s="14">
        <v>128</v>
      </c>
      <c r="BV171" s="15">
        <f t="shared" si="99"/>
        <v>11</v>
      </c>
      <c r="BW171" s="16">
        <f>(1+INDEX('1 - Input'!$B$34:$E$63,BV171,'1 - Input'!$B$16))^(1/12)-1</f>
        <v>4.1219243192651689E-3</v>
      </c>
      <c r="BX171" s="17">
        <f>'1 - Input'!$B$7*(1+'1 - Input'!$B$12)^(BV171-1)</f>
        <v>3291.284933985844</v>
      </c>
      <c r="BY171" s="17">
        <f t="shared" si="130"/>
        <v>314934.72496909025</v>
      </c>
      <c r="BZ171" s="17">
        <f t="shared" si="131"/>
        <v>112850.94320022812</v>
      </c>
      <c r="CA171" s="17">
        <f t="shared" si="100"/>
        <v>316232.86207092146</v>
      </c>
      <c r="CB171" s="17">
        <f>IF(CA171&gt;0,'1 - Input'!$B$8/12*CA171,0)</f>
        <v>2371.7464655319109</v>
      </c>
      <c r="CC171" s="17">
        <f t="shared" si="101"/>
        <v>313861.11560538952</v>
      </c>
      <c r="CD171" s="17">
        <f t="shared" si="102"/>
        <v>2371.7464655319109</v>
      </c>
      <c r="CE171" s="17">
        <f>'1 - Input'!$B$22*(CB171-CD171)</f>
        <v>0</v>
      </c>
      <c r="CF171" s="17">
        <f t="shared" si="103"/>
        <v>2371.7464655319109</v>
      </c>
      <c r="CG171" s="17">
        <f t="shared" si="104"/>
        <v>110479.19673469622</v>
      </c>
      <c r="CH171" s="17">
        <f>IF('1 - Input'!$B$17=1,MAX(0,CF171-BX171),0)</f>
        <v>0</v>
      </c>
      <c r="CI171" s="17">
        <f>IF('1 - Input'!$B$17=1,MAX(0,BX171-CF171),0)</f>
        <v>919.53846845393309</v>
      </c>
      <c r="CJ171" s="17">
        <f t="shared" si="105"/>
        <v>0.6479997322331601</v>
      </c>
      <c r="CK171" s="17">
        <f>IF(AND(CI171&gt;0,CC171&gt;0),CI171/(1-'1 - Input'!$B$22*CJ171),0)</f>
        <v>1105.8524045906004</v>
      </c>
      <c r="CL171" s="17">
        <f t="shared" si="106"/>
        <v>1105.8524045906004</v>
      </c>
      <c r="CM171" s="17">
        <f>'1 - Input'!$B$22*CJ171*CL171</f>
        <v>186.31393613666737</v>
      </c>
      <c r="CN171" s="17">
        <f t="shared" si="107"/>
        <v>919.53846845393298</v>
      </c>
      <c r="CO171" s="17">
        <f t="shared" si="108"/>
        <v>0</v>
      </c>
      <c r="CP171" s="17">
        <f t="shared" si="109"/>
        <v>0</v>
      </c>
      <c r="CQ171" s="17">
        <f t="shared" si="110"/>
        <v>312755.26320079895</v>
      </c>
      <c r="CR171" s="17">
        <f t="shared" si="111"/>
        <v>110089.93639216972</v>
      </c>
      <c r="CS171" s="17">
        <f>IF(MOD(BU171,12)=0,CQ171*'1 - Input'!$B$23,0)</f>
        <v>0</v>
      </c>
      <c r="CT171" s="17">
        <f t="shared" si="112"/>
        <v>312755.26320079895</v>
      </c>
      <c r="CU171" s="17">
        <f>IF(MOD(BU171,12)=0,CR171*(1-'1 - Input'!$B$23),CR171)</f>
        <v>110089.93639216972</v>
      </c>
      <c r="CV171" s="17">
        <f>IF('1 - Input'!$B$17=1,MIN(CF171,BX171)+CN171,CF171)</f>
        <v>3291.284933985844</v>
      </c>
      <c r="CW171" s="17">
        <f t="shared" si="132"/>
        <v>381101.23986339319</v>
      </c>
      <c r="CX171" s="17">
        <f t="shared" si="133"/>
        <v>0</v>
      </c>
      <c r="CY171" s="17">
        <f t="shared" si="134"/>
        <v>3721.1567417840361</v>
      </c>
      <c r="CZ171" s="17">
        <f t="shared" si="135"/>
        <v>0</v>
      </c>
      <c r="DA171" s="17">
        <f t="shared" si="136"/>
        <v>8277.3364680689538</v>
      </c>
      <c r="DB171" s="17">
        <f t="shared" si="137"/>
        <v>0</v>
      </c>
      <c r="DC171" s="15">
        <f t="shared" si="113"/>
        <v>0</v>
      </c>
    </row>
    <row r="172" spans="1:107">
      <c r="A172" s="14">
        <v>129</v>
      </c>
      <c r="B172" s="15">
        <f t="shared" ref="B172:B235" si="138">ROUNDUP(A172/12,0)</f>
        <v>11</v>
      </c>
      <c r="C172" s="16">
        <f>(1+INDEX('1 - Input'!$B$34:$E$63,B172,'1 - Input'!$B$16))^(1/12)-1</f>
        <v>4.1219243192651689E-3</v>
      </c>
      <c r="D172" s="17">
        <f>'1 - Input'!$B$7*(1+'1 - Input'!$B$12)^(B172-1)</f>
        <v>3291.284933985844</v>
      </c>
      <c r="E172" s="17">
        <f t="shared" si="114"/>
        <v>196931.88436709385</v>
      </c>
      <c r="F172" s="17">
        <f t="shared" si="115"/>
        <v>304890.89271710569</v>
      </c>
      <c r="G172" s="17">
        <f t="shared" ref="G172:G235" si="139">E172*(1+C172)</f>
        <v>197743.62269050529</v>
      </c>
      <c r="H172" s="17">
        <f>IF(G172&gt;0,'1 - Input'!$B$8/12*G172,0)</f>
        <v>1483.0771701787896</v>
      </c>
      <c r="I172" s="17">
        <f t="shared" ref="I172:I235" si="140">G172-H172</f>
        <v>196260.5455203265</v>
      </c>
      <c r="J172" s="17">
        <f t="shared" ref="J172:J235" si="141">MIN($B$41*H172,F172)</f>
        <v>0</v>
      </c>
      <c r="K172" s="17">
        <f>'1 - Input'!$B$22*(H172-J172)</f>
        <v>385.60006424648532</v>
      </c>
      <c r="L172" s="17">
        <f t="shared" ref="L172:L235" si="142">H172-K172</f>
        <v>1097.4771059323043</v>
      </c>
      <c r="M172" s="17">
        <f t="shared" ref="M172:M235" si="143">F172-J172</f>
        <v>304890.89271710569</v>
      </c>
      <c r="N172" s="17">
        <f>IF('1 - Input'!$B$17=1,MAX(0,L172-D172),0)</f>
        <v>0</v>
      </c>
      <c r="O172" s="17">
        <f>IF('1 - Input'!$B$17=1,MAX(0,D172-L172),0)</f>
        <v>2193.8078280535397</v>
      </c>
      <c r="P172" s="17">
        <f t="shared" ref="P172:P235" si="144">IF(I172&gt;0,MAX(0,1-M172/I172),0)</f>
        <v>0</v>
      </c>
      <c r="Q172" s="17">
        <f>IF(AND(O172&gt;0,I172&gt;0),O172/(1-'1 - Input'!$B$22*P172),0)</f>
        <v>2193.8078280535397</v>
      </c>
      <c r="R172" s="17">
        <f t="shared" ref="R172:R235" si="145">MIN(Q172,I172)</f>
        <v>2193.8078280535397</v>
      </c>
      <c r="S172" s="17">
        <f>'1 - Input'!$B$22*P172*R172</f>
        <v>0</v>
      </c>
      <c r="T172" s="17">
        <f t="shared" ref="T172:T235" si="146">R172-S172</f>
        <v>2193.8078280535397</v>
      </c>
      <c r="U172" s="17">
        <f t="shared" ref="U172:U235" si="147">O172-T172</f>
        <v>0</v>
      </c>
      <c r="V172" s="17">
        <f t="shared" ref="V172:V235" si="148">IF(I172&gt;0,R172*MAX(0,M172/I172-1),0)</f>
        <v>1214.2741446715595</v>
      </c>
      <c r="W172" s="17">
        <f t="shared" ref="W172:W235" si="149">I172-R172+N172</f>
        <v>194066.73769227296</v>
      </c>
      <c r="X172" s="17">
        <f t="shared" ref="X172:X235" si="150">IF(R172&gt;0,M172*(1-R172/I172),M172)+N172</f>
        <v>301482.81074438058</v>
      </c>
      <c r="Y172" s="17">
        <f>IF(MOD(A172,12)=0,W172*'1 - Input'!$B$23,0)</f>
        <v>0</v>
      </c>
      <c r="Z172" s="17">
        <f t="shared" ref="Z172:Z235" si="151">W172-Y172</f>
        <v>194066.73769227296</v>
      </c>
      <c r="AA172" s="17">
        <f>IF(MOD(A172,12)=0,X172*(1-'1 - Input'!$B$23),X172)</f>
        <v>301482.81074438058</v>
      </c>
      <c r="AB172" s="17">
        <f>IF('1 - Input'!$B$17=1,MIN(L172,D172)+T172,L172)</f>
        <v>3291.284933985844</v>
      </c>
      <c r="AC172" s="17">
        <f t="shared" si="116"/>
        <v>384392.52479737904</v>
      </c>
      <c r="AD172" s="17">
        <f t="shared" si="117"/>
        <v>89571.774821305793</v>
      </c>
      <c r="AE172" s="17">
        <f t="shared" si="118"/>
        <v>0</v>
      </c>
      <c r="AF172" s="17">
        <f t="shared" si="119"/>
        <v>46925.70323075066</v>
      </c>
      <c r="AG172" s="17">
        <f t="shared" si="120"/>
        <v>7029.2069942831804</v>
      </c>
      <c r="AH172" s="17">
        <f t="shared" si="121"/>
        <v>0</v>
      </c>
      <c r="AI172" s="15">
        <f t="shared" ref="AI172:AI235" si="152">IF(W172&lt;=0.000001,1,0)</f>
        <v>0</v>
      </c>
      <c r="AK172" s="14">
        <v>129</v>
      </c>
      <c r="AL172" s="15">
        <f t="shared" ref="AL172:AL235" si="153">ROUNDUP(AK172/12,0)</f>
        <v>11</v>
      </c>
      <c r="AM172" s="16">
        <f>(1+INDEX('1 - Input'!$B$34:$E$63,AL172,'1 - Input'!$B$16))^(1/12)-1</f>
        <v>4.1219243192651689E-3</v>
      </c>
      <c r="AN172" s="17">
        <f>'1 - Input'!$B$7*(1+'1 - Input'!$B$12)^(AL172-1)</f>
        <v>3291.284933985844</v>
      </c>
      <c r="AO172" s="17">
        <f t="shared" si="122"/>
        <v>196931.88436709385</v>
      </c>
      <c r="AP172" s="17">
        <f t="shared" si="123"/>
        <v>304890.89271710569</v>
      </c>
      <c r="AQ172" s="17">
        <f t="shared" ref="AQ172:AQ235" si="154">AO172*(1+AM172)</f>
        <v>197743.62269050529</v>
      </c>
      <c r="AR172" s="17">
        <f>IF(AQ172&gt;0,'1 - Input'!$B$8/12*AQ172,0)</f>
        <v>1483.0771701787896</v>
      </c>
      <c r="AS172" s="17">
        <f t="shared" ref="AS172:AS235" si="155">AQ172-AR172</f>
        <v>196260.5455203265</v>
      </c>
      <c r="AT172" s="17">
        <f t="shared" ref="AT172:AT235" si="156">MIN($AL$41*AR172,AP172)</f>
        <v>0</v>
      </c>
      <c r="AU172" s="17">
        <f>'1 - Input'!$B$22*(AR172-AT172)</f>
        <v>385.60006424648532</v>
      </c>
      <c r="AV172" s="17">
        <f t="shared" ref="AV172:AV235" si="157">AR172-AU172</f>
        <v>1097.4771059323043</v>
      </c>
      <c r="AW172" s="17">
        <f t="shared" ref="AW172:AW235" si="158">AP172-AT172</f>
        <v>304890.89271710569</v>
      </c>
      <c r="AX172" s="17">
        <f>IF('1 - Input'!$B$17=1,MAX(0,AV172-AN172),0)</f>
        <v>0</v>
      </c>
      <c r="AY172" s="17">
        <f>IF('1 - Input'!$B$17=1,MAX(0,AN172-AV172),0)</f>
        <v>2193.8078280535397</v>
      </c>
      <c r="AZ172" s="17">
        <f t="shared" ref="AZ172:AZ235" si="159">IF(AS172&gt;0,MAX(0,1-AW172/AS172),0)</f>
        <v>0</v>
      </c>
      <c r="BA172" s="17">
        <f>IF(AND(AY172&gt;0,AS172&gt;0),AY172/(1-'1 - Input'!$B$22*AZ172),0)</f>
        <v>2193.8078280535397</v>
      </c>
      <c r="BB172" s="17">
        <f t="shared" ref="BB172:BB235" si="160">MIN(BA172,AS172)</f>
        <v>2193.8078280535397</v>
      </c>
      <c r="BC172" s="17">
        <f>'1 - Input'!$B$22*AZ172*BB172</f>
        <v>0</v>
      </c>
      <c r="BD172" s="17">
        <f t="shared" ref="BD172:BD235" si="161">BB172-BC172</f>
        <v>2193.8078280535397</v>
      </c>
      <c r="BE172" s="17">
        <f t="shared" ref="BE172:BE235" si="162">AY172-BD172</f>
        <v>0</v>
      </c>
      <c r="BF172" s="17">
        <f t="shared" ref="BF172:BF235" si="163">IF(AS172&gt;0,BB172*MAX(0,AW172/AS172-1),0)</f>
        <v>1214.2741446715595</v>
      </c>
      <c r="BG172" s="17">
        <f t="shared" ref="BG172:BG235" si="164">AS172-BB172+AX172</f>
        <v>194066.73769227296</v>
      </c>
      <c r="BH172" s="17">
        <f t="shared" ref="BH172:BH235" si="165">IF(BB172&gt;0,AW172*(1-BB172/AS172),AW172)+AX172</f>
        <v>301482.81074438058</v>
      </c>
      <c r="BI172" s="17">
        <f>IF(MOD(AK172,12)=0,BG172*'1 - Input'!$B$23,0)</f>
        <v>0</v>
      </c>
      <c r="BJ172" s="17">
        <f t="shared" ref="BJ172:BJ235" si="166">BG172-BI172</f>
        <v>194066.73769227296</v>
      </c>
      <c r="BK172" s="17">
        <f>IF(MOD(AK172,12)=0,BH172*(1-'1 - Input'!$B$23),BH172)</f>
        <v>301482.81074438058</v>
      </c>
      <c r="BL172" s="17">
        <f>IF('1 - Input'!$B$17=1,MIN(AV172,AN172)+BD172,AV172)</f>
        <v>3291.284933985844</v>
      </c>
      <c r="BM172" s="17">
        <f t="shared" si="124"/>
        <v>384392.52479737904</v>
      </c>
      <c r="BN172" s="17">
        <f t="shared" si="125"/>
        <v>89571.774821305793</v>
      </c>
      <c r="BO172" s="17">
        <f t="shared" si="126"/>
        <v>0</v>
      </c>
      <c r="BP172" s="17">
        <f t="shared" si="127"/>
        <v>46925.70323075066</v>
      </c>
      <c r="BQ172" s="17">
        <f t="shared" si="128"/>
        <v>7029.2069942831804</v>
      </c>
      <c r="BR172" s="17">
        <f t="shared" si="129"/>
        <v>0</v>
      </c>
      <c r="BS172" s="15">
        <f t="shared" ref="BS172:BS235" si="167">IF(BG172&lt;=0.000001,1,0)</f>
        <v>0</v>
      </c>
      <c r="BU172" s="14">
        <v>129</v>
      </c>
      <c r="BV172" s="15">
        <f t="shared" ref="BV172:BV235" si="168">ROUNDUP(BU172/12,0)</f>
        <v>11</v>
      </c>
      <c r="BW172" s="16">
        <f>(1+INDEX('1 - Input'!$B$34:$E$63,BV172,'1 - Input'!$B$16))^(1/12)-1</f>
        <v>4.1219243192651689E-3</v>
      </c>
      <c r="BX172" s="17">
        <f>'1 - Input'!$B$7*(1+'1 - Input'!$B$12)^(BV172-1)</f>
        <v>3291.284933985844</v>
      </c>
      <c r="BY172" s="17">
        <f t="shared" si="130"/>
        <v>312755.26320079895</v>
      </c>
      <c r="BZ172" s="17">
        <f t="shared" si="131"/>
        <v>110089.93639216972</v>
      </c>
      <c r="CA172" s="17">
        <f t="shared" ref="CA172:CA235" si="169">BY172*(1+BW172)</f>
        <v>314044.41672616452</v>
      </c>
      <c r="CB172" s="17">
        <f>IF(CA172&gt;0,'1 - Input'!$B$8/12*CA172,0)</f>
        <v>2355.3331254462337</v>
      </c>
      <c r="CC172" s="17">
        <f t="shared" ref="CC172:CC235" si="170">CA172-CB172</f>
        <v>311689.0836007183</v>
      </c>
      <c r="CD172" s="17">
        <f t="shared" ref="CD172:CD235" si="171">MIN($BV$41*CB172,BZ172)</f>
        <v>2355.3331254462337</v>
      </c>
      <c r="CE172" s="17">
        <f>'1 - Input'!$B$22*(CB172-CD172)</f>
        <v>0</v>
      </c>
      <c r="CF172" s="17">
        <f t="shared" ref="CF172:CF235" si="172">CB172-CE172</f>
        <v>2355.3331254462337</v>
      </c>
      <c r="CG172" s="17">
        <f t="shared" ref="CG172:CG235" si="173">BZ172-CD172</f>
        <v>107734.60326672348</v>
      </c>
      <c r="CH172" s="17">
        <f>IF('1 - Input'!$B$17=1,MAX(0,CF172-BX172),0)</f>
        <v>0</v>
      </c>
      <c r="CI172" s="17">
        <f>IF('1 - Input'!$B$17=1,MAX(0,BX172-CF172),0)</f>
        <v>935.95180853961028</v>
      </c>
      <c r="CJ172" s="17">
        <f t="shared" ref="CJ172:CJ235" si="174">IF(CC172&gt;0,MAX(0,1-CG172/CC172),0)</f>
        <v>0.65435233720044472</v>
      </c>
      <c r="CK172" s="17">
        <f>IF(AND(CI172&gt;0,CC172&gt;0),CI172/(1-'1 - Input'!$B$22*CJ172),0)</f>
        <v>1127.8316142565072</v>
      </c>
      <c r="CL172" s="17">
        <f t="shared" ref="CL172:CL235" si="175">MIN(CK172,CC172)</f>
        <v>1127.8316142565072</v>
      </c>
      <c r="CM172" s="17">
        <f>'1 - Input'!$B$22*CJ172*CL172</f>
        <v>191.87980571689695</v>
      </c>
      <c r="CN172" s="17">
        <f t="shared" ref="CN172:CN235" si="176">CL172-CM172</f>
        <v>935.95180853961028</v>
      </c>
      <c r="CO172" s="17">
        <f t="shared" ref="CO172:CO235" si="177">CI172-CN172</f>
        <v>0</v>
      </c>
      <c r="CP172" s="17">
        <f t="shared" ref="CP172:CP235" si="178">IF(CC172&gt;0,CL172*MAX(0,CG172/CC172-1),0)</f>
        <v>0</v>
      </c>
      <c r="CQ172" s="17">
        <f t="shared" ref="CQ172:CQ235" si="179">CC172-CL172+CH172</f>
        <v>310561.25198646181</v>
      </c>
      <c r="CR172" s="17">
        <f t="shared" ref="CR172:CR235" si="180">IF(CL172&gt;0,CG172*(1-CL172/CC172),CG172)+CH172</f>
        <v>107344.77090522427</v>
      </c>
      <c r="CS172" s="17">
        <f>IF(MOD(BU172,12)=0,CQ172*'1 - Input'!$B$23,0)</f>
        <v>0</v>
      </c>
      <c r="CT172" s="17">
        <f t="shared" ref="CT172:CT235" si="181">CQ172-CS172</f>
        <v>310561.25198646181</v>
      </c>
      <c r="CU172" s="17">
        <f>IF(MOD(BU172,12)=0,CR172*(1-'1 - Input'!$B$23),CR172)</f>
        <v>107344.77090522427</v>
      </c>
      <c r="CV172" s="17">
        <f>IF('1 - Input'!$B$17=1,MIN(CF172,BX172)+CN172,CF172)</f>
        <v>3291.284933985844</v>
      </c>
      <c r="CW172" s="17">
        <f t="shared" si="132"/>
        <v>384392.52479737904</v>
      </c>
      <c r="CX172" s="17">
        <f t="shared" si="133"/>
        <v>0</v>
      </c>
      <c r="CY172" s="17">
        <f t="shared" si="134"/>
        <v>3913.036547500933</v>
      </c>
      <c r="CZ172" s="17">
        <f t="shared" si="135"/>
        <v>0</v>
      </c>
      <c r="DA172" s="17">
        <f t="shared" si="136"/>
        <v>8277.3364680689538</v>
      </c>
      <c r="DB172" s="17">
        <f t="shared" si="137"/>
        <v>0</v>
      </c>
      <c r="DC172" s="15">
        <f t="shared" ref="DC172:DC235" si="182">IF(CQ172&lt;=0.000001,1,0)</f>
        <v>0</v>
      </c>
    </row>
    <row r="173" spans="1:107">
      <c r="A173" s="14">
        <v>130</v>
      </c>
      <c r="B173" s="15">
        <f t="shared" si="138"/>
        <v>11</v>
      </c>
      <c r="C173" s="16">
        <f>(1+INDEX('1 - Input'!$B$34:$E$63,B173,'1 - Input'!$B$16))^(1/12)-1</f>
        <v>4.1219243192651689E-3</v>
      </c>
      <c r="D173" s="17">
        <f>'1 - Input'!$B$7*(1+'1 - Input'!$B$12)^(B173-1)</f>
        <v>3291.284933985844</v>
      </c>
      <c r="E173" s="17">
        <f t="shared" ref="E173:E236" si="183">Z172</f>
        <v>194066.73769227296</v>
      </c>
      <c r="F173" s="17">
        <f t="shared" ref="F173:F236" si="184">AA172</f>
        <v>301482.81074438058</v>
      </c>
      <c r="G173" s="17">
        <f t="shared" si="139"/>
        <v>194866.6660979272</v>
      </c>
      <c r="H173" s="17">
        <f>IF(G173&gt;0,'1 - Input'!$B$8/12*G173,0)</f>
        <v>1461.4999957344539</v>
      </c>
      <c r="I173" s="17">
        <f t="shared" si="140"/>
        <v>193405.16610219274</v>
      </c>
      <c r="J173" s="17">
        <f t="shared" si="141"/>
        <v>0</v>
      </c>
      <c r="K173" s="17">
        <f>'1 - Input'!$B$22*(H173-J173)</f>
        <v>379.98999889095802</v>
      </c>
      <c r="L173" s="17">
        <f t="shared" si="142"/>
        <v>1081.5099968434959</v>
      </c>
      <c r="M173" s="17">
        <f t="shared" si="143"/>
        <v>301482.81074438058</v>
      </c>
      <c r="N173" s="17">
        <f>IF('1 - Input'!$B$17=1,MAX(0,L173-D173),0)</f>
        <v>0</v>
      </c>
      <c r="O173" s="17">
        <f>IF('1 - Input'!$B$17=1,MAX(0,D173-L173),0)</f>
        <v>2209.7749371423479</v>
      </c>
      <c r="P173" s="17">
        <f t="shared" si="144"/>
        <v>0</v>
      </c>
      <c r="Q173" s="17">
        <f>IF(AND(O173&gt;0,I173&gt;0),O173/(1-'1 - Input'!$B$22*P173),0)</f>
        <v>2209.7749371423479</v>
      </c>
      <c r="R173" s="17">
        <f t="shared" si="145"/>
        <v>2209.7749371423479</v>
      </c>
      <c r="S173" s="17">
        <f>'1 - Input'!$B$22*P173*R173</f>
        <v>0</v>
      </c>
      <c r="T173" s="17">
        <f t="shared" si="146"/>
        <v>2209.7749371423479</v>
      </c>
      <c r="U173" s="17">
        <f t="shared" si="147"/>
        <v>0</v>
      </c>
      <c r="V173" s="17">
        <f t="shared" si="148"/>
        <v>1234.8546587917433</v>
      </c>
      <c r="W173" s="17">
        <f t="shared" si="149"/>
        <v>191195.39116505039</v>
      </c>
      <c r="X173" s="17">
        <f t="shared" si="150"/>
        <v>298038.18114844651</v>
      </c>
      <c r="Y173" s="17">
        <f>IF(MOD(A173,12)=0,W173*'1 - Input'!$B$23,0)</f>
        <v>0</v>
      </c>
      <c r="Z173" s="17">
        <f t="shared" si="151"/>
        <v>191195.39116505039</v>
      </c>
      <c r="AA173" s="17">
        <f>IF(MOD(A173,12)=0,X173*(1-'1 - Input'!$B$23),X173)</f>
        <v>298038.18114844651</v>
      </c>
      <c r="AB173" s="17">
        <f>IF('1 - Input'!$B$17=1,MIN(L173,D173)+T173,L173)</f>
        <v>3291.284933985844</v>
      </c>
      <c r="AC173" s="17">
        <f t="shared" ref="AC173:AC236" si="185">AC172+AB173</f>
        <v>387683.80973136489</v>
      </c>
      <c r="AD173" s="17">
        <f t="shared" ref="AD173:AD236" si="186">AD172+K173</f>
        <v>89951.764820196753</v>
      </c>
      <c r="AE173" s="17">
        <f t="shared" ref="AE173:AE236" si="187">AE172+S173</f>
        <v>0</v>
      </c>
      <c r="AF173" s="17">
        <f t="shared" ref="AF173:AF236" si="188">AF172+V173</f>
        <v>48160.557889542404</v>
      </c>
      <c r="AG173" s="17">
        <f t="shared" ref="AG173:AG236" si="189">AG172+Y173</f>
        <v>7029.2069942831804</v>
      </c>
      <c r="AH173" s="17">
        <f t="shared" ref="AH173:AH236" si="190">AH172+U173</f>
        <v>0</v>
      </c>
      <c r="AI173" s="15">
        <f t="shared" si="152"/>
        <v>0</v>
      </c>
      <c r="AK173" s="14">
        <v>130</v>
      </c>
      <c r="AL173" s="15">
        <f t="shared" si="153"/>
        <v>11</v>
      </c>
      <c r="AM173" s="16">
        <f>(1+INDEX('1 - Input'!$B$34:$E$63,AL173,'1 - Input'!$B$16))^(1/12)-1</f>
        <v>4.1219243192651689E-3</v>
      </c>
      <c r="AN173" s="17">
        <f>'1 - Input'!$B$7*(1+'1 - Input'!$B$12)^(AL173-1)</f>
        <v>3291.284933985844</v>
      </c>
      <c r="AO173" s="17">
        <f t="shared" ref="AO173:AO236" si="191">BJ172</f>
        <v>194066.73769227296</v>
      </c>
      <c r="AP173" s="17">
        <f t="shared" ref="AP173:AP236" si="192">BK172</f>
        <v>301482.81074438058</v>
      </c>
      <c r="AQ173" s="17">
        <f t="shared" si="154"/>
        <v>194866.6660979272</v>
      </c>
      <c r="AR173" s="17">
        <f>IF(AQ173&gt;0,'1 - Input'!$B$8/12*AQ173,0)</f>
        <v>1461.4999957344539</v>
      </c>
      <c r="AS173" s="17">
        <f t="shared" si="155"/>
        <v>193405.16610219274</v>
      </c>
      <c r="AT173" s="17">
        <f t="shared" si="156"/>
        <v>0</v>
      </c>
      <c r="AU173" s="17">
        <f>'1 - Input'!$B$22*(AR173-AT173)</f>
        <v>379.98999889095802</v>
      </c>
      <c r="AV173" s="17">
        <f t="shared" si="157"/>
        <v>1081.5099968434959</v>
      </c>
      <c r="AW173" s="17">
        <f t="shared" si="158"/>
        <v>301482.81074438058</v>
      </c>
      <c r="AX173" s="17">
        <f>IF('1 - Input'!$B$17=1,MAX(0,AV173-AN173),0)</f>
        <v>0</v>
      </c>
      <c r="AY173" s="17">
        <f>IF('1 - Input'!$B$17=1,MAX(0,AN173-AV173),0)</f>
        <v>2209.7749371423479</v>
      </c>
      <c r="AZ173" s="17">
        <f t="shared" si="159"/>
        <v>0</v>
      </c>
      <c r="BA173" s="17">
        <f>IF(AND(AY173&gt;0,AS173&gt;0),AY173/(1-'1 - Input'!$B$22*AZ173),0)</f>
        <v>2209.7749371423479</v>
      </c>
      <c r="BB173" s="17">
        <f t="shared" si="160"/>
        <v>2209.7749371423479</v>
      </c>
      <c r="BC173" s="17">
        <f>'1 - Input'!$B$22*AZ173*BB173</f>
        <v>0</v>
      </c>
      <c r="BD173" s="17">
        <f t="shared" si="161"/>
        <v>2209.7749371423479</v>
      </c>
      <c r="BE173" s="17">
        <f t="shared" si="162"/>
        <v>0</v>
      </c>
      <c r="BF173" s="17">
        <f t="shared" si="163"/>
        <v>1234.8546587917433</v>
      </c>
      <c r="BG173" s="17">
        <f t="shared" si="164"/>
        <v>191195.39116505039</v>
      </c>
      <c r="BH173" s="17">
        <f t="shared" si="165"/>
        <v>298038.18114844651</v>
      </c>
      <c r="BI173" s="17">
        <f>IF(MOD(AK173,12)=0,BG173*'1 - Input'!$B$23,0)</f>
        <v>0</v>
      </c>
      <c r="BJ173" s="17">
        <f t="shared" si="166"/>
        <v>191195.39116505039</v>
      </c>
      <c r="BK173" s="17">
        <f>IF(MOD(AK173,12)=0,BH173*(1-'1 - Input'!$B$23),BH173)</f>
        <v>298038.18114844651</v>
      </c>
      <c r="BL173" s="17">
        <f>IF('1 - Input'!$B$17=1,MIN(AV173,AN173)+BD173,AV173)</f>
        <v>3291.284933985844</v>
      </c>
      <c r="BM173" s="17">
        <f t="shared" ref="BM173:BM236" si="193">BM172+BL173</f>
        <v>387683.80973136489</v>
      </c>
      <c r="BN173" s="17">
        <f t="shared" ref="BN173:BN236" si="194">BN172+AU173</f>
        <v>89951.764820196753</v>
      </c>
      <c r="BO173" s="17">
        <f t="shared" ref="BO173:BO236" si="195">BO172+BC173</f>
        <v>0</v>
      </c>
      <c r="BP173" s="17">
        <f t="shared" ref="BP173:BP236" si="196">BP172+BF173</f>
        <v>48160.557889542404</v>
      </c>
      <c r="BQ173" s="17">
        <f t="shared" ref="BQ173:BQ236" si="197">BQ172+BI173</f>
        <v>7029.2069942831804</v>
      </c>
      <c r="BR173" s="17">
        <f t="shared" ref="BR173:BR236" si="198">BR172+BE173</f>
        <v>0</v>
      </c>
      <c r="BS173" s="15">
        <f t="shared" si="167"/>
        <v>0</v>
      </c>
      <c r="BU173" s="14">
        <v>130</v>
      </c>
      <c r="BV173" s="15">
        <f t="shared" si="168"/>
        <v>11</v>
      </c>
      <c r="BW173" s="16">
        <f>(1+INDEX('1 - Input'!$B$34:$E$63,BV173,'1 - Input'!$B$16))^(1/12)-1</f>
        <v>4.1219243192651689E-3</v>
      </c>
      <c r="BX173" s="17">
        <f>'1 - Input'!$B$7*(1+'1 - Input'!$B$12)^(BV173-1)</f>
        <v>3291.284933985844</v>
      </c>
      <c r="BY173" s="17">
        <f t="shared" ref="BY173:BY236" si="199">CT172</f>
        <v>310561.25198646181</v>
      </c>
      <c r="BZ173" s="17">
        <f t="shared" ref="BZ173:BZ236" si="200">CU172</f>
        <v>107344.77090522427</v>
      </c>
      <c r="CA173" s="17">
        <f t="shared" si="169"/>
        <v>311841.36196364625</v>
      </c>
      <c r="CB173" s="17">
        <f>IF(CA173&gt;0,'1 - Input'!$B$8/12*CA173,0)</f>
        <v>2338.8102147273466</v>
      </c>
      <c r="CC173" s="17">
        <f t="shared" si="170"/>
        <v>309502.55174891889</v>
      </c>
      <c r="CD173" s="17">
        <f t="shared" si="171"/>
        <v>2338.8102147273466</v>
      </c>
      <c r="CE173" s="17">
        <f>'1 - Input'!$B$22*(CB173-CD173)</f>
        <v>0</v>
      </c>
      <c r="CF173" s="17">
        <f t="shared" si="172"/>
        <v>2338.8102147273466</v>
      </c>
      <c r="CG173" s="17">
        <f t="shared" si="173"/>
        <v>105005.96069049693</v>
      </c>
      <c r="CH173" s="17">
        <f>IF('1 - Input'!$B$17=1,MAX(0,CF173-BX173),0)</f>
        <v>0</v>
      </c>
      <c r="CI173" s="17">
        <f>IF('1 - Input'!$B$17=1,MAX(0,BX173-CF173),0)</f>
        <v>952.47471925849732</v>
      </c>
      <c r="CJ173" s="17">
        <f t="shared" si="174"/>
        <v>0.66072667221276404</v>
      </c>
      <c r="CK173" s="17">
        <f>IF(AND(CI173&gt;0,CC173&gt;0),CI173/(1-'1 - Input'!$B$22*CJ173),0)</f>
        <v>1150.0386305513862</v>
      </c>
      <c r="CL173" s="17">
        <f t="shared" si="175"/>
        <v>1150.0386305513862</v>
      </c>
      <c r="CM173" s="17">
        <f>'1 - Input'!$B$22*CJ173*CL173</f>
        <v>197.56391129288886</v>
      </c>
      <c r="CN173" s="17">
        <f t="shared" si="176"/>
        <v>952.47471925849732</v>
      </c>
      <c r="CO173" s="17">
        <f t="shared" si="177"/>
        <v>0</v>
      </c>
      <c r="CP173" s="17">
        <f t="shared" si="178"/>
        <v>0</v>
      </c>
      <c r="CQ173" s="17">
        <f t="shared" si="179"/>
        <v>308352.51311836753</v>
      </c>
      <c r="CR173" s="17">
        <f t="shared" si="180"/>
        <v>104615.78325722588</v>
      </c>
      <c r="CS173" s="17">
        <f>IF(MOD(BU173,12)=0,CQ173*'1 - Input'!$B$23,0)</f>
        <v>0</v>
      </c>
      <c r="CT173" s="17">
        <f t="shared" si="181"/>
        <v>308352.51311836753</v>
      </c>
      <c r="CU173" s="17">
        <f>IF(MOD(BU173,12)=0,CR173*(1-'1 - Input'!$B$23),CR173)</f>
        <v>104615.78325722588</v>
      </c>
      <c r="CV173" s="17">
        <f>IF('1 - Input'!$B$17=1,MIN(CF173,BX173)+CN173,CF173)</f>
        <v>3291.284933985844</v>
      </c>
      <c r="CW173" s="17">
        <f t="shared" ref="CW173:CW236" si="201">CW172+CV173</f>
        <v>387683.80973136489</v>
      </c>
      <c r="CX173" s="17">
        <f t="shared" ref="CX173:CX236" si="202">CX172+CE173</f>
        <v>0</v>
      </c>
      <c r="CY173" s="17">
        <f t="shared" ref="CY173:CY236" si="203">CY172+CM173</f>
        <v>4110.6004587938223</v>
      </c>
      <c r="CZ173" s="17">
        <f t="shared" ref="CZ173:CZ236" si="204">CZ172+CP173</f>
        <v>0</v>
      </c>
      <c r="DA173" s="17">
        <f t="shared" ref="DA173:DA236" si="205">DA172+CS173</f>
        <v>8277.3364680689538</v>
      </c>
      <c r="DB173" s="17">
        <f t="shared" ref="DB173:DB236" si="206">DB172+CO173</f>
        <v>0</v>
      </c>
      <c r="DC173" s="15">
        <f t="shared" si="182"/>
        <v>0</v>
      </c>
    </row>
    <row r="174" spans="1:107">
      <c r="A174" s="14">
        <v>131</v>
      </c>
      <c r="B174" s="15">
        <f t="shared" si="138"/>
        <v>11</v>
      </c>
      <c r="C174" s="16">
        <f>(1+INDEX('1 - Input'!$B$34:$E$63,B174,'1 - Input'!$B$16))^(1/12)-1</f>
        <v>4.1219243192651689E-3</v>
      </c>
      <c r="D174" s="17">
        <f>'1 - Input'!$B$7*(1+'1 - Input'!$B$12)^(B174-1)</f>
        <v>3291.284933985844</v>
      </c>
      <c r="E174" s="17">
        <f t="shared" si="183"/>
        <v>191195.39116505039</v>
      </c>
      <c r="F174" s="17">
        <f t="shared" si="184"/>
        <v>298038.18114844651</v>
      </c>
      <c r="G174" s="17">
        <f t="shared" si="139"/>
        <v>191983.48409762501</v>
      </c>
      <c r="H174" s="17">
        <f>IF(G174&gt;0,'1 - Input'!$B$8/12*G174,0)</f>
        <v>1439.8761307321874</v>
      </c>
      <c r="I174" s="17">
        <f t="shared" si="140"/>
        <v>190543.60796689283</v>
      </c>
      <c r="J174" s="17">
        <f t="shared" si="141"/>
        <v>0</v>
      </c>
      <c r="K174" s="17">
        <f>'1 - Input'!$B$22*(H174-J174)</f>
        <v>374.36779399036874</v>
      </c>
      <c r="L174" s="17">
        <f t="shared" si="142"/>
        <v>1065.5083367418188</v>
      </c>
      <c r="M174" s="17">
        <f t="shared" si="143"/>
        <v>298038.18114844651</v>
      </c>
      <c r="N174" s="17">
        <f>IF('1 - Input'!$B$17=1,MAX(0,L174-D174),0)</f>
        <v>0</v>
      </c>
      <c r="O174" s="17">
        <f>IF('1 - Input'!$B$17=1,MAX(0,D174-L174),0)</f>
        <v>2225.7765972440252</v>
      </c>
      <c r="P174" s="17">
        <f t="shared" si="144"/>
        <v>0</v>
      </c>
      <c r="Q174" s="17">
        <f>IF(AND(O174&gt;0,I174&gt;0),O174/(1-'1 - Input'!$B$22*P174),0)</f>
        <v>2225.7765972440252</v>
      </c>
      <c r="R174" s="17">
        <f t="shared" si="145"/>
        <v>2225.7765972440252</v>
      </c>
      <c r="S174" s="17">
        <f>'1 - Input'!$B$22*P174*R174</f>
        <v>0</v>
      </c>
      <c r="T174" s="17">
        <f t="shared" si="146"/>
        <v>2225.7765972440252</v>
      </c>
      <c r="U174" s="17">
        <f t="shared" si="147"/>
        <v>0</v>
      </c>
      <c r="V174" s="17">
        <f t="shared" si="148"/>
        <v>1255.6648206210566</v>
      </c>
      <c r="W174" s="17">
        <f t="shared" si="149"/>
        <v>188317.8313696488</v>
      </c>
      <c r="X174" s="17">
        <f t="shared" si="150"/>
        <v>294556.73973058141</v>
      </c>
      <c r="Y174" s="17">
        <f>IF(MOD(A174,12)=0,W174*'1 - Input'!$B$23,0)</f>
        <v>0</v>
      </c>
      <c r="Z174" s="17">
        <f t="shared" si="151"/>
        <v>188317.8313696488</v>
      </c>
      <c r="AA174" s="17">
        <f>IF(MOD(A174,12)=0,X174*(1-'1 - Input'!$B$23),X174)</f>
        <v>294556.73973058141</v>
      </c>
      <c r="AB174" s="17">
        <f>IF('1 - Input'!$B$17=1,MIN(L174,D174)+T174,L174)</f>
        <v>3291.284933985844</v>
      </c>
      <c r="AC174" s="17">
        <f t="shared" si="185"/>
        <v>390975.09466535074</v>
      </c>
      <c r="AD174" s="17">
        <f t="shared" si="186"/>
        <v>90326.132614187125</v>
      </c>
      <c r="AE174" s="17">
        <f t="shared" si="187"/>
        <v>0</v>
      </c>
      <c r="AF174" s="17">
        <f t="shared" si="188"/>
        <v>49416.222710163463</v>
      </c>
      <c r="AG174" s="17">
        <f t="shared" si="189"/>
        <v>7029.2069942831804</v>
      </c>
      <c r="AH174" s="17">
        <f t="shared" si="190"/>
        <v>0</v>
      </c>
      <c r="AI174" s="15">
        <f t="shared" si="152"/>
        <v>0</v>
      </c>
      <c r="AK174" s="14">
        <v>131</v>
      </c>
      <c r="AL174" s="15">
        <f t="shared" si="153"/>
        <v>11</v>
      </c>
      <c r="AM174" s="16">
        <f>(1+INDEX('1 - Input'!$B$34:$E$63,AL174,'1 - Input'!$B$16))^(1/12)-1</f>
        <v>4.1219243192651689E-3</v>
      </c>
      <c r="AN174" s="17">
        <f>'1 - Input'!$B$7*(1+'1 - Input'!$B$12)^(AL174-1)</f>
        <v>3291.284933985844</v>
      </c>
      <c r="AO174" s="17">
        <f t="shared" si="191"/>
        <v>191195.39116505039</v>
      </c>
      <c r="AP174" s="17">
        <f t="shared" si="192"/>
        <v>298038.18114844651</v>
      </c>
      <c r="AQ174" s="17">
        <f t="shared" si="154"/>
        <v>191983.48409762501</v>
      </c>
      <c r="AR174" s="17">
        <f>IF(AQ174&gt;0,'1 - Input'!$B$8/12*AQ174,0)</f>
        <v>1439.8761307321874</v>
      </c>
      <c r="AS174" s="17">
        <f t="shared" si="155"/>
        <v>190543.60796689283</v>
      </c>
      <c r="AT174" s="17">
        <f t="shared" si="156"/>
        <v>0</v>
      </c>
      <c r="AU174" s="17">
        <f>'1 - Input'!$B$22*(AR174-AT174)</f>
        <v>374.36779399036874</v>
      </c>
      <c r="AV174" s="17">
        <f t="shared" si="157"/>
        <v>1065.5083367418188</v>
      </c>
      <c r="AW174" s="17">
        <f t="shared" si="158"/>
        <v>298038.18114844651</v>
      </c>
      <c r="AX174" s="17">
        <f>IF('1 - Input'!$B$17=1,MAX(0,AV174-AN174),0)</f>
        <v>0</v>
      </c>
      <c r="AY174" s="17">
        <f>IF('1 - Input'!$B$17=1,MAX(0,AN174-AV174),0)</f>
        <v>2225.7765972440252</v>
      </c>
      <c r="AZ174" s="17">
        <f t="shared" si="159"/>
        <v>0</v>
      </c>
      <c r="BA174" s="17">
        <f>IF(AND(AY174&gt;0,AS174&gt;0),AY174/(1-'1 - Input'!$B$22*AZ174),0)</f>
        <v>2225.7765972440252</v>
      </c>
      <c r="BB174" s="17">
        <f t="shared" si="160"/>
        <v>2225.7765972440252</v>
      </c>
      <c r="BC174" s="17">
        <f>'1 - Input'!$B$22*AZ174*BB174</f>
        <v>0</v>
      </c>
      <c r="BD174" s="17">
        <f t="shared" si="161"/>
        <v>2225.7765972440252</v>
      </c>
      <c r="BE174" s="17">
        <f t="shared" si="162"/>
        <v>0</v>
      </c>
      <c r="BF174" s="17">
        <f t="shared" si="163"/>
        <v>1255.6648206210566</v>
      </c>
      <c r="BG174" s="17">
        <f t="shared" si="164"/>
        <v>188317.8313696488</v>
      </c>
      <c r="BH174" s="17">
        <f t="shared" si="165"/>
        <v>294556.73973058141</v>
      </c>
      <c r="BI174" s="17">
        <f>IF(MOD(AK174,12)=0,BG174*'1 - Input'!$B$23,0)</f>
        <v>0</v>
      </c>
      <c r="BJ174" s="17">
        <f t="shared" si="166"/>
        <v>188317.8313696488</v>
      </c>
      <c r="BK174" s="17">
        <f>IF(MOD(AK174,12)=0,BH174*(1-'1 - Input'!$B$23),BH174)</f>
        <v>294556.73973058141</v>
      </c>
      <c r="BL174" s="17">
        <f>IF('1 - Input'!$B$17=1,MIN(AV174,AN174)+BD174,AV174)</f>
        <v>3291.284933985844</v>
      </c>
      <c r="BM174" s="17">
        <f t="shared" si="193"/>
        <v>390975.09466535074</v>
      </c>
      <c r="BN174" s="17">
        <f t="shared" si="194"/>
        <v>90326.132614187125</v>
      </c>
      <c r="BO174" s="17">
        <f t="shared" si="195"/>
        <v>0</v>
      </c>
      <c r="BP174" s="17">
        <f t="shared" si="196"/>
        <v>49416.222710163463</v>
      </c>
      <c r="BQ174" s="17">
        <f t="shared" si="197"/>
        <v>7029.2069942831804</v>
      </c>
      <c r="BR174" s="17">
        <f t="shared" si="198"/>
        <v>0</v>
      </c>
      <c r="BS174" s="15">
        <f t="shared" si="167"/>
        <v>0</v>
      </c>
      <c r="BU174" s="14">
        <v>131</v>
      </c>
      <c r="BV174" s="15">
        <f t="shared" si="168"/>
        <v>11</v>
      </c>
      <c r="BW174" s="16">
        <f>(1+INDEX('1 - Input'!$B$34:$E$63,BV174,'1 - Input'!$B$16))^(1/12)-1</f>
        <v>4.1219243192651689E-3</v>
      </c>
      <c r="BX174" s="17">
        <f>'1 - Input'!$B$7*(1+'1 - Input'!$B$12)^(BV174-1)</f>
        <v>3291.284933985844</v>
      </c>
      <c r="BY174" s="17">
        <f t="shared" si="199"/>
        <v>308352.51311836753</v>
      </c>
      <c r="BZ174" s="17">
        <f t="shared" si="200"/>
        <v>104615.78325722588</v>
      </c>
      <c r="CA174" s="17">
        <f t="shared" si="169"/>
        <v>309623.51884109667</v>
      </c>
      <c r="CB174" s="17">
        <f>IF(CA174&gt;0,'1 - Input'!$B$8/12*CA174,0)</f>
        <v>2322.176391308225</v>
      </c>
      <c r="CC174" s="17">
        <f t="shared" si="170"/>
        <v>307301.34244978847</v>
      </c>
      <c r="CD174" s="17">
        <f t="shared" si="171"/>
        <v>2322.176391308225</v>
      </c>
      <c r="CE174" s="17">
        <f>'1 - Input'!$B$22*(CB174-CD174)</f>
        <v>0</v>
      </c>
      <c r="CF174" s="17">
        <f t="shared" si="172"/>
        <v>2322.176391308225</v>
      </c>
      <c r="CG174" s="17">
        <f t="shared" si="173"/>
        <v>102293.60686591765</v>
      </c>
      <c r="CH174" s="17">
        <f>IF('1 - Input'!$B$17=1,MAX(0,CF174-BX174),0)</f>
        <v>0</v>
      </c>
      <c r="CI174" s="17">
        <f>IF('1 - Input'!$B$17=1,MAX(0,BX174-CF174),0)</f>
        <v>969.10854267761897</v>
      </c>
      <c r="CJ174" s="17">
        <f t="shared" si="174"/>
        <v>0.66712281160102016</v>
      </c>
      <c r="CK174" s="17">
        <f>IF(AND(CI174&gt;0,CC174&gt;0),CI174/(1-'1 - Input'!$B$22*CJ174),0)</f>
        <v>1172.4769303123126</v>
      </c>
      <c r="CL174" s="17">
        <f t="shared" si="175"/>
        <v>1172.4769303123126</v>
      </c>
      <c r="CM174" s="17">
        <f>'1 - Input'!$B$22*CJ174*CL174</f>
        <v>203.36838763469368</v>
      </c>
      <c r="CN174" s="17">
        <f t="shared" si="176"/>
        <v>969.10854267761886</v>
      </c>
      <c r="CO174" s="17">
        <f t="shared" si="177"/>
        <v>0</v>
      </c>
      <c r="CP174" s="17">
        <f t="shared" si="178"/>
        <v>0</v>
      </c>
      <c r="CQ174" s="17">
        <f t="shared" si="179"/>
        <v>306128.86551947618</v>
      </c>
      <c r="CR174" s="17">
        <f t="shared" si="180"/>
        <v>101903.31604189263</v>
      </c>
      <c r="CS174" s="17">
        <f>IF(MOD(BU174,12)=0,CQ174*'1 - Input'!$B$23,0)</f>
        <v>0</v>
      </c>
      <c r="CT174" s="17">
        <f t="shared" si="181"/>
        <v>306128.86551947618</v>
      </c>
      <c r="CU174" s="17">
        <f>IF(MOD(BU174,12)=0,CR174*(1-'1 - Input'!$B$23),CR174)</f>
        <v>101903.31604189263</v>
      </c>
      <c r="CV174" s="17">
        <f>IF('1 - Input'!$B$17=1,MIN(CF174,BX174)+CN174,CF174)</f>
        <v>3291.284933985844</v>
      </c>
      <c r="CW174" s="17">
        <f t="shared" si="201"/>
        <v>390975.09466535074</v>
      </c>
      <c r="CX174" s="17">
        <f t="shared" si="202"/>
        <v>0</v>
      </c>
      <c r="CY174" s="17">
        <f t="shared" si="203"/>
        <v>4313.9688464285164</v>
      </c>
      <c r="CZ174" s="17">
        <f t="shared" si="204"/>
        <v>0</v>
      </c>
      <c r="DA174" s="17">
        <f t="shared" si="205"/>
        <v>8277.3364680689538</v>
      </c>
      <c r="DB174" s="17">
        <f t="shared" si="206"/>
        <v>0</v>
      </c>
      <c r="DC174" s="15">
        <f t="shared" si="182"/>
        <v>0</v>
      </c>
    </row>
    <row r="175" spans="1:107">
      <c r="A175" s="14">
        <v>132</v>
      </c>
      <c r="B175" s="15">
        <f t="shared" si="138"/>
        <v>11</v>
      </c>
      <c r="C175" s="16">
        <f>(1+INDEX('1 - Input'!$B$34:$E$63,B175,'1 - Input'!$B$16))^(1/12)-1</f>
        <v>4.1219243192651689E-3</v>
      </c>
      <c r="D175" s="17">
        <f>'1 - Input'!$B$7*(1+'1 - Input'!$B$12)^(B175-1)</f>
        <v>3291.284933985844</v>
      </c>
      <c r="E175" s="17">
        <f t="shared" si="183"/>
        <v>188317.8313696488</v>
      </c>
      <c r="F175" s="17">
        <f t="shared" si="184"/>
        <v>294556.73973058141</v>
      </c>
      <c r="G175" s="17">
        <f t="shared" si="139"/>
        <v>189094.06321852264</v>
      </c>
      <c r="H175" s="17">
        <f>IF(G175&gt;0,'1 - Input'!$B$8/12*G175,0)</f>
        <v>1418.2054741389197</v>
      </c>
      <c r="I175" s="17">
        <f t="shared" si="140"/>
        <v>187675.85774438371</v>
      </c>
      <c r="J175" s="17">
        <f t="shared" si="141"/>
        <v>0</v>
      </c>
      <c r="K175" s="17">
        <f>'1 - Input'!$B$22*(H175-J175)</f>
        <v>368.73342327611914</v>
      </c>
      <c r="L175" s="17">
        <f t="shared" si="142"/>
        <v>1049.4720508628006</v>
      </c>
      <c r="M175" s="17">
        <f t="shared" si="143"/>
        <v>294556.73973058141</v>
      </c>
      <c r="N175" s="17">
        <f>IF('1 - Input'!$B$17=1,MAX(0,L175-D175),0)</f>
        <v>0</v>
      </c>
      <c r="O175" s="17">
        <f>IF('1 - Input'!$B$17=1,MAX(0,D175-L175),0)</f>
        <v>2241.8128831230433</v>
      </c>
      <c r="P175" s="17">
        <f t="shared" si="144"/>
        <v>0</v>
      </c>
      <c r="Q175" s="17">
        <f>IF(AND(O175&gt;0,I175&gt;0),O175/(1-'1 - Input'!$B$22*P175),0)</f>
        <v>2241.8128831230433</v>
      </c>
      <c r="R175" s="17">
        <f t="shared" si="145"/>
        <v>2241.8128831230433</v>
      </c>
      <c r="S175" s="17">
        <f>'1 - Input'!$B$22*P175*R175</f>
        <v>0</v>
      </c>
      <c r="T175" s="17">
        <f t="shared" si="146"/>
        <v>2241.8128831230433</v>
      </c>
      <c r="U175" s="17">
        <f t="shared" si="147"/>
        <v>0</v>
      </c>
      <c r="V175" s="17">
        <f t="shared" si="148"/>
        <v>1276.7062374243071</v>
      </c>
      <c r="W175" s="17">
        <f t="shared" si="149"/>
        <v>185434.04486126066</v>
      </c>
      <c r="X175" s="17">
        <f t="shared" si="150"/>
        <v>291038.22061003407</v>
      </c>
      <c r="Y175" s="17">
        <f>IF(MOD(A175,12)=0,W175*'1 - Input'!$B$23,0)</f>
        <v>370.86808972252135</v>
      </c>
      <c r="Z175" s="17">
        <f t="shared" si="151"/>
        <v>185063.17677153813</v>
      </c>
      <c r="AA175" s="17">
        <f>IF(MOD(A175,12)=0,X175*(1-'1 - Input'!$B$23),X175)</f>
        <v>290456.144168814</v>
      </c>
      <c r="AB175" s="17">
        <f>IF('1 - Input'!$B$17=1,MIN(L175,D175)+T175,L175)</f>
        <v>3291.284933985844</v>
      </c>
      <c r="AC175" s="17">
        <f t="shared" si="185"/>
        <v>394266.37959933659</v>
      </c>
      <c r="AD175" s="17">
        <f t="shared" si="186"/>
        <v>90694.866037463245</v>
      </c>
      <c r="AE175" s="17">
        <f t="shared" si="187"/>
        <v>0</v>
      </c>
      <c r="AF175" s="17">
        <f t="shared" si="188"/>
        <v>50692.928947587774</v>
      </c>
      <c r="AG175" s="17">
        <f t="shared" si="189"/>
        <v>7400.0750840057017</v>
      </c>
      <c r="AH175" s="17">
        <f t="shared" si="190"/>
        <v>0</v>
      </c>
      <c r="AI175" s="15">
        <f t="shared" si="152"/>
        <v>0</v>
      </c>
      <c r="AK175" s="14">
        <v>132</v>
      </c>
      <c r="AL175" s="15">
        <f t="shared" si="153"/>
        <v>11</v>
      </c>
      <c r="AM175" s="16">
        <f>(1+INDEX('1 - Input'!$B$34:$E$63,AL175,'1 - Input'!$B$16))^(1/12)-1</f>
        <v>4.1219243192651689E-3</v>
      </c>
      <c r="AN175" s="17">
        <f>'1 - Input'!$B$7*(1+'1 - Input'!$B$12)^(AL175-1)</f>
        <v>3291.284933985844</v>
      </c>
      <c r="AO175" s="17">
        <f t="shared" si="191"/>
        <v>188317.8313696488</v>
      </c>
      <c r="AP175" s="17">
        <f t="shared" si="192"/>
        <v>294556.73973058141</v>
      </c>
      <c r="AQ175" s="17">
        <f t="shared" si="154"/>
        <v>189094.06321852264</v>
      </c>
      <c r="AR175" s="17">
        <f>IF(AQ175&gt;0,'1 - Input'!$B$8/12*AQ175,0)</f>
        <v>1418.2054741389197</v>
      </c>
      <c r="AS175" s="17">
        <f t="shared" si="155"/>
        <v>187675.85774438371</v>
      </c>
      <c r="AT175" s="17">
        <f t="shared" si="156"/>
        <v>0</v>
      </c>
      <c r="AU175" s="17">
        <f>'1 - Input'!$B$22*(AR175-AT175)</f>
        <v>368.73342327611914</v>
      </c>
      <c r="AV175" s="17">
        <f t="shared" si="157"/>
        <v>1049.4720508628006</v>
      </c>
      <c r="AW175" s="17">
        <f t="shared" si="158"/>
        <v>294556.73973058141</v>
      </c>
      <c r="AX175" s="17">
        <f>IF('1 - Input'!$B$17=1,MAX(0,AV175-AN175),0)</f>
        <v>0</v>
      </c>
      <c r="AY175" s="17">
        <f>IF('1 - Input'!$B$17=1,MAX(0,AN175-AV175),0)</f>
        <v>2241.8128831230433</v>
      </c>
      <c r="AZ175" s="17">
        <f t="shared" si="159"/>
        <v>0</v>
      </c>
      <c r="BA175" s="17">
        <f>IF(AND(AY175&gt;0,AS175&gt;0),AY175/(1-'1 - Input'!$B$22*AZ175),0)</f>
        <v>2241.8128831230433</v>
      </c>
      <c r="BB175" s="17">
        <f t="shared" si="160"/>
        <v>2241.8128831230433</v>
      </c>
      <c r="BC175" s="17">
        <f>'1 - Input'!$B$22*AZ175*BB175</f>
        <v>0</v>
      </c>
      <c r="BD175" s="17">
        <f t="shared" si="161"/>
        <v>2241.8128831230433</v>
      </c>
      <c r="BE175" s="17">
        <f t="shared" si="162"/>
        <v>0</v>
      </c>
      <c r="BF175" s="17">
        <f t="shared" si="163"/>
        <v>1276.7062374243071</v>
      </c>
      <c r="BG175" s="17">
        <f t="shared" si="164"/>
        <v>185434.04486126066</v>
      </c>
      <c r="BH175" s="17">
        <f t="shared" si="165"/>
        <v>291038.22061003407</v>
      </c>
      <c r="BI175" s="17">
        <f>IF(MOD(AK175,12)=0,BG175*'1 - Input'!$B$23,0)</f>
        <v>370.86808972252135</v>
      </c>
      <c r="BJ175" s="17">
        <f t="shared" si="166"/>
        <v>185063.17677153813</v>
      </c>
      <c r="BK175" s="17">
        <f>IF(MOD(AK175,12)=0,BH175*(1-'1 - Input'!$B$23),BH175)</f>
        <v>290456.144168814</v>
      </c>
      <c r="BL175" s="17">
        <f>IF('1 - Input'!$B$17=1,MIN(AV175,AN175)+BD175,AV175)</f>
        <v>3291.284933985844</v>
      </c>
      <c r="BM175" s="17">
        <f t="shared" si="193"/>
        <v>394266.37959933659</v>
      </c>
      <c r="BN175" s="17">
        <f t="shared" si="194"/>
        <v>90694.866037463245</v>
      </c>
      <c r="BO175" s="17">
        <f t="shared" si="195"/>
        <v>0</v>
      </c>
      <c r="BP175" s="17">
        <f t="shared" si="196"/>
        <v>50692.928947587774</v>
      </c>
      <c r="BQ175" s="17">
        <f t="shared" si="197"/>
        <v>7400.0750840057017</v>
      </c>
      <c r="BR175" s="17">
        <f t="shared" si="198"/>
        <v>0</v>
      </c>
      <c r="BS175" s="15">
        <f t="shared" si="167"/>
        <v>0</v>
      </c>
      <c r="BU175" s="14">
        <v>132</v>
      </c>
      <c r="BV175" s="15">
        <f t="shared" si="168"/>
        <v>11</v>
      </c>
      <c r="BW175" s="16">
        <f>(1+INDEX('1 - Input'!$B$34:$E$63,BV175,'1 - Input'!$B$16))^(1/12)-1</f>
        <v>4.1219243192651689E-3</v>
      </c>
      <c r="BX175" s="17">
        <f>'1 - Input'!$B$7*(1+'1 - Input'!$B$12)^(BV175-1)</f>
        <v>3291.284933985844</v>
      </c>
      <c r="BY175" s="17">
        <f t="shared" si="199"/>
        <v>306128.86551947618</v>
      </c>
      <c r="BZ175" s="17">
        <f t="shared" si="200"/>
        <v>101903.31604189263</v>
      </c>
      <c r="CA175" s="17">
        <f t="shared" si="169"/>
        <v>307390.70553508995</v>
      </c>
      <c r="CB175" s="17">
        <f>IF(CA175&gt;0,'1 - Input'!$B$8/12*CA175,0)</f>
        <v>2305.4302915131743</v>
      </c>
      <c r="CC175" s="17">
        <f t="shared" si="170"/>
        <v>305085.27524357679</v>
      </c>
      <c r="CD175" s="17">
        <f t="shared" si="171"/>
        <v>2305.4302915131743</v>
      </c>
      <c r="CE175" s="17">
        <f>'1 - Input'!$B$22*(CB175-CD175)</f>
        <v>0</v>
      </c>
      <c r="CF175" s="17">
        <f t="shared" si="172"/>
        <v>2305.4302915131743</v>
      </c>
      <c r="CG175" s="17">
        <f t="shared" si="173"/>
        <v>99597.885750379457</v>
      </c>
      <c r="CH175" s="17">
        <f>IF('1 - Input'!$B$17=1,MAX(0,CF175-BX175),0)</f>
        <v>0</v>
      </c>
      <c r="CI175" s="17">
        <f>IF('1 - Input'!$B$17=1,MAX(0,BX175-CF175),0)</f>
        <v>985.85464247266964</v>
      </c>
      <c r="CJ175" s="17">
        <f t="shared" si="174"/>
        <v>0.67354082995037512</v>
      </c>
      <c r="CK175" s="17">
        <f>IF(AND(CI175&gt;0,CC175&gt;0),CI175/(1-'1 - Input'!$B$22*CJ175),0)</f>
        <v>1195.1500562877677</v>
      </c>
      <c r="CL175" s="17">
        <f t="shared" si="175"/>
        <v>1195.1500562877677</v>
      </c>
      <c r="CM175" s="17">
        <f>'1 - Input'!$B$22*CJ175*CL175</f>
        <v>209.29541381509816</v>
      </c>
      <c r="CN175" s="17">
        <f t="shared" si="176"/>
        <v>985.85464247266952</v>
      </c>
      <c r="CO175" s="17">
        <f t="shared" si="177"/>
        <v>0</v>
      </c>
      <c r="CP175" s="17">
        <f t="shared" si="178"/>
        <v>0</v>
      </c>
      <c r="CQ175" s="17">
        <f t="shared" si="179"/>
        <v>303890.12518728903</v>
      </c>
      <c r="CR175" s="17">
        <f t="shared" si="180"/>
        <v>99207.718054918994</v>
      </c>
      <c r="CS175" s="17">
        <f>IF(MOD(BU175,12)=0,CQ175*'1 - Input'!$B$23,0)</f>
        <v>607.78025037457803</v>
      </c>
      <c r="CT175" s="17">
        <f t="shared" si="181"/>
        <v>303282.34493691445</v>
      </c>
      <c r="CU175" s="17">
        <f>IF(MOD(BU175,12)=0,CR175*(1-'1 - Input'!$B$23),CR175)</f>
        <v>99009.302618809161</v>
      </c>
      <c r="CV175" s="17">
        <f>IF('1 - Input'!$B$17=1,MIN(CF175,BX175)+CN175,CF175)</f>
        <v>3291.284933985844</v>
      </c>
      <c r="CW175" s="17">
        <f t="shared" si="201"/>
        <v>394266.37959933659</v>
      </c>
      <c r="CX175" s="17">
        <f t="shared" si="202"/>
        <v>0</v>
      </c>
      <c r="CY175" s="17">
        <f t="shared" si="203"/>
        <v>4523.2642602436144</v>
      </c>
      <c r="CZ175" s="17">
        <f t="shared" si="204"/>
        <v>0</v>
      </c>
      <c r="DA175" s="17">
        <f t="shared" si="205"/>
        <v>8885.1167184435326</v>
      </c>
      <c r="DB175" s="17">
        <f t="shared" si="206"/>
        <v>0</v>
      </c>
      <c r="DC175" s="15">
        <f t="shared" si="182"/>
        <v>0</v>
      </c>
    </row>
    <row r="176" spans="1:107">
      <c r="A176" s="14">
        <v>133</v>
      </c>
      <c r="B176" s="15">
        <f t="shared" si="138"/>
        <v>12</v>
      </c>
      <c r="C176" s="16">
        <f>(1+INDEX('1 - Input'!$B$34:$E$63,B176,'1 - Input'!$B$16))^(1/12)-1</f>
        <v>4.1219243192651689E-3</v>
      </c>
      <c r="D176" s="17">
        <f>'1 - Input'!$B$7*(1+'1 - Input'!$B$12)^(B176-1)</f>
        <v>3357.1106326655604</v>
      </c>
      <c r="E176" s="17">
        <f t="shared" si="183"/>
        <v>185063.17677153813</v>
      </c>
      <c r="F176" s="17">
        <f t="shared" si="184"/>
        <v>290456.144168814</v>
      </c>
      <c r="G176" s="17">
        <f t="shared" si="139"/>
        <v>185825.99318047319</v>
      </c>
      <c r="H176" s="17">
        <f>IF(G176&gt;0,'1 - Input'!$B$8/12*G176,0)</f>
        <v>1393.6949488535488</v>
      </c>
      <c r="I176" s="17">
        <f t="shared" si="140"/>
        <v>184432.29823161964</v>
      </c>
      <c r="J176" s="17">
        <f t="shared" si="141"/>
        <v>0</v>
      </c>
      <c r="K176" s="17">
        <f>'1 - Input'!$B$22*(H176-J176)</f>
        <v>362.3606867019227</v>
      </c>
      <c r="L176" s="17">
        <f t="shared" si="142"/>
        <v>1031.334262151626</v>
      </c>
      <c r="M176" s="17">
        <f t="shared" si="143"/>
        <v>290456.144168814</v>
      </c>
      <c r="N176" s="17">
        <f>IF('1 - Input'!$B$17=1,MAX(0,L176-D176),0)</f>
        <v>0</v>
      </c>
      <c r="O176" s="17">
        <f>IF('1 - Input'!$B$17=1,MAX(0,D176-L176),0)</f>
        <v>2325.7763705139341</v>
      </c>
      <c r="P176" s="17">
        <f t="shared" si="144"/>
        <v>0</v>
      </c>
      <c r="Q176" s="17">
        <f>IF(AND(O176&gt;0,I176&gt;0),O176/(1-'1 - Input'!$B$22*P176),0)</f>
        <v>2325.7763705139341</v>
      </c>
      <c r="R176" s="17">
        <f t="shared" si="145"/>
        <v>2325.7763705139341</v>
      </c>
      <c r="S176" s="17">
        <f>'1 - Input'!$B$22*P176*R176</f>
        <v>0</v>
      </c>
      <c r="T176" s="17">
        <f t="shared" si="146"/>
        <v>2325.7763705139341</v>
      </c>
      <c r="U176" s="17">
        <f t="shared" si="147"/>
        <v>0</v>
      </c>
      <c r="V176" s="17">
        <f t="shared" si="148"/>
        <v>1337.0096125032217</v>
      </c>
      <c r="W176" s="17">
        <f t="shared" si="149"/>
        <v>182106.52186110572</v>
      </c>
      <c r="X176" s="17">
        <f t="shared" si="150"/>
        <v>286793.35818579682</v>
      </c>
      <c r="Y176" s="17">
        <f>IF(MOD(A176,12)=0,W176*'1 - Input'!$B$23,0)</f>
        <v>0</v>
      </c>
      <c r="Z176" s="17">
        <f t="shared" si="151"/>
        <v>182106.52186110572</v>
      </c>
      <c r="AA176" s="17">
        <f>IF(MOD(A176,12)=0,X176*(1-'1 - Input'!$B$23),X176)</f>
        <v>286793.35818579682</v>
      </c>
      <c r="AB176" s="17">
        <f>IF('1 - Input'!$B$17=1,MIN(L176,D176)+T176,L176)</f>
        <v>3357.1106326655599</v>
      </c>
      <c r="AC176" s="17">
        <f t="shared" si="185"/>
        <v>397623.49023200216</v>
      </c>
      <c r="AD176" s="17">
        <f t="shared" si="186"/>
        <v>91057.226724165172</v>
      </c>
      <c r="AE176" s="17">
        <f t="shared" si="187"/>
        <v>0</v>
      </c>
      <c r="AF176" s="17">
        <f t="shared" si="188"/>
        <v>52029.938560090995</v>
      </c>
      <c r="AG176" s="17">
        <f t="shared" si="189"/>
        <v>7400.0750840057017</v>
      </c>
      <c r="AH176" s="17">
        <f t="shared" si="190"/>
        <v>0</v>
      </c>
      <c r="AI176" s="15">
        <f t="shared" si="152"/>
        <v>0</v>
      </c>
      <c r="AK176" s="14">
        <v>133</v>
      </c>
      <c r="AL176" s="15">
        <f t="shared" si="153"/>
        <v>12</v>
      </c>
      <c r="AM176" s="16">
        <f>(1+INDEX('1 - Input'!$B$34:$E$63,AL176,'1 - Input'!$B$16))^(1/12)-1</f>
        <v>4.1219243192651689E-3</v>
      </c>
      <c r="AN176" s="17">
        <f>'1 - Input'!$B$7*(1+'1 - Input'!$B$12)^(AL176-1)</f>
        <v>3357.1106326655604</v>
      </c>
      <c r="AO176" s="17">
        <f t="shared" si="191"/>
        <v>185063.17677153813</v>
      </c>
      <c r="AP176" s="17">
        <f t="shared" si="192"/>
        <v>290456.144168814</v>
      </c>
      <c r="AQ176" s="17">
        <f t="shared" si="154"/>
        <v>185825.99318047319</v>
      </c>
      <c r="AR176" s="17">
        <f>IF(AQ176&gt;0,'1 - Input'!$B$8/12*AQ176,0)</f>
        <v>1393.6949488535488</v>
      </c>
      <c r="AS176" s="17">
        <f t="shared" si="155"/>
        <v>184432.29823161964</v>
      </c>
      <c r="AT176" s="17">
        <f t="shared" si="156"/>
        <v>0</v>
      </c>
      <c r="AU176" s="17">
        <f>'1 - Input'!$B$22*(AR176-AT176)</f>
        <v>362.3606867019227</v>
      </c>
      <c r="AV176" s="17">
        <f t="shared" si="157"/>
        <v>1031.334262151626</v>
      </c>
      <c r="AW176" s="17">
        <f t="shared" si="158"/>
        <v>290456.144168814</v>
      </c>
      <c r="AX176" s="17">
        <f>IF('1 - Input'!$B$17=1,MAX(0,AV176-AN176),0)</f>
        <v>0</v>
      </c>
      <c r="AY176" s="17">
        <f>IF('1 - Input'!$B$17=1,MAX(0,AN176-AV176),0)</f>
        <v>2325.7763705139341</v>
      </c>
      <c r="AZ176" s="17">
        <f t="shared" si="159"/>
        <v>0</v>
      </c>
      <c r="BA176" s="17">
        <f>IF(AND(AY176&gt;0,AS176&gt;0),AY176/(1-'1 - Input'!$B$22*AZ176),0)</f>
        <v>2325.7763705139341</v>
      </c>
      <c r="BB176" s="17">
        <f t="shared" si="160"/>
        <v>2325.7763705139341</v>
      </c>
      <c r="BC176" s="17">
        <f>'1 - Input'!$B$22*AZ176*BB176</f>
        <v>0</v>
      </c>
      <c r="BD176" s="17">
        <f t="shared" si="161"/>
        <v>2325.7763705139341</v>
      </c>
      <c r="BE176" s="17">
        <f t="shared" si="162"/>
        <v>0</v>
      </c>
      <c r="BF176" s="17">
        <f t="shared" si="163"/>
        <v>1337.0096125032217</v>
      </c>
      <c r="BG176" s="17">
        <f t="shared" si="164"/>
        <v>182106.52186110572</v>
      </c>
      <c r="BH176" s="17">
        <f t="shared" si="165"/>
        <v>286793.35818579682</v>
      </c>
      <c r="BI176" s="17">
        <f>IF(MOD(AK176,12)=0,BG176*'1 - Input'!$B$23,0)</f>
        <v>0</v>
      </c>
      <c r="BJ176" s="17">
        <f t="shared" si="166"/>
        <v>182106.52186110572</v>
      </c>
      <c r="BK176" s="17">
        <f>IF(MOD(AK176,12)=0,BH176*(1-'1 - Input'!$B$23),BH176)</f>
        <v>286793.35818579682</v>
      </c>
      <c r="BL176" s="17">
        <f>IF('1 - Input'!$B$17=1,MIN(AV176,AN176)+BD176,AV176)</f>
        <v>3357.1106326655599</v>
      </c>
      <c r="BM176" s="17">
        <f t="shared" si="193"/>
        <v>397623.49023200216</v>
      </c>
      <c r="BN176" s="17">
        <f t="shared" si="194"/>
        <v>91057.226724165172</v>
      </c>
      <c r="BO176" s="17">
        <f t="shared" si="195"/>
        <v>0</v>
      </c>
      <c r="BP176" s="17">
        <f t="shared" si="196"/>
        <v>52029.938560090995</v>
      </c>
      <c r="BQ176" s="17">
        <f t="shared" si="197"/>
        <v>7400.0750840057017</v>
      </c>
      <c r="BR176" s="17">
        <f t="shared" si="198"/>
        <v>0</v>
      </c>
      <c r="BS176" s="15">
        <f t="shared" si="167"/>
        <v>0</v>
      </c>
      <c r="BU176" s="14">
        <v>133</v>
      </c>
      <c r="BV176" s="15">
        <f t="shared" si="168"/>
        <v>12</v>
      </c>
      <c r="BW176" s="16">
        <f>(1+INDEX('1 - Input'!$B$34:$E$63,BV176,'1 - Input'!$B$16))^(1/12)-1</f>
        <v>4.1219243192651689E-3</v>
      </c>
      <c r="BX176" s="17">
        <f>'1 - Input'!$B$7*(1+'1 - Input'!$B$12)^(BV176-1)</f>
        <v>3357.1106326655604</v>
      </c>
      <c r="BY176" s="17">
        <f t="shared" si="199"/>
        <v>303282.34493691445</v>
      </c>
      <c r="BZ176" s="17">
        <f t="shared" si="200"/>
        <v>99009.302618809161</v>
      </c>
      <c r="CA176" s="17">
        <f t="shared" si="169"/>
        <v>304532.45181011368</v>
      </c>
      <c r="CB176" s="17">
        <f>IF(CA176&gt;0,'1 - Input'!$B$8/12*CA176,0)</f>
        <v>2283.9933885758524</v>
      </c>
      <c r="CC176" s="17">
        <f t="shared" si="170"/>
        <v>302248.45842153783</v>
      </c>
      <c r="CD176" s="17">
        <f t="shared" si="171"/>
        <v>2283.9933885758524</v>
      </c>
      <c r="CE176" s="17">
        <f>'1 - Input'!$B$22*(CB176-CD176)</f>
        <v>0</v>
      </c>
      <c r="CF176" s="17">
        <f t="shared" si="172"/>
        <v>2283.9933885758524</v>
      </c>
      <c r="CG176" s="17">
        <f t="shared" si="173"/>
        <v>96725.30923023331</v>
      </c>
      <c r="CH176" s="17">
        <f>IF('1 - Input'!$B$17=1,MAX(0,CF176-BX176),0)</f>
        <v>0</v>
      </c>
      <c r="CI176" s="17">
        <f>IF('1 - Input'!$B$17=1,MAX(0,BX176-CF176),0)</f>
        <v>1073.117244089708</v>
      </c>
      <c r="CJ176" s="17">
        <f t="shared" si="174"/>
        <v>0.67998080210112066</v>
      </c>
      <c r="CK176" s="17">
        <f>IF(AND(CI176&gt;0,CC176&gt;0),CI176/(1-'1 - Input'!$B$22*CJ176),0)</f>
        <v>1303.5844719486893</v>
      </c>
      <c r="CL176" s="17">
        <f t="shared" si="175"/>
        <v>1303.5844719486893</v>
      </c>
      <c r="CM176" s="17">
        <f>'1 - Input'!$B$22*CJ176*CL176</f>
        <v>230.46722785898126</v>
      </c>
      <c r="CN176" s="17">
        <f t="shared" si="176"/>
        <v>1073.117244089708</v>
      </c>
      <c r="CO176" s="17">
        <f t="shared" si="177"/>
        <v>0</v>
      </c>
      <c r="CP176" s="17">
        <f t="shared" si="178"/>
        <v>0</v>
      </c>
      <c r="CQ176" s="17">
        <f t="shared" si="179"/>
        <v>300944.87394958915</v>
      </c>
      <c r="CR176" s="17">
        <f t="shared" si="180"/>
        <v>96308.137173126845</v>
      </c>
      <c r="CS176" s="17">
        <f>IF(MOD(BU176,12)=0,CQ176*'1 - Input'!$B$23,0)</f>
        <v>0</v>
      </c>
      <c r="CT176" s="17">
        <f t="shared" si="181"/>
        <v>300944.87394958915</v>
      </c>
      <c r="CU176" s="17">
        <f>IF(MOD(BU176,12)=0,CR176*(1-'1 - Input'!$B$23),CR176)</f>
        <v>96308.137173126845</v>
      </c>
      <c r="CV176" s="17">
        <f>IF('1 - Input'!$B$17=1,MIN(CF176,BX176)+CN176,CF176)</f>
        <v>3357.1106326655604</v>
      </c>
      <c r="CW176" s="17">
        <f t="shared" si="201"/>
        <v>397623.49023200216</v>
      </c>
      <c r="CX176" s="17">
        <f t="shared" si="202"/>
        <v>0</v>
      </c>
      <c r="CY176" s="17">
        <f t="shared" si="203"/>
        <v>4753.7314881025959</v>
      </c>
      <c r="CZ176" s="17">
        <f t="shared" si="204"/>
        <v>0</v>
      </c>
      <c r="DA176" s="17">
        <f t="shared" si="205"/>
        <v>8885.1167184435326</v>
      </c>
      <c r="DB176" s="17">
        <f t="shared" si="206"/>
        <v>0</v>
      </c>
      <c r="DC176" s="15">
        <f t="shared" si="182"/>
        <v>0</v>
      </c>
    </row>
    <row r="177" spans="1:107">
      <c r="A177" s="14">
        <v>134</v>
      </c>
      <c r="B177" s="15">
        <f t="shared" si="138"/>
        <v>12</v>
      </c>
      <c r="C177" s="16">
        <f>(1+INDEX('1 - Input'!$B$34:$E$63,B177,'1 - Input'!$B$16))^(1/12)-1</f>
        <v>4.1219243192651689E-3</v>
      </c>
      <c r="D177" s="17">
        <f>'1 - Input'!$B$7*(1+'1 - Input'!$B$12)^(B177-1)</f>
        <v>3357.1106326655604</v>
      </c>
      <c r="E177" s="17">
        <f t="shared" si="183"/>
        <v>182106.52186110572</v>
      </c>
      <c r="F177" s="17">
        <f t="shared" si="184"/>
        <v>286793.35818579682</v>
      </c>
      <c r="G177" s="17">
        <f t="shared" si="139"/>
        <v>182857.15116226181</v>
      </c>
      <c r="H177" s="17">
        <f>IF(G177&gt;0,'1 - Input'!$B$8/12*G177,0)</f>
        <v>1371.4286337169635</v>
      </c>
      <c r="I177" s="17">
        <f t="shared" si="140"/>
        <v>181485.72252854484</v>
      </c>
      <c r="J177" s="17">
        <f t="shared" si="141"/>
        <v>0</v>
      </c>
      <c r="K177" s="17">
        <f>'1 - Input'!$B$22*(H177-J177)</f>
        <v>356.57144476641054</v>
      </c>
      <c r="L177" s="17">
        <f t="shared" si="142"/>
        <v>1014.857188950553</v>
      </c>
      <c r="M177" s="17">
        <f t="shared" si="143"/>
        <v>286793.35818579682</v>
      </c>
      <c r="N177" s="17">
        <f>IF('1 - Input'!$B$17=1,MAX(0,L177-D177),0)</f>
        <v>0</v>
      </c>
      <c r="O177" s="17">
        <f>IF('1 - Input'!$B$17=1,MAX(0,D177-L177),0)</f>
        <v>2342.2534437150075</v>
      </c>
      <c r="P177" s="17">
        <f t="shared" si="144"/>
        <v>0</v>
      </c>
      <c r="Q177" s="17">
        <f>IF(AND(O177&gt;0,I177&gt;0),O177/(1-'1 - Input'!$B$22*P177),0)</f>
        <v>2342.2534437150075</v>
      </c>
      <c r="R177" s="17">
        <f t="shared" si="145"/>
        <v>2342.2534437150075</v>
      </c>
      <c r="S177" s="17">
        <f>'1 - Input'!$B$22*P177*R177</f>
        <v>0</v>
      </c>
      <c r="T177" s="17">
        <f t="shared" si="146"/>
        <v>2342.2534437150075</v>
      </c>
      <c r="U177" s="17">
        <f t="shared" si="147"/>
        <v>0</v>
      </c>
      <c r="V177" s="17">
        <f t="shared" si="148"/>
        <v>1359.0995965475386</v>
      </c>
      <c r="W177" s="17">
        <f t="shared" si="149"/>
        <v>179143.46908482982</v>
      </c>
      <c r="X177" s="17">
        <f t="shared" si="150"/>
        <v>283092.00514553429</v>
      </c>
      <c r="Y177" s="17">
        <f>IF(MOD(A177,12)=0,W177*'1 - Input'!$B$23,0)</f>
        <v>0</v>
      </c>
      <c r="Z177" s="17">
        <f t="shared" si="151"/>
        <v>179143.46908482982</v>
      </c>
      <c r="AA177" s="17">
        <f>IF(MOD(A177,12)=0,X177*(1-'1 - Input'!$B$23),X177)</f>
        <v>283092.00514553429</v>
      </c>
      <c r="AB177" s="17">
        <f>IF('1 - Input'!$B$17=1,MIN(L177,D177)+T177,L177)</f>
        <v>3357.1106326655604</v>
      </c>
      <c r="AC177" s="17">
        <f t="shared" si="185"/>
        <v>400980.60086466774</v>
      </c>
      <c r="AD177" s="17">
        <f t="shared" si="186"/>
        <v>91413.798168931578</v>
      </c>
      <c r="AE177" s="17">
        <f t="shared" si="187"/>
        <v>0</v>
      </c>
      <c r="AF177" s="17">
        <f t="shared" si="188"/>
        <v>53389.038156638533</v>
      </c>
      <c r="AG177" s="17">
        <f t="shared" si="189"/>
        <v>7400.0750840057017</v>
      </c>
      <c r="AH177" s="17">
        <f t="shared" si="190"/>
        <v>0</v>
      </c>
      <c r="AI177" s="15">
        <f t="shared" si="152"/>
        <v>0</v>
      </c>
      <c r="AK177" s="14">
        <v>134</v>
      </c>
      <c r="AL177" s="15">
        <f t="shared" si="153"/>
        <v>12</v>
      </c>
      <c r="AM177" s="16">
        <f>(1+INDEX('1 - Input'!$B$34:$E$63,AL177,'1 - Input'!$B$16))^(1/12)-1</f>
        <v>4.1219243192651689E-3</v>
      </c>
      <c r="AN177" s="17">
        <f>'1 - Input'!$B$7*(1+'1 - Input'!$B$12)^(AL177-1)</f>
        <v>3357.1106326655604</v>
      </c>
      <c r="AO177" s="17">
        <f t="shared" si="191"/>
        <v>182106.52186110572</v>
      </c>
      <c r="AP177" s="17">
        <f t="shared" si="192"/>
        <v>286793.35818579682</v>
      </c>
      <c r="AQ177" s="17">
        <f t="shared" si="154"/>
        <v>182857.15116226181</v>
      </c>
      <c r="AR177" s="17">
        <f>IF(AQ177&gt;0,'1 - Input'!$B$8/12*AQ177,0)</f>
        <v>1371.4286337169635</v>
      </c>
      <c r="AS177" s="17">
        <f t="shared" si="155"/>
        <v>181485.72252854484</v>
      </c>
      <c r="AT177" s="17">
        <f t="shared" si="156"/>
        <v>0</v>
      </c>
      <c r="AU177" s="17">
        <f>'1 - Input'!$B$22*(AR177-AT177)</f>
        <v>356.57144476641054</v>
      </c>
      <c r="AV177" s="17">
        <f t="shared" si="157"/>
        <v>1014.857188950553</v>
      </c>
      <c r="AW177" s="17">
        <f t="shared" si="158"/>
        <v>286793.35818579682</v>
      </c>
      <c r="AX177" s="17">
        <f>IF('1 - Input'!$B$17=1,MAX(0,AV177-AN177),0)</f>
        <v>0</v>
      </c>
      <c r="AY177" s="17">
        <f>IF('1 - Input'!$B$17=1,MAX(0,AN177-AV177),0)</f>
        <v>2342.2534437150075</v>
      </c>
      <c r="AZ177" s="17">
        <f t="shared" si="159"/>
        <v>0</v>
      </c>
      <c r="BA177" s="17">
        <f>IF(AND(AY177&gt;0,AS177&gt;0),AY177/(1-'1 - Input'!$B$22*AZ177),0)</f>
        <v>2342.2534437150075</v>
      </c>
      <c r="BB177" s="17">
        <f t="shared" si="160"/>
        <v>2342.2534437150075</v>
      </c>
      <c r="BC177" s="17">
        <f>'1 - Input'!$B$22*AZ177*BB177</f>
        <v>0</v>
      </c>
      <c r="BD177" s="17">
        <f t="shared" si="161"/>
        <v>2342.2534437150075</v>
      </c>
      <c r="BE177" s="17">
        <f t="shared" si="162"/>
        <v>0</v>
      </c>
      <c r="BF177" s="17">
        <f t="shared" si="163"/>
        <v>1359.0995965475386</v>
      </c>
      <c r="BG177" s="17">
        <f t="shared" si="164"/>
        <v>179143.46908482982</v>
      </c>
      <c r="BH177" s="17">
        <f t="shared" si="165"/>
        <v>283092.00514553429</v>
      </c>
      <c r="BI177" s="17">
        <f>IF(MOD(AK177,12)=0,BG177*'1 - Input'!$B$23,0)</f>
        <v>0</v>
      </c>
      <c r="BJ177" s="17">
        <f t="shared" si="166"/>
        <v>179143.46908482982</v>
      </c>
      <c r="BK177" s="17">
        <f>IF(MOD(AK177,12)=0,BH177*(1-'1 - Input'!$B$23),BH177)</f>
        <v>283092.00514553429</v>
      </c>
      <c r="BL177" s="17">
        <f>IF('1 - Input'!$B$17=1,MIN(AV177,AN177)+BD177,AV177)</f>
        <v>3357.1106326655604</v>
      </c>
      <c r="BM177" s="17">
        <f t="shared" si="193"/>
        <v>400980.60086466774</v>
      </c>
      <c r="BN177" s="17">
        <f t="shared" si="194"/>
        <v>91413.798168931578</v>
      </c>
      <c r="BO177" s="17">
        <f t="shared" si="195"/>
        <v>0</v>
      </c>
      <c r="BP177" s="17">
        <f t="shared" si="196"/>
        <v>53389.038156638533</v>
      </c>
      <c r="BQ177" s="17">
        <f t="shared" si="197"/>
        <v>7400.0750840057017</v>
      </c>
      <c r="BR177" s="17">
        <f t="shared" si="198"/>
        <v>0</v>
      </c>
      <c r="BS177" s="15">
        <f t="shared" si="167"/>
        <v>0</v>
      </c>
      <c r="BU177" s="14">
        <v>134</v>
      </c>
      <c r="BV177" s="15">
        <f t="shared" si="168"/>
        <v>12</v>
      </c>
      <c r="BW177" s="16">
        <f>(1+INDEX('1 - Input'!$B$34:$E$63,BV177,'1 - Input'!$B$16))^(1/12)-1</f>
        <v>4.1219243192651689E-3</v>
      </c>
      <c r="BX177" s="17">
        <f>'1 - Input'!$B$7*(1+'1 - Input'!$B$12)^(BV177-1)</f>
        <v>3357.1106326655604</v>
      </c>
      <c r="BY177" s="17">
        <f t="shared" si="199"/>
        <v>300944.87394958915</v>
      </c>
      <c r="BZ177" s="17">
        <f t="shared" si="200"/>
        <v>96308.137173126845</v>
      </c>
      <c r="CA177" s="17">
        <f t="shared" si="169"/>
        <v>302185.34594428015</v>
      </c>
      <c r="CB177" s="17">
        <f>IF(CA177&gt;0,'1 - Input'!$B$8/12*CA177,0)</f>
        <v>2266.390094582101</v>
      </c>
      <c r="CC177" s="17">
        <f t="shared" si="170"/>
        <v>299918.95584969805</v>
      </c>
      <c r="CD177" s="17">
        <f t="shared" si="171"/>
        <v>2266.390094582101</v>
      </c>
      <c r="CE177" s="17">
        <f>'1 - Input'!$B$22*(CB177-CD177)</f>
        <v>0</v>
      </c>
      <c r="CF177" s="17">
        <f t="shared" si="172"/>
        <v>2266.390094582101</v>
      </c>
      <c r="CG177" s="17">
        <f t="shared" si="173"/>
        <v>94041.747078544737</v>
      </c>
      <c r="CH177" s="17">
        <f>IF('1 - Input'!$B$17=1,MAX(0,CF177-BX177),0)</f>
        <v>0</v>
      </c>
      <c r="CI177" s="17">
        <f>IF('1 - Input'!$B$17=1,MAX(0,BX177-CF177),0)</f>
        <v>1090.7205380834594</v>
      </c>
      <c r="CJ177" s="17">
        <f t="shared" si="174"/>
        <v>0.68644280314955153</v>
      </c>
      <c r="CK177" s="17">
        <f>IF(AND(CI177&gt;0,CC177&gt;0),CI177/(1-'1 - Input'!$B$22*CJ177),0)</f>
        <v>1327.6780488889117</v>
      </c>
      <c r="CL177" s="17">
        <f t="shared" si="175"/>
        <v>1327.6780488889117</v>
      </c>
      <c r="CM177" s="17">
        <f>'1 - Input'!$B$22*CJ177*CL177</f>
        <v>236.9575108054523</v>
      </c>
      <c r="CN177" s="17">
        <f t="shared" si="176"/>
        <v>1090.7205380834594</v>
      </c>
      <c r="CO177" s="17">
        <f t="shared" si="177"/>
        <v>0</v>
      </c>
      <c r="CP177" s="17">
        <f t="shared" si="178"/>
        <v>0</v>
      </c>
      <c r="CQ177" s="17">
        <f t="shared" si="179"/>
        <v>298591.27780080913</v>
      </c>
      <c r="CR177" s="17">
        <f t="shared" si="180"/>
        <v>93625.444071215257</v>
      </c>
      <c r="CS177" s="17">
        <f>IF(MOD(BU177,12)=0,CQ177*'1 - Input'!$B$23,0)</f>
        <v>0</v>
      </c>
      <c r="CT177" s="17">
        <f t="shared" si="181"/>
        <v>298591.27780080913</v>
      </c>
      <c r="CU177" s="17">
        <f>IF(MOD(BU177,12)=0,CR177*(1-'1 - Input'!$B$23),CR177)</f>
        <v>93625.444071215257</v>
      </c>
      <c r="CV177" s="17">
        <f>IF('1 - Input'!$B$17=1,MIN(CF177,BX177)+CN177,CF177)</f>
        <v>3357.1106326655604</v>
      </c>
      <c r="CW177" s="17">
        <f t="shared" si="201"/>
        <v>400980.60086466774</v>
      </c>
      <c r="CX177" s="17">
        <f t="shared" si="202"/>
        <v>0</v>
      </c>
      <c r="CY177" s="17">
        <f t="shared" si="203"/>
        <v>4990.6889989080482</v>
      </c>
      <c r="CZ177" s="17">
        <f t="shared" si="204"/>
        <v>0</v>
      </c>
      <c r="DA177" s="17">
        <f t="shared" si="205"/>
        <v>8885.1167184435326</v>
      </c>
      <c r="DB177" s="17">
        <f t="shared" si="206"/>
        <v>0</v>
      </c>
      <c r="DC177" s="15">
        <f t="shared" si="182"/>
        <v>0</v>
      </c>
    </row>
    <row r="178" spans="1:107">
      <c r="A178" s="14">
        <v>135</v>
      </c>
      <c r="B178" s="15">
        <f t="shared" si="138"/>
        <v>12</v>
      </c>
      <c r="C178" s="16">
        <f>(1+INDEX('1 - Input'!$B$34:$E$63,B178,'1 - Input'!$B$16))^(1/12)-1</f>
        <v>4.1219243192651689E-3</v>
      </c>
      <c r="D178" s="17">
        <f>'1 - Input'!$B$7*(1+'1 - Input'!$B$12)^(B178-1)</f>
        <v>3357.1106326655604</v>
      </c>
      <c r="E178" s="17">
        <f t="shared" si="183"/>
        <v>179143.46908482982</v>
      </c>
      <c r="F178" s="17">
        <f t="shared" si="184"/>
        <v>283092.00514553429</v>
      </c>
      <c r="G178" s="17">
        <f t="shared" si="139"/>
        <v>179881.88490668809</v>
      </c>
      <c r="H178" s="17">
        <f>IF(G178&gt;0,'1 - Input'!$B$8/12*G178,0)</f>
        <v>1349.1141368001606</v>
      </c>
      <c r="I178" s="17">
        <f t="shared" si="140"/>
        <v>178532.77076988792</v>
      </c>
      <c r="J178" s="17">
        <f t="shared" si="141"/>
        <v>0</v>
      </c>
      <c r="K178" s="17">
        <f>'1 - Input'!$B$22*(H178-J178)</f>
        <v>350.76967556804175</v>
      </c>
      <c r="L178" s="17">
        <f t="shared" si="142"/>
        <v>998.34446123211887</v>
      </c>
      <c r="M178" s="17">
        <f t="shared" si="143"/>
        <v>283092.00514553429</v>
      </c>
      <c r="N178" s="17">
        <f>IF('1 - Input'!$B$17=1,MAX(0,L178-D178),0)</f>
        <v>0</v>
      </c>
      <c r="O178" s="17">
        <f>IF('1 - Input'!$B$17=1,MAX(0,D178-L178),0)</f>
        <v>2358.7661714334417</v>
      </c>
      <c r="P178" s="17">
        <f t="shared" si="144"/>
        <v>0</v>
      </c>
      <c r="Q178" s="17">
        <f>IF(AND(O178&gt;0,I178&gt;0),O178/(1-'1 - Input'!$B$22*P178),0)</f>
        <v>2358.7661714334417</v>
      </c>
      <c r="R178" s="17">
        <f t="shared" si="145"/>
        <v>2358.7661714334417</v>
      </c>
      <c r="S178" s="17">
        <f>'1 - Input'!$B$22*P178*R178</f>
        <v>0</v>
      </c>
      <c r="T178" s="17">
        <f t="shared" si="146"/>
        <v>2358.7661714334417</v>
      </c>
      <c r="U178" s="17">
        <f t="shared" si="147"/>
        <v>0</v>
      </c>
      <c r="V178" s="17">
        <f t="shared" si="148"/>
        <v>1381.4314531315897</v>
      </c>
      <c r="W178" s="17">
        <f t="shared" si="149"/>
        <v>176174.00459845448</v>
      </c>
      <c r="X178" s="17">
        <f t="shared" si="150"/>
        <v>279351.80752096925</v>
      </c>
      <c r="Y178" s="17">
        <f>IF(MOD(A178,12)=0,W178*'1 - Input'!$B$23,0)</f>
        <v>0</v>
      </c>
      <c r="Z178" s="17">
        <f t="shared" si="151"/>
        <v>176174.00459845448</v>
      </c>
      <c r="AA178" s="17">
        <f>IF(MOD(A178,12)=0,X178*(1-'1 - Input'!$B$23),X178)</f>
        <v>279351.80752096925</v>
      </c>
      <c r="AB178" s="17">
        <f>IF('1 - Input'!$B$17=1,MIN(L178,D178)+T178,L178)</f>
        <v>3357.1106326655608</v>
      </c>
      <c r="AC178" s="17">
        <f t="shared" si="185"/>
        <v>404337.71149733331</v>
      </c>
      <c r="AD178" s="17">
        <f t="shared" si="186"/>
        <v>91764.567844499616</v>
      </c>
      <c r="AE178" s="17">
        <f t="shared" si="187"/>
        <v>0</v>
      </c>
      <c r="AF178" s="17">
        <f t="shared" si="188"/>
        <v>54770.469609770123</v>
      </c>
      <c r="AG178" s="17">
        <f t="shared" si="189"/>
        <v>7400.0750840057017</v>
      </c>
      <c r="AH178" s="17">
        <f t="shared" si="190"/>
        <v>0</v>
      </c>
      <c r="AI178" s="15">
        <f t="shared" si="152"/>
        <v>0</v>
      </c>
      <c r="AK178" s="14">
        <v>135</v>
      </c>
      <c r="AL178" s="15">
        <f t="shared" si="153"/>
        <v>12</v>
      </c>
      <c r="AM178" s="16">
        <f>(1+INDEX('1 - Input'!$B$34:$E$63,AL178,'1 - Input'!$B$16))^(1/12)-1</f>
        <v>4.1219243192651689E-3</v>
      </c>
      <c r="AN178" s="17">
        <f>'1 - Input'!$B$7*(1+'1 - Input'!$B$12)^(AL178-1)</f>
        <v>3357.1106326655604</v>
      </c>
      <c r="AO178" s="17">
        <f t="shared" si="191"/>
        <v>179143.46908482982</v>
      </c>
      <c r="AP178" s="17">
        <f t="shared" si="192"/>
        <v>283092.00514553429</v>
      </c>
      <c r="AQ178" s="17">
        <f t="shared" si="154"/>
        <v>179881.88490668809</v>
      </c>
      <c r="AR178" s="17">
        <f>IF(AQ178&gt;0,'1 - Input'!$B$8/12*AQ178,0)</f>
        <v>1349.1141368001606</v>
      </c>
      <c r="AS178" s="17">
        <f t="shared" si="155"/>
        <v>178532.77076988792</v>
      </c>
      <c r="AT178" s="17">
        <f t="shared" si="156"/>
        <v>0</v>
      </c>
      <c r="AU178" s="17">
        <f>'1 - Input'!$B$22*(AR178-AT178)</f>
        <v>350.76967556804175</v>
      </c>
      <c r="AV178" s="17">
        <f t="shared" si="157"/>
        <v>998.34446123211887</v>
      </c>
      <c r="AW178" s="17">
        <f t="shared" si="158"/>
        <v>283092.00514553429</v>
      </c>
      <c r="AX178" s="17">
        <f>IF('1 - Input'!$B$17=1,MAX(0,AV178-AN178),0)</f>
        <v>0</v>
      </c>
      <c r="AY178" s="17">
        <f>IF('1 - Input'!$B$17=1,MAX(0,AN178-AV178),0)</f>
        <v>2358.7661714334417</v>
      </c>
      <c r="AZ178" s="17">
        <f t="shared" si="159"/>
        <v>0</v>
      </c>
      <c r="BA178" s="17">
        <f>IF(AND(AY178&gt;0,AS178&gt;0),AY178/(1-'1 - Input'!$B$22*AZ178),0)</f>
        <v>2358.7661714334417</v>
      </c>
      <c r="BB178" s="17">
        <f t="shared" si="160"/>
        <v>2358.7661714334417</v>
      </c>
      <c r="BC178" s="17">
        <f>'1 - Input'!$B$22*AZ178*BB178</f>
        <v>0</v>
      </c>
      <c r="BD178" s="17">
        <f t="shared" si="161"/>
        <v>2358.7661714334417</v>
      </c>
      <c r="BE178" s="17">
        <f t="shared" si="162"/>
        <v>0</v>
      </c>
      <c r="BF178" s="17">
        <f t="shared" si="163"/>
        <v>1381.4314531315897</v>
      </c>
      <c r="BG178" s="17">
        <f t="shared" si="164"/>
        <v>176174.00459845448</v>
      </c>
      <c r="BH178" s="17">
        <f t="shared" si="165"/>
        <v>279351.80752096925</v>
      </c>
      <c r="BI178" s="17">
        <f>IF(MOD(AK178,12)=0,BG178*'1 - Input'!$B$23,0)</f>
        <v>0</v>
      </c>
      <c r="BJ178" s="17">
        <f t="shared" si="166"/>
        <v>176174.00459845448</v>
      </c>
      <c r="BK178" s="17">
        <f>IF(MOD(AK178,12)=0,BH178*(1-'1 - Input'!$B$23),BH178)</f>
        <v>279351.80752096925</v>
      </c>
      <c r="BL178" s="17">
        <f>IF('1 - Input'!$B$17=1,MIN(AV178,AN178)+BD178,AV178)</f>
        <v>3357.1106326655608</v>
      </c>
      <c r="BM178" s="17">
        <f t="shared" si="193"/>
        <v>404337.71149733331</v>
      </c>
      <c r="BN178" s="17">
        <f t="shared" si="194"/>
        <v>91764.567844499616</v>
      </c>
      <c r="BO178" s="17">
        <f t="shared" si="195"/>
        <v>0</v>
      </c>
      <c r="BP178" s="17">
        <f t="shared" si="196"/>
        <v>54770.469609770123</v>
      </c>
      <c r="BQ178" s="17">
        <f t="shared" si="197"/>
        <v>7400.0750840057017</v>
      </c>
      <c r="BR178" s="17">
        <f t="shared" si="198"/>
        <v>0</v>
      </c>
      <c r="BS178" s="15">
        <f t="shared" si="167"/>
        <v>0</v>
      </c>
      <c r="BU178" s="14">
        <v>135</v>
      </c>
      <c r="BV178" s="15">
        <f t="shared" si="168"/>
        <v>12</v>
      </c>
      <c r="BW178" s="16">
        <f>(1+INDEX('1 - Input'!$B$34:$E$63,BV178,'1 - Input'!$B$16))^(1/12)-1</f>
        <v>4.1219243192651689E-3</v>
      </c>
      <c r="BX178" s="17">
        <f>'1 - Input'!$B$7*(1+'1 - Input'!$B$12)^(BV178-1)</f>
        <v>3357.1106326655604</v>
      </c>
      <c r="BY178" s="17">
        <f t="shared" si="199"/>
        <v>298591.27780080913</v>
      </c>
      <c r="BZ178" s="17">
        <f t="shared" si="200"/>
        <v>93625.444071215257</v>
      </c>
      <c r="CA178" s="17">
        <f t="shared" si="169"/>
        <v>299822.04845029674</v>
      </c>
      <c r="CB178" s="17">
        <f>IF(CA178&gt;0,'1 - Input'!$B$8/12*CA178,0)</f>
        <v>2248.6653633772253</v>
      </c>
      <c r="CC178" s="17">
        <f t="shared" si="170"/>
        <v>297573.38308691949</v>
      </c>
      <c r="CD178" s="17">
        <f t="shared" si="171"/>
        <v>2248.6653633772253</v>
      </c>
      <c r="CE178" s="17">
        <f>'1 - Input'!$B$22*(CB178-CD178)</f>
        <v>0</v>
      </c>
      <c r="CF178" s="17">
        <f t="shared" si="172"/>
        <v>2248.6653633772253</v>
      </c>
      <c r="CG178" s="17">
        <f t="shared" si="173"/>
        <v>91376.778707838035</v>
      </c>
      <c r="CH178" s="17">
        <f>IF('1 - Input'!$B$17=1,MAX(0,CF178-BX178),0)</f>
        <v>0</v>
      </c>
      <c r="CI178" s="17">
        <f>IF('1 - Input'!$B$17=1,MAX(0,BX178-CF178),0)</f>
        <v>1108.4452692883351</v>
      </c>
      <c r="CJ178" s="17">
        <f t="shared" si="174"/>
        <v>0.69292690844884008</v>
      </c>
      <c r="CK178" s="17">
        <f>IF(AND(CI178&gt;0,CC178&gt;0),CI178/(1-'1 - Input'!$B$22*CJ178),0)</f>
        <v>1352.0279764028853</v>
      </c>
      <c r="CL178" s="17">
        <f t="shared" si="175"/>
        <v>1352.0279764028853</v>
      </c>
      <c r="CM178" s="17">
        <f>'1 - Input'!$B$22*CJ178*CL178</f>
        <v>243.58270711455009</v>
      </c>
      <c r="CN178" s="17">
        <f t="shared" si="176"/>
        <v>1108.4452692883351</v>
      </c>
      <c r="CO178" s="17">
        <f t="shared" si="177"/>
        <v>0</v>
      </c>
      <c r="CP178" s="17">
        <f t="shared" si="178"/>
        <v>0</v>
      </c>
      <c r="CQ178" s="17">
        <f t="shared" si="179"/>
        <v>296221.3551105166</v>
      </c>
      <c r="CR178" s="17">
        <f t="shared" si="180"/>
        <v>90961.607297260343</v>
      </c>
      <c r="CS178" s="17">
        <f>IF(MOD(BU178,12)=0,CQ178*'1 - Input'!$B$23,0)</f>
        <v>0</v>
      </c>
      <c r="CT178" s="17">
        <f t="shared" si="181"/>
        <v>296221.3551105166</v>
      </c>
      <c r="CU178" s="17">
        <f>IF(MOD(BU178,12)=0,CR178*(1-'1 - Input'!$B$23),CR178)</f>
        <v>90961.607297260343</v>
      </c>
      <c r="CV178" s="17">
        <f>IF('1 - Input'!$B$17=1,MIN(CF178,BX178)+CN178,CF178)</f>
        <v>3357.1106326655604</v>
      </c>
      <c r="CW178" s="17">
        <f t="shared" si="201"/>
        <v>404337.71149733331</v>
      </c>
      <c r="CX178" s="17">
        <f t="shared" si="202"/>
        <v>0</v>
      </c>
      <c r="CY178" s="17">
        <f t="shared" si="203"/>
        <v>5234.2717060225987</v>
      </c>
      <c r="CZ178" s="17">
        <f t="shared" si="204"/>
        <v>0</v>
      </c>
      <c r="DA178" s="17">
        <f t="shared" si="205"/>
        <v>8885.1167184435326</v>
      </c>
      <c r="DB178" s="17">
        <f t="shared" si="206"/>
        <v>0</v>
      </c>
      <c r="DC178" s="15">
        <f t="shared" si="182"/>
        <v>0</v>
      </c>
    </row>
    <row r="179" spans="1:107">
      <c r="A179" s="14">
        <v>136</v>
      </c>
      <c r="B179" s="15">
        <f t="shared" si="138"/>
        <v>12</v>
      </c>
      <c r="C179" s="16">
        <f>(1+INDEX('1 - Input'!$B$34:$E$63,B179,'1 - Input'!$B$16))^(1/12)-1</f>
        <v>4.1219243192651689E-3</v>
      </c>
      <c r="D179" s="17">
        <f>'1 - Input'!$B$7*(1+'1 - Input'!$B$12)^(B179-1)</f>
        <v>3357.1106326655604</v>
      </c>
      <c r="E179" s="17">
        <f t="shared" si="183"/>
        <v>176174.00459845448</v>
      </c>
      <c r="F179" s="17">
        <f t="shared" si="184"/>
        <v>279351.80752096925</v>
      </c>
      <c r="G179" s="17">
        <f t="shared" si="139"/>
        <v>176900.18051243119</v>
      </c>
      <c r="H179" s="17">
        <f>IF(G179&gt;0,'1 - Input'!$B$8/12*G179,0)</f>
        <v>1326.7513538432338</v>
      </c>
      <c r="I179" s="17">
        <f t="shared" si="140"/>
        <v>175573.42915858797</v>
      </c>
      <c r="J179" s="17">
        <f t="shared" si="141"/>
        <v>0</v>
      </c>
      <c r="K179" s="17">
        <f>'1 - Input'!$B$22*(H179-J179)</f>
        <v>344.9553519992408</v>
      </c>
      <c r="L179" s="17">
        <f t="shared" si="142"/>
        <v>981.79600184399305</v>
      </c>
      <c r="M179" s="17">
        <f t="shared" si="143"/>
        <v>279351.80752096925</v>
      </c>
      <c r="N179" s="17">
        <f>IF('1 - Input'!$B$17=1,MAX(0,L179-D179),0)</f>
        <v>0</v>
      </c>
      <c r="O179" s="17">
        <f>IF('1 - Input'!$B$17=1,MAX(0,D179-L179),0)</f>
        <v>2375.3146308215673</v>
      </c>
      <c r="P179" s="17">
        <f t="shared" si="144"/>
        <v>0</v>
      </c>
      <c r="Q179" s="17">
        <f>IF(AND(O179&gt;0,I179&gt;0),O179/(1-'1 - Input'!$B$22*P179),0)</f>
        <v>2375.3146308215673</v>
      </c>
      <c r="R179" s="17">
        <f t="shared" si="145"/>
        <v>2375.3146308215673</v>
      </c>
      <c r="S179" s="17">
        <f>'1 - Input'!$B$22*P179*R179</f>
        <v>0</v>
      </c>
      <c r="T179" s="17">
        <f t="shared" si="146"/>
        <v>2375.3146308215673</v>
      </c>
      <c r="U179" s="17">
        <f t="shared" si="147"/>
        <v>0</v>
      </c>
      <c r="V179" s="17">
        <f t="shared" si="148"/>
        <v>1404.0068686272684</v>
      </c>
      <c r="W179" s="17">
        <f t="shared" si="149"/>
        <v>173198.11452776639</v>
      </c>
      <c r="X179" s="17">
        <f t="shared" si="150"/>
        <v>275572.4860215204</v>
      </c>
      <c r="Y179" s="17">
        <f>IF(MOD(A179,12)=0,W179*'1 - Input'!$B$23,0)</f>
        <v>0</v>
      </c>
      <c r="Z179" s="17">
        <f t="shared" si="151"/>
        <v>173198.11452776639</v>
      </c>
      <c r="AA179" s="17">
        <f>IF(MOD(A179,12)=0,X179*(1-'1 - Input'!$B$23),X179)</f>
        <v>275572.4860215204</v>
      </c>
      <c r="AB179" s="17">
        <f>IF('1 - Input'!$B$17=1,MIN(L179,D179)+T179,L179)</f>
        <v>3357.1106326655604</v>
      </c>
      <c r="AC179" s="17">
        <f t="shared" si="185"/>
        <v>407694.82212999888</v>
      </c>
      <c r="AD179" s="17">
        <f t="shared" si="186"/>
        <v>92109.523196498863</v>
      </c>
      <c r="AE179" s="17">
        <f t="shared" si="187"/>
        <v>0</v>
      </c>
      <c r="AF179" s="17">
        <f t="shared" si="188"/>
        <v>56174.476478397395</v>
      </c>
      <c r="AG179" s="17">
        <f t="shared" si="189"/>
        <v>7400.0750840057017</v>
      </c>
      <c r="AH179" s="17">
        <f t="shared" si="190"/>
        <v>0</v>
      </c>
      <c r="AI179" s="15">
        <f t="shared" si="152"/>
        <v>0</v>
      </c>
      <c r="AK179" s="14">
        <v>136</v>
      </c>
      <c r="AL179" s="15">
        <f t="shared" si="153"/>
        <v>12</v>
      </c>
      <c r="AM179" s="16">
        <f>(1+INDEX('1 - Input'!$B$34:$E$63,AL179,'1 - Input'!$B$16))^(1/12)-1</f>
        <v>4.1219243192651689E-3</v>
      </c>
      <c r="AN179" s="17">
        <f>'1 - Input'!$B$7*(1+'1 - Input'!$B$12)^(AL179-1)</f>
        <v>3357.1106326655604</v>
      </c>
      <c r="AO179" s="17">
        <f t="shared" si="191"/>
        <v>176174.00459845448</v>
      </c>
      <c r="AP179" s="17">
        <f t="shared" si="192"/>
        <v>279351.80752096925</v>
      </c>
      <c r="AQ179" s="17">
        <f t="shared" si="154"/>
        <v>176900.18051243119</v>
      </c>
      <c r="AR179" s="17">
        <f>IF(AQ179&gt;0,'1 - Input'!$B$8/12*AQ179,0)</f>
        <v>1326.7513538432338</v>
      </c>
      <c r="AS179" s="17">
        <f t="shared" si="155"/>
        <v>175573.42915858797</v>
      </c>
      <c r="AT179" s="17">
        <f t="shared" si="156"/>
        <v>0</v>
      </c>
      <c r="AU179" s="17">
        <f>'1 - Input'!$B$22*(AR179-AT179)</f>
        <v>344.9553519992408</v>
      </c>
      <c r="AV179" s="17">
        <f t="shared" si="157"/>
        <v>981.79600184399305</v>
      </c>
      <c r="AW179" s="17">
        <f t="shared" si="158"/>
        <v>279351.80752096925</v>
      </c>
      <c r="AX179" s="17">
        <f>IF('1 - Input'!$B$17=1,MAX(0,AV179-AN179),0)</f>
        <v>0</v>
      </c>
      <c r="AY179" s="17">
        <f>IF('1 - Input'!$B$17=1,MAX(0,AN179-AV179),0)</f>
        <v>2375.3146308215673</v>
      </c>
      <c r="AZ179" s="17">
        <f t="shared" si="159"/>
        <v>0</v>
      </c>
      <c r="BA179" s="17">
        <f>IF(AND(AY179&gt;0,AS179&gt;0),AY179/(1-'1 - Input'!$B$22*AZ179),0)</f>
        <v>2375.3146308215673</v>
      </c>
      <c r="BB179" s="17">
        <f t="shared" si="160"/>
        <v>2375.3146308215673</v>
      </c>
      <c r="BC179" s="17">
        <f>'1 - Input'!$B$22*AZ179*BB179</f>
        <v>0</v>
      </c>
      <c r="BD179" s="17">
        <f t="shared" si="161"/>
        <v>2375.3146308215673</v>
      </c>
      <c r="BE179" s="17">
        <f t="shared" si="162"/>
        <v>0</v>
      </c>
      <c r="BF179" s="17">
        <f t="shared" si="163"/>
        <v>1404.0068686272684</v>
      </c>
      <c r="BG179" s="17">
        <f t="shared" si="164"/>
        <v>173198.11452776639</v>
      </c>
      <c r="BH179" s="17">
        <f t="shared" si="165"/>
        <v>275572.4860215204</v>
      </c>
      <c r="BI179" s="17">
        <f>IF(MOD(AK179,12)=0,BG179*'1 - Input'!$B$23,0)</f>
        <v>0</v>
      </c>
      <c r="BJ179" s="17">
        <f t="shared" si="166"/>
        <v>173198.11452776639</v>
      </c>
      <c r="BK179" s="17">
        <f>IF(MOD(AK179,12)=0,BH179*(1-'1 - Input'!$B$23),BH179)</f>
        <v>275572.4860215204</v>
      </c>
      <c r="BL179" s="17">
        <f>IF('1 - Input'!$B$17=1,MIN(AV179,AN179)+BD179,AV179)</f>
        <v>3357.1106326655604</v>
      </c>
      <c r="BM179" s="17">
        <f t="shared" si="193"/>
        <v>407694.82212999888</v>
      </c>
      <c r="BN179" s="17">
        <f t="shared" si="194"/>
        <v>92109.523196498863</v>
      </c>
      <c r="BO179" s="17">
        <f t="shared" si="195"/>
        <v>0</v>
      </c>
      <c r="BP179" s="17">
        <f t="shared" si="196"/>
        <v>56174.476478397395</v>
      </c>
      <c r="BQ179" s="17">
        <f t="shared" si="197"/>
        <v>7400.0750840057017</v>
      </c>
      <c r="BR179" s="17">
        <f t="shared" si="198"/>
        <v>0</v>
      </c>
      <c r="BS179" s="15">
        <f t="shared" si="167"/>
        <v>0</v>
      </c>
      <c r="BU179" s="14">
        <v>136</v>
      </c>
      <c r="BV179" s="15">
        <f t="shared" si="168"/>
        <v>12</v>
      </c>
      <c r="BW179" s="16">
        <f>(1+INDEX('1 - Input'!$B$34:$E$63,BV179,'1 - Input'!$B$16))^(1/12)-1</f>
        <v>4.1219243192651689E-3</v>
      </c>
      <c r="BX179" s="17">
        <f>'1 - Input'!$B$7*(1+'1 - Input'!$B$12)^(BV179-1)</f>
        <v>3357.1106326655604</v>
      </c>
      <c r="BY179" s="17">
        <f t="shared" si="199"/>
        <v>296221.3551105166</v>
      </c>
      <c r="BZ179" s="17">
        <f t="shared" si="200"/>
        <v>90961.607297260343</v>
      </c>
      <c r="CA179" s="17">
        <f t="shared" si="169"/>
        <v>297442.35711803229</v>
      </c>
      <c r="CB179" s="17">
        <f>IF(CA179&gt;0,'1 - Input'!$B$8/12*CA179,0)</f>
        <v>2230.8176783852423</v>
      </c>
      <c r="CC179" s="17">
        <f t="shared" si="170"/>
        <v>295211.53943964705</v>
      </c>
      <c r="CD179" s="17">
        <f t="shared" si="171"/>
        <v>2230.8176783852423</v>
      </c>
      <c r="CE179" s="17">
        <f>'1 - Input'!$B$22*(CB179-CD179)</f>
        <v>0</v>
      </c>
      <c r="CF179" s="17">
        <f t="shared" si="172"/>
        <v>2230.8176783852423</v>
      </c>
      <c r="CG179" s="17">
        <f t="shared" si="173"/>
        <v>88730.789618875104</v>
      </c>
      <c r="CH179" s="17">
        <f>IF('1 - Input'!$B$17=1,MAX(0,CF179-BX179),0)</f>
        <v>0</v>
      </c>
      <c r="CI179" s="17">
        <f>IF('1 - Input'!$B$17=1,MAX(0,BX179-CF179),0)</f>
        <v>1126.2929542803181</v>
      </c>
      <c r="CJ179" s="17">
        <f t="shared" si="174"/>
        <v>0.69943319360991585</v>
      </c>
      <c r="CK179" s="17">
        <f>IF(AND(CI179&gt;0,CC179&gt;0),CI179/(1-'1 - Input'!$B$22*CJ179),0)</f>
        <v>1376.6382390820588</v>
      </c>
      <c r="CL179" s="17">
        <f t="shared" si="175"/>
        <v>1376.6382390820588</v>
      </c>
      <c r="CM179" s="17">
        <f>'1 - Input'!$B$22*CJ179*CL179</f>
        <v>250.34528480174077</v>
      </c>
      <c r="CN179" s="17">
        <f t="shared" si="176"/>
        <v>1126.2929542803181</v>
      </c>
      <c r="CO179" s="17">
        <f t="shared" si="177"/>
        <v>0</v>
      </c>
      <c r="CP179" s="17">
        <f t="shared" si="178"/>
        <v>0</v>
      </c>
      <c r="CQ179" s="17">
        <f t="shared" si="179"/>
        <v>293834.90120056499</v>
      </c>
      <c r="CR179" s="17">
        <f t="shared" si="180"/>
        <v>88317.017859799744</v>
      </c>
      <c r="CS179" s="17">
        <f>IF(MOD(BU179,12)=0,CQ179*'1 - Input'!$B$23,0)</f>
        <v>0</v>
      </c>
      <c r="CT179" s="17">
        <f t="shared" si="181"/>
        <v>293834.90120056499</v>
      </c>
      <c r="CU179" s="17">
        <f>IF(MOD(BU179,12)=0,CR179*(1-'1 - Input'!$B$23),CR179)</f>
        <v>88317.017859799744</v>
      </c>
      <c r="CV179" s="17">
        <f>IF('1 - Input'!$B$17=1,MIN(CF179,BX179)+CN179,CF179)</f>
        <v>3357.1106326655604</v>
      </c>
      <c r="CW179" s="17">
        <f t="shared" si="201"/>
        <v>407694.82212999888</v>
      </c>
      <c r="CX179" s="17">
        <f t="shared" si="202"/>
        <v>0</v>
      </c>
      <c r="CY179" s="17">
        <f t="shared" si="203"/>
        <v>5484.6169908243392</v>
      </c>
      <c r="CZ179" s="17">
        <f t="shared" si="204"/>
        <v>0</v>
      </c>
      <c r="DA179" s="17">
        <f t="shared" si="205"/>
        <v>8885.1167184435326</v>
      </c>
      <c r="DB179" s="17">
        <f t="shared" si="206"/>
        <v>0</v>
      </c>
      <c r="DC179" s="15">
        <f t="shared" si="182"/>
        <v>0</v>
      </c>
    </row>
    <row r="180" spans="1:107">
      <c r="A180" s="14">
        <v>137</v>
      </c>
      <c r="B180" s="15">
        <f t="shared" si="138"/>
        <v>12</v>
      </c>
      <c r="C180" s="16">
        <f>(1+INDEX('1 - Input'!$B$34:$E$63,B180,'1 - Input'!$B$16))^(1/12)-1</f>
        <v>4.1219243192651689E-3</v>
      </c>
      <c r="D180" s="17">
        <f>'1 - Input'!$B$7*(1+'1 - Input'!$B$12)^(B180-1)</f>
        <v>3357.1106326655604</v>
      </c>
      <c r="E180" s="17">
        <f t="shared" si="183"/>
        <v>173198.11452776639</v>
      </c>
      <c r="F180" s="17">
        <f t="shared" si="184"/>
        <v>275572.4860215204</v>
      </c>
      <c r="G180" s="17">
        <f t="shared" si="139"/>
        <v>173912.02404808925</v>
      </c>
      <c r="H180" s="17">
        <f>IF(G180&gt;0,'1 - Input'!$B$8/12*G180,0)</f>
        <v>1304.3401803606694</v>
      </c>
      <c r="I180" s="17">
        <f t="shared" si="140"/>
        <v>172607.68386772857</v>
      </c>
      <c r="J180" s="17">
        <f t="shared" si="141"/>
        <v>0</v>
      </c>
      <c r="K180" s="17">
        <f>'1 - Input'!$B$22*(H180-J180)</f>
        <v>339.12844689377403</v>
      </c>
      <c r="L180" s="17">
        <f t="shared" si="142"/>
        <v>965.21173346689534</v>
      </c>
      <c r="M180" s="17">
        <f t="shared" si="143"/>
        <v>275572.4860215204</v>
      </c>
      <c r="N180" s="17">
        <f>IF('1 - Input'!$B$17=1,MAX(0,L180-D180),0)</f>
        <v>0</v>
      </c>
      <c r="O180" s="17">
        <f>IF('1 - Input'!$B$17=1,MAX(0,D180-L180),0)</f>
        <v>2391.8988991986653</v>
      </c>
      <c r="P180" s="17">
        <f t="shared" si="144"/>
        <v>0</v>
      </c>
      <c r="Q180" s="17">
        <f>IF(AND(O180&gt;0,I180&gt;0),O180/(1-'1 - Input'!$B$22*P180),0)</f>
        <v>2391.8988991986653</v>
      </c>
      <c r="R180" s="17">
        <f t="shared" si="145"/>
        <v>2391.8988991986653</v>
      </c>
      <c r="S180" s="17">
        <f>'1 - Input'!$B$22*P180*R180</f>
        <v>0</v>
      </c>
      <c r="T180" s="17">
        <f t="shared" si="146"/>
        <v>2391.8988991986653</v>
      </c>
      <c r="U180" s="17">
        <f t="shared" si="147"/>
        <v>0</v>
      </c>
      <c r="V180" s="17">
        <f t="shared" si="148"/>
        <v>1426.827539824887</v>
      </c>
      <c r="W180" s="17">
        <f t="shared" si="149"/>
        <v>170215.78496852992</v>
      </c>
      <c r="X180" s="17">
        <f t="shared" si="150"/>
        <v>271753.75958249683</v>
      </c>
      <c r="Y180" s="17">
        <f>IF(MOD(A180,12)=0,W180*'1 - Input'!$B$23,0)</f>
        <v>0</v>
      </c>
      <c r="Z180" s="17">
        <f t="shared" si="151"/>
        <v>170215.78496852992</v>
      </c>
      <c r="AA180" s="17">
        <f>IF(MOD(A180,12)=0,X180*(1-'1 - Input'!$B$23),X180)</f>
        <v>271753.75958249683</v>
      </c>
      <c r="AB180" s="17">
        <f>IF('1 - Input'!$B$17=1,MIN(L180,D180)+T180,L180)</f>
        <v>3357.1106326655608</v>
      </c>
      <c r="AC180" s="17">
        <f t="shared" si="185"/>
        <v>411051.93276266445</v>
      </c>
      <c r="AD180" s="17">
        <f t="shared" si="186"/>
        <v>92448.651643392644</v>
      </c>
      <c r="AE180" s="17">
        <f t="shared" si="187"/>
        <v>0</v>
      </c>
      <c r="AF180" s="17">
        <f t="shared" si="188"/>
        <v>57601.304018222283</v>
      </c>
      <c r="AG180" s="17">
        <f t="shared" si="189"/>
        <v>7400.0750840057017</v>
      </c>
      <c r="AH180" s="17">
        <f t="shared" si="190"/>
        <v>0</v>
      </c>
      <c r="AI180" s="15">
        <f t="shared" si="152"/>
        <v>0</v>
      </c>
      <c r="AK180" s="14">
        <v>137</v>
      </c>
      <c r="AL180" s="15">
        <f t="shared" si="153"/>
        <v>12</v>
      </c>
      <c r="AM180" s="16">
        <f>(1+INDEX('1 - Input'!$B$34:$E$63,AL180,'1 - Input'!$B$16))^(1/12)-1</f>
        <v>4.1219243192651689E-3</v>
      </c>
      <c r="AN180" s="17">
        <f>'1 - Input'!$B$7*(1+'1 - Input'!$B$12)^(AL180-1)</f>
        <v>3357.1106326655604</v>
      </c>
      <c r="AO180" s="17">
        <f t="shared" si="191"/>
        <v>173198.11452776639</v>
      </c>
      <c r="AP180" s="17">
        <f t="shared" si="192"/>
        <v>275572.4860215204</v>
      </c>
      <c r="AQ180" s="17">
        <f t="shared" si="154"/>
        <v>173912.02404808925</v>
      </c>
      <c r="AR180" s="17">
        <f>IF(AQ180&gt;0,'1 - Input'!$B$8/12*AQ180,0)</f>
        <v>1304.3401803606694</v>
      </c>
      <c r="AS180" s="17">
        <f t="shared" si="155"/>
        <v>172607.68386772857</v>
      </c>
      <c r="AT180" s="17">
        <f t="shared" si="156"/>
        <v>0</v>
      </c>
      <c r="AU180" s="17">
        <f>'1 - Input'!$B$22*(AR180-AT180)</f>
        <v>339.12844689377403</v>
      </c>
      <c r="AV180" s="17">
        <f t="shared" si="157"/>
        <v>965.21173346689534</v>
      </c>
      <c r="AW180" s="17">
        <f t="shared" si="158"/>
        <v>275572.4860215204</v>
      </c>
      <c r="AX180" s="17">
        <f>IF('1 - Input'!$B$17=1,MAX(0,AV180-AN180),0)</f>
        <v>0</v>
      </c>
      <c r="AY180" s="17">
        <f>IF('1 - Input'!$B$17=1,MAX(0,AN180-AV180),0)</f>
        <v>2391.8988991986653</v>
      </c>
      <c r="AZ180" s="17">
        <f t="shared" si="159"/>
        <v>0</v>
      </c>
      <c r="BA180" s="17">
        <f>IF(AND(AY180&gt;0,AS180&gt;0),AY180/(1-'1 - Input'!$B$22*AZ180),0)</f>
        <v>2391.8988991986653</v>
      </c>
      <c r="BB180" s="17">
        <f t="shared" si="160"/>
        <v>2391.8988991986653</v>
      </c>
      <c r="BC180" s="17">
        <f>'1 - Input'!$B$22*AZ180*BB180</f>
        <v>0</v>
      </c>
      <c r="BD180" s="17">
        <f t="shared" si="161"/>
        <v>2391.8988991986653</v>
      </c>
      <c r="BE180" s="17">
        <f t="shared" si="162"/>
        <v>0</v>
      </c>
      <c r="BF180" s="17">
        <f t="shared" si="163"/>
        <v>1426.827539824887</v>
      </c>
      <c r="BG180" s="17">
        <f t="shared" si="164"/>
        <v>170215.78496852992</v>
      </c>
      <c r="BH180" s="17">
        <f t="shared" si="165"/>
        <v>271753.75958249683</v>
      </c>
      <c r="BI180" s="17">
        <f>IF(MOD(AK180,12)=0,BG180*'1 - Input'!$B$23,0)</f>
        <v>0</v>
      </c>
      <c r="BJ180" s="17">
        <f t="shared" si="166"/>
        <v>170215.78496852992</v>
      </c>
      <c r="BK180" s="17">
        <f>IF(MOD(AK180,12)=0,BH180*(1-'1 - Input'!$B$23),BH180)</f>
        <v>271753.75958249683</v>
      </c>
      <c r="BL180" s="17">
        <f>IF('1 - Input'!$B$17=1,MIN(AV180,AN180)+BD180,AV180)</f>
        <v>3357.1106326655608</v>
      </c>
      <c r="BM180" s="17">
        <f t="shared" si="193"/>
        <v>411051.93276266445</v>
      </c>
      <c r="BN180" s="17">
        <f t="shared" si="194"/>
        <v>92448.651643392644</v>
      </c>
      <c r="BO180" s="17">
        <f t="shared" si="195"/>
        <v>0</v>
      </c>
      <c r="BP180" s="17">
        <f t="shared" si="196"/>
        <v>57601.304018222283</v>
      </c>
      <c r="BQ180" s="17">
        <f t="shared" si="197"/>
        <v>7400.0750840057017</v>
      </c>
      <c r="BR180" s="17">
        <f t="shared" si="198"/>
        <v>0</v>
      </c>
      <c r="BS180" s="15">
        <f t="shared" si="167"/>
        <v>0</v>
      </c>
      <c r="BU180" s="14">
        <v>137</v>
      </c>
      <c r="BV180" s="15">
        <f t="shared" si="168"/>
        <v>12</v>
      </c>
      <c r="BW180" s="16">
        <f>(1+INDEX('1 - Input'!$B$34:$E$63,BV180,'1 - Input'!$B$16))^(1/12)-1</f>
        <v>4.1219243192651689E-3</v>
      </c>
      <c r="BX180" s="17">
        <f>'1 - Input'!$B$7*(1+'1 - Input'!$B$12)^(BV180-1)</f>
        <v>3357.1106326655604</v>
      </c>
      <c r="BY180" s="17">
        <f t="shared" si="199"/>
        <v>293834.90120056499</v>
      </c>
      <c r="BZ180" s="17">
        <f t="shared" si="200"/>
        <v>88317.017859799744</v>
      </c>
      <c r="CA180" s="17">
        <f t="shared" si="169"/>
        <v>295046.0664256725</v>
      </c>
      <c r="CB180" s="17">
        <f>IF(CA180&gt;0,'1 - Input'!$B$8/12*CA180,0)</f>
        <v>2212.8454981925438</v>
      </c>
      <c r="CC180" s="17">
        <f t="shared" si="170"/>
        <v>292833.22092747997</v>
      </c>
      <c r="CD180" s="17">
        <f t="shared" si="171"/>
        <v>2212.8454981925438</v>
      </c>
      <c r="CE180" s="17">
        <f>'1 - Input'!$B$22*(CB180-CD180)</f>
        <v>0</v>
      </c>
      <c r="CF180" s="17">
        <f t="shared" si="172"/>
        <v>2212.8454981925438</v>
      </c>
      <c r="CG180" s="17">
        <f t="shared" si="173"/>
        <v>86104.172361607198</v>
      </c>
      <c r="CH180" s="17">
        <f>IF('1 - Input'!$B$17=1,MAX(0,CF180-BX180),0)</f>
        <v>0</v>
      </c>
      <c r="CI180" s="17">
        <f>IF('1 - Input'!$B$17=1,MAX(0,BX180-CF180),0)</f>
        <v>1144.2651344730166</v>
      </c>
      <c r="CJ180" s="17">
        <f t="shared" si="174"/>
        <v>0.70596173450234712</v>
      </c>
      <c r="CK180" s="17">
        <f>IF(AND(CI180&gt;0,CC180&gt;0),CI180/(1-'1 - Input'!$B$22*CJ180),0)</f>
        <v>1401.5128984126209</v>
      </c>
      <c r="CL180" s="17">
        <f t="shared" si="175"/>
        <v>1401.5128984126209</v>
      </c>
      <c r="CM180" s="17">
        <f>'1 - Input'!$B$22*CJ180*CL180</f>
        <v>257.24776393960428</v>
      </c>
      <c r="CN180" s="17">
        <f t="shared" si="176"/>
        <v>1144.2651344730166</v>
      </c>
      <c r="CO180" s="17">
        <f t="shared" si="177"/>
        <v>0</v>
      </c>
      <c r="CP180" s="17">
        <f t="shared" si="178"/>
        <v>0</v>
      </c>
      <c r="CQ180" s="17">
        <f t="shared" si="179"/>
        <v>291431.70802906732</v>
      </c>
      <c r="CR180" s="17">
        <f t="shared" si="180"/>
        <v>85692.073939885362</v>
      </c>
      <c r="CS180" s="17">
        <f>IF(MOD(BU180,12)=0,CQ180*'1 - Input'!$B$23,0)</f>
        <v>0</v>
      </c>
      <c r="CT180" s="17">
        <f t="shared" si="181"/>
        <v>291431.70802906732</v>
      </c>
      <c r="CU180" s="17">
        <f>IF(MOD(BU180,12)=0,CR180*(1-'1 - Input'!$B$23),CR180)</f>
        <v>85692.073939885362</v>
      </c>
      <c r="CV180" s="17">
        <f>IF('1 - Input'!$B$17=1,MIN(CF180,BX180)+CN180,CF180)</f>
        <v>3357.1106326655604</v>
      </c>
      <c r="CW180" s="17">
        <f t="shared" si="201"/>
        <v>411051.93276266445</v>
      </c>
      <c r="CX180" s="17">
        <f t="shared" si="202"/>
        <v>0</v>
      </c>
      <c r="CY180" s="17">
        <f t="shared" si="203"/>
        <v>5741.864754763943</v>
      </c>
      <c r="CZ180" s="17">
        <f t="shared" si="204"/>
        <v>0</v>
      </c>
      <c r="DA180" s="17">
        <f t="shared" si="205"/>
        <v>8885.1167184435326</v>
      </c>
      <c r="DB180" s="17">
        <f t="shared" si="206"/>
        <v>0</v>
      </c>
      <c r="DC180" s="15">
        <f t="shared" si="182"/>
        <v>0</v>
      </c>
    </row>
    <row r="181" spans="1:107">
      <c r="A181" s="14">
        <v>138</v>
      </c>
      <c r="B181" s="15">
        <f t="shared" si="138"/>
        <v>12</v>
      </c>
      <c r="C181" s="16">
        <f>(1+INDEX('1 - Input'!$B$34:$E$63,B181,'1 - Input'!$B$16))^(1/12)-1</f>
        <v>4.1219243192651689E-3</v>
      </c>
      <c r="D181" s="17">
        <f>'1 - Input'!$B$7*(1+'1 - Input'!$B$12)^(B181-1)</f>
        <v>3357.1106326655604</v>
      </c>
      <c r="E181" s="17">
        <f t="shared" si="183"/>
        <v>170215.78496852992</v>
      </c>
      <c r="F181" s="17">
        <f t="shared" si="184"/>
        <v>271753.75958249683</v>
      </c>
      <c r="G181" s="17">
        <f t="shared" si="139"/>
        <v>170917.40155211452</v>
      </c>
      <c r="H181" s="17">
        <f>IF(G181&gt;0,'1 - Input'!$B$8/12*G181,0)</f>
        <v>1281.8805116408589</v>
      </c>
      <c r="I181" s="17">
        <f t="shared" si="140"/>
        <v>169635.52104047366</v>
      </c>
      <c r="J181" s="17">
        <f t="shared" si="141"/>
        <v>0</v>
      </c>
      <c r="K181" s="17">
        <f>'1 - Input'!$B$22*(H181-J181)</f>
        <v>333.28893302662334</v>
      </c>
      <c r="L181" s="17">
        <f t="shared" si="142"/>
        <v>948.59157861423557</v>
      </c>
      <c r="M181" s="17">
        <f t="shared" si="143"/>
        <v>271753.75958249683</v>
      </c>
      <c r="N181" s="17">
        <f>IF('1 - Input'!$B$17=1,MAX(0,L181-D181),0)</f>
        <v>0</v>
      </c>
      <c r="O181" s="17">
        <f>IF('1 - Input'!$B$17=1,MAX(0,D181-L181),0)</f>
        <v>2408.5190540513249</v>
      </c>
      <c r="P181" s="17">
        <f t="shared" si="144"/>
        <v>0</v>
      </c>
      <c r="Q181" s="17">
        <f>IF(AND(O181&gt;0,I181&gt;0),O181/(1-'1 - Input'!$B$22*P181),0)</f>
        <v>2408.5190540513249</v>
      </c>
      <c r="R181" s="17">
        <f t="shared" si="145"/>
        <v>2408.5190540513249</v>
      </c>
      <c r="S181" s="17">
        <f>'1 - Input'!$B$22*P181*R181</f>
        <v>0</v>
      </c>
      <c r="T181" s="17">
        <f t="shared" si="146"/>
        <v>2408.5190540513249</v>
      </c>
      <c r="U181" s="17">
        <f t="shared" si="147"/>
        <v>0</v>
      </c>
      <c r="V181" s="17">
        <f t="shared" si="148"/>
        <v>1449.8951739944764</v>
      </c>
      <c r="W181" s="17">
        <f t="shared" si="149"/>
        <v>167227.00198642234</v>
      </c>
      <c r="X181" s="17">
        <f t="shared" si="150"/>
        <v>267895.34535445104</v>
      </c>
      <c r="Y181" s="17">
        <f>IF(MOD(A181,12)=0,W181*'1 - Input'!$B$23,0)</f>
        <v>0</v>
      </c>
      <c r="Z181" s="17">
        <f t="shared" si="151"/>
        <v>167227.00198642234</v>
      </c>
      <c r="AA181" s="17">
        <f>IF(MOD(A181,12)=0,X181*(1-'1 - Input'!$B$23),X181)</f>
        <v>267895.34535445104</v>
      </c>
      <c r="AB181" s="17">
        <f>IF('1 - Input'!$B$17=1,MIN(L181,D181)+T181,L181)</f>
        <v>3357.1106326655604</v>
      </c>
      <c r="AC181" s="17">
        <f t="shared" si="185"/>
        <v>414409.04339533002</v>
      </c>
      <c r="AD181" s="17">
        <f t="shared" si="186"/>
        <v>92781.940576419263</v>
      </c>
      <c r="AE181" s="17">
        <f t="shared" si="187"/>
        <v>0</v>
      </c>
      <c r="AF181" s="17">
        <f t="shared" si="188"/>
        <v>59051.199192216758</v>
      </c>
      <c r="AG181" s="17">
        <f t="shared" si="189"/>
        <v>7400.0750840057017</v>
      </c>
      <c r="AH181" s="17">
        <f t="shared" si="190"/>
        <v>0</v>
      </c>
      <c r="AI181" s="15">
        <f t="shared" si="152"/>
        <v>0</v>
      </c>
      <c r="AK181" s="14">
        <v>138</v>
      </c>
      <c r="AL181" s="15">
        <f t="shared" si="153"/>
        <v>12</v>
      </c>
      <c r="AM181" s="16">
        <f>(1+INDEX('1 - Input'!$B$34:$E$63,AL181,'1 - Input'!$B$16))^(1/12)-1</f>
        <v>4.1219243192651689E-3</v>
      </c>
      <c r="AN181" s="17">
        <f>'1 - Input'!$B$7*(1+'1 - Input'!$B$12)^(AL181-1)</f>
        <v>3357.1106326655604</v>
      </c>
      <c r="AO181" s="17">
        <f t="shared" si="191"/>
        <v>170215.78496852992</v>
      </c>
      <c r="AP181" s="17">
        <f t="shared" si="192"/>
        <v>271753.75958249683</v>
      </c>
      <c r="AQ181" s="17">
        <f t="shared" si="154"/>
        <v>170917.40155211452</v>
      </c>
      <c r="AR181" s="17">
        <f>IF(AQ181&gt;0,'1 - Input'!$B$8/12*AQ181,0)</f>
        <v>1281.8805116408589</v>
      </c>
      <c r="AS181" s="17">
        <f t="shared" si="155"/>
        <v>169635.52104047366</v>
      </c>
      <c r="AT181" s="17">
        <f t="shared" si="156"/>
        <v>0</v>
      </c>
      <c r="AU181" s="17">
        <f>'1 - Input'!$B$22*(AR181-AT181)</f>
        <v>333.28893302662334</v>
      </c>
      <c r="AV181" s="17">
        <f t="shared" si="157"/>
        <v>948.59157861423557</v>
      </c>
      <c r="AW181" s="17">
        <f t="shared" si="158"/>
        <v>271753.75958249683</v>
      </c>
      <c r="AX181" s="17">
        <f>IF('1 - Input'!$B$17=1,MAX(0,AV181-AN181),0)</f>
        <v>0</v>
      </c>
      <c r="AY181" s="17">
        <f>IF('1 - Input'!$B$17=1,MAX(0,AN181-AV181),0)</f>
        <v>2408.5190540513249</v>
      </c>
      <c r="AZ181" s="17">
        <f t="shared" si="159"/>
        <v>0</v>
      </c>
      <c r="BA181" s="17">
        <f>IF(AND(AY181&gt;0,AS181&gt;0),AY181/(1-'1 - Input'!$B$22*AZ181),0)</f>
        <v>2408.5190540513249</v>
      </c>
      <c r="BB181" s="17">
        <f t="shared" si="160"/>
        <v>2408.5190540513249</v>
      </c>
      <c r="BC181" s="17">
        <f>'1 - Input'!$B$22*AZ181*BB181</f>
        <v>0</v>
      </c>
      <c r="BD181" s="17">
        <f t="shared" si="161"/>
        <v>2408.5190540513249</v>
      </c>
      <c r="BE181" s="17">
        <f t="shared" si="162"/>
        <v>0</v>
      </c>
      <c r="BF181" s="17">
        <f t="shared" si="163"/>
        <v>1449.8951739944764</v>
      </c>
      <c r="BG181" s="17">
        <f t="shared" si="164"/>
        <v>167227.00198642234</v>
      </c>
      <c r="BH181" s="17">
        <f t="shared" si="165"/>
        <v>267895.34535445104</v>
      </c>
      <c r="BI181" s="17">
        <f>IF(MOD(AK181,12)=0,BG181*'1 - Input'!$B$23,0)</f>
        <v>0</v>
      </c>
      <c r="BJ181" s="17">
        <f t="shared" si="166"/>
        <v>167227.00198642234</v>
      </c>
      <c r="BK181" s="17">
        <f>IF(MOD(AK181,12)=0,BH181*(1-'1 - Input'!$B$23),BH181)</f>
        <v>267895.34535445104</v>
      </c>
      <c r="BL181" s="17">
        <f>IF('1 - Input'!$B$17=1,MIN(AV181,AN181)+BD181,AV181)</f>
        <v>3357.1106326655604</v>
      </c>
      <c r="BM181" s="17">
        <f t="shared" si="193"/>
        <v>414409.04339533002</v>
      </c>
      <c r="BN181" s="17">
        <f t="shared" si="194"/>
        <v>92781.940576419263</v>
      </c>
      <c r="BO181" s="17">
        <f t="shared" si="195"/>
        <v>0</v>
      </c>
      <c r="BP181" s="17">
        <f t="shared" si="196"/>
        <v>59051.199192216758</v>
      </c>
      <c r="BQ181" s="17">
        <f t="shared" si="197"/>
        <v>7400.0750840057017</v>
      </c>
      <c r="BR181" s="17">
        <f t="shared" si="198"/>
        <v>0</v>
      </c>
      <c r="BS181" s="15">
        <f t="shared" si="167"/>
        <v>0</v>
      </c>
      <c r="BU181" s="14">
        <v>138</v>
      </c>
      <c r="BV181" s="15">
        <f t="shared" si="168"/>
        <v>12</v>
      </c>
      <c r="BW181" s="16">
        <f>(1+INDEX('1 - Input'!$B$34:$E$63,BV181,'1 - Input'!$B$16))^(1/12)-1</f>
        <v>4.1219243192651689E-3</v>
      </c>
      <c r="BX181" s="17">
        <f>'1 - Input'!$B$7*(1+'1 - Input'!$B$12)^(BV181-1)</f>
        <v>3357.1106326655604</v>
      </c>
      <c r="BY181" s="17">
        <f t="shared" si="199"/>
        <v>291431.70802906732</v>
      </c>
      <c r="BZ181" s="17">
        <f t="shared" si="200"/>
        <v>85692.073939885362</v>
      </c>
      <c r="CA181" s="17">
        <f t="shared" si="169"/>
        <v>292632.96747379733</v>
      </c>
      <c r="CB181" s="17">
        <f>IF(CA181&gt;0,'1 - Input'!$B$8/12*CA181,0)</f>
        <v>2194.7472560534798</v>
      </c>
      <c r="CC181" s="17">
        <f t="shared" si="170"/>
        <v>290438.22021774383</v>
      </c>
      <c r="CD181" s="17">
        <f t="shared" si="171"/>
        <v>2194.7472560534798</v>
      </c>
      <c r="CE181" s="17">
        <f>'1 - Input'!$B$22*(CB181-CD181)</f>
        <v>0</v>
      </c>
      <c r="CF181" s="17">
        <f t="shared" si="172"/>
        <v>2194.7472560534798</v>
      </c>
      <c r="CG181" s="17">
        <f t="shared" si="173"/>
        <v>83497.326683831881</v>
      </c>
      <c r="CH181" s="17">
        <f>IF('1 - Input'!$B$17=1,MAX(0,CF181-BX181),0)</f>
        <v>0</v>
      </c>
      <c r="CI181" s="17">
        <f>IF('1 - Input'!$B$17=1,MAX(0,BX181-CF181),0)</f>
        <v>1162.3633766120806</v>
      </c>
      <c r="CJ181" s="17">
        <f t="shared" si="174"/>
        <v>0.71251260725522525</v>
      </c>
      <c r="CK181" s="17">
        <f>IF(AND(CI181&gt;0,CC181&gt;0),CI181/(1-'1 - Input'!$B$22*CJ181),0)</f>
        <v>1426.6560945426588</v>
      </c>
      <c r="CL181" s="17">
        <f t="shared" si="175"/>
        <v>1426.6560945426588</v>
      </c>
      <c r="CM181" s="17">
        <f>'1 - Input'!$B$22*CJ181*CL181</f>
        <v>264.29271793057819</v>
      </c>
      <c r="CN181" s="17">
        <f t="shared" si="176"/>
        <v>1162.3633766120806</v>
      </c>
      <c r="CO181" s="17">
        <f t="shared" si="177"/>
        <v>0</v>
      </c>
      <c r="CP181" s="17">
        <f t="shared" si="178"/>
        <v>0</v>
      </c>
      <c r="CQ181" s="17">
        <f t="shared" si="179"/>
        <v>289011.56412320118</v>
      </c>
      <c r="CR181" s="17">
        <f t="shared" si="180"/>
        <v>83087.181042868368</v>
      </c>
      <c r="CS181" s="17">
        <f>IF(MOD(BU181,12)=0,CQ181*'1 - Input'!$B$23,0)</f>
        <v>0</v>
      </c>
      <c r="CT181" s="17">
        <f t="shared" si="181"/>
        <v>289011.56412320118</v>
      </c>
      <c r="CU181" s="17">
        <f>IF(MOD(BU181,12)=0,CR181*(1-'1 - Input'!$B$23),CR181)</f>
        <v>83087.181042868368</v>
      </c>
      <c r="CV181" s="17">
        <f>IF('1 - Input'!$B$17=1,MIN(CF181,BX181)+CN181,CF181)</f>
        <v>3357.1106326655604</v>
      </c>
      <c r="CW181" s="17">
        <f t="shared" si="201"/>
        <v>414409.04339533002</v>
      </c>
      <c r="CX181" s="17">
        <f t="shared" si="202"/>
        <v>0</v>
      </c>
      <c r="CY181" s="17">
        <f t="shared" si="203"/>
        <v>6006.1574726945209</v>
      </c>
      <c r="CZ181" s="17">
        <f t="shared" si="204"/>
        <v>0</v>
      </c>
      <c r="DA181" s="17">
        <f t="shared" si="205"/>
        <v>8885.1167184435326</v>
      </c>
      <c r="DB181" s="17">
        <f t="shared" si="206"/>
        <v>0</v>
      </c>
      <c r="DC181" s="15">
        <f t="shared" si="182"/>
        <v>0</v>
      </c>
    </row>
    <row r="182" spans="1:107">
      <c r="A182" s="14">
        <v>139</v>
      </c>
      <c r="B182" s="15">
        <f t="shared" si="138"/>
        <v>12</v>
      </c>
      <c r="C182" s="16">
        <f>(1+INDEX('1 - Input'!$B$34:$E$63,B182,'1 - Input'!$B$16))^(1/12)-1</f>
        <v>4.1219243192651689E-3</v>
      </c>
      <c r="D182" s="17">
        <f>'1 - Input'!$B$7*(1+'1 - Input'!$B$12)^(B182-1)</f>
        <v>3357.1106326655604</v>
      </c>
      <c r="E182" s="17">
        <f t="shared" si="183"/>
        <v>167227.00198642234</v>
      </c>
      <c r="F182" s="17">
        <f t="shared" si="184"/>
        <v>267895.34535445104</v>
      </c>
      <c r="G182" s="17">
        <f t="shared" si="139"/>
        <v>167916.29903274798</v>
      </c>
      <c r="H182" s="17">
        <f>IF(G182&gt;0,'1 - Input'!$B$8/12*G182,0)</f>
        <v>1259.3722427456098</v>
      </c>
      <c r="I182" s="17">
        <f t="shared" si="140"/>
        <v>166656.92679000236</v>
      </c>
      <c r="J182" s="17">
        <f t="shared" si="141"/>
        <v>0</v>
      </c>
      <c r="K182" s="17">
        <f>'1 - Input'!$B$22*(H182-J182)</f>
        <v>327.43678311385855</v>
      </c>
      <c r="L182" s="17">
        <f t="shared" si="142"/>
        <v>931.9354596317512</v>
      </c>
      <c r="M182" s="17">
        <f t="shared" si="143"/>
        <v>267895.34535445104</v>
      </c>
      <c r="N182" s="17">
        <f>IF('1 - Input'!$B$17=1,MAX(0,L182-D182),0)</f>
        <v>0</v>
      </c>
      <c r="O182" s="17">
        <f>IF('1 - Input'!$B$17=1,MAX(0,D182-L182),0)</f>
        <v>2425.1751730338092</v>
      </c>
      <c r="P182" s="17">
        <f t="shared" si="144"/>
        <v>0</v>
      </c>
      <c r="Q182" s="17">
        <f>IF(AND(O182&gt;0,I182&gt;0),O182/(1-'1 - Input'!$B$22*P182),0)</f>
        <v>2425.1751730338092</v>
      </c>
      <c r="R182" s="17">
        <f t="shared" si="145"/>
        <v>2425.1751730338092</v>
      </c>
      <c r="S182" s="17">
        <f>'1 - Input'!$B$22*P182*R182</f>
        <v>0</v>
      </c>
      <c r="T182" s="17">
        <f t="shared" si="146"/>
        <v>2425.1751730338092</v>
      </c>
      <c r="U182" s="17">
        <f t="shared" si="147"/>
        <v>0</v>
      </c>
      <c r="V182" s="17">
        <f t="shared" si="148"/>
        <v>1473.2114889474528</v>
      </c>
      <c r="W182" s="17">
        <f t="shared" si="149"/>
        <v>164231.75161696854</v>
      </c>
      <c r="X182" s="17">
        <f t="shared" si="150"/>
        <v>263996.95869246981</v>
      </c>
      <c r="Y182" s="17">
        <f>IF(MOD(A182,12)=0,W182*'1 - Input'!$B$23,0)</f>
        <v>0</v>
      </c>
      <c r="Z182" s="17">
        <f t="shared" si="151"/>
        <v>164231.75161696854</v>
      </c>
      <c r="AA182" s="17">
        <f>IF(MOD(A182,12)=0,X182*(1-'1 - Input'!$B$23),X182)</f>
        <v>263996.95869246981</v>
      </c>
      <c r="AB182" s="17">
        <f>IF('1 - Input'!$B$17=1,MIN(L182,D182)+T182,L182)</f>
        <v>3357.1106326655604</v>
      </c>
      <c r="AC182" s="17">
        <f t="shared" si="185"/>
        <v>417766.1540279956</v>
      </c>
      <c r="AD182" s="17">
        <f t="shared" si="186"/>
        <v>93109.377359533115</v>
      </c>
      <c r="AE182" s="17">
        <f t="shared" si="187"/>
        <v>0</v>
      </c>
      <c r="AF182" s="17">
        <f t="shared" si="188"/>
        <v>60524.410681164212</v>
      </c>
      <c r="AG182" s="17">
        <f t="shared" si="189"/>
        <v>7400.0750840057017</v>
      </c>
      <c r="AH182" s="17">
        <f t="shared" si="190"/>
        <v>0</v>
      </c>
      <c r="AI182" s="15">
        <f t="shared" si="152"/>
        <v>0</v>
      </c>
      <c r="AK182" s="14">
        <v>139</v>
      </c>
      <c r="AL182" s="15">
        <f t="shared" si="153"/>
        <v>12</v>
      </c>
      <c r="AM182" s="16">
        <f>(1+INDEX('1 - Input'!$B$34:$E$63,AL182,'1 - Input'!$B$16))^(1/12)-1</f>
        <v>4.1219243192651689E-3</v>
      </c>
      <c r="AN182" s="17">
        <f>'1 - Input'!$B$7*(1+'1 - Input'!$B$12)^(AL182-1)</f>
        <v>3357.1106326655604</v>
      </c>
      <c r="AO182" s="17">
        <f t="shared" si="191"/>
        <v>167227.00198642234</v>
      </c>
      <c r="AP182" s="17">
        <f t="shared" si="192"/>
        <v>267895.34535445104</v>
      </c>
      <c r="AQ182" s="17">
        <f t="shared" si="154"/>
        <v>167916.29903274798</v>
      </c>
      <c r="AR182" s="17">
        <f>IF(AQ182&gt;0,'1 - Input'!$B$8/12*AQ182,0)</f>
        <v>1259.3722427456098</v>
      </c>
      <c r="AS182" s="17">
        <f t="shared" si="155"/>
        <v>166656.92679000236</v>
      </c>
      <c r="AT182" s="17">
        <f t="shared" si="156"/>
        <v>0</v>
      </c>
      <c r="AU182" s="17">
        <f>'1 - Input'!$B$22*(AR182-AT182)</f>
        <v>327.43678311385855</v>
      </c>
      <c r="AV182" s="17">
        <f t="shared" si="157"/>
        <v>931.9354596317512</v>
      </c>
      <c r="AW182" s="17">
        <f t="shared" si="158"/>
        <v>267895.34535445104</v>
      </c>
      <c r="AX182" s="17">
        <f>IF('1 - Input'!$B$17=1,MAX(0,AV182-AN182),0)</f>
        <v>0</v>
      </c>
      <c r="AY182" s="17">
        <f>IF('1 - Input'!$B$17=1,MAX(0,AN182-AV182),0)</f>
        <v>2425.1751730338092</v>
      </c>
      <c r="AZ182" s="17">
        <f t="shared" si="159"/>
        <v>0</v>
      </c>
      <c r="BA182" s="17">
        <f>IF(AND(AY182&gt;0,AS182&gt;0),AY182/(1-'1 - Input'!$B$22*AZ182),0)</f>
        <v>2425.1751730338092</v>
      </c>
      <c r="BB182" s="17">
        <f t="shared" si="160"/>
        <v>2425.1751730338092</v>
      </c>
      <c r="BC182" s="17">
        <f>'1 - Input'!$B$22*AZ182*BB182</f>
        <v>0</v>
      </c>
      <c r="BD182" s="17">
        <f t="shared" si="161"/>
        <v>2425.1751730338092</v>
      </c>
      <c r="BE182" s="17">
        <f t="shared" si="162"/>
        <v>0</v>
      </c>
      <c r="BF182" s="17">
        <f t="shared" si="163"/>
        <v>1473.2114889474528</v>
      </c>
      <c r="BG182" s="17">
        <f t="shared" si="164"/>
        <v>164231.75161696854</v>
      </c>
      <c r="BH182" s="17">
        <f t="shared" si="165"/>
        <v>263996.95869246981</v>
      </c>
      <c r="BI182" s="17">
        <f>IF(MOD(AK182,12)=0,BG182*'1 - Input'!$B$23,0)</f>
        <v>0</v>
      </c>
      <c r="BJ182" s="17">
        <f t="shared" si="166"/>
        <v>164231.75161696854</v>
      </c>
      <c r="BK182" s="17">
        <f>IF(MOD(AK182,12)=0,BH182*(1-'1 - Input'!$B$23),BH182)</f>
        <v>263996.95869246981</v>
      </c>
      <c r="BL182" s="17">
        <f>IF('1 - Input'!$B$17=1,MIN(AV182,AN182)+BD182,AV182)</f>
        <v>3357.1106326655604</v>
      </c>
      <c r="BM182" s="17">
        <f t="shared" si="193"/>
        <v>417766.1540279956</v>
      </c>
      <c r="BN182" s="17">
        <f t="shared" si="194"/>
        <v>93109.377359533115</v>
      </c>
      <c r="BO182" s="17">
        <f t="shared" si="195"/>
        <v>0</v>
      </c>
      <c r="BP182" s="17">
        <f t="shared" si="196"/>
        <v>60524.410681164212</v>
      </c>
      <c r="BQ182" s="17">
        <f t="shared" si="197"/>
        <v>7400.0750840057017</v>
      </c>
      <c r="BR182" s="17">
        <f t="shared" si="198"/>
        <v>0</v>
      </c>
      <c r="BS182" s="15">
        <f t="shared" si="167"/>
        <v>0</v>
      </c>
      <c r="BU182" s="14">
        <v>139</v>
      </c>
      <c r="BV182" s="15">
        <f t="shared" si="168"/>
        <v>12</v>
      </c>
      <c r="BW182" s="16">
        <f>(1+INDEX('1 - Input'!$B$34:$E$63,BV182,'1 - Input'!$B$16))^(1/12)-1</f>
        <v>4.1219243192651689E-3</v>
      </c>
      <c r="BX182" s="17">
        <f>'1 - Input'!$B$7*(1+'1 - Input'!$B$12)^(BV182-1)</f>
        <v>3357.1106326655604</v>
      </c>
      <c r="BY182" s="17">
        <f t="shared" si="199"/>
        <v>289011.56412320118</v>
      </c>
      <c r="BZ182" s="17">
        <f t="shared" si="200"/>
        <v>83087.181042868368</v>
      </c>
      <c r="CA182" s="17">
        <f t="shared" si="169"/>
        <v>290202.84791790944</v>
      </c>
      <c r="CB182" s="17">
        <f>IF(CA182&gt;0,'1 - Input'!$B$8/12*CA182,0)</f>
        <v>2176.5213593843209</v>
      </c>
      <c r="CC182" s="17">
        <f t="shared" si="170"/>
        <v>288026.32655852515</v>
      </c>
      <c r="CD182" s="17">
        <f t="shared" si="171"/>
        <v>2176.5213593843209</v>
      </c>
      <c r="CE182" s="17">
        <f>'1 - Input'!$B$22*(CB182-CD182)</f>
        <v>0</v>
      </c>
      <c r="CF182" s="17">
        <f t="shared" si="172"/>
        <v>2176.5213593843209</v>
      </c>
      <c r="CG182" s="17">
        <f t="shared" si="173"/>
        <v>80910.659683484046</v>
      </c>
      <c r="CH182" s="17">
        <f>IF('1 - Input'!$B$17=1,MAX(0,CF182-BX182),0)</f>
        <v>0</v>
      </c>
      <c r="CI182" s="17">
        <f>IF('1 - Input'!$B$17=1,MAX(0,BX182-CF182),0)</f>
        <v>1180.5892732812395</v>
      </c>
      <c r="CJ182" s="17">
        <f t="shared" si="174"/>
        <v>0.71908588825805309</v>
      </c>
      <c r="CK182" s="17">
        <f>IF(AND(CI182&gt;0,CC182&gt;0),CI182/(1-'1 - Input'!$B$22*CJ182),0)</f>
        <v>1452.0720480964774</v>
      </c>
      <c r="CL182" s="17">
        <f t="shared" si="175"/>
        <v>1452.0720480964774</v>
      </c>
      <c r="CM182" s="17">
        <f>'1 - Input'!$B$22*CJ182*CL182</f>
        <v>271.48277481523792</v>
      </c>
      <c r="CN182" s="17">
        <f t="shared" si="176"/>
        <v>1180.5892732812395</v>
      </c>
      <c r="CO182" s="17">
        <f t="shared" si="177"/>
        <v>0</v>
      </c>
      <c r="CP182" s="17">
        <f t="shared" si="178"/>
        <v>0</v>
      </c>
      <c r="CQ182" s="17">
        <f t="shared" si="179"/>
        <v>286574.2545104287</v>
      </c>
      <c r="CR182" s="17">
        <f t="shared" si="180"/>
        <v>80502.752153907713</v>
      </c>
      <c r="CS182" s="17">
        <f>IF(MOD(BU182,12)=0,CQ182*'1 - Input'!$B$23,0)</f>
        <v>0</v>
      </c>
      <c r="CT182" s="17">
        <f t="shared" si="181"/>
        <v>286574.2545104287</v>
      </c>
      <c r="CU182" s="17">
        <f>IF(MOD(BU182,12)=0,CR182*(1-'1 - Input'!$B$23),CR182)</f>
        <v>80502.752153907713</v>
      </c>
      <c r="CV182" s="17">
        <f>IF('1 - Input'!$B$17=1,MIN(CF182,BX182)+CN182,CF182)</f>
        <v>3357.1106326655604</v>
      </c>
      <c r="CW182" s="17">
        <f t="shared" si="201"/>
        <v>417766.1540279956</v>
      </c>
      <c r="CX182" s="17">
        <f t="shared" si="202"/>
        <v>0</v>
      </c>
      <c r="CY182" s="17">
        <f t="shared" si="203"/>
        <v>6277.6402475097584</v>
      </c>
      <c r="CZ182" s="17">
        <f t="shared" si="204"/>
        <v>0</v>
      </c>
      <c r="DA182" s="17">
        <f t="shared" si="205"/>
        <v>8885.1167184435326</v>
      </c>
      <c r="DB182" s="17">
        <f t="shared" si="206"/>
        <v>0</v>
      </c>
      <c r="DC182" s="15">
        <f t="shared" si="182"/>
        <v>0</v>
      </c>
    </row>
    <row r="183" spans="1:107">
      <c r="A183" s="14">
        <v>140</v>
      </c>
      <c r="B183" s="15">
        <f t="shared" si="138"/>
        <v>12</v>
      </c>
      <c r="C183" s="16">
        <f>(1+INDEX('1 - Input'!$B$34:$E$63,B183,'1 - Input'!$B$16))^(1/12)-1</f>
        <v>4.1219243192651689E-3</v>
      </c>
      <c r="D183" s="17">
        <f>'1 - Input'!$B$7*(1+'1 - Input'!$B$12)^(B183-1)</f>
        <v>3357.1106326655604</v>
      </c>
      <c r="E183" s="17">
        <f t="shared" si="183"/>
        <v>164231.75161696854</v>
      </c>
      <c r="F183" s="17">
        <f t="shared" si="184"/>
        <v>263996.95869246981</v>
      </c>
      <c r="G183" s="17">
        <f t="shared" si="139"/>
        <v>164908.70246795405</v>
      </c>
      <c r="H183" s="17">
        <f>IF(G183&gt;0,'1 - Input'!$B$8/12*G183,0)</f>
        <v>1236.8152685096554</v>
      </c>
      <c r="I183" s="17">
        <f t="shared" si="140"/>
        <v>163671.88719944441</v>
      </c>
      <c r="J183" s="17">
        <f t="shared" si="141"/>
        <v>0</v>
      </c>
      <c r="K183" s="17">
        <f>'1 - Input'!$B$22*(H183-J183)</f>
        <v>321.57196981251042</v>
      </c>
      <c r="L183" s="17">
        <f t="shared" si="142"/>
        <v>915.24329869714506</v>
      </c>
      <c r="M183" s="17">
        <f t="shared" si="143"/>
        <v>263996.95869246981</v>
      </c>
      <c r="N183" s="17">
        <f>IF('1 - Input'!$B$17=1,MAX(0,L183-D183),0)</f>
        <v>0</v>
      </c>
      <c r="O183" s="17">
        <f>IF('1 - Input'!$B$17=1,MAX(0,D183-L183),0)</f>
        <v>2441.8673339684156</v>
      </c>
      <c r="P183" s="17">
        <f t="shared" si="144"/>
        <v>0</v>
      </c>
      <c r="Q183" s="17">
        <f>IF(AND(O183&gt;0,I183&gt;0),O183/(1-'1 - Input'!$B$22*P183),0)</f>
        <v>2441.8673339684156</v>
      </c>
      <c r="R183" s="17">
        <f t="shared" si="145"/>
        <v>2441.8673339684156</v>
      </c>
      <c r="S183" s="17">
        <f>'1 - Input'!$B$22*P183*R183</f>
        <v>0</v>
      </c>
      <c r="T183" s="17">
        <f t="shared" si="146"/>
        <v>2441.8673339684156</v>
      </c>
      <c r="U183" s="17">
        <f t="shared" si="147"/>
        <v>0</v>
      </c>
      <c r="V183" s="17">
        <f t="shared" si="148"/>
        <v>1496.7782130986282</v>
      </c>
      <c r="W183" s="17">
        <f t="shared" si="149"/>
        <v>161230.019865476</v>
      </c>
      <c r="X183" s="17">
        <f t="shared" si="150"/>
        <v>260058.31314540276</v>
      </c>
      <c r="Y183" s="17">
        <f>IF(MOD(A183,12)=0,W183*'1 - Input'!$B$23,0)</f>
        <v>0</v>
      </c>
      <c r="Z183" s="17">
        <f t="shared" si="151"/>
        <v>161230.019865476</v>
      </c>
      <c r="AA183" s="17">
        <f>IF(MOD(A183,12)=0,X183*(1-'1 - Input'!$B$23),X183)</f>
        <v>260058.31314540276</v>
      </c>
      <c r="AB183" s="17">
        <f>IF('1 - Input'!$B$17=1,MIN(L183,D183)+T183,L183)</f>
        <v>3357.1106326655608</v>
      </c>
      <c r="AC183" s="17">
        <f t="shared" si="185"/>
        <v>421123.26466066117</v>
      </c>
      <c r="AD183" s="17">
        <f t="shared" si="186"/>
        <v>93430.949329345633</v>
      </c>
      <c r="AE183" s="17">
        <f t="shared" si="187"/>
        <v>0</v>
      </c>
      <c r="AF183" s="17">
        <f t="shared" si="188"/>
        <v>62021.188894262843</v>
      </c>
      <c r="AG183" s="17">
        <f t="shared" si="189"/>
        <v>7400.0750840057017</v>
      </c>
      <c r="AH183" s="17">
        <f t="shared" si="190"/>
        <v>0</v>
      </c>
      <c r="AI183" s="15">
        <f t="shared" si="152"/>
        <v>0</v>
      </c>
      <c r="AK183" s="14">
        <v>140</v>
      </c>
      <c r="AL183" s="15">
        <f t="shared" si="153"/>
        <v>12</v>
      </c>
      <c r="AM183" s="16">
        <f>(1+INDEX('1 - Input'!$B$34:$E$63,AL183,'1 - Input'!$B$16))^(1/12)-1</f>
        <v>4.1219243192651689E-3</v>
      </c>
      <c r="AN183" s="17">
        <f>'1 - Input'!$B$7*(1+'1 - Input'!$B$12)^(AL183-1)</f>
        <v>3357.1106326655604</v>
      </c>
      <c r="AO183" s="17">
        <f t="shared" si="191"/>
        <v>164231.75161696854</v>
      </c>
      <c r="AP183" s="17">
        <f t="shared" si="192"/>
        <v>263996.95869246981</v>
      </c>
      <c r="AQ183" s="17">
        <f t="shared" si="154"/>
        <v>164908.70246795405</v>
      </c>
      <c r="AR183" s="17">
        <f>IF(AQ183&gt;0,'1 - Input'!$B$8/12*AQ183,0)</f>
        <v>1236.8152685096554</v>
      </c>
      <c r="AS183" s="17">
        <f t="shared" si="155"/>
        <v>163671.88719944441</v>
      </c>
      <c r="AT183" s="17">
        <f t="shared" si="156"/>
        <v>0</v>
      </c>
      <c r="AU183" s="17">
        <f>'1 - Input'!$B$22*(AR183-AT183)</f>
        <v>321.57196981251042</v>
      </c>
      <c r="AV183" s="17">
        <f t="shared" si="157"/>
        <v>915.24329869714506</v>
      </c>
      <c r="AW183" s="17">
        <f t="shared" si="158"/>
        <v>263996.95869246981</v>
      </c>
      <c r="AX183" s="17">
        <f>IF('1 - Input'!$B$17=1,MAX(0,AV183-AN183),0)</f>
        <v>0</v>
      </c>
      <c r="AY183" s="17">
        <f>IF('1 - Input'!$B$17=1,MAX(0,AN183-AV183),0)</f>
        <v>2441.8673339684156</v>
      </c>
      <c r="AZ183" s="17">
        <f t="shared" si="159"/>
        <v>0</v>
      </c>
      <c r="BA183" s="17">
        <f>IF(AND(AY183&gt;0,AS183&gt;0),AY183/(1-'1 - Input'!$B$22*AZ183),0)</f>
        <v>2441.8673339684156</v>
      </c>
      <c r="BB183" s="17">
        <f t="shared" si="160"/>
        <v>2441.8673339684156</v>
      </c>
      <c r="BC183" s="17">
        <f>'1 - Input'!$B$22*AZ183*BB183</f>
        <v>0</v>
      </c>
      <c r="BD183" s="17">
        <f t="shared" si="161"/>
        <v>2441.8673339684156</v>
      </c>
      <c r="BE183" s="17">
        <f t="shared" si="162"/>
        <v>0</v>
      </c>
      <c r="BF183" s="17">
        <f t="shared" si="163"/>
        <v>1496.7782130986282</v>
      </c>
      <c r="BG183" s="17">
        <f t="shared" si="164"/>
        <v>161230.019865476</v>
      </c>
      <c r="BH183" s="17">
        <f t="shared" si="165"/>
        <v>260058.31314540276</v>
      </c>
      <c r="BI183" s="17">
        <f>IF(MOD(AK183,12)=0,BG183*'1 - Input'!$B$23,0)</f>
        <v>0</v>
      </c>
      <c r="BJ183" s="17">
        <f t="shared" si="166"/>
        <v>161230.019865476</v>
      </c>
      <c r="BK183" s="17">
        <f>IF(MOD(AK183,12)=0,BH183*(1-'1 - Input'!$B$23),BH183)</f>
        <v>260058.31314540276</v>
      </c>
      <c r="BL183" s="17">
        <f>IF('1 - Input'!$B$17=1,MIN(AV183,AN183)+BD183,AV183)</f>
        <v>3357.1106326655608</v>
      </c>
      <c r="BM183" s="17">
        <f t="shared" si="193"/>
        <v>421123.26466066117</v>
      </c>
      <c r="BN183" s="17">
        <f t="shared" si="194"/>
        <v>93430.949329345633</v>
      </c>
      <c r="BO183" s="17">
        <f t="shared" si="195"/>
        <v>0</v>
      </c>
      <c r="BP183" s="17">
        <f t="shared" si="196"/>
        <v>62021.188894262843</v>
      </c>
      <c r="BQ183" s="17">
        <f t="shared" si="197"/>
        <v>7400.0750840057017</v>
      </c>
      <c r="BR183" s="17">
        <f t="shared" si="198"/>
        <v>0</v>
      </c>
      <c r="BS183" s="15">
        <f t="shared" si="167"/>
        <v>0</v>
      </c>
      <c r="BU183" s="14">
        <v>140</v>
      </c>
      <c r="BV183" s="15">
        <f t="shared" si="168"/>
        <v>12</v>
      </c>
      <c r="BW183" s="16">
        <f>(1+INDEX('1 - Input'!$B$34:$E$63,BV183,'1 - Input'!$B$16))^(1/12)-1</f>
        <v>4.1219243192651689E-3</v>
      </c>
      <c r="BX183" s="17">
        <f>'1 - Input'!$B$7*(1+'1 - Input'!$B$12)^(BV183-1)</f>
        <v>3357.1106326655604</v>
      </c>
      <c r="BY183" s="17">
        <f t="shared" si="199"/>
        <v>286574.2545104287</v>
      </c>
      <c r="BZ183" s="17">
        <f t="shared" si="200"/>
        <v>80502.752153907713</v>
      </c>
      <c r="CA183" s="17">
        <f t="shared" si="169"/>
        <v>287755.49189937051</v>
      </c>
      <c r="CB183" s="17">
        <f>IF(CA183&gt;0,'1 - Input'!$B$8/12*CA183,0)</f>
        <v>2158.1661892452789</v>
      </c>
      <c r="CC183" s="17">
        <f t="shared" si="170"/>
        <v>285597.32571012521</v>
      </c>
      <c r="CD183" s="17">
        <f t="shared" si="171"/>
        <v>2158.1661892452789</v>
      </c>
      <c r="CE183" s="17">
        <f>'1 - Input'!$B$22*(CB183-CD183)</f>
        <v>0</v>
      </c>
      <c r="CF183" s="17">
        <f t="shared" si="172"/>
        <v>2158.1661892452789</v>
      </c>
      <c r="CG183" s="17">
        <f t="shared" si="173"/>
        <v>78344.58596466243</v>
      </c>
      <c r="CH183" s="17">
        <f>IF('1 - Input'!$B$17=1,MAX(0,CF183-BX183),0)</f>
        <v>0</v>
      </c>
      <c r="CI183" s="17">
        <f>IF('1 - Input'!$B$17=1,MAX(0,BX183-CF183),0)</f>
        <v>1198.9444434202815</v>
      </c>
      <c r="CJ183" s="17">
        <f t="shared" si="174"/>
        <v>0.72568165416163455</v>
      </c>
      <c r="CK183" s="17">
        <f>IF(AND(CI183&gt;0,CC183&gt;0),CI183/(1-'1 - Input'!$B$22*CJ183),0)</f>
        <v>1477.7650620375107</v>
      </c>
      <c r="CL183" s="17">
        <f t="shared" si="175"/>
        <v>1477.7650620375107</v>
      </c>
      <c r="CM183" s="17">
        <f>'1 - Input'!$B$22*CJ183*CL183</f>
        <v>278.82061861722934</v>
      </c>
      <c r="CN183" s="17">
        <f t="shared" si="176"/>
        <v>1198.9444434202815</v>
      </c>
      <c r="CO183" s="17">
        <f t="shared" si="177"/>
        <v>0</v>
      </c>
      <c r="CP183" s="17">
        <f t="shared" si="178"/>
        <v>0</v>
      </c>
      <c r="CQ183" s="17">
        <f t="shared" si="179"/>
        <v>284119.5606480877</v>
      </c>
      <c r="CR183" s="17">
        <f t="shared" si="180"/>
        <v>77939.207897306565</v>
      </c>
      <c r="CS183" s="17">
        <f>IF(MOD(BU183,12)=0,CQ183*'1 - Input'!$B$23,0)</f>
        <v>0</v>
      </c>
      <c r="CT183" s="17">
        <f t="shared" si="181"/>
        <v>284119.5606480877</v>
      </c>
      <c r="CU183" s="17">
        <f>IF(MOD(BU183,12)=0,CR183*(1-'1 - Input'!$B$23),CR183)</f>
        <v>77939.207897306565</v>
      </c>
      <c r="CV183" s="17">
        <f>IF('1 - Input'!$B$17=1,MIN(CF183,BX183)+CN183,CF183)</f>
        <v>3357.1106326655604</v>
      </c>
      <c r="CW183" s="17">
        <f t="shared" si="201"/>
        <v>421123.26466066117</v>
      </c>
      <c r="CX183" s="17">
        <f t="shared" si="202"/>
        <v>0</v>
      </c>
      <c r="CY183" s="17">
        <f t="shared" si="203"/>
        <v>6556.4608661269876</v>
      </c>
      <c r="CZ183" s="17">
        <f t="shared" si="204"/>
        <v>0</v>
      </c>
      <c r="DA183" s="17">
        <f t="shared" si="205"/>
        <v>8885.1167184435326</v>
      </c>
      <c r="DB183" s="17">
        <f t="shared" si="206"/>
        <v>0</v>
      </c>
      <c r="DC183" s="15">
        <f t="shared" si="182"/>
        <v>0</v>
      </c>
    </row>
    <row r="184" spans="1:107">
      <c r="A184" s="14">
        <v>141</v>
      </c>
      <c r="B184" s="15">
        <f t="shared" si="138"/>
        <v>12</v>
      </c>
      <c r="C184" s="16">
        <f>(1+INDEX('1 - Input'!$B$34:$E$63,B184,'1 - Input'!$B$16))^(1/12)-1</f>
        <v>4.1219243192651689E-3</v>
      </c>
      <c r="D184" s="17">
        <f>'1 - Input'!$B$7*(1+'1 - Input'!$B$12)^(B184-1)</f>
        <v>3357.1106326655604</v>
      </c>
      <c r="E184" s="17">
        <f t="shared" si="183"/>
        <v>161230.019865476</v>
      </c>
      <c r="F184" s="17">
        <f t="shared" si="184"/>
        <v>260058.31314540276</v>
      </c>
      <c r="G184" s="17">
        <f t="shared" si="139"/>
        <v>161894.59780535512</v>
      </c>
      <c r="H184" s="17">
        <f>IF(G184&gt;0,'1 - Input'!$B$8/12*G184,0)</f>
        <v>1214.2094835401633</v>
      </c>
      <c r="I184" s="17">
        <f t="shared" si="140"/>
        <v>160680.38832181497</v>
      </c>
      <c r="J184" s="17">
        <f t="shared" si="141"/>
        <v>0</v>
      </c>
      <c r="K184" s="17">
        <f>'1 - Input'!$B$22*(H184-J184)</f>
        <v>315.69446572044245</v>
      </c>
      <c r="L184" s="17">
        <f t="shared" si="142"/>
        <v>898.51501781972092</v>
      </c>
      <c r="M184" s="17">
        <f t="shared" si="143"/>
        <v>260058.31314540276</v>
      </c>
      <c r="N184" s="17">
        <f>IF('1 - Input'!$B$17=1,MAX(0,L184-D184),0)</f>
        <v>0</v>
      </c>
      <c r="O184" s="17">
        <f>IF('1 - Input'!$B$17=1,MAX(0,D184-L184),0)</f>
        <v>2458.5956148458395</v>
      </c>
      <c r="P184" s="17">
        <f t="shared" si="144"/>
        <v>0</v>
      </c>
      <c r="Q184" s="17">
        <f>IF(AND(O184&gt;0,I184&gt;0),O184/(1-'1 - Input'!$B$22*P184),0)</f>
        <v>2458.5956148458395</v>
      </c>
      <c r="R184" s="17">
        <f t="shared" si="145"/>
        <v>2458.5956148458395</v>
      </c>
      <c r="S184" s="17">
        <f>'1 - Input'!$B$22*P184*R184</f>
        <v>0</v>
      </c>
      <c r="T184" s="17">
        <f t="shared" si="146"/>
        <v>2458.5956148458395</v>
      </c>
      <c r="U184" s="17">
        <f t="shared" si="147"/>
        <v>0</v>
      </c>
      <c r="V184" s="17">
        <f t="shared" si="148"/>
        <v>1520.5970855285807</v>
      </c>
      <c r="W184" s="17">
        <f t="shared" si="149"/>
        <v>158221.79270696914</v>
      </c>
      <c r="X184" s="17">
        <f t="shared" si="150"/>
        <v>256079.12044502833</v>
      </c>
      <c r="Y184" s="17">
        <f>IF(MOD(A184,12)=0,W184*'1 - Input'!$B$23,0)</f>
        <v>0</v>
      </c>
      <c r="Z184" s="17">
        <f t="shared" si="151"/>
        <v>158221.79270696914</v>
      </c>
      <c r="AA184" s="17">
        <f>IF(MOD(A184,12)=0,X184*(1-'1 - Input'!$B$23),X184)</f>
        <v>256079.12044502833</v>
      </c>
      <c r="AB184" s="17">
        <f>IF('1 - Input'!$B$17=1,MIN(L184,D184)+T184,L184)</f>
        <v>3357.1106326655604</v>
      </c>
      <c r="AC184" s="17">
        <f t="shared" si="185"/>
        <v>424480.37529332674</v>
      </c>
      <c r="AD184" s="17">
        <f t="shared" si="186"/>
        <v>93746.643795066077</v>
      </c>
      <c r="AE184" s="17">
        <f t="shared" si="187"/>
        <v>0</v>
      </c>
      <c r="AF184" s="17">
        <f t="shared" si="188"/>
        <v>63541.785979791421</v>
      </c>
      <c r="AG184" s="17">
        <f t="shared" si="189"/>
        <v>7400.0750840057017</v>
      </c>
      <c r="AH184" s="17">
        <f t="shared" si="190"/>
        <v>0</v>
      </c>
      <c r="AI184" s="15">
        <f t="shared" si="152"/>
        <v>0</v>
      </c>
      <c r="AK184" s="14">
        <v>141</v>
      </c>
      <c r="AL184" s="15">
        <f t="shared" si="153"/>
        <v>12</v>
      </c>
      <c r="AM184" s="16">
        <f>(1+INDEX('1 - Input'!$B$34:$E$63,AL184,'1 - Input'!$B$16))^(1/12)-1</f>
        <v>4.1219243192651689E-3</v>
      </c>
      <c r="AN184" s="17">
        <f>'1 - Input'!$B$7*(1+'1 - Input'!$B$12)^(AL184-1)</f>
        <v>3357.1106326655604</v>
      </c>
      <c r="AO184" s="17">
        <f t="shared" si="191"/>
        <v>161230.019865476</v>
      </c>
      <c r="AP184" s="17">
        <f t="shared" si="192"/>
        <v>260058.31314540276</v>
      </c>
      <c r="AQ184" s="17">
        <f t="shared" si="154"/>
        <v>161894.59780535512</v>
      </c>
      <c r="AR184" s="17">
        <f>IF(AQ184&gt;0,'1 - Input'!$B$8/12*AQ184,0)</f>
        <v>1214.2094835401633</v>
      </c>
      <c r="AS184" s="17">
        <f t="shared" si="155"/>
        <v>160680.38832181497</v>
      </c>
      <c r="AT184" s="17">
        <f t="shared" si="156"/>
        <v>0</v>
      </c>
      <c r="AU184" s="17">
        <f>'1 - Input'!$B$22*(AR184-AT184)</f>
        <v>315.69446572044245</v>
      </c>
      <c r="AV184" s="17">
        <f t="shared" si="157"/>
        <v>898.51501781972092</v>
      </c>
      <c r="AW184" s="17">
        <f t="shared" si="158"/>
        <v>260058.31314540276</v>
      </c>
      <c r="AX184" s="17">
        <f>IF('1 - Input'!$B$17=1,MAX(0,AV184-AN184),0)</f>
        <v>0</v>
      </c>
      <c r="AY184" s="17">
        <f>IF('1 - Input'!$B$17=1,MAX(0,AN184-AV184),0)</f>
        <v>2458.5956148458395</v>
      </c>
      <c r="AZ184" s="17">
        <f t="shared" si="159"/>
        <v>0</v>
      </c>
      <c r="BA184" s="17">
        <f>IF(AND(AY184&gt;0,AS184&gt;0),AY184/(1-'1 - Input'!$B$22*AZ184),0)</f>
        <v>2458.5956148458395</v>
      </c>
      <c r="BB184" s="17">
        <f t="shared" si="160"/>
        <v>2458.5956148458395</v>
      </c>
      <c r="BC184" s="17">
        <f>'1 - Input'!$B$22*AZ184*BB184</f>
        <v>0</v>
      </c>
      <c r="BD184" s="17">
        <f t="shared" si="161"/>
        <v>2458.5956148458395</v>
      </c>
      <c r="BE184" s="17">
        <f t="shared" si="162"/>
        <v>0</v>
      </c>
      <c r="BF184" s="17">
        <f t="shared" si="163"/>
        <v>1520.5970855285807</v>
      </c>
      <c r="BG184" s="17">
        <f t="shared" si="164"/>
        <v>158221.79270696914</v>
      </c>
      <c r="BH184" s="17">
        <f t="shared" si="165"/>
        <v>256079.12044502833</v>
      </c>
      <c r="BI184" s="17">
        <f>IF(MOD(AK184,12)=0,BG184*'1 - Input'!$B$23,0)</f>
        <v>0</v>
      </c>
      <c r="BJ184" s="17">
        <f t="shared" si="166"/>
        <v>158221.79270696914</v>
      </c>
      <c r="BK184" s="17">
        <f>IF(MOD(AK184,12)=0,BH184*(1-'1 - Input'!$B$23),BH184)</f>
        <v>256079.12044502833</v>
      </c>
      <c r="BL184" s="17">
        <f>IF('1 - Input'!$B$17=1,MIN(AV184,AN184)+BD184,AV184)</f>
        <v>3357.1106326655604</v>
      </c>
      <c r="BM184" s="17">
        <f t="shared" si="193"/>
        <v>424480.37529332674</v>
      </c>
      <c r="BN184" s="17">
        <f t="shared" si="194"/>
        <v>93746.643795066077</v>
      </c>
      <c r="BO184" s="17">
        <f t="shared" si="195"/>
        <v>0</v>
      </c>
      <c r="BP184" s="17">
        <f t="shared" si="196"/>
        <v>63541.785979791421</v>
      </c>
      <c r="BQ184" s="17">
        <f t="shared" si="197"/>
        <v>7400.0750840057017</v>
      </c>
      <c r="BR184" s="17">
        <f t="shared" si="198"/>
        <v>0</v>
      </c>
      <c r="BS184" s="15">
        <f t="shared" si="167"/>
        <v>0</v>
      </c>
      <c r="BU184" s="14">
        <v>141</v>
      </c>
      <c r="BV184" s="15">
        <f t="shared" si="168"/>
        <v>12</v>
      </c>
      <c r="BW184" s="16">
        <f>(1+INDEX('1 - Input'!$B$34:$E$63,BV184,'1 - Input'!$B$16))^(1/12)-1</f>
        <v>4.1219243192651689E-3</v>
      </c>
      <c r="BX184" s="17">
        <f>'1 - Input'!$B$7*(1+'1 - Input'!$B$12)^(BV184-1)</f>
        <v>3357.1106326655604</v>
      </c>
      <c r="BY184" s="17">
        <f t="shared" si="199"/>
        <v>284119.5606480877</v>
      </c>
      <c r="BZ184" s="17">
        <f t="shared" si="200"/>
        <v>77939.207897306565</v>
      </c>
      <c r="CA184" s="17">
        <f t="shared" si="169"/>
        <v>285290.67997470201</v>
      </c>
      <c r="CB184" s="17">
        <f>IF(CA184&gt;0,'1 - Input'!$B$8/12*CA184,0)</f>
        <v>2139.6800998102649</v>
      </c>
      <c r="CC184" s="17">
        <f t="shared" si="170"/>
        <v>283150.99987489177</v>
      </c>
      <c r="CD184" s="17">
        <f t="shared" si="171"/>
        <v>2139.6800998102649</v>
      </c>
      <c r="CE184" s="17">
        <f>'1 - Input'!$B$22*(CB184-CD184)</f>
        <v>0</v>
      </c>
      <c r="CF184" s="17">
        <f t="shared" si="172"/>
        <v>2139.6800998102649</v>
      </c>
      <c r="CG184" s="17">
        <f t="shared" si="173"/>
        <v>75799.527797496296</v>
      </c>
      <c r="CH184" s="17">
        <f>IF('1 - Input'!$B$17=1,MAX(0,CF184-BX184),0)</f>
        <v>0</v>
      </c>
      <c r="CI184" s="17">
        <f>IF('1 - Input'!$B$17=1,MAX(0,BX184-CF184),0)</f>
        <v>1217.4305328552955</v>
      </c>
      <c r="CJ184" s="17">
        <f t="shared" si="174"/>
        <v>0.73229998187896994</v>
      </c>
      <c r="CK184" s="17">
        <f>IF(AND(CI184&gt;0,CC184&gt;0),CI184/(1-'1 - Input'!$B$22*CJ184),0)</f>
        <v>1503.7395235813092</v>
      </c>
      <c r="CL184" s="17">
        <f t="shared" si="175"/>
        <v>1503.7395235813092</v>
      </c>
      <c r="CM184" s="17">
        <f>'1 - Input'!$B$22*CJ184*CL184</f>
        <v>286.30899072601375</v>
      </c>
      <c r="CN184" s="17">
        <f t="shared" si="176"/>
        <v>1217.4305328552955</v>
      </c>
      <c r="CO184" s="17">
        <f t="shared" si="177"/>
        <v>0</v>
      </c>
      <c r="CP184" s="17">
        <f t="shared" si="178"/>
        <v>0</v>
      </c>
      <c r="CQ184" s="17">
        <f t="shared" si="179"/>
        <v>281647.26035131048</v>
      </c>
      <c r="CR184" s="17">
        <f t="shared" si="180"/>
        <v>75396.976699784267</v>
      </c>
      <c r="CS184" s="17">
        <f>IF(MOD(BU184,12)=0,CQ184*'1 - Input'!$B$23,0)</f>
        <v>0</v>
      </c>
      <c r="CT184" s="17">
        <f t="shared" si="181"/>
        <v>281647.26035131048</v>
      </c>
      <c r="CU184" s="17">
        <f>IF(MOD(BU184,12)=0,CR184*(1-'1 - Input'!$B$23),CR184)</f>
        <v>75396.976699784267</v>
      </c>
      <c r="CV184" s="17">
        <f>IF('1 - Input'!$B$17=1,MIN(CF184,BX184)+CN184,CF184)</f>
        <v>3357.1106326655604</v>
      </c>
      <c r="CW184" s="17">
        <f t="shared" si="201"/>
        <v>424480.37529332674</v>
      </c>
      <c r="CX184" s="17">
        <f t="shared" si="202"/>
        <v>0</v>
      </c>
      <c r="CY184" s="17">
        <f t="shared" si="203"/>
        <v>6842.7698568530013</v>
      </c>
      <c r="CZ184" s="17">
        <f t="shared" si="204"/>
        <v>0</v>
      </c>
      <c r="DA184" s="17">
        <f t="shared" si="205"/>
        <v>8885.1167184435326</v>
      </c>
      <c r="DB184" s="17">
        <f t="shared" si="206"/>
        <v>0</v>
      </c>
      <c r="DC184" s="15">
        <f t="shared" si="182"/>
        <v>0</v>
      </c>
    </row>
    <row r="185" spans="1:107">
      <c r="A185" s="14">
        <v>142</v>
      </c>
      <c r="B185" s="15">
        <f t="shared" si="138"/>
        <v>12</v>
      </c>
      <c r="C185" s="16">
        <f>(1+INDEX('1 - Input'!$B$34:$E$63,B185,'1 - Input'!$B$16))^(1/12)-1</f>
        <v>4.1219243192651689E-3</v>
      </c>
      <c r="D185" s="17">
        <f>'1 - Input'!$B$7*(1+'1 - Input'!$B$12)^(B185-1)</f>
        <v>3357.1106326655604</v>
      </c>
      <c r="E185" s="17">
        <f t="shared" si="183"/>
        <v>158221.79270696914</v>
      </c>
      <c r="F185" s="17">
        <f t="shared" si="184"/>
        <v>256079.12044502833</v>
      </c>
      <c r="G185" s="17">
        <f t="shared" si="139"/>
        <v>158873.97096216574</v>
      </c>
      <c r="H185" s="17">
        <f>IF(G185&gt;0,'1 - Input'!$B$8/12*G185,0)</f>
        <v>1191.554782216243</v>
      </c>
      <c r="I185" s="17">
        <f t="shared" si="140"/>
        <v>157682.41617994951</v>
      </c>
      <c r="J185" s="17">
        <f t="shared" si="141"/>
        <v>0</v>
      </c>
      <c r="K185" s="17">
        <f>'1 - Input'!$B$22*(H185-J185)</f>
        <v>309.80424337622321</v>
      </c>
      <c r="L185" s="17">
        <f t="shared" si="142"/>
        <v>881.75053884001977</v>
      </c>
      <c r="M185" s="17">
        <f t="shared" si="143"/>
        <v>256079.12044502833</v>
      </c>
      <c r="N185" s="17">
        <f>IF('1 - Input'!$B$17=1,MAX(0,L185-D185),0)</f>
        <v>0</v>
      </c>
      <c r="O185" s="17">
        <f>IF('1 - Input'!$B$17=1,MAX(0,D185-L185),0)</f>
        <v>2475.3600938255404</v>
      </c>
      <c r="P185" s="17">
        <f t="shared" si="144"/>
        <v>0</v>
      </c>
      <c r="Q185" s="17">
        <f>IF(AND(O185&gt;0,I185&gt;0),O185/(1-'1 - Input'!$B$22*P185),0)</f>
        <v>2475.3600938255404</v>
      </c>
      <c r="R185" s="17">
        <f t="shared" si="145"/>
        <v>2475.3600938255404</v>
      </c>
      <c r="S185" s="17">
        <f>'1 - Input'!$B$22*P185*R185</f>
        <v>0</v>
      </c>
      <c r="T185" s="17">
        <f t="shared" si="146"/>
        <v>2475.3600938255404</v>
      </c>
      <c r="U185" s="17">
        <f t="shared" si="147"/>
        <v>0</v>
      </c>
      <c r="V185" s="17">
        <f t="shared" si="148"/>
        <v>1544.6698560463894</v>
      </c>
      <c r="W185" s="17">
        <f t="shared" si="149"/>
        <v>155207.05608612398</v>
      </c>
      <c r="X185" s="17">
        <f t="shared" si="150"/>
        <v>252059.09049515639</v>
      </c>
      <c r="Y185" s="17">
        <f>IF(MOD(A185,12)=0,W185*'1 - Input'!$B$23,0)</f>
        <v>0</v>
      </c>
      <c r="Z185" s="17">
        <f t="shared" si="151"/>
        <v>155207.05608612398</v>
      </c>
      <c r="AA185" s="17">
        <f>IF(MOD(A185,12)=0,X185*(1-'1 - Input'!$B$23),X185)</f>
        <v>252059.09049515639</v>
      </c>
      <c r="AB185" s="17">
        <f>IF('1 - Input'!$B$17=1,MIN(L185,D185)+T185,L185)</f>
        <v>3357.1106326655599</v>
      </c>
      <c r="AC185" s="17">
        <f t="shared" si="185"/>
        <v>427837.48592599231</v>
      </c>
      <c r="AD185" s="17">
        <f t="shared" si="186"/>
        <v>94056.448038442293</v>
      </c>
      <c r="AE185" s="17">
        <f t="shared" si="187"/>
        <v>0</v>
      </c>
      <c r="AF185" s="17">
        <f t="shared" si="188"/>
        <v>65086.455835837813</v>
      </c>
      <c r="AG185" s="17">
        <f t="shared" si="189"/>
        <v>7400.0750840057017</v>
      </c>
      <c r="AH185" s="17">
        <f t="shared" si="190"/>
        <v>0</v>
      </c>
      <c r="AI185" s="15">
        <f t="shared" si="152"/>
        <v>0</v>
      </c>
      <c r="AK185" s="14">
        <v>142</v>
      </c>
      <c r="AL185" s="15">
        <f t="shared" si="153"/>
        <v>12</v>
      </c>
      <c r="AM185" s="16">
        <f>(1+INDEX('1 - Input'!$B$34:$E$63,AL185,'1 - Input'!$B$16))^(1/12)-1</f>
        <v>4.1219243192651689E-3</v>
      </c>
      <c r="AN185" s="17">
        <f>'1 - Input'!$B$7*(1+'1 - Input'!$B$12)^(AL185-1)</f>
        <v>3357.1106326655604</v>
      </c>
      <c r="AO185" s="17">
        <f t="shared" si="191"/>
        <v>158221.79270696914</v>
      </c>
      <c r="AP185" s="17">
        <f t="shared" si="192"/>
        <v>256079.12044502833</v>
      </c>
      <c r="AQ185" s="17">
        <f t="shared" si="154"/>
        <v>158873.97096216574</v>
      </c>
      <c r="AR185" s="17">
        <f>IF(AQ185&gt;0,'1 - Input'!$B$8/12*AQ185,0)</f>
        <v>1191.554782216243</v>
      </c>
      <c r="AS185" s="17">
        <f t="shared" si="155"/>
        <v>157682.41617994951</v>
      </c>
      <c r="AT185" s="17">
        <f t="shared" si="156"/>
        <v>0</v>
      </c>
      <c r="AU185" s="17">
        <f>'1 - Input'!$B$22*(AR185-AT185)</f>
        <v>309.80424337622321</v>
      </c>
      <c r="AV185" s="17">
        <f t="shared" si="157"/>
        <v>881.75053884001977</v>
      </c>
      <c r="AW185" s="17">
        <f t="shared" si="158"/>
        <v>256079.12044502833</v>
      </c>
      <c r="AX185" s="17">
        <f>IF('1 - Input'!$B$17=1,MAX(0,AV185-AN185),0)</f>
        <v>0</v>
      </c>
      <c r="AY185" s="17">
        <f>IF('1 - Input'!$B$17=1,MAX(0,AN185-AV185),0)</f>
        <v>2475.3600938255404</v>
      </c>
      <c r="AZ185" s="17">
        <f t="shared" si="159"/>
        <v>0</v>
      </c>
      <c r="BA185" s="17">
        <f>IF(AND(AY185&gt;0,AS185&gt;0),AY185/(1-'1 - Input'!$B$22*AZ185),0)</f>
        <v>2475.3600938255404</v>
      </c>
      <c r="BB185" s="17">
        <f t="shared" si="160"/>
        <v>2475.3600938255404</v>
      </c>
      <c r="BC185" s="17">
        <f>'1 - Input'!$B$22*AZ185*BB185</f>
        <v>0</v>
      </c>
      <c r="BD185" s="17">
        <f t="shared" si="161"/>
        <v>2475.3600938255404</v>
      </c>
      <c r="BE185" s="17">
        <f t="shared" si="162"/>
        <v>0</v>
      </c>
      <c r="BF185" s="17">
        <f t="shared" si="163"/>
        <v>1544.6698560463894</v>
      </c>
      <c r="BG185" s="17">
        <f t="shared" si="164"/>
        <v>155207.05608612398</v>
      </c>
      <c r="BH185" s="17">
        <f t="shared" si="165"/>
        <v>252059.09049515639</v>
      </c>
      <c r="BI185" s="17">
        <f>IF(MOD(AK185,12)=0,BG185*'1 - Input'!$B$23,0)</f>
        <v>0</v>
      </c>
      <c r="BJ185" s="17">
        <f t="shared" si="166"/>
        <v>155207.05608612398</v>
      </c>
      <c r="BK185" s="17">
        <f>IF(MOD(AK185,12)=0,BH185*(1-'1 - Input'!$B$23),BH185)</f>
        <v>252059.09049515639</v>
      </c>
      <c r="BL185" s="17">
        <f>IF('1 - Input'!$B$17=1,MIN(AV185,AN185)+BD185,AV185)</f>
        <v>3357.1106326655599</v>
      </c>
      <c r="BM185" s="17">
        <f t="shared" si="193"/>
        <v>427837.48592599231</v>
      </c>
      <c r="BN185" s="17">
        <f t="shared" si="194"/>
        <v>94056.448038442293</v>
      </c>
      <c r="BO185" s="17">
        <f t="shared" si="195"/>
        <v>0</v>
      </c>
      <c r="BP185" s="17">
        <f t="shared" si="196"/>
        <v>65086.455835837813</v>
      </c>
      <c r="BQ185" s="17">
        <f t="shared" si="197"/>
        <v>7400.0750840057017</v>
      </c>
      <c r="BR185" s="17">
        <f t="shared" si="198"/>
        <v>0</v>
      </c>
      <c r="BS185" s="15">
        <f t="shared" si="167"/>
        <v>0</v>
      </c>
      <c r="BU185" s="14">
        <v>142</v>
      </c>
      <c r="BV185" s="15">
        <f t="shared" si="168"/>
        <v>12</v>
      </c>
      <c r="BW185" s="16">
        <f>(1+INDEX('1 - Input'!$B$34:$E$63,BV185,'1 - Input'!$B$16))^(1/12)-1</f>
        <v>4.1219243192651689E-3</v>
      </c>
      <c r="BX185" s="17">
        <f>'1 - Input'!$B$7*(1+'1 - Input'!$B$12)^(BV185-1)</f>
        <v>3357.1106326655604</v>
      </c>
      <c r="BY185" s="17">
        <f t="shared" si="199"/>
        <v>281647.26035131048</v>
      </c>
      <c r="BZ185" s="17">
        <f t="shared" si="200"/>
        <v>75396.976699784267</v>
      </c>
      <c r="CA185" s="17">
        <f t="shared" si="169"/>
        <v>282808.18904320698</v>
      </c>
      <c r="CB185" s="17">
        <f>IF(CA185&gt;0,'1 - Input'!$B$8/12*CA185,0)</f>
        <v>2121.0614178240521</v>
      </c>
      <c r="CC185" s="17">
        <f t="shared" si="170"/>
        <v>280687.12762538291</v>
      </c>
      <c r="CD185" s="17">
        <f t="shared" si="171"/>
        <v>2121.0614178240521</v>
      </c>
      <c r="CE185" s="17">
        <f>'1 - Input'!$B$22*(CB185-CD185)</f>
        <v>0</v>
      </c>
      <c r="CF185" s="17">
        <f t="shared" si="172"/>
        <v>2121.0614178240521</v>
      </c>
      <c r="CG185" s="17">
        <f t="shared" si="173"/>
        <v>73275.915281960217</v>
      </c>
      <c r="CH185" s="17">
        <f>IF('1 - Input'!$B$17=1,MAX(0,CF185-BX185),0)</f>
        <v>0</v>
      </c>
      <c r="CI185" s="17">
        <f>IF('1 - Input'!$B$17=1,MAX(0,BX185-CF185),0)</f>
        <v>1236.0492148415083</v>
      </c>
      <c r="CJ185" s="17">
        <f t="shared" si="174"/>
        <v>0.73894094858615178</v>
      </c>
      <c r="CK185" s="17">
        <f>IF(AND(CI185&gt;0,CC185&gt;0),CI185/(1-'1 - Input'!$B$22*CJ185),0)</f>
        <v>1529.999906160127</v>
      </c>
      <c r="CL185" s="17">
        <f t="shared" si="175"/>
        <v>1529.999906160127</v>
      </c>
      <c r="CM185" s="17">
        <f>'1 - Input'!$B$22*CJ185*CL185</f>
        <v>293.95069131861874</v>
      </c>
      <c r="CN185" s="17">
        <f t="shared" si="176"/>
        <v>1236.0492148415083</v>
      </c>
      <c r="CO185" s="17">
        <f t="shared" si="177"/>
        <v>0</v>
      </c>
      <c r="CP185" s="17">
        <f t="shared" si="178"/>
        <v>0</v>
      </c>
      <c r="CQ185" s="17">
        <f t="shared" si="179"/>
        <v>279157.1277192228</v>
      </c>
      <c r="CR185" s="17">
        <f t="shared" si="180"/>
        <v>72876.494957794785</v>
      </c>
      <c r="CS185" s="17">
        <f>IF(MOD(BU185,12)=0,CQ185*'1 - Input'!$B$23,0)</f>
        <v>0</v>
      </c>
      <c r="CT185" s="17">
        <f t="shared" si="181"/>
        <v>279157.1277192228</v>
      </c>
      <c r="CU185" s="17">
        <f>IF(MOD(BU185,12)=0,CR185*(1-'1 - Input'!$B$23),CR185)</f>
        <v>72876.494957794785</v>
      </c>
      <c r="CV185" s="17">
        <f>IF('1 - Input'!$B$17=1,MIN(CF185,BX185)+CN185,CF185)</f>
        <v>3357.1106326655604</v>
      </c>
      <c r="CW185" s="17">
        <f t="shared" si="201"/>
        <v>427837.48592599231</v>
      </c>
      <c r="CX185" s="17">
        <f t="shared" si="202"/>
        <v>0</v>
      </c>
      <c r="CY185" s="17">
        <f t="shared" si="203"/>
        <v>7136.7205481716201</v>
      </c>
      <c r="CZ185" s="17">
        <f t="shared" si="204"/>
        <v>0</v>
      </c>
      <c r="DA185" s="17">
        <f t="shared" si="205"/>
        <v>8885.1167184435326</v>
      </c>
      <c r="DB185" s="17">
        <f t="shared" si="206"/>
        <v>0</v>
      </c>
      <c r="DC185" s="15">
        <f t="shared" si="182"/>
        <v>0</v>
      </c>
    </row>
    <row r="186" spans="1:107">
      <c r="A186" s="14">
        <v>143</v>
      </c>
      <c r="B186" s="15">
        <f t="shared" si="138"/>
        <v>12</v>
      </c>
      <c r="C186" s="16">
        <f>(1+INDEX('1 - Input'!$B$34:$E$63,B186,'1 - Input'!$B$16))^(1/12)-1</f>
        <v>4.1219243192651689E-3</v>
      </c>
      <c r="D186" s="17">
        <f>'1 - Input'!$B$7*(1+'1 - Input'!$B$12)^(B186-1)</f>
        <v>3357.1106326655604</v>
      </c>
      <c r="E186" s="17">
        <f t="shared" si="183"/>
        <v>155207.05608612398</v>
      </c>
      <c r="F186" s="17">
        <f t="shared" si="184"/>
        <v>252059.09049515639</v>
      </c>
      <c r="G186" s="17">
        <f t="shared" si="139"/>
        <v>155846.80782512692</v>
      </c>
      <c r="H186" s="17">
        <f>IF(G186&gt;0,'1 - Input'!$B$8/12*G186,0)</f>
        <v>1168.8510586884518</v>
      </c>
      <c r="I186" s="17">
        <f t="shared" si="140"/>
        <v>154677.95676643847</v>
      </c>
      <c r="J186" s="17">
        <f t="shared" si="141"/>
        <v>0</v>
      </c>
      <c r="K186" s="17">
        <f>'1 - Input'!$B$22*(H186-J186)</f>
        <v>303.90127525899749</v>
      </c>
      <c r="L186" s="17">
        <f t="shared" si="142"/>
        <v>864.94978342945433</v>
      </c>
      <c r="M186" s="17">
        <f t="shared" si="143"/>
        <v>252059.09049515639</v>
      </c>
      <c r="N186" s="17">
        <f>IF('1 - Input'!$B$17=1,MAX(0,L186-D186),0)</f>
        <v>0</v>
      </c>
      <c r="O186" s="17">
        <f>IF('1 - Input'!$B$17=1,MAX(0,D186-L186),0)</f>
        <v>2492.1608492361061</v>
      </c>
      <c r="P186" s="17">
        <f t="shared" si="144"/>
        <v>0</v>
      </c>
      <c r="Q186" s="17">
        <f>IF(AND(O186&gt;0,I186&gt;0),O186/(1-'1 - Input'!$B$22*P186),0)</f>
        <v>2492.1608492361061</v>
      </c>
      <c r="R186" s="17">
        <f t="shared" si="145"/>
        <v>2492.1608492361061</v>
      </c>
      <c r="S186" s="17">
        <f>'1 - Input'!$B$22*P186*R186</f>
        <v>0</v>
      </c>
      <c r="T186" s="17">
        <f t="shared" si="146"/>
        <v>2492.1608492361061</v>
      </c>
      <c r="U186" s="17">
        <f t="shared" si="147"/>
        <v>0</v>
      </c>
      <c r="V186" s="17">
        <f t="shared" si="148"/>
        <v>1568.9982852527212</v>
      </c>
      <c r="W186" s="17">
        <f t="shared" si="149"/>
        <v>152185.79591720237</v>
      </c>
      <c r="X186" s="17">
        <f t="shared" si="150"/>
        <v>247997.93136066754</v>
      </c>
      <c r="Y186" s="17">
        <f>IF(MOD(A186,12)=0,W186*'1 - Input'!$B$23,0)</f>
        <v>0</v>
      </c>
      <c r="Z186" s="17">
        <f t="shared" si="151"/>
        <v>152185.79591720237</v>
      </c>
      <c r="AA186" s="17">
        <f>IF(MOD(A186,12)=0,X186*(1-'1 - Input'!$B$23),X186)</f>
        <v>247997.93136066754</v>
      </c>
      <c r="AB186" s="17">
        <f>IF('1 - Input'!$B$17=1,MIN(L186,D186)+T186,L186)</f>
        <v>3357.1106326655604</v>
      </c>
      <c r="AC186" s="17">
        <f t="shared" si="185"/>
        <v>431194.59655865788</v>
      </c>
      <c r="AD186" s="17">
        <f t="shared" si="186"/>
        <v>94360.349313701285</v>
      </c>
      <c r="AE186" s="17">
        <f t="shared" si="187"/>
        <v>0</v>
      </c>
      <c r="AF186" s="17">
        <f t="shared" si="188"/>
        <v>66655.45412109053</v>
      </c>
      <c r="AG186" s="17">
        <f t="shared" si="189"/>
        <v>7400.0750840057017</v>
      </c>
      <c r="AH186" s="17">
        <f t="shared" si="190"/>
        <v>0</v>
      </c>
      <c r="AI186" s="15">
        <f t="shared" si="152"/>
        <v>0</v>
      </c>
      <c r="AK186" s="14">
        <v>143</v>
      </c>
      <c r="AL186" s="15">
        <f t="shared" si="153"/>
        <v>12</v>
      </c>
      <c r="AM186" s="16">
        <f>(1+INDEX('1 - Input'!$B$34:$E$63,AL186,'1 - Input'!$B$16))^(1/12)-1</f>
        <v>4.1219243192651689E-3</v>
      </c>
      <c r="AN186" s="17">
        <f>'1 - Input'!$B$7*(1+'1 - Input'!$B$12)^(AL186-1)</f>
        <v>3357.1106326655604</v>
      </c>
      <c r="AO186" s="17">
        <f t="shared" si="191"/>
        <v>155207.05608612398</v>
      </c>
      <c r="AP186" s="17">
        <f t="shared" si="192"/>
        <v>252059.09049515639</v>
      </c>
      <c r="AQ186" s="17">
        <f t="shared" si="154"/>
        <v>155846.80782512692</v>
      </c>
      <c r="AR186" s="17">
        <f>IF(AQ186&gt;0,'1 - Input'!$B$8/12*AQ186,0)</f>
        <v>1168.8510586884518</v>
      </c>
      <c r="AS186" s="17">
        <f t="shared" si="155"/>
        <v>154677.95676643847</v>
      </c>
      <c r="AT186" s="17">
        <f t="shared" si="156"/>
        <v>0</v>
      </c>
      <c r="AU186" s="17">
        <f>'1 - Input'!$B$22*(AR186-AT186)</f>
        <v>303.90127525899749</v>
      </c>
      <c r="AV186" s="17">
        <f t="shared" si="157"/>
        <v>864.94978342945433</v>
      </c>
      <c r="AW186" s="17">
        <f t="shared" si="158"/>
        <v>252059.09049515639</v>
      </c>
      <c r="AX186" s="17">
        <f>IF('1 - Input'!$B$17=1,MAX(0,AV186-AN186),0)</f>
        <v>0</v>
      </c>
      <c r="AY186" s="17">
        <f>IF('1 - Input'!$B$17=1,MAX(0,AN186-AV186),0)</f>
        <v>2492.1608492361061</v>
      </c>
      <c r="AZ186" s="17">
        <f t="shared" si="159"/>
        <v>0</v>
      </c>
      <c r="BA186" s="17">
        <f>IF(AND(AY186&gt;0,AS186&gt;0),AY186/(1-'1 - Input'!$B$22*AZ186),0)</f>
        <v>2492.1608492361061</v>
      </c>
      <c r="BB186" s="17">
        <f t="shared" si="160"/>
        <v>2492.1608492361061</v>
      </c>
      <c r="BC186" s="17">
        <f>'1 - Input'!$B$22*AZ186*BB186</f>
        <v>0</v>
      </c>
      <c r="BD186" s="17">
        <f t="shared" si="161"/>
        <v>2492.1608492361061</v>
      </c>
      <c r="BE186" s="17">
        <f t="shared" si="162"/>
        <v>0</v>
      </c>
      <c r="BF186" s="17">
        <f t="shared" si="163"/>
        <v>1568.9982852527212</v>
      </c>
      <c r="BG186" s="17">
        <f t="shared" si="164"/>
        <v>152185.79591720237</v>
      </c>
      <c r="BH186" s="17">
        <f t="shared" si="165"/>
        <v>247997.93136066754</v>
      </c>
      <c r="BI186" s="17">
        <f>IF(MOD(AK186,12)=0,BG186*'1 - Input'!$B$23,0)</f>
        <v>0</v>
      </c>
      <c r="BJ186" s="17">
        <f t="shared" si="166"/>
        <v>152185.79591720237</v>
      </c>
      <c r="BK186" s="17">
        <f>IF(MOD(AK186,12)=0,BH186*(1-'1 - Input'!$B$23),BH186)</f>
        <v>247997.93136066754</v>
      </c>
      <c r="BL186" s="17">
        <f>IF('1 - Input'!$B$17=1,MIN(AV186,AN186)+BD186,AV186)</f>
        <v>3357.1106326655604</v>
      </c>
      <c r="BM186" s="17">
        <f t="shared" si="193"/>
        <v>431194.59655865788</v>
      </c>
      <c r="BN186" s="17">
        <f t="shared" si="194"/>
        <v>94360.349313701285</v>
      </c>
      <c r="BO186" s="17">
        <f t="shared" si="195"/>
        <v>0</v>
      </c>
      <c r="BP186" s="17">
        <f t="shared" si="196"/>
        <v>66655.45412109053</v>
      </c>
      <c r="BQ186" s="17">
        <f t="shared" si="197"/>
        <v>7400.0750840057017</v>
      </c>
      <c r="BR186" s="17">
        <f t="shared" si="198"/>
        <v>0</v>
      </c>
      <c r="BS186" s="15">
        <f t="shared" si="167"/>
        <v>0</v>
      </c>
      <c r="BU186" s="14">
        <v>143</v>
      </c>
      <c r="BV186" s="15">
        <f t="shared" si="168"/>
        <v>12</v>
      </c>
      <c r="BW186" s="16">
        <f>(1+INDEX('1 - Input'!$B$34:$E$63,BV186,'1 - Input'!$B$16))^(1/12)-1</f>
        <v>4.1219243192651689E-3</v>
      </c>
      <c r="BX186" s="17">
        <f>'1 - Input'!$B$7*(1+'1 - Input'!$B$12)^(BV186-1)</f>
        <v>3357.1106326655604</v>
      </c>
      <c r="BY186" s="17">
        <f t="shared" si="199"/>
        <v>279157.1277192228</v>
      </c>
      <c r="BZ186" s="17">
        <f t="shared" si="200"/>
        <v>72876.494957794785</v>
      </c>
      <c r="CA186" s="17">
        <f t="shared" si="169"/>
        <v>280307.7922728649</v>
      </c>
      <c r="CB186" s="17">
        <f>IF(CA186&gt;0,'1 - Input'!$B$8/12*CA186,0)</f>
        <v>2102.3084420464866</v>
      </c>
      <c r="CC186" s="17">
        <f t="shared" si="170"/>
        <v>278205.48383081844</v>
      </c>
      <c r="CD186" s="17">
        <f t="shared" si="171"/>
        <v>2102.3084420464866</v>
      </c>
      <c r="CE186" s="17">
        <f>'1 - Input'!$B$22*(CB186-CD186)</f>
        <v>0</v>
      </c>
      <c r="CF186" s="17">
        <f t="shared" si="172"/>
        <v>2102.3084420464866</v>
      </c>
      <c r="CG186" s="17">
        <f t="shared" si="173"/>
        <v>70774.186515748297</v>
      </c>
      <c r="CH186" s="17">
        <f>IF('1 - Input'!$B$17=1,MAX(0,CF186-BX186),0)</f>
        <v>0</v>
      </c>
      <c r="CI186" s="17">
        <f>IF('1 - Input'!$B$17=1,MAX(0,BX186-CF186),0)</f>
        <v>1254.8021906190738</v>
      </c>
      <c r="CJ186" s="17">
        <f t="shared" si="174"/>
        <v>0.74560463172326497</v>
      </c>
      <c r="CK186" s="17">
        <f>IF(AND(CI186&gt;0,CC186&gt;0),CI186/(1-'1 - Input'!$B$22*CJ186),0)</f>
        <v>1556.5507714407145</v>
      </c>
      <c r="CL186" s="17">
        <f t="shared" si="175"/>
        <v>1556.5507714407145</v>
      </c>
      <c r="CM186" s="17">
        <f>'1 - Input'!$B$22*CJ186*CL186</f>
        <v>301.74858082164064</v>
      </c>
      <c r="CN186" s="17">
        <f t="shared" si="176"/>
        <v>1254.8021906190738</v>
      </c>
      <c r="CO186" s="17">
        <f t="shared" si="177"/>
        <v>0</v>
      </c>
      <c r="CP186" s="17">
        <f t="shared" si="178"/>
        <v>0</v>
      </c>
      <c r="CQ186" s="17">
        <f t="shared" si="179"/>
        <v>276648.93305937771</v>
      </c>
      <c r="CR186" s="17">
        <f t="shared" si="180"/>
        <v>70378.207209006199</v>
      </c>
      <c r="CS186" s="17">
        <f>IF(MOD(BU186,12)=0,CQ186*'1 - Input'!$B$23,0)</f>
        <v>0</v>
      </c>
      <c r="CT186" s="17">
        <f t="shared" si="181"/>
        <v>276648.93305937771</v>
      </c>
      <c r="CU186" s="17">
        <f>IF(MOD(BU186,12)=0,CR186*(1-'1 - Input'!$B$23),CR186)</f>
        <v>70378.207209006199</v>
      </c>
      <c r="CV186" s="17">
        <f>IF('1 - Input'!$B$17=1,MIN(CF186,BX186)+CN186,CF186)</f>
        <v>3357.1106326655604</v>
      </c>
      <c r="CW186" s="17">
        <f t="shared" si="201"/>
        <v>431194.59655865788</v>
      </c>
      <c r="CX186" s="17">
        <f t="shared" si="202"/>
        <v>0</v>
      </c>
      <c r="CY186" s="17">
        <f t="shared" si="203"/>
        <v>7438.4691289932607</v>
      </c>
      <c r="CZ186" s="17">
        <f t="shared" si="204"/>
        <v>0</v>
      </c>
      <c r="DA186" s="17">
        <f t="shared" si="205"/>
        <v>8885.1167184435326</v>
      </c>
      <c r="DB186" s="17">
        <f t="shared" si="206"/>
        <v>0</v>
      </c>
      <c r="DC186" s="15">
        <f t="shared" si="182"/>
        <v>0</v>
      </c>
    </row>
    <row r="187" spans="1:107">
      <c r="A187" s="14">
        <v>144</v>
      </c>
      <c r="B187" s="15">
        <f t="shared" si="138"/>
        <v>12</v>
      </c>
      <c r="C187" s="16">
        <f>(1+INDEX('1 - Input'!$B$34:$E$63,B187,'1 - Input'!$B$16))^(1/12)-1</f>
        <v>4.1219243192651689E-3</v>
      </c>
      <c r="D187" s="17">
        <f>'1 - Input'!$B$7*(1+'1 - Input'!$B$12)^(B187-1)</f>
        <v>3357.1106326655604</v>
      </c>
      <c r="E187" s="17">
        <f t="shared" si="183"/>
        <v>152185.79591720237</v>
      </c>
      <c r="F187" s="17">
        <f t="shared" si="184"/>
        <v>247997.93136066754</v>
      </c>
      <c r="G187" s="17">
        <f t="shared" si="139"/>
        <v>152813.09425044022</v>
      </c>
      <c r="H187" s="17">
        <f>IF(G187&gt;0,'1 - Input'!$B$8/12*G187,0)</f>
        <v>1146.0982068783017</v>
      </c>
      <c r="I187" s="17">
        <f t="shared" si="140"/>
        <v>151666.99604356193</v>
      </c>
      <c r="J187" s="17">
        <f t="shared" si="141"/>
        <v>0</v>
      </c>
      <c r="K187" s="17">
        <f>'1 - Input'!$B$22*(H187-J187)</f>
        <v>297.98553378835845</v>
      </c>
      <c r="L187" s="17">
        <f t="shared" si="142"/>
        <v>848.1126730899432</v>
      </c>
      <c r="M187" s="17">
        <f t="shared" si="143"/>
        <v>247997.93136066754</v>
      </c>
      <c r="N187" s="17">
        <f>IF('1 - Input'!$B$17=1,MAX(0,L187-D187),0)</f>
        <v>0</v>
      </c>
      <c r="O187" s="17">
        <f>IF('1 - Input'!$B$17=1,MAX(0,D187-L187),0)</f>
        <v>2508.9979595756172</v>
      </c>
      <c r="P187" s="17">
        <f t="shared" si="144"/>
        <v>0</v>
      </c>
      <c r="Q187" s="17">
        <f>IF(AND(O187&gt;0,I187&gt;0),O187/(1-'1 - Input'!$B$22*P187),0)</f>
        <v>2508.9979595756172</v>
      </c>
      <c r="R187" s="17">
        <f t="shared" si="145"/>
        <v>2508.9979595756172</v>
      </c>
      <c r="S187" s="17">
        <f>'1 - Input'!$B$22*P187*R187</f>
        <v>0</v>
      </c>
      <c r="T187" s="17">
        <f t="shared" si="146"/>
        <v>2508.9979595756172</v>
      </c>
      <c r="U187" s="17">
        <f t="shared" si="147"/>
        <v>0</v>
      </c>
      <c r="V187" s="17">
        <f t="shared" si="148"/>
        <v>1593.58414460328</v>
      </c>
      <c r="W187" s="17">
        <f t="shared" si="149"/>
        <v>149157.99808398631</v>
      </c>
      <c r="X187" s="17">
        <f t="shared" si="150"/>
        <v>243895.34925648864</v>
      </c>
      <c r="Y187" s="17">
        <f>IF(MOD(A187,12)=0,W187*'1 - Input'!$B$23,0)</f>
        <v>298.31599616797263</v>
      </c>
      <c r="Z187" s="17">
        <f t="shared" si="151"/>
        <v>148859.68208781834</v>
      </c>
      <c r="AA187" s="17">
        <f>IF(MOD(A187,12)=0,X187*(1-'1 - Input'!$B$23),X187)</f>
        <v>243407.55855797566</v>
      </c>
      <c r="AB187" s="17">
        <f>IF('1 - Input'!$B$17=1,MIN(L187,D187)+T187,L187)</f>
        <v>3357.1106326655604</v>
      </c>
      <c r="AC187" s="17">
        <f t="shared" si="185"/>
        <v>434551.70719132345</v>
      </c>
      <c r="AD187" s="17">
        <f t="shared" si="186"/>
        <v>94658.334847489648</v>
      </c>
      <c r="AE187" s="17">
        <f t="shared" si="187"/>
        <v>0</v>
      </c>
      <c r="AF187" s="17">
        <f t="shared" si="188"/>
        <v>68249.038265693816</v>
      </c>
      <c r="AG187" s="17">
        <f t="shared" si="189"/>
        <v>7698.3910801736747</v>
      </c>
      <c r="AH187" s="17">
        <f t="shared" si="190"/>
        <v>0</v>
      </c>
      <c r="AI187" s="15">
        <f t="shared" si="152"/>
        <v>0</v>
      </c>
      <c r="AK187" s="14">
        <v>144</v>
      </c>
      <c r="AL187" s="15">
        <f t="shared" si="153"/>
        <v>12</v>
      </c>
      <c r="AM187" s="16">
        <f>(1+INDEX('1 - Input'!$B$34:$E$63,AL187,'1 - Input'!$B$16))^(1/12)-1</f>
        <v>4.1219243192651689E-3</v>
      </c>
      <c r="AN187" s="17">
        <f>'1 - Input'!$B$7*(1+'1 - Input'!$B$12)^(AL187-1)</f>
        <v>3357.1106326655604</v>
      </c>
      <c r="AO187" s="17">
        <f t="shared" si="191"/>
        <v>152185.79591720237</v>
      </c>
      <c r="AP187" s="17">
        <f t="shared" si="192"/>
        <v>247997.93136066754</v>
      </c>
      <c r="AQ187" s="17">
        <f t="shared" si="154"/>
        <v>152813.09425044022</v>
      </c>
      <c r="AR187" s="17">
        <f>IF(AQ187&gt;0,'1 - Input'!$B$8/12*AQ187,0)</f>
        <v>1146.0982068783017</v>
      </c>
      <c r="AS187" s="17">
        <f t="shared" si="155"/>
        <v>151666.99604356193</v>
      </c>
      <c r="AT187" s="17">
        <f t="shared" si="156"/>
        <v>0</v>
      </c>
      <c r="AU187" s="17">
        <f>'1 - Input'!$B$22*(AR187-AT187)</f>
        <v>297.98553378835845</v>
      </c>
      <c r="AV187" s="17">
        <f t="shared" si="157"/>
        <v>848.1126730899432</v>
      </c>
      <c r="AW187" s="17">
        <f t="shared" si="158"/>
        <v>247997.93136066754</v>
      </c>
      <c r="AX187" s="17">
        <f>IF('1 - Input'!$B$17=1,MAX(0,AV187-AN187),0)</f>
        <v>0</v>
      </c>
      <c r="AY187" s="17">
        <f>IF('1 - Input'!$B$17=1,MAX(0,AN187-AV187),0)</f>
        <v>2508.9979595756172</v>
      </c>
      <c r="AZ187" s="17">
        <f t="shared" si="159"/>
        <v>0</v>
      </c>
      <c r="BA187" s="17">
        <f>IF(AND(AY187&gt;0,AS187&gt;0),AY187/(1-'1 - Input'!$B$22*AZ187),0)</f>
        <v>2508.9979595756172</v>
      </c>
      <c r="BB187" s="17">
        <f t="shared" si="160"/>
        <v>2508.9979595756172</v>
      </c>
      <c r="BC187" s="17">
        <f>'1 - Input'!$B$22*AZ187*BB187</f>
        <v>0</v>
      </c>
      <c r="BD187" s="17">
        <f t="shared" si="161"/>
        <v>2508.9979595756172</v>
      </c>
      <c r="BE187" s="17">
        <f t="shared" si="162"/>
        <v>0</v>
      </c>
      <c r="BF187" s="17">
        <f t="shared" si="163"/>
        <v>1593.58414460328</v>
      </c>
      <c r="BG187" s="17">
        <f t="shared" si="164"/>
        <v>149157.99808398631</v>
      </c>
      <c r="BH187" s="17">
        <f t="shared" si="165"/>
        <v>243895.34925648864</v>
      </c>
      <c r="BI187" s="17">
        <f>IF(MOD(AK187,12)=0,BG187*'1 - Input'!$B$23,0)</f>
        <v>298.31599616797263</v>
      </c>
      <c r="BJ187" s="17">
        <f t="shared" si="166"/>
        <v>148859.68208781834</v>
      </c>
      <c r="BK187" s="17">
        <f>IF(MOD(AK187,12)=0,BH187*(1-'1 - Input'!$B$23),BH187)</f>
        <v>243407.55855797566</v>
      </c>
      <c r="BL187" s="17">
        <f>IF('1 - Input'!$B$17=1,MIN(AV187,AN187)+BD187,AV187)</f>
        <v>3357.1106326655604</v>
      </c>
      <c r="BM187" s="17">
        <f t="shared" si="193"/>
        <v>434551.70719132345</v>
      </c>
      <c r="BN187" s="17">
        <f t="shared" si="194"/>
        <v>94658.334847489648</v>
      </c>
      <c r="BO187" s="17">
        <f t="shared" si="195"/>
        <v>0</v>
      </c>
      <c r="BP187" s="17">
        <f t="shared" si="196"/>
        <v>68249.038265693816</v>
      </c>
      <c r="BQ187" s="17">
        <f t="shared" si="197"/>
        <v>7698.3910801736747</v>
      </c>
      <c r="BR187" s="17">
        <f t="shared" si="198"/>
        <v>0</v>
      </c>
      <c r="BS187" s="15">
        <f t="shared" si="167"/>
        <v>0</v>
      </c>
      <c r="BU187" s="14">
        <v>144</v>
      </c>
      <c r="BV187" s="15">
        <f t="shared" si="168"/>
        <v>12</v>
      </c>
      <c r="BW187" s="16">
        <f>(1+INDEX('1 - Input'!$B$34:$E$63,BV187,'1 - Input'!$B$16))^(1/12)-1</f>
        <v>4.1219243192651689E-3</v>
      </c>
      <c r="BX187" s="17">
        <f>'1 - Input'!$B$7*(1+'1 - Input'!$B$12)^(BV187-1)</f>
        <v>3357.1106326655604</v>
      </c>
      <c r="BY187" s="17">
        <f t="shared" si="199"/>
        <v>276648.93305937771</v>
      </c>
      <c r="BZ187" s="17">
        <f t="shared" si="200"/>
        <v>70378.207209006199</v>
      </c>
      <c r="CA187" s="17">
        <f t="shared" si="169"/>
        <v>277789.25902445393</v>
      </c>
      <c r="CB187" s="17">
        <f>IF(CA187&gt;0,'1 - Input'!$B$8/12*CA187,0)</f>
        <v>2083.4194426834042</v>
      </c>
      <c r="CC187" s="17">
        <f t="shared" si="170"/>
        <v>275705.83958177053</v>
      </c>
      <c r="CD187" s="17">
        <f t="shared" si="171"/>
        <v>2083.4194426834042</v>
      </c>
      <c r="CE187" s="17">
        <f>'1 - Input'!$B$22*(CB187-CD187)</f>
        <v>0</v>
      </c>
      <c r="CF187" s="17">
        <f t="shared" si="172"/>
        <v>2083.4194426834042</v>
      </c>
      <c r="CG187" s="17">
        <f t="shared" si="173"/>
        <v>68294.787766322799</v>
      </c>
      <c r="CH187" s="17">
        <f>IF('1 - Input'!$B$17=1,MAX(0,CF187-BX187),0)</f>
        <v>0</v>
      </c>
      <c r="CI187" s="17">
        <f>IF('1 - Input'!$B$17=1,MAX(0,BX187-CF187),0)</f>
        <v>1273.6911899821562</v>
      </c>
      <c r="CJ187" s="17">
        <f t="shared" si="174"/>
        <v>0.75229110899529017</v>
      </c>
      <c r="CK187" s="17">
        <f>IF(AND(CI187&gt;0,CC187&gt;0),CI187/(1-'1 - Input'!$B$22*CJ187),0)</f>
        <v>1583.3967713969344</v>
      </c>
      <c r="CL187" s="17">
        <f t="shared" si="175"/>
        <v>1583.3967713969344</v>
      </c>
      <c r="CM187" s="17">
        <f>'1 - Input'!$B$22*CJ187*CL187</f>
        <v>309.70558141477801</v>
      </c>
      <c r="CN187" s="17">
        <f t="shared" si="176"/>
        <v>1273.6911899821564</v>
      </c>
      <c r="CO187" s="17">
        <f t="shared" si="177"/>
        <v>0</v>
      </c>
      <c r="CP187" s="17">
        <f t="shared" si="178"/>
        <v>0</v>
      </c>
      <c r="CQ187" s="17">
        <f t="shared" si="179"/>
        <v>274122.44281037361</v>
      </c>
      <c r="CR187" s="17">
        <f t="shared" si="180"/>
        <v>67902.566308059628</v>
      </c>
      <c r="CS187" s="17">
        <f>IF(MOD(BU187,12)=0,CQ187*'1 - Input'!$B$23,0)</f>
        <v>548.24488562074725</v>
      </c>
      <c r="CT187" s="17">
        <f t="shared" si="181"/>
        <v>273574.19792475289</v>
      </c>
      <c r="CU187" s="17">
        <f>IF(MOD(BU187,12)=0,CR187*(1-'1 - Input'!$B$23),CR187)</f>
        <v>67766.761175443506</v>
      </c>
      <c r="CV187" s="17">
        <f>IF('1 - Input'!$B$17=1,MIN(CF187,BX187)+CN187,CF187)</f>
        <v>3357.1106326655608</v>
      </c>
      <c r="CW187" s="17">
        <f t="shared" si="201"/>
        <v>434551.70719132345</v>
      </c>
      <c r="CX187" s="17">
        <f t="shared" si="202"/>
        <v>0</v>
      </c>
      <c r="CY187" s="17">
        <f t="shared" si="203"/>
        <v>7748.1747104080387</v>
      </c>
      <c r="CZ187" s="17">
        <f t="shared" si="204"/>
        <v>0</v>
      </c>
      <c r="DA187" s="17">
        <f t="shared" si="205"/>
        <v>9433.3616040642792</v>
      </c>
      <c r="DB187" s="17">
        <f t="shared" si="206"/>
        <v>0</v>
      </c>
      <c r="DC187" s="15">
        <f t="shared" si="182"/>
        <v>0</v>
      </c>
    </row>
    <row r="188" spans="1:107">
      <c r="A188" s="14">
        <v>145</v>
      </c>
      <c r="B188" s="15">
        <f t="shared" si="138"/>
        <v>13</v>
      </c>
      <c r="C188" s="16">
        <f>(1+INDEX('1 - Input'!$B$34:$E$63,B188,'1 - Input'!$B$16))^(1/12)-1</f>
        <v>4.1219243192651689E-3</v>
      </c>
      <c r="D188" s="17">
        <f>'1 - Input'!$B$7*(1+'1 - Input'!$B$12)^(B188-1)</f>
        <v>3424.252845318872</v>
      </c>
      <c r="E188" s="17">
        <f t="shared" si="183"/>
        <v>148859.68208781834</v>
      </c>
      <c r="F188" s="17">
        <f t="shared" si="184"/>
        <v>243407.55855797566</v>
      </c>
      <c r="G188" s="17">
        <f t="shared" si="139"/>
        <v>149473.2704315742</v>
      </c>
      <c r="H188" s="17">
        <f>IF(G188&gt;0,'1 - Input'!$B$8/12*G188,0)</f>
        <v>1121.0495282368065</v>
      </c>
      <c r="I188" s="17">
        <f t="shared" si="140"/>
        <v>148352.22090333741</v>
      </c>
      <c r="J188" s="17">
        <f t="shared" si="141"/>
        <v>0</v>
      </c>
      <c r="K188" s="17">
        <f>'1 - Input'!$B$22*(H188-J188)</f>
        <v>291.4728773415697</v>
      </c>
      <c r="L188" s="17">
        <f t="shared" si="142"/>
        <v>829.57665089523675</v>
      </c>
      <c r="M188" s="17">
        <f t="shared" si="143"/>
        <v>243407.55855797566</v>
      </c>
      <c r="N188" s="17">
        <f>IF('1 - Input'!$B$17=1,MAX(0,L188-D188),0)</f>
        <v>0</v>
      </c>
      <c r="O188" s="17">
        <f>IF('1 - Input'!$B$17=1,MAX(0,D188-L188),0)</f>
        <v>2594.676194423635</v>
      </c>
      <c r="P188" s="17">
        <f t="shared" si="144"/>
        <v>0</v>
      </c>
      <c r="Q188" s="17">
        <f>IF(AND(O188&gt;0,I188&gt;0),O188/(1-'1 - Input'!$B$22*P188),0)</f>
        <v>2594.676194423635</v>
      </c>
      <c r="R188" s="17">
        <f t="shared" si="145"/>
        <v>2594.676194423635</v>
      </c>
      <c r="S188" s="17">
        <f>'1 - Input'!$B$22*P188*R188</f>
        <v>0</v>
      </c>
      <c r="T188" s="17">
        <f t="shared" si="146"/>
        <v>2594.676194423635</v>
      </c>
      <c r="U188" s="17">
        <f t="shared" si="147"/>
        <v>0</v>
      </c>
      <c r="V188" s="17">
        <f t="shared" si="148"/>
        <v>1662.5151970329684</v>
      </c>
      <c r="W188" s="17">
        <f t="shared" si="149"/>
        <v>145757.54470891377</v>
      </c>
      <c r="X188" s="17">
        <f t="shared" si="150"/>
        <v>239150.36716651908</v>
      </c>
      <c r="Y188" s="17">
        <f>IF(MOD(A188,12)=0,W188*'1 - Input'!$B$23,0)</f>
        <v>0</v>
      </c>
      <c r="Z188" s="17">
        <f t="shared" si="151"/>
        <v>145757.54470891377</v>
      </c>
      <c r="AA188" s="17">
        <f>IF(MOD(A188,12)=0,X188*(1-'1 - Input'!$B$23),X188)</f>
        <v>239150.36716651908</v>
      </c>
      <c r="AB188" s="17">
        <f>IF('1 - Input'!$B$17=1,MIN(L188,D188)+T188,L188)</f>
        <v>3424.2528453188716</v>
      </c>
      <c r="AC188" s="17">
        <f t="shared" si="185"/>
        <v>437975.96003664233</v>
      </c>
      <c r="AD188" s="17">
        <f t="shared" si="186"/>
        <v>94949.807724831218</v>
      </c>
      <c r="AE188" s="17">
        <f t="shared" si="187"/>
        <v>0</v>
      </c>
      <c r="AF188" s="17">
        <f t="shared" si="188"/>
        <v>69911.553462726792</v>
      </c>
      <c r="AG188" s="17">
        <f t="shared" si="189"/>
        <v>7698.3910801736747</v>
      </c>
      <c r="AH188" s="17">
        <f t="shared" si="190"/>
        <v>0</v>
      </c>
      <c r="AI188" s="15">
        <f t="shared" si="152"/>
        <v>0</v>
      </c>
      <c r="AK188" s="14">
        <v>145</v>
      </c>
      <c r="AL188" s="15">
        <f t="shared" si="153"/>
        <v>13</v>
      </c>
      <c r="AM188" s="16">
        <f>(1+INDEX('1 - Input'!$B$34:$E$63,AL188,'1 - Input'!$B$16))^(1/12)-1</f>
        <v>4.1219243192651689E-3</v>
      </c>
      <c r="AN188" s="17">
        <f>'1 - Input'!$B$7*(1+'1 - Input'!$B$12)^(AL188-1)</f>
        <v>3424.252845318872</v>
      </c>
      <c r="AO188" s="17">
        <f t="shared" si="191"/>
        <v>148859.68208781834</v>
      </c>
      <c r="AP188" s="17">
        <f t="shared" si="192"/>
        <v>243407.55855797566</v>
      </c>
      <c r="AQ188" s="17">
        <f t="shared" si="154"/>
        <v>149473.2704315742</v>
      </c>
      <c r="AR188" s="17">
        <f>IF(AQ188&gt;0,'1 - Input'!$B$8/12*AQ188,0)</f>
        <v>1121.0495282368065</v>
      </c>
      <c r="AS188" s="17">
        <f t="shared" si="155"/>
        <v>148352.22090333741</v>
      </c>
      <c r="AT188" s="17">
        <f t="shared" si="156"/>
        <v>0</v>
      </c>
      <c r="AU188" s="17">
        <f>'1 - Input'!$B$22*(AR188-AT188)</f>
        <v>291.4728773415697</v>
      </c>
      <c r="AV188" s="17">
        <f t="shared" si="157"/>
        <v>829.57665089523675</v>
      </c>
      <c r="AW188" s="17">
        <f t="shared" si="158"/>
        <v>243407.55855797566</v>
      </c>
      <c r="AX188" s="17">
        <f>IF('1 - Input'!$B$17=1,MAX(0,AV188-AN188),0)</f>
        <v>0</v>
      </c>
      <c r="AY188" s="17">
        <f>IF('1 - Input'!$B$17=1,MAX(0,AN188-AV188),0)</f>
        <v>2594.676194423635</v>
      </c>
      <c r="AZ188" s="17">
        <f t="shared" si="159"/>
        <v>0</v>
      </c>
      <c r="BA188" s="17">
        <f>IF(AND(AY188&gt;0,AS188&gt;0),AY188/(1-'1 - Input'!$B$22*AZ188),0)</f>
        <v>2594.676194423635</v>
      </c>
      <c r="BB188" s="17">
        <f t="shared" si="160"/>
        <v>2594.676194423635</v>
      </c>
      <c r="BC188" s="17">
        <f>'1 - Input'!$B$22*AZ188*BB188</f>
        <v>0</v>
      </c>
      <c r="BD188" s="17">
        <f t="shared" si="161"/>
        <v>2594.676194423635</v>
      </c>
      <c r="BE188" s="17">
        <f t="shared" si="162"/>
        <v>0</v>
      </c>
      <c r="BF188" s="17">
        <f t="shared" si="163"/>
        <v>1662.5151970329684</v>
      </c>
      <c r="BG188" s="17">
        <f t="shared" si="164"/>
        <v>145757.54470891377</v>
      </c>
      <c r="BH188" s="17">
        <f t="shared" si="165"/>
        <v>239150.36716651908</v>
      </c>
      <c r="BI188" s="17">
        <f>IF(MOD(AK188,12)=0,BG188*'1 - Input'!$B$23,0)</f>
        <v>0</v>
      </c>
      <c r="BJ188" s="17">
        <f t="shared" si="166"/>
        <v>145757.54470891377</v>
      </c>
      <c r="BK188" s="17">
        <f>IF(MOD(AK188,12)=0,BH188*(1-'1 - Input'!$B$23),BH188)</f>
        <v>239150.36716651908</v>
      </c>
      <c r="BL188" s="17">
        <f>IF('1 - Input'!$B$17=1,MIN(AV188,AN188)+BD188,AV188)</f>
        <v>3424.2528453188716</v>
      </c>
      <c r="BM188" s="17">
        <f t="shared" si="193"/>
        <v>437975.96003664233</v>
      </c>
      <c r="BN188" s="17">
        <f t="shared" si="194"/>
        <v>94949.807724831218</v>
      </c>
      <c r="BO188" s="17">
        <f t="shared" si="195"/>
        <v>0</v>
      </c>
      <c r="BP188" s="17">
        <f t="shared" si="196"/>
        <v>69911.553462726792</v>
      </c>
      <c r="BQ188" s="17">
        <f t="shared" si="197"/>
        <v>7698.3910801736747</v>
      </c>
      <c r="BR188" s="17">
        <f t="shared" si="198"/>
        <v>0</v>
      </c>
      <c r="BS188" s="15">
        <f t="shared" si="167"/>
        <v>0</v>
      </c>
      <c r="BU188" s="14">
        <v>145</v>
      </c>
      <c r="BV188" s="15">
        <f t="shared" si="168"/>
        <v>13</v>
      </c>
      <c r="BW188" s="16">
        <f>(1+INDEX('1 - Input'!$B$34:$E$63,BV188,'1 - Input'!$B$16))^(1/12)-1</f>
        <v>4.1219243192651689E-3</v>
      </c>
      <c r="BX188" s="17">
        <f>'1 - Input'!$B$7*(1+'1 - Input'!$B$12)^(BV188-1)</f>
        <v>3424.252845318872</v>
      </c>
      <c r="BY188" s="17">
        <f t="shared" si="199"/>
        <v>273574.19792475289</v>
      </c>
      <c r="BZ188" s="17">
        <f t="shared" si="200"/>
        <v>67766.761175443506</v>
      </c>
      <c r="CA188" s="17">
        <f t="shared" si="169"/>
        <v>274701.85006430239</v>
      </c>
      <c r="CB188" s="17">
        <f>IF(CA188&gt;0,'1 - Input'!$B$8/12*CA188,0)</f>
        <v>2060.2638754822678</v>
      </c>
      <c r="CC188" s="17">
        <f t="shared" si="170"/>
        <v>272641.58618882013</v>
      </c>
      <c r="CD188" s="17">
        <f t="shared" si="171"/>
        <v>2060.2638754822678</v>
      </c>
      <c r="CE188" s="17">
        <f>'1 - Input'!$B$22*(CB188-CD188)</f>
        <v>0</v>
      </c>
      <c r="CF188" s="17">
        <f t="shared" si="172"/>
        <v>2060.2638754822678</v>
      </c>
      <c r="CG188" s="17">
        <f t="shared" si="173"/>
        <v>65706.497299961236</v>
      </c>
      <c r="CH188" s="17">
        <f>IF('1 - Input'!$B$17=1,MAX(0,CF188-BX188),0)</f>
        <v>0</v>
      </c>
      <c r="CI188" s="17">
        <f>IF('1 - Input'!$B$17=1,MAX(0,BX188-CF188),0)</f>
        <v>1363.9889698366042</v>
      </c>
      <c r="CJ188" s="17">
        <f t="shared" si="174"/>
        <v>0.75900045837300967</v>
      </c>
      <c r="CK188" s="17">
        <f>IF(AND(CI188&gt;0,CC188&gt;0),CI188/(1-'1 - Input'!$B$22*CJ188),0)</f>
        <v>1699.3361726738115</v>
      </c>
      <c r="CL188" s="17">
        <f t="shared" si="175"/>
        <v>1699.3361726738115</v>
      </c>
      <c r="CM188" s="17">
        <f>'1 - Input'!$B$22*CJ188*CL188</f>
        <v>335.34720283720731</v>
      </c>
      <c r="CN188" s="17">
        <f t="shared" si="176"/>
        <v>1363.9889698366042</v>
      </c>
      <c r="CO188" s="17">
        <f t="shared" si="177"/>
        <v>0</v>
      </c>
      <c r="CP188" s="17">
        <f t="shared" si="178"/>
        <v>0</v>
      </c>
      <c r="CQ188" s="17">
        <f t="shared" si="179"/>
        <v>270942.25001614634</v>
      </c>
      <c r="CR188" s="17">
        <f t="shared" si="180"/>
        <v>65296.95806127668</v>
      </c>
      <c r="CS188" s="17">
        <f>IF(MOD(BU188,12)=0,CQ188*'1 - Input'!$B$23,0)</f>
        <v>0</v>
      </c>
      <c r="CT188" s="17">
        <f t="shared" si="181"/>
        <v>270942.25001614634</v>
      </c>
      <c r="CU188" s="17">
        <f>IF(MOD(BU188,12)=0,CR188*(1-'1 - Input'!$B$23),CR188)</f>
        <v>65296.95806127668</v>
      </c>
      <c r="CV188" s="17">
        <f>IF('1 - Input'!$B$17=1,MIN(CF188,BX188)+CN188,CF188)</f>
        <v>3424.252845318872</v>
      </c>
      <c r="CW188" s="17">
        <f t="shared" si="201"/>
        <v>437975.96003664233</v>
      </c>
      <c r="CX188" s="17">
        <f t="shared" si="202"/>
        <v>0</v>
      </c>
      <c r="CY188" s="17">
        <f t="shared" si="203"/>
        <v>8083.5219132452457</v>
      </c>
      <c r="CZ188" s="17">
        <f t="shared" si="204"/>
        <v>0</v>
      </c>
      <c r="DA188" s="17">
        <f t="shared" si="205"/>
        <v>9433.3616040642792</v>
      </c>
      <c r="DB188" s="17">
        <f t="shared" si="206"/>
        <v>0</v>
      </c>
      <c r="DC188" s="15">
        <f t="shared" si="182"/>
        <v>0</v>
      </c>
    </row>
    <row r="189" spans="1:107">
      <c r="A189" s="14">
        <v>146</v>
      </c>
      <c r="B189" s="15">
        <f t="shared" si="138"/>
        <v>13</v>
      </c>
      <c r="C189" s="16">
        <f>(1+INDEX('1 - Input'!$B$34:$E$63,B189,'1 - Input'!$B$16))^(1/12)-1</f>
        <v>4.1219243192651689E-3</v>
      </c>
      <c r="D189" s="17">
        <f>'1 - Input'!$B$7*(1+'1 - Input'!$B$12)^(B189-1)</f>
        <v>3424.252845318872</v>
      </c>
      <c r="E189" s="17">
        <f t="shared" si="183"/>
        <v>145757.54470891377</v>
      </c>
      <c r="F189" s="17">
        <f t="shared" si="184"/>
        <v>239150.36716651908</v>
      </c>
      <c r="G189" s="17">
        <f t="shared" si="139"/>
        <v>146358.34627716584</v>
      </c>
      <c r="H189" s="17">
        <f>IF(G189&gt;0,'1 - Input'!$B$8/12*G189,0)</f>
        <v>1097.6875970787437</v>
      </c>
      <c r="I189" s="17">
        <f t="shared" si="140"/>
        <v>145260.6586800871</v>
      </c>
      <c r="J189" s="17">
        <f t="shared" si="141"/>
        <v>0</v>
      </c>
      <c r="K189" s="17">
        <f>'1 - Input'!$B$22*(H189-J189)</f>
        <v>285.39877524047336</v>
      </c>
      <c r="L189" s="17">
        <f t="shared" si="142"/>
        <v>812.28882183827034</v>
      </c>
      <c r="M189" s="17">
        <f t="shared" si="143"/>
        <v>239150.36716651908</v>
      </c>
      <c r="N189" s="17">
        <f>IF('1 - Input'!$B$17=1,MAX(0,L189-D189),0)</f>
        <v>0</v>
      </c>
      <c r="O189" s="17">
        <f>IF('1 - Input'!$B$17=1,MAX(0,D189-L189),0)</f>
        <v>2611.9640234806016</v>
      </c>
      <c r="P189" s="17">
        <f t="shared" si="144"/>
        <v>0</v>
      </c>
      <c r="Q189" s="17">
        <f>IF(AND(O189&gt;0,I189&gt;0),O189/(1-'1 - Input'!$B$22*P189),0)</f>
        <v>2611.9640234806016</v>
      </c>
      <c r="R189" s="17">
        <f t="shared" si="145"/>
        <v>2611.9640234806016</v>
      </c>
      <c r="S189" s="17">
        <f>'1 - Input'!$B$22*P189*R189</f>
        <v>0</v>
      </c>
      <c r="T189" s="17">
        <f t="shared" si="146"/>
        <v>2611.9640234806016</v>
      </c>
      <c r="U189" s="17">
        <f t="shared" si="147"/>
        <v>0</v>
      </c>
      <c r="V189" s="17">
        <f t="shared" si="148"/>
        <v>1688.2516090040256</v>
      </c>
      <c r="W189" s="17">
        <f t="shared" si="149"/>
        <v>142648.6946566065</v>
      </c>
      <c r="X189" s="17">
        <f t="shared" si="150"/>
        <v>234850.15153403443</v>
      </c>
      <c r="Y189" s="17">
        <f>IF(MOD(A189,12)=0,W189*'1 - Input'!$B$23,0)</f>
        <v>0</v>
      </c>
      <c r="Z189" s="17">
        <f t="shared" si="151"/>
        <v>142648.6946566065</v>
      </c>
      <c r="AA189" s="17">
        <f>IF(MOD(A189,12)=0,X189*(1-'1 - Input'!$B$23),X189)</f>
        <v>234850.15153403443</v>
      </c>
      <c r="AB189" s="17">
        <f>IF('1 - Input'!$B$17=1,MIN(L189,D189)+T189,L189)</f>
        <v>3424.252845318872</v>
      </c>
      <c r="AC189" s="17">
        <f t="shared" si="185"/>
        <v>441400.2128819612</v>
      </c>
      <c r="AD189" s="17">
        <f t="shared" si="186"/>
        <v>95235.206500071698</v>
      </c>
      <c r="AE189" s="17">
        <f t="shared" si="187"/>
        <v>0</v>
      </c>
      <c r="AF189" s="17">
        <f t="shared" si="188"/>
        <v>71599.805071730822</v>
      </c>
      <c r="AG189" s="17">
        <f t="shared" si="189"/>
        <v>7698.3910801736747</v>
      </c>
      <c r="AH189" s="17">
        <f t="shared" si="190"/>
        <v>0</v>
      </c>
      <c r="AI189" s="15">
        <f t="shared" si="152"/>
        <v>0</v>
      </c>
      <c r="AK189" s="14">
        <v>146</v>
      </c>
      <c r="AL189" s="15">
        <f t="shared" si="153"/>
        <v>13</v>
      </c>
      <c r="AM189" s="16">
        <f>(1+INDEX('1 - Input'!$B$34:$E$63,AL189,'1 - Input'!$B$16))^(1/12)-1</f>
        <v>4.1219243192651689E-3</v>
      </c>
      <c r="AN189" s="17">
        <f>'1 - Input'!$B$7*(1+'1 - Input'!$B$12)^(AL189-1)</f>
        <v>3424.252845318872</v>
      </c>
      <c r="AO189" s="17">
        <f t="shared" si="191"/>
        <v>145757.54470891377</v>
      </c>
      <c r="AP189" s="17">
        <f t="shared" si="192"/>
        <v>239150.36716651908</v>
      </c>
      <c r="AQ189" s="17">
        <f t="shared" si="154"/>
        <v>146358.34627716584</v>
      </c>
      <c r="AR189" s="17">
        <f>IF(AQ189&gt;0,'1 - Input'!$B$8/12*AQ189,0)</f>
        <v>1097.6875970787437</v>
      </c>
      <c r="AS189" s="17">
        <f t="shared" si="155"/>
        <v>145260.6586800871</v>
      </c>
      <c r="AT189" s="17">
        <f t="shared" si="156"/>
        <v>0</v>
      </c>
      <c r="AU189" s="17">
        <f>'1 - Input'!$B$22*(AR189-AT189)</f>
        <v>285.39877524047336</v>
      </c>
      <c r="AV189" s="17">
        <f t="shared" si="157"/>
        <v>812.28882183827034</v>
      </c>
      <c r="AW189" s="17">
        <f t="shared" si="158"/>
        <v>239150.36716651908</v>
      </c>
      <c r="AX189" s="17">
        <f>IF('1 - Input'!$B$17=1,MAX(0,AV189-AN189),0)</f>
        <v>0</v>
      </c>
      <c r="AY189" s="17">
        <f>IF('1 - Input'!$B$17=1,MAX(0,AN189-AV189),0)</f>
        <v>2611.9640234806016</v>
      </c>
      <c r="AZ189" s="17">
        <f t="shared" si="159"/>
        <v>0</v>
      </c>
      <c r="BA189" s="17">
        <f>IF(AND(AY189&gt;0,AS189&gt;0),AY189/(1-'1 - Input'!$B$22*AZ189),0)</f>
        <v>2611.9640234806016</v>
      </c>
      <c r="BB189" s="17">
        <f t="shared" si="160"/>
        <v>2611.9640234806016</v>
      </c>
      <c r="BC189" s="17">
        <f>'1 - Input'!$B$22*AZ189*BB189</f>
        <v>0</v>
      </c>
      <c r="BD189" s="17">
        <f t="shared" si="161"/>
        <v>2611.9640234806016</v>
      </c>
      <c r="BE189" s="17">
        <f t="shared" si="162"/>
        <v>0</v>
      </c>
      <c r="BF189" s="17">
        <f t="shared" si="163"/>
        <v>1688.2516090040256</v>
      </c>
      <c r="BG189" s="17">
        <f t="shared" si="164"/>
        <v>142648.6946566065</v>
      </c>
      <c r="BH189" s="17">
        <f t="shared" si="165"/>
        <v>234850.15153403443</v>
      </c>
      <c r="BI189" s="17">
        <f>IF(MOD(AK189,12)=0,BG189*'1 - Input'!$B$23,0)</f>
        <v>0</v>
      </c>
      <c r="BJ189" s="17">
        <f t="shared" si="166"/>
        <v>142648.6946566065</v>
      </c>
      <c r="BK189" s="17">
        <f>IF(MOD(AK189,12)=0,BH189*(1-'1 - Input'!$B$23),BH189)</f>
        <v>234850.15153403443</v>
      </c>
      <c r="BL189" s="17">
        <f>IF('1 - Input'!$B$17=1,MIN(AV189,AN189)+BD189,AV189)</f>
        <v>3424.252845318872</v>
      </c>
      <c r="BM189" s="17">
        <f t="shared" si="193"/>
        <v>441400.2128819612</v>
      </c>
      <c r="BN189" s="17">
        <f t="shared" si="194"/>
        <v>95235.206500071698</v>
      </c>
      <c r="BO189" s="17">
        <f t="shared" si="195"/>
        <v>0</v>
      </c>
      <c r="BP189" s="17">
        <f t="shared" si="196"/>
        <v>71599.805071730822</v>
      </c>
      <c r="BQ189" s="17">
        <f t="shared" si="197"/>
        <v>7698.3910801736747</v>
      </c>
      <c r="BR189" s="17">
        <f t="shared" si="198"/>
        <v>0</v>
      </c>
      <c r="BS189" s="15">
        <f t="shared" si="167"/>
        <v>0</v>
      </c>
      <c r="BU189" s="14">
        <v>146</v>
      </c>
      <c r="BV189" s="15">
        <f t="shared" si="168"/>
        <v>13</v>
      </c>
      <c r="BW189" s="16">
        <f>(1+INDEX('1 - Input'!$B$34:$E$63,BV189,'1 - Input'!$B$16))^(1/12)-1</f>
        <v>4.1219243192651689E-3</v>
      </c>
      <c r="BX189" s="17">
        <f>'1 - Input'!$B$7*(1+'1 - Input'!$B$12)^(BV189-1)</f>
        <v>3424.252845318872</v>
      </c>
      <c r="BY189" s="17">
        <f t="shared" si="199"/>
        <v>270942.25001614634</v>
      </c>
      <c r="BZ189" s="17">
        <f t="shared" si="200"/>
        <v>65296.95806127668</v>
      </c>
      <c r="CA189" s="17">
        <f t="shared" si="169"/>
        <v>272059.05346560432</v>
      </c>
      <c r="CB189" s="17">
        <f>IF(CA189&gt;0,'1 - Input'!$B$8/12*CA189,0)</f>
        <v>2040.4429009920323</v>
      </c>
      <c r="CC189" s="17">
        <f t="shared" si="170"/>
        <v>270018.61056461226</v>
      </c>
      <c r="CD189" s="17">
        <f t="shared" si="171"/>
        <v>2040.4429009920323</v>
      </c>
      <c r="CE189" s="17">
        <f>'1 - Input'!$B$22*(CB189-CD189)</f>
        <v>0</v>
      </c>
      <c r="CF189" s="17">
        <f t="shared" si="172"/>
        <v>2040.4429009920323</v>
      </c>
      <c r="CG189" s="17">
        <f t="shared" si="173"/>
        <v>63256.515160284645</v>
      </c>
      <c r="CH189" s="17">
        <f>IF('1 - Input'!$B$17=1,MAX(0,CF189-BX189),0)</f>
        <v>0</v>
      </c>
      <c r="CI189" s="17">
        <f>IF('1 - Input'!$B$17=1,MAX(0,BX189-CF189),0)</f>
        <v>1383.8099443268397</v>
      </c>
      <c r="CJ189" s="17">
        <f t="shared" si="174"/>
        <v>0.76573275809391628</v>
      </c>
      <c r="CK189" s="17">
        <f>IF(AND(CI189&gt;0,CC189&gt;0),CI189/(1-'1 - Input'!$B$22*CJ189),0)</f>
        <v>1727.7981767975314</v>
      </c>
      <c r="CL189" s="17">
        <f t="shared" si="175"/>
        <v>1727.7981767975314</v>
      </c>
      <c r="CM189" s="17">
        <f>'1 - Input'!$B$22*CJ189*CL189</f>
        <v>343.98823247069157</v>
      </c>
      <c r="CN189" s="17">
        <f t="shared" si="176"/>
        <v>1383.8099443268397</v>
      </c>
      <c r="CO189" s="17">
        <f t="shared" si="177"/>
        <v>0</v>
      </c>
      <c r="CP189" s="17">
        <f t="shared" si="178"/>
        <v>0</v>
      </c>
      <c r="CQ189" s="17">
        <f t="shared" si="179"/>
        <v>268290.81238781475</v>
      </c>
      <c r="CR189" s="17">
        <f t="shared" si="180"/>
        <v>62851.748646835928</v>
      </c>
      <c r="CS189" s="17">
        <f>IF(MOD(BU189,12)=0,CQ189*'1 - Input'!$B$23,0)</f>
        <v>0</v>
      </c>
      <c r="CT189" s="17">
        <f t="shared" si="181"/>
        <v>268290.81238781475</v>
      </c>
      <c r="CU189" s="17">
        <f>IF(MOD(BU189,12)=0,CR189*(1-'1 - Input'!$B$23),CR189)</f>
        <v>62851.748646835928</v>
      </c>
      <c r="CV189" s="17">
        <f>IF('1 - Input'!$B$17=1,MIN(CF189,BX189)+CN189,CF189)</f>
        <v>3424.252845318872</v>
      </c>
      <c r="CW189" s="17">
        <f t="shared" si="201"/>
        <v>441400.2128819612</v>
      </c>
      <c r="CX189" s="17">
        <f t="shared" si="202"/>
        <v>0</v>
      </c>
      <c r="CY189" s="17">
        <f t="shared" si="203"/>
        <v>8427.5101457159381</v>
      </c>
      <c r="CZ189" s="17">
        <f t="shared" si="204"/>
        <v>0</v>
      </c>
      <c r="DA189" s="17">
        <f t="shared" si="205"/>
        <v>9433.3616040642792</v>
      </c>
      <c r="DB189" s="17">
        <f t="shared" si="206"/>
        <v>0</v>
      </c>
      <c r="DC189" s="15">
        <f t="shared" si="182"/>
        <v>0</v>
      </c>
    </row>
    <row r="190" spans="1:107">
      <c r="A190" s="14">
        <v>147</v>
      </c>
      <c r="B190" s="15">
        <f t="shared" si="138"/>
        <v>13</v>
      </c>
      <c r="C190" s="16">
        <f>(1+INDEX('1 - Input'!$B$34:$E$63,B190,'1 - Input'!$B$16))^(1/12)-1</f>
        <v>4.1219243192651689E-3</v>
      </c>
      <c r="D190" s="17">
        <f>'1 - Input'!$B$7*(1+'1 - Input'!$B$12)^(B190-1)</f>
        <v>3424.252845318872</v>
      </c>
      <c r="E190" s="17">
        <f t="shared" si="183"/>
        <v>142648.6946566065</v>
      </c>
      <c r="F190" s="17">
        <f t="shared" si="184"/>
        <v>234850.15153403443</v>
      </c>
      <c r="G190" s="17">
        <f t="shared" si="139"/>
        <v>143236.68178022301</v>
      </c>
      <c r="H190" s="17">
        <f>IF(G190&gt;0,'1 - Input'!$B$8/12*G190,0)</f>
        <v>1074.2751133516724</v>
      </c>
      <c r="I190" s="17">
        <f t="shared" si="140"/>
        <v>142162.40666687133</v>
      </c>
      <c r="J190" s="17">
        <f t="shared" si="141"/>
        <v>0</v>
      </c>
      <c r="K190" s="17">
        <f>'1 - Input'!$B$22*(H190-J190)</f>
        <v>279.31152947143482</v>
      </c>
      <c r="L190" s="17">
        <f t="shared" si="142"/>
        <v>794.96358388023759</v>
      </c>
      <c r="M190" s="17">
        <f t="shared" si="143"/>
        <v>234850.15153403443</v>
      </c>
      <c r="N190" s="17">
        <f>IF('1 - Input'!$B$17=1,MAX(0,L190-D190),0)</f>
        <v>0</v>
      </c>
      <c r="O190" s="17">
        <f>IF('1 - Input'!$B$17=1,MAX(0,D190-L190),0)</f>
        <v>2629.2892614386346</v>
      </c>
      <c r="P190" s="17">
        <f t="shared" si="144"/>
        <v>0</v>
      </c>
      <c r="Q190" s="17">
        <f>IF(AND(O190&gt;0,I190&gt;0),O190/(1-'1 - Input'!$B$22*P190),0)</f>
        <v>2629.2892614386346</v>
      </c>
      <c r="R190" s="17">
        <f t="shared" si="145"/>
        <v>2629.2892614386346</v>
      </c>
      <c r="S190" s="17">
        <f>'1 - Input'!$B$22*P190*R190</f>
        <v>0</v>
      </c>
      <c r="T190" s="17">
        <f t="shared" si="146"/>
        <v>2629.2892614386346</v>
      </c>
      <c r="U190" s="17">
        <f t="shared" si="147"/>
        <v>0</v>
      </c>
      <c r="V190" s="17">
        <f t="shared" si="148"/>
        <v>1714.2569400732223</v>
      </c>
      <c r="W190" s="17">
        <f t="shared" si="149"/>
        <v>139533.11740543271</v>
      </c>
      <c r="X190" s="17">
        <f t="shared" si="150"/>
        <v>230506.60533252257</v>
      </c>
      <c r="Y190" s="17">
        <f>IF(MOD(A190,12)=0,W190*'1 - Input'!$B$23,0)</f>
        <v>0</v>
      </c>
      <c r="Z190" s="17">
        <f t="shared" si="151"/>
        <v>139533.11740543271</v>
      </c>
      <c r="AA190" s="17">
        <f>IF(MOD(A190,12)=0,X190*(1-'1 - Input'!$B$23),X190)</f>
        <v>230506.60533252257</v>
      </c>
      <c r="AB190" s="17">
        <f>IF('1 - Input'!$B$17=1,MIN(L190,D190)+T190,L190)</f>
        <v>3424.2528453188725</v>
      </c>
      <c r="AC190" s="17">
        <f t="shared" si="185"/>
        <v>444824.46572728007</v>
      </c>
      <c r="AD190" s="17">
        <f t="shared" si="186"/>
        <v>95514.518029543135</v>
      </c>
      <c r="AE190" s="17">
        <f t="shared" si="187"/>
        <v>0</v>
      </c>
      <c r="AF190" s="17">
        <f t="shared" si="188"/>
        <v>73314.062011804039</v>
      </c>
      <c r="AG190" s="17">
        <f t="shared" si="189"/>
        <v>7698.3910801736747</v>
      </c>
      <c r="AH190" s="17">
        <f t="shared" si="190"/>
        <v>0</v>
      </c>
      <c r="AI190" s="15">
        <f t="shared" si="152"/>
        <v>0</v>
      </c>
      <c r="AK190" s="14">
        <v>147</v>
      </c>
      <c r="AL190" s="15">
        <f t="shared" si="153"/>
        <v>13</v>
      </c>
      <c r="AM190" s="16">
        <f>(1+INDEX('1 - Input'!$B$34:$E$63,AL190,'1 - Input'!$B$16))^(1/12)-1</f>
        <v>4.1219243192651689E-3</v>
      </c>
      <c r="AN190" s="17">
        <f>'1 - Input'!$B$7*(1+'1 - Input'!$B$12)^(AL190-1)</f>
        <v>3424.252845318872</v>
      </c>
      <c r="AO190" s="17">
        <f t="shared" si="191"/>
        <v>142648.6946566065</v>
      </c>
      <c r="AP190" s="17">
        <f t="shared" si="192"/>
        <v>234850.15153403443</v>
      </c>
      <c r="AQ190" s="17">
        <f t="shared" si="154"/>
        <v>143236.68178022301</v>
      </c>
      <c r="AR190" s="17">
        <f>IF(AQ190&gt;0,'1 - Input'!$B$8/12*AQ190,0)</f>
        <v>1074.2751133516724</v>
      </c>
      <c r="AS190" s="17">
        <f t="shared" si="155"/>
        <v>142162.40666687133</v>
      </c>
      <c r="AT190" s="17">
        <f t="shared" si="156"/>
        <v>0</v>
      </c>
      <c r="AU190" s="17">
        <f>'1 - Input'!$B$22*(AR190-AT190)</f>
        <v>279.31152947143482</v>
      </c>
      <c r="AV190" s="17">
        <f t="shared" si="157"/>
        <v>794.96358388023759</v>
      </c>
      <c r="AW190" s="17">
        <f t="shared" si="158"/>
        <v>234850.15153403443</v>
      </c>
      <c r="AX190" s="17">
        <f>IF('1 - Input'!$B$17=1,MAX(0,AV190-AN190),0)</f>
        <v>0</v>
      </c>
      <c r="AY190" s="17">
        <f>IF('1 - Input'!$B$17=1,MAX(0,AN190-AV190),0)</f>
        <v>2629.2892614386346</v>
      </c>
      <c r="AZ190" s="17">
        <f t="shared" si="159"/>
        <v>0</v>
      </c>
      <c r="BA190" s="17">
        <f>IF(AND(AY190&gt;0,AS190&gt;0),AY190/(1-'1 - Input'!$B$22*AZ190),0)</f>
        <v>2629.2892614386346</v>
      </c>
      <c r="BB190" s="17">
        <f t="shared" si="160"/>
        <v>2629.2892614386346</v>
      </c>
      <c r="BC190" s="17">
        <f>'1 - Input'!$B$22*AZ190*BB190</f>
        <v>0</v>
      </c>
      <c r="BD190" s="17">
        <f t="shared" si="161"/>
        <v>2629.2892614386346</v>
      </c>
      <c r="BE190" s="17">
        <f t="shared" si="162"/>
        <v>0</v>
      </c>
      <c r="BF190" s="17">
        <f t="shared" si="163"/>
        <v>1714.2569400732223</v>
      </c>
      <c r="BG190" s="17">
        <f t="shared" si="164"/>
        <v>139533.11740543271</v>
      </c>
      <c r="BH190" s="17">
        <f t="shared" si="165"/>
        <v>230506.60533252257</v>
      </c>
      <c r="BI190" s="17">
        <f>IF(MOD(AK190,12)=0,BG190*'1 - Input'!$B$23,0)</f>
        <v>0</v>
      </c>
      <c r="BJ190" s="17">
        <f t="shared" si="166"/>
        <v>139533.11740543271</v>
      </c>
      <c r="BK190" s="17">
        <f>IF(MOD(AK190,12)=0,BH190*(1-'1 - Input'!$B$23),BH190)</f>
        <v>230506.60533252257</v>
      </c>
      <c r="BL190" s="17">
        <f>IF('1 - Input'!$B$17=1,MIN(AV190,AN190)+BD190,AV190)</f>
        <v>3424.2528453188725</v>
      </c>
      <c r="BM190" s="17">
        <f t="shared" si="193"/>
        <v>444824.46572728007</v>
      </c>
      <c r="BN190" s="17">
        <f t="shared" si="194"/>
        <v>95514.518029543135</v>
      </c>
      <c r="BO190" s="17">
        <f t="shared" si="195"/>
        <v>0</v>
      </c>
      <c r="BP190" s="17">
        <f t="shared" si="196"/>
        <v>73314.062011804039</v>
      </c>
      <c r="BQ190" s="17">
        <f t="shared" si="197"/>
        <v>7698.3910801736747</v>
      </c>
      <c r="BR190" s="17">
        <f t="shared" si="198"/>
        <v>0</v>
      </c>
      <c r="BS190" s="15">
        <f t="shared" si="167"/>
        <v>0</v>
      </c>
      <c r="BU190" s="14">
        <v>147</v>
      </c>
      <c r="BV190" s="15">
        <f t="shared" si="168"/>
        <v>13</v>
      </c>
      <c r="BW190" s="16">
        <f>(1+INDEX('1 - Input'!$B$34:$E$63,BV190,'1 - Input'!$B$16))^(1/12)-1</f>
        <v>4.1219243192651689E-3</v>
      </c>
      <c r="BX190" s="17">
        <f>'1 - Input'!$B$7*(1+'1 - Input'!$B$12)^(BV190-1)</f>
        <v>3424.252845318872</v>
      </c>
      <c r="BY190" s="17">
        <f t="shared" si="199"/>
        <v>268290.81238781475</v>
      </c>
      <c r="BZ190" s="17">
        <f t="shared" si="200"/>
        <v>62851.748646835928</v>
      </c>
      <c r="CA190" s="17">
        <f t="shared" si="169"/>
        <v>269396.68681203149</v>
      </c>
      <c r="CB190" s="17">
        <f>IF(CA190&gt;0,'1 - Input'!$B$8/12*CA190,0)</f>
        <v>2020.4751510902361</v>
      </c>
      <c r="CC190" s="17">
        <f t="shared" si="170"/>
        <v>267376.21166094125</v>
      </c>
      <c r="CD190" s="17">
        <f t="shared" si="171"/>
        <v>2020.4751510902361</v>
      </c>
      <c r="CE190" s="17">
        <f>'1 - Input'!$B$22*(CB190-CD190)</f>
        <v>0</v>
      </c>
      <c r="CF190" s="17">
        <f t="shared" si="172"/>
        <v>2020.4751510902361</v>
      </c>
      <c r="CG190" s="17">
        <f t="shared" si="173"/>
        <v>60831.273495745692</v>
      </c>
      <c r="CH190" s="17">
        <f>IF('1 - Input'!$B$17=1,MAX(0,CF190-BX190),0)</f>
        <v>0</v>
      </c>
      <c r="CI190" s="17">
        <f>IF('1 - Input'!$B$17=1,MAX(0,BX190-CF190),0)</f>
        <v>1403.7776942286359</v>
      </c>
      <c r="CJ190" s="17">
        <f t="shared" si="174"/>
        <v>0.77248808666312618</v>
      </c>
      <c r="CK190" s="17">
        <f>IF(AND(CI190&gt;0,CC190&gt;0),CI190/(1-'1 - Input'!$B$22*CJ190),0)</f>
        <v>1756.5816846321761</v>
      </c>
      <c r="CL190" s="17">
        <f t="shared" si="175"/>
        <v>1756.5816846321761</v>
      </c>
      <c r="CM190" s="17">
        <f>'1 - Input'!$B$22*CJ190*CL190</f>
        <v>352.80399040354018</v>
      </c>
      <c r="CN190" s="17">
        <f t="shared" si="176"/>
        <v>1403.7776942286359</v>
      </c>
      <c r="CO190" s="17">
        <f t="shared" si="177"/>
        <v>0</v>
      </c>
      <c r="CP190" s="17">
        <f t="shared" si="178"/>
        <v>0</v>
      </c>
      <c r="CQ190" s="17">
        <f t="shared" si="179"/>
        <v>265619.62997630908</v>
      </c>
      <c r="CR190" s="17">
        <f t="shared" si="180"/>
        <v>60431.630235742516</v>
      </c>
      <c r="CS190" s="17">
        <f>IF(MOD(BU190,12)=0,CQ190*'1 - Input'!$B$23,0)</f>
        <v>0</v>
      </c>
      <c r="CT190" s="17">
        <f t="shared" si="181"/>
        <v>265619.62997630908</v>
      </c>
      <c r="CU190" s="17">
        <f>IF(MOD(BU190,12)=0,CR190*(1-'1 - Input'!$B$23),CR190)</f>
        <v>60431.630235742516</v>
      </c>
      <c r="CV190" s="17">
        <f>IF('1 - Input'!$B$17=1,MIN(CF190,BX190)+CN190,CF190)</f>
        <v>3424.252845318872</v>
      </c>
      <c r="CW190" s="17">
        <f t="shared" si="201"/>
        <v>444824.46572728007</v>
      </c>
      <c r="CX190" s="17">
        <f t="shared" si="202"/>
        <v>0</v>
      </c>
      <c r="CY190" s="17">
        <f t="shared" si="203"/>
        <v>8780.3141361194776</v>
      </c>
      <c r="CZ190" s="17">
        <f t="shared" si="204"/>
        <v>0</v>
      </c>
      <c r="DA190" s="17">
        <f t="shared" si="205"/>
        <v>9433.3616040642792</v>
      </c>
      <c r="DB190" s="17">
        <f t="shared" si="206"/>
        <v>0</v>
      </c>
      <c r="DC190" s="15">
        <f t="shared" si="182"/>
        <v>0</v>
      </c>
    </row>
    <row r="191" spans="1:107">
      <c r="A191" s="14">
        <v>148</v>
      </c>
      <c r="B191" s="15">
        <f t="shared" si="138"/>
        <v>13</v>
      </c>
      <c r="C191" s="16">
        <f>(1+INDEX('1 - Input'!$B$34:$E$63,B191,'1 - Input'!$B$16))^(1/12)-1</f>
        <v>4.1219243192651689E-3</v>
      </c>
      <c r="D191" s="17">
        <f>'1 - Input'!$B$7*(1+'1 - Input'!$B$12)^(B191-1)</f>
        <v>3424.252845318872</v>
      </c>
      <c r="E191" s="17">
        <f t="shared" si="183"/>
        <v>139533.11740543271</v>
      </c>
      <c r="F191" s="17">
        <f t="shared" si="184"/>
        <v>230506.60533252257</v>
      </c>
      <c r="G191" s="17">
        <f t="shared" si="139"/>
        <v>140108.26235540904</v>
      </c>
      <c r="H191" s="17">
        <f>IF(G191&gt;0,'1 - Input'!$B$8/12*G191,0)</f>
        <v>1050.8119676655679</v>
      </c>
      <c r="I191" s="17">
        <f t="shared" si="140"/>
        <v>139057.45038774348</v>
      </c>
      <c r="J191" s="17">
        <f t="shared" si="141"/>
        <v>0</v>
      </c>
      <c r="K191" s="17">
        <f>'1 - Input'!$B$22*(H191-J191)</f>
        <v>273.21111159304763</v>
      </c>
      <c r="L191" s="17">
        <f t="shared" si="142"/>
        <v>777.60085607252017</v>
      </c>
      <c r="M191" s="17">
        <f t="shared" si="143"/>
        <v>230506.60533252257</v>
      </c>
      <c r="N191" s="17">
        <f>IF('1 - Input'!$B$17=1,MAX(0,L191-D191),0)</f>
        <v>0</v>
      </c>
      <c r="O191" s="17">
        <f>IF('1 - Input'!$B$17=1,MAX(0,D191-L191),0)</f>
        <v>2646.6519892463521</v>
      </c>
      <c r="P191" s="17">
        <f t="shared" si="144"/>
        <v>0</v>
      </c>
      <c r="Q191" s="17">
        <f>IF(AND(O191&gt;0,I191&gt;0),O191/(1-'1 - Input'!$B$22*P191),0)</f>
        <v>2646.6519892463521</v>
      </c>
      <c r="R191" s="17">
        <f t="shared" si="145"/>
        <v>2646.6519892463521</v>
      </c>
      <c r="S191" s="17">
        <f>'1 - Input'!$B$22*P191*R191</f>
        <v>0</v>
      </c>
      <c r="T191" s="17">
        <f t="shared" si="146"/>
        <v>2646.6519892463521</v>
      </c>
      <c r="U191" s="17">
        <f t="shared" si="147"/>
        <v>0</v>
      </c>
      <c r="V191" s="17">
        <f t="shared" si="148"/>
        <v>1740.5330471299244</v>
      </c>
      <c r="W191" s="17">
        <f t="shared" si="149"/>
        <v>136410.79839849714</v>
      </c>
      <c r="X191" s="17">
        <f t="shared" si="150"/>
        <v>226119.42029614627</v>
      </c>
      <c r="Y191" s="17">
        <f>IF(MOD(A191,12)=0,W191*'1 - Input'!$B$23,0)</f>
        <v>0</v>
      </c>
      <c r="Z191" s="17">
        <f t="shared" si="151"/>
        <v>136410.79839849714</v>
      </c>
      <c r="AA191" s="17">
        <f>IF(MOD(A191,12)=0,X191*(1-'1 - Input'!$B$23),X191)</f>
        <v>226119.42029614627</v>
      </c>
      <c r="AB191" s="17">
        <f>IF('1 - Input'!$B$17=1,MIN(L191,D191)+T191,L191)</f>
        <v>3424.2528453188725</v>
      </c>
      <c r="AC191" s="17">
        <f t="shared" si="185"/>
        <v>448248.71857259894</v>
      </c>
      <c r="AD191" s="17">
        <f t="shared" si="186"/>
        <v>95787.72914113618</v>
      </c>
      <c r="AE191" s="17">
        <f t="shared" si="187"/>
        <v>0</v>
      </c>
      <c r="AF191" s="17">
        <f t="shared" si="188"/>
        <v>75054.595058933963</v>
      </c>
      <c r="AG191" s="17">
        <f t="shared" si="189"/>
        <v>7698.3910801736747</v>
      </c>
      <c r="AH191" s="17">
        <f t="shared" si="190"/>
        <v>0</v>
      </c>
      <c r="AI191" s="15">
        <f t="shared" si="152"/>
        <v>0</v>
      </c>
      <c r="AK191" s="14">
        <v>148</v>
      </c>
      <c r="AL191" s="15">
        <f t="shared" si="153"/>
        <v>13</v>
      </c>
      <c r="AM191" s="16">
        <f>(1+INDEX('1 - Input'!$B$34:$E$63,AL191,'1 - Input'!$B$16))^(1/12)-1</f>
        <v>4.1219243192651689E-3</v>
      </c>
      <c r="AN191" s="17">
        <f>'1 - Input'!$B$7*(1+'1 - Input'!$B$12)^(AL191-1)</f>
        <v>3424.252845318872</v>
      </c>
      <c r="AO191" s="17">
        <f t="shared" si="191"/>
        <v>139533.11740543271</v>
      </c>
      <c r="AP191" s="17">
        <f t="shared" si="192"/>
        <v>230506.60533252257</v>
      </c>
      <c r="AQ191" s="17">
        <f t="shared" si="154"/>
        <v>140108.26235540904</v>
      </c>
      <c r="AR191" s="17">
        <f>IF(AQ191&gt;0,'1 - Input'!$B$8/12*AQ191,0)</f>
        <v>1050.8119676655679</v>
      </c>
      <c r="AS191" s="17">
        <f t="shared" si="155"/>
        <v>139057.45038774348</v>
      </c>
      <c r="AT191" s="17">
        <f t="shared" si="156"/>
        <v>0</v>
      </c>
      <c r="AU191" s="17">
        <f>'1 - Input'!$B$22*(AR191-AT191)</f>
        <v>273.21111159304763</v>
      </c>
      <c r="AV191" s="17">
        <f t="shared" si="157"/>
        <v>777.60085607252017</v>
      </c>
      <c r="AW191" s="17">
        <f t="shared" si="158"/>
        <v>230506.60533252257</v>
      </c>
      <c r="AX191" s="17">
        <f>IF('1 - Input'!$B$17=1,MAX(0,AV191-AN191),0)</f>
        <v>0</v>
      </c>
      <c r="AY191" s="17">
        <f>IF('1 - Input'!$B$17=1,MAX(0,AN191-AV191),0)</f>
        <v>2646.6519892463521</v>
      </c>
      <c r="AZ191" s="17">
        <f t="shared" si="159"/>
        <v>0</v>
      </c>
      <c r="BA191" s="17">
        <f>IF(AND(AY191&gt;0,AS191&gt;0),AY191/(1-'1 - Input'!$B$22*AZ191),0)</f>
        <v>2646.6519892463521</v>
      </c>
      <c r="BB191" s="17">
        <f t="shared" si="160"/>
        <v>2646.6519892463521</v>
      </c>
      <c r="BC191" s="17">
        <f>'1 - Input'!$B$22*AZ191*BB191</f>
        <v>0</v>
      </c>
      <c r="BD191" s="17">
        <f t="shared" si="161"/>
        <v>2646.6519892463521</v>
      </c>
      <c r="BE191" s="17">
        <f t="shared" si="162"/>
        <v>0</v>
      </c>
      <c r="BF191" s="17">
        <f t="shared" si="163"/>
        <v>1740.5330471299244</v>
      </c>
      <c r="BG191" s="17">
        <f t="shared" si="164"/>
        <v>136410.79839849714</v>
      </c>
      <c r="BH191" s="17">
        <f t="shared" si="165"/>
        <v>226119.42029614627</v>
      </c>
      <c r="BI191" s="17">
        <f>IF(MOD(AK191,12)=0,BG191*'1 - Input'!$B$23,0)</f>
        <v>0</v>
      </c>
      <c r="BJ191" s="17">
        <f t="shared" si="166"/>
        <v>136410.79839849714</v>
      </c>
      <c r="BK191" s="17">
        <f>IF(MOD(AK191,12)=0,BH191*(1-'1 - Input'!$B$23),BH191)</f>
        <v>226119.42029614627</v>
      </c>
      <c r="BL191" s="17">
        <f>IF('1 - Input'!$B$17=1,MIN(AV191,AN191)+BD191,AV191)</f>
        <v>3424.2528453188725</v>
      </c>
      <c r="BM191" s="17">
        <f t="shared" si="193"/>
        <v>448248.71857259894</v>
      </c>
      <c r="BN191" s="17">
        <f t="shared" si="194"/>
        <v>95787.72914113618</v>
      </c>
      <c r="BO191" s="17">
        <f t="shared" si="195"/>
        <v>0</v>
      </c>
      <c r="BP191" s="17">
        <f t="shared" si="196"/>
        <v>75054.595058933963</v>
      </c>
      <c r="BQ191" s="17">
        <f t="shared" si="197"/>
        <v>7698.3910801736747</v>
      </c>
      <c r="BR191" s="17">
        <f t="shared" si="198"/>
        <v>0</v>
      </c>
      <c r="BS191" s="15">
        <f t="shared" si="167"/>
        <v>0</v>
      </c>
      <c r="BU191" s="14">
        <v>148</v>
      </c>
      <c r="BV191" s="15">
        <f t="shared" si="168"/>
        <v>13</v>
      </c>
      <c r="BW191" s="16">
        <f>(1+INDEX('1 - Input'!$B$34:$E$63,BV191,'1 - Input'!$B$16))^(1/12)-1</f>
        <v>4.1219243192651689E-3</v>
      </c>
      <c r="BX191" s="17">
        <f>'1 - Input'!$B$7*(1+'1 - Input'!$B$12)^(BV191-1)</f>
        <v>3424.252845318872</v>
      </c>
      <c r="BY191" s="17">
        <f t="shared" si="199"/>
        <v>265619.62997630908</v>
      </c>
      <c r="BZ191" s="17">
        <f t="shared" si="200"/>
        <v>60431.630235742516</v>
      </c>
      <c r="CA191" s="17">
        <f t="shared" si="169"/>
        <v>266714.49398878263</v>
      </c>
      <c r="CB191" s="17">
        <f>IF(CA191&gt;0,'1 - Input'!$B$8/12*CA191,0)</f>
        <v>2000.3587049158696</v>
      </c>
      <c r="CC191" s="17">
        <f t="shared" si="170"/>
        <v>264714.13528386678</v>
      </c>
      <c r="CD191" s="17">
        <f t="shared" si="171"/>
        <v>2000.3587049158696</v>
      </c>
      <c r="CE191" s="17">
        <f>'1 - Input'!$B$22*(CB191-CD191)</f>
        <v>0</v>
      </c>
      <c r="CF191" s="17">
        <f t="shared" si="172"/>
        <v>2000.3587049158696</v>
      </c>
      <c r="CG191" s="17">
        <f t="shared" si="173"/>
        <v>58431.271530826649</v>
      </c>
      <c r="CH191" s="17">
        <f>IF('1 - Input'!$B$17=1,MAX(0,CF191-BX191),0)</f>
        <v>0</v>
      </c>
      <c r="CI191" s="17">
        <f>IF('1 - Input'!$B$17=1,MAX(0,BX191-CF191),0)</f>
        <v>1423.8941404030024</v>
      </c>
      <c r="CJ191" s="17">
        <f t="shared" si="174"/>
        <v>0.77926652285429432</v>
      </c>
      <c r="CK191" s="17">
        <f>IF(AND(CI191&gt;0,CC191&gt;0),CI191/(1-'1 - Input'!$B$22*CJ191),0)</f>
        <v>1785.6919238672745</v>
      </c>
      <c r="CL191" s="17">
        <f t="shared" si="175"/>
        <v>1785.6919238672745</v>
      </c>
      <c r="CM191" s="17">
        <f>'1 - Input'!$B$22*CJ191*CL191</f>
        <v>361.79778346427202</v>
      </c>
      <c r="CN191" s="17">
        <f t="shared" si="176"/>
        <v>1423.8941404030024</v>
      </c>
      <c r="CO191" s="17">
        <f t="shared" si="177"/>
        <v>0</v>
      </c>
      <c r="CP191" s="17">
        <f t="shared" si="178"/>
        <v>0</v>
      </c>
      <c r="CQ191" s="17">
        <f t="shared" si="179"/>
        <v>262928.44335999951</v>
      </c>
      <c r="CR191" s="17">
        <f t="shared" si="180"/>
        <v>58037.109543360421</v>
      </c>
      <c r="CS191" s="17">
        <f>IF(MOD(BU191,12)=0,CQ191*'1 - Input'!$B$23,0)</f>
        <v>0</v>
      </c>
      <c r="CT191" s="17">
        <f t="shared" si="181"/>
        <v>262928.44335999951</v>
      </c>
      <c r="CU191" s="17">
        <f>IF(MOD(BU191,12)=0,CR191*(1-'1 - Input'!$B$23),CR191)</f>
        <v>58037.109543360421</v>
      </c>
      <c r="CV191" s="17">
        <f>IF('1 - Input'!$B$17=1,MIN(CF191,BX191)+CN191,CF191)</f>
        <v>3424.252845318872</v>
      </c>
      <c r="CW191" s="17">
        <f t="shared" si="201"/>
        <v>448248.71857259894</v>
      </c>
      <c r="CX191" s="17">
        <f t="shared" si="202"/>
        <v>0</v>
      </c>
      <c r="CY191" s="17">
        <f t="shared" si="203"/>
        <v>9142.1119195837491</v>
      </c>
      <c r="CZ191" s="17">
        <f t="shared" si="204"/>
        <v>0</v>
      </c>
      <c r="DA191" s="17">
        <f t="shared" si="205"/>
        <v>9433.3616040642792</v>
      </c>
      <c r="DB191" s="17">
        <f t="shared" si="206"/>
        <v>0</v>
      </c>
      <c r="DC191" s="15">
        <f t="shared" si="182"/>
        <v>0</v>
      </c>
    </row>
    <row r="192" spans="1:107">
      <c r="A192" s="14">
        <v>149</v>
      </c>
      <c r="B192" s="15">
        <f t="shared" si="138"/>
        <v>13</v>
      </c>
      <c r="C192" s="16">
        <f>(1+INDEX('1 - Input'!$B$34:$E$63,B192,'1 - Input'!$B$16))^(1/12)-1</f>
        <v>4.1219243192651689E-3</v>
      </c>
      <c r="D192" s="17">
        <f>'1 - Input'!$B$7*(1+'1 - Input'!$B$12)^(B192-1)</f>
        <v>3424.252845318872</v>
      </c>
      <c r="E192" s="17">
        <f t="shared" si="183"/>
        <v>136410.79839849714</v>
      </c>
      <c r="F192" s="17">
        <f t="shared" si="184"/>
        <v>226119.42029614627</v>
      </c>
      <c r="G192" s="17">
        <f t="shared" si="139"/>
        <v>136973.07338582628</v>
      </c>
      <c r="H192" s="17">
        <f>IF(G192&gt;0,'1 - Input'!$B$8/12*G192,0)</f>
        <v>1027.2980503936972</v>
      </c>
      <c r="I192" s="17">
        <f t="shared" si="140"/>
        <v>135945.77533543258</v>
      </c>
      <c r="J192" s="17">
        <f t="shared" si="141"/>
        <v>0</v>
      </c>
      <c r="K192" s="17">
        <f>'1 - Input'!$B$22*(H192-J192)</f>
        <v>267.09749310236128</v>
      </c>
      <c r="L192" s="17">
        <f t="shared" si="142"/>
        <v>760.20055729133583</v>
      </c>
      <c r="M192" s="17">
        <f t="shared" si="143"/>
        <v>226119.42029614627</v>
      </c>
      <c r="N192" s="17">
        <f>IF('1 - Input'!$B$17=1,MAX(0,L192-D192),0)</f>
        <v>0</v>
      </c>
      <c r="O192" s="17">
        <f>IF('1 - Input'!$B$17=1,MAX(0,D192-L192),0)</f>
        <v>2664.0522880275362</v>
      </c>
      <c r="P192" s="17">
        <f t="shared" si="144"/>
        <v>0</v>
      </c>
      <c r="Q192" s="17">
        <f>IF(AND(O192&gt;0,I192&gt;0),O192/(1-'1 - Input'!$B$22*P192),0)</f>
        <v>2664.0522880275362</v>
      </c>
      <c r="R192" s="17">
        <f t="shared" si="145"/>
        <v>2664.0522880275362</v>
      </c>
      <c r="S192" s="17">
        <f>'1 - Input'!$B$22*P192*R192</f>
        <v>0</v>
      </c>
      <c r="T192" s="17">
        <f t="shared" si="146"/>
        <v>2664.0522880275362</v>
      </c>
      <c r="U192" s="17">
        <f t="shared" si="147"/>
        <v>0</v>
      </c>
      <c r="V192" s="17">
        <f t="shared" si="148"/>
        <v>1767.0817984938126</v>
      </c>
      <c r="W192" s="17">
        <f t="shared" si="149"/>
        <v>133281.72304740504</v>
      </c>
      <c r="X192" s="17">
        <f t="shared" si="150"/>
        <v>221688.28620962493</v>
      </c>
      <c r="Y192" s="17">
        <f>IF(MOD(A192,12)=0,W192*'1 - Input'!$B$23,0)</f>
        <v>0</v>
      </c>
      <c r="Z192" s="17">
        <f t="shared" si="151"/>
        <v>133281.72304740504</v>
      </c>
      <c r="AA192" s="17">
        <f>IF(MOD(A192,12)=0,X192*(1-'1 - Input'!$B$23),X192)</f>
        <v>221688.28620962493</v>
      </c>
      <c r="AB192" s="17">
        <f>IF('1 - Input'!$B$17=1,MIN(L192,D192)+T192,L192)</f>
        <v>3424.252845318872</v>
      </c>
      <c r="AC192" s="17">
        <f t="shared" si="185"/>
        <v>451672.97141791781</v>
      </c>
      <c r="AD192" s="17">
        <f t="shared" si="186"/>
        <v>96054.826634238547</v>
      </c>
      <c r="AE192" s="17">
        <f t="shared" si="187"/>
        <v>0</v>
      </c>
      <c r="AF192" s="17">
        <f t="shared" si="188"/>
        <v>76821.676857427781</v>
      </c>
      <c r="AG192" s="17">
        <f t="shared" si="189"/>
        <v>7698.3910801736747</v>
      </c>
      <c r="AH192" s="17">
        <f t="shared" si="190"/>
        <v>0</v>
      </c>
      <c r="AI192" s="15">
        <f t="shared" si="152"/>
        <v>0</v>
      </c>
      <c r="AK192" s="14">
        <v>149</v>
      </c>
      <c r="AL192" s="15">
        <f t="shared" si="153"/>
        <v>13</v>
      </c>
      <c r="AM192" s="16">
        <f>(1+INDEX('1 - Input'!$B$34:$E$63,AL192,'1 - Input'!$B$16))^(1/12)-1</f>
        <v>4.1219243192651689E-3</v>
      </c>
      <c r="AN192" s="17">
        <f>'1 - Input'!$B$7*(1+'1 - Input'!$B$12)^(AL192-1)</f>
        <v>3424.252845318872</v>
      </c>
      <c r="AO192" s="17">
        <f t="shared" si="191"/>
        <v>136410.79839849714</v>
      </c>
      <c r="AP192" s="17">
        <f t="shared" si="192"/>
        <v>226119.42029614627</v>
      </c>
      <c r="AQ192" s="17">
        <f t="shared" si="154"/>
        <v>136973.07338582628</v>
      </c>
      <c r="AR192" s="17">
        <f>IF(AQ192&gt;0,'1 - Input'!$B$8/12*AQ192,0)</f>
        <v>1027.2980503936972</v>
      </c>
      <c r="AS192" s="17">
        <f t="shared" si="155"/>
        <v>135945.77533543258</v>
      </c>
      <c r="AT192" s="17">
        <f t="shared" si="156"/>
        <v>0</v>
      </c>
      <c r="AU192" s="17">
        <f>'1 - Input'!$B$22*(AR192-AT192)</f>
        <v>267.09749310236128</v>
      </c>
      <c r="AV192" s="17">
        <f t="shared" si="157"/>
        <v>760.20055729133583</v>
      </c>
      <c r="AW192" s="17">
        <f t="shared" si="158"/>
        <v>226119.42029614627</v>
      </c>
      <c r="AX192" s="17">
        <f>IF('1 - Input'!$B$17=1,MAX(0,AV192-AN192),0)</f>
        <v>0</v>
      </c>
      <c r="AY192" s="17">
        <f>IF('1 - Input'!$B$17=1,MAX(0,AN192-AV192),0)</f>
        <v>2664.0522880275362</v>
      </c>
      <c r="AZ192" s="17">
        <f t="shared" si="159"/>
        <v>0</v>
      </c>
      <c r="BA192" s="17">
        <f>IF(AND(AY192&gt;0,AS192&gt;0),AY192/(1-'1 - Input'!$B$22*AZ192),0)</f>
        <v>2664.0522880275362</v>
      </c>
      <c r="BB192" s="17">
        <f t="shared" si="160"/>
        <v>2664.0522880275362</v>
      </c>
      <c r="BC192" s="17">
        <f>'1 - Input'!$B$22*AZ192*BB192</f>
        <v>0</v>
      </c>
      <c r="BD192" s="17">
        <f t="shared" si="161"/>
        <v>2664.0522880275362</v>
      </c>
      <c r="BE192" s="17">
        <f t="shared" si="162"/>
        <v>0</v>
      </c>
      <c r="BF192" s="17">
        <f t="shared" si="163"/>
        <v>1767.0817984938126</v>
      </c>
      <c r="BG192" s="17">
        <f t="shared" si="164"/>
        <v>133281.72304740504</v>
      </c>
      <c r="BH192" s="17">
        <f t="shared" si="165"/>
        <v>221688.28620962493</v>
      </c>
      <c r="BI192" s="17">
        <f>IF(MOD(AK192,12)=0,BG192*'1 - Input'!$B$23,0)</f>
        <v>0</v>
      </c>
      <c r="BJ192" s="17">
        <f t="shared" si="166"/>
        <v>133281.72304740504</v>
      </c>
      <c r="BK192" s="17">
        <f>IF(MOD(AK192,12)=0,BH192*(1-'1 - Input'!$B$23),BH192)</f>
        <v>221688.28620962493</v>
      </c>
      <c r="BL192" s="17">
        <f>IF('1 - Input'!$B$17=1,MIN(AV192,AN192)+BD192,AV192)</f>
        <v>3424.252845318872</v>
      </c>
      <c r="BM192" s="17">
        <f t="shared" si="193"/>
        <v>451672.97141791781</v>
      </c>
      <c r="BN192" s="17">
        <f t="shared" si="194"/>
        <v>96054.826634238547</v>
      </c>
      <c r="BO192" s="17">
        <f t="shared" si="195"/>
        <v>0</v>
      </c>
      <c r="BP192" s="17">
        <f t="shared" si="196"/>
        <v>76821.676857427781</v>
      </c>
      <c r="BQ192" s="17">
        <f t="shared" si="197"/>
        <v>7698.3910801736747</v>
      </c>
      <c r="BR192" s="17">
        <f t="shared" si="198"/>
        <v>0</v>
      </c>
      <c r="BS192" s="15">
        <f t="shared" si="167"/>
        <v>0</v>
      </c>
      <c r="BU192" s="14">
        <v>149</v>
      </c>
      <c r="BV192" s="15">
        <f t="shared" si="168"/>
        <v>13</v>
      </c>
      <c r="BW192" s="16">
        <f>(1+INDEX('1 - Input'!$B$34:$E$63,BV192,'1 - Input'!$B$16))^(1/12)-1</f>
        <v>4.1219243192651689E-3</v>
      </c>
      <c r="BX192" s="17">
        <f>'1 - Input'!$B$7*(1+'1 - Input'!$B$12)^(BV192-1)</f>
        <v>3424.252845318872</v>
      </c>
      <c r="BY192" s="17">
        <f t="shared" si="199"/>
        <v>262928.44335999951</v>
      </c>
      <c r="BZ192" s="17">
        <f t="shared" si="200"/>
        <v>58037.109543360421</v>
      </c>
      <c r="CA192" s="17">
        <f t="shared" si="169"/>
        <v>264012.21450491162</v>
      </c>
      <c r="CB192" s="17">
        <f>IF(CA192&gt;0,'1 - Input'!$B$8/12*CA192,0)</f>
        <v>1980.091608786837</v>
      </c>
      <c r="CC192" s="17">
        <f t="shared" si="170"/>
        <v>262032.12289612478</v>
      </c>
      <c r="CD192" s="17">
        <f t="shared" si="171"/>
        <v>1980.091608786837</v>
      </c>
      <c r="CE192" s="17">
        <f>'1 - Input'!$B$22*(CB192-CD192)</f>
        <v>0</v>
      </c>
      <c r="CF192" s="17">
        <f t="shared" si="172"/>
        <v>1980.091608786837</v>
      </c>
      <c r="CG192" s="17">
        <f t="shared" si="173"/>
        <v>56057.017934573581</v>
      </c>
      <c r="CH192" s="17">
        <f>IF('1 - Input'!$B$17=1,MAX(0,CF192-BX192),0)</f>
        <v>0</v>
      </c>
      <c r="CI192" s="17">
        <f>IF('1 - Input'!$B$17=1,MAX(0,BX192-CF192),0)</f>
        <v>1444.161236532035</v>
      </c>
      <c r="CJ192" s="17">
        <f t="shared" si="174"/>
        <v>0.78606814571053263</v>
      </c>
      <c r="CK192" s="17">
        <f>IF(AND(CI192&gt;0,CC192&gt;0),CI192/(1-'1 - Input'!$B$22*CJ192),0)</f>
        <v>1815.1342276294115</v>
      </c>
      <c r="CL192" s="17">
        <f t="shared" si="175"/>
        <v>1815.1342276294115</v>
      </c>
      <c r="CM192" s="17">
        <f>'1 - Input'!$B$22*CJ192*CL192</f>
        <v>370.97299109737656</v>
      </c>
      <c r="CN192" s="17">
        <f t="shared" si="176"/>
        <v>1444.161236532035</v>
      </c>
      <c r="CO192" s="17">
        <f t="shared" si="177"/>
        <v>0</v>
      </c>
      <c r="CP192" s="17">
        <f t="shared" si="178"/>
        <v>0</v>
      </c>
      <c r="CQ192" s="17">
        <f t="shared" si="179"/>
        <v>260216.98866849538</v>
      </c>
      <c r="CR192" s="17">
        <f t="shared" si="180"/>
        <v>55668.702903472542</v>
      </c>
      <c r="CS192" s="17">
        <f>IF(MOD(BU192,12)=0,CQ192*'1 - Input'!$B$23,0)</f>
        <v>0</v>
      </c>
      <c r="CT192" s="17">
        <f t="shared" si="181"/>
        <v>260216.98866849538</v>
      </c>
      <c r="CU192" s="17">
        <f>IF(MOD(BU192,12)=0,CR192*(1-'1 - Input'!$B$23),CR192)</f>
        <v>55668.702903472542</v>
      </c>
      <c r="CV192" s="17">
        <f>IF('1 - Input'!$B$17=1,MIN(CF192,BX192)+CN192,CF192)</f>
        <v>3424.252845318872</v>
      </c>
      <c r="CW192" s="17">
        <f t="shared" si="201"/>
        <v>451672.97141791781</v>
      </c>
      <c r="CX192" s="17">
        <f t="shared" si="202"/>
        <v>0</v>
      </c>
      <c r="CY192" s="17">
        <f t="shared" si="203"/>
        <v>9513.0849106811256</v>
      </c>
      <c r="CZ192" s="17">
        <f t="shared" si="204"/>
        <v>0</v>
      </c>
      <c r="DA192" s="17">
        <f t="shared" si="205"/>
        <v>9433.3616040642792</v>
      </c>
      <c r="DB192" s="17">
        <f t="shared" si="206"/>
        <v>0</v>
      </c>
      <c r="DC192" s="15">
        <f t="shared" si="182"/>
        <v>0</v>
      </c>
    </row>
    <row r="193" spans="1:107">
      <c r="A193" s="14">
        <v>150</v>
      </c>
      <c r="B193" s="15">
        <f t="shared" si="138"/>
        <v>13</v>
      </c>
      <c r="C193" s="16">
        <f>(1+INDEX('1 - Input'!$B$34:$E$63,B193,'1 - Input'!$B$16))^(1/12)-1</f>
        <v>4.1219243192651689E-3</v>
      </c>
      <c r="D193" s="17">
        <f>'1 - Input'!$B$7*(1+'1 - Input'!$B$12)^(B193-1)</f>
        <v>3424.252845318872</v>
      </c>
      <c r="E193" s="17">
        <f t="shared" si="183"/>
        <v>133281.72304740504</v>
      </c>
      <c r="F193" s="17">
        <f t="shared" si="184"/>
        <v>221688.28620962493</v>
      </c>
      <c r="G193" s="17">
        <f t="shared" si="139"/>
        <v>133831.10022294772</v>
      </c>
      <c r="H193" s="17">
        <f>IF(G193&gt;0,'1 - Input'!$B$8/12*G193,0)</f>
        <v>1003.7332516721078</v>
      </c>
      <c r="I193" s="17">
        <f t="shared" si="140"/>
        <v>132827.36697127559</v>
      </c>
      <c r="J193" s="17">
        <f t="shared" si="141"/>
        <v>0</v>
      </c>
      <c r="K193" s="17">
        <f>'1 - Input'!$B$22*(H193-J193)</f>
        <v>260.97064543474806</v>
      </c>
      <c r="L193" s="17">
        <f t="shared" si="142"/>
        <v>742.76260623735971</v>
      </c>
      <c r="M193" s="17">
        <f t="shared" si="143"/>
        <v>221688.28620962493</v>
      </c>
      <c r="N193" s="17">
        <f>IF('1 - Input'!$B$17=1,MAX(0,L193-D193),0)</f>
        <v>0</v>
      </c>
      <c r="O193" s="17">
        <f>IF('1 - Input'!$B$17=1,MAX(0,D193-L193),0)</f>
        <v>2681.4902390815123</v>
      </c>
      <c r="P193" s="17">
        <f t="shared" si="144"/>
        <v>0</v>
      </c>
      <c r="Q193" s="17">
        <f>IF(AND(O193&gt;0,I193&gt;0),O193/(1-'1 - Input'!$B$22*P193),0)</f>
        <v>2681.4902390815123</v>
      </c>
      <c r="R193" s="17">
        <f t="shared" si="145"/>
        <v>2681.4902390815123</v>
      </c>
      <c r="S193" s="17">
        <f>'1 - Input'!$B$22*P193*R193</f>
        <v>0</v>
      </c>
      <c r="T193" s="17">
        <f t="shared" si="146"/>
        <v>2681.4902390815123</v>
      </c>
      <c r="U193" s="17">
        <f t="shared" si="147"/>
        <v>0</v>
      </c>
      <c r="V193" s="17">
        <f t="shared" si="148"/>
        <v>1793.9050739820293</v>
      </c>
      <c r="W193" s="17">
        <f t="shared" si="149"/>
        <v>130145.87673219408</v>
      </c>
      <c r="X193" s="17">
        <f t="shared" si="150"/>
        <v>217212.89089656138</v>
      </c>
      <c r="Y193" s="17">
        <f>IF(MOD(A193,12)=0,W193*'1 - Input'!$B$23,0)</f>
        <v>0</v>
      </c>
      <c r="Z193" s="17">
        <f t="shared" si="151"/>
        <v>130145.87673219408</v>
      </c>
      <c r="AA193" s="17">
        <f>IF(MOD(A193,12)=0,X193*(1-'1 - Input'!$B$23),X193)</f>
        <v>217212.89089656138</v>
      </c>
      <c r="AB193" s="17">
        <f>IF('1 - Input'!$B$17=1,MIN(L193,D193)+T193,L193)</f>
        <v>3424.252845318872</v>
      </c>
      <c r="AC193" s="17">
        <f t="shared" si="185"/>
        <v>455097.22426323668</v>
      </c>
      <c r="AD193" s="17">
        <f t="shared" si="186"/>
        <v>96315.797279673294</v>
      </c>
      <c r="AE193" s="17">
        <f t="shared" si="187"/>
        <v>0</v>
      </c>
      <c r="AF193" s="17">
        <f t="shared" si="188"/>
        <v>78615.581931409804</v>
      </c>
      <c r="AG193" s="17">
        <f t="shared" si="189"/>
        <v>7698.3910801736747</v>
      </c>
      <c r="AH193" s="17">
        <f t="shared" si="190"/>
        <v>0</v>
      </c>
      <c r="AI193" s="15">
        <f t="shared" si="152"/>
        <v>0</v>
      </c>
      <c r="AK193" s="14">
        <v>150</v>
      </c>
      <c r="AL193" s="15">
        <f t="shared" si="153"/>
        <v>13</v>
      </c>
      <c r="AM193" s="16">
        <f>(1+INDEX('1 - Input'!$B$34:$E$63,AL193,'1 - Input'!$B$16))^(1/12)-1</f>
        <v>4.1219243192651689E-3</v>
      </c>
      <c r="AN193" s="17">
        <f>'1 - Input'!$B$7*(1+'1 - Input'!$B$12)^(AL193-1)</f>
        <v>3424.252845318872</v>
      </c>
      <c r="AO193" s="17">
        <f t="shared" si="191"/>
        <v>133281.72304740504</v>
      </c>
      <c r="AP193" s="17">
        <f t="shared" si="192"/>
        <v>221688.28620962493</v>
      </c>
      <c r="AQ193" s="17">
        <f t="shared" si="154"/>
        <v>133831.10022294772</v>
      </c>
      <c r="AR193" s="17">
        <f>IF(AQ193&gt;0,'1 - Input'!$B$8/12*AQ193,0)</f>
        <v>1003.7332516721078</v>
      </c>
      <c r="AS193" s="17">
        <f t="shared" si="155"/>
        <v>132827.36697127559</v>
      </c>
      <c r="AT193" s="17">
        <f t="shared" si="156"/>
        <v>0</v>
      </c>
      <c r="AU193" s="17">
        <f>'1 - Input'!$B$22*(AR193-AT193)</f>
        <v>260.97064543474806</v>
      </c>
      <c r="AV193" s="17">
        <f t="shared" si="157"/>
        <v>742.76260623735971</v>
      </c>
      <c r="AW193" s="17">
        <f t="shared" si="158"/>
        <v>221688.28620962493</v>
      </c>
      <c r="AX193" s="17">
        <f>IF('1 - Input'!$B$17=1,MAX(0,AV193-AN193),0)</f>
        <v>0</v>
      </c>
      <c r="AY193" s="17">
        <f>IF('1 - Input'!$B$17=1,MAX(0,AN193-AV193),0)</f>
        <v>2681.4902390815123</v>
      </c>
      <c r="AZ193" s="17">
        <f t="shared" si="159"/>
        <v>0</v>
      </c>
      <c r="BA193" s="17">
        <f>IF(AND(AY193&gt;0,AS193&gt;0),AY193/(1-'1 - Input'!$B$22*AZ193),0)</f>
        <v>2681.4902390815123</v>
      </c>
      <c r="BB193" s="17">
        <f t="shared" si="160"/>
        <v>2681.4902390815123</v>
      </c>
      <c r="BC193" s="17">
        <f>'1 - Input'!$B$22*AZ193*BB193</f>
        <v>0</v>
      </c>
      <c r="BD193" s="17">
        <f t="shared" si="161"/>
        <v>2681.4902390815123</v>
      </c>
      <c r="BE193" s="17">
        <f t="shared" si="162"/>
        <v>0</v>
      </c>
      <c r="BF193" s="17">
        <f t="shared" si="163"/>
        <v>1793.9050739820293</v>
      </c>
      <c r="BG193" s="17">
        <f t="shared" si="164"/>
        <v>130145.87673219408</v>
      </c>
      <c r="BH193" s="17">
        <f t="shared" si="165"/>
        <v>217212.89089656138</v>
      </c>
      <c r="BI193" s="17">
        <f>IF(MOD(AK193,12)=0,BG193*'1 - Input'!$B$23,0)</f>
        <v>0</v>
      </c>
      <c r="BJ193" s="17">
        <f t="shared" si="166"/>
        <v>130145.87673219408</v>
      </c>
      <c r="BK193" s="17">
        <f>IF(MOD(AK193,12)=0,BH193*(1-'1 - Input'!$B$23),BH193)</f>
        <v>217212.89089656138</v>
      </c>
      <c r="BL193" s="17">
        <f>IF('1 - Input'!$B$17=1,MIN(AV193,AN193)+BD193,AV193)</f>
        <v>3424.252845318872</v>
      </c>
      <c r="BM193" s="17">
        <f t="shared" si="193"/>
        <v>455097.22426323668</v>
      </c>
      <c r="BN193" s="17">
        <f t="shared" si="194"/>
        <v>96315.797279673294</v>
      </c>
      <c r="BO193" s="17">
        <f t="shared" si="195"/>
        <v>0</v>
      </c>
      <c r="BP193" s="17">
        <f t="shared" si="196"/>
        <v>78615.581931409804</v>
      </c>
      <c r="BQ193" s="17">
        <f t="shared" si="197"/>
        <v>7698.3910801736747</v>
      </c>
      <c r="BR193" s="17">
        <f t="shared" si="198"/>
        <v>0</v>
      </c>
      <c r="BS193" s="15">
        <f t="shared" si="167"/>
        <v>0</v>
      </c>
      <c r="BU193" s="14">
        <v>150</v>
      </c>
      <c r="BV193" s="15">
        <f t="shared" si="168"/>
        <v>13</v>
      </c>
      <c r="BW193" s="16">
        <f>(1+INDEX('1 - Input'!$B$34:$E$63,BV193,'1 - Input'!$B$16))^(1/12)-1</f>
        <v>4.1219243192651689E-3</v>
      </c>
      <c r="BX193" s="17">
        <f>'1 - Input'!$B$7*(1+'1 - Input'!$B$12)^(BV193-1)</f>
        <v>3424.252845318872</v>
      </c>
      <c r="BY193" s="17">
        <f t="shared" si="199"/>
        <v>260216.98866849538</v>
      </c>
      <c r="BZ193" s="17">
        <f t="shared" si="200"/>
        <v>55668.702903472542</v>
      </c>
      <c r="CA193" s="17">
        <f t="shared" si="169"/>
        <v>261289.583402374</v>
      </c>
      <c r="CB193" s="17">
        <f>IF(CA193&gt;0,'1 - Input'!$B$8/12*CA193,0)</f>
        <v>1959.6718755178049</v>
      </c>
      <c r="CC193" s="17">
        <f t="shared" si="170"/>
        <v>259329.91152685619</v>
      </c>
      <c r="CD193" s="17">
        <f t="shared" si="171"/>
        <v>1959.6718755178049</v>
      </c>
      <c r="CE193" s="17">
        <f>'1 - Input'!$B$22*(CB193-CD193)</f>
        <v>0</v>
      </c>
      <c r="CF193" s="17">
        <f t="shared" si="172"/>
        <v>1959.6718755178049</v>
      </c>
      <c r="CG193" s="17">
        <f t="shared" si="173"/>
        <v>53709.031027954734</v>
      </c>
      <c r="CH193" s="17">
        <f>IF('1 - Input'!$B$17=1,MAX(0,CF193-BX193),0)</f>
        <v>0</v>
      </c>
      <c r="CI193" s="17">
        <f>IF('1 - Input'!$B$17=1,MAX(0,BX193-CF193),0)</f>
        <v>1464.5809698010671</v>
      </c>
      <c r="CJ193" s="17">
        <f t="shared" si="174"/>
        <v>0.79289303454533189</v>
      </c>
      <c r="CK193" s="17">
        <f>IF(AND(CI193&gt;0,CC193&gt;0),CI193/(1-'1 - Input'!$B$22*CJ193),0)</f>
        <v>1844.9140370149166</v>
      </c>
      <c r="CL193" s="17">
        <f t="shared" si="175"/>
        <v>1844.9140370149166</v>
      </c>
      <c r="CM193" s="17">
        <f>'1 - Input'!$B$22*CJ193*CL193</f>
        <v>380.3330672138494</v>
      </c>
      <c r="CN193" s="17">
        <f t="shared" si="176"/>
        <v>1464.5809698010671</v>
      </c>
      <c r="CO193" s="17">
        <f t="shared" si="177"/>
        <v>0</v>
      </c>
      <c r="CP193" s="17">
        <f t="shared" si="178"/>
        <v>0</v>
      </c>
      <c r="CQ193" s="17">
        <f t="shared" si="179"/>
        <v>257484.99748984128</v>
      </c>
      <c r="CR193" s="17">
        <f t="shared" si="180"/>
        <v>53326.936480223849</v>
      </c>
      <c r="CS193" s="17">
        <f>IF(MOD(BU193,12)=0,CQ193*'1 - Input'!$B$23,0)</f>
        <v>0</v>
      </c>
      <c r="CT193" s="17">
        <f t="shared" si="181"/>
        <v>257484.99748984128</v>
      </c>
      <c r="CU193" s="17">
        <f>IF(MOD(BU193,12)=0,CR193*(1-'1 - Input'!$B$23),CR193)</f>
        <v>53326.936480223849</v>
      </c>
      <c r="CV193" s="17">
        <f>IF('1 - Input'!$B$17=1,MIN(CF193,BX193)+CN193,CF193)</f>
        <v>3424.252845318872</v>
      </c>
      <c r="CW193" s="17">
        <f t="shared" si="201"/>
        <v>455097.22426323668</v>
      </c>
      <c r="CX193" s="17">
        <f t="shared" si="202"/>
        <v>0</v>
      </c>
      <c r="CY193" s="17">
        <f t="shared" si="203"/>
        <v>9893.4179778949747</v>
      </c>
      <c r="CZ193" s="17">
        <f t="shared" si="204"/>
        <v>0</v>
      </c>
      <c r="DA193" s="17">
        <f t="shared" si="205"/>
        <v>9433.3616040642792</v>
      </c>
      <c r="DB193" s="17">
        <f t="shared" si="206"/>
        <v>0</v>
      </c>
      <c r="DC193" s="15">
        <f t="shared" si="182"/>
        <v>0</v>
      </c>
    </row>
    <row r="194" spans="1:107">
      <c r="A194" s="14">
        <v>151</v>
      </c>
      <c r="B194" s="15">
        <f t="shared" si="138"/>
        <v>13</v>
      </c>
      <c r="C194" s="16">
        <f>(1+INDEX('1 - Input'!$B$34:$E$63,B194,'1 - Input'!$B$16))^(1/12)-1</f>
        <v>4.1219243192651689E-3</v>
      </c>
      <c r="D194" s="17">
        <f>'1 - Input'!$B$7*(1+'1 - Input'!$B$12)^(B194-1)</f>
        <v>3424.252845318872</v>
      </c>
      <c r="E194" s="17">
        <f t="shared" si="183"/>
        <v>130145.87673219408</v>
      </c>
      <c r="F194" s="17">
        <f t="shared" si="184"/>
        <v>217212.89089656138</v>
      </c>
      <c r="G194" s="17">
        <f t="shared" si="139"/>
        <v>130682.32818654861</v>
      </c>
      <c r="H194" s="17">
        <f>IF(G194&gt;0,'1 - Input'!$B$8/12*G194,0)</f>
        <v>980.11746139911452</v>
      </c>
      <c r="I194" s="17">
        <f t="shared" si="140"/>
        <v>129702.21072514949</v>
      </c>
      <c r="J194" s="17">
        <f t="shared" si="141"/>
        <v>0</v>
      </c>
      <c r="K194" s="17">
        <f>'1 - Input'!$B$22*(H194-J194)</f>
        <v>254.83053996376978</v>
      </c>
      <c r="L194" s="17">
        <f t="shared" si="142"/>
        <v>725.28692143534477</v>
      </c>
      <c r="M194" s="17">
        <f t="shared" si="143"/>
        <v>217212.89089656138</v>
      </c>
      <c r="N194" s="17">
        <f>IF('1 - Input'!$B$17=1,MAX(0,L194-D194),0)</f>
        <v>0</v>
      </c>
      <c r="O194" s="17">
        <f>IF('1 - Input'!$B$17=1,MAX(0,D194-L194),0)</f>
        <v>2698.9659238835275</v>
      </c>
      <c r="P194" s="17">
        <f t="shared" si="144"/>
        <v>0</v>
      </c>
      <c r="Q194" s="17">
        <f>IF(AND(O194&gt;0,I194&gt;0),O194/(1-'1 - Input'!$B$22*P194),0)</f>
        <v>2698.9659238835275</v>
      </c>
      <c r="R194" s="17">
        <f t="shared" si="145"/>
        <v>2698.9659238835275</v>
      </c>
      <c r="S194" s="17">
        <f>'1 - Input'!$B$22*P194*R194</f>
        <v>0</v>
      </c>
      <c r="T194" s="17">
        <f t="shared" si="146"/>
        <v>2698.9659238835275</v>
      </c>
      <c r="U194" s="17">
        <f t="shared" si="147"/>
        <v>0</v>
      </c>
      <c r="V194" s="17">
        <f t="shared" si="148"/>
        <v>1821.0047649767102</v>
      </c>
      <c r="W194" s="17">
        <f t="shared" si="149"/>
        <v>127003.24480126596</v>
      </c>
      <c r="X194" s="17">
        <f t="shared" si="150"/>
        <v>212692.92020770116</v>
      </c>
      <c r="Y194" s="17">
        <f>IF(MOD(A194,12)=0,W194*'1 - Input'!$B$23,0)</f>
        <v>0</v>
      </c>
      <c r="Z194" s="17">
        <f t="shared" si="151"/>
        <v>127003.24480126596</v>
      </c>
      <c r="AA194" s="17">
        <f>IF(MOD(A194,12)=0,X194*(1-'1 - Input'!$B$23),X194)</f>
        <v>212692.92020770116</v>
      </c>
      <c r="AB194" s="17">
        <f>IF('1 - Input'!$B$17=1,MIN(L194,D194)+T194,L194)</f>
        <v>3424.2528453188725</v>
      </c>
      <c r="AC194" s="17">
        <f t="shared" si="185"/>
        <v>458521.47710855555</v>
      </c>
      <c r="AD194" s="17">
        <f t="shared" si="186"/>
        <v>96570.627819637069</v>
      </c>
      <c r="AE194" s="17">
        <f t="shared" si="187"/>
        <v>0</v>
      </c>
      <c r="AF194" s="17">
        <f t="shared" si="188"/>
        <v>80436.586696386512</v>
      </c>
      <c r="AG194" s="17">
        <f t="shared" si="189"/>
        <v>7698.3910801736747</v>
      </c>
      <c r="AH194" s="17">
        <f t="shared" si="190"/>
        <v>0</v>
      </c>
      <c r="AI194" s="15">
        <f t="shared" si="152"/>
        <v>0</v>
      </c>
      <c r="AK194" s="14">
        <v>151</v>
      </c>
      <c r="AL194" s="15">
        <f t="shared" si="153"/>
        <v>13</v>
      </c>
      <c r="AM194" s="16">
        <f>(1+INDEX('1 - Input'!$B$34:$E$63,AL194,'1 - Input'!$B$16))^(1/12)-1</f>
        <v>4.1219243192651689E-3</v>
      </c>
      <c r="AN194" s="17">
        <f>'1 - Input'!$B$7*(1+'1 - Input'!$B$12)^(AL194-1)</f>
        <v>3424.252845318872</v>
      </c>
      <c r="AO194" s="17">
        <f t="shared" si="191"/>
        <v>130145.87673219408</v>
      </c>
      <c r="AP194" s="17">
        <f t="shared" si="192"/>
        <v>217212.89089656138</v>
      </c>
      <c r="AQ194" s="17">
        <f t="shared" si="154"/>
        <v>130682.32818654861</v>
      </c>
      <c r="AR194" s="17">
        <f>IF(AQ194&gt;0,'1 - Input'!$B$8/12*AQ194,0)</f>
        <v>980.11746139911452</v>
      </c>
      <c r="AS194" s="17">
        <f t="shared" si="155"/>
        <v>129702.21072514949</v>
      </c>
      <c r="AT194" s="17">
        <f t="shared" si="156"/>
        <v>0</v>
      </c>
      <c r="AU194" s="17">
        <f>'1 - Input'!$B$22*(AR194-AT194)</f>
        <v>254.83053996376978</v>
      </c>
      <c r="AV194" s="17">
        <f t="shared" si="157"/>
        <v>725.28692143534477</v>
      </c>
      <c r="AW194" s="17">
        <f t="shared" si="158"/>
        <v>217212.89089656138</v>
      </c>
      <c r="AX194" s="17">
        <f>IF('1 - Input'!$B$17=1,MAX(0,AV194-AN194),0)</f>
        <v>0</v>
      </c>
      <c r="AY194" s="17">
        <f>IF('1 - Input'!$B$17=1,MAX(0,AN194-AV194),0)</f>
        <v>2698.9659238835275</v>
      </c>
      <c r="AZ194" s="17">
        <f t="shared" si="159"/>
        <v>0</v>
      </c>
      <c r="BA194" s="17">
        <f>IF(AND(AY194&gt;0,AS194&gt;0),AY194/(1-'1 - Input'!$B$22*AZ194),0)</f>
        <v>2698.9659238835275</v>
      </c>
      <c r="BB194" s="17">
        <f t="shared" si="160"/>
        <v>2698.9659238835275</v>
      </c>
      <c r="BC194" s="17">
        <f>'1 - Input'!$B$22*AZ194*BB194</f>
        <v>0</v>
      </c>
      <c r="BD194" s="17">
        <f t="shared" si="161"/>
        <v>2698.9659238835275</v>
      </c>
      <c r="BE194" s="17">
        <f t="shared" si="162"/>
        <v>0</v>
      </c>
      <c r="BF194" s="17">
        <f t="shared" si="163"/>
        <v>1821.0047649767102</v>
      </c>
      <c r="BG194" s="17">
        <f t="shared" si="164"/>
        <v>127003.24480126596</v>
      </c>
      <c r="BH194" s="17">
        <f t="shared" si="165"/>
        <v>212692.92020770116</v>
      </c>
      <c r="BI194" s="17">
        <f>IF(MOD(AK194,12)=0,BG194*'1 - Input'!$B$23,0)</f>
        <v>0</v>
      </c>
      <c r="BJ194" s="17">
        <f t="shared" si="166"/>
        <v>127003.24480126596</v>
      </c>
      <c r="BK194" s="17">
        <f>IF(MOD(AK194,12)=0,BH194*(1-'1 - Input'!$B$23),BH194)</f>
        <v>212692.92020770116</v>
      </c>
      <c r="BL194" s="17">
        <f>IF('1 - Input'!$B$17=1,MIN(AV194,AN194)+BD194,AV194)</f>
        <v>3424.2528453188725</v>
      </c>
      <c r="BM194" s="17">
        <f t="shared" si="193"/>
        <v>458521.47710855555</v>
      </c>
      <c r="BN194" s="17">
        <f t="shared" si="194"/>
        <v>96570.627819637069</v>
      </c>
      <c r="BO194" s="17">
        <f t="shared" si="195"/>
        <v>0</v>
      </c>
      <c r="BP194" s="17">
        <f t="shared" si="196"/>
        <v>80436.586696386512</v>
      </c>
      <c r="BQ194" s="17">
        <f t="shared" si="197"/>
        <v>7698.3910801736747</v>
      </c>
      <c r="BR194" s="17">
        <f t="shared" si="198"/>
        <v>0</v>
      </c>
      <c r="BS194" s="15">
        <f t="shared" si="167"/>
        <v>0</v>
      </c>
      <c r="BU194" s="14">
        <v>151</v>
      </c>
      <c r="BV194" s="15">
        <f t="shared" si="168"/>
        <v>13</v>
      </c>
      <c r="BW194" s="16">
        <f>(1+INDEX('1 - Input'!$B$34:$E$63,BV194,'1 - Input'!$B$16))^(1/12)-1</f>
        <v>4.1219243192651689E-3</v>
      </c>
      <c r="BX194" s="17">
        <f>'1 - Input'!$B$7*(1+'1 - Input'!$B$12)^(BV194-1)</f>
        <v>3424.252845318872</v>
      </c>
      <c r="BY194" s="17">
        <f t="shared" si="199"/>
        <v>257484.99748984128</v>
      </c>
      <c r="BZ194" s="17">
        <f t="shared" si="200"/>
        <v>53326.936480223849</v>
      </c>
      <c r="CA194" s="17">
        <f t="shared" si="169"/>
        <v>258546.33116284059</v>
      </c>
      <c r="CB194" s="17">
        <f>IF(CA194&gt;0,'1 - Input'!$B$8/12*CA194,0)</f>
        <v>1939.0974837213043</v>
      </c>
      <c r="CC194" s="17">
        <f t="shared" si="170"/>
        <v>256607.23367911929</v>
      </c>
      <c r="CD194" s="17">
        <f t="shared" si="171"/>
        <v>1939.0974837213043</v>
      </c>
      <c r="CE194" s="17">
        <f>'1 - Input'!$B$22*(CB194-CD194)</f>
        <v>0</v>
      </c>
      <c r="CF194" s="17">
        <f t="shared" si="172"/>
        <v>1939.0974837213043</v>
      </c>
      <c r="CG194" s="17">
        <f t="shared" si="173"/>
        <v>51387.838996502542</v>
      </c>
      <c r="CH194" s="17">
        <f>IF('1 - Input'!$B$17=1,MAX(0,CF194-BX194),0)</f>
        <v>0</v>
      </c>
      <c r="CI194" s="17">
        <f>IF('1 - Input'!$B$17=1,MAX(0,BX194-CF194),0)</f>
        <v>1485.1553615975677</v>
      </c>
      <c r="CJ194" s="17">
        <f t="shared" si="174"/>
        <v>0.79974126894348696</v>
      </c>
      <c r="CK194" s="17">
        <f>IF(AND(CI194&gt;0,CC194&gt;0),CI194/(1-'1 - Input'!$B$22*CJ194),0)</f>
        <v>1875.0369036931861</v>
      </c>
      <c r="CL194" s="17">
        <f t="shared" si="175"/>
        <v>1875.0369036931861</v>
      </c>
      <c r="CM194" s="17">
        <f>'1 - Input'!$B$22*CJ194*CL194</f>
        <v>389.88154209561844</v>
      </c>
      <c r="CN194" s="17">
        <f t="shared" si="176"/>
        <v>1485.1553615975677</v>
      </c>
      <c r="CO194" s="17">
        <f t="shared" si="177"/>
        <v>0</v>
      </c>
      <c r="CP194" s="17">
        <f t="shared" si="178"/>
        <v>0</v>
      </c>
      <c r="CQ194" s="17">
        <f t="shared" si="179"/>
        <v>254732.1967754261</v>
      </c>
      <c r="CR194" s="17">
        <f t="shared" si="180"/>
        <v>51012.346485484813</v>
      </c>
      <c r="CS194" s="17">
        <f>IF(MOD(BU194,12)=0,CQ194*'1 - Input'!$B$23,0)</f>
        <v>0</v>
      </c>
      <c r="CT194" s="17">
        <f t="shared" si="181"/>
        <v>254732.1967754261</v>
      </c>
      <c r="CU194" s="17">
        <f>IF(MOD(BU194,12)=0,CR194*(1-'1 - Input'!$B$23),CR194)</f>
        <v>51012.346485484813</v>
      </c>
      <c r="CV194" s="17">
        <f>IF('1 - Input'!$B$17=1,MIN(CF194,BX194)+CN194,CF194)</f>
        <v>3424.252845318872</v>
      </c>
      <c r="CW194" s="17">
        <f t="shared" si="201"/>
        <v>458521.47710855555</v>
      </c>
      <c r="CX194" s="17">
        <f t="shared" si="202"/>
        <v>0</v>
      </c>
      <c r="CY194" s="17">
        <f t="shared" si="203"/>
        <v>10283.299519990593</v>
      </c>
      <c r="CZ194" s="17">
        <f t="shared" si="204"/>
        <v>0</v>
      </c>
      <c r="DA194" s="17">
        <f t="shared" si="205"/>
        <v>9433.3616040642792</v>
      </c>
      <c r="DB194" s="17">
        <f t="shared" si="206"/>
        <v>0</v>
      </c>
      <c r="DC194" s="15">
        <f t="shared" si="182"/>
        <v>0</v>
      </c>
    </row>
    <row r="195" spans="1:107">
      <c r="A195" s="14">
        <v>152</v>
      </c>
      <c r="B195" s="15">
        <f t="shared" si="138"/>
        <v>13</v>
      </c>
      <c r="C195" s="16">
        <f>(1+INDEX('1 - Input'!$B$34:$E$63,B195,'1 - Input'!$B$16))^(1/12)-1</f>
        <v>4.1219243192651689E-3</v>
      </c>
      <c r="D195" s="17">
        <f>'1 - Input'!$B$7*(1+'1 - Input'!$B$12)^(B195-1)</f>
        <v>3424.252845318872</v>
      </c>
      <c r="E195" s="17">
        <f t="shared" si="183"/>
        <v>127003.24480126596</v>
      </c>
      <c r="F195" s="17">
        <f t="shared" si="184"/>
        <v>212692.92020770116</v>
      </c>
      <c r="G195" s="17">
        <f t="shared" si="139"/>
        <v>127526.74256463788</v>
      </c>
      <c r="H195" s="17">
        <f>IF(G195&gt;0,'1 - Input'!$B$8/12*G195,0)</f>
        <v>956.4505692347841</v>
      </c>
      <c r="I195" s="17">
        <f t="shared" si="140"/>
        <v>126570.29199540309</v>
      </c>
      <c r="J195" s="17">
        <f t="shared" si="141"/>
        <v>0</v>
      </c>
      <c r="K195" s="17">
        <f>'1 - Input'!$B$22*(H195-J195)</f>
        <v>248.67714800104386</v>
      </c>
      <c r="L195" s="17">
        <f t="shared" si="142"/>
        <v>707.77342123374024</v>
      </c>
      <c r="M195" s="17">
        <f t="shared" si="143"/>
        <v>212692.92020770116</v>
      </c>
      <c r="N195" s="17">
        <f>IF('1 - Input'!$B$17=1,MAX(0,L195-D195),0)</f>
        <v>0</v>
      </c>
      <c r="O195" s="17">
        <f>IF('1 - Input'!$B$17=1,MAX(0,D195-L195),0)</f>
        <v>2716.4794240851315</v>
      </c>
      <c r="P195" s="17">
        <f t="shared" si="144"/>
        <v>0</v>
      </c>
      <c r="Q195" s="17">
        <f>IF(AND(O195&gt;0,I195&gt;0),O195/(1-'1 - Input'!$B$22*P195),0)</f>
        <v>2716.4794240851315</v>
      </c>
      <c r="R195" s="17">
        <f t="shared" si="145"/>
        <v>2716.4794240851315</v>
      </c>
      <c r="S195" s="17">
        <f>'1 - Input'!$B$22*P195*R195</f>
        <v>0</v>
      </c>
      <c r="T195" s="17">
        <f t="shared" si="146"/>
        <v>2716.4794240851315</v>
      </c>
      <c r="U195" s="17">
        <f t="shared" si="147"/>
        <v>0</v>
      </c>
      <c r="V195" s="17">
        <f t="shared" si="148"/>
        <v>1848.3827744929133</v>
      </c>
      <c r="W195" s="17">
        <f t="shared" si="149"/>
        <v>123853.81257131796</v>
      </c>
      <c r="X195" s="17">
        <f t="shared" si="150"/>
        <v>208128.05800912311</v>
      </c>
      <c r="Y195" s="17">
        <f>IF(MOD(A195,12)=0,W195*'1 - Input'!$B$23,0)</f>
        <v>0</v>
      </c>
      <c r="Z195" s="17">
        <f t="shared" si="151"/>
        <v>123853.81257131796</v>
      </c>
      <c r="AA195" s="17">
        <f>IF(MOD(A195,12)=0,X195*(1-'1 - Input'!$B$23),X195)</f>
        <v>208128.05800912311</v>
      </c>
      <c r="AB195" s="17">
        <f>IF('1 - Input'!$B$17=1,MIN(L195,D195)+T195,L195)</f>
        <v>3424.2528453188716</v>
      </c>
      <c r="AC195" s="17">
        <f t="shared" si="185"/>
        <v>461945.72995387443</v>
      </c>
      <c r="AD195" s="17">
        <f t="shared" si="186"/>
        <v>96819.30496763812</v>
      </c>
      <c r="AE195" s="17">
        <f t="shared" si="187"/>
        <v>0</v>
      </c>
      <c r="AF195" s="17">
        <f t="shared" si="188"/>
        <v>82284.969470879427</v>
      </c>
      <c r="AG195" s="17">
        <f t="shared" si="189"/>
        <v>7698.3910801736747</v>
      </c>
      <c r="AH195" s="17">
        <f t="shared" si="190"/>
        <v>0</v>
      </c>
      <c r="AI195" s="15">
        <f t="shared" si="152"/>
        <v>0</v>
      </c>
      <c r="AK195" s="14">
        <v>152</v>
      </c>
      <c r="AL195" s="15">
        <f t="shared" si="153"/>
        <v>13</v>
      </c>
      <c r="AM195" s="16">
        <f>(1+INDEX('1 - Input'!$B$34:$E$63,AL195,'1 - Input'!$B$16))^(1/12)-1</f>
        <v>4.1219243192651689E-3</v>
      </c>
      <c r="AN195" s="17">
        <f>'1 - Input'!$B$7*(1+'1 - Input'!$B$12)^(AL195-1)</f>
        <v>3424.252845318872</v>
      </c>
      <c r="AO195" s="17">
        <f t="shared" si="191"/>
        <v>127003.24480126596</v>
      </c>
      <c r="AP195" s="17">
        <f t="shared" si="192"/>
        <v>212692.92020770116</v>
      </c>
      <c r="AQ195" s="17">
        <f t="shared" si="154"/>
        <v>127526.74256463788</v>
      </c>
      <c r="AR195" s="17">
        <f>IF(AQ195&gt;0,'1 - Input'!$B$8/12*AQ195,0)</f>
        <v>956.4505692347841</v>
      </c>
      <c r="AS195" s="17">
        <f t="shared" si="155"/>
        <v>126570.29199540309</v>
      </c>
      <c r="AT195" s="17">
        <f t="shared" si="156"/>
        <v>0</v>
      </c>
      <c r="AU195" s="17">
        <f>'1 - Input'!$B$22*(AR195-AT195)</f>
        <v>248.67714800104386</v>
      </c>
      <c r="AV195" s="17">
        <f t="shared" si="157"/>
        <v>707.77342123374024</v>
      </c>
      <c r="AW195" s="17">
        <f t="shared" si="158"/>
        <v>212692.92020770116</v>
      </c>
      <c r="AX195" s="17">
        <f>IF('1 - Input'!$B$17=1,MAX(0,AV195-AN195),0)</f>
        <v>0</v>
      </c>
      <c r="AY195" s="17">
        <f>IF('1 - Input'!$B$17=1,MAX(0,AN195-AV195),0)</f>
        <v>2716.4794240851315</v>
      </c>
      <c r="AZ195" s="17">
        <f t="shared" si="159"/>
        <v>0</v>
      </c>
      <c r="BA195" s="17">
        <f>IF(AND(AY195&gt;0,AS195&gt;0),AY195/(1-'1 - Input'!$B$22*AZ195),0)</f>
        <v>2716.4794240851315</v>
      </c>
      <c r="BB195" s="17">
        <f t="shared" si="160"/>
        <v>2716.4794240851315</v>
      </c>
      <c r="BC195" s="17">
        <f>'1 - Input'!$B$22*AZ195*BB195</f>
        <v>0</v>
      </c>
      <c r="BD195" s="17">
        <f t="shared" si="161"/>
        <v>2716.4794240851315</v>
      </c>
      <c r="BE195" s="17">
        <f t="shared" si="162"/>
        <v>0</v>
      </c>
      <c r="BF195" s="17">
        <f t="shared" si="163"/>
        <v>1848.3827744929133</v>
      </c>
      <c r="BG195" s="17">
        <f t="shared" si="164"/>
        <v>123853.81257131796</v>
      </c>
      <c r="BH195" s="17">
        <f t="shared" si="165"/>
        <v>208128.05800912311</v>
      </c>
      <c r="BI195" s="17">
        <f>IF(MOD(AK195,12)=0,BG195*'1 - Input'!$B$23,0)</f>
        <v>0</v>
      </c>
      <c r="BJ195" s="17">
        <f t="shared" si="166"/>
        <v>123853.81257131796</v>
      </c>
      <c r="BK195" s="17">
        <f>IF(MOD(AK195,12)=0,BH195*(1-'1 - Input'!$B$23),BH195)</f>
        <v>208128.05800912311</v>
      </c>
      <c r="BL195" s="17">
        <f>IF('1 - Input'!$B$17=1,MIN(AV195,AN195)+BD195,AV195)</f>
        <v>3424.2528453188716</v>
      </c>
      <c r="BM195" s="17">
        <f t="shared" si="193"/>
        <v>461945.72995387443</v>
      </c>
      <c r="BN195" s="17">
        <f t="shared" si="194"/>
        <v>96819.30496763812</v>
      </c>
      <c r="BO195" s="17">
        <f t="shared" si="195"/>
        <v>0</v>
      </c>
      <c r="BP195" s="17">
        <f t="shared" si="196"/>
        <v>82284.969470879427</v>
      </c>
      <c r="BQ195" s="17">
        <f t="shared" si="197"/>
        <v>7698.3910801736747</v>
      </c>
      <c r="BR195" s="17">
        <f t="shared" si="198"/>
        <v>0</v>
      </c>
      <c r="BS195" s="15">
        <f t="shared" si="167"/>
        <v>0</v>
      </c>
      <c r="BU195" s="14">
        <v>152</v>
      </c>
      <c r="BV195" s="15">
        <f t="shared" si="168"/>
        <v>13</v>
      </c>
      <c r="BW195" s="16">
        <f>(1+INDEX('1 - Input'!$B$34:$E$63,BV195,'1 - Input'!$B$16))^(1/12)-1</f>
        <v>4.1219243192651689E-3</v>
      </c>
      <c r="BX195" s="17">
        <f>'1 - Input'!$B$7*(1+'1 - Input'!$B$12)^(BV195-1)</f>
        <v>3424.252845318872</v>
      </c>
      <c r="BY195" s="17">
        <f t="shared" si="199"/>
        <v>254732.1967754261</v>
      </c>
      <c r="BZ195" s="17">
        <f t="shared" si="200"/>
        <v>51012.346485484813</v>
      </c>
      <c r="CA195" s="17">
        <f t="shared" si="169"/>
        <v>255782.18361221458</v>
      </c>
      <c r="CB195" s="17">
        <f>IF(CA195&gt;0,'1 - Input'!$B$8/12*CA195,0)</f>
        <v>1918.3663770916091</v>
      </c>
      <c r="CC195" s="17">
        <f t="shared" si="170"/>
        <v>253863.81723512296</v>
      </c>
      <c r="CD195" s="17">
        <f t="shared" si="171"/>
        <v>1918.3663770916091</v>
      </c>
      <c r="CE195" s="17">
        <f>'1 - Input'!$B$22*(CB195-CD195)</f>
        <v>0</v>
      </c>
      <c r="CF195" s="17">
        <f t="shared" si="172"/>
        <v>1918.3663770916091</v>
      </c>
      <c r="CG195" s="17">
        <f t="shared" si="173"/>
        <v>49093.980108393203</v>
      </c>
      <c r="CH195" s="17">
        <f>IF('1 - Input'!$B$17=1,MAX(0,CF195-BX195),0)</f>
        <v>0</v>
      </c>
      <c r="CI195" s="17">
        <f>IF('1 - Input'!$B$17=1,MAX(0,BX195-CF195),0)</f>
        <v>1505.8864682272629</v>
      </c>
      <c r="CJ195" s="17">
        <f t="shared" si="174"/>
        <v>0.80661292876202417</v>
      </c>
      <c r="CK195" s="17">
        <f>IF(AND(CI195&gt;0,CC195&gt;0),CI195/(1-'1 - Input'!$B$22*CJ195),0)</f>
        <v>1905.5084925828944</v>
      </c>
      <c r="CL195" s="17">
        <f t="shared" si="175"/>
        <v>1905.5084925828944</v>
      </c>
      <c r="CM195" s="17">
        <f>'1 - Input'!$B$22*CJ195*CL195</f>
        <v>399.62202435563154</v>
      </c>
      <c r="CN195" s="17">
        <f t="shared" si="176"/>
        <v>1505.8864682272629</v>
      </c>
      <c r="CO195" s="17">
        <f t="shared" si="177"/>
        <v>0</v>
      </c>
      <c r="CP195" s="17">
        <f t="shared" si="178"/>
        <v>0</v>
      </c>
      <c r="CQ195" s="17">
        <f t="shared" si="179"/>
        <v>251958.30874254007</v>
      </c>
      <c r="CR195" s="17">
        <f t="shared" si="180"/>
        <v>48725.479401793506</v>
      </c>
      <c r="CS195" s="17">
        <f>IF(MOD(BU195,12)=0,CQ195*'1 - Input'!$B$23,0)</f>
        <v>0</v>
      </c>
      <c r="CT195" s="17">
        <f t="shared" si="181"/>
        <v>251958.30874254007</v>
      </c>
      <c r="CU195" s="17">
        <f>IF(MOD(BU195,12)=0,CR195*(1-'1 - Input'!$B$23),CR195)</f>
        <v>48725.479401793506</v>
      </c>
      <c r="CV195" s="17">
        <f>IF('1 - Input'!$B$17=1,MIN(CF195,BX195)+CN195,CF195)</f>
        <v>3424.252845318872</v>
      </c>
      <c r="CW195" s="17">
        <f t="shared" si="201"/>
        <v>461945.72995387443</v>
      </c>
      <c r="CX195" s="17">
        <f t="shared" si="202"/>
        <v>0</v>
      </c>
      <c r="CY195" s="17">
        <f t="shared" si="203"/>
        <v>10682.921544346224</v>
      </c>
      <c r="CZ195" s="17">
        <f t="shared" si="204"/>
        <v>0</v>
      </c>
      <c r="DA195" s="17">
        <f t="shared" si="205"/>
        <v>9433.3616040642792</v>
      </c>
      <c r="DB195" s="17">
        <f t="shared" si="206"/>
        <v>0</v>
      </c>
      <c r="DC195" s="15">
        <f t="shared" si="182"/>
        <v>0</v>
      </c>
    </row>
    <row r="196" spans="1:107">
      <c r="A196" s="14">
        <v>153</v>
      </c>
      <c r="B196" s="15">
        <f t="shared" si="138"/>
        <v>13</v>
      </c>
      <c r="C196" s="16">
        <f>(1+INDEX('1 - Input'!$B$34:$E$63,B196,'1 - Input'!$B$16))^(1/12)-1</f>
        <v>4.1219243192651689E-3</v>
      </c>
      <c r="D196" s="17">
        <f>'1 - Input'!$B$7*(1+'1 - Input'!$B$12)^(B196-1)</f>
        <v>3424.252845318872</v>
      </c>
      <c r="E196" s="17">
        <f t="shared" si="183"/>
        <v>123853.81257131796</v>
      </c>
      <c r="F196" s="17">
        <f t="shared" si="184"/>
        <v>208128.05800912311</v>
      </c>
      <c r="G196" s="17">
        <f t="shared" si="139"/>
        <v>124364.32861338939</v>
      </c>
      <c r="H196" s="17">
        <f>IF(G196&gt;0,'1 - Input'!$B$8/12*G196,0)</f>
        <v>932.73246460042037</v>
      </c>
      <c r="I196" s="17">
        <f t="shared" si="140"/>
        <v>123431.59614878896</v>
      </c>
      <c r="J196" s="17">
        <f t="shared" si="141"/>
        <v>0</v>
      </c>
      <c r="K196" s="17">
        <f>'1 - Input'!$B$22*(H196-J196)</f>
        <v>242.51044079610929</v>
      </c>
      <c r="L196" s="17">
        <f t="shared" si="142"/>
        <v>690.22202380431111</v>
      </c>
      <c r="M196" s="17">
        <f t="shared" si="143"/>
        <v>208128.05800912311</v>
      </c>
      <c r="N196" s="17">
        <f>IF('1 - Input'!$B$17=1,MAX(0,L196-D196),0)</f>
        <v>0</v>
      </c>
      <c r="O196" s="17">
        <f>IF('1 - Input'!$B$17=1,MAX(0,D196-L196),0)</f>
        <v>2734.030821514561</v>
      </c>
      <c r="P196" s="17">
        <f t="shared" si="144"/>
        <v>0</v>
      </c>
      <c r="Q196" s="17">
        <f>IF(AND(O196&gt;0,I196&gt;0),O196/(1-'1 - Input'!$B$22*P196),0)</f>
        <v>2734.030821514561</v>
      </c>
      <c r="R196" s="17">
        <f t="shared" si="145"/>
        <v>2734.030821514561</v>
      </c>
      <c r="S196" s="17">
        <f>'1 - Input'!$B$22*P196*R196</f>
        <v>0</v>
      </c>
      <c r="T196" s="17">
        <f t="shared" si="146"/>
        <v>2734.030821514561</v>
      </c>
      <c r="U196" s="17">
        <f t="shared" si="147"/>
        <v>0</v>
      </c>
      <c r="V196" s="17">
        <f t="shared" si="148"/>
        <v>1876.041017246928</v>
      </c>
      <c r="W196" s="17">
        <f t="shared" si="149"/>
        <v>120697.56532727439</v>
      </c>
      <c r="X196" s="17">
        <f t="shared" si="150"/>
        <v>203517.98617036163</v>
      </c>
      <c r="Y196" s="17">
        <f>IF(MOD(A196,12)=0,W196*'1 - Input'!$B$23,0)</f>
        <v>0</v>
      </c>
      <c r="Z196" s="17">
        <f t="shared" si="151"/>
        <v>120697.56532727439</v>
      </c>
      <c r="AA196" s="17">
        <f>IF(MOD(A196,12)=0,X196*(1-'1 - Input'!$B$23),X196)</f>
        <v>203517.98617036163</v>
      </c>
      <c r="AB196" s="17">
        <f>IF('1 - Input'!$B$17=1,MIN(L196,D196)+T196,L196)</f>
        <v>3424.252845318872</v>
      </c>
      <c r="AC196" s="17">
        <f t="shared" si="185"/>
        <v>465369.9827991933</v>
      </c>
      <c r="AD196" s="17">
        <f t="shared" si="186"/>
        <v>97061.815408434224</v>
      </c>
      <c r="AE196" s="17">
        <f t="shared" si="187"/>
        <v>0</v>
      </c>
      <c r="AF196" s="17">
        <f t="shared" si="188"/>
        <v>84161.010488126354</v>
      </c>
      <c r="AG196" s="17">
        <f t="shared" si="189"/>
        <v>7698.3910801736747</v>
      </c>
      <c r="AH196" s="17">
        <f t="shared" si="190"/>
        <v>0</v>
      </c>
      <c r="AI196" s="15">
        <f t="shared" si="152"/>
        <v>0</v>
      </c>
      <c r="AK196" s="14">
        <v>153</v>
      </c>
      <c r="AL196" s="15">
        <f t="shared" si="153"/>
        <v>13</v>
      </c>
      <c r="AM196" s="16">
        <f>(1+INDEX('1 - Input'!$B$34:$E$63,AL196,'1 - Input'!$B$16))^(1/12)-1</f>
        <v>4.1219243192651689E-3</v>
      </c>
      <c r="AN196" s="17">
        <f>'1 - Input'!$B$7*(1+'1 - Input'!$B$12)^(AL196-1)</f>
        <v>3424.252845318872</v>
      </c>
      <c r="AO196" s="17">
        <f t="shared" si="191"/>
        <v>123853.81257131796</v>
      </c>
      <c r="AP196" s="17">
        <f t="shared" si="192"/>
        <v>208128.05800912311</v>
      </c>
      <c r="AQ196" s="17">
        <f t="shared" si="154"/>
        <v>124364.32861338939</v>
      </c>
      <c r="AR196" s="17">
        <f>IF(AQ196&gt;0,'1 - Input'!$B$8/12*AQ196,0)</f>
        <v>932.73246460042037</v>
      </c>
      <c r="AS196" s="17">
        <f t="shared" si="155"/>
        <v>123431.59614878896</v>
      </c>
      <c r="AT196" s="17">
        <f t="shared" si="156"/>
        <v>0</v>
      </c>
      <c r="AU196" s="17">
        <f>'1 - Input'!$B$22*(AR196-AT196)</f>
        <v>242.51044079610929</v>
      </c>
      <c r="AV196" s="17">
        <f t="shared" si="157"/>
        <v>690.22202380431111</v>
      </c>
      <c r="AW196" s="17">
        <f t="shared" si="158"/>
        <v>208128.05800912311</v>
      </c>
      <c r="AX196" s="17">
        <f>IF('1 - Input'!$B$17=1,MAX(0,AV196-AN196),0)</f>
        <v>0</v>
      </c>
      <c r="AY196" s="17">
        <f>IF('1 - Input'!$B$17=1,MAX(0,AN196-AV196),0)</f>
        <v>2734.030821514561</v>
      </c>
      <c r="AZ196" s="17">
        <f t="shared" si="159"/>
        <v>0</v>
      </c>
      <c r="BA196" s="17">
        <f>IF(AND(AY196&gt;0,AS196&gt;0),AY196/(1-'1 - Input'!$B$22*AZ196),0)</f>
        <v>2734.030821514561</v>
      </c>
      <c r="BB196" s="17">
        <f t="shared" si="160"/>
        <v>2734.030821514561</v>
      </c>
      <c r="BC196" s="17">
        <f>'1 - Input'!$B$22*AZ196*BB196</f>
        <v>0</v>
      </c>
      <c r="BD196" s="17">
        <f t="shared" si="161"/>
        <v>2734.030821514561</v>
      </c>
      <c r="BE196" s="17">
        <f t="shared" si="162"/>
        <v>0</v>
      </c>
      <c r="BF196" s="17">
        <f t="shared" si="163"/>
        <v>1876.041017246928</v>
      </c>
      <c r="BG196" s="17">
        <f t="shared" si="164"/>
        <v>120697.56532727439</v>
      </c>
      <c r="BH196" s="17">
        <f t="shared" si="165"/>
        <v>203517.98617036163</v>
      </c>
      <c r="BI196" s="17">
        <f>IF(MOD(AK196,12)=0,BG196*'1 - Input'!$B$23,0)</f>
        <v>0</v>
      </c>
      <c r="BJ196" s="17">
        <f t="shared" si="166"/>
        <v>120697.56532727439</v>
      </c>
      <c r="BK196" s="17">
        <f>IF(MOD(AK196,12)=0,BH196*(1-'1 - Input'!$B$23),BH196)</f>
        <v>203517.98617036163</v>
      </c>
      <c r="BL196" s="17">
        <f>IF('1 - Input'!$B$17=1,MIN(AV196,AN196)+BD196,AV196)</f>
        <v>3424.252845318872</v>
      </c>
      <c r="BM196" s="17">
        <f t="shared" si="193"/>
        <v>465369.9827991933</v>
      </c>
      <c r="BN196" s="17">
        <f t="shared" si="194"/>
        <v>97061.815408434224</v>
      </c>
      <c r="BO196" s="17">
        <f t="shared" si="195"/>
        <v>0</v>
      </c>
      <c r="BP196" s="17">
        <f t="shared" si="196"/>
        <v>84161.010488126354</v>
      </c>
      <c r="BQ196" s="17">
        <f t="shared" si="197"/>
        <v>7698.3910801736747</v>
      </c>
      <c r="BR196" s="17">
        <f t="shared" si="198"/>
        <v>0</v>
      </c>
      <c r="BS196" s="15">
        <f t="shared" si="167"/>
        <v>0</v>
      </c>
      <c r="BU196" s="14">
        <v>153</v>
      </c>
      <c r="BV196" s="15">
        <f t="shared" si="168"/>
        <v>13</v>
      </c>
      <c r="BW196" s="16">
        <f>(1+INDEX('1 - Input'!$B$34:$E$63,BV196,'1 - Input'!$B$16))^(1/12)-1</f>
        <v>4.1219243192651689E-3</v>
      </c>
      <c r="BX196" s="17">
        <f>'1 - Input'!$B$7*(1+'1 - Input'!$B$12)^(BV196-1)</f>
        <v>3424.252845318872</v>
      </c>
      <c r="BY196" s="17">
        <f t="shared" si="199"/>
        <v>251958.30874254007</v>
      </c>
      <c r="BZ196" s="17">
        <f t="shared" si="200"/>
        <v>48725.479401793506</v>
      </c>
      <c r="CA196" s="17">
        <f t="shared" si="169"/>
        <v>252996.86182278686</v>
      </c>
      <c r="CB196" s="17">
        <f>IF(CA196&gt;0,'1 - Input'!$B$8/12*CA196,0)</f>
        <v>1897.4764636709015</v>
      </c>
      <c r="CC196" s="17">
        <f t="shared" si="170"/>
        <v>251099.38535911596</v>
      </c>
      <c r="CD196" s="17">
        <f t="shared" si="171"/>
        <v>1897.4764636709015</v>
      </c>
      <c r="CE196" s="17">
        <f>'1 - Input'!$B$22*(CB196-CD196)</f>
        <v>0</v>
      </c>
      <c r="CF196" s="17">
        <f t="shared" si="172"/>
        <v>1897.4764636709015</v>
      </c>
      <c r="CG196" s="17">
        <f t="shared" si="173"/>
        <v>46828.002938122605</v>
      </c>
      <c r="CH196" s="17">
        <f>IF('1 - Input'!$B$17=1,MAX(0,CF196-BX196),0)</f>
        <v>0</v>
      </c>
      <c r="CI196" s="17">
        <f>IF('1 - Input'!$B$17=1,MAX(0,BX196-CF196),0)</f>
        <v>1526.7763816479705</v>
      </c>
      <c r="CJ196" s="17">
        <f t="shared" si="174"/>
        <v>0.81350809413113301</v>
      </c>
      <c r="CK196" s="17">
        <f>IF(AND(CI196&gt;0,CC196&gt;0),CI196/(1-'1 - Input'!$B$22*CJ196),0)</f>
        <v>1936.3345846034094</v>
      </c>
      <c r="CL196" s="17">
        <f t="shared" si="175"/>
        <v>1936.3345846034094</v>
      </c>
      <c r="CM196" s="17">
        <f>'1 - Input'!$B$22*CJ196*CL196</f>
        <v>409.5582029554389</v>
      </c>
      <c r="CN196" s="17">
        <f t="shared" si="176"/>
        <v>1526.7763816479705</v>
      </c>
      <c r="CO196" s="17">
        <f t="shared" si="177"/>
        <v>0</v>
      </c>
      <c r="CP196" s="17">
        <f t="shared" si="178"/>
        <v>0</v>
      </c>
      <c r="CQ196" s="17">
        <f t="shared" si="179"/>
        <v>249163.05077451255</v>
      </c>
      <c r="CR196" s="17">
        <f t="shared" si="180"/>
        <v>46466.892211040118</v>
      </c>
      <c r="CS196" s="17">
        <f>IF(MOD(BU196,12)=0,CQ196*'1 - Input'!$B$23,0)</f>
        <v>0</v>
      </c>
      <c r="CT196" s="17">
        <f t="shared" si="181"/>
        <v>249163.05077451255</v>
      </c>
      <c r="CU196" s="17">
        <f>IF(MOD(BU196,12)=0,CR196*(1-'1 - Input'!$B$23),CR196)</f>
        <v>46466.892211040118</v>
      </c>
      <c r="CV196" s="17">
        <f>IF('1 - Input'!$B$17=1,MIN(CF196,BX196)+CN196,CF196)</f>
        <v>3424.252845318872</v>
      </c>
      <c r="CW196" s="17">
        <f t="shared" si="201"/>
        <v>465369.9827991933</v>
      </c>
      <c r="CX196" s="17">
        <f t="shared" si="202"/>
        <v>0</v>
      </c>
      <c r="CY196" s="17">
        <f t="shared" si="203"/>
        <v>11092.479747301662</v>
      </c>
      <c r="CZ196" s="17">
        <f t="shared" si="204"/>
        <v>0</v>
      </c>
      <c r="DA196" s="17">
        <f t="shared" si="205"/>
        <v>9433.3616040642792</v>
      </c>
      <c r="DB196" s="17">
        <f t="shared" si="206"/>
        <v>0</v>
      </c>
      <c r="DC196" s="15">
        <f t="shared" si="182"/>
        <v>0</v>
      </c>
    </row>
    <row r="197" spans="1:107">
      <c r="A197" s="14">
        <v>154</v>
      </c>
      <c r="B197" s="15">
        <f t="shared" si="138"/>
        <v>13</v>
      </c>
      <c r="C197" s="16">
        <f>(1+INDEX('1 - Input'!$B$34:$E$63,B197,'1 - Input'!$B$16))^(1/12)-1</f>
        <v>4.1219243192651689E-3</v>
      </c>
      <c r="D197" s="17">
        <f>'1 - Input'!$B$7*(1+'1 - Input'!$B$12)^(B197-1)</f>
        <v>3424.252845318872</v>
      </c>
      <c r="E197" s="17">
        <f t="shared" si="183"/>
        <v>120697.56532727439</v>
      </c>
      <c r="F197" s="17">
        <f t="shared" si="184"/>
        <v>203517.98617036163</v>
      </c>
      <c r="G197" s="17">
        <f t="shared" si="139"/>
        <v>121195.07155707298</v>
      </c>
      <c r="H197" s="17">
        <f>IF(G197&gt;0,'1 - Input'!$B$8/12*G197,0)</f>
        <v>908.96303667804727</v>
      </c>
      <c r="I197" s="17">
        <f t="shared" si="140"/>
        <v>120286.10852039493</v>
      </c>
      <c r="J197" s="17">
        <f t="shared" si="141"/>
        <v>0</v>
      </c>
      <c r="K197" s="17">
        <f>'1 - Input'!$B$22*(H197-J197)</f>
        <v>236.3303895362923</v>
      </c>
      <c r="L197" s="17">
        <f t="shared" si="142"/>
        <v>672.632647141755</v>
      </c>
      <c r="M197" s="17">
        <f t="shared" si="143"/>
        <v>203517.98617036163</v>
      </c>
      <c r="N197" s="17">
        <f>IF('1 - Input'!$B$17=1,MAX(0,L197-D197),0)</f>
        <v>0</v>
      </c>
      <c r="O197" s="17">
        <f>IF('1 - Input'!$B$17=1,MAX(0,D197-L197),0)</f>
        <v>2751.6201981771169</v>
      </c>
      <c r="P197" s="17">
        <f t="shared" si="144"/>
        <v>0</v>
      </c>
      <c r="Q197" s="17">
        <f>IF(AND(O197&gt;0,I197&gt;0),O197/(1-'1 - Input'!$B$22*P197),0)</f>
        <v>2751.6201981771169</v>
      </c>
      <c r="R197" s="17">
        <f t="shared" si="145"/>
        <v>2751.6201981771169</v>
      </c>
      <c r="S197" s="17">
        <f>'1 - Input'!$B$22*P197*R197</f>
        <v>0</v>
      </c>
      <c r="T197" s="17">
        <f t="shared" si="146"/>
        <v>2751.6201981771169</v>
      </c>
      <c r="U197" s="17">
        <f t="shared" si="147"/>
        <v>0</v>
      </c>
      <c r="V197" s="17">
        <f t="shared" si="148"/>
        <v>1903.9814197249832</v>
      </c>
      <c r="W197" s="17">
        <f t="shared" si="149"/>
        <v>117534.48832221782</v>
      </c>
      <c r="X197" s="17">
        <f t="shared" si="150"/>
        <v>198862.38455245952</v>
      </c>
      <c r="Y197" s="17">
        <f>IF(MOD(A197,12)=0,W197*'1 - Input'!$B$23,0)</f>
        <v>0</v>
      </c>
      <c r="Z197" s="17">
        <f t="shared" si="151"/>
        <v>117534.48832221782</v>
      </c>
      <c r="AA197" s="17">
        <f>IF(MOD(A197,12)=0,X197*(1-'1 - Input'!$B$23),X197)</f>
        <v>198862.38455245952</v>
      </c>
      <c r="AB197" s="17">
        <f>IF('1 - Input'!$B$17=1,MIN(L197,D197)+T197,L197)</f>
        <v>3424.252845318872</v>
      </c>
      <c r="AC197" s="17">
        <f t="shared" si="185"/>
        <v>468794.23564451217</v>
      </c>
      <c r="AD197" s="17">
        <f t="shared" si="186"/>
        <v>97298.145797970516</v>
      </c>
      <c r="AE197" s="17">
        <f t="shared" si="187"/>
        <v>0</v>
      </c>
      <c r="AF197" s="17">
        <f t="shared" si="188"/>
        <v>86064.991907851334</v>
      </c>
      <c r="AG197" s="17">
        <f t="shared" si="189"/>
        <v>7698.3910801736747</v>
      </c>
      <c r="AH197" s="17">
        <f t="shared" si="190"/>
        <v>0</v>
      </c>
      <c r="AI197" s="15">
        <f t="shared" si="152"/>
        <v>0</v>
      </c>
      <c r="AK197" s="14">
        <v>154</v>
      </c>
      <c r="AL197" s="15">
        <f t="shared" si="153"/>
        <v>13</v>
      </c>
      <c r="AM197" s="16">
        <f>(1+INDEX('1 - Input'!$B$34:$E$63,AL197,'1 - Input'!$B$16))^(1/12)-1</f>
        <v>4.1219243192651689E-3</v>
      </c>
      <c r="AN197" s="17">
        <f>'1 - Input'!$B$7*(1+'1 - Input'!$B$12)^(AL197-1)</f>
        <v>3424.252845318872</v>
      </c>
      <c r="AO197" s="17">
        <f t="shared" si="191"/>
        <v>120697.56532727439</v>
      </c>
      <c r="AP197" s="17">
        <f t="shared" si="192"/>
        <v>203517.98617036163</v>
      </c>
      <c r="AQ197" s="17">
        <f t="shared" si="154"/>
        <v>121195.07155707298</v>
      </c>
      <c r="AR197" s="17">
        <f>IF(AQ197&gt;0,'1 - Input'!$B$8/12*AQ197,0)</f>
        <v>908.96303667804727</v>
      </c>
      <c r="AS197" s="17">
        <f t="shared" si="155"/>
        <v>120286.10852039493</v>
      </c>
      <c r="AT197" s="17">
        <f t="shared" si="156"/>
        <v>0</v>
      </c>
      <c r="AU197" s="17">
        <f>'1 - Input'!$B$22*(AR197-AT197)</f>
        <v>236.3303895362923</v>
      </c>
      <c r="AV197" s="17">
        <f t="shared" si="157"/>
        <v>672.632647141755</v>
      </c>
      <c r="AW197" s="17">
        <f t="shared" si="158"/>
        <v>203517.98617036163</v>
      </c>
      <c r="AX197" s="17">
        <f>IF('1 - Input'!$B$17=1,MAX(0,AV197-AN197),0)</f>
        <v>0</v>
      </c>
      <c r="AY197" s="17">
        <f>IF('1 - Input'!$B$17=1,MAX(0,AN197-AV197),0)</f>
        <v>2751.6201981771169</v>
      </c>
      <c r="AZ197" s="17">
        <f t="shared" si="159"/>
        <v>0</v>
      </c>
      <c r="BA197" s="17">
        <f>IF(AND(AY197&gt;0,AS197&gt;0),AY197/(1-'1 - Input'!$B$22*AZ197),0)</f>
        <v>2751.6201981771169</v>
      </c>
      <c r="BB197" s="17">
        <f t="shared" si="160"/>
        <v>2751.6201981771169</v>
      </c>
      <c r="BC197" s="17">
        <f>'1 - Input'!$B$22*AZ197*BB197</f>
        <v>0</v>
      </c>
      <c r="BD197" s="17">
        <f t="shared" si="161"/>
        <v>2751.6201981771169</v>
      </c>
      <c r="BE197" s="17">
        <f t="shared" si="162"/>
        <v>0</v>
      </c>
      <c r="BF197" s="17">
        <f t="shared" si="163"/>
        <v>1903.9814197249832</v>
      </c>
      <c r="BG197" s="17">
        <f t="shared" si="164"/>
        <v>117534.48832221782</v>
      </c>
      <c r="BH197" s="17">
        <f t="shared" si="165"/>
        <v>198862.38455245952</v>
      </c>
      <c r="BI197" s="17">
        <f>IF(MOD(AK197,12)=0,BG197*'1 - Input'!$B$23,0)</f>
        <v>0</v>
      </c>
      <c r="BJ197" s="17">
        <f t="shared" si="166"/>
        <v>117534.48832221782</v>
      </c>
      <c r="BK197" s="17">
        <f>IF(MOD(AK197,12)=0,BH197*(1-'1 - Input'!$B$23),BH197)</f>
        <v>198862.38455245952</v>
      </c>
      <c r="BL197" s="17">
        <f>IF('1 - Input'!$B$17=1,MIN(AV197,AN197)+BD197,AV197)</f>
        <v>3424.252845318872</v>
      </c>
      <c r="BM197" s="17">
        <f t="shared" si="193"/>
        <v>468794.23564451217</v>
      </c>
      <c r="BN197" s="17">
        <f t="shared" si="194"/>
        <v>97298.145797970516</v>
      </c>
      <c r="BO197" s="17">
        <f t="shared" si="195"/>
        <v>0</v>
      </c>
      <c r="BP197" s="17">
        <f t="shared" si="196"/>
        <v>86064.991907851334</v>
      </c>
      <c r="BQ197" s="17">
        <f t="shared" si="197"/>
        <v>7698.3910801736747</v>
      </c>
      <c r="BR197" s="17">
        <f t="shared" si="198"/>
        <v>0</v>
      </c>
      <c r="BS197" s="15">
        <f t="shared" si="167"/>
        <v>0</v>
      </c>
      <c r="BU197" s="14">
        <v>154</v>
      </c>
      <c r="BV197" s="15">
        <f t="shared" si="168"/>
        <v>13</v>
      </c>
      <c r="BW197" s="16">
        <f>(1+INDEX('1 - Input'!$B$34:$E$63,BV197,'1 - Input'!$B$16))^(1/12)-1</f>
        <v>4.1219243192651689E-3</v>
      </c>
      <c r="BX197" s="17">
        <f>'1 - Input'!$B$7*(1+'1 - Input'!$B$12)^(BV197-1)</f>
        <v>3424.252845318872</v>
      </c>
      <c r="BY197" s="17">
        <f t="shared" si="199"/>
        <v>249163.05077451255</v>
      </c>
      <c r="BZ197" s="17">
        <f t="shared" si="200"/>
        <v>46466.892211040118</v>
      </c>
      <c r="CA197" s="17">
        <f t="shared" si="169"/>
        <v>250190.08201296232</v>
      </c>
      <c r="CB197" s="17">
        <f>IF(CA197&gt;0,'1 - Input'!$B$8/12*CA197,0)</f>
        <v>1876.4256150972174</v>
      </c>
      <c r="CC197" s="17">
        <f t="shared" si="170"/>
        <v>248313.6563978651</v>
      </c>
      <c r="CD197" s="17">
        <f t="shared" si="171"/>
        <v>1876.4256150972174</v>
      </c>
      <c r="CE197" s="17">
        <f>'1 - Input'!$B$22*(CB197-CD197)</f>
        <v>0</v>
      </c>
      <c r="CF197" s="17">
        <f t="shared" si="172"/>
        <v>1876.4256150972174</v>
      </c>
      <c r="CG197" s="17">
        <f t="shared" si="173"/>
        <v>44590.466595942904</v>
      </c>
      <c r="CH197" s="17">
        <f>IF('1 - Input'!$B$17=1,MAX(0,CF197-BX197),0)</f>
        <v>0</v>
      </c>
      <c r="CI197" s="17">
        <f>IF('1 - Input'!$B$17=1,MAX(0,BX197-CF197),0)</f>
        <v>1547.8272302216546</v>
      </c>
      <c r="CJ197" s="17">
        <f t="shared" si="174"/>
        <v>0.82042684545510047</v>
      </c>
      <c r="CK197" s="17">
        <f>IF(AND(CI197&gt;0,CC197&gt;0),CI197/(1-'1 - Input'!$B$22*CJ197),0)</f>
        <v>1967.5210795038267</v>
      </c>
      <c r="CL197" s="17">
        <f t="shared" si="175"/>
        <v>1967.5210795038267</v>
      </c>
      <c r="CM197" s="17">
        <f>'1 - Input'!$B$22*CJ197*CL197</f>
        <v>419.69384928217204</v>
      </c>
      <c r="CN197" s="17">
        <f t="shared" si="176"/>
        <v>1547.8272302216546</v>
      </c>
      <c r="CO197" s="17">
        <f t="shared" si="177"/>
        <v>0</v>
      </c>
      <c r="CP197" s="17">
        <f t="shared" si="178"/>
        <v>0</v>
      </c>
      <c r="CQ197" s="17">
        <f t="shared" si="179"/>
        <v>246346.13531836128</v>
      </c>
      <c r="CR197" s="17">
        <f t="shared" si="180"/>
        <v>44237.152629062817</v>
      </c>
      <c r="CS197" s="17">
        <f>IF(MOD(BU197,12)=0,CQ197*'1 - Input'!$B$23,0)</f>
        <v>0</v>
      </c>
      <c r="CT197" s="17">
        <f t="shared" si="181"/>
        <v>246346.13531836128</v>
      </c>
      <c r="CU197" s="17">
        <f>IF(MOD(BU197,12)=0,CR197*(1-'1 - Input'!$B$23),CR197)</f>
        <v>44237.152629062817</v>
      </c>
      <c r="CV197" s="17">
        <f>IF('1 - Input'!$B$17=1,MIN(CF197,BX197)+CN197,CF197)</f>
        <v>3424.252845318872</v>
      </c>
      <c r="CW197" s="17">
        <f t="shared" si="201"/>
        <v>468794.23564451217</v>
      </c>
      <c r="CX197" s="17">
        <f t="shared" si="202"/>
        <v>0</v>
      </c>
      <c r="CY197" s="17">
        <f t="shared" si="203"/>
        <v>11512.173596583834</v>
      </c>
      <c r="CZ197" s="17">
        <f t="shared" si="204"/>
        <v>0</v>
      </c>
      <c r="DA197" s="17">
        <f t="shared" si="205"/>
        <v>9433.3616040642792</v>
      </c>
      <c r="DB197" s="17">
        <f t="shared" si="206"/>
        <v>0</v>
      </c>
      <c r="DC197" s="15">
        <f t="shared" si="182"/>
        <v>0</v>
      </c>
    </row>
    <row r="198" spans="1:107">
      <c r="A198" s="14">
        <v>155</v>
      </c>
      <c r="B198" s="15">
        <f t="shared" si="138"/>
        <v>13</v>
      </c>
      <c r="C198" s="16">
        <f>(1+INDEX('1 - Input'!$B$34:$E$63,B198,'1 - Input'!$B$16))^(1/12)-1</f>
        <v>4.1219243192651689E-3</v>
      </c>
      <c r="D198" s="17">
        <f>'1 - Input'!$B$7*(1+'1 - Input'!$B$12)^(B198-1)</f>
        <v>3424.252845318872</v>
      </c>
      <c r="E198" s="17">
        <f t="shared" si="183"/>
        <v>117534.48832221782</v>
      </c>
      <c r="F198" s="17">
        <f t="shared" si="184"/>
        <v>198862.38455245952</v>
      </c>
      <c r="G198" s="17">
        <f t="shared" si="139"/>
        <v>118018.95658798555</v>
      </c>
      <c r="H198" s="17">
        <f>IF(G198&gt;0,'1 - Input'!$B$8/12*G198,0)</f>
        <v>885.1421744098916</v>
      </c>
      <c r="I198" s="17">
        <f t="shared" si="140"/>
        <v>117133.81441357566</v>
      </c>
      <c r="J198" s="17">
        <f t="shared" si="141"/>
        <v>0</v>
      </c>
      <c r="K198" s="17">
        <f>'1 - Input'!$B$22*(H198-J198)</f>
        <v>230.13696534657183</v>
      </c>
      <c r="L198" s="17">
        <f t="shared" si="142"/>
        <v>655.00520906331974</v>
      </c>
      <c r="M198" s="17">
        <f t="shared" si="143"/>
        <v>198862.38455245952</v>
      </c>
      <c r="N198" s="17">
        <f>IF('1 - Input'!$B$17=1,MAX(0,L198-D198),0)</f>
        <v>0</v>
      </c>
      <c r="O198" s="17">
        <f>IF('1 - Input'!$B$17=1,MAX(0,D198-L198),0)</f>
        <v>2769.2476362555522</v>
      </c>
      <c r="P198" s="17">
        <f t="shared" si="144"/>
        <v>0</v>
      </c>
      <c r="Q198" s="17">
        <f>IF(AND(O198&gt;0,I198&gt;0),O198/(1-'1 - Input'!$B$22*P198),0)</f>
        <v>2769.2476362555522</v>
      </c>
      <c r="R198" s="17">
        <f t="shared" si="145"/>
        <v>2769.2476362555522</v>
      </c>
      <c r="S198" s="17">
        <f>'1 - Input'!$B$22*P198*R198</f>
        <v>0</v>
      </c>
      <c r="T198" s="17">
        <f t="shared" si="146"/>
        <v>2769.2476362555522</v>
      </c>
      <c r="U198" s="17">
        <f t="shared" si="147"/>
        <v>0</v>
      </c>
      <c r="V198" s="17">
        <f t="shared" si="148"/>
        <v>1932.205920252344</v>
      </c>
      <c r="W198" s="17">
        <f t="shared" si="149"/>
        <v>114364.56677732011</v>
      </c>
      <c r="X198" s="17">
        <f t="shared" si="150"/>
        <v>194160.93099595164</v>
      </c>
      <c r="Y198" s="17">
        <f>IF(MOD(A198,12)=0,W198*'1 - Input'!$B$23,0)</f>
        <v>0</v>
      </c>
      <c r="Z198" s="17">
        <f t="shared" si="151"/>
        <v>114364.56677732011</v>
      </c>
      <c r="AA198" s="17">
        <f>IF(MOD(A198,12)=0,X198*(1-'1 - Input'!$B$23),X198)</f>
        <v>194160.93099595164</v>
      </c>
      <c r="AB198" s="17">
        <f>IF('1 - Input'!$B$17=1,MIN(L198,D198)+T198,L198)</f>
        <v>3424.252845318872</v>
      </c>
      <c r="AC198" s="17">
        <f t="shared" si="185"/>
        <v>472218.48848983104</v>
      </c>
      <c r="AD198" s="17">
        <f t="shared" si="186"/>
        <v>97528.282763317082</v>
      </c>
      <c r="AE198" s="17">
        <f t="shared" si="187"/>
        <v>0</v>
      </c>
      <c r="AF198" s="17">
        <f t="shared" si="188"/>
        <v>87997.197828103672</v>
      </c>
      <c r="AG198" s="17">
        <f t="shared" si="189"/>
        <v>7698.3910801736747</v>
      </c>
      <c r="AH198" s="17">
        <f t="shared" si="190"/>
        <v>0</v>
      </c>
      <c r="AI198" s="15">
        <f t="shared" si="152"/>
        <v>0</v>
      </c>
      <c r="AK198" s="14">
        <v>155</v>
      </c>
      <c r="AL198" s="15">
        <f t="shared" si="153"/>
        <v>13</v>
      </c>
      <c r="AM198" s="16">
        <f>(1+INDEX('1 - Input'!$B$34:$E$63,AL198,'1 - Input'!$B$16))^(1/12)-1</f>
        <v>4.1219243192651689E-3</v>
      </c>
      <c r="AN198" s="17">
        <f>'1 - Input'!$B$7*(1+'1 - Input'!$B$12)^(AL198-1)</f>
        <v>3424.252845318872</v>
      </c>
      <c r="AO198" s="17">
        <f t="shared" si="191"/>
        <v>117534.48832221782</v>
      </c>
      <c r="AP198" s="17">
        <f t="shared" si="192"/>
        <v>198862.38455245952</v>
      </c>
      <c r="AQ198" s="17">
        <f t="shared" si="154"/>
        <v>118018.95658798555</v>
      </c>
      <c r="AR198" s="17">
        <f>IF(AQ198&gt;0,'1 - Input'!$B$8/12*AQ198,0)</f>
        <v>885.1421744098916</v>
      </c>
      <c r="AS198" s="17">
        <f t="shared" si="155"/>
        <v>117133.81441357566</v>
      </c>
      <c r="AT198" s="17">
        <f t="shared" si="156"/>
        <v>0</v>
      </c>
      <c r="AU198" s="17">
        <f>'1 - Input'!$B$22*(AR198-AT198)</f>
        <v>230.13696534657183</v>
      </c>
      <c r="AV198" s="17">
        <f t="shared" si="157"/>
        <v>655.00520906331974</v>
      </c>
      <c r="AW198" s="17">
        <f t="shared" si="158"/>
        <v>198862.38455245952</v>
      </c>
      <c r="AX198" s="17">
        <f>IF('1 - Input'!$B$17=1,MAX(0,AV198-AN198),0)</f>
        <v>0</v>
      </c>
      <c r="AY198" s="17">
        <f>IF('1 - Input'!$B$17=1,MAX(0,AN198-AV198),0)</f>
        <v>2769.2476362555522</v>
      </c>
      <c r="AZ198" s="17">
        <f t="shared" si="159"/>
        <v>0</v>
      </c>
      <c r="BA198" s="17">
        <f>IF(AND(AY198&gt;0,AS198&gt;0),AY198/(1-'1 - Input'!$B$22*AZ198),0)</f>
        <v>2769.2476362555522</v>
      </c>
      <c r="BB198" s="17">
        <f t="shared" si="160"/>
        <v>2769.2476362555522</v>
      </c>
      <c r="BC198" s="17">
        <f>'1 - Input'!$B$22*AZ198*BB198</f>
        <v>0</v>
      </c>
      <c r="BD198" s="17">
        <f t="shared" si="161"/>
        <v>2769.2476362555522</v>
      </c>
      <c r="BE198" s="17">
        <f t="shared" si="162"/>
        <v>0</v>
      </c>
      <c r="BF198" s="17">
        <f t="shared" si="163"/>
        <v>1932.205920252344</v>
      </c>
      <c r="BG198" s="17">
        <f t="shared" si="164"/>
        <v>114364.56677732011</v>
      </c>
      <c r="BH198" s="17">
        <f t="shared" si="165"/>
        <v>194160.93099595164</v>
      </c>
      <c r="BI198" s="17">
        <f>IF(MOD(AK198,12)=0,BG198*'1 - Input'!$B$23,0)</f>
        <v>0</v>
      </c>
      <c r="BJ198" s="17">
        <f t="shared" si="166"/>
        <v>114364.56677732011</v>
      </c>
      <c r="BK198" s="17">
        <f>IF(MOD(AK198,12)=0,BH198*(1-'1 - Input'!$B$23),BH198)</f>
        <v>194160.93099595164</v>
      </c>
      <c r="BL198" s="17">
        <f>IF('1 - Input'!$B$17=1,MIN(AV198,AN198)+BD198,AV198)</f>
        <v>3424.252845318872</v>
      </c>
      <c r="BM198" s="17">
        <f t="shared" si="193"/>
        <v>472218.48848983104</v>
      </c>
      <c r="BN198" s="17">
        <f t="shared" si="194"/>
        <v>97528.282763317082</v>
      </c>
      <c r="BO198" s="17">
        <f t="shared" si="195"/>
        <v>0</v>
      </c>
      <c r="BP198" s="17">
        <f t="shared" si="196"/>
        <v>87997.197828103672</v>
      </c>
      <c r="BQ198" s="17">
        <f t="shared" si="197"/>
        <v>7698.3910801736747</v>
      </c>
      <c r="BR198" s="17">
        <f t="shared" si="198"/>
        <v>0</v>
      </c>
      <c r="BS198" s="15">
        <f t="shared" si="167"/>
        <v>0</v>
      </c>
      <c r="BU198" s="14">
        <v>155</v>
      </c>
      <c r="BV198" s="15">
        <f t="shared" si="168"/>
        <v>13</v>
      </c>
      <c r="BW198" s="16">
        <f>(1+INDEX('1 - Input'!$B$34:$E$63,BV198,'1 - Input'!$B$16))^(1/12)-1</f>
        <v>4.1219243192651689E-3</v>
      </c>
      <c r="BX198" s="17">
        <f>'1 - Input'!$B$7*(1+'1 - Input'!$B$12)^(BV198-1)</f>
        <v>3424.252845318872</v>
      </c>
      <c r="BY198" s="17">
        <f t="shared" si="199"/>
        <v>246346.13531836128</v>
      </c>
      <c r="BZ198" s="17">
        <f t="shared" si="200"/>
        <v>44237.152629062817</v>
      </c>
      <c r="CA198" s="17">
        <f t="shared" si="169"/>
        <v>247361.55544448702</v>
      </c>
      <c r="CB198" s="17">
        <f>IF(CA198&gt;0,'1 - Input'!$B$8/12*CA198,0)</f>
        <v>1855.2116658336527</v>
      </c>
      <c r="CC198" s="17">
        <f t="shared" si="170"/>
        <v>245506.34377865336</v>
      </c>
      <c r="CD198" s="17">
        <f t="shared" si="171"/>
        <v>1855.2116658336527</v>
      </c>
      <c r="CE198" s="17">
        <f>'1 - Input'!$B$22*(CB198-CD198)</f>
        <v>0</v>
      </c>
      <c r="CF198" s="17">
        <f t="shared" si="172"/>
        <v>1855.2116658336527</v>
      </c>
      <c r="CG198" s="17">
        <f t="shared" si="173"/>
        <v>42381.940963229164</v>
      </c>
      <c r="CH198" s="17">
        <f>IF('1 - Input'!$B$17=1,MAX(0,CF198-BX198),0)</f>
        <v>0</v>
      </c>
      <c r="CI198" s="17">
        <f>IF('1 - Input'!$B$17=1,MAX(0,BX198-CF198),0)</f>
        <v>1569.0411794852193</v>
      </c>
      <c r="CJ198" s="17">
        <f t="shared" si="174"/>
        <v>0.82736926341324857</v>
      </c>
      <c r="CK198" s="17">
        <f>IF(AND(CI198&gt;0,CC198&gt;0),CI198/(1-'1 - Input'!$B$22*CJ198),0)</f>
        <v>1999.0739987721106</v>
      </c>
      <c r="CL198" s="17">
        <f t="shared" si="175"/>
        <v>1999.0739987721106</v>
      </c>
      <c r="CM198" s="17">
        <f>'1 - Input'!$B$22*CJ198*CL198</f>
        <v>430.03281928689125</v>
      </c>
      <c r="CN198" s="17">
        <f t="shared" si="176"/>
        <v>1569.0411794852193</v>
      </c>
      <c r="CO198" s="17">
        <f t="shared" si="177"/>
        <v>0</v>
      </c>
      <c r="CP198" s="17">
        <f t="shared" si="178"/>
        <v>0</v>
      </c>
      <c r="CQ198" s="17">
        <f t="shared" si="179"/>
        <v>243507.26977988126</v>
      </c>
      <c r="CR198" s="17">
        <f t="shared" si="180"/>
        <v>42036.839346329711</v>
      </c>
      <c r="CS198" s="17">
        <f>IF(MOD(BU198,12)=0,CQ198*'1 - Input'!$B$23,0)</f>
        <v>0</v>
      </c>
      <c r="CT198" s="17">
        <f t="shared" si="181"/>
        <v>243507.26977988126</v>
      </c>
      <c r="CU198" s="17">
        <f>IF(MOD(BU198,12)=0,CR198*(1-'1 - Input'!$B$23),CR198)</f>
        <v>42036.839346329711</v>
      </c>
      <c r="CV198" s="17">
        <f>IF('1 - Input'!$B$17=1,MIN(CF198,BX198)+CN198,CF198)</f>
        <v>3424.252845318872</v>
      </c>
      <c r="CW198" s="17">
        <f t="shared" si="201"/>
        <v>472218.48848983104</v>
      </c>
      <c r="CX198" s="17">
        <f t="shared" si="202"/>
        <v>0</v>
      </c>
      <c r="CY198" s="17">
        <f t="shared" si="203"/>
        <v>11942.206415870725</v>
      </c>
      <c r="CZ198" s="17">
        <f t="shared" si="204"/>
        <v>0</v>
      </c>
      <c r="DA198" s="17">
        <f t="shared" si="205"/>
        <v>9433.3616040642792</v>
      </c>
      <c r="DB198" s="17">
        <f t="shared" si="206"/>
        <v>0</v>
      </c>
      <c r="DC198" s="15">
        <f t="shared" si="182"/>
        <v>0</v>
      </c>
    </row>
    <row r="199" spans="1:107">
      <c r="A199" s="14">
        <v>156</v>
      </c>
      <c r="B199" s="15">
        <f t="shared" si="138"/>
        <v>13</v>
      </c>
      <c r="C199" s="16">
        <f>(1+INDEX('1 - Input'!$B$34:$E$63,B199,'1 - Input'!$B$16))^(1/12)-1</f>
        <v>4.1219243192651689E-3</v>
      </c>
      <c r="D199" s="17">
        <f>'1 - Input'!$B$7*(1+'1 - Input'!$B$12)^(B199-1)</f>
        <v>3424.252845318872</v>
      </c>
      <c r="E199" s="17">
        <f t="shared" si="183"/>
        <v>114364.56677732011</v>
      </c>
      <c r="F199" s="17">
        <f t="shared" si="184"/>
        <v>194160.93099595164</v>
      </c>
      <c r="G199" s="17">
        <f t="shared" si="139"/>
        <v>114835.96886638178</v>
      </c>
      <c r="H199" s="17">
        <f>IF(G199&gt;0,'1 - Input'!$B$8/12*G199,0)</f>
        <v>861.26976649786332</v>
      </c>
      <c r="I199" s="17">
        <f t="shared" si="140"/>
        <v>113974.69909988392</v>
      </c>
      <c r="J199" s="17">
        <f t="shared" si="141"/>
        <v>0</v>
      </c>
      <c r="K199" s="17">
        <f>'1 - Input'!$B$22*(H199-J199)</f>
        <v>223.93013928944447</v>
      </c>
      <c r="L199" s="17">
        <f t="shared" si="142"/>
        <v>637.33962720841885</v>
      </c>
      <c r="M199" s="17">
        <f t="shared" si="143"/>
        <v>194160.93099595164</v>
      </c>
      <c r="N199" s="17">
        <f>IF('1 - Input'!$B$17=1,MAX(0,L199-D199),0)</f>
        <v>0</v>
      </c>
      <c r="O199" s="17">
        <f>IF('1 - Input'!$B$17=1,MAX(0,D199-L199),0)</f>
        <v>2786.9132181104533</v>
      </c>
      <c r="P199" s="17">
        <f t="shared" si="144"/>
        <v>0</v>
      </c>
      <c r="Q199" s="17">
        <f>IF(AND(O199&gt;0,I199&gt;0),O199/(1-'1 - Input'!$B$22*P199),0)</f>
        <v>2786.9132181104533</v>
      </c>
      <c r="R199" s="17">
        <f t="shared" si="145"/>
        <v>2786.9132181104533</v>
      </c>
      <c r="S199" s="17">
        <f>'1 - Input'!$B$22*P199*R199</f>
        <v>0</v>
      </c>
      <c r="T199" s="17">
        <f t="shared" si="146"/>
        <v>2786.9132181104533</v>
      </c>
      <c r="U199" s="17">
        <f t="shared" si="147"/>
        <v>0</v>
      </c>
      <c r="V199" s="17">
        <f t="shared" si="148"/>
        <v>1960.7164690628147</v>
      </c>
      <c r="W199" s="17">
        <f t="shared" si="149"/>
        <v>111187.78588177347</v>
      </c>
      <c r="X199" s="17">
        <f t="shared" si="150"/>
        <v>189413.30130877838</v>
      </c>
      <c r="Y199" s="17">
        <f>IF(MOD(A199,12)=0,W199*'1 - Input'!$B$23,0)</f>
        <v>222.37557176354693</v>
      </c>
      <c r="Z199" s="17">
        <f t="shared" si="151"/>
        <v>110965.41031000992</v>
      </c>
      <c r="AA199" s="17">
        <f>IF(MOD(A199,12)=0,X199*(1-'1 - Input'!$B$23),X199)</f>
        <v>189034.47470616081</v>
      </c>
      <c r="AB199" s="17">
        <f>IF('1 - Input'!$B$17=1,MIN(L199,D199)+T199,L199)</f>
        <v>3424.252845318872</v>
      </c>
      <c r="AC199" s="17">
        <f t="shared" si="185"/>
        <v>475642.74133514991</v>
      </c>
      <c r="AD199" s="17">
        <f t="shared" si="186"/>
        <v>97752.212902606523</v>
      </c>
      <c r="AE199" s="17">
        <f t="shared" si="187"/>
        <v>0</v>
      </c>
      <c r="AF199" s="17">
        <f t="shared" si="188"/>
        <v>89957.914297166484</v>
      </c>
      <c r="AG199" s="17">
        <f t="shared" si="189"/>
        <v>7920.7666519372215</v>
      </c>
      <c r="AH199" s="17">
        <f t="shared" si="190"/>
        <v>0</v>
      </c>
      <c r="AI199" s="15">
        <f t="shared" si="152"/>
        <v>0</v>
      </c>
      <c r="AK199" s="14">
        <v>156</v>
      </c>
      <c r="AL199" s="15">
        <f t="shared" si="153"/>
        <v>13</v>
      </c>
      <c r="AM199" s="16">
        <f>(1+INDEX('1 - Input'!$B$34:$E$63,AL199,'1 - Input'!$B$16))^(1/12)-1</f>
        <v>4.1219243192651689E-3</v>
      </c>
      <c r="AN199" s="17">
        <f>'1 - Input'!$B$7*(1+'1 - Input'!$B$12)^(AL199-1)</f>
        <v>3424.252845318872</v>
      </c>
      <c r="AO199" s="17">
        <f t="shared" si="191"/>
        <v>114364.56677732011</v>
      </c>
      <c r="AP199" s="17">
        <f t="shared" si="192"/>
        <v>194160.93099595164</v>
      </c>
      <c r="AQ199" s="17">
        <f t="shared" si="154"/>
        <v>114835.96886638178</v>
      </c>
      <c r="AR199" s="17">
        <f>IF(AQ199&gt;0,'1 - Input'!$B$8/12*AQ199,0)</f>
        <v>861.26976649786332</v>
      </c>
      <c r="AS199" s="17">
        <f t="shared" si="155"/>
        <v>113974.69909988392</v>
      </c>
      <c r="AT199" s="17">
        <f t="shared" si="156"/>
        <v>0</v>
      </c>
      <c r="AU199" s="17">
        <f>'1 - Input'!$B$22*(AR199-AT199)</f>
        <v>223.93013928944447</v>
      </c>
      <c r="AV199" s="17">
        <f t="shared" si="157"/>
        <v>637.33962720841885</v>
      </c>
      <c r="AW199" s="17">
        <f t="shared" si="158"/>
        <v>194160.93099595164</v>
      </c>
      <c r="AX199" s="17">
        <f>IF('1 - Input'!$B$17=1,MAX(0,AV199-AN199),0)</f>
        <v>0</v>
      </c>
      <c r="AY199" s="17">
        <f>IF('1 - Input'!$B$17=1,MAX(0,AN199-AV199),0)</f>
        <v>2786.9132181104533</v>
      </c>
      <c r="AZ199" s="17">
        <f t="shared" si="159"/>
        <v>0</v>
      </c>
      <c r="BA199" s="17">
        <f>IF(AND(AY199&gt;0,AS199&gt;0),AY199/(1-'1 - Input'!$B$22*AZ199),0)</f>
        <v>2786.9132181104533</v>
      </c>
      <c r="BB199" s="17">
        <f t="shared" si="160"/>
        <v>2786.9132181104533</v>
      </c>
      <c r="BC199" s="17">
        <f>'1 - Input'!$B$22*AZ199*BB199</f>
        <v>0</v>
      </c>
      <c r="BD199" s="17">
        <f t="shared" si="161"/>
        <v>2786.9132181104533</v>
      </c>
      <c r="BE199" s="17">
        <f t="shared" si="162"/>
        <v>0</v>
      </c>
      <c r="BF199" s="17">
        <f t="shared" si="163"/>
        <v>1960.7164690628147</v>
      </c>
      <c r="BG199" s="17">
        <f t="shared" si="164"/>
        <v>111187.78588177347</v>
      </c>
      <c r="BH199" s="17">
        <f t="shared" si="165"/>
        <v>189413.30130877838</v>
      </c>
      <c r="BI199" s="17">
        <f>IF(MOD(AK199,12)=0,BG199*'1 - Input'!$B$23,0)</f>
        <v>222.37557176354693</v>
      </c>
      <c r="BJ199" s="17">
        <f t="shared" si="166"/>
        <v>110965.41031000992</v>
      </c>
      <c r="BK199" s="17">
        <f>IF(MOD(AK199,12)=0,BH199*(1-'1 - Input'!$B$23),BH199)</f>
        <v>189034.47470616081</v>
      </c>
      <c r="BL199" s="17">
        <f>IF('1 - Input'!$B$17=1,MIN(AV199,AN199)+BD199,AV199)</f>
        <v>3424.252845318872</v>
      </c>
      <c r="BM199" s="17">
        <f t="shared" si="193"/>
        <v>475642.74133514991</v>
      </c>
      <c r="BN199" s="17">
        <f t="shared" si="194"/>
        <v>97752.212902606523</v>
      </c>
      <c r="BO199" s="17">
        <f t="shared" si="195"/>
        <v>0</v>
      </c>
      <c r="BP199" s="17">
        <f t="shared" si="196"/>
        <v>89957.914297166484</v>
      </c>
      <c r="BQ199" s="17">
        <f t="shared" si="197"/>
        <v>7920.7666519372215</v>
      </c>
      <c r="BR199" s="17">
        <f t="shared" si="198"/>
        <v>0</v>
      </c>
      <c r="BS199" s="15">
        <f t="shared" si="167"/>
        <v>0</v>
      </c>
      <c r="BU199" s="14">
        <v>156</v>
      </c>
      <c r="BV199" s="15">
        <f t="shared" si="168"/>
        <v>13</v>
      </c>
      <c r="BW199" s="16">
        <f>(1+INDEX('1 - Input'!$B$34:$E$63,BV199,'1 - Input'!$B$16))^(1/12)-1</f>
        <v>4.1219243192651689E-3</v>
      </c>
      <c r="BX199" s="17">
        <f>'1 - Input'!$B$7*(1+'1 - Input'!$B$12)^(BV199-1)</f>
        <v>3424.252845318872</v>
      </c>
      <c r="BY199" s="17">
        <f t="shared" si="199"/>
        <v>243507.26977988126</v>
      </c>
      <c r="BZ199" s="17">
        <f t="shared" si="200"/>
        <v>42036.839346329711</v>
      </c>
      <c r="CA199" s="17">
        <f t="shared" si="169"/>
        <v>244510.98831710481</v>
      </c>
      <c r="CB199" s="17">
        <f>IF(CA199&gt;0,'1 - Input'!$B$8/12*CA199,0)</f>
        <v>1833.8324123782861</v>
      </c>
      <c r="CC199" s="17">
        <f t="shared" si="170"/>
        <v>242677.15590472653</v>
      </c>
      <c r="CD199" s="17">
        <f t="shared" si="171"/>
        <v>1833.8324123782861</v>
      </c>
      <c r="CE199" s="17">
        <f>'1 - Input'!$B$22*(CB199-CD199)</f>
        <v>0</v>
      </c>
      <c r="CF199" s="17">
        <f t="shared" si="172"/>
        <v>1833.8324123782861</v>
      </c>
      <c r="CG199" s="17">
        <f t="shared" si="173"/>
        <v>40203.006933951423</v>
      </c>
      <c r="CH199" s="17">
        <f>IF('1 - Input'!$B$17=1,MAX(0,CF199-BX199),0)</f>
        <v>0</v>
      </c>
      <c r="CI199" s="17">
        <f>IF('1 - Input'!$B$17=1,MAX(0,BX199-CF199),0)</f>
        <v>1590.4204329405859</v>
      </c>
      <c r="CJ199" s="17">
        <f t="shared" si="174"/>
        <v>0.83433542896087487</v>
      </c>
      <c r="CK199" s="17">
        <f>IF(AND(CI199&gt;0,CC199&gt;0),CI199/(1-'1 - Input'!$B$22*CJ199),0)</f>
        <v>2030.9994886269319</v>
      </c>
      <c r="CL199" s="17">
        <f t="shared" si="175"/>
        <v>2030.9994886269319</v>
      </c>
      <c r="CM199" s="17">
        <f>'1 - Input'!$B$22*CJ199*CL199</f>
        <v>440.5790556863459</v>
      </c>
      <c r="CN199" s="17">
        <f t="shared" si="176"/>
        <v>1590.4204329405861</v>
      </c>
      <c r="CO199" s="17">
        <f t="shared" si="177"/>
        <v>0</v>
      </c>
      <c r="CP199" s="17">
        <f t="shared" si="178"/>
        <v>0</v>
      </c>
      <c r="CQ199" s="17">
        <f t="shared" si="179"/>
        <v>240646.15641609961</v>
      </c>
      <c r="CR199" s="17">
        <f t="shared" si="180"/>
        <v>39866.542274887361</v>
      </c>
      <c r="CS199" s="17">
        <f>IF(MOD(BU199,12)=0,CQ199*'1 - Input'!$B$23,0)</f>
        <v>481.29231283219923</v>
      </c>
      <c r="CT199" s="17">
        <f t="shared" si="181"/>
        <v>240164.86410326741</v>
      </c>
      <c r="CU199" s="17">
        <f>IF(MOD(BU199,12)=0,CR199*(1-'1 - Input'!$B$23),CR199)</f>
        <v>39786.809190337583</v>
      </c>
      <c r="CV199" s="17">
        <f>IF('1 - Input'!$B$17=1,MIN(CF199,BX199)+CN199,CF199)</f>
        <v>3424.2528453188725</v>
      </c>
      <c r="CW199" s="17">
        <f t="shared" si="201"/>
        <v>475642.74133514991</v>
      </c>
      <c r="CX199" s="17">
        <f t="shared" si="202"/>
        <v>0</v>
      </c>
      <c r="CY199" s="17">
        <f t="shared" si="203"/>
        <v>12382.785471557072</v>
      </c>
      <c r="CZ199" s="17">
        <f t="shared" si="204"/>
        <v>0</v>
      </c>
      <c r="DA199" s="17">
        <f t="shared" si="205"/>
        <v>9914.6539168964791</v>
      </c>
      <c r="DB199" s="17">
        <f t="shared" si="206"/>
        <v>0</v>
      </c>
      <c r="DC199" s="15">
        <f t="shared" si="182"/>
        <v>0</v>
      </c>
    </row>
    <row r="200" spans="1:107">
      <c r="A200" s="14">
        <v>157</v>
      </c>
      <c r="B200" s="15">
        <f t="shared" si="138"/>
        <v>14</v>
      </c>
      <c r="C200" s="16">
        <f>(1+INDEX('1 - Input'!$B$34:$E$63,B200,'1 - Input'!$B$16))^(1/12)-1</f>
        <v>4.1219243192651689E-3</v>
      </c>
      <c r="D200" s="17">
        <f>'1 - Input'!$B$7*(1+'1 - Input'!$B$12)^(B200-1)</f>
        <v>3492.7379022252494</v>
      </c>
      <c r="E200" s="17">
        <f t="shared" si="183"/>
        <v>110965.41031000992</v>
      </c>
      <c r="F200" s="17">
        <f t="shared" si="184"/>
        <v>189034.47470616081</v>
      </c>
      <c r="G200" s="17">
        <f t="shared" si="139"/>
        <v>111422.80133336398</v>
      </c>
      <c r="H200" s="17">
        <f>IF(G200&gt;0,'1 - Input'!$B$8/12*G200,0)</f>
        <v>835.67101000022978</v>
      </c>
      <c r="I200" s="17">
        <f t="shared" si="140"/>
        <v>110587.13032336376</v>
      </c>
      <c r="J200" s="17">
        <f t="shared" si="141"/>
        <v>0</v>
      </c>
      <c r="K200" s="17">
        <f>'1 - Input'!$B$22*(H200-J200)</f>
        <v>217.27446260005976</v>
      </c>
      <c r="L200" s="17">
        <f t="shared" si="142"/>
        <v>618.39654740016999</v>
      </c>
      <c r="M200" s="17">
        <f t="shared" si="143"/>
        <v>189034.47470616081</v>
      </c>
      <c r="N200" s="17">
        <f>IF('1 - Input'!$B$17=1,MAX(0,L200-D200),0)</f>
        <v>0</v>
      </c>
      <c r="O200" s="17">
        <f>IF('1 - Input'!$B$17=1,MAX(0,D200-L200),0)</f>
        <v>2874.3413548250792</v>
      </c>
      <c r="P200" s="17">
        <f t="shared" si="144"/>
        <v>0</v>
      </c>
      <c r="Q200" s="17">
        <f>IF(AND(O200&gt;0,I200&gt;0),O200/(1-'1 - Input'!$B$22*P200),0)</f>
        <v>2874.3413548250792</v>
      </c>
      <c r="R200" s="17">
        <f t="shared" si="145"/>
        <v>2874.3413548250792</v>
      </c>
      <c r="S200" s="17">
        <f>'1 - Input'!$B$22*P200*R200</f>
        <v>0</v>
      </c>
      <c r="T200" s="17">
        <f t="shared" si="146"/>
        <v>2874.3413548250792</v>
      </c>
      <c r="U200" s="17">
        <f t="shared" si="147"/>
        <v>0</v>
      </c>
      <c r="V200" s="17">
        <f t="shared" si="148"/>
        <v>2038.975470982452</v>
      </c>
      <c r="W200" s="17">
        <f t="shared" si="149"/>
        <v>107712.78896853868</v>
      </c>
      <c r="X200" s="17">
        <f t="shared" si="150"/>
        <v>184121.15788035328</v>
      </c>
      <c r="Y200" s="17">
        <f>IF(MOD(A200,12)=0,W200*'1 - Input'!$B$23,0)</f>
        <v>0</v>
      </c>
      <c r="Z200" s="17">
        <f t="shared" si="151"/>
        <v>107712.78896853868</v>
      </c>
      <c r="AA200" s="17">
        <f>IF(MOD(A200,12)=0,X200*(1-'1 - Input'!$B$23),X200)</f>
        <v>184121.15788035328</v>
      </c>
      <c r="AB200" s="17">
        <f>IF('1 - Input'!$B$17=1,MIN(L200,D200)+T200,L200)</f>
        <v>3492.7379022252489</v>
      </c>
      <c r="AC200" s="17">
        <f t="shared" si="185"/>
        <v>479135.47923737514</v>
      </c>
      <c r="AD200" s="17">
        <f t="shared" si="186"/>
        <v>97969.487365206587</v>
      </c>
      <c r="AE200" s="17">
        <f t="shared" si="187"/>
        <v>0</v>
      </c>
      <c r="AF200" s="17">
        <f t="shared" si="188"/>
        <v>91996.889768148932</v>
      </c>
      <c r="AG200" s="17">
        <f t="shared" si="189"/>
        <v>7920.7666519372215</v>
      </c>
      <c r="AH200" s="17">
        <f t="shared" si="190"/>
        <v>0</v>
      </c>
      <c r="AI200" s="15">
        <f t="shared" si="152"/>
        <v>0</v>
      </c>
      <c r="AK200" s="14">
        <v>157</v>
      </c>
      <c r="AL200" s="15">
        <f t="shared" si="153"/>
        <v>14</v>
      </c>
      <c r="AM200" s="16">
        <f>(1+INDEX('1 - Input'!$B$34:$E$63,AL200,'1 - Input'!$B$16))^(1/12)-1</f>
        <v>4.1219243192651689E-3</v>
      </c>
      <c r="AN200" s="17">
        <f>'1 - Input'!$B$7*(1+'1 - Input'!$B$12)^(AL200-1)</f>
        <v>3492.7379022252494</v>
      </c>
      <c r="AO200" s="17">
        <f t="shared" si="191"/>
        <v>110965.41031000992</v>
      </c>
      <c r="AP200" s="17">
        <f t="shared" si="192"/>
        <v>189034.47470616081</v>
      </c>
      <c r="AQ200" s="17">
        <f t="shared" si="154"/>
        <v>111422.80133336398</v>
      </c>
      <c r="AR200" s="17">
        <f>IF(AQ200&gt;0,'1 - Input'!$B$8/12*AQ200,0)</f>
        <v>835.67101000022978</v>
      </c>
      <c r="AS200" s="17">
        <f t="shared" si="155"/>
        <v>110587.13032336376</v>
      </c>
      <c r="AT200" s="17">
        <f t="shared" si="156"/>
        <v>0</v>
      </c>
      <c r="AU200" s="17">
        <f>'1 - Input'!$B$22*(AR200-AT200)</f>
        <v>217.27446260005976</v>
      </c>
      <c r="AV200" s="17">
        <f t="shared" si="157"/>
        <v>618.39654740016999</v>
      </c>
      <c r="AW200" s="17">
        <f t="shared" si="158"/>
        <v>189034.47470616081</v>
      </c>
      <c r="AX200" s="17">
        <f>IF('1 - Input'!$B$17=1,MAX(0,AV200-AN200),0)</f>
        <v>0</v>
      </c>
      <c r="AY200" s="17">
        <f>IF('1 - Input'!$B$17=1,MAX(0,AN200-AV200),0)</f>
        <v>2874.3413548250792</v>
      </c>
      <c r="AZ200" s="17">
        <f t="shared" si="159"/>
        <v>0</v>
      </c>
      <c r="BA200" s="17">
        <f>IF(AND(AY200&gt;0,AS200&gt;0),AY200/(1-'1 - Input'!$B$22*AZ200),0)</f>
        <v>2874.3413548250792</v>
      </c>
      <c r="BB200" s="17">
        <f t="shared" si="160"/>
        <v>2874.3413548250792</v>
      </c>
      <c r="BC200" s="17">
        <f>'1 - Input'!$B$22*AZ200*BB200</f>
        <v>0</v>
      </c>
      <c r="BD200" s="17">
        <f t="shared" si="161"/>
        <v>2874.3413548250792</v>
      </c>
      <c r="BE200" s="17">
        <f t="shared" si="162"/>
        <v>0</v>
      </c>
      <c r="BF200" s="17">
        <f t="shared" si="163"/>
        <v>2038.975470982452</v>
      </c>
      <c r="BG200" s="17">
        <f t="shared" si="164"/>
        <v>107712.78896853868</v>
      </c>
      <c r="BH200" s="17">
        <f t="shared" si="165"/>
        <v>184121.15788035328</v>
      </c>
      <c r="BI200" s="17">
        <f>IF(MOD(AK200,12)=0,BG200*'1 - Input'!$B$23,0)</f>
        <v>0</v>
      </c>
      <c r="BJ200" s="17">
        <f t="shared" si="166"/>
        <v>107712.78896853868</v>
      </c>
      <c r="BK200" s="17">
        <f>IF(MOD(AK200,12)=0,BH200*(1-'1 - Input'!$B$23),BH200)</f>
        <v>184121.15788035328</v>
      </c>
      <c r="BL200" s="17">
        <f>IF('1 - Input'!$B$17=1,MIN(AV200,AN200)+BD200,AV200)</f>
        <v>3492.7379022252489</v>
      </c>
      <c r="BM200" s="17">
        <f t="shared" si="193"/>
        <v>479135.47923737514</v>
      </c>
      <c r="BN200" s="17">
        <f t="shared" si="194"/>
        <v>97969.487365206587</v>
      </c>
      <c r="BO200" s="17">
        <f t="shared" si="195"/>
        <v>0</v>
      </c>
      <c r="BP200" s="17">
        <f t="shared" si="196"/>
        <v>91996.889768148932</v>
      </c>
      <c r="BQ200" s="17">
        <f t="shared" si="197"/>
        <v>7920.7666519372215</v>
      </c>
      <c r="BR200" s="17">
        <f t="shared" si="198"/>
        <v>0</v>
      </c>
      <c r="BS200" s="15">
        <f t="shared" si="167"/>
        <v>0</v>
      </c>
      <c r="BU200" s="14">
        <v>157</v>
      </c>
      <c r="BV200" s="15">
        <f t="shared" si="168"/>
        <v>14</v>
      </c>
      <c r="BW200" s="16">
        <f>(1+INDEX('1 - Input'!$B$34:$E$63,BV200,'1 - Input'!$B$16))^(1/12)-1</f>
        <v>4.1219243192651689E-3</v>
      </c>
      <c r="BX200" s="17">
        <f>'1 - Input'!$B$7*(1+'1 - Input'!$B$12)^(BV200-1)</f>
        <v>3492.7379022252494</v>
      </c>
      <c r="BY200" s="17">
        <f t="shared" si="199"/>
        <v>240164.86410326741</v>
      </c>
      <c r="BZ200" s="17">
        <f t="shared" si="200"/>
        <v>39786.809190337583</v>
      </c>
      <c r="CA200" s="17">
        <f t="shared" si="169"/>
        <v>241154.80549724767</v>
      </c>
      <c r="CB200" s="17">
        <f>IF(CA200&gt;0,'1 - Input'!$B$8/12*CA200,0)</f>
        <v>1808.6610412293574</v>
      </c>
      <c r="CC200" s="17">
        <f t="shared" si="170"/>
        <v>239346.14445601832</v>
      </c>
      <c r="CD200" s="17">
        <f t="shared" si="171"/>
        <v>1808.6610412293574</v>
      </c>
      <c r="CE200" s="17">
        <f>'1 - Input'!$B$22*(CB200-CD200)</f>
        <v>0</v>
      </c>
      <c r="CF200" s="17">
        <f t="shared" si="172"/>
        <v>1808.6610412293574</v>
      </c>
      <c r="CG200" s="17">
        <f t="shared" si="173"/>
        <v>37978.148149108223</v>
      </c>
      <c r="CH200" s="17">
        <f>IF('1 - Input'!$B$17=1,MAX(0,CF200-BX200),0)</f>
        <v>0</v>
      </c>
      <c r="CI200" s="17">
        <f>IF('1 - Input'!$B$17=1,MAX(0,BX200-CF200),0)</f>
        <v>1684.076860995892</v>
      </c>
      <c r="CJ200" s="17">
        <f t="shared" si="174"/>
        <v>0.841325423330197</v>
      </c>
      <c r="CK200" s="17">
        <f>IF(AND(CI200&gt;0,CC200&gt;0),CI200/(1-'1 - Input'!$B$22*CJ200),0)</f>
        <v>2155.6035103166982</v>
      </c>
      <c r="CL200" s="17">
        <f t="shared" si="175"/>
        <v>2155.6035103166982</v>
      </c>
      <c r="CM200" s="17">
        <f>'1 - Input'!$B$22*CJ200*CL200</f>
        <v>471.52664932080626</v>
      </c>
      <c r="CN200" s="17">
        <f t="shared" si="176"/>
        <v>1684.076860995892</v>
      </c>
      <c r="CO200" s="17">
        <f t="shared" si="177"/>
        <v>0</v>
      </c>
      <c r="CP200" s="17">
        <f t="shared" si="178"/>
        <v>0</v>
      </c>
      <c r="CQ200" s="17">
        <f t="shared" si="179"/>
        <v>237190.54094570162</v>
      </c>
      <c r="CR200" s="17">
        <f t="shared" si="180"/>
        <v>37636.108674640782</v>
      </c>
      <c r="CS200" s="17">
        <f>IF(MOD(BU200,12)=0,CQ200*'1 - Input'!$B$23,0)</f>
        <v>0</v>
      </c>
      <c r="CT200" s="17">
        <f t="shared" si="181"/>
        <v>237190.54094570162</v>
      </c>
      <c r="CU200" s="17">
        <f>IF(MOD(BU200,12)=0,CR200*(1-'1 - Input'!$B$23),CR200)</f>
        <v>37636.108674640782</v>
      </c>
      <c r="CV200" s="17">
        <f>IF('1 - Input'!$B$17=1,MIN(CF200,BX200)+CN200,CF200)</f>
        <v>3492.7379022252494</v>
      </c>
      <c r="CW200" s="17">
        <f t="shared" si="201"/>
        <v>479135.47923737514</v>
      </c>
      <c r="CX200" s="17">
        <f t="shared" si="202"/>
        <v>0</v>
      </c>
      <c r="CY200" s="17">
        <f t="shared" si="203"/>
        <v>12854.312120877878</v>
      </c>
      <c r="CZ200" s="17">
        <f t="shared" si="204"/>
        <v>0</v>
      </c>
      <c r="DA200" s="17">
        <f t="shared" si="205"/>
        <v>9914.6539168964791</v>
      </c>
      <c r="DB200" s="17">
        <f t="shared" si="206"/>
        <v>0</v>
      </c>
      <c r="DC200" s="15">
        <f t="shared" si="182"/>
        <v>0</v>
      </c>
    </row>
    <row r="201" spans="1:107">
      <c r="A201" s="14">
        <v>158</v>
      </c>
      <c r="B201" s="15">
        <f t="shared" si="138"/>
        <v>14</v>
      </c>
      <c r="C201" s="16">
        <f>(1+INDEX('1 - Input'!$B$34:$E$63,B201,'1 - Input'!$B$16))^(1/12)-1</f>
        <v>4.1219243192651689E-3</v>
      </c>
      <c r="D201" s="17">
        <f>'1 - Input'!$B$7*(1+'1 - Input'!$B$12)^(B201-1)</f>
        <v>3492.7379022252494</v>
      </c>
      <c r="E201" s="17">
        <f t="shared" si="183"/>
        <v>107712.78896853868</v>
      </c>
      <c r="F201" s="17">
        <f t="shared" si="184"/>
        <v>184121.15788035328</v>
      </c>
      <c r="G201" s="17">
        <f t="shared" si="139"/>
        <v>108156.77293288398</v>
      </c>
      <c r="H201" s="17">
        <f>IF(G201&gt;0,'1 - Input'!$B$8/12*G201,0)</f>
        <v>811.17579699662986</v>
      </c>
      <c r="I201" s="17">
        <f t="shared" si="140"/>
        <v>107345.59713588735</v>
      </c>
      <c r="J201" s="17">
        <f t="shared" si="141"/>
        <v>0</v>
      </c>
      <c r="K201" s="17">
        <f>'1 - Input'!$B$22*(H201-J201)</f>
        <v>210.90570721912377</v>
      </c>
      <c r="L201" s="17">
        <f t="shared" si="142"/>
        <v>600.27008977750609</v>
      </c>
      <c r="M201" s="17">
        <f t="shared" si="143"/>
        <v>184121.15788035328</v>
      </c>
      <c r="N201" s="17">
        <f>IF('1 - Input'!$B$17=1,MAX(0,L201-D201),0)</f>
        <v>0</v>
      </c>
      <c r="O201" s="17">
        <f>IF('1 - Input'!$B$17=1,MAX(0,D201-L201),0)</f>
        <v>2892.4678124477432</v>
      </c>
      <c r="P201" s="17">
        <f t="shared" si="144"/>
        <v>0</v>
      </c>
      <c r="Q201" s="17">
        <f>IF(AND(O201&gt;0,I201&gt;0),O201/(1-'1 - Input'!$B$22*P201),0)</f>
        <v>2892.4678124477432</v>
      </c>
      <c r="R201" s="17">
        <f t="shared" si="145"/>
        <v>2892.4678124477432</v>
      </c>
      <c r="S201" s="17">
        <f>'1 - Input'!$B$22*P201*R201</f>
        <v>0</v>
      </c>
      <c r="T201" s="17">
        <f t="shared" si="146"/>
        <v>2892.4678124477432</v>
      </c>
      <c r="U201" s="17">
        <f t="shared" si="147"/>
        <v>0</v>
      </c>
      <c r="V201" s="17">
        <f t="shared" si="148"/>
        <v>2068.7465919526976</v>
      </c>
      <c r="W201" s="17">
        <f t="shared" si="149"/>
        <v>104453.12932343961</v>
      </c>
      <c r="X201" s="17">
        <f t="shared" si="150"/>
        <v>179159.94347595284</v>
      </c>
      <c r="Y201" s="17">
        <f>IF(MOD(A201,12)=0,W201*'1 - Input'!$B$23,0)</f>
        <v>0</v>
      </c>
      <c r="Z201" s="17">
        <f t="shared" si="151"/>
        <v>104453.12932343961</v>
      </c>
      <c r="AA201" s="17">
        <f>IF(MOD(A201,12)=0,X201*(1-'1 - Input'!$B$23),X201)</f>
        <v>179159.94347595284</v>
      </c>
      <c r="AB201" s="17">
        <f>IF('1 - Input'!$B$17=1,MIN(L201,D201)+T201,L201)</f>
        <v>3492.7379022252494</v>
      </c>
      <c r="AC201" s="17">
        <f t="shared" si="185"/>
        <v>482628.21713960037</v>
      </c>
      <c r="AD201" s="17">
        <f t="shared" si="186"/>
        <v>98180.393072425708</v>
      </c>
      <c r="AE201" s="17">
        <f t="shared" si="187"/>
        <v>0</v>
      </c>
      <c r="AF201" s="17">
        <f t="shared" si="188"/>
        <v>94065.636360101635</v>
      </c>
      <c r="AG201" s="17">
        <f t="shared" si="189"/>
        <v>7920.7666519372215</v>
      </c>
      <c r="AH201" s="17">
        <f t="shared" si="190"/>
        <v>0</v>
      </c>
      <c r="AI201" s="15">
        <f t="shared" si="152"/>
        <v>0</v>
      </c>
      <c r="AK201" s="14">
        <v>158</v>
      </c>
      <c r="AL201" s="15">
        <f t="shared" si="153"/>
        <v>14</v>
      </c>
      <c r="AM201" s="16">
        <f>(1+INDEX('1 - Input'!$B$34:$E$63,AL201,'1 - Input'!$B$16))^(1/12)-1</f>
        <v>4.1219243192651689E-3</v>
      </c>
      <c r="AN201" s="17">
        <f>'1 - Input'!$B$7*(1+'1 - Input'!$B$12)^(AL201-1)</f>
        <v>3492.7379022252494</v>
      </c>
      <c r="AO201" s="17">
        <f t="shared" si="191"/>
        <v>107712.78896853868</v>
      </c>
      <c r="AP201" s="17">
        <f t="shared" si="192"/>
        <v>184121.15788035328</v>
      </c>
      <c r="AQ201" s="17">
        <f t="shared" si="154"/>
        <v>108156.77293288398</v>
      </c>
      <c r="AR201" s="17">
        <f>IF(AQ201&gt;0,'1 - Input'!$B$8/12*AQ201,0)</f>
        <v>811.17579699662986</v>
      </c>
      <c r="AS201" s="17">
        <f t="shared" si="155"/>
        <v>107345.59713588735</v>
      </c>
      <c r="AT201" s="17">
        <f t="shared" si="156"/>
        <v>0</v>
      </c>
      <c r="AU201" s="17">
        <f>'1 - Input'!$B$22*(AR201-AT201)</f>
        <v>210.90570721912377</v>
      </c>
      <c r="AV201" s="17">
        <f t="shared" si="157"/>
        <v>600.27008977750609</v>
      </c>
      <c r="AW201" s="17">
        <f t="shared" si="158"/>
        <v>184121.15788035328</v>
      </c>
      <c r="AX201" s="17">
        <f>IF('1 - Input'!$B$17=1,MAX(0,AV201-AN201),0)</f>
        <v>0</v>
      </c>
      <c r="AY201" s="17">
        <f>IF('1 - Input'!$B$17=1,MAX(0,AN201-AV201),0)</f>
        <v>2892.4678124477432</v>
      </c>
      <c r="AZ201" s="17">
        <f t="shared" si="159"/>
        <v>0</v>
      </c>
      <c r="BA201" s="17">
        <f>IF(AND(AY201&gt;0,AS201&gt;0),AY201/(1-'1 - Input'!$B$22*AZ201),0)</f>
        <v>2892.4678124477432</v>
      </c>
      <c r="BB201" s="17">
        <f t="shared" si="160"/>
        <v>2892.4678124477432</v>
      </c>
      <c r="BC201" s="17">
        <f>'1 - Input'!$B$22*AZ201*BB201</f>
        <v>0</v>
      </c>
      <c r="BD201" s="17">
        <f t="shared" si="161"/>
        <v>2892.4678124477432</v>
      </c>
      <c r="BE201" s="17">
        <f t="shared" si="162"/>
        <v>0</v>
      </c>
      <c r="BF201" s="17">
        <f t="shared" si="163"/>
        <v>2068.7465919526976</v>
      </c>
      <c r="BG201" s="17">
        <f t="shared" si="164"/>
        <v>104453.12932343961</v>
      </c>
      <c r="BH201" s="17">
        <f t="shared" si="165"/>
        <v>179159.94347595284</v>
      </c>
      <c r="BI201" s="17">
        <f>IF(MOD(AK201,12)=0,BG201*'1 - Input'!$B$23,0)</f>
        <v>0</v>
      </c>
      <c r="BJ201" s="17">
        <f t="shared" si="166"/>
        <v>104453.12932343961</v>
      </c>
      <c r="BK201" s="17">
        <f>IF(MOD(AK201,12)=0,BH201*(1-'1 - Input'!$B$23),BH201)</f>
        <v>179159.94347595284</v>
      </c>
      <c r="BL201" s="17">
        <f>IF('1 - Input'!$B$17=1,MIN(AV201,AN201)+BD201,AV201)</f>
        <v>3492.7379022252494</v>
      </c>
      <c r="BM201" s="17">
        <f t="shared" si="193"/>
        <v>482628.21713960037</v>
      </c>
      <c r="BN201" s="17">
        <f t="shared" si="194"/>
        <v>98180.393072425708</v>
      </c>
      <c r="BO201" s="17">
        <f t="shared" si="195"/>
        <v>0</v>
      </c>
      <c r="BP201" s="17">
        <f t="shared" si="196"/>
        <v>94065.636360101635</v>
      </c>
      <c r="BQ201" s="17">
        <f t="shared" si="197"/>
        <v>7920.7666519372215</v>
      </c>
      <c r="BR201" s="17">
        <f t="shared" si="198"/>
        <v>0</v>
      </c>
      <c r="BS201" s="15">
        <f t="shared" si="167"/>
        <v>0</v>
      </c>
      <c r="BU201" s="14">
        <v>158</v>
      </c>
      <c r="BV201" s="15">
        <f t="shared" si="168"/>
        <v>14</v>
      </c>
      <c r="BW201" s="16">
        <f>(1+INDEX('1 - Input'!$B$34:$E$63,BV201,'1 - Input'!$B$16))^(1/12)-1</f>
        <v>4.1219243192651689E-3</v>
      </c>
      <c r="BX201" s="17">
        <f>'1 - Input'!$B$7*(1+'1 - Input'!$B$12)^(BV201-1)</f>
        <v>3492.7379022252494</v>
      </c>
      <c r="BY201" s="17">
        <f t="shared" si="199"/>
        <v>237190.54094570162</v>
      </c>
      <c r="BZ201" s="17">
        <f t="shared" si="200"/>
        <v>37636.108674640782</v>
      </c>
      <c r="CA201" s="17">
        <f t="shared" si="169"/>
        <v>238168.22240472538</v>
      </c>
      <c r="CB201" s="17">
        <f>IF(CA201&gt;0,'1 - Input'!$B$8/12*CA201,0)</f>
        <v>1786.2616680354404</v>
      </c>
      <c r="CC201" s="17">
        <f t="shared" si="170"/>
        <v>236381.96073668994</v>
      </c>
      <c r="CD201" s="17">
        <f t="shared" si="171"/>
        <v>1786.2616680354404</v>
      </c>
      <c r="CE201" s="17">
        <f>'1 - Input'!$B$22*(CB201-CD201)</f>
        <v>0</v>
      </c>
      <c r="CF201" s="17">
        <f t="shared" si="172"/>
        <v>1786.2616680354404</v>
      </c>
      <c r="CG201" s="17">
        <f t="shared" si="173"/>
        <v>35849.847006605341</v>
      </c>
      <c r="CH201" s="17">
        <f>IF('1 - Input'!$B$17=1,MAX(0,CF201-BX201),0)</f>
        <v>0</v>
      </c>
      <c r="CI201" s="17">
        <f>IF('1 - Input'!$B$17=1,MAX(0,BX201-CF201),0)</f>
        <v>1706.476234189809</v>
      </c>
      <c r="CJ201" s="17">
        <f t="shared" si="174"/>
        <v>0.84833932803129963</v>
      </c>
      <c r="CK201" s="17">
        <f>IF(AND(CI201&gt;0,CC201&gt;0),CI201/(1-'1 - Input'!$B$22*CJ201),0)</f>
        <v>2189.3849975780804</v>
      </c>
      <c r="CL201" s="17">
        <f t="shared" si="175"/>
        <v>2189.3849975780804</v>
      </c>
      <c r="CM201" s="17">
        <f>'1 - Input'!$B$22*CJ201*CL201</f>
        <v>482.90876338827132</v>
      </c>
      <c r="CN201" s="17">
        <f t="shared" si="176"/>
        <v>1706.476234189809</v>
      </c>
      <c r="CO201" s="17">
        <f t="shared" si="177"/>
        <v>0</v>
      </c>
      <c r="CP201" s="17">
        <f t="shared" si="178"/>
        <v>0</v>
      </c>
      <c r="CQ201" s="17">
        <f t="shared" si="179"/>
        <v>234192.57573911187</v>
      </c>
      <c r="CR201" s="17">
        <f t="shared" si="180"/>
        <v>35517.803406674459</v>
      </c>
      <c r="CS201" s="17">
        <f>IF(MOD(BU201,12)=0,CQ201*'1 - Input'!$B$23,0)</f>
        <v>0</v>
      </c>
      <c r="CT201" s="17">
        <f t="shared" si="181"/>
        <v>234192.57573911187</v>
      </c>
      <c r="CU201" s="17">
        <f>IF(MOD(BU201,12)=0,CR201*(1-'1 - Input'!$B$23),CR201)</f>
        <v>35517.803406674459</v>
      </c>
      <c r="CV201" s="17">
        <f>IF('1 - Input'!$B$17=1,MIN(CF201,BX201)+CN201,CF201)</f>
        <v>3492.7379022252494</v>
      </c>
      <c r="CW201" s="17">
        <f t="shared" si="201"/>
        <v>482628.21713960037</v>
      </c>
      <c r="CX201" s="17">
        <f t="shared" si="202"/>
        <v>0</v>
      </c>
      <c r="CY201" s="17">
        <f t="shared" si="203"/>
        <v>13337.220884266149</v>
      </c>
      <c r="CZ201" s="17">
        <f t="shared" si="204"/>
        <v>0</v>
      </c>
      <c r="DA201" s="17">
        <f t="shared" si="205"/>
        <v>9914.6539168964791</v>
      </c>
      <c r="DB201" s="17">
        <f t="shared" si="206"/>
        <v>0</v>
      </c>
      <c r="DC201" s="15">
        <f t="shared" si="182"/>
        <v>0</v>
      </c>
    </row>
    <row r="202" spans="1:107">
      <c r="A202" s="14">
        <v>159</v>
      </c>
      <c r="B202" s="15">
        <f t="shared" si="138"/>
        <v>14</v>
      </c>
      <c r="C202" s="16">
        <f>(1+INDEX('1 - Input'!$B$34:$E$63,B202,'1 - Input'!$B$16))^(1/12)-1</f>
        <v>4.1219243192651689E-3</v>
      </c>
      <c r="D202" s="17">
        <f>'1 - Input'!$B$7*(1+'1 - Input'!$B$12)^(B202-1)</f>
        <v>3492.7379022252494</v>
      </c>
      <c r="E202" s="17">
        <f t="shared" si="183"/>
        <v>104453.12932343961</v>
      </c>
      <c r="F202" s="17">
        <f t="shared" si="184"/>
        <v>179159.94347595284</v>
      </c>
      <c r="G202" s="17">
        <f t="shared" si="139"/>
        <v>104883.67721742125</v>
      </c>
      <c r="H202" s="17">
        <f>IF(G202&gt;0,'1 - Input'!$B$8/12*G202,0)</f>
        <v>786.62757913065934</v>
      </c>
      <c r="I202" s="17">
        <f t="shared" si="140"/>
        <v>104097.0496382906</v>
      </c>
      <c r="J202" s="17">
        <f t="shared" si="141"/>
        <v>0</v>
      </c>
      <c r="K202" s="17">
        <f>'1 - Input'!$B$22*(H202-J202)</f>
        <v>204.52317057397144</v>
      </c>
      <c r="L202" s="17">
        <f t="shared" si="142"/>
        <v>582.10440855668787</v>
      </c>
      <c r="M202" s="17">
        <f t="shared" si="143"/>
        <v>179159.94347595284</v>
      </c>
      <c r="N202" s="17">
        <f>IF('1 - Input'!$B$17=1,MAX(0,L202-D202),0)</f>
        <v>0</v>
      </c>
      <c r="O202" s="17">
        <f>IF('1 - Input'!$B$17=1,MAX(0,D202-L202),0)</f>
        <v>2910.6334936685616</v>
      </c>
      <c r="P202" s="17">
        <f t="shared" si="144"/>
        <v>0</v>
      </c>
      <c r="Q202" s="17">
        <f>IF(AND(O202&gt;0,I202&gt;0),O202/(1-'1 - Input'!$B$22*P202),0)</f>
        <v>2910.6334936685616</v>
      </c>
      <c r="R202" s="17">
        <f t="shared" si="145"/>
        <v>2910.6334936685616</v>
      </c>
      <c r="S202" s="17">
        <f>'1 - Input'!$B$22*P202*R202</f>
        <v>0</v>
      </c>
      <c r="T202" s="17">
        <f t="shared" si="146"/>
        <v>2910.6334936685616</v>
      </c>
      <c r="U202" s="17">
        <f t="shared" si="147"/>
        <v>0</v>
      </c>
      <c r="V202" s="17">
        <f t="shared" si="148"/>
        <v>2098.8161883045559</v>
      </c>
      <c r="W202" s="17">
        <f t="shared" si="149"/>
        <v>101186.41614462204</v>
      </c>
      <c r="X202" s="17">
        <f t="shared" si="150"/>
        <v>174150.49379397972</v>
      </c>
      <c r="Y202" s="17">
        <f>IF(MOD(A202,12)=0,W202*'1 - Input'!$B$23,0)</f>
        <v>0</v>
      </c>
      <c r="Z202" s="17">
        <f t="shared" si="151"/>
        <v>101186.41614462204</v>
      </c>
      <c r="AA202" s="17">
        <f>IF(MOD(A202,12)=0,X202*(1-'1 - Input'!$B$23),X202)</f>
        <v>174150.49379397972</v>
      </c>
      <c r="AB202" s="17">
        <f>IF('1 - Input'!$B$17=1,MIN(L202,D202)+T202,L202)</f>
        <v>3492.7379022252494</v>
      </c>
      <c r="AC202" s="17">
        <f t="shared" si="185"/>
        <v>486120.9550418256</v>
      </c>
      <c r="AD202" s="17">
        <f t="shared" si="186"/>
        <v>98384.91624299968</v>
      </c>
      <c r="AE202" s="17">
        <f t="shared" si="187"/>
        <v>0</v>
      </c>
      <c r="AF202" s="17">
        <f t="shared" si="188"/>
        <v>96164.452548406189</v>
      </c>
      <c r="AG202" s="17">
        <f t="shared" si="189"/>
        <v>7920.7666519372215</v>
      </c>
      <c r="AH202" s="17">
        <f t="shared" si="190"/>
        <v>0</v>
      </c>
      <c r="AI202" s="15">
        <f t="shared" si="152"/>
        <v>0</v>
      </c>
      <c r="AK202" s="14">
        <v>159</v>
      </c>
      <c r="AL202" s="15">
        <f t="shared" si="153"/>
        <v>14</v>
      </c>
      <c r="AM202" s="16">
        <f>(1+INDEX('1 - Input'!$B$34:$E$63,AL202,'1 - Input'!$B$16))^(1/12)-1</f>
        <v>4.1219243192651689E-3</v>
      </c>
      <c r="AN202" s="17">
        <f>'1 - Input'!$B$7*(1+'1 - Input'!$B$12)^(AL202-1)</f>
        <v>3492.7379022252494</v>
      </c>
      <c r="AO202" s="17">
        <f t="shared" si="191"/>
        <v>104453.12932343961</v>
      </c>
      <c r="AP202" s="17">
        <f t="shared" si="192"/>
        <v>179159.94347595284</v>
      </c>
      <c r="AQ202" s="17">
        <f t="shared" si="154"/>
        <v>104883.67721742125</v>
      </c>
      <c r="AR202" s="17">
        <f>IF(AQ202&gt;0,'1 - Input'!$B$8/12*AQ202,0)</f>
        <v>786.62757913065934</v>
      </c>
      <c r="AS202" s="17">
        <f t="shared" si="155"/>
        <v>104097.0496382906</v>
      </c>
      <c r="AT202" s="17">
        <f t="shared" si="156"/>
        <v>0</v>
      </c>
      <c r="AU202" s="17">
        <f>'1 - Input'!$B$22*(AR202-AT202)</f>
        <v>204.52317057397144</v>
      </c>
      <c r="AV202" s="17">
        <f t="shared" si="157"/>
        <v>582.10440855668787</v>
      </c>
      <c r="AW202" s="17">
        <f t="shared" si="158"/>
        <v>179159.94347595284</v>
      </c>
      <c r="AX202" s="17">
        <f>IF('1 - Input'!$B$17=1,MAX(0,AV202-AN202),0)</f>
        <v>0</v>
      </c>
      <c r="AY202" s="17">
        <f>IF('1 - Input'!$B$17=1,MAX(0,AN202-AV202),0)</f>
        <v>2910.6334936685616</v>
      </c>
      <c r="AZ202" s="17">
        <f t="shared" si="159"/>
        <v>0</v>
      </c>
      <c r="BA202" s="17">
        <f>IF(AND(AY202&gt;0,AS202&gt;0),AY202/(1-'1 - Input'!$B$22*AZ202),0)</f>
        <v>2910.6334936685616</v>
      </c>
      <c r="BB202" s="17">
        <f t="shared" si="160"/>
        <v>2910.6334936685616</v>
      </c>
      <c r="BC202" s="17">
        <f>'1 - Input'!$B$22*AZ202*BB202</f>
        <v>0</v>
      </c>
      <c r="BD202" s="17">
        <f t="shared" si="161"/>
        <v>2910.6334936685616</v>
      </c>
      <c r="BE202" s="17">
        <f t="shared" si="162"/>
        <v>0</v>
      </c>
      <c r="BF202" s="17">
        <f t="shared" si="163"/>
        <v>2098.8161883045559</v>
      </c>
      <c r="BG202" s="17">
        <f t="shared" si="164"/>
        <v>101186.41614462204</v>
      </c>
      <c r="BH202" s="17">
        <f t="shared" si="165"/>
        <v>174150.49379397972</v>
      </c>
      <c r="BI202" s="17">
        <f>IF(MOD(AK202,12)=0,BG202*'1 - Input'!$B$23,0)</f>
        <v>0</v>
      </c>
      <c r="BJ202" s="17">
        <f t="shared" si="166"/>
        <v>101186.41614462204</v>
      </c>
      <c r="BK202" s="17">
        <f>IF(MOD(AK202,12)=0,BH202*(1-'1 - Input'!$B$23),BH202)</f>
        <v>174150.49379397972</v>
      </c>
      <c r="BL202" s="17">
        <f>IF('1 - Input'!$B$17=1,MIN(AV202,AN202)+BD202,AV202)</f>
        <v>3492.7379022252494</v>
      </c>
      <c r="BM202" s="17">
        <f t="shared" si="193"/>
        <v>486120.9550418256</v>
      </c>
      <c r="BN202" s="17">
        <f t="shared" si="194"/>
        <v>98384.91624299968</v>
      </c>
      <c r="BO202" s="17">
        <f t="shared" si="195"/>
        <v>0</v>
      </c>
      <c r="BP202" s="17">
        <f t="shared" si="196"/>
        <v>96164.452548406189</v>
      </c>
      <c r="BQ202" s="17">
        <f t="shared" si="197"/>
        <v>7920.7666519372215</v>
      </c>
      <c r="BR202" s="17">
        <f t="shared" si="198"/>
        <v>0</v>
      </c>
      <c r="BS202" s="15">
        <f t="shared" si="167"/>
        <v>0</v>
      </c>
      <c r="BU202" s="14">
        <v>159</v>
      </c>
      <c r="BV202" s="15">
        <f t="shared" si="168"/>
        <v>14</v>
      </c>
      <c r="BW202" s="16">
        <f>(1+INDEX('1 - Input'!$B$34:$E$63,BV202,'1 - Input'!$B$16))^(1/12)-1</f>
        <v>4.1219243192651689E-3</v>
      </c>
      <c r="BX202" s="17">
        <f>'1 - Input'!$B$7*(1+'1 - Input'!$B$12)^(BV202-1)</f>
        <v>3492.7379022252494</v>
      </c>
      <c r="BY202" s="17">
        <f t="shared" si="199"/>
        <v>234192.57573911187</v>
      </c>
      <c r="BZ202" s="17">
        <f t="shared" si="200"/>
        <v>35517.803406674459</v>
      </c>
      <c r="CA202" s="17">
        <f t="shared" si="169"/>
        <v>235157.89981244225</v>
      </c>
      <c r="CB202" s="17">
        <f>IF(CA202&gt;0,'1 - Input'!$B$8/12*CA202,0)</f>
        <v>1763.6842485933169</v>
      </c>
      <c r="CC202" s="17">
        <f t="shared" si="170"/>
        <v>233394.21556384893</v>
      </c>
      <c r="CD202" s="17">
        <f t="shared" si="171"/>
        <v>1763.6842485933169</v>
      </c>
      <c r="CE202" s="17">
        <f>'1 - Input'!$B$22*(CB202-CD202)</f>
        <v>0</v>
      </c>
      <c r="CF202" s="17">
        <f t="shared" si="172"/>
        <v>1763.6842485933169</v>
      </c>
      <c r="CG202" s="17">
        <f t="shared" si="173"/>
        <v>33754.119158081143</v>
      </c>
      <c r="CH202" s="17">
        <f>IF('1 - Input'!$B$17=1,MAX(0,CF202-BX202),0)</f>
        <v>0</v>
      </c>
      <c r="CI202" s="17">
        <f>IF('1 - Input'!$B$17=1,MAX(0,BX202-CF202),0)</f>
        <v>1729.0536536319325</v>
      </c>
      <c r="CJ202" s="17">
        <f t="shared" si="174"/>
        <v>0.85537722485308498</v>
      </c>
      <c r="CK202" s="17">
        <f>IF(AND(CI202&gt;0,CC202&gt;0),CI202/(1-'1 - Input'!$B$22*CJ202),0)</f>
        <v>2223.5717347658288</v>
      </c>
      <c r="CL202" s="17">
        <f t="shared" si="175"/>
        <v>2223.5717347658288</v>
      </c>
      <c r="CM202" s="17">
        <f>'1 - Input'!$B$22*CJ202*CL202</f>
        <v>494.5180811338962</v>
      </c>
      <c r="CN202" s="17">
        <f t="shared" si="176"/>
        <v>1729.0536536319325</v>
      </c>
      <c r="CO202" s="17">
        <f t="shared" si="177"/>
        <v>0</v>
      </c>
      <c r="CP202" s="17">
        <f t="shared" si="178"/>
        <v>0</v>
      </c>
      <c r="CQ202" s="17">
        <f t="shared" si="179"/>
        <v>231170.6438290831</v>
      </c>
      <c r="CR202" s="17">
        <f t="shared" si="180"/>
        <v>33432.540043061068</v>
      </c>
      <c r="CS202" s="17">
        <f>IF(MOD(BU202,12)=0,CQ202*'1 - Input'!$B$23,0)</f>
        <v>0</v>
      </c>
      <c r="CT202" s="17">
        <f t="shared" si="181"/>
        <v>231170.6438290831</v>
      </c>
      <c r="CU202" s="17">
        <f>IF(MOD(BU202,12)=0,CR202*(1-'1 - Input'!$B$23),CR202)</f>
        <v>33432.540043061068</v>
      </c>
      <c r="CV202" s="17">
        <f>IF('1 - Input'!$B$17=1,MIN(CF202,BX202)+CN202,CF202)</f>
        <v>3492.7379022252494</v>
      </c>
      <c r="CW202" s="17">
        <f t="shared" si="201"/>
        <v>486120.9550418256</v>
      </c>
      <c r="CX202" s="17">
        <f t="shared" si="202"/>
        <v>0</v>
      </c>
      <c r="CY202" s="17">
        <f t="shared" si="203"/>
        <v>13831.738965400045</v>
      </c>
      <c r="CZ202" s="17">
        <f t="shared" si="204"/>
        <v>0</v>
      </c>
      <c r="DA202" s="17">
        <f t="shared" si="205"/>
        <v>9914.6539168964791</v>
      </c>
      <c r="DB202" s="17">
        <f t="shared" si="206"/>
        <v>0</v>
      </c>
      <c r="DC202" s="15">
        <f t="shared" si="182"/>
        <v>0</v>
      </c>
    </row>
    <row r="203" spans="1:107">
      <c r="A203" s="14">
        <v>160</v>
      </c>
      <c r="B203" s="15">
        <f t="shared" si="138"/>
        <v>14</v>
      </c>
      <c r="C203" s="16">
        <f>(1+INDEX('1 - Input'!$B$34:$E$63,B203,'1 - Input'!$B$16))^(1/12)-1</f>
        <v>4.1219243192651689E-3</v>
      </c>
      <c r="D203" s="17">
        <f>'1 - Input'!$B$7*(1+'1 - Input'!$B$12)^(B203-1)</f>
        <v>3492.7379022252494</v>
      </c>
      <c r="E203" s="17">
        <f t="shared" si="183"/>
        <v>101186.41614462204</v>
      </c>
      <c r="F203" s="17">
        <f t="shared" si="184"/>
        <v>174150.49379397972</v>
      </c>
      <c r="G203" s="17">
        <f t="shared" si="139"/>
        <v>101603.49889410785</v>
      </c>
      <c r="H203" s="17">
        <f>IF(G203&gt;0,'1 - Input'!$B$8/12*G203,0)</f>
        <v>762.02624170580884</v>
      </c>
      <c r="I203" s="17">
        <f t="shared" si="140"/>
        <v>100841.47265240204</v>
      </c>
      <c r="J203" s="17">
        <f t="shared" si="141"/>
        <v>0</v>
      </c>
      <c r="K203" s="17">
        <f>'1 - Input'!$B$22*(H203-J203)</f>
        <v>198.1268228435103</v>
      </c>
      <c r="L203" s="17">
        <f t="shared" si="142"/>
        <v>563.89941886229849</v>
      </c>
      <c r="M203" s="17">
        <f t="shared" si="143"/>
        <v>174150.49379397972</v>
      </c>
      <c r="N203" s="17">
        <f>IF('1 - Input'!$B$17=1,MAX(0,L203-D203),0)</f>
        <v>0</v>
      </c>
      <c r="O203" s="17">
        <f>IF('1 - Input'!$B$17=1,MAX(0,D203-L203),0)</f>
        <v>2928.8384833629507</v>
      </c>
      <c r="P203" s="17">
        <f t="shared" si="144"/>
        <v>0</v>
      </c>
      <c r="Q203" s="17">
        <f>IF(AND(O203&gt;0,I203&gt;0),O203/(1-'1 - Input'!$B$22*P203),0)</f>
        <v>2928.8384833629507</v>
      </c>
      <c r="R203" s="17">
        <f t="shared" si="145"/>
        <v>2928.8384833629507</v>
      </c>
      <c r="S203" s="17">
        <f>'1 - Input'!$B$22*P203*R203</f>
        <v>0</v>
      </c>
      <c r="T203" s="17">
        <f t="shared" si="146"/>
        <v>2928.8384833629507</v>
      </c>
      <c r="U203" s="17">
        <f t="shared" si="147"/>
        <v>0</v>
      </c>
      <c r="V203" s="17">
        <f t="shared" si="148"/>
        <v>2129.1863025168395</v>
      </c>
      <c r="W203" s="17">
        <f t="shared" si="149"/>
        <v>97912.634169039084</v>
      </c>
      <c r="X203" s="17">
        <f t="shared" si="150"/>
        <v>169092.46900809993</v>
      </c>
      <c r="Y203" s="17">
        <f>IF(MOD(A203,12)=0,W203*'1 - Input'!$B$23,0)</f>
        <v>0</v>
      </c>
      <c r="Z203" s="17">
        <f t="shared" si="151"/>
        <v>97912.634169039084</v>
      </c>
      <c r="AA203" s="17">
        <f>IF(MOD(A203,12)=0,X203*(1-'1 - Input'!$B$23),X203)</f>
        <v>169092.46900809993</v>
      </c>
      <c r="AB203" s="17">
        <f>IF('1 - Input'!$B$17=1,MIN(L203,D203)+T203,L203)</f>
        <v>3492.7379022252489</v>
      </c>
      <c r="AC203" s="17">
        <f t="shared" si="185"/>
        <v>489613.69294405082</v>
      </c>
      <c r="AD203" s="17">
        <f t="shared" si="186"/>
        <v>98583.043065843187</v>
      </c>
      <c r="AE203" s="17">
        <f t="shared" si="187"/>
        <v>0</v>
      </c>
      <c r="AF203" s="17">
        <f t="shared" si="188"/>
        <v>98293.638850923031</v>
      </c>
      <c r="AG203" s="17">
        <f t="shared" si="189"/>
        <v>7920.7666519372215</v>
      </c>
      <c r="AH203" s="17">
        <f t="shared" si="190"/>
        <v>0</v>
      </c>
      <c r="AI203" s="15">
        <f t="shared" si="152"/>
        <v>0</v>
      </c>
      <c r="AK203" s="14">
        <v>160</v>
      </c>
      <c r="AL203" s="15">
        <f t="shared" si="153"/>
        <v>14</v>
      </c>
      <c r="AM203" s="16">
        <f>(1+INDEX('1 - Input'!$B$34:$E$63,AL203,'1 - Input'!$B$16))^(1/12)-1</f>
        <v>4.1219243192651689E-3</v>
      </c>
      <c r="AN203" s="17">
        <f>'1 - Input'!$B$7*(1+'1 - Input'!$B$12)^(AL203-1)</f>
        <v>3492.7379022252494</v>
      </c>
      <c r="AO203" s="17">
        <f t="shared" si="191"/>
        <v>101186.41614462204</v>
      </c>
      <c r="AP203" s="17">
        <f t="shared" si="192"/>
        <v>174150.49379397972</v>
      </c>
      <c r="AQ203" s="17">
        <f t="shared" si="154"/>
        <v>101603.49889410785</v>
      </c>
      <c r="AR203" s="17">
        <f>IF(AQ203&gt;0,'1 - Input'!$B$8/12*AQ203,0)</f>
        <v>762.02624170580884</v>
      </c>
      <c r="AS203" s="17">
        <f t="shared" si="155"/>
        <v>100841.47265240204</v>
      </c>
      <c r="AT203" s="17">
        <f t="shared" si="156"/>
        <v>0</v>
      </c>
      <c r="AU203" s="17">
        <f>'1 - Input'!$B$22*(AR203-AT203)</f>
        <v>198.1268228435103</v>
      </c>
      <c r="AV203" s="17">
        <f t="shared" si="157"/>
        <v>563.89941886229849</v>
      </c>
      <c r="AW203" s="17">
        <f t="shared" si="158"/>
        <v>174150.49379397972</v>
      </c>
      <c r="AX203" s="17">
        <f>IF('1 - Input'!$B$17=1,MAX(0,AV203-AN203),0)</f>
        <v>0</v>
      </c>
      <c r="AY203" s="17">
        <f>IF('1 - Input'!$B$17=1,MAX(0,AN203-AV203),0)</f>
        <v>2928.8384833629507</v>
      </c>
      <c r="AZ203" s="17">
        <f t="shared" si="159"/>
        <v>0</v>
      </c>
      <c r="BA203" s="17">
        <f>IF(AND(AY203&gt;0,AS203&gt;0),AY203/(1-'1 - Input'!$B$22*AZ203),0)</f>
        <v>2928.8384833629507</v>
      </c>
      <c r="BB203" s="17">
        <f t="shared" si="160"/>
        <v>2928.8384833629507</v>
      </c>
      <c r="BC203" s="17">
        <f>'1 - Input'!$B$22*AZ203*BB203</f>
        <v>0</v>
      </c>
      <c r="BD203" s="17">
        <f t="shared" si="161"/>
        <v>2928.8384833629507</v>
      </c>
      <c r="BE203" s="17">
        <f t="shared" si="162"/>
        <v>0</v>
      </c>
      <c r="BF203" s="17">
        <f t="shared" si="163"/>
        <v>2129.1863025168395</v>
      </c>
      <c r="BG203" s="17">
        <f t="shared" si="164"/>
        <v>97912.634169039084</v>
      </c>
      <c r="BH203" s="17">
        <f t="shared" si="165"/>
        <v>169092.46900809993</v>
      </c>
      <c r="BI203" s="17">
        <f>IF(MOD(AK203,12)=0,BG203*'1 - Input'!$B$23,0)</f>
        <v>0</v>
      </c>
      <c r="BJ203" s="17">
        <f t="shared" si="166"/>
        <v>97912.634169039084</v>
      </c>
      <c r="BK203" s="17">
        <f>IF(MOD(AK203,12)=0,BH203*(1-'1 - Input'!$B$23),BH203)</f>
        <v>169092.46900809993</v>
      </c>
      <c r="BL203" s="17">
        <f>IF('1 - Input'!$B$17=1,MIN(AV203,AN203)+BD203,AV203)</f>
        <v>3492.7379022252489</v>
      </c>
      <c r="BM203" s="17">
        <f t="shared" si="193"/>
        <v>489613.69294405082</v>
      </c>
      <c r="BN203" s="17">
        <f t="shared" si="194"/>
        <v>98583.043065843187</v>
      </c>
      <c r="BO203" s="17">
        <f t="shared" si="195"/>
        <v>0</v>
      </c>
      <c r="BP203" s="17">
        <f t="shared" si="196"/>
        <v>98293.638850923031</v>
      </c>
      <c r="BQ203" s="17">
        <f t="shared" si="197"/>
        <v>7920.7666519372215</v>
      </c>
      <c r="BR203" s="17">
        <f t="shared" si="198"/>
        <v>0</v>
      </c>
      <c r="BS203" s="15">
        <f t="shared" si="167"/>
        <v>0</v>
      </c>
      <c r="BU203" s="14">
        <v>160</v>
      </c>
      <c r="BV203" s="15">
        <f t="shared" si="168"/>
        <v>14</v>
      </c>
      <c r="BW203" s="16">
        <f>(1+INDEX('1 - Input'!$B$34:$E$63,BV203,'1 - Input'!$B$16))^(1/12)-1</f>
        <v>4.1219243192651689E-3</v>
      </c>
      <c r="BX203" s="17">
        <f>'1 - Input'!$B$7*(1+'1 - Input'!$B$12)^(BV203-1)</f>
        <v>3492.7379022252494</v>
      </c>
      <c r="BY203" s="17">
        <f t="shared" si="199"/>
        <v>231170.6438290831</v>
      </c>
      <c r="BZ203" s="17">
        <f t="shared" si="200"/>
        <v>33432.540043061068</v>
      </c>
      <c r="CA203" s="17">
        <f t="shared" si="169"/>
        <v>232123.51172778237</v>
      </c>
      <c r="CB203" s="17">
        <f>IF(CA203&gt;0,'1 - Input'!$B$8/12*CA203,0)</f>
        <v>1740.9263379583676</v>
      </c>
      <c r="CC203" s="17">
        <f t="shared" si="170"/>
        <v>230382.585389824</v>
      </c>
      <c r="CD203" s="17">
        <f t="shared" si="171"/>
        <v>1740.9263379583676</v>
      </c>
      <c r="CE203" s="17">
        <f>'1 - Input'!$B$22*(CB203-CD203)</f>
        <v>0</v>
      </c>
      <c r="CF203" s="17">
        <f t="shared" si="172"/>
        <v>1740.9263379583676</v>
      </c>
      <c r="CG203" s="17">
        <f t="shared" si="173"/>
        <v>31691.6137051027</v>
      </c>
      <c r="CH203" s="17">
        <f>IF('1 - Input'!$B$17=1,MAX(0,CF203-BX203),0)</f>
        <v>0</v>
      </c>
      <c r="CI203" s="17">
        <f>IF('1 - Input'!$B$17=1,MAX(0,BX203-CF203),0)</f>
        <v>1751.8115642668818</v>
      </c>
      <c r="CJ203" s="17">
        <f t="shared" si="174"/>
        <v>0.86243919586422646</v>
      </c>
      <c r="CK203" s="17">
        <f>IF(AND(CI203&gt;0,CC203&gt;0),CI203/(1-'1 - Input'!$B$22*CJ203),0)</f>
        <v>2258.1706280082253</v>
      </c>
      <c r="CL203" s="17">
        <f t="shared" si="175"/>
        <v>2258.1706280082253</v>
      </c>
      <c r="CM203" s="17">
        <f>'1 - Input'!$B$22*CJ203*CL203</f>
        <v>506.35906374134362</v>
      </c>
      <c r="CN203" s="17">
        <f t="shared" si="176"/>
        <v>1751.8115642668818</v>
      </c>
      <c r="CO203" s="17">
        <f t="shared" si="177"/>
        <v>0</v>
      </c>
      <c r="CP203" s="17">
        <f t="shared" si="178"/>
        <v>0</v>
      </c>
      <c r="CQ203" s="17">
        <f t="shared" si="179"/>
        <v>228124.41476181577</v>
      </c>
      <c r="CR203" s="17">
        <f t="shared" si="180"/>
        <v>31380.977937638105</v>
      </c>
      <c r="CS203" s="17">
        <f>IF(MOD(BU203,12)=0,CQ203*'1 - Input'!$B$23,0)</f>
        <v>0</v>
      </c>
      <c r="CT203" s="17">
        <f t="shared" si="181"/>
        <v>228124.41476181577</v>
      </c>
      <c r="CU203" s="17">
        <f>IF(MOD(BU203,12)=0,CR203*(1-'1 - Input'!$B$23),CR203)</f>
        <v>31380.977937638105</v>
      </c>
      <c r="CV203" s="17">
        <f>IF('1 - Input'!$B$17=1,MIN(CF203,BX203)+CN203,CF203)</f>
        <v>3492.7379022252494</v>
      </c>
      <c r="CW203" s="17">
        <f t="shared" si="201"/>
        <v>489613.69294405082</v>
      </c>
      <c r="CX203" s="17">
        <f t="shared" si="202"/>
        <v>0</v>
      </c>
      <c r="CY203" s="17">
        <f t="shared" si="203"/>
        <v>14338.098029141389</v>
      </c>
      <c r="CZ203" s="17">
        <f t="shared" si="204"/>
        <v>0</v>
      </c>
      <c r="DA203" s="17">
        <f t="shared" si="205"/>
        <v>9914.6539168964791</v>
      </c>
      <c r="DB203" s="17">
        <f t="shared" si="206"/>
        <v>0</v>
      </c>
      <c r="DC203" s="15">
        <f t="shared" si="182"/>
        <v>0</v>
      </c>
    </row>
    <row r="204" spans="1:107">
      <c r="A204" s="14">
        <v>161</v>
      </c>
      <c r="B204" s="15">
        <f t="shared" si="138"/>
        <v>14</v>
      </c>
      <c r="C204" s="16">
        <f>(1+INDEX('1 - Input'!$B$34:$E$63,B204,'1 - Input'!$B$16))^(1/12)-1</f>
        <v>4.1219243192651689E-3</v>
      </c>
      <c r="D204" s="17">
        <f>'1 - Input'!$B$7*(1+'1 - Input'!$B$12)^(B204-1)</f>
        <v>3492.7379022252494</v>
      </c>
      <c r="E204" s="17">
        <f t="shared" si="183"/>
        <v>97912.634169039084</v>
      </c>
      <c r="F204" s="17">
        <f t="shared" si="184"/>
        <v>169092.46900809993</v>
      </c>
      <c r="G204" s="17">
        <f t="shared" si="139"/>
        <v>98316.222636983759</v>
      </c>
      <c r="H204" s="17">
        <f>IF(G204&gt;0,'1 - Input'!$B$8/12*G204,0)</f>
        <v>737.3716697773782</v>
      </c>
      <c r="I204" s="17">
        <f t="shared" si="140"/>
        <v>97578.850967206381</v>
      </c>
      <c r="J204" s="17">
        <f t="shared" si="141"/>
        <v>0</v>
      </c>
      <c r="K204" s="17">
        <f>'1 - Input'!$B$22*(H204-J204)</f>
        <v>191.71663414211835</v>
      </c>
      <c r="L204" s="17">
        <f t="shared" si="142"/>
        <v>545.65503563525988</v>
      </c>
      <c r="M204" s="17">
        <f t="shared" si="143"/>
        <v>169092.46900809993</v>
      </c>
      <c r="N204" s="17">
        <f>IF('1 - Input'!$B$17=1,MAX(0,L204-D204),0)</f>
        <v>0</v>
      </c>
      <c r="O204" s="17">
        <f>IF('1 - Input'!$B$17=1,MAX(0,D204-L204),0)</f>
        <v>2947.0828665899894</v>
      </c>
      <c r="P204" s="17">
        <f t="shared" si="144"/>
        <v>0</v>
      </c>
      <c r="Q204" s="17">
        <f>IF(AND(O204&gt;0,I204&gt;0),O204/(1-'1 - Input'!$B$22*P204),0)</f>
        <v>2947.0828665899894</v>
      </c>
      <c r="R204" s="17">
        <f t="shared" si="145"/>
        <v>2947.0828665899894</v>
      </c>
      <c r="S204" s="17">
        <f>'1 - Input'!$B$22*P204*R204</f>
        <v>0</v>
      </c>
      <c r="T204" s="17">
        <f t="shared" si="146"/>
        <v>2947.0828665899894</v>
      </c>
      <c r="U204" s="17">
        <f t="shared" si="147"/>
        <v>0</v>
      </c>
      <c r="V204" s="17">
        <f t="shared" si="148"/>
        <v>2159.8589895981427</v>
      </c>
      <c r="W204" s="17">
        <f t="shared" si="149"/>
        <v>94631.768100616391</v>
      </c>
      <c r="X204" s="17">
        <f t="shared" si="150"/>
        <v>163985.52715191181</v>
      </c>
      <c r="Y204" s="17">
        <f>IF(MOD(A204,12)=0,W204*'1 - Input'!$B$23,0)</f>
        <v>0</v>
      </c>
      <c r="Z204" s="17">
        <f t="shared" si="151"/>
        <v>94631.768100616391</v>
      </c>
      <c r="AA204" s="17">
        <f>IF(MOD(A204,12)=0,X204*(1-'1 - Input'!$B$23),X204)</f>
        <v>163985.52715191181</v>
      </c>
      <c r="AB204" s="17">
        <f>IF('1 - Input'!$B$17=1,MIN(L204,D204)+T204,L204)</f>
        <v>3492.7379022252494</v>
      </c>
      <c r="AC204" s="17">
        <f t="shared" si="185"/>
        <v>493106.43084627605</v>
      </c>
      <c r="AD204" s="17">
        <f t="shared" si="186"/>
        <v>98774.759699985312</v>
      </c>
      <c r="AE204" s="17">
        <f t="shared" si="187"/>
        <v>0</v>
      </c>
      <c r="AF204" s="17">
        <f t="shared" si="188"/>
        <v>100453.49784052117</v>
      </c>
      <c r="AG204" s="17">
        <f t="shared" si="189"/>
        <v>7920.7666519372215</v>
      </c>
      <c r="AH204" s="17">
        <f t="shared" si="190"/>
        <v>0</v>
      </c>
      <c r="AI204" s="15">
        <f t="shared" si="152"/>
        <v>0</v>
      </c>
      <c r="AK204" s="14">
        <v>161</v>
      </c>
      <c r="AL204" s="15">
        <f t="shared" si="153"/>
        <v>14</v>
      </c>
      <c r="AM204" s="16">
        <f>(1+INDEX('1 - Input'!$B$34:$E$63,AL204,'1 - Input'!$B$16))^(1/12)-1</f>
        <v>4.1219243192651689E-3</v>
      </c>
      <c r="AN204" s="17">
        <f>'1 - Input'!$B$7*(1+'1 - Input'!$B$12)^(AL204-1)</f>
        <v>3492.7379022252494</v>
      </c>
      <c r="AO204" s="17">
        <f t="shared" si="191"/>
        <v>97912.634169039084</v>
      </c>
      <c r="AP204" s="17">
        <f t="shared" si="192"/>
        <v>169092.46900809993</v>
      </c>
      <c r="AQ204" s="17">
        <f t="shared" si="154"/>
        <v>98316.222636983759</v>
      </c>
      <c r="AR204" s="17">
        <f>IF(AQ204&gt;0,'1 - Input'!$B$8/12*AQ204,0)</f>
        <v>737.3716697773782</v>
      </c>
      <c r="AS204" s="17">
        <f t="shared" si="155"/>
        <v>97578.850967206381</v>
      </c>
      <c r="AT204" s="17">
        <f t="shared" si="156"/>
        <v>0</v>
      </c>
      <c r="AU204" s="17">
        <f>'1 - Input'!$B$22*(AR204-AT204)</f>
        <v>191.71663414211835</v>
      </c>
      <c r="AV204" s="17">
        <f t="shared" si="157"/>
        <v>545.65503563525988</v>
      </c>
      <c r="AW204" s="17">
        <f t="shared" si="158"/>
        <v>169092.46900809993</v>
      </c>
      <c r="AX204" s="17">
        <f>IF('1 - Input'!$B$17=1,MAX(0,AV204-AN204),0)</f>
        <v>0</v>
      </c>
      <c r="AY204" s="17">
        <f>IF('1 - Input'!$B$17=1,MAX(0,AN204-AV204),0)</f>
        <v>2947.0828665899894</v>
      </c>
      <c r="AZ204" s="17">
        <f t="shared" si="159"/>
        <v>0</v>
      </c>
      <c r="BA204" s="17">
        <f>IF(AND(AY204&gt;0,AS204&gt;0),AY204/(1-'1 - Input'!$B$22*AZ204),0)</f>
        <v>2947.0828665899894</v>
      </c>
      <c r="BB204" s="17">
        <f t="shared" si="160"/>
        <v>2947.0828665899894</v>
      </c>
      <c r="BC204" s="17">
        <f>'1 - Input'!$B$22*AZ204*BB204</f>
        <v>0</v>
      </c>
      <c r="BD204" s="17">
        <f t="shared" si="161"/>
        <v>2947.0828665899894</v>
      </c>
      <c r="BE204" s="17">
        <f t="shared" si="162"/>
        <v>0</v>
      </c>
      <c r="BF204" s="17">
        <f t="shared" si="163"/>
        <v>2159.8589895981427</v>
      </c>
      <c r="BG204" s="17">
        <f t="shared" si="164"/>
        <v>94631.768100616391</v>
      </c>
      <c r="BH204" s="17">
        <f t="shared" si="165"/>
        <v>163985.52715191181</v>
      </c>
      <c r="BI204" s="17">
        <f>IF(MOD(AK204,12)=0,BG204*'1 - Input'!$B$23,0)</f>
        <v>0</v>
      </c>
      <c r="BJ204" s="17">
        <f t="shared" si="166"/>
        <v>94631.768100616391</v>
      </c>
      <c r="BK204" s="17">
        <f>IF(MOD(AK204,12)=0,BH204*(1-'1 - Input'!$B$23),BH204)</f>
        <v>163985.52715191181</v>
      </c>
      <c r="BL204" s="17">
        <f>IF('1 - Input'!$B$17=1,MIN(AV204,AN204)+BD204,AV204)</f>
        <v>3492.7379022252494</v>
      </c>
      <c r="BM204" s="17">
        <f t="shared" si="193"/>
        <v>493106.43084627605</v>
      </c>
      <c r="BN204" s="17">
        <f t="shared" si="194"/>
        <v>98774.759699985312</v>
      </c>
      <c r="BO204" s="17">
        <f t="shared" si="195"/>
        <v>0</v>
      </c>
      <c r="BP204" s="17">
        <f t="shared" si="196"/>
        <v>100453.49784052117</v>
      </c>
      <c r="BQ204" s="17">
        <f t="shared" si="197"/>
        <v>7920.7666519372215</v>
      </c>
      <c r="BR204" s="17">
        <f t="shared" si="198"/>
        <v>0</v>
      </c>
      <c r="BS204" s="15">
        <f t="shared" si="167"/>
        <v>0</v>
      </c>
      <c r="BU204" s="14">
        <v>161</v>
      </c>
      <c r="BV204" s="15">
        <f t="shared" si="168"/>
        <v>14</v>
      </c>
      <c r="BW204" s="16">
        <f>(1+INDEX('1 - Input'!$B$34:$E$63,BV204,'1 - Input'!$B$16))^(1/12)-1</f>
        <v>4.1219243192651689E-3</v>
      </c>
      <c r="BX204" s="17">
        <f>'1 - Input'!$B$7*(1+'1 - Input'!$B$12)^(BV204-1)</f>
        <v>3492.7379022252494</v>
      </c>
      <c r="BY204" s="17">
        <f t="shared" si="199"/>
        <v>228124.41476181577</v>
      </c>
      <c r="BZ204" s="17">
        <f t="shared" si="200"/>
        <v>31380.977937638105</v>
      </c>
      <c r="CA204" s="17">
        <f t="shared" si="169"/>
        <v>229064.72633484064</v>
      </c>
      <c r="CB204" s="17">
        <f>IF(CA204&gt;0,'1 - Input'!$B$8/12*CA204,0)</f>
        <v>1717.9854475113048</v>
      </c>
      <c r="CC204" s="17">
        <f t="shared" si="170"/>
        <v>227346.74088732933</v>
      </c>
      <c r="CD204" s="17">
        <f t="shared" si="171"/>
        <v>1717.9854475113048</v>
      </c>
      <c r="CE204" s="17">
        <f>'1 - Input'!$B$22*(CB204-CD204)</f>
        <v>0</v>
      </c>
      <c r="CF204" s="17">
        <f t="shared" si="172"/>
        <v>1717.9854475113048</v>
      </c>
      <c r="CG204" s="17">
        <f t="shared" si="173"/>
        <v>29662.992490126799</v>
      </c>
      <c r="CH204" s="17">
        <f>IF('1 - Input'!$B$17=1,MAX(0,CF204-BX204),0)</f>
        <v>0</v>
      </c>
      <c r="CI204" s="17">
        <f>IF('1 - Input'!$B$17=1,MAX(0,BX204-CF204),0)</f>
        <v>1774.7524547139446</v>
      </c>
      <c r="CJ204" s="17">
        <f t="shared" si="174"/>
        <v>0.86952532341412603</v>
      </c>
      <c r="CK204" s="17">
        <f>IF(AND(CI204&gt;0,CC204&gt;0),CI204/(1-'1 - Input'!$B$22*CJ204),0)</f>
        <v>2293.1887293031523</v>
      </c>
      <c r="CL204" s="17">
        <f t="shared" si="175"/>
        <v>2293.1887293031523</v>
      </c>
      <c r="CM204" s="17">
        <f>'1 - Input'!$B$22*CJ204*CL204</f>
        <v>518.43627458920764</v>
      </c>
      <c r="CN204" s="17">
        <f t="shared" si="176"/>
        <v>1774.7524547139446</v>
      </c>
      <c r="CO204" s="17">
        <f t="shared" si="177"/>
        <v>0</v>
      </c>
      <c r="CP204" s="17">
        <f t="shared" si="178"/>
        <v>0</v>
      </c>
      <c r="CQ204" s="17">
        <f t="shared" si="179"/>
        <v>225053.55215802617</v>
      </c>
      <c r="CR204" s="17">
        <f t="shared" si="180"/>
        <v>29363.789432320598</v>
      </c>
      <c r="CS204" s="17">
        <f>IF(MOD(BU204,12)=0,CQ204*'1 - Input'!$B$23,0)</f>
        <v>0</v>
      </c>
      <c r="CT204" s="17">
        <f t="shared" si="181"/>
        <v>225053.55215802617</v>
      </c>
      <c r="CU204" s="17">
        <f>IF(MOD(BU204,12)=0,CR204*(1-'1 - Input'!$B$23),CR204)</f>
        <v>29363.789432320598</v>
      </c>
      <c r="CV204" s="17">
        <f>IF('1 - Input'!$B$17=1,MIN(CF204,BX204)+CN204,CF204)</f>
        <v>3492.7379022252494</v>
      </c>
      <c r="CW204" s="17">
        <f t="shared" si="201"/>
        <v>493106.43084627605</v>
      </c>
      <c r="CX204" s="17">
        <f t="shared" si="202"/>
        <v>0</v>
      </c>
      <c r="CY204" s="17">
        <f t="shared" si="203"/>
        <v>14856.534303730597</v>
      </c>
      <c r="CZ204" s="17">
        <f t="shared" si="204"/>
        <v>0</v>
      </c>
      <c r="DA204" s="17">
        <f t="shared" si="205"/>
        <v>9914.6539168964791</v>
      </c>
      <c r="DB204" s="17">
        <f t="shared" si="206"/>
        <v>0</v>
      </c>
      <c r="DC204" s="15">
        <f t="shared" si="182"/>
        <v>0</v>
      </c>
    </row>
    <row r="205" spans="1:107">
      <c r="A205" s="14">
        <v>162</v>
      </c>
      <c r="B205" s="15">
        <f t="shared" si="138"/>
        <v>14</v>
      </c>
      <c r="C205" s="16">
        <f>(1+INDEX('1 - Input'!$B$34:$E$63,B205,'1 - Input'!$B$16))^(1/12)-1</f>
        <v>4.1219243192651689E-3</v>
      </c>
      <c r="D205" s="17">
        <f>'1 - Input'!$B$7*(1+'1 - Input'!$B$12)^(B205-1)</f>
        <v>3492.7379022252494</v>
      </c>
      <c r="E205" s="17">
        <f t="shared" si="183"/>
        <v>94631.768100616391</v>
      </c>
      <c r="F205" s="17">
        <f t="shared" si="184"/>
        <v>163985.52715191181</v>
      </c>
      <c r="G205" s="17">
        <f t="shared" si="139"/>
        <v>95021.833086925384</v>
      </c>
      <c r="H205" s="17">
        <f>IF(G205&gt;0,'1 - Input'!$B$8/12*G205,0)</f>
        <v>712.66374815194035</v>
      </c>
      <c r="I205" s="17">
        <f t="shared" si="140"/>
        <v>94309.169338773441</v>
      </c>
      <c r="J205" s="17">
        <f t="shared" si="141"/>
        <v>0</v>
      </c>
      <c r="K205" s="17">
        <f>'1 - Input'!$B$22*(H205-J205)</f>
        <v>185.29257451950451</v>
      </c>
      <c r="L205" s="17">
        <f t="shared" si="142"/>
        <v>527.37117363243578</v>
      </c>
      <c r="M205" s="17">
        <f t="shared" si="143"/>
        <v>163985.52715191181</v>
      </c>
      <c r="N205" s="17">
        <f>IF('1 - Input'!$B$17=1,MAX(0,L205-D205),0)</f>
        <v>0</v>
      </c>
      <c r="O205" s="17">
        <f>IF('1 - Input'!$B$17=1,MAX(0,D205-L205),0)</f>
        <v>2965.3667285928136</v>
      </c>
      <c r="P205" s="17">
        <f t="shared" si="144"/>
        <v>0</v>
      </c>
      <c r="Q205" s="17">
        <f>IF(AND(O205&gt;0,I205&gt;0),O205/(1-'1 - Input'!$B$22*P205),0)</f>
        <v>2965.3667285928136</v>
      </c>
      <c r="R205" s="17">
        <f t="shared" si="145"/>
        <v>2965.3667285928136</v>
      </c>
      <c r="S205" s="17">
        <f>'1 - Input'!$B$22*P205*R205</f>
        <v>0</v>
      </c>
      <c r="T205" s="17">
        <f t="shared" si="146"/>
        <v>2965.3667285928136</v>
      </c>
      <c r="U205" s="17">
        <f t="shared" si="147"/>
        <v>0</v>
      </c>
      <c r="V205" s="17">
        <f t="shared" si="148"/>
        <v>2190.8363171603314</v>
      </c>
      <c r="W205" s="17">
        <f t="shared" si="149"/>
        <v>91343.802610180632</v>
      </c>
      <c r="X205" s="17">
        <f t="shared" si="150"/>
        <v>158829.32410615866</v>
      </c>
      <c r="Y205" s="17">
        <f>IF(MOD(A205,12)=0,W205*'1 - Input'!$B$23,0)</f>
        <v>0</v>
      </c>
      <c r="Z205" s="17">
        <f t="shared" si="151"/>
        <v>91343.802610180632</v>
      </c>
      <c r="AA205" s="17">
        <f>IF(MOD(A205,12)=0,X205*(1-'1 - Input'!$B$23),X205)</f>
        <v>158829.32410615866</v>
      </c>
      <c r="AB205" s="17">
        <f>IF('1 - Input'!$B$17=1,MIN(L205,D205)+T205,L205)</f>
        <v>3492.7379022252494</v>
      </c>
      <c r="AC205" s="17">
        <f t="shared" si="185"/>
        <v>496599.16874850128</v>
      </c>
      <c r="AD205" s="17">
        <f t="shared" si="186"/>
        <v>98960.052274504822</v>
      </c>
      <c r="AE205" s="17">
        <f t="shared" si="187"/>
        <v>0</v>
      </c>
      <c r="AF205" s="17">
        <f t="shared" si="188"/>
        <v>102644.3341576815</v>
      </c>
      <c r="AG205" s="17">
        <f t="shared" si="189"/>
        <v>7920.7666519372215</v>
      </c>
      <c r="AH205" s="17">
        <f t="shared" si="190"/>
        <v>0</v>
      </c>
      <c r="AI205" s="15">
        <f t="shared" si="152"/>
        <v>0</v>
      </c>
      <c r="AK205" s="14">
        <v>162</v>
      </c>
      <c r="AL205" s="15">
        <f t="shared" si="153"/>
        <v>14</v>
      </c>
      <c r="AM205" s="16">
        <f>(1+INDEX('1 - Input'!$B$34:$E$63,AL205,'1 - Input'!$B$16))^(1/12)-1</f>
        <v>4.1219243192651689E-3</v>
      </c>
      <c r="AN205" s="17">
        <f>'1 - Input'!$B$7*(1+'1 - Input'!$B$12)^(AL205-1)</f>
        <v>3492.7379022252494</v>
      </c>
      <c r="AO205" s="17">
        <f t="shared" si="191"/>
        <v>94631.768100616391</v>
      </c>
      <c r="AP205" s="17">
        <f t="shared" si="192"/>
        <v>163985.52715191181</v>
      </c>
      <c r="AQ205" s="17">
        <f t="shared" si="154"/>
        <v>95021.833086925384</v>
      </c>
      <c r="AR205" s="17">
        <f>IF(AQ205&gt;0,'1 - Input'!$B$8/12*AQ205,0)</f>
        <v>712.66374815194035</v>
      </c>
      <c r="AS205" s="17">
        <f t="shared" si="155"/>
        <v>94309.169338773441</v>
      </c>
      <c r="AT205" s="17">
        <f t="shared" si="156"/>
        <v>0</v>
      </c>
      <c r="AU205" s="17">
        <f>'1 - Input'!$B$22*(AR205-AT205)</f>
        <v>185.29257451950451</v>
      </c>
      <c r="AV205" s="17">
        <f t="shared" si="157"/>
        <v>527.37117363243578</v>
      </c>
      <c r="AW205" s="17">
        <f t="shared" si="158"/>
        <v>163985.52715191181</v>
      </c>
      <c r="AX205" s="17">
        <f>IF('1 - Input'!$B$17=1,MAX(0,AV205-AN205),0)</f>
        <v>0</v>
      </c>
      <c r="AY205" s="17">
        <f>IF('1 - Input'!$B$17=1,MAX(0,AN205-AV205),0)</f>
        <v>2965.3667285928136</v>
      </c>
      <c r="AZ205" s="17">
        <f t="shared" si="159"/>
        <v>0</v>
      </c>
      <c r="BA205" s="17">
        <f>IF(AND(AY205&gt;0,AS205&gt;0),AY205/(1-'1 - Input'!$B$22*AZ205),0)</f>
        <v>2965.3667285928136</v>
      </c>
      <c r="BB205" s="17">
        <f t="shared" si="160"/>
        <v>2965.3667285928136</v>
      </c>
      <c r="BC205" s="17">
        <f>'1 - Input'!$B$22*AZ205*BB205</f>
        <v>0</v>
      </c>
      <c r="BD205" s="17">
        <f t="shared" si="161"/>
        <v>2965.3667285928136</v>
      </c>
      <c r="BE205" s="17">
        <f t="shared" si="162"/>
        <v>0</v>
      </c>
      <c r="BF205" s="17">
        <f t="shared" si="163"/>
        <v>2190.8363171603314</v>
      </c>
      <c r="BG205" s="17">
        <f t="shared" si="164"/>
        <v>91343.802610180632</v>
      </c>
      <c r="BH205" s="17">
        <f t="shared" si="165"/>
        <v>158829.32410615866</v>
      </c>
      <c r="BI205" s="17">
        <f>IF(MOD(AK205,12)=0,BG205*'1 - Input'!$B$23,0)</f>
        <v>0</v>
      </c>
      <c r="BJ205" s="17">
        <f t="shared" si="166"/>
        <v>91343.802610180632</v>
      </c>
      <c r="BK205" s="17">
        <f>IF(MOD(AK205,12)=0,BH205*(1-'1 - Input'!$B$23),BH205)</f>
        <v>158829.32410615866</v>
      </c>
      <c r="BL205" s="17">
        <f>IF('1 - Input'!$B$17=1,MIN(AV205,AN205)+BD205,AV205)</f>
        <v>3492.7379022252494</v>
      </c>
      <c r="BM205" s="17">
        <f t="shared" si="193"/>
        <v>496599.16874850128</v>
      </c>
      <c r="BN205" s="17">
        <f t="shared" si="194"/>
        <v>98960.052274504822</v>
      </c>
      <c r="BO205" s="17">
        <f t="shared" si="195"/>
        <v>0</v>
      </c>
      <c r="BP205" s="17">
        <f t="shared" si="196"/>
        <v>102644.3341576815</v>
      </c>
      <c r="BQ205" s="17">
        <f t="shared" si="197"/>
        <v>7920.7666519372215</v>
      </c>
      <c r="BR205" s="17">
        <f t="shared" si="198"/>
        <v>0</v>
      </c>
      <c r="BS205" s="15">
        <f t="shared" si="167"/>
        <v>0</v>
      </c>
      <c r="BU205" s="14">
        <v>162</v>
      </c>
      <c r="BV205" s="15">
        <f t="shared" si="168"/>
        <v>14</v>
      </c>
      <c r="BW205" s="16">
        <f>(1+INDEX('1 - Input'!$B$34:$E$63,BV205,'1 - Input'!$B$16))^(1/12)-1</f>
        <v>4.1219243192651689E-3</v>
      </c>
      <c r="BX205" s="17">
        <f>'1 - Input'!$B$7*(1+'1 - Input'!$B$12)^(BV205-1)</f>
        <v>3492.7379022252494</v>
      </c>
      <c r="BY205" s="17">
        <f t="shared" si="199"/>
        <v>225053.55215802617</v>
      </c>
      <c r="BZ205" s="17">
        <f t="shared" si="200"/>
        <v>29363.789432320598</v>
      </c>
      <c r="CA205" s="17">
        <f t="shared" si="169"/>
        <v>225981.20586780336</v>
      </c>
      <c r="CB205" s="17">
        <f>IF(CA205&gt;0,'1 - Input'!$B$8/12*CA205,0)</f>
        <v>1694.8590440085252</v>
      </c>
      <c r="CC205" s="17">
        <f t="shared" si="170"/>
        <v>224286.34682379483</v>
      </c>
      <c r="CD205" s="17">
        <f t="shared" si="171"/>
        <v>1694.8590440085252</v>
      </c>
      <c r="CE205" s="17">
        <f>'1 - Input'!$B$22*(CB205-CD205)</f>
        <v>0</v>
      </c>
      <c r="CF205" s="17">
        <f t="shared" si="172"/>
        <v>1694.8590440085252</v>
      </c>
      <c r="CG205" s="17">
        <f t="shared" si="173"/>
        <v>27668.930388312074</v>
      </c>
      <c r="CH205" s="17">
        <f>IF('1 - Input'!$B$17=1,MAX(0,CF205-BX205),0)</f>
        <v>0</v>
      </c>
      <c r="CI205" s="17">
        <f>IF('1 - Input'!$B$17=1,MAX(0,BX205-CF205),0)</f>
        <v>1797.8788582167242</v>
      </c>
      <c r="CJ205" s="17">
        <f t="shared" si="174"/>
        <v>0.87663569013387377</v>
      </c>
      <c r="CK205" s="17">
        <f>IF(AND(CI205&gt;0,CC205&gt;0),CI205/(1-'1 - Input'!$B$22*CJ205),0)</f>
        <v>2328.6332401876821</v>
      </c>
      <c r="CL205" s="17">
        <f t="shared" si="175"/>
        <v>2328.6332401876821</v>
      </c>
      <c r="CM205" s="17">
        <f>'1 - Input'!$B$22*CJ205*CL205</f>
        <v>530.75438197095798</v>
      </c>
      <c r="CN205" s="17">
        <f t="shared" si="176"/>
        <v>1797.878858216724</v>
      </c>
      <c r="CO205" s="17">
        <f t="shared" si="177"/>
        <v>0</v>
      </c>
      <c r="CP205" s="17">
        <f t="shared" si="178"/>
        <v>0</v>
      </c>
      <c r="CQ205" s="17">
        <f t="shared" si="179"/>
        <v>221957.71358360714</v>
      </c>
      <c r="CR205" s="17">
        <f t="shared" si="180"/>
        <v>27381.660155704998</v>
      </c>
      <c r="CS205" s="17">
        <f>IF(MOD(BU205,12)=0,CQ205*'1 - Input'!$B$23,0)</f>
        <v>0</v>
      </c>
      <c r="CT205" s="17">
        <f t="shared" si="181"/>
        <v>221957.71358360714</v>
      </c>
      <c r="CU205" s="17">
        <f>IF(MOD(BU205,12)=0,CR205*(1-'1 - Input'!$B$23),CR205)</f>
        <v>27381.660155704998</v>
      </c>
      <c r="CV205" s="17">
        <f>IF('1 - Input'!$B$17=1,MIN(CF205,BX205)+CN205,CF205)</f>
        <v>3492.7379022252489</v>
      </c>
      <c r="CW205" s="17">
        <f t="shared" si="201"/>
        <v>496599.16874850128</v>
      </c>
      <c r="CX205" s="17">
        <f t="shared" si="202"/>
        <v>0</v>
      </c>
      <c r="CY205" s="17">
        <f t="shared" si="203"/>
        <v>15387.288685701555</v>
      </c>
      <c r="CZ205" s="17">
        <f t="shared" si="204"/>
        <v>0</v>
      </c>
      <c r="DA205" s="17">
        <f t="shared" si="205"/>
        <v>9914.6539168964791</v>
      </c>
      <c r="DB205" s="17">
        <f t="shared" si="206"/>
        <v>0</v>
      </c>
      <c r="DC205" s="15">
        <f t="shared" si="182"/>
        <v>0</v>
      </c>
    </row>
    <row r="206" spans="1:107">
      <c r="A206" s="14">
        <v>163</v>
      </c>
      <c r="B206" s="15">
        <f t="shared" si="138"/>
        <v>14</v>
      </c>
      <c r="C206" s="16">
        <f>(1+INDEX('1 - Input'!$B$34:$E$63,B206,'1 - Input'!$B$16))^(1/12)-1</f>
        <v>4.1219243192651689E-3</v>
      </c>
      <c r="D206" s="17">
        <f>'1 - Input'!$B$7*(1+'1 - Input'!$B$12)^(B206-1)</f>
        <v>3492.7379022252494</v>
      </c>
      <c r="E206" s="17">
        <f t="shared" si="183"/>
        <v>91343.802610180632</v>
      </c>
      <c r="F206" s="17">
        <f t="shared" si="184"/>
        <v>158829.32410615866</v>
      </c>
      <c r="G206" s="17">
        <f t="shared" si="139"/>
        <v>91720.314851573698</v>
      </c>
      <c r="H206" s="17">
        <f>IF(G206&gt;0,'1 - Input'!$B$8/12*G206,0)</f>
        <v>687.90236138680268</v>
      </c>
      <c r="I206" s="17">
        <f t="shared" si="140"/>
        <v>91032.412490186893</v>
      </c>
      <c r="J206" s="17">
        <f t="shared" si="141"/>
        <v>0</v>
      </c>
      <c r="K206" s="17">
        <f>'1 - Input'!$B$22*(H206-J206)</f>
        <v>178.85461396056871</v>
      </c>
      <c r="L206" s="17">
        <f t="shared" si="142"/>
        <v>509.04774742623397</v>
      </c>
      <c r="M206" s="17">
        <f t="shared" si="143"/>
        <v>158829.32410615866</v>
      </c>
      <c r="N206" s="17">
        <f>IF('1 - Input'!$B$17=1,MAX(0,L206-D206),0)</f>
        <v>0</v>
      </c>
      <c r="O206" s="17">
        <f>IF('1 - Input'!$B$17=1,MAX(0,D206-L206),0)</f>
        <v>2983.6901547990155</v>
      </c>
      <c r="P206" s="17">
        <f t="shared" si="144"/>
        <v>0</v>
      </c>
      <c r="Q206" s="17">
        <f>IF(AND(O206&gt;0,I206&gt;0),O206/(1-'1 - Input'!$B$22*P206),0)</f>
        <v>2983.6901547990155</v>
      </c>
      <c r="R206" s="17">
        <f t="shared" si="145"/>
        <v>2983.6901547990155</v>
      </c>
      <c r="S206" s="17">
        <f>'1 - Input'!$B$22*P206*R206</f>
        <v>0</v>
      </c>
      <c r="T206" s="17">
        <f t="shared" si="146"/>
        <v>2983.6901547990155</v>
      </c>
      <c r="U206" s="17">
        <f t="shared" si="147"/>
        <v>0</v>
      </c>
      <c r="V206" s="17">
        <f t="shared" si="148"/>
        <v>2222.1203654924543</v>
      </c>
      <c r="W206" s="17">
        <f t="shared" si="149"/>
        <v>88048.72233538788</v>
      </c>
      <c r="X206" s="17">
        <f t="shared" si="150"/>
        <v>153623.51358586719</v>
      </c>
      <c r="Y206" s="17">
        <f>IF(MOD(A206,12)=0,W206*'1 - Input'!$B$23,0)</f>
        <v>0</v>
      </c>
      <c r="Z206" s="17">
        <f t="shared" si="151"/>
        <v>88048.72233538788</v>
      </c>
      <c r="AA206" s="17">
        <f>IF(MOD(A206,12)=0,X206*(1-'1 - Input'!$B$23),X206)</f>
        <v>153623.51358586719</v>
      </c>
      <c r="AB206" s="17">
        <f>IF('1 - Input'!$B$17=1,MIN(L206,D206)+T206,L206)</f>
        <v>3492.7379022252494</v>
      </c>
      <c r="AC206" s="17">
        <f t="shared" si="185"/>
        <v>500091.90665072651</v>
      </c>
      <c r="AD206" s="17">
        <f t="shared" si="186"/>
        <v>99138.906888465397</v>
      </c>
      <c r="AE206" s="17">
        <f t="shared" si="187"/>
        <v>0</v>
      </c>
      <c r="AF206" s="17">
        <f t="shared" si="188"/>
        <v>104866.45452317396</v>
      </c>
      <c r="AG206" s="17">
        <f t="shared" si="189"/>
        <v>7920.7666519372215</v>
      </c>
      <c r="AH206" s="17">
        <f t="shared" si="190"/>
        <v>0</v>
      </c>
      <c r="AI206" s="15">
        <f t="shared" si="152"/>
        <v>0</v>
      </c>
      <c r="AK206" s="14">
        <v>163</v>
      </c>
      <c r="AL206" s="15">
        <f t="shared" si="153"/>
        <v>14</v>
      </c>
      <c r="AM206" s="16">
        <f>(1+INDEX('1 - Input'!$B$34:$E$63,AL206,'1 - Input'!$B$16))^(1/12)-1</f>
        <v>4.1219243192651689E-3</v>
      </c>
      <c r="AN206" s="17">
        <f>'1 - Input'!$B$7*(1+'1 - Input'!$B$12)^(AL206-1)</f>
        <v>3492.7379022252494</v>
      </c>
      <c r="AO206" s="17">
        <f t="shared" si="191"/>
        <v>91343.802610180632</v>
      </c>
      <c r="AP206" s="17">
        <f t="shared" si="192"/>
        <v>158829.32410615866</v>
      </c>
      <c r="AQ206" s="17">
        <f t="shared" si="154"/>
        <v>91720.314851573698</v>
      </c>
      <c r="AR206" s="17">
        <f>IF(AQ206&gt;0,'1 - Input'!$B$8/12*AQ206,0)</f>
        <v>687.90236138680268</v>
      </c>
      <c r="AS206" s="17">
        <f t="shared" si="155"/>
        <v>91032.412490186893</v>
      </c>
      <c r="AT206" s="17">
        <f t="shared" si="156"/>
        <v>0</v>
      </c>
      <c r="AU206" s="17">
        <f>'1 - Input'!$B$22*(AR206-AT206)</f>
        <v>178.85461396056871</v>
      </c>
      <c r="AV206" s="17">
        <f t="shared" si="157"/>
        <v>509.04774742623397</v>
      </c>
      <c r="AW206" s="17">
        <f t="shared" si="158"/>
        <v>158829.32410615866</v>
      </c>
      <c r="AX206" s="17">
        <f>IF('1 - Input'!$B$17=1,MAX(0,AV206-AN206),0)</f>
        <v>0</v>
      </c>
      <c r="AY206" s="17">
        <f>IF('1 - Input'!$B$17=1,MAX(0,AN206-AV206),0)</f>
        <v>2983.6901547990155</v>
      </c>
      <c r="AZ206" s="17">
        <f t="shared" si="159"/>
        <v>0</v>
      </c>
      <c r="BA206" s="17">
        <f>IF(AND(AY206&gt;0,AS206&gt;0),AY206/(1-'1 - Input'!$B$22*AZ206),0)</f>
        <v>2983.6901547990155</v>
      </c>
      <c r="BB206" s="17">
        <f t="shared" si="160"/>
        <v>2983.6901547990155</v>
      </c>
      <c r="BC206" s="17">
        <f>'1 - Input'!$B$22*AZ206*BB206</f>
        <v>0</v>
      </c>
      <c r="BD206" s="17">
        <f t="shared" si="161"/>
        <v>2983.6901547990155</v>
      </c>
      <c r="BE206" s="17">
        <f t="shared" si="162"/>
        <v>0</v>
      </c>
      <c r="BF206" s="17">
        <f t="shared" si="163"/>
        <v>2222.1203654924543</v>
      </c>
      <c r="BG206" s="17">
        <f t="shared" si="164"/>
        <v>88048.72233538788</v>
      </c>
      <c r="BH206" s="17">
        <f t="shared" si="165"/>
        <v>153623.51358586719</v>
      </c>
      <c r="BI206" s="17">
        <f>IF(MOD(AK206,12)=0,BG206*'1 - Input'!$B$23,0)</f>
        <v>0</v>
      </c>
      <c r="BJ206" s="17">
        <f t="shared" si="166"/>
        <v>88048.72233538788</v>
      </c>
      <c r="BK206" s="17">
        <f>IF(MOD(AK206,12)=0,BH206*(1-'1 - Input'!$B$23),BH206)</f>
        <v>153623.51358586719</v>
      </c>
      <c r="BL206" s="17">
        <f>IF('1 - Input'!$B$17=1,MIN(AV206,AN206)+BD206,AV206)</f>
        <v>3492.7379022252494</v>
      </c>
      <c r="BM206" s="17">
        <f t="shared" si="193"/>
        <v>500091.90665072651</v>
      </c>
      <c r="BN206" s="17">
        <f t="shared" si="194"/>
        <v>99138.906888465397</v>
      </c>
      <c r="BO206" s="17">
        <f t="shared" si="195"/>
        <v>0</v>
      </c>
      <c r="BP206" s="17">
        <f t="shared" si="196"/>
        <v>104866.45452317396</v>
      </c>
      <c r="BQ206" s="17">
        <f t="shared" si="197"/>
        <v>7920.7666519372215</v>
      </c>
      <c r="BR206" s="17">
        <f t="shared" si="198"/>
        <v>0</v>
      </c>
      <c r="BS206" s="15">
        <f t="shared" si="167"/>
        <v>0</v>
      </c>
      <c r="BU206" s="14">
        <v>163</v>
      </c>
      <c r="BV206" s="15">
        <f t="shared" si="168"/>
        <v>14</v>
      </c>
      <c r="BW206" s="16">
        <f>(1+INDEX('1 - Input'!$B$34:$E$63,BV206,'1 - Input'!$B$16))^(1/12)-1</f>
        <v>4.1219243192651689E-3</v>
      </c>
      <c r="BX206" s="17">
        <f>'1 - Input'!$B$7*(1+'1 - Input'!$B$12)^(BV206-1)</f>
        <v>3492.7379022252494</v>
      </c>
      <c r="BY206" s="17">
        <f t="shared" si="199"/>
        <v>221957.71358360714</v>
      </c>
      <c r="BZ206" s="17">
        <f t="shared" si="200"/>
        <v>27381.660155704998</v>
      </c>
      <c r="CA206" s="17">
        <f t="shared" si="169"/>
        <v>222872.6064810759</v>
      </c>
      <c r="CB206" s="17">
        <f>IF(CA206&gt;0,'1 - Input'!$B$8/12*CA206,0)</f>
        <v>1671.5445486080691</v>
      </c>
      <c r="CC206" s="17">
        <f t="shared" si="170"/>
        <v>221201.06193246783</v>
      </c>
      <c r="CD206" s="17">
        <f t="shared" si="171"/>
        <v>1671.5445486080691</v>
      </c>
      <c r="CE206" s="17">
        <f>'1 - Input'!$B$22*(CB206-CD206)</f>
        <v>0</v>
      </c>
      <c r="CF206" s="17">
        <f t="shared" si="172"/>
        <v>1671.5445486080691</v>
      </c>
      <c r="CG206" s="17">
        <f t="shared" si="173"/>
        <v>25710.11560709693</v>
      </c>
      <c r="CH206" s="17">
        <f>IF('1 - Input'!$B$17=1,MAX(0,CF206-BX206),0)</f>
        <v>0</v>
      </c>
      <c r="CI206" s="17">
        <f>IF('1 - Input'!$B$17=1,MAX(0,BX206-CF206),0)</f>
        <v>1821.1933536171803</v>
      </c>
      <c r="CJ206" s="17">
        <f t="shared" si="174"/>
        <v>0.88377037893721244</v>
      </c>
      <c r="CK206" s="17">
        <f>IF(AND(CI206&gt;0,CC206&gt;0),CI206/(1-'1 - Input'!$B$22*CJ206),0)</f>
        <v>2364.5115155148501</v>
      </c>
      <c r="CL206" s="17">
        <f t="shared" si="175"/>
        <v>2364.5115155148501</v>
      </c>
      <c r="CM206" s="17">
        <f>'1 - Input'!$B$22*CJ206*CL206</f>
        <v>543.31816189767005</v>
      </c>
      <c r="CN206" s="17">
        <f t="shared" si="176"/>
        <v>1821.19335361718</v>
      </c>
      <c r="CO206" s="17">
        <f t="shared" si="177"/>
        <v>0</v>
      </c>
      <c r="CP206" s="17">
        <f t="shared" si="178"/>
        <v>0</v>
      </c>
      <c r="CQ206" s="17">
        <f t="shared" si="179"/>
        <v>218836.55041695299</v>
      </c>
      <c r="CR206" s="17">
        <f t="shared" si="180"/>
        <v>25435.289329650041</v>
      </c>
      <c r="CS206" s="17">
        <f>IF(MOD(BU206,12)=0,CQ206*'1 - Input'!$B$23,0)</f>
        <v>0</v>
      </c>
      <c r="CT206" s="17">
        <f t="shared" si="181"/>
        <v>218836.55041695299</v>
      </c>
      <c r="CU206" s="17">
        <f>IF(MOD(BU206,12)=0,CR206*(1-'1 - Input'!$B$23),CR206)</f>
        <v>25435.289329650041</v>
      </c>
      <c r="CV206" s="17">
        <f>IF('1 - Input'!$B$17=1,MIN(CF206,BX206)+CN206,CF206)</f>
        <v>3492.7379022252489</v>
      </c>
      <c r="CW206" s="17">
        <f t="shared" si="201"/>
        <v>500091.90665072651</v>
      </c>
      <c r="CX206" s="17">
        <f t="shared" si="202"/>
        <v>0</v>
      </c>
      <c r="CY206" s="17">
        <f t="shared" si="203"/>
        <v>15930.606847599225</v>
      </c>
      <c r="CZ206" s="17">
        <f t="shared" si="204"/>
        <v>0</v>
      </c>
      <c r="DA206" s="17">
        <f t="shared" si="205"/>
        <v>9914.6539168964791</v>
      </c>
      <c r="DB206" s="17">
        <f t="shared" si="206"/>
        <v>0</v>
      </c>
      <c r="DC206" s="15">
        <f t="shared" si="182"/>
        <v>0</v>
      </c>
    </row>
    <row r="207" spans="1:107">
      <c r="A207" s="14">
        <v>164</v>
      </c>
      <c r="B207" s="15">
        <f t="shared" si="138"/>
        <v>14</v>
      </c>
      <c r="C207" s="16">
        <f>(1+INDEX('1 - Input'!$B$34:$E$63,B207,'1 - Input'!$B$16))^(1/12)-1</f>
        <v>4.1219243192651689E-3</v>
      </c>
      <c r="D207" s="17">
        <f>'1 - Input'!$B$7*(1+'1 - Input'!$B$12)^(B207-1)</f>
        <v>3492.7379022252494</v>
      </c>
      <c r="E207" s="17">
        <f t="shared" si="183"/>
        <v>88048.72233538788</v>
      </c>
      <c r="F207" s="17">
        <f t="shared" si="184"/>
        <v>153623.51358586719</v>
      </c>
      <c r="G207" s="17">
        <f t="shared" si="139"/>
        <v>88411.652505262347</v>
      </c>
      <c r="H207" s="17">
        <f>IF(G207&gt;0,'1 - Input'!$B$8/12*G207,0)</f>
        <v>663.08739378946757</v>
      </c>
      <c r="I207" s="17">
        <f t="shared" si="140"/>
        <v>87748.565111472883</v>
      </c>
      <c r="J207" s="17">
        <f t="shared" si="141"/>
        <v>0</v>
      </c>
      <c r="K207" s="17">
        <f>'1 - Input'!$B$22*(H207-J207)</f>
        <v>172.40272238526157</v>
      </c>
      <c r="L207" s="17">
        <f t="shared" si="142"/>
        <v>490.68467140420603</v>
      </c>
      <c r="M207" s="17">
        <f t="shared" si="143"/>
        <v>153623.51358586719</v>
      </c>
      <c r="N207" s="17">
        <f>IF('1 - Input'!$B$17=1,MAX(0,L207-D207),0)</f>
        <v>0</v>
      </c>
      <c r="O207" s="17">
        <f>IF('1 - Input'!$B$17=1,MAX(0,D207-L207),0)</f>
        <v>3002.0532308210431</v>
      </c>
      <c r="P207" s="17">
        <f t="shared" si="144"/>
        <v>0</v>
      </c>
      <c r="Q207" s="17">
        <f>IF(AND(O207&gt;0,I207&gt;0),O207/(1-'1 - Input'!$B$22*P207),0)</f>
        <v>3002.0532308210431</v>
      </c>
      <c r="R207" s="17">
        <f t="shared" si="145"/>
        <v>3002.0532308210431</v>
      </c>
      <c r="S207" s="17">
        <f>'1 - Input'!$B$22*P207*R207</f>
        <v>0</v>
      </c>
      <c r="T207" s="17">
        <f t="shared" si="146"/>
        <v>3002.0532308210431</v>
      </c>
      <c r="U207" s="17">
        <f t="shared" si="147"/>
        <v>0</v>
      </c>
      <c r="V207" s="17">
        <f t="shared" si="148"/>
        <v>2253.7132276350876</v>
      </c>
      <c r="W207" s="17">
        <f t="shared" si="149"/>
        <v>84746.511880651844</v>
      </c>
      <c r="X207" s="17">
        <f t="shared" si="150"/>
        <v>148367.74712741104</v>
      </c>
      <c r="Y207" s="17">
        <f>IF(MOD(A207,12)=0,W207*'1 - Input'!$B$23,0)</f>
        <v>0</v>
      </c>
      <c r="Z207" s="17">
        <f t="shared" si="151"/>
        <v>84746.511880651844</v>
      </c>
      <c r="AA207" s="17">
        <f>IF(MOD(A207,12)=0,X207*(1-'1 - Input'!$B$23),X207)</f>
        <v>148367.74712741104</v>
      </c>
      <c r="AB207" s="17">
        <f>IF('1 - Input'!$B$17=1,MIN(L207,D207)+T207,L207)</f>
        <v>3492.7379022252489</v>
      </c>
      <c r="AC207" s="17">
        <f t="shared" si="185"/>
        <v>503584.64455295174</v>
      </c>
      <c r="AD207" s="17">
        <f t="shared" si="186"/>
        <v>99311.309610850658</v>
      </c>
      <c r="AE207" s="17">
        <f t="shared" si="187"/>
        <v>0</v>
      </c>
      <c r="AF207" s="17">
        <f t="shared" si="188"/>
        <v>107120.16775080905</v>
      </c>
      <c r="AG207" s="17">
        <f t="shared" si="189"/>
        <v>7920.7666519372215</v>
      </c>
      <c r="AH207" s="17">
        <f t="shared" si="190"/>
        <v>0</v>
      </c>
      <c r="AI207" s="15">
        <f t="shared" si="152"/>
        <v>0</v>
      </c>
      <c r="AK207" s="14">
        <v>164</v>
      </c>
      <c r="AL207" s="15">
        <f t="shared" si="153"/>
        <v>14</v>
      </c>
      <c r="AM207" s="16">
        <f>(1+INDEX('1 - Input'!$B$34:$E$63,AL207,'1 - Input'!$B$16))^(1/12)-1</f>
        <v>4.1219243192651689E-3</v>
      </c>
      <c r="AN207" s="17">
        <f>'1 - Input'!$B$7*(1+'1 - Input'!$B$12)^(AL207-1)</f>
        <v>3492.7379022252494</v>
      </c>
      <c r="AO207" s="17">
        <f t="shared" si="191"/>
        <v>88048.72233538788</v>
      </c>
      <c r="AP207" s="17">
        <f t="shared" si="192"/>
        <v>153623.51358586719</v>
      </c>
      <c r="AQ207" s="17">
        <f t="shared" si="154"/>
        <v>88411.652505262347</v>
      </c>
      <c r="AR207" s="17">
        <f>IF(AQ207&gt;0,'1 - Input'!$B$8/12*AQ207,0)</f>
        <v>663.08739378946757</v>
      </c>
      <c r="AS207" s="17">
        <f t="shared" si="155"/>
        <v>87748.565111472883</v>
      </c>
      <c r="AT207" s="17">
        <f t="shared" si="156"/>
        <v>0</v>
      </c>
      <c r="AU207" s="17">
        <f>'1 - Input'!$B$22*(AR207-AT207)</f>
        <v>172.40272238526157</v>
      </c>
      <c r="AV207" s="17">
        <f t="shared" si="157"/>
        <v>490.68467140420603</v>
      </c>
      <c r="AW207" s="17">
        <f t="shared" si="158"/>
        <v>153623.51358586719</v>
      </c>
      <c r="AX207" s="17">
        <f>IF('1 - Input'!$B$17=1,MAX(0,AV207-AN207),0)</f>
        <v>0</v>
      </c>
      <c r="AY207" s="17">
        <f>IF('1 - Input'!$B$17=1,MAX(0,AN207-AV207),0)</f>
        <v>3002.0532308210431</v>
      </c>
      <c r="AZ207" s="17">
        <f t="shared" si="159"/>
        <v>0</v>
      </c>
      <c r="BA207" s="17">
        <f>IF(AND(AY207&gt;0,AS207&gt;0),AY207/(1-'1 - Input'!$B$22*AZ207),0)</f>
        <v>3002.0532308210431</v>
      </c>
      <c r="BB207" s="17">
        <f t="shared" si="160"/>
        <v>3002.0532308210431</v>
      </c>
      <c r="BC207" s="17">
        <f>'1 - Input'!$B$22*AZ207*BB207</f>
        <v>0</v>
      </c>
      <c r="BD207" s="17">
        <f t="shared" si="161"/>
        <v>3002.0532308210431</v>
      </c>
      <c r="BE207" s="17">
        <f t="shared" si="162"/>
        <v>0</v>
      </c>
      <c r="BF207" s="17">
        <f t="shared" si="163"/>
        <v>2253.7132276350876</v>
      </c>
      <c r="BG207" s="17">
        <f t="shared" si="164"/>
        <v>84746.511880651844</v>
      </c>
      <c r="BH207" s="17">
        <f t="shared" si="165"/>
        <v>148367.74712741104</v>
      </c>
      <c r="BI207" s="17">
        <f>IF(MOD(AK207,12)=0,BG207*'1 - Input'!$B$23,0)</f>
        <v>0</v>
      </c>
      <c r="BJ207" s="17">
        <f t="shared" si="166"/>
        <v>84746.511880651844</v>
      </c>
      <c r="BK207" s="17">
        <f>IF(MOD(AK207,12)=0,BH207*(1-'1 - Input'!$B$23),BH207)</f>
        <v>148367.74712741104</v>
      </c>
      <c r="BL207" s="17">
        <f>IF('1 - Input'!$B$17=1,MIN(AV207,AN207)+BD207,AV207)</f>
        <v>3492.7379022252489</v>
      </c>
      <c r="BM207" s="17">
        <f t="shared" si="193"/>
        <v>503584.64455295174</v>
      </c>
      <c r="BN207" s="17">
        <f t="shared" si="194"/>
        <v>99311.309610850658</v>
      </c>
      <c r="BO207" s="17">
        <f t="shared" si="195"/>
        <v>0</v>
      </c>
      <c r="BP207" s="17">
        <f t="shared" si="196"/>
        <v>107120.16775080905</v>
      </c>
      <c r="BQ207" s="17">
        <f t="shared" si="197"/>
        <v>7920.7666519372215</v>
      </c>
      <c r="BR207" s="17">
        <f t="shared" si="198"/>
        <v>0</v>
      </c>
      <c r="BS207" s="15">
        <f t="shared" si="167"/>
        <v>0</v>
      </c>
      <c r="BU207" s="14">
        <v>164</v>
      </c>
      <c r="BV207" s="15">
        <f t="shared" si="168"/>
        <v>14</v>
      </c>
      <c r="BW207" s="16">
        <f>(1+INDEX('1 - Input'!$B$34:$E$63,BV207,'1 - Input'!$B$16))^(1/12)-1</f>
        <v>4.1219243192651689E-3</v>
      </c>
      <c r="BX207" s="17">
        <f>'1 - Input'!$B$7*(1+'1 - Input'!$B$12)^(BV207-1)</f>
        <v>3492.7379022252494</v>
      </c>
      <c r="BY207" s="17">
        <f t="shared" si="199"/>
        <v>218836.55041695299</v>
      </c>
      <c r="BZ207" s="17">
        <f t="shared" si="200"/>
        <v>25435.289329650041</v>
      </c>
      <c r="CA207" s="17">
        <f t="shared" si="169"/>
        <v>219738.57811606073</v>
      </c>
      <c r="CB207" s="17">
        <f>IF(CA207&gt;0,'1 - Input'!$B$8/12*CA207,0)</f>
        <v>1648.0393358704555</v>
      </c>
      <c r="CC207" s="17">
        <f t="shared" si="170"/>
        <v>218090.53878019028</v>
      </c>
      <c r="CD207" s="17">
        <f t="shared" si="171"/>
        <v>1648.0393358704555</v>
      </c>
      <c r="CE207" s="17">
        <f>'1 - Input'!$B$22*(CB207-CD207)</f>
        <v>0</v>
      </c>
      <c r="CF207" s="17">
        <f t="shared" si="172"/>
        <v>1648.0393358704555</v>
      </c>
      <c r="CG207" s="17">
        <f t="shared" si="173"/>
        <v>23787.249993779584</v>
      </c>
      <c r="CH207" s="17">
        <f>IF('1 - Input'!$B$17=1,MAX(0,CF207-BX207),0)</f>
        <v>0</v>
      </c>
      <c r="CI207" s="17">
        <f>IF('1 - Input'!$B$17=1,MAX(0,BX207-CF207),0)</f>
        <v>1844.6985663547939</v>
      </c>
      <c r="CJ207" s="17">
        <f t="shared" si="174"/>
        <v>0.89092947302150349</v>
      </c>
      <c r="CK207" s="17">
        <f>IF(AND(CI207&gt;0,CC207&gt;0),CI207/(1-'1 - Input'!$B$22*CJ207),0)</f>
        <v>2400.8310673411747</v>
      </c>
      <c r="CL207" s="17">
        <f t="shared" si="175"/>
        <v>2400.8310673411747</v>
      </c>
      <c r="CM207" s="17">
        <f>'1 - Input'!$B$22*CJ207*CL207</f>
        <v>556.13250098638093</v>
      </c>
      <c r="CN207" s="17">
        <f t="shared" si="176"/>
        <v>1844.6985663547939</v>
      </c>
      <c r="CO207" s="17">
        <f t="shared" si="177"/>
        <v>0</v>
      </c>
      <c r="CP207" s="17">
        <f t="shared" si="178"/>
        <v>0</v>
      </c>
      <c r="CQ207" s="17">
        <f t="shared" si="179"/>
        <v>215689.70771284911</v>
      </c>
      <c r="CR207" s="17">
        <f t="shared" si="180"/>
        <v>23525.390084078335</v>
      </c>
      <c r="CS207" s="17">
        <f>IF(MOD(BU207,12)=0,CQ207*'1 - Input'!$B$23,0)</f>
        <v>0</v>
      </c>
      <c r="CT207" s="17">
        <f t="shared" si="181"/>
        <v>215689.70771284911</v>
      </c>
      <c r="CU207" s="17">
        <f>IF(MOD(BU207,12)=0,CR207*(1-'1 - Input'!$B$23),CR207)</f>
        <v>23525.390084078335</v>
      </c>
      <c r="CV207" s="17">
        <f>IF('1 - Input'!$B$17=1,MIN(CF207,BX207)+CN207,CF207)</f>
        <v>3492.7379022252494</v>
      </c>
      <c r="CW207" s="17">
        <f t="shared" si="201"/>
        <v>503584.64455295174</v>
      </c>
      <c r="CX207" s="17">
        <f t="shared" si="202"/>
        <v>0</v>
      </c>
      <c r="CY207" s="17">
        <f t="shared" si="203"/>
        <v>16486.739348585605</v>
      </c>
      <c r="CZ207" s="17">
        <f t="shared" si="204"/>
        <v>0</v>
      </c>
      <c r="DA207" s="17">
        <f t="shared" si="205"/>
        <v>9914.6539168964791</v>
      </c>
      <c r="DB207" s="17">
        <f t="shared" si="206"/>
        <v>0</v>
      </c>
      <c r="DC207" s="15">
        <f t="shared" si="182"/>
        <v>0</v>
      </c>
    </row>
    <row r="208" spans="1:107">
      <c r="A208" s="14">
        <v>165</v>
      </c>
      <c r="B208" s="15">
        <f t="shared" si="138"/>
        <v>14</v>
      </c>
      <c r="C208" s="16">
        <f>(1+INDEX('1 - Input'!$B$34:$E$63,B208,'1 - Input'!$B$16))^(1/12)-1</f>
        <v>4.1219243192651689E-3</v>
      </c>
      <c r="D208" s="17">
        <f>'1 - Input'!$B$7*(1+'1 - Input'!$B$12)^(B208-1)</f>
        <v>3492.7379022252494</v>
      </c>
      <c r="E208" s="17">
        <f t="shared" si="183"/>
        <v>84746.511880651844</v>
      </c>
      <c r="F208" s="17">
        <f t="shared" si="184"/>
        <v>148367.74712741104</v>
      </c>
      <c r="G208" s="17">
        <f t="shared" si="139"/>
        <v>85095.830588945595</v>
      </c>
      <c r="H208" s="17">
        <f>IF(G208&gt;0,'1 - Input'!$B$8/12*G208,0)</f>
        <v>638.21872941709194</v>
      </c>
      <c r="I208" s="17">
        <f t="shared" si="140"/>
        <v>84457.611859528508</v>
      </c>
      <c r="J208" s="17">
        <f t="shared" si="141"/>
        <v>0</v>
      </c>
      <c r="K208" s="17">
        <f>'1 - Input'!$B$22*(H208-J208)</f>
        <v>165.93686964844392</v>
      </c>
      <c r="L208" s="17">
        <f t="shared" si="142"/>
        <v>472.28185976864802</v>
      </c>
      <c r="M208" s="17">
        <f t="shared" si="143"/>
        <v>148367.74712741104</v>
      </c>
      <c r="N208" s="17">
        <f>IF('1 - Input'!$B$17=1,MAX(0,L208-D208),0)</f>
        <v>0</v>
      </c>
      <c r="O208" s="17">
        <f>IF('1 - Input'!$B$17=1,MAX(0,D208-L208),0)</f>
        <v>3020.4560424566016</v>
      </c>
      <c r="P208" s="17">
        <f t="shared" si="144"/>
        <v>0</v>
      </c>
      <c r="Q208" s="17">
        <f>IF(AND(O208&gt;0,I208&gt;0),O208/(1-'1 - Input'!$B$22*P208),0)</f>
        <v>3020.4560424566016</v>
      </c>
      <c r="R208" s="17">
        <f t="shared" si="145"/>
        <v>3020.4560424566016</v>
      </c>
      <c r="S208" s="17">
        <f>'1 - Input'!$B$22*P208*R208</f>
        <v>0</v>
      </c>
      <c r="T208" s="17">
        <f t="shared" si="146"/>
        <v>3020.4560424566016</v>
      </c>
      <c r="U208" s="17">
        <f t="shared" si="147"/>
        <v>0</v>
      </c>
      <c r="V208" s="17">
        <f t="shared" si="148"/>
        <v>2285.617009455093</v>
      </c>
      <c r="W208" s="17">
        <f t="shared" si="149"/>
        <v>81437.155817071907</v>
      </c>
      <c r="X208" s="17">
        <f t="shared" si="150"/>
        <v>143061.67407549935</v>
      </c>
      <c r="Y208" s="17">
        <f>IF(MOD(A208,12)=0,W208*'1 - Input'!$B$23,0)</f>
        <v>0</v>
      </c>
      <c r="Z208" s="17">
        <f t="shared" si="151"/>
        <v>81437.155817071907</v>
      </c>
      <c r="AA208" s="17">
        <f>IF(MOD(A208,12)=0,X208*(1-'1 - Input'!$B$23),X208)</f>
        <v>143061.67407549935</v>
      </c>
      <c r="AB208" s="17">
        <f>IF('1 - Input'!$B$17=1,MIN(L208,D208)+T208,L208)</f>
        <v>3492.7379022252499</v>
      </c>
      <c r="AC208" s="17">
        <f t="shared" si="185"/>
        <v>507077.38245517696</v>
      </c>
      <c r="AD208" s="17">
        <f t="shared" si="186"/>
        <v>99477.246480499103</v>
      </c>
      <c r="AE208" s="17">
        <f t="shared" si="187"/>
        <v>0</v>
      </c>
      <c r="AF208" s="17">
        <f t="shared" si="188"/>
        <v>109405.78476026414</v>
      </c>
      <c r="AG208" s="17">
        <f t="shared" si="189"/>
        <v>7920.7666519372215</v>
      </c>
      <c r="AH208" s="17">
        <f t="shared" si="190"/>
        <v>0</v>
      </c>
      <c r="AI208" s="15">
        <f t="shared" si="152"/>
        <v>0</v>
      </c>
      <c r="AK208" s="14">
        <v>165</v>
      </c>
      <c r="AL208" s="15">
        <f t="shared" si="153"/>
        <v>14</v>
      </c>
      <c r="AM208" s="16">
        <f>(1+INDEX('1 - Input'!$B$34:$E$63,AL208,'1 - Input'!$B$16))^(1/12)-1</f>
        <v>4.1219243192651689E-3</v>
      </c>
      <c r="AN208" s="17">
        <f>'1 - Input'!$B$7*(1+'1 - Input'!$B$12)^(AL208-1)</f>
        <v>3492.7379022252494</v>
      </c>
      <c r="AO208" s="17">
        <f t="shared" si="191"/>
        <v>84746.511880651844</v>
      </c>
      <c r="AP208" s="17">
        <f t="shared" si="192"/>
        <v>148367.74712741104</v>
      </c>
      <c r="AQ208" s="17">
        <f t="shared" si="154"/>
        <v>85095.830588945595</v>
      </c>
      <c r="AR208" s="17">
        <f>IF(AQ208&gt;0,'1 - Input'!$B$8/12*AQ208,0)</f>
        <v>638.21872941709194</v>
      </c>
      <c r="AS208" s="17">
        <f t="shared" si="155"/>
        <v>84457.611859528508</v>
      </c>
      <c r="AT208" s="17">
        <f t="shared" si="156"/>
        <v>0</v>
      </c>
      <c r="AU208" s="17">
        <f>'1 - Input'!$B$22*(AR208-AT208)</f>
        <v>165.93686964844392</v>
      </c>
      <c r="AV208" s="17">
        <f t="shared" si="157"/>
        <v>472.28185976864802</v>
      </c>
      <c r="AW208" s="17">
        <f t="shared" si="158"/>
        <v>148367.74712741104</v>
      </c>
      <c r="AX208" s="17">
        <f>IF('1 - Input'!$B$17=1,MAX(0,AV208-AN208),0)</f>
        <v>0</v>
      </c>
      <c r="AY208" s="17">
        <f>IF('1 - Input'!$B$17=1,MAX(0,AN208-AV208),0)</f>
        <v>3020.4560424566016</v>
      </c>
      <c r="AZ208" s="17">
        <f t="shared" si="159"/>
        <v>0</v>
      </c>
      <c r="BA208" s="17">
        <f>IF(AND(AY208&gt;0,AS208&gt;0),AY208/(1-'1 - Input'!$B$22*AZ208),0)</f>
        <v>3020.4560424566016</v>
      </c>
      <c r="BB208" s="17">
        <f t="shared" si="160"/>
        <v>3020.4560424566016</v>
      </c>
      <c r="BC208" s="17">
        <f>'1 - Input'!$B$22*AZ208*BB208</f>
        <v>0</v>
      </c>
      <c r="BD208" s="17">
        <f t="shared" si="161"/>
        <v>3020.4560424566016</v>
      </c>
      <c r="BE208" s="17">
        <f t="shared" si="162"/>
        <v>0</v>
      </c>
      <c r="BF208" s="17">
        <f t="shared" si="163"/>
        <v>2285.617009455093</v>
      </c>
      <c r="BG208" s="17">
        <f t="shared" si="164"/>
        <v>81437.155817071907</v>
      </c>
      <c r="BH208" s="17">
        <f t="shared" si="165"/>
        <v>143061.67407549935</v>
      </c>
      <c r="BI208" s="17">
        <f>IF(MOD(AK208,12)=0,BG208*'1 - Input'!$B$23,0)</f>
        <v>0</v>
      </c>
      <c r="BJ208" s="17">
        <f t="shared" si="166"/>
        <v>81437.155817071907</v>
      </c>
      <c r="BK208" s="17">
        <f>IF(MOD(AK208,12)=0,BH208*(1-'1 - Input'!$B$23),BH208)</f>
        <v>143061.67407549935</v>
      </c>
      <c r="BL208" s="17">
        <f>IF('1 - Input'!$B$17=1,MIN(AV208,AN208)+BD208,AV208)</f>
        <v>3492.7379022252499</v>
      </c>
      <c r="BM208" s="17">
        <f t="shared" si="193"/>
        <v>507077.38245517696</v>
      </c>
      <c r="BN208" s="17">
        <f t="shared" si="194"/>
        <v>99477.246480499103</v>
      </c>
      <c r="BO208" s="17">
        <f t="shared" si="195"/>
        <v>0</v>
      </c>
      <c r="BP208" s="17">
        <f t="shared" si="196"/>
        <v>109405.78476026414</v>
      </c>
      <c r="BQ208" s="17">
        <f t="shared" si="197"/>
        <v>7920.7666519372215</v>
      </c>
      <c r="BR208" s="17">
        <f t="shared" si="198"/>
        <v>0</v>
      </c>
      <c r="BS208" s="15">
        <f t="shared" si="167"/>
        <v>0</v>
      </c>
      <c r="BU208" s="14">
        <v>165</v>
      </c>
      <c r="BV208" s="15">
        <f t="shared" si="168"/>
        <v>14</v>
      </c>
      <c r="BW208" s="16">
        <f>(1+INDEX('1 - Input'!$B$34:$E$63,BV208,'1 - Input'!$B$16))^(1/12)-1</f>
        <v>4.1219243192651689E-3</v>
      </c>
      <c r="BX208" s="17">
        <f>'1 - Input'!$B$7*(1+'1 - Input'!$B$12)^(BV208-1)</f>
        <v>3492.7379022252494</v>
      </c>
      <c r="BY208" s="17">
        <f t="shared" si="199"/>
        <v>215689.70771284911</v>
      </c>
      <c r="BZ208" s="17">
        <f t="shared" si="200"/>
        <v>23525.390084078335</v>
      </c>
      <c r="CA208" s="17">
        <f t="shared" si="169"/>
        <v>216578.76436448589</v>
      </c>
      <c r="CB208" s="17">
        <f>IF(CA208&gt;0,'1 - Input'!$B$8/12*CA208,0)</f>
        <v>1624.340732733644</v>
      </c>
      <c r="CC208" s="17">
        <f t="shared" si="170"/>
        <v>214954.42363175226</v>
      </c>
      <c r="CD208" s="17">
        <f t="shared" si="171"/>
        <v>1624.340732733644</v>
      </c>
      <c r="CE208" s="17">
        <f>'1 - Input'!$B$22*(CB208-CD208)</f>
        <v>0</v>
      </c>
      <c r="CF208" s="17">
        <f t="shared" si="172"/>
        <v>1624.340732733644</v>
      </c>
      <c r="CG208" s="17">
        <f t="shared" si="173"/>
        <v>21901.049351344693</v>
      </c>
      <c r="CH208" s="17">
        <f>IF('1 - Input'!$B$17=1,MAX(0,CF208-BX208),0)</f>
        <v>0</v>
      </c>
      <c r="CI208" s="17">
        <f>IF('1 - Input'!$B$17=1,MAX(0,BX208-CF208),0)</f>
        <v>1868.3971694916054</v>
      </c>
      <c r="CJ208" s="17">
        <f t="shared" si="174"/>
        <v>0.89811305586869739</v>
      </c>
      <c r="CK208" s="17">
        <f>IF(AND(CI208&gt;0,CC208&gt;0),CI208/(1-'1 - Input'!$B$22*CJ208),0)</f>
        <v>2437.5995689286301</v>
      </c>
      <c r="CL208" s="17">
        <f t="shared" si="175"/>
        <v>2437.5995689286301</v>
      </c>
      <c r="CM208" s="17">
        <f>'1 - Input'!$B$22*CJ208*CL208</f>
        <v>569.20239943702506</v>
      </c>
      <c r="CN208" s="17">
        <f t="shared" si="176"/>
        <v>1868.3971694916049</v>
      </c>
      <c r="CO208" s="17">
        <f t="shared" si="177"/>
        <v>0</v>
      </c>
      <c r="CP208" s="17">
        <f t="shared" si="178"/>
        <v>0</v>
      </c>
      <c r="CQ208" s="17">
        <f t="shared" si="179"/>
        <v>212516.82406282364</v>
      </c>
      <c r="CR208" s="17">
        <f t="shared" si="180"/>
        <v>21652.689780250774</v>
      </c>
      <c r="CS208" s="17">
        <f>IF(MOD(BU208,12)=0,CQ208*'1 - Input'!$B$23,0)</f>
        <v>0</v>
      </c>
      <c r="CT208" s="17">
        <f t="shared" si="181"/>
        <v>212516.82406282364</v>
      </c>
      <c r="CU208" s="17">
        <f>IF(MOD(BU208,12)=0,CR208*(1-'1 - Input'!$B$23),CR208)</f>
        <v>21652.689780250774</v>
      </c>
      <c r="CV208" s="17">
        <f>IF('1 - Input'!$B$17=1,MIN(CF208,BX208)+CN208,CF208)</f>
        <v>3492.7379022252489</v>
      </c>
      <c r="CW208" s="17">
        <f t="shared" si="201"/>
        <v>507077.38245517696</v>
      </c>
      <c r="CX208" s="17">
        <f t="shared" si="202"/>
        <v>0</v>
      </c>
      <c r="CY208" s="17">
        <f t="shared" si="203"/>
        <v>17055.941748022629</v>
      </c>
      <c r="CZ208" s="17">
        <f t="shared" si="204"/>
        <v>0</v>
      </c>
      <c r="DA208" s="17">
        <f t="shared" si="205"/>
        <v>9914.6539168964791</v>
      </c>
      <c r="DB208" s="17">
        <f t="shared" si="206"/>
        <v>0</v>
      </c>
      <c r="DC208" s="15">
        <f t="shared" si="182"/>
        <v>0</v>
      </c>
    </row>
    <row r="209" spans="1:107">
      <c r="A209" s="14">
        <v>166</v>
      </c>
      <c r="B209" s="15">
        <f t="shared" si="138"/>
        <v>14</v>
      </c>
      <c r="C209" s="16">
        <f>(1+INDEX('1 - Input'!$B$34:$E$63,B209,'1 - Input'!$B$16))^(1/12)-1</f>
        <v>4.1219243192651689E-3</v>
      </c>
      <c r="D209" s="17">
        <f>'1 - Input'!$B$7*(1+'1 - Input'!$B$12)^(B209-1)</f>
        <v>3492.7379022252494</v>
      </c>
      <c r="E209" s="17">
        <f t="shared" si="183"/>
        <v>81437.155817071907</v>
      </c>
      <c r="F209" s="17">
        <f t="shared" si="184"/>
        <v>143061.67407549935</v>
      </c>
      <c r="G209" s="17">
        <f t="shared" si="139"/>
        <v>81772.833610126079</v>
      </c>
      <c r="H209" s="17">
        <f>IF(G209&gt;0,'1 - Input'!$B$8/12*G209,0)</f>
        <v>613.29625207594552</v>
      </c>
      <c r="I209" s="17">
        <f t="shared" si="140"/>
        <v>81159.537358050133</v>
      </c>
      <c r="J209" s="17">
        <f t="shared" si="141"/>
        <v>0</v>
      </c>
      <c r="K209" s="17">
        <f>'1 - Input'!$B$22*(H209-J209)</f>
        <v>159.45702553974584</v>
      </c>
      <c r="L209" s="17">
        <f t="shared" si="142"/>
        <v>453.8392265361997</v>
      </c>
      <c r="M209" s="17">
        <f t="shared" si="143"/>
        <v>143061.67407549935</v>
      </c>
      <c r="N209" s="17">
        <f>IF('1 - Input'!$B$17=1,MAX(0,L209-D209),0)</f>
        <v>0</v>
      </c>
      <c r="O209" s="17">
        <f>IF('1 - Input'!$B$17=1,MAX(0,D209-L209),0)</f>
        <v>3038.8986756890499</v>
      </c>
      <c r="P209" s="17">
        <f t="shared" si="144"/>
        <v>0</v>
      </c>
      <c r="Q209" s="17">
        <f>IF(AND(O209&gt;0,I209&gt;0),O209/(1-'1 - Input'!$B$22*P209),0)</f>
        <v>3038.8986756890499</v>
      </c>
      <c r="R209" s="17">
        <f t="shared" si="145"/>
        <v>3038.8986756890499</v>
      </c>
      <c r="S209" s="17">
        <f>'1 - Input'!$B$22*P209*R209</f>
        <v>0</v>
      </c>
      <c r="T209" s="17">
        <f t="shared" si="146"/>
        <v>3038.8986756890499</v>
      </c>
      <c r="U209" s="17">
        <f t="shared" si="147"/>
        <v>0</v>
      </c>
      <c r="V209" s="17">
        <f t="shared" si="148"/>
        <v>2317.8338297208156</v>
      </c>
      <c r="W209" s="17">
        <f t="shared" si="149"/>
        <v>78120.638682361081</v>
      </c>
      <c r="X209" s="17">
        <f t="shared" si="150"/>
        <v>137704.94157008949</v>
      </c>
      <c r="Y209" s="17">
        <f>IF(MOD(A209,12)=0,W209*'1 - Input'!$B$23,0)</f>
        <v>0</v>
      </c>
      <c r="Z209" s="17">
        <f t="shared" si="151"/>
        <v>78120.638682361081</v>
      </c>
      <c r="AA209" s="17">
        <f>IF(MOD(A209,12)=0,X209*(1-'1 - Input'!$B$23),X209)</f>
        <v>137704.94157008949</v>
      </c>
      <c r="AB209" s="17">
        <f>IF('1 - Input'!$B$17=1,MIN(L209,D209)+T209,L209)</f>
        <v>3492.7379022252499</v>
      </c>
      <c r="AC209" s="17">
        <f t="shared" si="185"/>
        <v>510570.12035740219</v>
      </c>
      <c r="AD209" s="17">
        <f t="shared" si="186"/>
        <v>99636.703506038844</v>
      </c>
      <c r="AE209" s="17">
        <f t="shared" si="187"/>
        <v>0</v>
      </c>
      <c r="AF209" s="17">
        <f t="shared" si="188"/>
        <v>111723.61858998495</v>
      </c>
      <c r="AG209" s="17">
        <f t="shared" si="189"/>
        <v>7920.7666519372215</v>
      </c>
      <c r="AH209" s="17">
        <f t="shared" si="190"/>
        <v>0</v>
      </c>
      <c r="AI209" s="15">
        <f t="shared" si="152"/>
        <v>0</v>
      </c>
      <c r="AK209" s="14">
        <v>166</v>
      </c>
      <c r="AL209" s="15">
        <f t="shared" si="153"/>
        <v>14</v>
      </c>
      <c r="AM209" s="16">
        <f>(1+INDEX('1 - Input'!$B$34:$E$63,AL209,'1 - Input'!$B$16))^(1/12)-1</f>
        <v>4.1219243192651689E-3</v>
      </c>
      <c r="AN209" s="17">
        <f>'1 - Input'!$B$7*(1+'1 - Input'!$B$12)^(AL209-1)</f>
        <v>3492.7379022252494</v>
      </c>
      <c r="AO209" s="17">
        <f t="shared" si="191"/>
        <v>81437.155817071907</v>
      </c>
      <c r="AP209" s="17">
        <f t="shared" si="192"/>
        <v>143061.67407549935</v>
      </c>
      <c r="AQ209" s="17">
        <f t="shared" si="154"/>
        <v>81772.833610126079</v>
      </c>
      <c r="AR209" s="17">
        <f>IF(AQ209&gt;0,'1 - Input'!$B$8/12*AQ209,0)</f>
        <v>613.29625207594552</v>
      </c>
      <c r="AS209" s="17">
        <f t="shared" si="155"/>
        <v>81159.537358050133</v>
      </c>
      <c r="AT209" s="17">
        <f t="shared" si="156"/>
        <v>0</v>
      </c>
      <c r="AU209" s="17">
        <f>'1 - Input'!$B$22*(AR209-AT209)</f>
        <v>159.45702553974584</v>
      </c>
      <c r="AV209" s="17">
        <f t="shared" si="157"/>
        <v>453.8392265361997</v>
      </c>
      <c r="AW209" s="17">
        <f t="shared" si="158"/>
        <v>143061.67407549935</v>
      </c>
      <c r="AX209" s="17">
        <f>IF('1 - Input'!$B$17=1,MAX(0,AV209-AN209),0)</f>
        <v>0</v>
      </c>
      <c r="AY209" s="17">
        <f>IF('1 - Input'!$B$17=1,MAX(0,AN209-AV209),0)</f>
        <v>3038.8986756890499</v>
      </c>
      <c r="AZ209" s="17">
        <f t="shared" si="159"/>
        <v>0</v>
      </c>
      <c r="BA209" s="17">
        <f>IF(AND(AY209&gt;0,AS209&gt;0),AY209/(1-'1 - Input'!$B$22*AZ209),0)</f>
        <v>3038.8986756890499</v>
      </c>
      <c r="BB209" s="17">
        <f t="shared" si="160"/>
        <v>3038.8986756890499</v>
      </c>
      <c r="BC209" s="17">
        <f>'1 - Input'!$B$22*AZ209*BB209</f>
        <v>0</v>
      </c>
      <c r="BD209" s="17">
        <f t="shared" si="161"/>
        <v>3038.8986756890499</v>
      </c>
      <c r="BE209" s="17">
        <f t="shared" si="162"/>
        <v>0</v>
      </c>
      <c r="BF209" s="17">
        <f t="shared" si="163"/>
        <v>2317.8338297208156</v>
      </c>
      <c r="BG209" s="17">
        <f t="shared" si="164"/>
        <v>78120.638682361081</v>
      </c>
      <c r="BH209" s="17">
        <f t="shared" si="165"/>
        <v>137704.94157008949</v>
      </c>
      <c r="BI209" s="17">
        <f>IF(MOD(AK209,12)=0,BG209*'1 - Input'!$B$23,0)</f>
        <v>0</v>
      </c>
      <c r="BJ209" s="17">
        <f t="shared" si="166"/>
        <v>78120.638682361081</v>
      </c>
      <c r="BK209" s="17">
        <f>IF(MOD(AK209,12)=0,BH209*(1-'1 - Input'!$B$23),BH209)</f>
        <v>137704.94157008949</v>
      </c>
      <c r="BL209" s="17">
        <f>IF('1 - Input'!$B$17=1,MIN(AV209,AN209)+BD209,AV209)</f>
        <v>3492.7379022252499</v>
      </c>
      <c r="BM209" s="17">
        <f t="shared" si="193"/>
        <v>510570.12035740219</v>
      </c>
      <c r="BN209" s="17">
        <f t="shared" si="194"/>
        <v>99636.703506038844</v>
      </c>
      <c r="BO209" s="17">
        <f t="shared" si="195"/>
        <v>0</v>
      </c>
      <c r="BP209" s="17">
        <f t="shared" si="196"/>
        <v>111723.61858998495</v>
      </c>
      <c r="BQ209" s="17">
        <f t="shared" si="197"/>
        <v>7920.7666519372215</v>
      </c>
      <c r="BR209" s="17">
        <f t="shared" si="198"/>
        <v>0</v>
      </c>
      <c r="BS209" s="15">
        <f t="shared" si="167"/>
        <v>0</v>
      </c>
      <c r="BU209" s="14">
        <v>166</v>
      </c>
      <c r="BV209" s="15">
        <f t="shared" si="168"/>
        <v>14</v>
      </c>
      <c r="BW209" s="16">
        <f>(1+INDEX('1 - Input'!$B$34:$E$63,BV209,'1 - Input'!$B$16))^(1/12)-1</f>
        <v>4.1219243192651689E-3</v>
      </c>
      <c r="BX209" s="17">
        <f>'1 - Input'!$B$7*(1+'1 - Input'!$B$12)^(BV209-1)</f>
        <v>3492.7379022252494</v>
      </c>
      <c r="BY209" s="17">
        <f t="shared" si="199"/>
        <v>212516.82406282364</v>
      </c>
      <c r="BZ209" s="17">
        <f t="shared" si="200"/>
        <v>21652.689780250774</v>
      </c>
      <c r="CA209" s="17">
        <f t="shared" si="169"/>
        <v>213392.80232818119</v>
      </c>
      <c r="CB209" s="17">
        <f>IF(CA209&gt;0,'1 - Input'!$B$8/12*CA209,0)</f>
        <v>1600.4460174613589</v>
      </c>
      <c r="CC209" s="17">
        <f t="shared" si="170"/>
        <v>211792.35631071983</v>
      </c>
      <c r="CD209" s="17">
        <f t="shared" si="171"/>
        <v>1600.4460174613589</v>
      </c>
      <c r="CE209" s="17">
        <f>'1 - Input'!$B$22*(CB209-CD209)</f>
        <v>0</v>
      </c>
      <c r="CF209" s="17">
        <f t="shared" si="172"/>
        <v>1600.4460174613589</v>
      </c>
      <c r="CG209" s="17">
        <f t="shared" si="173"/>
        <v>20052.243762789414</v>
      </c>
      <c r="CH209" s="17">
        <f>IF('1 - Input'!$B$17=1,MAX(0,CF209-BX209),0)</f>
        <v>0</v>
      </c>
      <c r="CI209" s="17">
        <f>IF('1 - Input'!$B$17=1,MAX(0,BX209-CF209),0)</f>
        <v>1892.2918847638905</v>
      </c>
      <c r="CJ209" s="17">
        <f t="shared" si="174"/>
        <v>0.90532121124630749</v>
      </c>
      <c r="CK209" s="17">
        <f>IF(AND(CI209&gt;0,CC209&gt;0),CI209/(1-'1 - Input'!$B$22*CJ209),0)</f>
        <v>2474.8248588649021</v>
      </c>
      <c r="CL209" s="17">
        <f t="shared" si="175"/>
        <v>2474.8248588649021</v>
      </c>
      <c r="CM209" s="17">
        <f>'1 - Input'!$B$22*CJ209*CL209</f>
        <v>582.53297410101175</v>
      </c>
      <c r="CN209" s="17">
        <f t="shared" si="176"/>
        <v>1892.2918847638903</v>
      </c>
      <c r="CO209" s="17">
        <f t="shared" si="177"/>
        <v>0</v>
      </c>
      <c r="CP209" s="17">
        <f t="shared" si="178"/>
        <v>0</v>
      </c>
      <c r="CQ209" s="17">
        <f t="shared" si="179"/>
        <v>209317.53145185491</v>
      </c>
      <c r="CR209" s="17">
        <f t="shared" si="180"/>
        <v>19817.930342774558</v>
      </c>
      <c r="CS209" s="17">
        <f>IF(MOD(BU209,12)=0,CQ209*'1 - Input'!$B$23,0)</f>
        <v>0</v>
      </c>
      <c r="CT209" s="17">
        <f t="shared" si="181"/>
        <v>209317.53145185491</v>
      </c>
      <c r="CU209" s="17">
        <f>IF(MOD(BU209,12)=0,CR209*(1-'1 - Input'!$B$23),CR209)</f>
        <v>19817.930342774558</v>
      </c>
      <c r="CV209" s="17">
        <f>IF('1 - Input'!$B$17=1,MIN(CF209,BX209)+CN209,CF209)</f>
        <v>3492.7379022252489</v>
      </c>
      <c r="CW209" s="17">
        <f t="shared" si="201"/>
        <v>510570.12035740219</v>
      </c>
      <c r="CX209" s="17">
        <f t="shared" si="202"/>
        <v>0</v>
      </c>
      <c r="CY209" s="17">
        <f t="shared" si="203"/>
        <v>17638.474722123639</v>
      </c>
      <c r="CZ209" s="17">
        <f t="shared" si="204"/>
        <v>0</v>
      </c>
      <c r="DA209" s="17">
        <f t="shared" si="205"/>
        <v>9914.6539168964791</v>
      </c>
      <c r="DB209" s="17">
        <f t="shared" si="206"/>
        <v>0</v>
      </c>
      <c r="DC209" s="15">
        <f t="shared" si="182"/>
        <v>0</v>
      </c>
    </row>
    <row r="210" spans="1:107">
      <c r="A210" s="14">
        <v>167</v>
      </c>
      <c r="B210" s="15">
        <f t="shared" si="138"/>
        <v>14</v>
      </c>
      <c r="C210" s="16">
        <f>(1+INDEX('1 - Input'!$B$34:$E$63,B210,'1 - Input'!$B$16))^(1/12)-1</f>
        <v>4.1219243192651689E-3</v>
      </c>
      <c r="D210" s="17">
        <f>'1 - Input'!$B$7*(1+'1 - Input'!$B$12)^(B210-1)</f>
        <v>3492.7379022252494</v>
      </c>
      <c r="E210" s="17">
        <f t="shared" si="183"/>
        <v>78120.638682361081</v>
      </c>
      <c r="F210" s="17">
        <f t="shared" si="184"/>
        <v>137704.94157008949</v>
      </c>
      <c r="G210" s="17">
        <f t="shared" si="139"/>
        <v>78442.646042782435</v>
      </c>
      <c r="H210" s="17">
        <f>IF(G210&gt;0,'1 - Input'!$B$8/12*G210,0)</f>
        <v>588.31984532086824</v>
      </c>
      <c r="I210" s="17">
        <f t="shared" si="140"/>
        <v>77854.32619746156</v>
      </c>
      <c r="J210" s="17">
        <f t="shared" si="141"/>
        <v>0</v>
      </c>
      <c r="K210" s="17">
        <f>'1 - Input'!$B$22*(H210-J210)</f>
        <v>152.96315978342574</v>
      </c>
      <c r="L210" s="17">
        <f t="shared" si="142"/>
        <v>435.3566855374425</v>
      </c>
      <c r="M210" s="17">
        <f t="shared" si="143"/>
        <v>137704.94157008949</v>
      </c>
      <c r="N210" s="17">
        <f>IF('1 - Input'!$B$17=1,MAX(0,L210-D210),0)</f>
        <v>0</v>
      </c>
      <c r="O210" s="17">
        <f>IF('1 - Input'!$B$17=1,MAX(0,D210-L210),0)</f>
        <v>3057.381216687807</v>
      </c>
      <c r="P210" s="17">
        <f t="shared" si="144"/>
        <v>0</v>
      </c>
      <c r="Q210" s="17">
        <f>IF(AND(O210&gt;0,I210&gt;0),O210/(1-'1 - Input'!$B$22*P210),0)</f>
        <v>3057.381216687807</v>
      </c>
      <c r="R210" s="17">
        <f t="shared" si="145"/>
        <v>3057.381216687807</v>
      </c>
      <c r="S210" s="17">
        <f>'1 - Input'!$B$22*P210*R210</f>
        <v>0</v>
      </c>
      <c r="T210" s="17">
        <f t="shared" si="146"/>
        <v>3057.381216687807</v>
      </c>
      <c r="U210" s="17">
        <f t="shared" si="147"/>
        <v>0</v>
      </c>
      <c r="V210" s="17">
        <f t="shared" si="148"/>
        <v>2350.3658201777025</v>
      </c>
      <c r="W210" s="17">
        <f t="shared" si="149"/>
        <v>74796.944980773755</v>
      </c>
      <c r="X210" s="17">
        <f t="shared" si="150"/>
        <v>132297.19453322398</v>
      </c>
      <c r="Y210" s="17">
        <f>IF(MOD(A210,12)=0,W210*'1 - Input'!$B$23,0)</f>
        <v>0</v>
      </c>
      <c r="Z210" s="17">
        <f t="shared" si="151"/>
        <v>74796.944980773755</v>
      </c>
      <c r="AA210" s="17">
        <f>IF(MOD(A210,12)=0,X210*(1-'1 - Input'!$B$23),X210)</f>
        <v>132297.19453322398</v>
      </c>
      <c r="AB210" s="17">
        <f>IF('1 - Input'!$B$17=1,MIN(L210,D210)+T210,L210)</f>
        <v>3492.7379022252494</v>
      </c>
      <c r="AC210" s="17">
        <f t="shared" si="185"/>
        <v>514062.85825962742</v>
      </c>
      <c r="AD210" s="17">
        <f t="shared" si="186"/>
        <v>99789.666665822268</v>
      </c>
      <c r="AE210" s="17">
        <f t="shared" si="187"/>
        <v>0</v>
      </c>
      <c r="AF210" s="17">
        <f t="shared" si="188"/>
        <v>114073.98441016265</v>
      </c>
      <c r="AG210" s="17">
        <f t="shared" si="189"/>
        <v>7920.7666519372215</v>
      </c>
      <c r="AH210" s="17">
        <f t="shared" si="190"/>
        <v>0</v>
      </c>
      <c r="AI210" s="15">
        <f t="shared" si="152"/>
        <v>0</v>
      </c>
      <c r="AK210" s="14">
        <v>167</v>
      </c>
      <c r="AL210" s="15">
        <f t="shared" si="153"/>
        <v>14</v>
      </c>
      <c r="AM210" s="16">
        <f>(1+INDEX('1 - Input'!$B$34:$E$63,AL210,'1 - Input'!$B$16))^(1/12)-1</f>
        <v>4.1219243192651689E-3</v>
      </c>
      <c r="AN210" s="17">
        <f>'1 - Input'!$B$7*(1+'1 - Input'!$B$12)^(AL210-1)</f>
        <v>3492.7379022252494</v>
      </c>
      <c r="AO210" s="17">
        <f t="shared" si="191"/>
        <v>78120.638682361081</v>
      </c>
      <c r="AP210" s="17">
        <f t="shared" si="192"/>
        <v>137704.94157008949</v>
      </c>
      <c r="AQ210" s="17">
        <f t="shared" si="154"/>
        <v>78442.646042782435</v>
      </c>
      <c r="AR210" s="17">
        <f>IF(AQ210&gt;0,'1 - Input'!$B$8/12*AQ210,0)</f>
        <v>588.31984532086824</v>
      </c>
      <c r="AS210" s="17">
        <f t="shared" si="155"/>
        <v>77854.32619746156</v>
      </c>
      <c r="AT210" s="17">
        <f t="shared" si="156"/>
        <v>0</v>
      </c>
      <c r="AU210" s="17">
        <f>'1 - Input'!$B$22*(AR210-AT210)</f>
        <v>152.96315978342574</v>
      </c>
      <c r="AV210" s="17">
        <f t="shared" si="157"/>
        <v>435.3566855374425</v>
      </c>
      <c r="AW210" s="17">
        <f t="shared" si="158"/>
        <v>137704.94157008949</v>
      </c>
      <c r="AX210" s="17">
        <f>IF('1 - Input'!$B$17=1,MAX(0,AV210-AN210),0)</f>
        <v>0</v>
      </c>
      <c r="AY210" s="17">
        <f>IF('1 - Input'!$B$17=1,MAX(0,AN210-AV210),0)</f>
        <v>3057.381216687807</v>
      </c>
      <c r="AZ210" s="17">
        <f t="shared" si="159"/>
        <v>0</v>
      </c>
      <c r="BA210" s="17">
        <f>IF(AND(AY210&gt;0,AS210&gt;0),AY210/(1-'1 - Input'!$B$22*AZ210),0)</f>
        <v>3057.381216687807</v>
      </c>
      <c r="BB210" s="17">
        <f t="shared" si="160"/>
        <v>3057.381216687807</v>
      </c>
      <c r="BC210" s="17">
        <f>'1 - Input'!$B$22*AZ210*BB210</f>
        <v>0</v>
      </c>
      <c r="BD210" s="17">
        <f t="shared" si="161"/>
        <v>3057.381216687807</v>
      </c>
      <c r="BE210" s="17">
        <f t="shared" si="162"/>
        <v>0</v>
      </c>
      <c r="BF210" s="17">
        <f t="shared" si="163"/>
        <v>2350.3658201777025</v>
      </c>
      <c r="BG210" s="17">
        <f t="shared" si="164"/>
        <v>74796.944980773755</v>
      </c>
      <c r="BH210" s="17">
        <f t="shared" si="165"/>
        <v>132297.19453322398</v>
      </c>
      <c r="BI210" s="17">
        <f>IF(MOD(AK210,12)=0,BG210*'1 - Input'!$B$23,0)</f>
        <v>0</v>
      </c>
      <c r="BJ210" s="17">
        <f t="shared" si="166"/>
        <v>74796.944980773755</v>
      </c>
      <c r="BK210" s="17">
        <f>IF(MOD(AK210,12)=0,BH210*(1-'1 - Input'!$B$23),BH210)</f>
        <v>132297.19453322398</v>
      </c>
      <c r="BL210" s="17">
        <f>IF('1 - Input'!$B$17=1,MIN(AV210,AN210)+BD210,AV210)</f>
        <v>3492.7379022252494</v>
      </c>
      <c r="BM210" s="17">
        <f t="shared" si="193"/>
        <v>514062.85825962742</v>
      </c>
      <c r="BN210" s="17">
        <f t="shared" si="194"/>
        <v>99789.666665822268</v>
      </c>
      <c r="BO210" s="17">
        <f t="shared" si="195"/>
        <v>0</v>
      </c>
      <c r="BP210" s="17">
        <f t="shared" si="196"/>
        <v>114073.98441016265</v>
      </c>
      <c r="BQ210" s="17">
        <f t="shared" si="197"/>
        <v>7920.7666519372215</v>
      </c>
      <c r="BR210" s="17">
        <f t="shared" si="198"/>
        <v>0</v>
      </c>
      <c r="BS210" s="15">
        <f t="shared" si="167"/>
        <v>0</v>
      </c>
      <c r="BU210" s="14">
        <v>167</v>
      </c>
      <c r="BV210" s="15">
        <f t="shared" si="168"/>
        <v>14</v>
      </c>
      <c r="BW210" s="16">
        <f>(1+INDEX('1 - Input'!$B$34:$E$63,BV210,'1 - Input'!$B$16))^(1/12)-1</f>
        <v>4.1219243192651689E-3</v>
      </c>
      <c r="BX210" s="17">
        <f>'1 - Input'!$B$7*(1+'1 - Input'!$B$12)^(BV210-1)</f>
        <v>3492.7379022252494</v>
      </c>
      <c r="BY210" s="17">
        <f t="shared" si="199"/>
        <v>209317.53145185491</v>
      </c>
      <c r="BZ210" s="17">
        <f t="shared" si="200"/>
        <v>19817.930342774558</v>
      </c>
      <c r="CA210" s="17">
        <f t="shared" si="169"/>
        <v>210180.32247519487</v>
      </c>
      <c r="CB210" s="17">
        <f>IF(CA210&gt;0,'1 - Input'!$B$8/12*CA210,0)</f>
        <v>1576.3524185639615</v>
      </c>
      <c r="CC210" s="17">
        <f t="shared" si="170"/>
        <v>208603.9700566309</v>
      </c>
      <c r="CD210" s="17">
        <f t="shared" si="171"/>
        <v>1576.3524185639615</v>
      </c>
      <c r="CE210" s="17">
        <f>'1 - Input'!$B$22*(CB210-CD210)</f>
        <v>0</v>
      </c>
      <c r="CF210" s="17">
        <f t="shared" si="172"/>
        <v>1576.3524185639615</v>
      </c>
      <c r="CG210" s="17">
        <f t="shared" si="173"/>
        <v>18241.577924210596</v>
      </c>
      <c r="CH210" s="17">
        <f>IF('1 - Input'!$B$17=1,MAX(0,CF210-BX210),0)</f>
        <v>0</v>
      </c>
      <c r="CI210" s="17">
        <f>IF('1 - Input'!$B$17=1,MAX(0,BX210-CF210),0)</f>
        <v>1916.3854836612879</v>
      </c>
      <c r="CJ210" s="17">
        <f t="shared" si="174"/>
        <v>0.91255402320838641</v>
      </c>
      <c r="CK210" s="17">
        <f>IF(AND(CI210&gt;0,CC210&gt;0),CI210/(1-'1 - Input'!$B$22*CJ210),0)</f>
        <v>2512.5149453059175</v>
      </c>
      <c r="CL210" s="17">
        <f t="shared" si="175"/>
        <v>2512.5149453059175</v>
      </c>
      <c r="CM210" s="17">
        <f>'1 - Input'!$B$22*CJ210*CL210</f>
        <v>596.1294616446296</v>
      </c>
      <c r="CN210" s="17">
        <f t="shared" si="176"/>
        <v>1916.3854836612879</v>
      </c>
      <c r="CO210" s="17">
        <f t="shared" si="177"/>
        <v>0</v>
      </c>
      <c r="CP210" s="17">
        <f t="shared" si="178"/>
        <v>0</v>
      </c>
      <c r="CQ210" s="17">
        <f t="shared" si="179"/>
        <v>206091.45511132499</v>
      </c>
      <c r="CR210" s="17">
        <f t="shared" si="180"/>
        <v>18021.868600614795</v>
      </c>
      <c r="CS210" s="17">
        <f>IF(MOD(BU210,12)=0,CQ210*'1 - Input'!$B$23,0)</f>
        <v>0</v>
      </c>
      <c r="CT210" s="17">
        <f t="shared" si="181"/>
        <v>206091.45511132499</v>
      </c>
      <c r="CU210" s="17">
        <f>IF(MOD(BU210,12)=0,CR210*(1-'1 - Input'!$B$23),CR210)</f>
        <v>18021.868600614795</v>
      </c>
      <c r="CV210" s="17">
        <f>IF('1 - Input'!$B$17=1,MIN(CF210,BX210)+CN210,CF210)</f>
        <v>3492.7379022252494</v>
      </c>
      <c r="CW210" s="17">
        <f t="shared" si="201"/>
        <v>514062.85825962742</v>
      </c>
      <c r="CX210" s="17">
        <f t="shared" si="202"/>
        <v>0</v>
      </c>
      <c r="CY210" s="17">
        <f t="shared" si="203"/>
        <v>18234.604183768268</v>
      </c>
      <c r="CZ210" s="17">
        <f t="shared" si="204"/>
        <v>0</v>
      </c>
      <c r="DA210" s="17">
        <f t="shared" si="205"/>
        <v>9914.6539168964791</v>
      </c>
      <c r="DB210" s="17">
        <f t="shared" si="206"/>
        <v>0</v>
      </c>
      <c r="DC210" s="15">
        <f t="shared" si="182"/>
        <v>0</v>
      </c>
    </row>
    <row r="211" spans="1:107">
      <c r="A211" s="14">
        <v>168</v>
      </c>
      <c r="B211" s="15">
        <f t="shared" si="138"/>
        <v>14</v>
      </c>
      <c r="C211" s="16">
        <f>(1+INDEX('1 - Input'!$B$34:$E$63,B211,'1 - Input'!$B$16))^(1/12)-1</f>
        <v>4.1219243192651689E-3</v>
      </c>
      <c r="D211" s="17">
        <f>'1 - Input'!$B$7*(1+'1 - Input'!$B$12)^(B211-1)</f>
        <v>3492.7379022252494</v>
      </c>
      <c r="E211" s="17">
        <f t="shared" si="183"/>
        <v>74796.944980773755</v>
      </c>
      <c r="F211" s="17">
        <f t="shared" si="184"/>
        <v>132297.19453322398</v>
      </c>
      <c r="G211" s="17">
        <f t="shared" si="139"/>
        <v>75105.252327296752</v>
      </c>
      <c r="H211" s="17">
        <f>IF(G211&gt;0,'1 - Input'!$B$8/12*G211,0)</f>
        <v>563.28939245472566</v>
      </c>
      <c r="I211" s="17">
        <f t="shared" si="140"/>
        <v>74541.962934842028</v>
      </c>
      <c r="J211" s="17">
        <f t="shared" si="141"/>
        <v>0</v>
      </c>
      <c r="K211" s="17">
        <f>'1 - Input'!$B$22*(H211-J211)</f>
        <v>146.45524203822868</v>
      </c>
      <c r="L211" s="17">
        <f t="shared" si="142"/>
        <v>416.83415041649698</v>
      </c>
      <c r="M211" s="17">
        <f t="shared" si="143"/>
        <v>132297.19453322398</v>
      </c>
      <c r="N211" s="17">
        <f>IF('1 - Input'!$B$17=1,MAX(0,L211-D211),0)</f>
        <v>0</v>
      </c>
      <c r="O211" s="17">
        <f>IF('1 - Input'!$B$17=1,MAX(0,D211-L211),0)</f>
        <v>3075.9037518087525</v>
      </c>
      <c r="P211" s="17">
        <f t="shared" si="144"/>
        <v>0</v>
      </c>
      <c r="Q211" s="17">
        <f>IF(AND(O211&gt;0,I211&gt;0),O211/(1-'1 - Input'!$B$22*P211),0)</f>
        <v>3075.9037518087525</v>
      </c>
      <c r="R211" s="17">
        <f t="shared" si="145"/>
        <v>3075.9037518087525</v>
      </c>
      <c r="S211" s="17">
        <f>'1 - Input'!$B$22*P211*R211</f>
        <v>0</v>
      </c>
      <c r="T211" s="17">
        <f t="shared" si="146"/>
        <v>3075.9037518087525</v>
      </c>
      <c r="U211" s="17">
        <f t="shared" si="147"/>
        <v>0</v>
      </c>
      <c r="V211" s="17">
        <f t="shared" si="148"/>
        <v>2383.2151256243674</v>
      </c>
      <c r="W211" s="17">
        <f t="shared" si="149"/>
        <v>71466.059183033271</v>
      </c>
      <c r="X211" s="17">
        <f t="shared" si="150"/>
        <v>126838.07565579086</v>
      </c>
      <c r="Y211" s="17">
        <f>IF(MOD(A211,12)=0,W211*'1 - Input'!$B$23,0)</f>
        <v>142.93211836606653</v>
      </c>
      <c r="Z211" s="17">
        <f t="shared" si="151"/>
        <v>71323.127064667206</v>
      </c>
      <c r="AA211" s="17">
        <f>IF(MOD(A211,12)=0,X211*(1-'1 - Input'!$B$23),X211)</f>
        <v>126584.39950447928</v>
      </c>
      <c r="AB211" s="17">
        <f>IF('1 - Input'!$B$17=1,MIN(L211,D211)+T211,L211)</f>
        <v>3492.7379022252494</v>
      </c>
      <c r="AC211" s="17">
        <f t="shared" si="185"/>
        <v>517555.59616185265</v>
      </c>
      <c r="AD211" s="17">
        <f t="shared" si="186"/>
        <v>99936.121907860492</v>
      </c>
      <c r="AE211" s="17">
        <f t="shared" si="187"/>
        <v>0</v>
      </c>
      <c r="AF211" s="17">
        <f t="shared" si="188"/>
        <v>116457.19953578702</v>
      </c>
      <c r="AG211" s="17">
        <f t="shared" si="189"/>
        <v>8063.6987703032883</v>
      </c>
      <c r="AH211" s="17">
        <f t="shared" si="190"/>
        <v>0</v>
      </c>
      <c r="AI211" s="15">
        <f t="shared" si="152"/>
        <v>0</v>
      </c>
      <c r="AK211" s="14">
        <v>168</v>
      </c>
      <c r="AL211" s="15">
        <f t="shared" si="153"/>
        <v>14</v>
      </c>
      <c r="AM211" s="16">
        <f>(1+INDEX('1 - Input'!$B$34:$E$63,AL211,'1 - Input'!$B$16))^(1/12)-1</f>
        <v>4.1219243192651689E-3</v>
      </c>
      <c r="AN211" s="17">
        <f>'1 - Input'!$B$7*(1+'1 - Input'!$B$12)^(AL211-1)</f>
        <v>3492.7379022252494</v>
      </c>
      <c r="AO211" s="17">
        <f t="shared" si="191"/>
        <v>74796.944980773755</v>
      </c>
      <c r="AP211" s="17">
        <f t="shared" si="192"/>
        <v>132297.19453322398</v>
      </c>
      <c r="AQ211" s="17">
        <f t="shared" si="154"/>
        <v>75105.252327296752</v>
      </c>
      <c r="AR211" s="17">
        <f>IF(AQ211&gt;0,'1 - Input'!$B$8/12*AQ211,0)</f>
        <v>563.28939245472566</v>
      </c>
      <c r="AS211" s="17">
        <f t="shared" si="155"/>
        <v>74541.962934842028</v>
      </c>
      <c r="AT211" s="17">
        <f t="shared" si="156"/>
        <v>0</v>
      </c>
      <c r="AU211" s="17">
        <f>'1 - Input'!$B$22*(AR211-AT211)</f>
        <v>146.45524203822868</v>
      </c>
      <c r="AV211" s="17">
        <f t="shared" si="157"/>
        <v>416.83415041649698</v>
      </c>
      <c r="AW211" s="17">
        <f t="shared" si="158"/>
        <v>132297.19453322398</v>
      </c>
      <c r="AX211" s="17">
        <f>IF('1 - Input'!$B$17=1,MAX(0,AV211-AN211),0)</f>
        <v>0</v>
      </c>
      <c r="AY211" s="17">
        <f>IF('1 - Input'!$B$17=1,MAX(0,AN211-AV211),0)</f>
        <v>3075.9037518087525</v>
      </c>
      <c r="AZ211" s="17">
        <f t="shared" si="159"/>
        <v>0</v>
      </c>
      <c r="BA211" s="17">
        <f>IF(AND(AY211&gt;0,AS211&gt;0),AY211/(1-'1 - Input'!$B$22*AZ211),0)</f>
        <v>3075.9037518087525</v>
      </c>
      <c r="BB211" s="17">
        <f t="shared" si="160"/>
        <v>3075.9037518087525</v>
      </c>
      <c r="BC211" s="17">
        <f>'1 - Input'!$B$22*AZ211*BB211</f>
        <v>0</v>
      </c>
      <c r="BD211" s="17">
        <f t="shared" si="161"/>
        <v>3075.9037518087525</v>
      </c>
      <c r="BE211" s="17">
        <f t="shared" si="162"/>
        <v>0</v>
      </c>
      <c r="BF211" s="17">
        <f t="shared" si="163"/>
        <v>2383.2151256243674</v>
      </c>
      <c r="BG211" s="17">
        <f t="shared" si="164"/>
        <v>71466.059183033271</v>
      </c>
      <c r="BH211" s="17">
        <f t="shared" si="165"/>
        <v>126838.07565579086</v>
      </c>
      <c r="BI211" s="17">
        <f>IF(MOD(AK211,12)=0,BG211*'1 - Input'!$B$23,0)</f>
        <v>142.93211836606653</v>
      </c>
      <c r="BJ211" s="17">
        <f t="shared" si="166"/>
        <v>71323.127064667206</v>
      </c>
      <c r="BK211" s="17">
        <f>IF(MOD(AK211,12)=0,BH211*(1-'1 - Input'!$B$23),BH211)</f>
        <v>126584.39950447928</v>
      </c>
      <c r="BL211" s="17">
        <f>IF('1 - Input'!$B$17=1,MIN(AV211,AN211)+BD211,AV211)</f>
        <v>3492.7379022252494</v>
      </c>
      <c r="BM211" s="17">
        <f t="shared" si="193"/>
        <v>517555.59616185265</v>
      </c>
      <c r="BN211" s="17">
        <f t="shared" si="194"/>
        <v>99936.121907860492</v>
      </c>
      <c r="BO211" s="17">
        <f t="shared" si="195"/>
        <v>0</v>
      </c>
      <c r="BP211" s="17">
        <f t="shared" si="196"/>
        <v>116457.19953578702</v>
      </c>
      <c r="BQ211" s="17">
        <f t="shared" si="197"/>
        <v>8063.6987703032883</v>
      </c>
      <c r="BR211" s="17">
        <f t="shared" si="198"/>
        <v>0</v>
      </c>
      <c r="BS211" s="15">
        <f t="shared" si="167"/>
        <v>0</v>
      </c>
      <c r="BU211" s="14">
        <v>168</v>
      </c>
      <c r="BV211" s="15">
        <f t="shared" si="168"/>
        <v>14</v>
      </c>
      <c r="BW211" s="16">
        <f>(1+INDEX('1 - Input'!$B$34:$E$63,BV211,'1 - Input'!$B$16))^(1/12)-1</f>
        <v>4.1219243192651689E-3</v>
      </c>
      <c r="BX211" s="17">
        <f>'1 - Input'!$B$7*(1+'1 - Input'!$B$12)^(BV211-1)</f>
        <v>3492.7379022252494</v>
      </c>
      <c r="BY211" s="17">
        <f t="shared" si="199"/>
        <v>206091.45511132499</v>
      </c>
      <c r="BZ211" s="17">
        <f t="shared" si="200"/>
        <v>18021.868600614795</v>
      </c>
      <c r="CA211" s="17">
        <f t="shared" si="169"/>
        <v>206940.94849214112</v>
      </c>
      <c r="CB211" s="17">
        <f>IF(CA211&gt;0,'1 - Input'!$B$8/12*CA211,0)</f>
        <v>1552.0571136910582</v>
      </c>
      <c r="CC211" s="17">
        <f t="shared" si="170"/>
        <v>205388.89137845006</v>
      </c>
      <c r="CD211" s="17">
        <f t="shared" si="171"/>
        <v>1552.0571136910582</v>
      </c>
      <c r="CE211" s="17">
        <f>'1 - Input'!$B$22*(CB211-CD211)</f>
        <v>0</v>
      </c>
      <c r="CF211" s="17">
        <f t="shared" si="172"/>
        <v>1552.0571136910582</v>
      </c>
      <c r="CG211" s="17">
        <f t="shared" si="173"/>
        <v>16469.811486923736</v>
      </c>
      <c r="CH211" s="17">
        <f>IF('1 - Input'!$B$17=1,MAX(0,CF211-BX211),0)</f>
        <v>0</v>
      </c>
      <c r="CI211" s="17">
        <f>IF('1 - Input'!$B$17=1,MAX(0,BX211-CF211),0)</f>
        <v>1940.6807885341912</v>
      </c>
      <c r="CJ211" s="17">
        <f t="shared" si="174"/>
        <v>0.91981157609650643</v>
      </c>
      <c r="CK211" s="17">
        <f>IF(AND(CI211&gt;0,CC211&gt;0),CI211/(1-'1 - Input'!$B$22*CJ211),0)</f>
        <v>2550.6780103447722</v>
      </c>
      <c r="CL211" s="17">
        <f t="shared" si="175"/>
        <v>2550.6780103447722</v>
      </c>
      <c r="CM211" s="17">
        <f>'1 - Input'!$B$22*CJ211*CL211</f>
        <v>609.99722181058087</v>
      </c>
      <c r="CN211" s="17">
        <f t="shared" si="176"/>
        <v>1940.6807885341914</v>
      </c>
      <c r="CO211" s="17">
        <f t="shared" si="177"/>
        <v>0</v>
      </c>
      <c r="CP211" s="17">
        <f t="shared" si="178"/>
        <v>0</v>
      </c>
      <c r="CQ211" s="17">
        <f t="shared" si="179"/>
        <v>202838.21336810529</v>
      </c>
      <c r="CR211" s="17">
        <f t="shared" si="180"/>
        <v>16265.27663738889</v>
      </c>
      <c r="CS211" s="17">
        <f>IF(MOD(BU211,12)=0,CQ211*'1 - Input'!$B$23,0)</f>
        <v>405.6764267362106</v>
      </c>
      <c r="CT211" s="17">
        <f t="shared" si="181"/>
        <v>202432.53694136909</v>
      </c>
      <c r="CU211" s="17">
        <f>IF(MOD(BU211,12)=0,CR211*(1-'1 - Input'!$B$23),CR211)</f>
        <v>16232.746084114113</v>
      </c>
      <c r="CV211" s="17">
        <f>IF('1 - Input'!$B$17=1,MIN(CF211,BX211)+CN211,CF211)</f>
        <v>3492.7379022252499</v>
      </c>
      <c r="CW211" s="17">
        <f t="shared" si="201"/>
        <v>517555.59616185265</v>
      </c>
      <c r="CX211" s="17">
        <f t="shared" si="202"/>
        <v>0</v>
      </c>
      <c r="CY211" s="17">
        <f t="shared" si="203"/>
        <v>18844.601405578847</v>
      </c>
      <c r="CZ211" s="17">
        <f t="shared" si="204"/>
        <v>0</v>
      </c>
      <c r="DA211" s="17">
        <f t="shared" si="205"/>
        <v>10320.33034363269</v>
      </c>
      <c r="DB211" s="17">
        <f t="shared" si="206"/>
        <v>0</v>
      </c>
      <c r="DC211" s="15">
        <f t="shared" si="182"/>
        <v>0</v>
      </c>
    </row>
    <row r="212" spans="1:107">
      <c r="A212" s="14">
        <v>169</v>
      </c>
      <c r="B212" s="15">
        <f t="shared" si="138"/>
        <v>15</v>
      </c>
      <c r="C212" s="16">
        <f>(1+INDEX('1 - Input'!$B$34:$E$63,B212,'1 - Input'!$B$16))^(1/12)-1</f>
        <v>4.1219243192651689E-3</v>
      </c>
      <c r="D212" s="17">
        <f>'1 - Input'!$B$7*(1+'1 - Input'!$B$12)^(B212-1)</f>
        <v>3562.592660269755</v>
      </c>
      <c r="E212" s="17">
        <f t="shared" si="183"/>
        <v>71323.127064667206</v>
      </c>
      <c r="F212" s="17">
        <f t="shared" si="184"/>
        <v>126584.39950447928</v>
      </c>
      <c r="G212" s="17">
        <f t="shared" si="139"/>
        <v>71617.115596641102</v>
      </c>
      <c r="H212" s="17">
        <f>IF(G212&gt;0,'1 - Input'!$B$8/12*G212,0)</f>
        <v>537.12836697480827</v>
      </c>
      <c r="I212" s="17">
        <f t="shared" si="140"/>
        <v>71079.987229666294</v>
      </c>
      <c r="J212" s="17">
        <f t="shared" si="141"/>
        <v>0</v>
      </c>
      <c r="K212" s="17">
        <f>'1 - Input'!$B$22*(H212-J212)</f>
        <v>139.65337541345016</v>
      </c>
      <c r="L212" s="17">
        <f t="shared" si="142"/>
        <v>397.47499156135814</v>
      </c>
      <c r="M212" s="17">
        <f t="shared" si="143"/>
        <v>126584.39950447928</v>
      </c>
      <c r="N212" s="17">
        <f>IF('1 - Input'!$B$17=1,MAX(0,L212-D212),0)</f>
        <v>0</v>
      </c>
      <c r="O212" s="17">
        <f>IF('1 - Input'!$B$17=1,MAX(0,D212-L212),0)</f>
        <v>3165.1176687083971</v>
      </c>
      <c r="P212" s="17">
        <f t="shared" si="144"/>
        <v>0</v>
      </c>
      <c r="Q212" s="17">
        <f>IF(AND(O212&gt;0,I212&gt;0),O212/(1-'1 - Input'!$B$22*P212),0)</f>
        <v>3165.1176687083971</v>
      </c>
      <c r="R212" s="17">
        <f t="shared" si="145"/>
        <v>3165.1176687083971</v>
      </c>
      <c r="S212" s="17">
        <f>'1 - Input'!$B$22*P212*R212</f>
        <v>0</v>
      </c>
      <c r="T212" s="17">
        <f t="shared" si="146"/>
        <v>3165.1176687083971</v>
      </c>
      <c r="U212" s="17">
        <f t="shared" si="147"/>
        <v>0</v>
      </c>
      <c r="V212" s="17">
        <f t="shared" si="148"/>
        <v>2471.5535670350259</v>
      </c>
      <c r="W212" s="17">
        <f t="shared" si="149"/>
        <v>67914.869560957901</v>
      </c>
      <c r="X212" s="17">
        <f t="shared" si="150"/>
        <v>120947.72826873585</v>
      </c>
      <c r="Y212" s="17">
        <f>IF(MOD(A212,12)=0,W212*'1 - Input'!$B$23,0)</f>
        <v>0</v>
      </c>
      <c r="Z212" s="17">
        <f t="shared" si="151"/>
        <v>67914.869560957901</v>
      </c>
      <c r="AA212" s="17">
        <f>IF(MOD(A212,12)=0,X212*(1-'1 - Input'!$B$23),X212)</f>
        <v>120947.72826873585</v>
      </c>
      <c r="AB212" s="17">
        <f>IF('1 - Input'!$B$17=1,MIN(L212,D212)+T212,L212)</f>
        <v>3562.5926602697555</v>
      </c>
      <c r="AC212" s="17">
        <f t="shared" si="185"/>
        <v>521118.18882212241</v>
      </c>
      <c r="AD212" s="17">
        <f t="shared" si="186"/>
        <v>100075.77528327394</v>
      </c>
      <c r="AE212" s="17">
        <f t="shared" si="187"/>
        <v>0</v>
      </c>
      <c r="AF212" s="17">
        <f t="shared" si="188"/>
        <v>118928.75310282204</v>
      </c>
      <c r="AG212" s="17">
        <f t="shared" si="189"/>
        <v>8063.6987703032883</v>
      </c>
      <c r="AH212" s="17">
        <f t="shared" si="190"/>
        <v>0</v>
      </c>
      <c r="AI212" s="15">
        <f t="shared" si="152"/>
        <v>0</v>
      </c>
      <c r="AK212" s="14">
        <v>169</v>
      </c>
      <c r="AL212" s="15">
        <f t="shared" si="153"/>
        <v>15</v>
      </c>
      <c r="AM212" s="16">
        <f>(1+INDEX('1 - Input'!$B$34:$E$63,AL212,'1 - Input'!$B$16))^(1/12)-1</f>
        <v>4.1219243192651689E-3</v>
      </c>
      <c r="AN212" s="17">
        <f>'1 - Input'!$B$7*(1+'1 - Input'!$B$12)^(AL212-1)</f>
        <v>3562.592660269755</v>
      </c>
      <c r="AO212" s="17">
        <f t="shared" si="191"/>
        <v>71323.127064667206</v>
      </c>
      <c r="AP212" s="17">
        <f t="shared" si="192"/>
        <v>126584.39950447928</v>
      </c>
      <c r="AQ212" s="17">
        <f t="shared" si="154"/>
        <v>71617.115596641102</v>
      </c>
      <c r="AR212" s="17">
        <f>IF(AQ212&gt;0,'1 - Input'!$B$8/12*AQ212,0)</f>
        <v>537.12836697480827</v>
      </c>
      <c r="AS212" s="17">
        <f t="shared" si="155"/>
        <v>71079.987229666294</v>
      </c>
      <c r="AT212" s="17">
        <f t="shared" si="156"/>
        <v>0</v>
      </c>
      <c r="AU212" s="17">
        <f>'1 - Input'!$B$22*(AR212-AT212)</f>
        <v>139.65337541345016</v>
      </c>
      <c r="AV212" s="17">
        <f t="shared" si="157"/>
        <v>397.47499156135814</v>
      </c>
      <c r="AW212" s="17">
        <f t="shared" si="158"/>
        <v>126584.39950447928</v>
      </c>
      <c r="AX212" s="17">
        <f>IF('1 - Input'!$B$17=1,MAX(0,AV212-AN212),0)</f>
        <v>0</v>
      </c>
      <c r="AY212" s="17">
        <f>IF('1 - Input'!$B$17=1,MAX(0,AN212-AV212),0)</f>
        <v>3165.1176687083971</v>
      </c>
      <c r="AZ212" s="17">
        <f t="shared" si="159"/>
        <v>0</v>
      </c>
      <c r="BA212" s="17">
        <f>IF(AND(AY212&gt;0,AS212&gt;0),AY212/(1-'1 - Input'!$B$22*AZ212),0)</f>
        <v>3165.1176687083971</v>
      </c>
      <c r="BB212" s="17">
        <f t="shared" si="160"/>
        <v>3165.1176687083971</v>
      </c>
      <c r="BC212" s="17">
        <f>'1 - Input'!$B$22*AZ212*BB212</f>
        <v>0</v>
      </c>
      <c r="BD212" s="17">
        <f t="shared" si="161"/>
        <v>3165.1176687083971</v>
      </c>
      <c r="BE212" s="17">
        <f t="shared" si="162"/>
        <v>0</v>
      </c>
      <c r="BF212" s="17">
        <f t="shared" si="163"/>
        <v>2471.5535670350259</v>
      </c>
      <c r="BG212" s="17">
        <f t="shared" si="164"/>
        <v>67914.869560957901</v>
      </c>
      <c r="BH212" s="17">
        <f t="shared" si="165"/>
        <v>120947.72826873585</v>
      </c>
      <c r="BI212" s="17">
        <f>IF(MOD(AK212,12)=0,BG212*'1 - Input'!$B$23,0)</f>
        <v>0</v>
      </c>
      <c r="BJ212" s="17">
        <f t="shared" si="166"/>
        <v>67914.869560957901</v>
      </c>
      <c r="BK212" s="17">
        <f>IF(MOD(AK212,12)=0,BH212*(1-'1 - Input'!$B$23),BH212)</f>
        <v>120947.72826873585</v>
      </c>
      <c r="BL212" s="17">
        <f>IF('1 - Input'!$B$17=1,MIN(AV212,AN212)+BD212,AV212)</f>
        <v>3562.5926602697555</v>
      </c>
      <c r="BM212" s="17">
        <f t="shared" si="193"/>
        <v>521118.18882212241</v>
      </c>
      <c r="BN212" s="17">
        <f t="shared" si="194"/>
        <v>100075.77528327394</v>
      </c>
      <c r="BO212" s="17">
        <f t="shared" si="195"/>
        <v>0</v>
      </c>
      <c r="BP212" s="17">
        <f t="shared" si="196"/>
        <v>118928.75310282204</v>
      </c>
      <c r="BQ212" s="17">
        <f t="shared" si="197"/>
        <v>8063.6987703032883</v>
      </c>
      <c r="BR212" s="17">
        <f t="shared" si="198"/>
        <v>0</v>
      </c>
      <c r="BS212" s="15">
        <f t="shared" si="167"/>
        <v>0</v>
      </c>
      <c r="BU212" s="14">
        <v>169</v>
      </c>
      <c r="BV212" s="15">
        <f t="shared" si="168"/>
        <v>15</v>
      </c>
      <c r="BW212" s="16">
        <f>(1+INDEX('1 - Input'!$B$34:$E$63,BV212,'1 - Input'!$B$16))^(1/12)-1</f>
        <v>4.1219243192651689E-3</v>
      </c>
      <c r="BX212" s="17">
        <f>'1 - Input'!$B$7*(1+'1 - Input'!$B$12)^(BV212-1)</f>
        <v>3562.592660269755</v>
      </c>
      <c r="BY212" s="17">
        <f t="shared" si="199"/>
        <v>202432.53694136909</v>
      </c>
      <c r="BZ212" s="17">
        <f t="shared" si="200"/>
        <v>16232.746084114113</v>
      </c>
      <c r="CA212" s="17">
        <f t="shared" si="169"/>
        <v>203266.94853839825</v>
      </c>
      <c r="CB212" s="17">
        <f>IF(CA212&gt;0,'1 - Input'!$B$8/12*CA212,0)</f>
        <v>1524.5021140379868</v>
      </c>
      <c r="CC212" s="17">
        <f t="shared" si="170"/>
        <v>201742.44642436027</v>
      </c>
      <c r="CD212" s="17">
        <f t="shared" si="171"/>
        <v>1524.5021140379868</v>
      </c>
      <c r="CE212" s="17">
        <f>'1 - Input'!$B$22*(CB212-CD212)</f>
        <v>0</v>
      </c>
      <c r="CF212" s="17">
        <f t="shared" si="172"/>
        <v>1524.5021140379868</v>
      </c>
      <c r="CG212" s="17">
        <f t="shared" si="173"/>
        <v>14708.243970076126</v>
      </c>
      <c r="CH212" s="17">
        <f>IF('1 - Input'!$B$17=1,MAX(0,CF212-BX212),0)</f>
        <v>0</v>
      </c>
      <c r="CI212" s="17">
        <f>IF('1 - Input'!$B$17=1,MAX(0,BX212-CF212),0)</f>
        <v>2038.0905462317683</v>
      </c>
      <c r="CJ212" s="17">
        <f t="shared" si="174"/>
        <v>0.92709395454074306</v>
      </c>
      <c r="CK212" s="17">
        <f>IF(AND(CI212&gt;0,CC212&gt;0),CI212/(1-'1 - Input'!$B$22*CJ212),0)</f>
        <v>2685.388475831272</v>
      </c>
      <c r="CL212" s="17">
        <f t="shared" si="175"/>
        <v>2685.388475831272</v>
      </c>
      <c r="CM212" s="17">
        <f>'1 - Input'!$B$22*CJ212*CL212</f>
        <v>647.29792959950373</v>
      </c>
      <c r="CN212" s="17">
        <f t="shared" si="176"/>
        <v>2038.0905462317683</v>
      </c>
      <c r="CO212" s="17">
        <f t="shared" si="177"/>
        <v>0</v>
      </c>
      <c r="CP212" s="17">
        <f t="shared" si="178"/>
        <v>0</v>
      </c>
      <c r="CQ212" s="17">
        <f t="shared" si="179"/>
        <v>199057.05794852899</v>
      </c>
      <c r="CR212" s="17">
        <f t="shared" si="180"/>
        <v>14512.462915781405</v>
      </c>
      <c r="CS212" s="17">
        <f>IF(MOD(BU212,12)=0,CQ212*'1 - Input'!$B$23,0)</f>
        <v>0</v>
      </c>
      <c r="CT212" s="17">
        <f t="shared" si="181"/>
        <v>199057.05794852899</v>
      </c>
      <c r="CU212" s="17">
        <f>IF(MOD(BU212,12)=0,CR212*(1-'1 - Input'!$B$23),CR212)</f>
        <v>14512.462915781405</v>
      </c>
      <c r="CV212" s="17">
        <f>IF('1 - Input'!$B$17=1,MIN(CF212,BX212)+CN212,CF212)</f>
        <v>3562.592660269755</v>
      </c>
      <c r="CW212" s="17">
        <f t="shared" si="201"/>
        <v>521118.18882212241</v>
      </c>
      <c r="CX212" s="17">
        <f t="shared" si="202"/>
        <v>0</v>
      </c>
      <c r="CY212" s="17">
        <f t="shared" si="203"/>
        <v>19491.89933517835</v>
      </c>
      <c r="CZ212" s="17">
        <f t="shared" si="204"/>
        <v>0</v>
      </c>
      <c r="DA212" s="17">
        <f t="shared" si="205"/>
        <v>10320.33034363269</v>
      </c>
      <c r="DB212" s="17">
        <f t="shared" si="206"/>
        <v>0</v>
      </c>
      <c r="DC212" s="15">
        <f t="shared" si="182"/>
        <v>0</v>
      </c>
    </row>
    <row r="213" spans="1:107">
      <c r="A213" s="14">
        <v>170</v>
      </c>
      <c r="B213" s="15">
        <f t="shared" si="138"/>
        <v>15</v>
      </c>
      <c r="C213" s="16">
        <f>(1+INDEX('1 - Input'!$B$34:$E$63,B213,'1 - Input'!$B$16))^(1/12)-1</f>
        <v>4.1219243192651689E-3</v>
      </c>
      <c r="D213" s="17">
        <f>'1 - Input'!$B$7*(1+'1 - Input'!$B$12)^(B213-1)</f>
        <v>3562.592660269755</v>
      </c>
      <c r="E213" s="17">
        <f t="shared" si="183"/>
        <v>67914.869560957901</v>
      </c>
      <c r="F213" s="17">
        <f t="shared" si="184"/>
        <v>120947.72826873585</v>
      </c>
      <c r="G213" s="17">
        <f t="shared" si="139"/>
        <v>68194.809513440938</v>
      </c>
      <c r="H213" s="17">
        <f>IF(G213&gt;0,'1 - Input'!$B$8/12*G213,0)</f>
        <v>511.461071350807</v>
      </c>
      <c r="I213" s="17">
        <f t="shared" si="140"/>
        <v>67683.348442090137</v>
      </c>
      <c r="J213" s="17">
        <f t="shared" si="141"/>
        <v>0</v>
      </c>
      <c r="K213" s="17">
        <f>'1 - Input'!$B$22*(H213-J213)</f>
        <v>132.97987855120982</v>
      </c>
      <c r="L213" s="17">
        <f t="shared" si="142"/>
        <v>378.48119279959718</v>
      </c>
      <c r="M213" s="17">
        <f t="shared" si="143"/>
        <v>120947.72826873585</v>
      </c>
      <c r="N213" s="17">
        <f>IF('1 - Input'!$B$17=1,MAX(0,L213-D213),0)</f>
        <v>0</v>
      </c>
      <c r="O213" s="17">
        <f>IF('1 - Input'!$B$17=1,MAX(0,D213-L213),0)</f>
        <v>3184.111467470158</v>
      </c>
      <c r="P213" s="17">
        <f t="shared" si="144"/>
        <v>0</v>
      </c>
      <c r="Q213" s="17">
        <f>IF(AND(O213&gt;0,I213&gt;0),O213/(1-'1 - Input'!$B$22*P213),0)</f>
        <v>3184.111467470158</v>
      </c>
      <c r="R213" s="17">
        <f t="shared" si="145"/>
        <v>3184.111467470158</v>
      </c>
      <c r="S213" s="17">
        <f>'1 - Input'!$B$22*P213*R213</f>
        <v>0</v>
      </c>
      <c r="T213" s="17">
        <f t="shared" si="146"/>
        <v>3184.111467470158</v>
      </c>
      <c r="U213" s="17">
        <f t="shared" si="147"/>
        <v>0</v>
      </c>
      <c r="V213" s="17">
        <f t="shared" si="148"/>
        <v>2505.7820943775896</v>
      </c>
      <c r="W213" s="17">
        <f t="shared" si="149"/>
        <v>64499.236974619977</v>
      </c>
      <c r="X213" s="17">
        <f t="shared" si="150"/>
        <v>115257.8347068881</v>
      </c>
      <c r="Y213" s="17">
        <f>IF(MOD(A213,12)=0,W213*'1 - Input'!$B$23,0)</f>
        <v>0</v>
      </c>
      <c r="Z213" s="17">
        <f t="shared" si="151"/>
        <v>64499.236974619977</v>
      </c>
      <c r="AA213" s="17">
        <f>IF(MOD(A213,12)=0,X213*(1-'1 - Input'!$B$23),X213)</f>
        <v>115257.8347068881</v>
      </c>
      <c r="AB213" s="17">
        <f>IF('1 - Input'!$B$17=1,MIN(L213,D213)+T213,L213)</f>
        <v>3562.592660269755</v>
      </c>
      <c r="AC213" s="17">
        <f t="shared" si="185"/>
        <v>524680.78148239211</v>
      </c>
      <c r="AD213" s="17">
        <f t="shared" si="186"/>
        <v>100208.75516182515</v>
      </c>
      <c r="AE213" s="17">
        <f t="shared" si="187"/>
        <v>0</v>
      </c>
      <c r="AF213" s="17">
        <f t="shared" si="188"/>
        <v>121434.53519719963</v>
      </c>
      <c r="AG213" s="17">
        <f t="shared" si="189"/>
        <v>8063.6987703032883</v>
      </c>
      <c r="AH213" s="17">
        <f t="shared" si="190"/>
        <v>0</v>
      </c>
      <c r="AI213" s="15">
        <f t="shared" si="152"/>
        <v>0</v>
      </c>
      <c r="AK213" s="14">
        <v>170</v>
      </c>
      <c r="AL213" s="15">
        <f t="shared" si="153"/>
        <v>15</v>
      </c>
      <c r="AM213" s="16">
        <f>(1+INDEX('1 - Input'!$B$34:$E$63,AL213,'1 - Input'!$B$16))^(1/12)-1</f>
        <v>4.1219243192651689E-3</v>
      </c>
      <c r="AN213" s="17">
        <f>'1 - Input'!$B$7*(1+'1 - Input'!$B$12)^(AL213-1)</f>
        <v>3562.592660269755</v>
      </c>
      <c r="AO213" s="17">
        <f t="shared" si="191"/>
        <v>67914.869560957901</v>
      </c>
      <c r="AP213" s="17">
        <f t="shared" si="192"/>
        <v>120947.72826873585</v>
      </c>
      <c r="AQ213" s="17">
        <f t="shared" si="154"/>
        <v>68194.809513440938</v>
      </c>
      <c r="AR213" s="17">
        <f>IF(AQ213&gt;0,'1 - Input'!$B$8/12*AQ213,0)</f>
        <v>511.461071350807</v>
      </c>
      <c r="AS213" s="17">
        <f t="shared" si="155"/>
        <v>67683.348442090137</v>
      </c>
      <c r="AT213" s="17">
        <f t="shared" si="156"/>
        <v>0</v>
      </c>
      <c r="AU213" s="17">
        <f>'1 - Input'!$B$22*(AR213-AT213)</f>
        <v>132.97987855120982</v>
      </c>
      <c r="AV213" s="17">
        <f t="shared" si="157"/>
        <v>378.48119279959718</v>
      </c>
      <c r="AW213" s="17">
        <f t="shared" si="158"/>
        <v>120947.72826873585</v>
      </c>
      <c r="AX213" s="17">
        <f>IF('1 - Input'!$B$17=1,MAX(0,AV213-AN213),0)</f>
        <v>0</v>
      </c>
      <c r="AY213" s="17">
        <f>IF('1 - Input'!$B$17=1,MAX(0,AN213-AV213),0)</f>
        <v>3184.111467470158</v>
      </c>
      <c r="AZ213" s="17">
        <f t="shared" si="159"/>
        <v>0</v>
      </c>
      <c r="BA213" s="17">
        <f>IF(AND(AY213&gt;0,AS213&gt;0),AY213/(1-'1 - Input'!$B$22*AZ213),0)</f>
        <v>3184.111467470158</v>
      </c>
      <c r="BB213" s="17">
        <f t="shared" si="160"/>
        <v>3184.111467470158</v>
      </c>
      <c r="BC213" s="17">
        <f>'1 - Input'!$B$22*AZ213*BB213</f>
        <v>0</v>
      </c>
      <c r="BD213" s="17">
        <f t="shared" si="161"/>
        <v>3184.111467470158</v>
      </c>
      <c r="BE213" s="17">
        <f t="shared" si="162"/>
        <v>0</v>
      </c>
      <c r="BF213" s="17">
        <f t="shared" si="163"/>
        <v>2505.7820943775896</v>
      </c>
      <c r="BG213" s="17">
        <f t="shared" si="164"/>
        <v>64499.236974619977</v>
      </c>
      <c r="BH213" s="17">
        <f t="shared" si="165"/>
        <v>115257.8347068881</v>
      </c>
      <c r="BI213" s="17">
        <f>IF(MOD(AK213,12)=0,BG213*'1 - Input'!$B$23,0)</f>
        <v>0</v>
      </c>
      <c r="BJ213" s="17">
        <f t="shared" si="166"/>
        <v>64499.236974619977</v>
      </c>
      <c r="BK213" s="17">
        <f>IF(MOD(AK213,12)=0,BH213*(1-'1 - Input'!$B$23),BH213)</f>
        <v>115257.8347068881</v>
      </c>
      <c r="BL213" s="17">
        <f>IF('1 - Input'!$B$17=1,MIN(AV213,AN213)+BD213,AV213)</f>
        <v>3562.592660269755</v>
      </c>
      <c r="BM213" s="17">
        <f t="shared" si="193"/>
        <v>524680.78148239211</v>
      </c>
      <c r="BN213" s="17">
        <f t="shared" si="194"/>
        <v>100208.75516182515</v>
      </c>
      <c r="BO213" s="17">
        <f t="shared" si="195"/>
        <v>0</v>
      </c>
      <c r="BP213" s="17">
        <f t="shared" si="196"/>
        <v>121434.53519719963</v>
      </c>
      <c r="BQ213" s="17">
        <f t="shared" si="197"/>
        <v>8063.6987703032883</v>
      </c>
      <c r="BR213" s="17">
        <f t="shared" si="198"/>
        <v>0</v>
      </c>
      <c r="BS213" s="15">
        <f t="shared" si="167"/>
        <v>0</v>
      </c>
      <c r="BU213" s="14">
        <v>170</v>
      </c>
      <c r="BV213" s="15">
        <f t="shared" si="168"/>
        <v>15</v>
      </c>
      <c r="BW213" s="16">
        <f>(1+INDEX('1 - Input'!$B$34:$E$63,BV213,'1 - Input'!$B$16))^(1/12)-1</f>
        <v>4.1219243192651689E-3</v>
      </c>
      <c r="BX213" s="17">
        <f>'1 - Input'!$B$7*(1+'1 - Input'!$B$12)^(BV213-1)</f>
        <v>3562.592660269755</v>
      </c>
      <c r="BY213" s="17">
        <f t="shared" si="199"/>
        <v>199057.05794852899</v>
      </c>
      <c r="BZ213" s="17">
        <f t="shared" si="200"/>
        <v>14512.462915781405</v>
      </c>
      <c r="CA213" s="17">
        <f t="shared" si="169"/>
        <v>199877.55607660842</v>
      </c>
      <c r="CB213" s="17">
        <f>IF(CA213&gt;0,'1 - Input'!$B$8/12*CA213,0)</f>
        <v>1499.0816705745631</v>
      </c>
      <c r="CC213" s="17">
        <f t="shared" si="170"/>
        <v>198378.47440603387</v>
      </c>
      <c r="CD213" s="17">
        <f t="shared" si="171"/>
        <v>1499.0816705745631</v>
      </c>
      <c r="CE213" s="17">
        <f>'1 - Input'!$B$22*(CB213-CD213)</f>
        <v>0</v>
      </c>
      <c r="CF213" s="17">
        <f t="shared" si="172"/>
        <v>1499.0816705745631</v>
      </c>
      <c r="CG213" s="17">
        <f t="shared" si="173"/>
        <v>13013.381245206841</v>
      </c>
      <c r="CH213" s="17">
        <f>IF('1 - Input'!$B$17=1,MAX(0,CF213-BX213),0)</f>
        <v>0</v>
      </c>
      <c r="CI213" s="17">
        <f>IF('1 - Input'!$B$17=1,MAX(0,BX213-CF213),0)</f>
        <v>2063.5109896951917</v>
      </c>
      <c r="CJ213" s="17">
        <f t="shared" si="174"/>
        <v>0.93440124346066133</v>
      </c>
      <c r="CK213" s="17">
        <f>IF(AND(CI213&gt;0,CC213&gt;0),CI213/(1-'1 - Input'!$B$22*CJ213),0)</f>
        <v>2725.7057217897086</v>
      </c>
      <c r="CL213" s="17">
        <f t="shared" si="175"/>
        <v>2725.7057217897086</v>
      </c>
      <c r="CM213" s="17">
        <f>'1 - Input'!$B$22*CJ213*CL213</f>
        <v>662.19473209451724</v>
      </c>
      <c r="CN213" s="17">
        <f t="shared" si="176"/>
        <v>2063.5109896951913</v>
      </c>
      <c r="CO213" s="17">
        <f t="shared" si="177"/>
        <v>0</v>
      </c>
      <c r="CP213" s="17">
        <f t="shared" si="178"/>
        <v>0</v>
      </c>
      <c r="CQ213" s="17">
        <f t="shared" si="179"/>
        <v>195652.76868424416</v>
      </c>
      <c r="CR213" s="17">
        <f t="shared" si="180"/>
        <v>12834.578339165277</v>
      </c>
      <c r="CS213" s="17">
        <f>IF(MOD(BU213,12)=0,CQ213*'1 - Input'!$B$23,0)</f>
        <v>0</v>
      </c>
      <c r="CT213" s="17">
        <f t="shared" si="181"/>
        <v>195652.76868424416</v>
      </c>
      <c r="CU213" s="17">
        <f>IF(MOD(BU213,12)=0,CR213*(1-'1 - Input'!$B$23),CR213)</f>
        <v>12834.578339165277</v>
      </c>
      <c r="CV213" s="17">
        <f>IF('1 - Input'!$B$17=1,MIN(CF213,BX213)+CN213,CF213)</f>
        <v>3562.5926602697546</v>
      </c>
      <c r="CW213" s="17">
        <f t="shared" si="201"/>
        <v>524680.78148239211</v>
      </c>
      <c r="CX213" s="17">
        <f t="shared" si="202"/>
        <v>0</v>
      </c>
      <c r="CY213" s="17">
        <f t="shared" si="203"/>
        <v>20154.094067272868</v>
      </c>
      <c r="CZ213" s="17">
        <f t="shared" si="204"/>
        <v>0</v>
      </c>
      <c r="DA213" s="17">
        <f t="shared" si="205"/>
        <v>10320.33034363269</v>
      </c>
      <c r="DB213" s="17">
        <f t="shared" si="206"/>
        <v>0</v>
      </c>
      <c r="DC213" s="15">
        <f t="shared" si="182"/>
        <v>0</v>
      </c>
    </row>
    <row r="214" spans="1:107">
      <c r="A214" s="14">
        <v>171</v>
      </c>
      <c r="B214" s="15">
        <f t="shared" si="138"/>
        <v>15</v>
      </c>
      <c r="C214" s="16">
        <f>(1+INDEX('1 - Input'!$B$34:$E$63,B214,'1 - Input'!$B$16))^(1/12)-1</f>
        <v>4.1219243192651689E-3</v>
      </c>
      <c r="D214" s="17">
        <f>'1 - Input'!$B$7*(1+'1 - Input'!$B$12)^(B214-1)</f>
        <v>3562.592660269755</v>
      </c>
      <c r="E214" s="17">
        <f t="shared" si="183"/>
        <v>64499.236974619977</v>
      </c>
      <c r="F214" s="17">
        <f t="shared" si="184"/>
        <v>115257.8347068881</v>
      </c>
      <c r="G214" s="17">
        <f t="shared" si="139"/>
        <v>64765.09794807971</v>
      </c>
      <c r="H214" s="17">
        <f>IF(G214&gt;0,'1 - Input'!$B$8/12*G214,0)</f>
        <v>485.73823461059783</v>
      </c>
      <c r="I214" s="17">
        <f t="shared" si="140"/>
        <v>64279.359713469115</v>
      </c>
      <c r="J214" s="17">
        <f t="shared" si="141"/>
        <v>0</v>
      </c>
      <c r="K214" s="17">
        <f>'1 - Input'!$B$22*(H214-J214)</f>
        <v>126.29194099875544</v>
      </c>
      <c r="L214" s="17">
        <f t="shared" si="142"/>
        <v>359.44629361184241</v>
      </c>
      <c r="M214" s="17">
        <f t="shared" si="143"/>
        <v>115257.8347068881</v>
      </c>
      <c r="N214" s="17">
        <f>IF('1 - Input'!$B$17=1,MAX(0,L214-D214),0)</f>
        <v>0</v>
      </c>
      <c r="O214" s="17">
        <f>IF('1 - Input'!$B$17=1,MAX(0,D214-L214),0)</f>
        <v>3203.1463666579125</v>
      </c>
      <c r="P214" s="17">
        <f t="shared" si="144"/>
        <v>0</v>
      </c>
      <c r="Q214" s="17">
        <f>IF(AND(O214&gt;0,I214&gt;0),O214/(1-'1 - Input'!$B$22*P214),0)</f>
        <v>3203.1463666579125</v>
      </c>
      <c r="R214" s="17">
        <f t="shared" si="145"/>
        <v>3203.1463666579125</v>
      </c>
      <c r="S214" s="17">
        <f>'1 - Input'!$B$22*P214*R214</f>
        <v>0</v>
      </c>
      <c r="T214" s="17">
        <f t="shared" si="146"/>
        <v>3203.1463666579125</v>
      </c>
      <c r="U214" s="17">
        <f t="shared" si="147"/>
        <v>0</v>
      </c>
      <c r="V214" s="17">
        <f t="shared" si="148"/>
        <v>2540.3413736667185</v>
      </c>
      <c r="W214" s="17">
        <f t="shared" si="149"/>
        <v>61076.213346811201</v>
      </c>
      <c r="X214" s="17">
        <f t="shared" si="150"/>
        <v>109514.34696656346</v>
      </c>
      <c r="Y214" s="17">
        <f>IF(MOD(A214,12)=0,W214*'1 - Input'!$B$23,0)</f>
        <v>0</v>
      </c>
      <c r="Z214" s="17">
        <f t="shared" si="151"/>
        <v>61076.213346811201</v>
      </c>
      <c r="AA214" s="17">
        <f>IF(MOD(A214,12)=0,X214*(1-'1 - Input'!$B$23),X214)</f>
        <v>109514.34696656346</v>
      </c>
      <c r="AB214" s="17">
        <f>IF('1 - Input'!$B$17=1,MIN(L214,D214)+T214,L214)</f>
        <v>3562.592660269755</v>
      </c>
      <c r="AC214" s="17">
        <f t="shared" si="185"/>
        <v>528243.37414266181</v>
      </c>
      <c r="AD214" s="17">
        <f t="shared" si="186"/>
        <v>100335.0471028239</v>
      </c>
      <c r="AE214" s="17">
        <f t="shared" si="187"/>
        <v>0</v>
      </c>
      <c r="AF214" s="17">
        <f t="shared" si="188"/>
        <v>123974.87657086634</v>
      </c>
      <c r="AG214" s="17">
        <f t="shared" si="189"/>
        <v>8063.6987703032883</v>
      </c>
      <c r="AH214" s="17">
        <f t="shared" si="190"/>
        <v>0</v>
      </c>
      <c r="AI214" s="15">
        <f t="shared" si="152"/>
        <v>0</v>
      </c>
      <c r="AK214" s="14">
        <v>171</v>
      </c>
      <c r="AL214" s="15">
        <f t="shared" si="153"/>
        <v>15</v>
      </c>
      <c r="AM214" s="16">
        <f>(1+INDEX('1 - Input'!$B$34:$E$63,AL214,'1 - Input'!$B$16))^(1/12)-1</f>
        <v>4.1219243192651689E-3</v>
      </c>
      <c r="AN214" s="17">
        <f>'1 - Input'!$B$7*(1+'1 - Input'!$B$12)^(AL214-1)</f>
        <v>3562.592660269755</v>
      </c>
      <c r="AO214" s="17">
        <f t="shared" si="191"/>
        <v>64499.236974619977</v>
      </c>
      <c r="AP214" s="17">
        <f t="shared" si="192"/>
        <v>115257.8347068881</v>
      </c>
      <c r="AQ214" s="17">
        <f t="shared" si="154"/>
        <v>64765.09794807971</v>
      </c>
      <c r="AR214" s="17">
        <f>IF(AQ214&gt;0,'1 - Input'!$B$8/12*AQ214,0)</f>
        <v>485.73823461059783</v>
      </c>
      <c r="AS214" s="17">
        <f t="shared" si="155"/>
        <v>64279.359713469115</v>
      </c>
      <c r="AT214" s="17">
        <f t="shared" si="156"/>
        <v>0</v>
      </c>
      <c r="AU214" s="17">
        <f>'1 - Input'!$B$22*(AR214-AT214)</f>
        <v>126.29194099875544</v>
      </c>
      <c r="AV214" s="17">
        <f t="shared" si="157"/>
        <v>359.44629361184241</v>
      </c>
      <c r="AW214" s="17">
        <f t="shared" si="158"/>
        <v>115257.8347068881</v>
      </c>
      <c r="AX214" s="17">
        <f>IF('1 - Input'!$B$17=1,MAX(0,AV214-AN214),0)</f>
        <v>0</v>
      </c>
      <c r="AY214" s="17">
        <f>IF('1 - Input'!$B$17=1,MAX(0,AN214-AV214),0)</f>
        <v>3203.1463666579125</v>
      </c>
      <c r="AZ214" s="17">
        <f t="shared" si="159"/>
        <v>0</v>
      </c>
      <c r="BA214" s="17">
        <f>IF(AND(AY214&gt;0,AS214&gt;0),AY214/(1-'1 - Input'!$B$22*AZ214),0)</f>
        <v>3203.1463666579125</v>
      </c>
      <c r="BB214" s="17">
        <f t="shared" si="160"/>
        <v>3203.1463666579125</v>
      </c>
      <c r="BC214" s="17">
        <f>'1 - Input'!$B$22*AZ214*BB214</f>
        <v>0</v>
      </c>
      <c r="BD214" s="17">
        <f t="shared" si="161"/>
        <v>3203.1463666579125</v>
      </c>
      <c r="BE214" s="17">
        <f t="shared" si="162"/>
        <v>0</v>
      </c>
      <c r="BF214" s="17">
        <f t="shared" si="163"/>
        <v>2540.3413736667185</v>
      </c>
      <c r="BG214" s="17">
        <f t="shared" si="164"/>
        <v>61076.213346811201</v>
      </c>
      <c r="BH214" s="17">
        <f t="shared" si="165"/>
        <v>109514.34696656346</v>
      </c>
      <c r="BI214" s="17">
        <f>IF(MOD(AK214,12)=0,BG214*'1 - Input'!$B$23,0)</f>
        <v>0</v>
      </c>
      <c r="BJ214" s="17">
        <f t="shared" si="166"/>
        <v>61076.213346811201</v>
      </c>
      <c r="BK214" s="17">
        <f>IF(MOD(AK214,12)=0,BH214*(1-'1 - Input'!$B$23),BH214)</f>
        <v>109514.34696656346</v>
      </c>
      <c r="BL214" s="17">
        <f>IF('1 - Input'!$B$17=1,MIN(AV214,AN214)+BD214,AV214)</f>
        <v>3562.592660269755</v>
      </c>
      <c r="BM214" s="17">
        <f t="shared" si="193"/>
        <v>528243.37414266181</v>
      </c>
      <c r="BN214" s="17">
        <f t="shared" si="194"/>
        <v>100335.0471028239</v>
      </c>
      <c r="BO214" s="17">
        <f t="shared" si="195"/>
        <v>0</v>
      </c>
      <c r="BP214" s="17">
        <f t="shared" si="196"/>
        <v>123974.87657086634</v>
      </c>
      <c r="BQ214" s="17">
        <f t="shared" si="197"/>
        <v>8063.6987703032883</v>
      </c>
      <c r="BR214" s="17">
        <f t="shared" si="198"/>
        <v>0</v>
      </c>
      <c r="BS214" s="15">
        <f t="shared" si="167"/>
        <v>0</v>
      </c>
      <c r="BU214" s="14">
        <v>171</v>
      </c>
      <c r="BV214" s="15">
        <f t="shared" si="168"/>
        <v>15</v>
      </c>
      <c r="BW214" s="16">
        <f>(1+INDEX('1 - Input'!$B$34:$E$63,BV214,'1 - Input'!$B$16))^(1/12)-1</f>
        <v>4.1219243192651689E-3</v>
      </c>
      <c r="BX214" s="17">
        <f>'1 - Input'!$B$7*(1+'1 - Input'!$B$12)^(BV214-1)</f>
        <v>3562.592660269755</v>
      </c>
      <c r="BY214" s="17">
        <f t="shared" si="199"/>
        <v>195652.76868424416</v>
      </c>
      <c r="BZ214" s="17">
        <f t="shared" si="200"/>
        <v>12834.578339165277</v>
      </c>
      <c r="CA214" s="17">
        <f t="shared" si="169"/>
        <v>196459.23458961531</v>
      </c>
      <c r="CB214" s="17">
        <f>IF(CA214&gt;0,'1 - Input'!$B$8/12*CA214,0)</f>
        <v>1473.4442594221148</v>
      </c>
      <c r="CC214" s="17">
        <f t="shared" si="170"/>
        <v>194985.79033019321</v>
      </c>
      <c r="CD214" s="17">
        <f t="shared" si="171"/>
        <v>1473.4442594221148</v>
      </c>
      <c r="CE214" s="17">
        <f>'1 - Input'!$B$22*(CB214-CD214)</f>
        <v>0</v>
      </c>
      <c r="CF214" s="17">
        <f t="shared" si="172"/>
        <v>1473.4442594221148</v>
      </c>
      <c r="CG214" s="17">
        <f t="shared" si="173"/>
        <v>11361.134079743162</v>
      </c>
      <c r="CH214" s="17">
        <f>IF('1 - Input'!$B$17=1,MAX(0,CF214-BX214),0)</f>
        <v>0</v>
      </c>
      <c r="CI214" s="17">
        <f>IF('1 - Input'!$B$17=1,MAX(0,BX214-CF214),0)</f>
        <v>2089.14840084764</v>
      </c>
      <c r="CJ214" s="17">
        <f t="shared" si="174"/>
        <v>0.94173352806630695</v>
      </c>
      <c r="CK214" s="17">
        <f>IF(AND(CI214&gt;0,CC214&gt;0),CI214/(1-'1 - Input'!$B$22*CJ214),0)</f>
        <v>2766.53695991123</v>
      </c>
      <c r="CL214" s="17">
        <f t="shared" si="175"/>
        <v>2766.53695991123</v>
      </c>
      <c r="CM214" s="17">
        <f>'1 - Input'!$B$22*CJ214*CL214</f>
        <v>677.38855906358981</v>
      </c>
      <c r="CN214" s="17">
        <f t="shared" si="176"/>
        <v>2089.14840084764</v>
      </c>
      <c r="CO214" s="17">
        <f t="shared" si="177"/>
        <v>0</v>
      </c>
      <c r="CP214" s="17">
        <f t="shared" si="178"/>
        <v>0</v>
      </c>
      <c r="CQ214" s="17">
        <f t="shared" si="179"/>
        <v>192219.25337028198</v>
      </c>
      <c r="CR214" s="17">
        <f t="shared" si="180"/>
        <v>11199.937731614969</v>
      </c>
      <c r="CS214" s="17">
        <f>IF(MOD(BU214,12)=0,CQ214*'1 - Input'!$B$23,0)</f>
        <v>0</v>
      </c>
      <c r="CT214" s="17">
        <f t="shared" si="181"/>
        <v>192219.25337028198</v>
      </c>
      <c r="CU214" s="17">
        <f>IF(MOD(BU214,12)=0,CR214*(1-'1 - Input'!$B$23),CR214)</f>
        <v>11199.937731614969</v>
      </c>
      <c r="CV214" s="17">
        <f>IF('1 - Input'!$B$17=1,MIN(CF214,BX214)+CN214,CF214)</f>
        <v>3562.5926602697546</v>
      </c>
      <c r="CW214" s="17">
        <f t="shared" si="201"/>
        <v>528243.37414266181</v>
      </c>
      <c r="CX214" s="17">
        <f t="shared" si="202"/>
        <v>0</v>
      </c>
      <c r="CY214" s="17">
        <f t="shared" si="203"/>
        <v>20831.482626336459</v>
      </c>
      <c r="CZ214" s="17">
        <f t="shared" si="204"/>
        <v>0</v>
      </c>
      <c r="DA214" s="17">
        <f t="shared" si="205"/>
        <v>10320.33034363269</v>
      </c>
      <c r="DB214" s="17">
        <f t="shared" si="206"/>
        <v>0</v>
      </c>
      <c r="DC214" s="15">
        <f t="shared" si="182"/>
        <v>0</v>
      </c>
    </row>
    <row r="215" spans="1:107">
      <c r="A215" s="14">
        <v>172</v>
      </c>
      <c r="B215" s="15">
        <f t="shared" si="138"/>
        <v>15</v>
      </c>
      <c r="C215" s="16">
        <f>(1+INDEX('1 - Input'!$B$34:$E$63,B215,'1 - Input'!$B$16))^(1/12)-1</f>
        <v>4.1219243192651689E-3</v>
      </c>
      <c r="D215" s="17">
        <f>'1 - Input'!$B$7*(1+'1 - Input'!$B$12)^(B215-1)</f>
        <v>3562.592660269755</v>
      </c>
      <c r="E215" s="17">
        <f t="shared" si="183"/>
        <v>61076.213346811201</v>
      </c>
      <c r="F215" s="17">
        <f t="shared" si="184"/>
        <v>109514.34696656346</v>
      </c>
      <c r="G215" s="17">
        <f t="shared" si="139"/>
        <v>61327.964875934049</v>
      </c>
      <c r="H215" s="17">
        <f>IF(G215&gt;0,'1 - Input'!$B$8/12*G215,0)</f>
        <v>459.95973656950537</v>
      </c>
      <c r="I215" s="17">
        <f t="shared" si="140"/>
        <v>60868.005139364541</v>
      </c>
      <c r="J215" s="17">
        <f t="shared" si="141"/>
        <v>0</v>
      </c>
      <c r="K215" s="17">
        <f>'1 - Input'!$B$22*(H215-J215)</f>
        <v>119.5895315080714</v>
      </c>
      <c r="L215" s="17">
        <f t="shared" si="142"/>
        <v>340.37020506143398</v>
      </c>
      <c r="M215" s="17">
        <f t="shared" si="143"/>
        <v>109514.34696656346</v>
      </c>
      <c r="N215" s="17">
        <f>IF('1 - Input'!$B$17=1,MAX(0,L215-D215),0)</f>
        <v>0</v>
      </c>
      <c r="O215" s="17">
        <f>IF('1 - Input'!$B$17=1,MAX(0,D215-L215),0)</f>
        <v>3222.2224552083212</v>
      </c>
      <c r="P215" s="17">
        <f t="shared" si="144"/>
        <v>0</v>
      </c>
      <c r="Q215" s="17">
        <f>IF(AND(O215&gt;0,I215&gt;0),O215/(1-'1 - Input'!$B$22*P215),0)</f>
        <v>3222.2224552083212</v>
      </c>
      <c r="R215" s="17">
        <f t="shared" si="145"/>
        <v>3222.2224552083212</v>
      </c>
      <c r="S215" s="17">
        <f>'1 - Input'!$B$22*P215*R215</f>
        <v>0</v>
      </c>
      <c r="T215" s="17">
        <f t="shared" si="146"/>
        <v>3222.2224552083212</v>
      </c>
      <c r="U215" s="17">
        <f t="shared" si="147"/>
        <v>0</v>
      </c>
      <c r="V215" s="17">
        <f t="shared" si="148"/>
        <v>2575.2336492783675</v>
      </c>
      <c r="W215" s="17">
        <f t="shared" si="149"/>
        <v>57645.78268415622</v>
      </c>
      <c r="X215" s="17">
        <f t="shared" si="150"/>
        <v>103716.89086207678</v>
      </c>
      <c r="Y215" s="17">
        <f>IF(MOD(A215,12)=0,W215*'1 - Input'!$B$23,0)</f>
        <v>0</v>
      </c>
      <c r="Z215" s="17">
        <f t="shared" si="151"/>
        <v>57645.78268415622</v>
      </c>
      <c r="AA215" s="17">
        <f>IF(MOD(A215,12)=0,X215*(1-'1 - Input'!$B$23),X215)</f>
        <v>103716.89086207678</v>
      </c>
      <c r="AB215" s="17">
        <f>IF('1 - Input'!$B$17=1,MIN(L215,D215)+T215,L215)</f>
        <v>3562.592660269755</v>
      </c>
      <c r="AC215" s="17">
        <f t="shared" si="185"/>
        <v>531805.96680293151</v>
      </c>
      <c r="AD215" s="17">
        <f t="shared" si="186"/>
        <v>100454.63663433197</v>
      </c>
      <c r="AE215" s="17">
        <f t="shared" si="187"/>
        <v>0</v>
      </c>
      <c r="AF215" s="17">
        <f t="shared" si="188"/>
        <v>126550.11022014471</v>
      </c>
      <c r="AG215" s="17">
        <f t="shared" si="189"/>
        <v>8063.6987703032883</v>
      </c>
      <c r="AH215" s="17">
        <f t="shared" si="190"/>
        <v>0</v>
      </c>
      <c r="AI215" s="15">
        <f t="shared" si="152"/>
        <v>0</v>
      </c>
      <c r="AK215" s="14">
        <v>172</v>
      </c>
      <c r="AL215" s="15">
        <f t="shared" si="153"/>
        <v>15</v>
      </c>
      <c r="AM215" s="16">
        <f>(1+INDEX('1 - Input'!$B$34:$E$63,AL215,'1 - Input'!$B$16))^(1/12)-1</f>
        <v>4.1219243192651689E-3</v>
      </c>
      <c r="AN215" s="17">
        <f>'1 - Input'!$B$7*(1+'1 - Input'!$B$12)^(AL215-1)</f>
        <v>3562.592660269755</v>
      </c>
      <c r="AO215" s="17">
        <f t="shared" si="191"/>
        <v>61076.213346811201</v>
      </c>
      <c r="AP215" s="17">
        <f t="shared" si="192"/>
        <v>109514.34696656346</v>
      </c>
      <c r="AQ215" s="17">
        <f t="shared" si="154"/>
        <v>61327.964875934049</v>
      </c>
      <c r="AR215" s="17">
        <f>IF(AQ215&gt;0,'1 - Input'!$B$8/12*AQ215,0)</f>
        <v>459.95973656950537</v>
      </c>
      <c r="AS215" s="17">
        <f t="shared" si="155"/>
        <v>60868.005139364541</v>
      </c>
      <c r="AT215" s="17">
        <f t="shared" si="156"/>
        <v>0</v>
      </c>
      <c r="AU215" s="17">
        <f>'1 - Input'!$B$22*(AR215-AT215)</f>
        <v>119.5895315080714</v>
      </c>
      <c r="AV215" s="17">
        <f t="shared" si="157"/>
        <v>340.37020506143398</v>
      </c>
      <c r="AW215" s="17">
        <f t="shared" si="158"/>
        <v>109514.34696656346</v>
      </c>
      <c r="AX215" s="17">
        <f>IF('1 - Input'!$B$17=1,MAX(0,AV215-AN215),0)</f>
        <v>0</v>
      </c>
      <c r="AY215" s="17">
        <f>IF('1 - Input'!$B$17=1,MAX(0,AN215-AV215),0)</f>
        <v>3222.2224552083212</v>
      </c>
      <c r="AZ215" s="17">
        <f t="shared" si="159"/>
        <v>0</v>
      </c>
      <c r="BA215" s="17">
        <f>IF(AND(AY215&gt;0,AS215&gt;0),AY215/(1-'1 - Input'!$B$22*AZ215),0)</f>
        <v>3222.2224552083212</v>
      </c>
      <c r="BB215" s="17">
        <f t="shared" si="160"/>
        <v>3222.2224552083212</v>
      </c>
      <c r="BC215" s="17">
        <f>'1 - Input'!$B$22*AZ215*BB215</f>
        <v>0</v>
      </c>
      <c r="BD215" s="17">
        <f t="shared" si="161"/>
        <v>3222.2224552083212</v>
      </c>
      <c r="BE215" s="17">
        <f t="shared" si="162"/>
        <v>0</v>
      </c>
      <c r="BF215" s="17">
        <f t="shared" si="163"/>
        <v>2575.2336492783675</v>
      </c>
      <c r="BG215" s="17">
        <f t="shared" si="164"/>
        <v>57645.78268415622</v>
      </c>
      <c r="BH215" s="17">
        <f t="shared" si="165"/>
        <v>103716.89086207678</v>
      </c>
      <c r="BI215" s="17">
        <f>IF(MOD(AK215,12)=0,BG215*'1 - Input'!$B$23,0)</f>
        <v>0</v>
      </c>
      <c r="BJ215" s="17">
        <f t="shared" si="166"/>
        <v>57645.78268415622</v>
      </c>
      <c r="BK215" s="17">
        <f>IF(MOD(AK215,12)=0,BH215*(1-'1 - Input'!$B$23),BH215)</f>
        <v>103716.89086207678</v>
      </c>
      <c r="BL215" s="17">
        <f>IF('1 - Input'!$B$17=1,MIN(AV215,AN215)+BD215,AV215)</f>
        <v>3562.592660269755</v>
      </c>
      <c r="BM215" s="17">
        <f t="shared" si="193"/>
        <v>531805.96680293151</v>
      </c>
      <c r="BN215" s="17">
        <f t="shared" si="194"/>
        <v>100454.63663433197</v>
      </c>
      <c r="BO215" s="17">
        <f t="shared" si="195"/>
        <v>0</v>
      </c>
      <c r="BP215" s="17">
        <f t="shared" si="196"/>
        <v>126550.11022014471</v>
      </c>
      <c r="BQ215" s="17">
        <f t="shared" si="197"/>
        <v>8063.6987703032883</v>
      </c>
      <c r="BR215" s="17">
        <f t="shared" si="198"/>
        <v>0</v>
      </c>
      <c r="BS215" s="15">
        <f t="shared" si="167"/>
        <v>0</v>
      </c>
      <c r="BU215" s="14">
        <v>172</v>
      </c>
      <c r="BV215" s="15">
        <f t="shared" si="168"/>
        <v>15</v>
      </c>
      <c r="BW215" s="16">
        <f>(1+INDEX('1 - Input'!$B$34:$E$63,BV215,'1 - Input'!$B$16))^(1/12)-1</f>
        <v>4.1219243192651689E-3</v>
      </c>
      <c r="BX215" s="17">
        <f>'1 - Input'!$B$7*(1+'1 - Input'!$B$12)^(BV215-1)</f>
        <v>3562.592660269755</v>
      </c>
      <c r="BY215" s="17">
        <f t="shared" si="199"/>
        <v>192219.25337028198</v>
      </c>
      <c r="BZ215" s="17">
        <f t="shared" si="200"/>
        <v>11199.937731614969</v>
      </c>
      <c r="CA215" s="17">
        <f t="shared" si="169"/>
        <v>193011.56658537994</v>
      </c>
      <c r="CB215" s="17">
        <f>IF(CA215&gt;0,'1 - Input'!$B$8/12*CA215,0)</f>
        <v>1447.5867493903495</v>
      </c>
      <c r="CC215" s="17">
        <f t="shared" si="170"/>
        <v>191563.97983598959</v>
      </c>
      <c r="CD215" s="17">
        <f t="shared" si="171"/>
        <v>1447.5867493903495</v>
      </c>
      <c r="CE215" s="17">
        <f>'1 - Input'!$B$22*(CB215-CD215)</f>
        <v>0</v>
      </c>
      <c r="CF215" s="17">
        <f t="shared" si="172"/>
        <v>1447.5867493903495</v>
      </c>
      <c r="CG215" s="17">
        <f t="shared" si="173"/>
        <v>9752.3509822246197</v>
      </c>
      <c r="CH215" s="17">
        <f>IF('1 - Input'!$B$17=1,MAX(0,CF215-BX215),0)</f>
        <v>0</v>
      </c>
      <c r="CI215" s="17">
        <f>IF('1 - Input'!$B$17=1,MAX(0,BX215-CF215),0)</f>
        <v>2115.0059108794057</v>
      </c>
      <c r="CJ215" s="17">
        <f t="shared" si="174"/>
        <v>0.9490908938591992</v>
      </c>
      <c r="CK215" s="17">
        <f>IF(AND(CI215&gt;0,CC215&gt;0),CI215/(1-'1 - Input'!$B$22*CJ215),0)</f>
        <v>2807.8913895619098</v>
      </c>
      <c r="CL215" s="17">
        <f t="shared" si="175"/>
        <v>2807.8913895619098</v>
      </c>
      <c r="CM215" s="17">
        <f>'1 - Input'!$B$22*CJ215*CL215</f>
        <v>692.88547868250407</v>
      </c>
      <c r="CN215" s="17">
        <f t="shared" si="176"/>
        <v>2115.0059108794057</v>
      </c>
      <c r="CO215" s="17">
        <f t="shared" si="177"/>
        <v>0</v>
      </c>
      <c r="CP215" s="17">
        <f t="shared" si="178"/>
        <v>0</v>
      </c>
      <c r="CQ215" s="17">
        <f t="shared" si="179"/>
        <v>188756.08844642769</v>
      </c>
      <c r="CR215" s="17">
        <f t="shared" si="180"/>
        <v>9609.4037414415725</v>
      </c>
      <c r="CS215" s="17">
        <f>IF(MOD(BU215,12)=0,CQ215*'1 - Input'!$B$23,0)</f>
        <v>0</v>
      </c>
      <c r="CT215" s="17">
        <f t="shared" si="181"/>
        <v>188756.08844642769</v>
      </c>
      <c r="CU215" s="17">
        <f>IF(MOD(BU215,12)=0,CR215*(1-'1 - Input'!$B$23),CR215)</f>
        <v>9609.4037414415725</v>
      </c>
      <c r="CV215" s="17">
        <f>IF('1 - Input'!$B$17=1,MIN(CF215,BX215)+CN215,CF215)</f>
        <v>3562.5926602697555</v>
      </c>
      <c r="CW215" s="17">
        <f t="shared" si="201"/>
        <v>531805.96680293151</v>
      </c>
      <c r="CX215" s="17">
        <f t="shared" si="202"/>
        <v>0</v>
      </c>
      <c r="CY215" s="17">
        <f t="shared" si="203"/>
        <v>21524.368105018963</v>
      </c>
      <c r="CZ215" s="17">
        <f t="shared" si="204"/>
        <v>0</v>
      </c>
      <c r="DA215" s="17">
        <f t="shared" si="205"/>
        <v>10320.33034363269</v>
      </c>
      <c r="DB215" s="17">
        <f t="shared" si="206"/>
        <v>0</v>
      </c>
      <c r="DC215" s="15">
        <f t="shared" si="182"/>
        <v>0</v>
      </c>
    </row>
    <row r="216" spans="1:107">
      <c r="A216" s="14">
        <v>173</v>
      </c>
      <c r="B216" s="15">
        <f t="shared" si="138"/>
        <v>15</v>
      </c>
      <c r="C216" s="16">
        <f>(1+INDEX('1 - Input'!$B$34:$E$63,B216,'1 - Input'!$B$16))^(1/12)-1</f>
        <v>4.1219243192651689E-3</v>
      </c>
      <c r="D216" s="17">
        <f>'1 - Input'!$B$7*(1+'1 - Input'!$B$12)^(B216-1)</f>
        <v>3562.592660269755</v>
      </c>
      <c r="E216" s="17">
        <f t="shared" si="183"/>
        <v>57645.78268415622</v>
      </c>
      <c r="F216" s="17">
        <f t="shared" si="184"/>
        <v>103716.89086207678</v>
      </c>
      <c r="G216" s="17">
        <f t="shared" si="139"/>
        <v>57883.394237705121</v>
      </c>
      <c r="H216" s="17">
        <f>IF(G216&gt;0,'1 - Input'!$B$8/12*G216,0)</f>
        <v>434.12545678278838</v>
      </c>
      <c r="I216" s="17">
        <f t="shared" si="140"/>
        <v>57449.268780922335</v>
      </c>
      <c r="J216" s="17">
        <f t="shared" si="141"/>
        <v>0</v>
      </c>
      <c r="K216" s="17">
        <f>'1 - Input'!$B$22*(H216-J216)</f>
        <v>112.87261876352498</v>
      </c>
      <c r="L216" s="17">
        <f t="shared" si="142"/>
        <v>321.25283801926338</v>
      </c>
      <c r="M216" s="17">
        <f t="shared" si="143"/>
        <v>103716.89086207678</v>
      </c>
      <c r="N216" s="17">
        <f>IF('1 - Input'!$B$17=1,MAX(0,L216-D216),0)</f>
        <v>0</v>
      </c>
      <c r="O216" s="17">
        <f>IF('1 - Input'!$B$17=1,MAX(0,D216-L216),0)</f>
        <v>3241.3398222504916</v>
      </c>
      <c r="P216" s="17">
        <f t="shared" si="144"/>
        <v>0</v>
      </c>
      <c r="Q216" s="17">
        <f>IF(AND(O216&gt;0,I216&gt;0),O216/(1-'1 - Input'!$B$22*P216),0)</f>
        <v>3241.3398222504916</v>
      </c>
      <c r="R216" s="17">
        <f t="shared" si="145"/>
        <v>3241.3398222504916</v>
      </c>
      <c r="S216" s="17">
        <f>'1 - Input'!$B$22*P216*R216</f>
        <v>0</v>
      </c>
      <c r="T216" s="17">
        <f t="shared" si="146"/>
        <v>3241.3398222504916</v>
      </c>
      <c r="U216" s="17">
        <f t="shared" si="147"/>
        <v>0</v>
      </c>
      <c r="V216" s="17">
        <f t="shared" si="148"/>
        <v>2610.4611793124081</v>
      </c>
      <c r="W216" s="17">
        <f t="shared" si="149"/>
        <v>54207.928958671844</v>
      </c>
      <c r="X216" s="17">
        <f t="shared" si="150"/>
        <v>97865.089860513879</v>
      </c>
      <c r="Y216" s="17">
        <f>IF(MOD(A216,12)=0,W216*'1 - Input'!$B$23,0)</f>
        <v>0</v>
      </c>
      <c r="Z216" s="17">
        <f t="shared" si="151"/>
        <v>54207.928958671844</v>
      </c>
      <c r="AA216" s="17">
        <f>IF(MOD(A216,12)=0,X216*(1-'1 - Input'!$B$23),X216)</f>
        <v>97865.089860513879</v>
      </c>
      <c r="AB216" s="17">
        <f>IF('1 - Input'!$B$17=1,MIN(L216,D216)+T216,L216)</f>
        <v>3562.592660269755</v>
      </c>
      <c r="AC216" s="17">
        <f t="shared" si="185"/>
        <v>535368.55946320121</v>
      </c>
      <c r="AD216" s="17">
        <f t="shared" si="186"/>
        <v>100567.50925309549</v>
      </c>
      <c r="AE216" s="17">
        <f t="shared" si="187"/>
        <v>0</v>
      </c>
      <c r="AF216" s="17">
        <f t="shared" si="188"/>
        <v>129160.57139945711</v>
      </c>
      <c r="AG216" s="17">
        <f t="shared" si="189"/>
        <v>8063.6987703032883</v>
      </c>
      <c r="AH216" s="17">
        <f t="shared" si="190"/>
        <v>0</v>
      </c>
      <c r="AI216" s="15">
        <f t="shared" si="152"/>
        <v>0</v>
      </c>
      <c r="AK216" s="14">
        <v>173</v>
      </c>
      <c r="AL216" s="15">
        <f t="shared" si="153"/>
        <v>15</v>
      </c>
      <c r="AM216" s="16">
        <f>(1+INDEX('1 - Input'!$B$34:$E$63,AL216,'1 - Input'!$B$16))^(1/12)-1</f>
        <v>4.1219243192651689E-3</v>
      </c>
      <c r="AN216" s="17">
        <f>'1 - Input'!$B$7*(1+'1 - Input'!$B$12)^(AL216-1)</f>
        <v>3562.592660269755</v>
      </c>
      <c r="AO216" s="17">
        <f t="shared" si="191"/>
        <v>57645.78268415622</v>
      </c>
      <c r="AP216" s="17">
        <f t="shared" si="192"/>
        <v>103716.89086207678</v>
      </c>
      <c r="AQ216" s="17">
        <f t="shared" si="154"/>
        <v>57883.394237705121</v>
      </c>
      <c r="AR216" s="17">
        <f>IF(AQ216&gt;0,'1 - Input'!$B$8/12*AQ216,0)</f>
        <v>434.12545678278838</v>
      </c>
      <c r="AS216" s="17">
        <f t="shared" si="155"/>
        <v>57449.268780922335</v>
      </c>
      <c r="AT216" s="17">
        <f t="shared" si="156"/>
        <v>0</v>
      </c>
      <c r="AU216" s="17">
        <f>'1 - Input'!$B$22*(AR216-AT216)</f>
        <v>112.87261876352498</v>
      </c>
      <c r="AV216" s="17">
        <f t="shared" si="157"/>
        <v>321.25283801926338</v>
      </c>
      <c r="AW216" s="17">
        <f t="shared" si="158"/>
        <v>103716.89086207678</v>
      </c>
      <c r="AX216" s="17">
        <f>IF('1 - Input'!$B$17=1,MAX(0,AV216-AN216),0)</f>
        <v>0</v>
      </c>
      <c r="AY216" s="17">
        <f>IF('1 - Input'!$B$17=1,MAX(0,AN216-AV216),0)</f>
        <v>3241.3398222504916</v>
      </c>
      <c r="AZ216" s="17">
        <f t="shared" si="159"/>
        <v>0</v>
      </c>
      <c r="BA216" s="17">
        <f>IF(AND(AY216&gt;0,AS216&gt;0),AY216/(1-'1 - Input'!$B$22*AZ216),0)</f>
        <v>3241.3398222504916</v>
      </c>
      <c r="BB216" s="17">
        <f t="shared" si="160"/>
        <v>3241.3398222504916</v>
      </c>
      <c r="BC216" s="17">
        <f>'1 - Input'!$B$22*AZ216*BB216</f>
        <v>0</v>
      </c>
      <c r="BD216" s="17">
        <f t="shared" si="161"/>
        <v>3241.3398222504916</v>
      </c>
      <c r="BE216" s="17">
        <f t="shared" si="162"/>
        <v>0</v>
      </c>
      <c r="BF216" s="17">
        <f t="shared" si="163"/>
        <v>2610.4611793124081</v>
      </c>
      <c r="BG216" s="17">
        <f t="shared" si="164"/>
        <v>54207.928958671844</v>
      </c>
      <c r="BH216" s="17">
        <f t="shared" si="165"/>
        <v>97865.089860513879</v>
      </c>
      <c r="BI216" s="17">
        <f>IF(MOD(AK216,12)=0,BG216*'1 - Input'!$B$23,0)</f>
        <v>0</v>
      </c>
      <c r="BJ216" s="17">
        <f t="shared" si="166"/>
        <v>54207.928958671844</v>
      </c>
      <c r="BK216" s="17">
        <f>IF(MOD(AK216,12)=0,BH216*(1-'1 - Input'!$B$23),BH216)</f>
        <v>97865.089860513879</v>
      </c>
      <c r="BL216" s="17">
        <f>IF('1 - Input'!$B$17=1,MIN(AV216,AN216)+BD216,AV216)</f>
        <v>3562.592660269755</v>
      </c>
      <c r="BM216" s="17">
        <f t="shared" si="193"/>
        <v>535368.55946320121</v>
      </c>
      <c r="BN216" s="17">
        <f t="shared" si="194"/>
        <v>100567.50925309549</v>
      </c>
      <c r="BO216" s="17">
        <f t="shared" si="195"/>
        <v>0</v>
      </c>
      <c r="BP216" s="17">
        <f t="shared" si="196"/>
        <v>129160.57139945711</v>
      </c>
      <c r="BQ216" s="17">
        <f t="shared" si="197"/>
        <v>8063.6987703032883</v>
      </c>
      <c r="BR216" s="17">
        <f t="shared" si="198"/>
        <v>0</v>
      </c>
      <c r="BS216" s="15">
        <f t="shared" si="167"/>
        <v>0</v>
      </c>
      <c r="BU216" s="14">
        <v>173</v>
      </c>
      <c r="BV216" s="15">
        <f t="shared" si="168"/>
        <v>15</v>
      </c>
      <c r="BW216" s="16">
        <f>(1+INDEX('1 - Input'!$B$34:$E$63,BV216,'1 - Input'!$B$16))^(1/12)-1</f>
        <v>4.1219243192651689E-3</v>
      </c>
      <c r="BX216" s="17">
        <f>'1 - Input'!$B$7*(1+'1 - Input'!$B$12)^(BV216-1)</f>
        <v>3562.592660269755</v>
      </c>
      <c r="BY216" s="17">
        <f t="shared" si="199"/>
        <v>188756.08844642769</v>
      </c>
      <c r="BZ216" s="17">
        <f t="shared" si="200"/>
        <v>9609.4037414415725</v>
      </c>
      <c r="CA216" s="17">
        <f t="shared" si="169"/>
        <v>189534.12675780439</v>
      </c>
      <c r="CB216" s="17">
        <f>IF(CA216&gt;0,'1 - Input'!$B$8/12*CA216,0)</f>
        <v>1421.5059506835328</v>
      </c>
      <c r="CC216" s="17">
        <f t="shared" si="170"/>
        <v>188112.62080712087</v>
      </c>
      <c r="CD216" s="17">
        <f t="shared" si="171"/>
        <v>1421.5059506835328</v>
      </c>
      <c r="CE216" s="17">
        <f>'1 - Input'!$B$22*(CB216-CD216)</f>
        <v>0</v>
      </c>
      <c r="CF216" s="17">
        <f t="shared" si="172"/>
        <v>1421.5059506835328</v>
      </c>
      <c r="CG216" s="17">
        <f t="shared" si="173"/>
        <v>8187.8977907580393</v>
      </c>
      <c r="CH216" s="17">
        <f>IF('1 - Input'!$B$17=1,MAX(0,CF216-BX216),0)</f>
        <v>0</v>
      </c>
      <c r="CI216" s="17">
        <f>IF('1 - Input'!$B$17=1,MAX(0,BX216-CF216),0)</f>
        <v>2141.0867095862222</v>
      </c>
      <c r="CJ216" s="17">
        <f t="shared" si="174"/>
        <v>0.95647342663332835</v>
      </c>
      <c r="CK216" s="17">
        <f>IF(AND(CI216&gt;0,CC216&gt;0),CI216/(1-'1 - Input'!$B$22*CJ216),0)</f>
        <v>2849.7784140401068</v>
      </c>
      <c r="CL216" s="17">
        <f t="shared" si="175"/>
        <v>2849.7784140401068</v>
      </c>
      <c r="CM216" s="17">
        <f>'1 - Input'!$B$22*CJ216*CL216</f>
        <v>708.69170445388454</v>
      </c>
      <c r="CN216" s="17">
        <f t="shared" si="176"/>
        <v>2141.0867095862222</v>
      </c>
      <c r="CO216" s="17">
        <f t="shared" si="177"/>
        <v>0</v>
      </c>
      <c r="CP216" s="17">
        <f t="shared" si="178"/>
        <v>0</v>
      </c>
      <c r="CQ216" s="17">
        <f t="shared" si="179"/>
        <v>185262.84239308076</v>
      </c>
      <c r="CR216" s="17">
        <f t="shared" si="180"/>
        <v>8063.8567015405652</v>
      </c>
      <c r="CS216" s="17">
        <f>IF(MOD(BU216,12)=0,CQ216*'1 - Input'!$B$23,0)</f>
        <v>0</v>
      </c>
      <c r="CT216" s="17">
        <f t="shared" si="181"/>
        <v>185262.84239308076</v>
      </c>
      <c r="CU216" s="17">
        <f>IF(MOD(BU216,12)=0,CR216*(1-'1 - Input'!$B$23),CR216)</f>
        <v>8063.8567015405652</v>
      </c>
      <c r="CV216" s="17">
        <f>IF('1 - Input'!$B$17=1,MIN(CF216,BX216)+CN216,CF216)</f>
        <v>3562.592660269755</v>
      </c>
      <c r="CW216" s="17">
        <f t="shared" si="201"/>
        <v>535368.55946320121</v>
      </c>
      <c r="CX216" s="17">
        <f t="shared" si="202"/>
        <v>0</v>
      </c>
      <c r="CY216" s="17">
        <f t="shared" si="203"/>
        <v>22233.059809472848</v>
      </c>
      <c r="CZ216" s="17">
        <f t="shared" si="204"/>
        <v>0</v>
      </c>
      <c r="DA216" s="17">
        <f t="shared" si="205"/>
        <v>10320.33034363269</v>
      </c>
      <c r="DB216" s="17">
        <f t="shared" si="206"/>
        <v>0</v>
      </c>
      <c r="DC216" s="15">
        <f t="shared" si="182"/>
        <v>0</v>
      </c>
    </row>
    <row r="217" spans="1:107">
      <c r="A217" s="14">
        <v>174</v>
      </c>
      <c r="B217" s="15">
        <f t="shared" si="138"/>
        <v>15</v>
      </c>
      <c r="C217" s="16">
        <f>(1+INDEX('1 - Input'!$B$34:$E$63,B217,'1 - Input'!$B$16))^(1/12)-1</f>
        <v>4.1219243192651689E-3</v>
      </c>
      <c r="D217" s="17">
        <f>'1 - Input'!$B$7*(1+'1 - Input'!$B$12)^(B217-1)</f>
        <v>3562.592660269755</v>
      </c>
      <c r="E217" s="17">
        <f t="shared" si="183"/>
        <v>54207.928958671844</v>
      </c>
      <c r="F217" s="17">
        <f t="shared" si="184"/>
        <v>97865.089860513879</v>
      </c>
      <c r="G217" s="17">
        <f t="shared" si="139"/>
        <v>54431.369939343589</v>
      </c>
      <c r="H217" s="17">
        <f>IF(G217&gt;0,'1 - Input'!$B$8/12*G217,0)</f>
        <v>408.23527454507689</v>
      </c>
      <c r="I217" s="17">
        <f t="shared" si="140"/>
        <v>54023.134664798512</v>
      </c>
      <c r="J217" s="17">
        <f t="shared" si="141"/>
        <v>0</v>
      </c>
      <c r="K217" s="17">
        <f>'1 - Input'!$B$22*(H217-J217)</f>
        <v>106.14117138172</v>
      </c>
      <c r="L217" s="17">
        <f t="shared" si="142"/>
        <v>302.09410316335686</v>
      </c>
      <c r="M217" s="17">
        <f t="shared" si="143"/>
        <v>97865.089860513879</v>
      </c>
      <c r="N217" s="17">
        <f>IF('1 - Input'!$B$17=1,MAX(0,L217-D217),0)</f>
        <v>0</v>
      </c>
      <c r="O217" s="17">
        <f>IF('1 - Input'!$B$17=1,MAX(0,D217-L217),0)</f>
        <v>3260.498557106398</v>
      </c>
      <c r="P217" s="17">
        <f t="shared" si="144"/>
        <v>0</v>
      </c>
      <c r="Q217" s="17">
        <f>IF(AND(O217&gt;0,I217&gt;0),O217/(1-'1 - Input'!$B$22*P217),0)</f>
        <v>3260.498557106398</v>
      </c>
      <c r="R217" s="17">
        <f t="shared" si="145"/>
        <v>3260.498557106398</v>
      </c>
      <c r="S217" s="17">
        <f>'1 - Input'!$B$22*P217*R217</f>
        <v>0</v>
      </c>
      <c r="T217" s="17">
        <f t="shared" si="146"/>
        <v>3260.498557106398</v>
      </c>
      <c r="U217" s="17">
        <f t="shared" si="147"/>
        <v>0</v>
      </c>
      <c r="V217" s="17">
        <f t="shared" si="148"/>
        <v>2646.0262356730173</v>
      </c>
      <c r="W217" s="17">
        <f t="shared" si="149"/>
        <v>50762.636107692117</v>
      </c>
      <c r="X217" s="17">
        <f t="shared" si="150"/>
        <v>91958.565067734467</v>
      </c>
      <c r="Y217" s="17">
        <f>IF(MOD(A217,12)=0,W217*'1 - Input'!$B$23,0)</f>
        <v>0</v>
      </c>
      <c r="Z217" s="17">
        <f t="shared" si="151"/>
        <v>50762.636107692117</v>
      </c>
      <c r="AA217" s="17">
        <f>IF(MOD(A217,12)=0,X217*(1-'1 - Input'!$B$23),X217)</f>
        <v>91958.565067734467</v>
      </c>
      <c r="AB217" s="17">
        <f>IF('1 - Input'!$B$17=1,MIN(L217,D217)+T217,L217)</f>
        <v>3562.592660269755</v>
      </c>
      <c r="AC217" s="17">
        <f t="shared" si="185"/>
        <v>538931.15212347091</v>
      </c>
      <c r="AD217" s="17">
        <f t="shared" si="186"/>
        <v>100673.65042447721</v>
      </c>
      <c r="AE217" s="17">
        <f t="shared" si="187"/>
        <v>0</v>
      </c>
      <c r="AF217" s="17">
        <f t="shared" si="188"/>
        <v>131806.59763513014</v>
      </c>
      <c r="AG217" s="17">
        <f t="shared" si="189"/>
        <v>8063.6987703032883</v>
      </c>
      <c r="AH217" s="17">
        <f t="shared" si="190"/>
        <v>0</v>
      </c>
      <c r="AI217" s="15">
        <f t="shared" si="152"/>
        <v>0</v>
      </c>
      <c r="AK217" s="14">
        <v>174</v>
      </c>
      <c r="AL217" s="15">
        <f t="shared" si="153"/>
        <v>15</v>
      </c>
      <c r="AM217" s="16">
        <f>(1+INDEX('1 - Input'!$B$34:$E$63,AL217,'1 - Input'!$B$16))^(1/12)-1</f>
        <v>4.1219243192651689E-3</v>
      </c>
      <c r="AN217" s="17">
        <f>'1 - Input'!$B$7*(1+'1 - Input'!$B$12)^(AL217-1)</f>
        <v>3562.592660269755</v>
      </c>
      <c r="AO217" s="17">
        <f t="shared" si="191"/>
        <v>54207.928958671844</v>
      </c>
      <c r="AP217" s="17">
        <f t="shared" si="192"/>
        <v>97865.089860513879</v>
      </c>
      <c r="AQ217" s="17">
        <f t="shared" si="154"/>
        <v>54431.369939343589</v>
      </c>
      <c r="AR217" s="17">
        <f>IF(AQ217&gt;0,'1 - Input'!$B$8/12*AQ217,0)</f>
        <v>408.23527454507689</v>
      </c>
      <c r="AS217" s="17">
        <f t="shared" si="155"/>
        <v>54023.134664798512</v>
      </c>
      <c r="AT217" s="17">
        <f t="shared" si="156"/>
        <v>0</v>
      </c>
      <c r="AU217" s="17">
        <f>'1 - Input'!$B$22*(AR217-AT217)</f>
        <v>106.14117138172</v>
      </c>
      <c r="AV217" s="17">
        <f t="shared" si="157"/>
        <v>302.09410316335686</v>
      </c>
      <c r="AW217" s="17">
        <f t="shared" si="158"/>
        <v>97865.089860513879</v>
      </c>
      <c r="AX217" s="17">
        <f>IF('1 - Input'!$B$17=1,MAX(0,AV217-AN217),0)</f>
        <v>0</v>
      </c>
      <c r="AY217" s="17">
        <f>IF('1 - Input'!$B$17=1,MAX(0,AN217-AV217),0)</f>
        <v>3260.498557106398</v>
      </c>
      <c r="AZ217" s="17">
        <f t="shared" si="159"/>
        <v>0</v>
      </c>
      <c r="BA217" s="17">
        <f>IF(AND(AY217&gt;0,AS217&gt;0),AY217/(1-'1 - Input'!$B$22*AZ217),0)</f>
        <v>3260.498557106398</v>
      </c>
      <c r="BB217" s="17">
        <f t="shared" si="160"/>
        <v>3260.498557106398</v>
      </c>
      <c r="BC217" s="17">
        <f>'1 - Input'!$B$22*AZ217*BB217</f>
        <v>0</v>
      </c>
      <c r="BD217" s="17">
        <f t="shared" si="161"/>
        <v>3260.498557106398</v>
      </c>
      <c r="BE217" s="17">
        <f t="shared" si="162"/>
        <v>0</v>
      </c>
      <c r="BF217" s="17">
        <f t="shared" si="163"/>
        <v>2646.0262356730173</v>
      </c>
      <c r="BG217" s="17">
        <f t="shared" si="164"/>
        <v>50762.636107692117</v>
      </c>
      <c r="BH217" s="17">
        <f t="shared" si="165"/>
        <v>91958.565067734467</v>
      </c>
      <c r="BI217" s="17">
        <f>IF(MOD(AK217,12)=0,BG217*'1 - Input'!$B$23,0)</f>
        <v>0</v>
      </c>
      <c r="BJ217" s="17">
        <f t="shared" si="166"/>
        <v>50762.636107692117</v>
      </c>
      <c r="BK217" s="17">
        <f>IF(MOD(AK217,12)=0,BH217*(1-'1 - Input'!$B$23),BH217)</f>
        <v>91958.565067734467</v>
      </c>
      <c r="BL217" s="17">
        <f>IF('1 - Input'!$B$17=1,MIN(AV217,AN217)+BD217,AV217)</f>
        <v>3562.592660269755</v>
      </c>
      <c r="BM217" s="17">
        <f t="shared" si="193"/>
        <v>538931.15212347091</v>
      </c>
      <c r="BN217" s="17">
        <f t="shared" si="194"/>
        <v>100673.65042447721</v>
      </c>
      <c r="BO217" s="17">
        <f t="shared" si="195"/>
        <v>0</v>
      </c>
      <c r="BP217" s="17">
        <f t="shared" si="196"/>
        <v>131806.59763513014</v>
      </c>
      <c r="BQ217" s="17">
        <f t="shared" si="197"/>
        <v>8063.6987703032883</v>
      </c>
      <c r="BR217" s="17">
        <f t="shared" si="198"/>
        <v>0</v>
      </c>
      <c r="BS217" s="15">
        <f t="shared" si="167"/>
        <v>0</v>
      </c>
      <c r="BU217" s="14">
        <v>174</v>
      </c>
      <c r="BV217" s="15">
        <f t="shared" si="168"/>
        <v>15</v>
      </c>
      <c r="BW217" s="16">
        <f>(1+INDEX('1 - Input'!$B$34:$E$63,BV217,'1 - Input'!$B$16))^(1/12)-1</f>
        <v>4.1219243192651689E-3</v>
      </c>
      <c r="BX217" s="17">
        <f>'1 - Input'!$B$7*(1+'1 - Input'!$B$12)^(BV217-1)</f>
        <v>3562.592660269755</v>
      </c>
      <c r="BY217" s="17">
        <f t="shared" si="199"/>
        <v>185262.84239308076</v>
      </c>
      <c r="BZ217" s="17">
        <f t="shared" si="200"/>
        <v>8063.8567015405652</v>
      </c>
      <c r="CA217" s="17">
        <f t="shared" si="169"/>
        <v>186026.48180859699</v>
      </c>
      <c r="CB217" s="17">
        <f>IF(CA217&gt;0,'1 - Input'!$B$8/12*CA217,0)</f>
        <v>1395.1986135644775</v>
      </c>
      <c r="CC217" s="17">
        <f t="shared" si="170"/>
        <v>184631.28319503251</v>
      </c>
      <c r="CD217" s="17">
        <f t="shared" si="171"/>
        <v>1395.1986135644775</v>
      </c>
      <c r="CE217" s="17">
        <f>'1 - Input'!$B$22*(CB217-CD217)</f>
        <v>0</v>
      </c>
      <c r="CF217" s="17">
        <f t="shared" si="172"/>
        <v>1395.1986135644775</v>
      </c>
      <c r="CG217" s="17">
        <f t="shared" si="173"/>
        <v>6668.6580879760877</v>
      </c>
      <c r="CH217" s="17">
        <f>IF('1 - Input'!$B$17=1,MAX(0,CF217-BX217),0)</f>
        <v>0</v>
      </c>
      <c r="CI217" s="17">
        <f>IF('1 - Input'!$B$17=1,MAX(0,BX217-CF217),0)</f>
        <v>2167.3940467052776</v>
      </c>
      <c r="CJ217" s="17">
        <f t="shared" si="174"/>
        <v>0.96388121247615577</v>
      </c>
      <c r="CK217" s="17">
        <f>IF(AND(CI217&gt;0,CC217&gt;0),CI217/(1-'1 - Input'!$B$22*CJ217),0)</f>
        <v>2892.207645960892</v>
      </c>
      <c r="CL217" s="17">
        <f t="shared" si="175"/>
        <v>2892.207645960892</v>
      </c>
      <c r="CM217" s="17">
        <f>'1 - Input'!$B$22*CJ217*CL217</f>
        <v>724.81359925561424</v>
      </c>
      <c r="CN217" s="17">
        <f t="shared" si="176"/>
        <v>2167.394046705278</v>
      </c>
      <c r="CO217" s="17">
        <f t="shared" si="177"/>
        <v>0</v>
      </c>
      <c r="CP217" s="17">
        <f t="shared" si="178"/>
        <v>0</v>
      </c>
      <c r="CQ217" s="17">
        <f t="shared" si="179"/>
        <v>181739.07554907163</v>
      </c>
      <c r="CR217" s="17">
        <f t="shared" si="180"/>
        <v>6564.195054536789</v>
      </c>
      <c r="CS217" s="17">
        <f>IF(MOD(BU217,12)=0,CQ217*'1 - Input'!$B$23,0)</f>
        <v>0</v>
      </c>
      <c r="CT217" s="17">
        <f t="shared" si="181"/>
        <v>181739.07554907163</v>
      </c>
      <c r="CU217" s="17">
        <f>IF(MOD(BU217,12)=0,CR217*(1-'1 - Input'!$B$23),CR217)</f>
        <v>6564.195054536789</v>
      </c>
      <c r="CV217" s="17">
        <f>IF('1 - Input'!$B$17=1,MIN(CF217,BX217)+CN217,CF217)</f>
        <v>3562.5926602697555</v>
      </c>
      <c r="CW217" s="17">
        <f t="shared" si="201"/>
        <v>538931.15212347091</v>
      </c>
      <c r="CX217" s="17">
        <f t="shared" si="202"/>
        <v>0</v>
      </c>
      <c r="CY217" s="17">
        <f t="shared" si="203"/>
        <v>22957.873408728461</v>
      </c>
      <c r="CZ217" s="17">
        <f t="shared" si="204"/>
        <v>0</v>
      </c>
      <c r="DA217" s="17">
        <f t="shared" si="205"/>
        <v>10320.33034363269</v>
      </c>
      <c r="DB217" s="17">
        <f t="shared" si="206"/>
        <v>0</v>
      </c>
      <c r="DC217" s="15">
        <f t="shared" si="182"/>
        <v>0</v>
      </c>
    </row>
    <row r="218" spans="1:107">
      <c r="A218" s="14">
        <v>175</v>
      </c>
      <c r="B218" s="15">
        <f t="shared" si="138"/>
        <v>15</v>
      </c>
      <c r="C218" s="16">
        <f>(1+INDEX('1 - Input'!$B$34:$E$63,B218,'1 - Input'!$B$16))^(1/12)-1</f>
        <v>4.1219243192651689E-3</v>
      </c>
      <c r="D218" s="17">
        <f>'1 - Input'!$B$7*(1+'1 - Input'!$B$12)^(B218-1)</f>
        <v>3562.592660269755</v>
      </c>
      <c r="E218" s="17">
        <f t="shared" si="183"/>
        <v>50762.636107692117</v>
      </c>
      <c r="F218" s="17">
        <f t="shared" si="184"/>
        <v>91958.565067734467</v>
      </c>
      <c r="G218" s="17">
        <f t="shared" si="139"/>
        <v>50971.875851974422</v>
      </c>
      <c r="H218" s="17">
        <f>IF(G218&gt;0,'1 - Input'!$B$8/12*G218,0)</f>
        <v>382.28906888980816</v>
      </c>
      <c r="I218" s="17">
        <f t="shared" si="140"/>
        <v>50589.586783084611</v>
      </c>
      <c r="J218" s="17">
        <f t="shared" si="141"/>
        <v>0</v>
      </c>
      <c r="K218" s="17">
        <f>'1 - Input'!$B$22*(H218-J218)</f>
        <v>99.395157911350125</v>
      </c>
      <c r="L218" s="17">
        <f t="shared" si="142"/>
        <v>282.89391097845805</v>
      </c>
      <c r="M218" s="17">
        <f t="shared" si="143"/>
        <v>91958.565067734467</v>
      </c>
      <c r="N218" s="17">
        <f>IF('1 - Input'!$B$17=1,MAX(0,L218-D218),0)</f>
        <v>0</v>
      </c>
      <c r="O218" s="17">
        <f>IF('1 - Input'!$B$17=1,MAX(0,D218-L218),0)</f>
        <v>3279.6987492912967</v>
      </c>
      <c r="P218" s="17">
        <f t="shared" si="144"/>
        <v>0</v>
      </c>
      <c r="Q218" s="17">
        <f>IF(AND(O218&gt;0,I218&gt;0),O218/(1-'1 - Input'!$B$22*P218),0)</f>
        <v>3279.6987492912967</v>
      </c>
      <c r="R218" s="17">
        <f t="shared" si="145"/>
        <v>3279.6987492912967</v>
      </c>
      <c r="S218" s="17">
        <f>'1 - Input'!$B$22*P218*R218</f>
        <v>0</v>
      </c>
      <c r="T218" s="17">
        <f t="shared" si="146"/>
        <v>3279.6987492912967</v>
      </c>
      <c r="U218" s="17">
        <f t="shared" si="147"/>
        <v>0</v>
      </c>
      <c r="V218" s="17">
        <f t="shared" si="148"/>
        <v>2681.931104149498</v>
      </c>
      <c r="W218" s="17">
        <f t="shared" si="149"/>
        <v>47309.888033793315</v>
      </c>
      <c r="X218" s="17">
        <f t="shared" si="150"/>
        <v>85996.93521429367</v>
      </c>
      <c r="Y218" s="17">
        <f>IF(MOD(A218,12)=0,W218*'1 - Input'!$B$23,0)</f>
        <v>0</v>
      </c>
      <c r="Z218" s="17">
        <f t="shared" si="151"/>
        <v>47309.888033793315</v>
      </c>
      <c r="AA218" s="17">
        <f>IF(MOD(A218,12)=0,X218*(1-'1 - Input'!$B$23),X218)</f>
        <v>85996.93521429367</v>
      </c>
      <c r="AB218" s="17">
        <f>IF('1 - Input'!$B$17=1,MIN(L218,D218)+T218,L218)</f>
        <v>3562.5926602697546</v>
      </c>
      <c r="AC218" s="17">
        <f t="shared" si="185"/>
        <v>542493.74478374061</v>
      </c>
      <c r="AD218" s="17">
        <f t="shared" si="186"/>
        <v>100773.04558238856</v>
      </c>
      <c r="AE218" s="17">
        <f t="shared" si="187"/>
        <v>0</v>
      </c>
      <c r="AF218" s="17">
        <f t="shared" si="188"/>
        <v>134488.52873927963</v>
      </c>
      <c r="AG218" s="17">
        <f t="shared" si="189"/>
        <v>8063.6987703032883</v>
      </c>
      <c r="AH218" s="17">
        <f t="shared" si="190"/>
        <v>0</v>
      </c>
      <c r="AI218" s="15">
        <f t="shared" si="152"/>
        <v>0</v>
      </c>
      <c r="AK218" s="14">
        <v>175</v>
      </c>
      <c r="AL218" s="15">
        <f t="shared" si="153"/>
        <v>15</v>
      </c>
      <c r="AM218" s="16">
        <f>(1+INDEX('1 - Input'!$B$34:$E$63,AL218,'1 - Input'!$B$16))^(1/12)-1</f>
        <v>4.1219243192651689E-3</v>
      </c>
      <c r="AN218" s="17">
        <f>'1 - Input'!$B$7*(1+'1 - Input'!$B$12)^(AL218-1)</f>
        <v>3562.592660269755</v>
      </c>
      <c r="AO218" s="17">
        <f t="shared" si="191"/>
        <v>50762.636107692117</v>
      </c>
      <c r="AP218" s="17">
        <f t="shared" si="192"/>
        <v>91958.565067734467</v>
      </c>
      <c r="AQ218" s="17">
        <f t="shared" si="154"/>
        <v>50971.875851974422</v>
      </c>
      <c r="AR218" s="17">
        <f>IF(AQ218&gt;0,'1 - Input'!$B$8/12*AQ218,0)</f>
        <v>382.28906888980816</v>
      </c>
      <c r="AS218" s="17">
        <f t="shared" si="155"/>
        <v>50589.586783084611</v>
      </c>
      <c r="AT218" s="17">
        <f t="shared" si="156"/>
        <v>0</v>
      </c>
      <c r="AU218" s="17">
        <f>'1 - Input'!$B$22*(AR218-AT218)</f>
        <v>99.395157911350125</v>
      </c>
      <c r="AV218" s="17">
        <f t="shared" si="157"/>
        <v>282.89391097845805</v>
      </c>
      <c r="AW218" s="17">
        <f t="shared" si="158"/>
        <v>91958.565067734467</v>
      </c>
      <c r="AX218" s="17">
        <f>IF('1 - Input'!$B$17=1,MAX(0,AV218-AN218),0)</f>
        <v>0</v>
      </c>
      <c r="AY218" s="17">
        <f>IF('1 - Input'!$B$17=1,MAX(0,AN218-AV218),0)</f>
        <v>3279.6987492912967</v>
      </c>
      <c r="AZ218" s="17">
        <f t="shared" si="159"/>
        <v>0</v>
      </c>
      <c r="BA218" s="17">
        <f>IF(AND(AY218&gt;0,AS218&gt;0),AY218/(1-'1 - Input'!$B$22*AZ218),0)</f>
        <v>3279.6987492912967</v>
      </c>
      <c r="BB218" s="17">
        <f t="shared" si="160"/>
        <v>3279.6987492912967</v>
      </c>
      <c r="BC218" s="17">
        <f>'1 - Input'!$B$22*AZ218*BB218</f>
        <v>0</v>
      </c>
      <c r="BD218" s="17">
        <f t="shared" si="161"/>
        <v>3279.6987492912967</v>
      </c>
      <c r="BE218" s="17">
        <f t="shared" si="162"/>
        <v>0</v>
      </c>
      <c r="BF218" s="17">
        <f t="shared" si="163"/>
        <v>2681.931104149498</v>
      </c>
      <c r="BG218" s="17">
        <f t="shared" si="164"/>
        <v>47309.888033793315</v>
      </c>
      <c r="BH218" s="17">
        <f t="shared" si="165"/>
        <v>85996.93521429367</v>
      </c>
      <c r="BI218" s="17">
        <f>IF(MOD(AK218,12)=0,BG218*'1 - Input'!$B$23,0)</f>
        <v>0</v>
      </c>
      <c r="BJ218" s="17">
        <f t="shared" si="166"/>
        <v>47309.888033793315</v>
      </c>
      <c r="BK218" s="17">
        <f>IF(MOD(AK218,12)=0,BH218*(1-'1 - Input'!$B$23),BH218)</f>
        <v>85996.93521429367</v>
      </c>
      <c r="BL218" s="17">
        <f>IF('1 - Input'!$B$17=1,MIN(AV218,AN218)+BD218,AV218)</f>
        <v>3562.5926602697546</v>
      </c>
      <c r="BM218" s="17">
        <f t="shared" si="193"/>
        <v>542493.74478374061</v>
      </c>
      <c r="BN218" s="17">
        <f t="shared" si="194"/>
        <v>100773.04558238856</v>
      </c>
      <c r="BO218" s="17">
        <f t="shared" si="195"/>
        <v>0</v>
      </c>
      <c r="BP218" s="17">
        <f t="shared" si="196"/>
        <v>134488.52873927963</v>
      </c>
      <c r="BQ218" s="17">
        <f t="shared" si="197"/>
        <v>8063.6987703032883</v>
      </c>
      <c r="BR218" s="17">
        <f t="shared" si="198"/>
        <v>0</v>
      </c>
      <c r="BS218" s="15">
        <f t="shared" si="167"/>
        <v>0</v>
      </c>
      <c r="BU218" s="14">
        <v>175</v>
      </c>
      <c r="BV218" s="15">
        <f t="shared" si="168"/>
        <v>15</v>
      </c>
      <c r="BW218" s="16">
        <f>(1+INDEX('1 - Input'!$B$34:$E$63,BV218,'1 - Input'!$B$16))^(1/12)-1</f>
        <v>4.1219243192651689E-3</v>
      </c>
      <c r="BX218" s="17">
        <f>'1 - Input'!$B$7*(1+'1 - Input'!$B$12)^(BV218-1)</f>
        <v>3562.592660269755</v>
      </c>
      <c r="BY218" s="17">
        <f t="shared" si="199"/>
        <v>181739.07554907163</v>
      </c>
      <c r="BZ218" s="17">
        <f t="shared" si="200"/>
        <v>6564.195054536789</v>
      </c>
      <c r="CA218" s="17">
        <f t="shared" si="169"/>
        <v>182488.1902643381</v>
      </c>
      <c r="CB218" s="17">
        <f>IF(CA218&gt;0,'1 - Input'!$B$8/12*CA218,0)</f>
        <v>1368.6614269825357</v>
      </c>
      <c r="CC218" s="17">
        <f t="shared" si="170"/>
        <v>181119.52883735558</v>
      </c>
      <c r="CD218" s="17">
        <f t="shared" si="171"/>
        <v>1368.6614269825357</v>
      </c>
      <c r="CE218" s="17">
        <f>'1 - Input'!$B$22*(CB218-CD218)</f>
        <v>0</v>
      </c>
      <c r="CF218" s="17">
        <f t="shared" si="172"/>
        <v>1368.6614269825357</v>
      </c>
      <c r="CG218" s="17">
        <f t="shared" si="173"/>
        <v>5195.5336275542531</v>
      </c>
      <c r="CH218" s="17">
        <f>IF('1 - Input'!$B$17=1,MAX(0,CF218-BX218),0)</f>
        <v>0</v>
      </c>
      <c r="CI218" s="17">
        <f>IF('1 - Input'!$B$17=1,MAX(0,BX218-CF218),0)</f>
        <v>2193.9312332872196</v>
      </c>
      <c r="CJ218" s="17">
        <f t="shared" si="174"/>
        <v>0.97131433776961829</v>
      </c>
      <c r="CK218" s="17">
        <f>IF(AND(CI218&gt;0,CC218&gt;0),CI218/(1-'1 - Input'!$B$22*CJ218),0)</f>
        <v>2935.1889128055318</v>
      </c>
      <c r="CL218" s="17">
        <f t="shared" si="175"/>
        <v>2935.1889128055318</v>
      </c>
      <c r="CM218" s="17">
        <f>'1 - Input'!$B$22*CJ218*CL218</f>
        <v>741.2576795183121</v>
      </c>
      <c r="CN218" s="17">
        <f t="shared" si="176"/>
        <v>2193.9312332872196</v>
      </c>
      <c r="CO218" s="17">
        <f t="shared" si="177"/>
        <v>0</v>
      </c>
      <c r="CP218" s="17">
        <f t="shared" si="178"/>
        <v>0</v>
      </c>
      <c r="CQ218" s="17">
        <f t="shared" si="179"/>
        <v>178184.33992455006</v>
      </c>
      <c r="CR218" s="17">
        <f t="shared" si="180"/>
        <v>5111.3357898191525</v>
      </c>
      <c r="CS218" s="17">
        <f>IF(MOD(BU218,12)=0,CQ218*'1 - Input'!$B$23,0)</f>
        <v>0</v>
      </c>
      <c r="CT218" s="17">
        <f t="shared" si="181"/>
        <v>178184.33992455006</v>
      </c>
      <c r="CU218" s="17">
        <f>IF(MOD(BU218,12)=0,CR218*(1-'1 - Input'!$B$23),CR218)</f>
        <v>5111.3357898191525</v>
      </c>
      <c r="CV218" s="17">
        <f>IF('1 - Input'!$B$17=1,MIN(CF218,BX218)+CN218,CF218)</f>
        <v>3562.5926602697555</v>
      </c>
      <c r="CW218" s="17">
        <f t="shared" si="201"/>
        <v>542493.74478374061</v>
      </c>
      <c r="CX218" s="17">
        <f t="shared" si="202"/>
        <v>0</v>
      </c>
      <c r="CY218" s="17">
        <f t="shared" si="203"/>
        <v>23699.131088246773</v>
      </c>
      <c r="CZ218" s="17">
        <f t="shared" si="204"/>
        <v>0</v>
      </c>
      <c r="DA218" s="17">
        <f t="shared" si="205"/>
        <v>10320.33034363269</v>
      </c>
      <c r="DB218" s="17">
        <f t="shared" si="206"/>
        <v>0</v>
      </c>
      <c r="DC218" s="15">
        <f t="shared" si="182"/>
        <v>0</v>
      </c>
    </row>
    <row r="219" spans="1:107">
      <c r="A219" s="14">
        <v>176</v>
      </c>
      <c r="B219" s="15">
        <f t="shared" si="138"/>
        <v>15</v>
      </c>
      <c r="C219" s="16">
        <f>(1+INDEX('1 - Input'!$B$34:$E$63,B219,'1 - Input'!$B$16))^(1/12)-1</f>
        <v>4.1219243192651689E-3</v>
      </c>
      <c r="D219" s="17">
        <f>'1 - Input'!$B$7*(1+'1 - Input'!$B$12)^(B219-1)</f>
        <v>3562.592660269755</v>
      </c>
      <c r="E219" s="17">
        <f t="shared" si="183"/>
        <v>47309.888033793315</v>
      </c>
      <c r="F219" s="17">
        <f t="shared" si="184"/>
        <v>85996.93521429367</v>
      </c>
      <c r="G219" s="17">
        <f t="shared" si="139"/>
        <v>47504.895811821523</v>
      </c>
      <c r="H219" s="17">
        <f>IF(G219&gt;0,'1 - Input'!$B$8/12*G219,0)</f>
        <v>356.28671858866142</v>
      </c>
      <c r="I219" s="17">
        <f t="shared" si="140"/>
        <v>47148.609093232859</v>
      </c>
      <c r="J219" s="17">
        <f t="shared" si="141"/>
        <v>0</v>
      </c>
      <c r="K219" s="17">
        <f>'1 - Input'!$B$22*(H219-J219)</f>
        <v>92.634546833051971</v>
      </c>
      <c r="L219" s="17">
        <f t="shared" si="142"/>
        <v>263.65217175560946</v>
      </c>
      <c r="M219" s="17">
        <f t="shared" si="143"/>
        <v>85996.93521429367</v>
      </c>
      <c r="N219" s="17">
        <f>IF('1 - Input'!$B$17=1,MAX(0,L219-D219),0)</f>
        <v>0</v>
      </c>
      <c r="O219" s="17">
        <f>IF('1 - Input'!$B$17=1,MAX(0,D219-L219),0)</f>
        <v>3298.9404885141457</v>
      </c>
      <c r="P219" s="17">
        <f t="shared" si="144"/>
        <v>0</v>
      </c>
      <c r="Q219" s="17">
        <f>IF(AND(O219&gt;0,I219&gt;0),O219/(1-'1 - Input'!$B$22*P219),0)</f>
        <v>3298.9404885141457</v>
      </c>
      <c r="R219" s="17">
        <f t="shared" si="145"/>
        <v>3298.9404885141457</v>
      </c>
      <c r="S219" s="17">
        <f>'1 - Input'!$B$22*P219*R219</f>
        <v>0</v>
      </c>
      <c r="T219" s="17">
        <f t="shared" si="146"/>
        <v>3298.9404885141457</v>
      </c>
      <c r="U219" s="17">
        <f t="shared" si="147"/>
        <v>0</v>
      </c>
      <c r="V219" s="17">
        <f t="shared" si="148"/>
        <v>2718.1780844975865</v>
      </c>
      <c r="W219" s="17">
        <f t="shared" si="149"/>
        <v>43849.66860471871</v>
      </c>
      <c r="X219" s="17">
        <f t="shared" si="150"/>
        <v>79979.816641281941</v>
      </c>
      <c r="Y219" s="17">
        <f>IF(MOD(A219,12)=0,W219*'1 - Input'!$B$23,0)</f>
        <v>0</v>
      </c>
      <c r="Z219" s="17">
        <f t="shared" si="151"/>
        <v>43849.66860471871</v>
      </c>
      <c r="AA219" s="17">
        <f>IF(MOD(A219,12)=0,X219*(1-'1 - Input'!$B$23),X219)</f>
        <v>79979.816641281941</v>
      </c>
      <c r="AB219" s="17">
        <f>IF('1 - Input'!$B$17=1,MIN(L219,D219)+T219,L219)</f>
        <v>3562.592660269755</v>
      </c>
      <c r="AC219" s="17">
        <f t="shared" si="185"/>
        <v>546056.33744401031</v>
      </c>
      <c r="AD219" s="17">
        <f t="shared" si="186"/>
        <v>100865.68012922161</v>
      </c>
      <c r="AE219" s="17">
        <f t="shared" si="187"/>
        <v>0</v>
      </c>
      <c r="AF219" s="17">
        <f t="shared" si="188"/>
        <v>137206.7068237772</v>
      </c>
      <c r="AG219" s="17">
        <f t="shared" si="189"/>
        <v>8063.6987703032883</v>
      </c>
      <c r="AH219" s="17">
        <f t="shared" si="190"/>
        <v>0</v>
      </c>
      <c r="AI219" s="15">
        <f t="shared" si="152"/>
        <v>0</v>
      </c>
      <c r="AK219" s="14">
        <v>176</v>
      </c>
      <c r="AL219" s="15">
        <f t="shared" si="153"/>
        <v>15</v>
      </c>
      <c r="AM219" s="16">
        <f>(1+INDEX('1 - Input'!$B$34:$E$63,AL219,'1 - Input'!$B$16))^(1/12)-1</f>
        <v>4.1219243192651689E-3</v>
      </c>
      <c r="AN219" s="17">
        <f>'1 - Input'!$B$7*(1+'1 - Input'!$B$12)^(AL219-1)</f>
        <v>3562.592660269755</v>
      </c>
      <c r="AO219" s="17">
        <f t="shared" si="191"/>
        <v>47309.888033793315</v>
      </c>
      <c r="AP219" s="17">
        <f t="shared" si="192"/>
        <v>85996.93521429367</v>
      </c>
      <c r="AQ219" s="17">
        <f t="shared" si="154"/>
        <v>47504.895811821523</v>
      </c>
      <c r="AR219" s="17">
        <f>IF(AQ219&gt;0,'1 - Input'!$B$8/12*AQ219,0)</f>
        <v>356.28671858866142</v>
      </c>
      <c r="AS219" s="17">
        <f t="shared" si="155"/>
        <v>47148.609093232859</v>
      </c>
      <c r="AT219" s="17">
        <f t="shared" si="156"/>
        <v>0</v>
      </c>
      <c r="AU219" s="17">
        <f>'1 - Input'!$B$22*(AR219-AT219)</f>
        <v>92.634546833051971</v>
      </c>
      <c r="AV219" s="17">
        <f t="shared" si="157"/>
        <v>263.65217175560946</v>
      </c>
      <c r="AW219" s="17">
        <f t="shared" si="158"/>
        <v>85996.93521429367</v>
      </c>
      <c r="AX219" s="17">
        <f>IF('1 - Input'!$B$17=1,MAX(0,AV219-AN219),0)</f>
        <v>0</v>
      </c>
      <c r="AY219" s="17">
        <f>IF('1 - Input'!$B$17=1,MAX(0,AN219-AV219),0)</f>
        <v>3298.9404885141457</v>
      </c>
      <c r="AZ219" s="17">
        <f t="shared" si="159"/>
        <v>0</v>
      </c>
      <c r="BA219" s="17">
        <f>IF(AND(AY219&gt;0,AS219&gt;0),AY219/(1-'1 - Input'!$B$22*AZ219),0)</f>
        <v>3298.9404885141457</v>
      </c>
      <c r="BB219" s="17">
        <f t="shared" si="160"/>
        <v>3298.9404885141457</v>
      </c>
      <c r="BC219" s="17">
        <f>'1 - Input'!$B$22*AZ219*BB219</f>
        <v>0</v>
      </c>
      <c r="BD219" s="17">
        <f t="shared" si="161"/>
        <v>3298.9404885141457</v>
      </c>
      <c r="BE219" s="17">
        <f t="shared" si="162"/>
        <v>0</v>
      </c>
      <c r="BF219" s="17">
        <f t="shared" si="163"/>
        <v>2718.1780844975865</v>
      </c>
      <c r="BG219" s="17">
        <f t="shared" si="164"/>
        <v>43849.66860471871</v>
      </c>
      <c r="BH219" s="17">
        <f t="shared" si="165"/>
        <v>79979.816641281941</v>
      </c>
      <c r="BI219" s="17">
        <f>IF(MOD(AK219,12)=0,BG219*'1 - Input'!$B$23,0)</f>
        <v>0</v>
      </c>
      <c r="BJ219" s="17">
        <f t="shared" si="166"/>
        <v>43849.66860471871</v>
      </c>
      <c r="BK219" s="17">
        <f>IF(MOD(AK219,12)=0,BH219*(1-'1 - Input'!$B$23),BH219)</f>
        <v>79979.816641281941</v>
      </c>
      <c r="BL219" s="17">
        <f>IF('1 - Input'!$B$17=1,MIN(AV219,AN219)+BD219,AV219)</f>
        <v>3562.592660269755</v>
      </c>
      <c r="BM219" s="17">
        <f t="shared" si="193"/>
        <v>546056.33744401031</v>
      </c>
      <c r="BN219" s="17">
        <f t="shared" si="194"/>
        <v>100865.68012922161</v>
      </c>
      <c r="BO219" s="17">
        <f t="shared" si="195"/>
        <v>0</v>
      </c>
      <c r="BP219" s="17">
        <f t="shared" si="196"/>
        <v>137206.7068237772</v>
      </c>
      <c r="BQ219" s="17">
        <f t="shared" si="197"/>
        <v>8063.6987703032883</v>
      </c>
      <c r="BR219" s="17">
        <f t="shared" si="198"/>
        <v>0</v>
      </c>
      <c r="BS219" s="15">
        <f t="shared" si="167"/>
        <v>0</v>
      </c>
      <c r="BU219" s="14">
        <v>176</v>
      </c>
      <c r="BV219" s="15">
        <f t="shared" si="168"/>
        <v>15</v>
      </c>
      <c r="BW219" s="16">
        <f>(1+INDEX('1 - Input'!$B$34:$E$63,BV219,'1 - Input'!$B$16))^(1/12)-1</f>
        <v>4.1219243192651689E-3</v>
      </c>
      <c r="BX219" s="17">
        <f>'1 - Input'!$B$7*(1+'1 - Input'!$B$12)^(BV219-1)</f>
        <v>3562.592660269755</v>
      </c>
      <c r="BY219" s="17">
        <f t="shared" si="199"/>
        <v>178184.33992455006</v>
      </c>
      <c r="BZ219" s="17">
        <f t="shared" si="200"/>
        <v>5111.3357898191525</v>
      </c>
      <c r="CA219" s="17">
        <f t="shared" si="169"/>
        <v>178918.80228859728</v>
      </c>
      <c r="CB219" s="17">
        <f>IF(CA219&gt;0,'1 - Input'!$B$8/12*CA219,0)</f>
        <v>1341.8910171644795</v>
      </c>
      <c r="CC219" s="17">
        <f t="shared" si="170"/>
        <v>177576.91127143279</v>
      </c>
      <c r="CD219" s="17">
        <f t="shared" si="171"/>
        <v>1341.8910171644795</v>
      </c>
      <c r="CE219" s="17">
        <f>'1 - Input'!$B$22*(CB219-CD219)</f>
        <v>0</v>
      </c>
      <c r="CF219" s="17">
        <f t="shared" si="172"/>
        <v>1341.8910171644795</v>
      </c>
      <c r="CG219" s="17">
        <f t="shared" si="173"/>
        <v>3769.4447726546732</v>
      </c>
      <c r="CH219" s="17">
        <f>IF('1 - Input'!$B$17=1,MAX(0,CF219-BX219),0)</f>
        <v>0</v>
      </c>
      <c r="CI219" s="17">
        <f>IF('1 - Input'!$B$17=1,MAX(0,BX219-CF219),0)</f>
        <v>2220.7016431052753</v>
      </c>
      <c r="CJ219" s="17">
        <f t="shared" si="174"/>
        <v>0.97877288919113514</v>
      </c>
      <c r="CK219" s="17">
        <f>IF(AND(CI219&gt;0,CC219&gt;0),CI219/(1-'1 - Input'!$B$22*CJ219),0)</f>
        <v>2978.7322626417913</v>
      </c>
      <c r="CL219" s="17">
        <f t="shared" si="175"/>
        <v>2978.7322626417913</v>
      </c>
      <c r="CM219" s="17">
        <f>'1 - Input'!$B$22*CJ219*CL219</f>
        <v>758.03061953651593</v>
      </c>
      <c r="CN219" s="17">
        <f t="shared" si="176"/>
        <v>2220.7016431052753</v>
      </c>
      <c r="CO219" s="17">
        <f t="shared" si="177"/>
        <v>0</v>
      </c>
      <c r="CP219" s="17">
        <f t="shared" si="178"/>
        <v>0</v>
      </c>
      <c r="CQ219" s="17">
        <f t="shared" si="179"/>
        <v>174598.17900879099</v>
      </c>
      <c r="CR219" s="17">
        <f t="shared" si="180"/>
        <v>3706.2148928456354</v>
      </c>
      <c r="CS219" s="17">
        <f>IF(MOD(BU219,12)=0,CQ219*'1 - Input'!$B$23,0)</f>
        <v>0</v>
      </c>
      <c r="CT219" s="17">
        <f t="shared" si="181"/>
        <v>174598.17900879099</v>
      </c>
      <c r="CU219" s="17">
        <f>IF(MOD(BU219,12)=0,CR219*(1-'1 - Input'!$B$23),CR219)</f>
        <v>3706.2148928456354</v>
      </c>
      <c r="CV219" s="17">
        <f>IF('1 - Input'!$B$17=1,MIN(CF219,BX219)+CN219,CF219)</f>
        <v>3562.5926602697546</v>
      </c>
      <c r="CW219" s="17">
        <f t="shared" si="201"/>
        <v>546056.33744401031</v>
      </c>
      <c r="CX219" s="17">
        <f t="shared" si="202"/>
        <v>0</v>
      </c>
      <c r="CY219" s="17">
        <f t="shared" si="203"/>
        <v>24457.161707783289</v>
      </c>
      <c r="CZ219" s="17">
        <f t="shared" si="204"/>
        <v>0</v>
      </c>
      <c r="DA219" s="17">
        <f t="shared" si="205"/>
        <v>10320.33034363269</v>
      </c>
      <c r="DB219" s="17">
        <f t="shared" si="206"/>
        <v>0</v>
      </c>
      <c r="DC219" s="15">
        <f t="shared" si="182"/>
        <v>0</v>
      </c>
    </row>
    <row r="220" spans="1:107">
      <c r="A220" s="14">
        <v>177</v>
      </c>
      <c r="B220" s="15">
        <f t="shared" si="138"/>
        <v>15</v>
      </c>
      <c r="C220" s="16">
        <f>(1+INDEX('1 - Input'!$B$34:$E$63,B220,'1 - Input'!$B$16))^(1/12)-1</f>
        <v>4.1219243192651689E-3</v>
      </c>
      <c r="D220" s="17">
        <f>'1 - Input'!$B$7*(1+'1 - Input'!$B$12)^(B220-1)</f>
        <v>3562.592660269755</v>
      </c>
      <c r="E220" s="17">
        <f t="shared" si="183"/>
        <v>43849.66860471871</v>
      </c>
      <c r="F220" s="17">
        <f t="shared" si="184"/>
        <v>79979.816641281941</v>
      </c>
      <c r="G220" s="17">
        <f t="shared" si="139"/>
        <v>44030.413620132218</v>
      </c>
      <c r="H220" s="17">
        <f>IF(G220&gt;0,'1 - Input'!$B$8/12*G220,0)</f>
        <v>330.22810215099162</v>
      </c>
      <c r="I220" s="17">
        <f t="shared" si="140"/>
        <v>43700.185517981226</v>
      </c>
      <c r="J220" s="17">
        <f t="shared" si="141"/>
        <v>0</v>
      </c>
      <c r="K220" s="17">
        <f>'1 - Input'!$B$22*(H220-J220)</f>
        <v>85.859306559257817</v>
      </c>
      <c r="L220" s="17">
        <f t="shared" si="142"/>
        <v>244.3687955917338</v>
      </c>
      <c r="M220" s="17">
        <f t="shared" si="143"/>
        <v>79979.816641281941</v>
      </c>
      <c r="N220" s="17">
        <f>IF('1 - Input'!$B$17=1,MAX(0,L220-D220),0)</f>
        <v>0</v>
      </c>
      <c r="O220" s="17">
        <f>IF('1 - Input'!$B$17=1,MAX(0,D220-L220),0)</f>
        <v>3318.2238646780211</v>
      </c>
      <c r="P220" s="17">
        <f t="shared" si="144"/>
        <v>0</v>
      </c>
      <c r="Q220" s="17">
        <f>IF(AND(O220&gt;0,I220&gt;0),O220/(1-'1 - Input'!$B$22*P220),0)</f>
        <v>3318.2238646780211</v>
      </c>
      <c r="R220" s="17">
        <f t="shared" si="145"/>
        <v>3318.2238646780211</v>
      </c>
      <c r="S220" s="17">
        <f>'1 - Input'!$B$22*P220*R220</f>
        <v>0</v>
      </c>
      <c r="T220" s="17">
        <f t="shared" si="146"/>
        <v>3318.2238646780211</v>
      </c>
      <c r="U220" s="17">
        <f t="shared" si="147"/>
        <v>0</v>
      </c>
      <c r="V220" s="17">
        <f t="shared" si="148"/>
        <v>2754.7694905212188</v>
      </c>
      <c r="W220" s="17">
        <f t="shared" si="149"/>
        <v>40381.961653303202</v>
      </c>
      <c r="X220" s="17">
        <f t="shared" si="150"/>
        <v>73906.823286082697</v>
      </c>
      <c r="Y220" s="17">
        <f>IF(MOD(A220,12)=0,W220*'1 - Input'!$B$23,0)</f>
        <v>0</v>
      </c>
      <c r="Z220" s="17">
        <f t="shared" si="151"/>
        <v>40381.961653303202</v>
      </c>
      <c r="AA220" s="17">
        <f>IF(MOD(A220,12)=0,X220*(1-'1 - Input'!$B$23),X220)</f>
        <v>73906.823286082697</v>
      </c>
      <c r="AB220" s="17">
        <f>IF('1 - Input'!$B$17=1,MIN(L220,D220)+T220,L220)</f>
        <v>3562.592660269755</v>
      </c>
      <c r="AC220" s="17">
        <f t="shared" si="185"/>
        <v>549618.93010428001</v>
      </c>
      <c r="AD220" s="17">
        <f t="shared" si="186"/>
        <v>100951.53943578087</v>
      </c>
      <c r="AE220" s="17">
        <f t="shared" si="187"/>
        <v>0</v>
      </c>
      <c r="AF220" s="17">
        <f t="shared" si="188"/>
        <v>139961.47631429843</v>
      </c>
      <c r="AG220" s="17">
        <f t="shared" si="189"/>
        <v>8063.6987703032883</v>
      </c>
      <c r="AH220" s="17">
        <f t="shared" si="190"/>
        <v>0</v>
      </c>
      <c r="AI220" s="15">
        <f t="shared" si="152"/>
        <v>0</v>
      </c>
      <c r="AK220" s="14">
        <v>177</v>
      </c>
      <c r="AL220" s="15">
        <f t="shared" si="153"/>
        <v>15</v>
      </c>
      <c r="AM220" s="16">
        <f>(1+INDEX('1 - Input'!$B$34:$E$63,AL220,'1 - Input'!$B$16))^(1/12)-1</f>
        <v>4.1219243192651689E-3</v>
      </c>
      <c r="AN220" s="17">
        <f>'1 - Input'!$B$7*(1+'1 - Input'!$B$12)^(AL220-1)</f>
        <v>3562.592660269755</v>
      </c>
      <c r="AO220" s="17">
        <f t="shared" si="191"/>
        <v>43849.66860471871</v>
      </c>
      <c r="AP220" s="17">
        <f t="shared" si="192"/>
        <v>79979.816641281941</v>
      </c>
      <c r="AQ220" s="17">
        <f t="shared" si="154"/>
        <v>44030.413620132218</v>
      </c>
      <c r="AR220" s="17">
        <f>IF(AQ220&gt;0,'1 - Input'!$B$8/12*AQ220,0)</f>
        <v>330.22810215099162</v>
      </c>
      <c r="AS220" s="17">
        <f t="shared" si="155"/>
        <v>43700.185517981226</v>
      </c>
      <c r="AT220" s="17">
        <f t="shared" si="156"/>
        <v>0</v>
      </c>
      <c r="AU220" s="17">
        <f>'1 - Input'!$B$22*(AR220-AT220)</f>
        <v>85.859306559257817</v>
      </c>
      <c r="AV220" s="17">
        <f t="shared" si="157"/>
        <v>244.3687955917338</v>
      </c>
      <c r="AW220" s="17">
        <f t="shared" si="158"/>
        <v>79979.816641281941</v>
      </c>
      <c r="AX220" s="17">
        <f>IF('1 - Input'!$B$17=1,MAX(0,AV220-AN220),0)</f>
        <v>0</v>
      </c>
      <c r="AY220" s="17">
        <f>IF('1 - Input'!$B$17=1,MAX(0,AN220-AV220),0)</f>
        <v>3318.2238646780211</v>
      </c>
      <c r="AZ220" s="17">
        <f t="shared" si="159"/>
        <v>0</v>
      </c>
      <c r="BA220" s="17">
        <f>IF(AND(AY220&gt;0,AS220&gt;0),AY220/(1-'1 - Input'!$B$22*AZ220),0)</f>
        <v>3318.2238646780211</v>
      </c>
      <c r="BB220" s="17">
        <f t="shared" si="160"/>
        <v>3318.2238646780211</v>
      </c>
      <c r="BC220" s="17">
        <f>'1 - Input'!$B$22*AZ220*BB220</f>
        <v>0</v>
      </c>
      <c r="BD220" s="17">
        <f t="shared" si="161"/>
        <v>3318.2238646780211</v>
      </c>
      <c r="BE220" s="17">
        <f t="shared" si="162"/>
        <v>0</v>
      </c>
      <c r="BF220" s="17">
        <f t="shared" si="163"/>
        <v>2754.7694905212188</v>
      </c>
      <c r="BG220" s="17">
        <f t="shared" si="164"/>
        <v>40381.961653303202</v>
      </c>
      <c r="BH220" s="17">
        <f t="shared" si="165"/>
        <v>73906.823286082697</v>
      </c>
      <c r="BI220" s="17">
        <f>IF(MOD(AK220,12)=0,BG220*'1 - Input'!$B$23,0)</f>
        <v>0</v>
      </c>
      <c r="BJ220" s="17">
        <f t="shared" si="166"/>
        <v>40381.961653303202</v>
      </c>
      <c r="BK220" s="17">
        <f>IF(MOD(AK220,12)=0,BH220*(1-'1 - Input'!$B$23),BH220)</f>
        <v>73906.823286082697</v>
      </c>
      <c r="BL220" s="17">
        <f>IF('1 - Input'!$B$17=1,MIN(AV220,AN220)+BD220,AV220)</f>
        <v>3562.592660269755</v>
      </c>
      <c r="BM220" s="17">
        <f t="shared" si="193"/>
        <v>549618.93010428001</v>
      </c>
      <c r="BN220" s="17">
        <f t="shared" si="194"/>
        <v>100951.53943578087</v>
      </c>
      <c r="BO220" s="17">
        <f t="shared" si="195"/>
        <v>0</v>
      </c>
      <c r="BP220" s="17">
        <f t="shared" si="196"/>
        <v>139961.47631429843</v>
      </c>
      <c r="BQ220" s="17">
        <f t="shared" si="197"/>
        <v>8063.6987703032883</v>
      </c>
      <c r="BR220" s="17">
        <f t="shared" si="198"/>
        <v>0</v>
      </c>
      <c r="BS220" s="15">
        <f t="shared" si="167"/>
        <v>0</v>
      </c>
      <c r="BU220" s="14">
        <v>177</v>
      </c>
      <c r="BV220" s="15">
        <f t="shared" si="168"/>
        <v>15</v>
      </c>
      <c r="BW220" s="16">
        <f>(1+INDEX('1 - Input'!$B$34:$E$63,BV220,'1 - Input'!$B$16))^(1/12)-1</f>
        <v>4.1219243192651689E-3</v>
      </c>
      <c r="BX220" s="17">
        <f>'1 - Input'!$B$7*(1+'1 - Input'!$B$12)^(BV220-1)</f>
        <v>3562.592660269755</v>
      </c>
      <c r="BY220" s="17">
        <f t="shared" si="199"/>
        <v>174598.17900879099</v>
      </c>
      <c r="BZ220" s="17">
        <f t="shared" si="200"/>
        <v>3706.2148928456354</v>
      </c>
      <c r="CA220" s="17">
        <f t="shared" si="169"/>
        <v>175317.85948894673</v>
      </c>
      <c r="CB220" s="17">
        <f>IF(CA220&gt;0,'1 - Input'!$B$8/12*CA220,0)</f>
        <v>1314.8839461671005</v>
      </c>
      <c r="CC220" s="17">
        <f t="shared" si="170"/>
        <v>174002.97554277963</v>
      </c>
      <c r="CD220" s="17">
        <f t="shared" si="171"/>
        <v>1314.8839461671005</v>
      </c>
      <c r="CE220" s="17">
        <f>'1 - Input'!$B$22*(CB220-CD220)</f>
        <v>0</v>
      </c>
      <c r="CF220" s="17">
        <f t="shared" si="172"/>
        <v>1314.8839461671005</v>
      </c>
      <c r="CG220" s="17">
        <f t="shared" si="173"/>
        <v>2391.3309466785349</v>
      </c>
      <c r="CH220" s="17">
        <f>IF('1 - Input'!$B$17=1,MAX(0,CF220-BX220),0)</f>
        <v>0</v>
      </c>
      <c r="CI220" s="17">
        <f>IF('1 - Input'!$B$17=1,MAX(0,BX220-CF220),0)</f>
        <v>2247.7087141026545</v>
      </c>
      <c r="CJ220" s="17">
        <f t="shared" si="174"/>
        <v>0.98625695371461841</v>
      </c>
      <c r="CK220" s="17">
        <f>IF(AND(CI220&gt;0,CC220&gt;0),CI220/(1-'1 - Input'!$B$22*CJ220),0)</f>
        <v>3022.8479700210542</v>
      </c>
      <c r="CL220" s="17">
        <f t="shared" si="175"/>
        <v>3022.8479700210542</v>
      </c>
      <c r="CM220" s="17">
        <f>'1 - Input'!$B$22*CJ220*CL220</f>
        <v>775.13925591839961</v>
      </c>
      <c r="CN220" s="17">
        <f t="shared" si="176"/>
        <v>2247.7087141026545</v>
      </c>
      <c r="CO220" s="17">
        <f t="shared" si="177"/>
        <v>0</v>
      </c>
      <c r="CP220" s="17">
        <f t="shared" si="178"/>
        <v>0</v>
      </c>
      <c r="CQ220" s="17">
        <f t="shared" si="179"/>
        <v>170980.12757275859</v>
      </c>
      <c r="CR220" s="17">
        <f t="shared" si="180"/>
        <v>2349.7878071128639</v>
      </c>
      <c r="CS220" s="17">
        <f>IF(MOD(BU220,12)=0,CQ220*'1 - Input'!$B$23,0)</f>
        <v>0</v>
      </c>
      <c r="CT220" s="17">
        <f t="shared" si="181"/>
        <v>170980.12757275859</v>
      </c>
      <c r="CU220" s="17">
        <f>IF(MOD(BU220,12)=0,CR220*(1-'1 - Input'!$B$23),CR220)</f>
        <v>2349.7878071128639</v>
      </c>
      <c r="CV220" s="17">
        <f>IF('1 - Input'!$B$17=1,MIN(CF220,BX220)+CN220,CF220)</f>
        <v>3562.592660269755</v>
      </c>
      <c r="CW220" s="17">
        <f t="shared" si="201"/>
        <v>549618.93010428001</v>
      </c>
      <c r="CX220" s="17">
        <f t="shared" si="202"/>
        <v>0</v>
      </c>
      <c r="CY220" s="17">
        <f t="shared" si="203"/>
        <v>25232.300963701688</v>
      </c>
      <c r="CZ220" s="17">
        <f t="shared" si="204"/>
        <v>0</v>
      </c>
      <c r="DA220" s="17">
        <f t="shared" si="205"/>
        <v>10320.33034363269</v>
      </c>
      <c r="DB220" s="17">
        <f t="shared" si="206"/>
        <v>0</v>
      </c>
      <c r="DC220" s="15">
        <f t="shared" si="182"/>
        <v>0</v>
      </c>
    </row>
    <row r="221" spans="1:107">
      <c r="A221" s="14">
        <v>178</v>
      </c>
      <c r="B221" s="15">
        <f t="shared" si="138"/>
        <v>15</v>
      </c>
      <c r="C221" s="16">
        <f>(1+INDEX('1 - Input'!$B$34:$E$63,B221,'1 - Input'!$B$16))^(1/12)-1</f>
        <v>4.1219243192651689E-3</v>
      </c>
      <c r="D221" s="17">
        <f>'1 - Input'!$B$7*(1+'1 - Input'!$B$12)^(B221-1)</f>
        <v>3562.592660269755</v>
      </c>
      <c r="E221" s="17">
        <f t="shared" si="183"/>
        <v>40381.961653303202</v>
      </c>
      <c r="F221" s="17">
        <f t="shared" si="184"/>
        <v>73906.823286082697</v>
      </c>
      <c r="G221" s="17">
        <f t="shared" si="139"/>
        <v>40548.413043101587</v>
      </c>
      <c r="H221" s="17">
        <f>IF(G221&gt;0,'1 - Input'!$B$8/12*G221,0)</f>
        <v>304.11309782326191</v>
      </c>
      <c r="I221" s="17">
        <f t="shared" si="140"/>
        <v>40244.299945278326</v>
      </c>
      <c r="J221" s="17">
        <f t="shared" si="141"/>
        <v>0</v>
      </c>
      <c r="K221" s="17">
        <f>'1 - Input'!$B$22*(H221-J221)</f>
        <v>79.069405434048093</v>
      </c>
      <c r="L221" s="17">
        <f t="shared" si="142"/>
        <v>225.04369238921382</v>
      </c>
      <c r="M221" s="17">
        <f t="shared" si="143"/>
        <v>73906.823286082697</v>
      </c>
      <c r="N221" s="17">
        <f>IF('1 - Input'!$B$17=1,MAX(0,L221-D221),0)</f>
        <v>0</v>
      </c>
      <c r="O221" s="17">
        <f>IF('1 - Input'!$B$17=1,MAX(0,D221-L221),0)</f>
        <v>3337.5489678805411</v>
      </c>
      <c r="P221" s="17">
        <f t="shared" si="144"/>
        <v>0</v>
      </c>
      <c r="Q221" s="17">
        <f>IF(AND(O221&gt;0,I221&gt;0),O221/(1-'1 - Input'!$B$22*P221),0)</f>
        <v>3337.5489678805411</v>
      </c>
      <c r="R221" s="17">
        <f t="shared" si="145"/>
        <v>3337.5489678805411</v>
      </c>
      <c r="S221" s="17">
        <f>'1 - Input'!$B$22*P221*R221</f>
        <v>0</v>
      </c>
      <c r="T221" s="17">
        <f t="shared" si="146"/>
        <v>3337.5489678805411</v>
      </c>
      <c r="U221" s="17">
        <f t="shared" si="147"/>
        <v>0</v>
      </c>
      <c r="V221" s="17">
        <f t="shared" si="148"/>
        <v>2791.707650154759</v>
      </c>
      <c r="W221" s="17">
        <f t="shared" si="149"/>
        <v>36906.750977397787</v>
      </c>
      <c r="X221" s="17">
        <f t="shared" si="150"/>
        <v>67777.566668047395</v>
      </c>
      <c r="Y221" s="17">
        <f>IF(MOD(A221,12)=0,W221*'1 - Input'!$B$23,0)</f>
        <v>0</v>
      </c>
      <c r="Z221" s="17">
        <f t="shared" si="151"/>
        <v>36906.750977397787</v>
      </c>
      <c r="AA221" s="17">
        <f>IF(MOD(A221,12)=0,X221*(1-'1 - Input'!$B$23),X221)</f>
        <v>67777.566668047395</v>
      </c>
      <c r="AB221" s="17">
        <f>IF('1 - Input'!$B$17=1,MIN(L221,D221)+T221,L221)</f>
        <v>3562.592660269755</v>
      </c>
      <c r="AC221" s="17">
        <f t="shared" si="185"/>
        <v>553181.52276454971</v>
      </c>
      <c r="AD221" s="17">
        <f t="shared" si="186"/>
        <v>101030.60884121491</v>
      </c>
      <c r="AE221" s="17">
        <f t="shared" si="187"/>
        <v>0</v>
      </c>
      <c r="AF221" s="17">
        <f t="shared" si="188"/>
        <v>142753.1839644532</v>
      </c>
      <c r="AG221" s="17">
        <f t="shared" si="189"/>
        <v>8063.6987703032883</v>
      </c>
      <c r="AH221" s="17">
        <f t="shared" si="190"/>
        <v>0</v>
      </c>
      <c r="AI221" s="15">
        <f t="shared" si="152"/>
        <v>0</v>
      </c>
      <c r="AK221" s="14">
        <v>178</v>
      </c>
      <c r="AL221" s="15">
        <f t="shared" si="153"/>
        <v>15</v>
      </c>
      <c r="AM221" s="16">
        <f>(1+INDEX('1 - Input'!$B$34:$E$63,AL221,'1 - Input'!$B$16))^(1/12)-1</f>
        <v>4.1219243192651689E-3</v>
      </c>
      <c r="AN221" s="17">
        <f>'1 - Input'!$B$7*(1+'1 - Input'!$B$12)^(AL221-1)</f>
        <v>3562.592660269755</v>
      </c>
      <c r="AO221" s="17">
        <f t="shared" si="191"/>
        <v>40381.961653303202</v>
      </c>
      <c r="AP221" s="17">
        <f t="shared" si="192"/>
        <v>73906.823286082697</v>
      </c>
      <c r="AQ221" s="17">
        <f t="shared" si="154"/>
        <v>40548.413043101587</v>
      </c>
      <c r="AR221" s="17">
        <f>IF(AQ221&gt;0,'1 - Input'!$B$8/12*AQ221,0)</f>
        <v>304.11309782326191</v>
      </c>
      <c r="AS221" s="17">
        <f t="shared" si="155"/>
        <v>40244.299945278326</v>
      </c>
      <c r="AT221" s="17">
        <f t="shared" si="156"/>
        <v>0</v>
      </c>
      <c r="AU221" s="17">
        <f>'1 - Input'!$B$22*(AR221-AT221)</f>
        <v>79.069405434048093</v>
      </c>
      <c r="AV221" s="17">
        <f t="shared" si="157"/>
        <v>225.04369238921382</v>
      </c>
      <c r="AW221" s="17">
        <f t="shared" si="158"/>
        <v>73906.823286082697</v>
      </c>
      <c r="AX221" s="17">
        <f>IF('1 - Input'!$B$17=1,MAX(0,AV221-AN221),0)</f>
        <v>0</v>
      </c>
      <c r="AY221" s="17">
        <f>IF('1 - Input'!$B$17=1,MAX(0,AN221-AV221),0)</f>
        <v>3337.5489678805411</v>
      </c>
      <c r="AZ221" s="17">
        <f t="shared" si="159"/>
        <v>0</v>
      </c>
      <c r="BA221" s="17">
        <f>IF(AND(AY221&gt;0,AS221&gt;0),AY221/(1-'1 - Input'!$B$22*AZ221),0)</f>
        <v>3337.5489678805411</v>
      </c>
      <c r="BB221" s="17">
        <f t="shared" si="160"/>
        <v>3337.5489678805411</v>
      </c>
      <c r="BC221" s="17">
        <f>'1 - Input'!$B$22*AZ221*BB221</f>
        <v>0</v>
      </c>
      <c r="BD221" s="17">
        <f t="shared" si="161"/>
        <v>3337.5489678805411</v>
      </c>
      <c r="BE221" s="17">
        <f t="shared" si="162"/>
        <v>0</v>
      </c>
      <c r="BF221" s="17">
        <f t="shared" si="163"/>
        <v>2791.707650154759</v>
      </c>
      <c r="BG221" s="17">
        <f t="shared" si="164"/>
        <v>36906.750977397787</v>
      </c>
      <c r="BH221" s="17">
        <f t="shared" si="165"/>
        <v>67777.566668047395</v>
      </c>
      <c r="BI221" s="17">
        <f>IF(MOD(AK221,12)=0,BG221*'1 - Input'!$B$23,0)</f>
        <v>0</v>
      </c>
      <c r="BJ221" s="17">
        <f t="shared" si="166"/>
        <v>36906.750977397787</v>
      </c>
      <c r="BK221" s="17">
        <f>IF(MOD(AK221,12)=0,BH221*(1-'1 - Input'!$B$23),BH221)</f>
        <v>67777.566668047395</v>
      </c>
      <c r="BL221" s="17">
        <f>IF('1 - Input'!$B$17=1,MIN(AV221,AN221)+BD221,AV221)</f>
        <v>3562.592660269755</v>
      </c>
      <c r="BM221" s="17">
        <f t="shared" si="193"/>
        <v>553181.52276454971</v>
      </c>
      <c r="BN221" s="17">
        <f t="shared" si="194"/>
        <v>101030.60884121491</v>
      </c>
      <c r="BO221" s="17">
        <f t="shared" si="195"/>
        <v>0</v>
      </c>
      <c r="BP221" s="17">
        <f t="shared" si="196"/>
        <v>142753.1839644532</v>
      </c>
      <c r="BQ221" s="17">
        <f t="shared" si="197"/>
        <v>8063.6987703032883</v>
      </c>
      <c r="BR221" s="17">
        <f t="shared" si="198"/>
        <v>0</v>
      </c>
      <c r="BS221" s="15">
        <f t="shared" si="167"/>
        <v>0</v>
      </c>
      <c r="BU221" s="14">
        <v>178</v>
      </c>
      <c r="BV221" s="15">
        <f t="shared" si="168"/>
        <v>15</v>
      </c>
      <c r="BW221" s="16">
        <f>(1+INDEX('1 - Input'!$B$34:$E$63,BV221,'1 - Input'!$B$16))^(1/12)-1</f>
        <v>4.1219243192651689E-3</v>
      </c>
      <c r="BX221" s="17">
        <f>'1 - Input'!$B$7*(1+'1 - Input'!$B$12)^(BV221-1)</f>
        <v>3562.592660269755</v>
      </c>
      <c r="BY221" s="17">
        <f t="shared" si="199"/>
        <v>170980.12757275859</v>
      </c>
      <c r="BZ221" s="17">
        <f t="shared" si="200"/>
        <v>2349.7878071128639</v>
      </c>
      <c r="CA221" s="17">
        <f t="shared" si="169"/>
        <v>171684.89471871182</v>
      </c>
      <c r="CB221" s="17">
        <f>IF(CA221&gt;0,'1 - Input'!$B$8/12*CA221,0)</f>
        <v>1287.6367103903385</v>
      </c>
      <c r="CC221" s="17">
        <f t="shared" si="170"/>
        <v>170397.25800832149</v>
      </c>
      <c r="CD221" s="17">
        <f t="shared" si="171"/>
        <v>1287.6367103903385</v>
      </c>
      <c r="CE221" s="17">
        <f>'1 - Input'!$B$22*(CB221-CD221)</f>
        <v>0</v>
      </c>
      <c r="CF221" s="17">
        <f t="shared" si="172"/>
        <v>1287.6367103903385</v>
      </c>
      <c r="CG221" s="17">
        <f t="shared" si="173"/>
        <v>1062.1510967225254</v>
      </c>
      <c r="CH221" s="17">
        <f>IF('1 - Input'!$B$17=1,MAX(0,CF221-BX221),0)</f>
        <v>0</v>
      </c>
      <c r="CI221" s="17">
        <f>IF('1 - Input'!$B$17=1,MAX(0,BX221-CF221),0)</f>
        <v>2274.9559498794165</v>
      </c>
      <c r="CJ221" s="17">
        <f t="shared" si="174"/>
        <v>0.99376661861148818</v>
      </c>
      <c r="CK221" s="17">
        <f>IF(AND(CI221&gt;0,CC221&gt;0),CI221/(1-'1 - Input'!$B$22*CJ221),0)</f>
        <v>3067.546542058466</v>
      </c>
      <c r="CL221" s="17">
        <f t="shared" si="175"/>
        <v>3067.546542058466</v>
      </c>
      <c r="CM221" s="17">
        <f>'1 - Input'!$B$22*CJ221*CL221</f>
        <v>792.59059217904939</v>
      </c>
      <c r="CN221" s="17">
        <f t="shared" si="176"/>
        <v>2274.9559498794165</v>
      </c>
      <c r="CO221" s="17">
        <f t="shared" si="177"/>
        <v>0</v>
      </c>
      <c r="CP221" s="17">
        <f t="shared" si="178"/>
        <v>0</v>
      </c>
      <c r="CQ221" s="17">
        <f t="shared" si="179"/>
        <v>167329.71146626302</v>
      </c>
      <c r="CR221" s="17">
        <f t="shared" si="180"/>
        <v>1043.0299091988643</v>
      </c>
      <c r="CS221" s="17">
        <f>IF(MOD(BU221,12)=0,CQ221*'1 - Input'!$B$23,0)</f>
        <v>0</v>
      </c>
      <c r="CT221" s="17">
        <f t="shared" si="181"/>
        <v>167329.71146626302</v>
      </c>
      <c r="CU221" s="17">
        <f>IF(MOD(BU221,12)=0,CR221*(1-'1 - Input'!$B$23),CR221)</f>
        <v>1043.0299091988643</v>
      </c>
      <c r="CV221" s="17">
        <f>IF('1 - Input'!$B$17=1,MIN(CF221,BX221)+CN221,CF221)</f>
        <v>3562.592660269755</v>
      </c>
      <c r="CW221" s="17">
        <f t="shared" si="201"/>
        <v>553181.52276454971</v>
      </c>
      <c r="CX221" s="17">
        <f t="shared" si="202"/>
        <v>0</v>
      </c>
      <c r="CY221" s="17">
        <f t="shared" si="203"/>
        <v>26024.891555880738</v>
      </c>
      <c r="CZ221" s="17">
        <f t="shared" si="204"/>
        <v>0</v>
      </c>
      <c r="DA221" s="17">
        <f t="shared" si="205"/>
        <v>10320.33034363269</v>
      </c>
      <c r="DB221" s="17">
        <f t="shared" si="206"/>
        <v>0</v>
      </c>
      <c r="DC221" s="15">
        <f t="shared" si="182"/>
        <v>0</v>
      </c>
    </row>
    <row r="222" spans="1:107">
      <c r="A222" s="14">
        <v>179</v>
      </c>
      <c r="B222" s="15">
        <f t="shared" si="138"/>
        <v>15</v>
      </c>
      <c r="C222" s="16">
        <f>(1+INDEX('1 - Input'!$B$34:$E$63,B222,'1 - Input'!$B$16))^(1/12)-1</f>
        <v>4.1219243192651689E-3</v>
      </c>
      <c r="D222" s="17">
        <f>'1 - Input'!$B$7*(1+'1 - Input'!$B$12)^(B222-1)</f>
        <v>3562.592660269755</v>
      </c>
      <c r="E222" s="17">
        <f t="shared" si="183"/>
        <v>36906.750977397787</v>
      </c>
      <c r="F222" s="17">
        <f t="shared" si="184"/>
        <v>67777.566668047395</v>
      </c>
      <c r="G222" s="17">
        <f t="shared" si="139"/>
        <v>37058.877811796585</v>
      </c>
      <c r="H222" s="17">
        <f>IF(G222&gt;0,'1 - Input'!$B$8/12*G222,0)</f>
        <v>277.94158358847437</v>
      </c>
      <c r="I222" s="17">
        <f t="shared" si="140"/>
        <v>36780.936228208113</v>
      </c>
      <c r="J222" s="17">
        <f t="shared" si="141"/>
        <v>0</v>
      </c>
      <c r="K222" s="17">
        <f>'1 - Input'!$B$22*(H222-J222)</f>
        <v>72.264811733003341</v>
      </c>
      <c r="L222" s="17">
        <f t="shared" si="142"/>
        <v>205.67677185547103</v>
      </c>
      <c r="M222" s="17">
        <f t="shared" si="143"/>
        <v>67777.566668047395</v>
      </c>
      <c r="N222" s="17">
        <f>IF('1 - Input'!$B$17=1,MAX(0,L222-D222),0)</f>
        <v>0</v>
      </c>
      <c r="O222" s="17">
        <f>IF('1 - Input'!$B$17=1,MAX(0,D222-L222),0)</f>
        <v>3356.9158884142839</v>
      </c>
      <c r="P222" s="17">
        <f t="shared" si="144"/>
        <v>0</v>
      </c>
      <c r="Q222" s="17">
        <f>IF(AND(O222&gt;0,I222&gt;0),O222/(1-'1 - Input'!$B$22*P222),0)</f>
        <v>3356.9158884142839</v>
      </c>
      <c r="R222" s="17">
        <f t="shared" si="145"/>
        <v>3356.9158884142839</v>
      </c>
      <c r="S222" s="17">
        <f>'1 - Input'!$B$22*P222*R222</f>
        <v>0</v>
      </c>
      <c r="T222" s="17">
        <f t="shared" si="146"/>
        <v>3356.9158884142839</v>
      </c>
      <c r="U222" s="17">
        <f t="shared" si="147"/>
        <v>0</v>
      </c>
      <c r="V222" s="17">
        <f t="shared" si="148"/>
        <v>2828.9949055457082</v>
      </c>
      <c r="W222" s="17">
        <f t="shared" si="149"/>
        <v>33424.020339793831</v>
      </c>
      <c r="X222" s="17">
        <f t="shared" si="150"/>
        <v>61591.655874087402</v>
      </c>
      <c r="Y222" s="17">
        <f>IF(MOD(A222,12)=0,W222*'1 - Input'!$B$23,0)</f>
        <v>0</v>
      </c>
      <c r="Z222" s="17">
        <f t="shared" si="151"/>
        <v>33424.020339793831</v>
      </c>
      <c r="AA222" s="17">
        <f>IF(MOD(A222,12)=0,X222*(1-'1 - Input'!$B$23),X222)</f>
        <v>61591.655874087402</v>
      </c>
      <c r="AB222" s="17">
        <f>IF('1 - Input'!$B$17=1,MIN(L222,D222)+T222,L222)</f>
        <v>3562.592660269755</v>
      </c>
      <c r="AC222" s="17">
        <f t="shared" si="185"/>
        <v>556744.11542481941</v>
      </c>
      <c r="AD222" s="17">
        <f t="shared" si="186"/>
        <v>101102.87365294792</v>
      </c>
      <c r="AE222" s="17">
        <f t="shared" si="187"/>
        <v>0</v>
      </c>
      <c r="AF222" s="17">
        <f t="shared" si="188"/>
        <v>145582.1788699989</v>
      </c>
      <c r="AG222" s="17">
        <f t="shared" si="189"/>
        <v>8063.6987703032883</v>
      </c>
      <c r="AH222" s="17">
        <f t="shared" si="190"/>
        <v>0</v>
      </c>
      <c r="AI222" s="15">
        <f t="shared" si="152"/>
        <v>0</v>
      </c>
      <c r="AK222" s="14">
        <v>179</v>
      </c>
      <c r="AL222" s="15">
        <f t="shared" si="153"/>
        <v>15</v>
      </c>
      <c r="AM222" s="16">
        <f>(1+INDEX('1 - Input'!$B$34:$E$63,AL222,'1 - Input'!$B$16))^(1/12)-1</f>
        <v>4.1219243192651689E-3</v>
      </c>
      <c r="AN222" s="17">
        <f>'1 - Input'!$B$7*(1+'1 - Input'!$B$12)^(AL222-1)</f>
        <v>3562.592660269755</v>
      </c>
      <c r="AO222" s="17">
        <f t="shared" si="191"/>
        <v>36906.750977397787</v>
      </c>
      <c r="AP222" s="17">
        <f t="shared" si="192"/>
        <v>67777.566668047395</v>
      </c>
      <c r="AQ222" s="17">
        <f t="shared" si="154"/>
        <v>37058.877811796585</v>
      </c>
      <c r="AR222" s="17">
        <f>IF(AQ222&gt;0,'1 - Input'!$B$8/12*AQ222,0)</f>
        <v>277.94158358847437</v>
      </c>
      <c r="AS222" s="17">
        <f t="shared" si="155"/>
        <v>36780.936228208113</v>
      </c>
      <c r="AT222" s="17">
        <f t="shared" si="156"/>
        <v>0</v>
      </c>
      <c r="AU222" s="17">
        <f>'1 - Input'!$B$22*(AR222-AT222)</f>
        <v>72.264811733003341</v>
      </c>
      <c r="AV222" s="17">
        <f t="shared" si="157"/>
        <v>205.67677185547103</v>
      </c>
      <c r="AW222" s="17">
        <f t="shared" si="158"/>
        <v>67777.566668047395</v>
      </c>
      <c r="AX222" s="17">
        <f>IF('1 - Input'!$B$17=1,MAX(0,AV222-AN222),0)</f>
        <v>0</v>
      </c>
      <c r="AY222" s="17">
        <f>IF('1 - Input'!$B$17=1,MAX(0,AN222-AV222),0)</f>
        <v>3356.9158884142839</v>
      </c>
      <c r="AZ222" s="17">
        <f t="shared" si="159"/>
        <v>0</v>
      </c>
      <c r="BA222" s="17">
        <f>IF(AND(AY222&gt;0,AS222&gt;0),AY222/(1-'1 - Input'!$B$22*AZ222),0)</f>
        <v>3356.9158884142839</v>
      </c>
      <c r="BB222" s="17">
        <f t="shared" si="160"/>
        <v>3356.9158884142839</v>
      </c>
      <c r="BC222" s="17">
        <f>'1 - Input'!$B$22*AZ222*BB222</f>
        <v>0</v>
      </c>
      <c r="BD222" s="17">
        <f t="shared" si="161"/>
        <v>3356.9158884142839</v>
      </c>
      <c r="BE222" s="17">
        <f t="shared" si="162"/>
        <v>0</v>
      </c>
      <c r="BF222" s="17">
        <f t="shared" si="163"/>
        <v>2828.9949055457082</v>
      </c>
      <c r="BG222" s="17">
        <f t="shared" si="164"/>
        <v>33424.020339793831</v>
      </c>
      <c r="BH222" s="17">
        <f t="shared" si="165"/>
        <v>61591.655874087402</v>
      </c>
      <c r="BI222" s="17">
        <f>IF(MOD(AK222,12)=0,BG222*'1 - Input'!$B$23,0)</f>
        <v>0</v>
      </c>
      <c r="BJ222" s="17">
        <f t="shared" si="166"/>
        <v>33424.020339793831</v>
      </c>
      <c r="BK222" s="17">
        <f>IF(MOD(AK222,12)=0,BH222*(1-'1 - Input'!$B$23),BH222)</f>
        <v>61591.655874087402</v>
      </c>
      <c r="BL222" s="17">
        <f>IF('1 - Input'!$B$17=1,MIN(AV222,AN222)+BD222,AV222)</f>
        <v>3562.592660269755</v>
      </c>
      <c r="BM222" s="17">
        <f t="shared" si="193"/>
        <v>556744.11542481941</v>
      </c>
      <c r="BN222" s="17">
        <f t="shared" si="194"/>
        <v>101102.87365294792</v>
      </c>
      <c r="BO222" s="17">
        <f t="shared" si="195"/>
        <v>0</v>
      </c>
      <c r="BP222" s="17">
        <f t="shared" si="196"/>
        <v>145582.1788699989</v>
      </c>
      <c r="BQ222" s="17">
        <f t="shared" si="197"/>
        <v>8063.6987703032883</v>
      </c>
      <c r="BR222" s="17">
        <f t="shared" si="198"/>
        <v>0</v>
      </c>
      <c r="BS222" s="15">
        <f t="shared" si="167"/>
        <v>0</v>
      </c>
      <c r="BU222" s="14">
        <v>179</v>
      </c>
      <c r="BV222" s="15">
        <f t="shared" si="168"/>
        <v>15</v>
      </c>
      <c r="BW222" s="16">
        <f>(1+INDEX('1 - Input'!$B$34:$E$63,BV222,'1 - Input'!$B$16))^(1/12)-1</f>
        <v>4.1219243192651689E-3</v>
      </c>
      <c r="BX222" s="17">
        <f>'1 - Input'!$B$7*(1+'1 - Input'!$B$12)^(BV222-1)</f>
        <v>3562.592660269755</v>
      </c>
      <c r="BY222" s="17">
        <f t="shared" si="199"/>
        <v>167329.71146626302</v>
      </c>
      <c r="BZ222" s="17">
        <f t="shared" si="200"/>
        <v>1043.0299091988643</v>
      </c>
      <c r="CA222" s="17">
        <f t="shared" si="169"/>
        <v>168019.43187329144</v>
      </c>
      <c r="CB222" s="17">
        <f>IF(CA222&gt;0,'1 - Input'!$B$8/12*CA222,0)</f>
        <v>1260.1457390496857</v>
      </c>
      <c r="CC222" s="17">
        <f t="shared" si="170"/>
        <v>166759.28613424176</v>
      </c>
      <c r="CD222" s="17">
        <f t="shared" si="171"/>
        <v>1043.0299091988643</v>
      </c>
      <c r="CE222" s="17">
        <f>'1 - Input'!$B$22*(CB222-CD222)</f>
        <v>56.450115761213581</v>
      </c>
      <c r="CF222" s="17">
        <f t="shared" si="172"/>
        <v>1203.6956232884722</v>
      </c>
      <c r="CG222" s="17">
        <f t="shared" si="173"/>
        <v>0</v>
      </c>
      <c r="CH222" s="17">
        <f>IF('1 - Input'!$B$17=1,MAX(0,CF222-BX222),0)</f>
        <v>0</v>
      </c>
      <c r="CI222" s="17">
        <f>IF('1 - Input'!$B$17=1,MAX(0,BX222-CF222),0)</f>
        <v>2358.8970369812828</v>
      </c>
      <c r="CJ222" s="17">
        <f t="shared" si="174"/>
        <v>1</v>
      </c>
      <c r="CK222" s="17">
        <f>IF(AND(CI222&gt;0,CC222&gt;0),CI222/(1-'1 - Input'!$B$22*CJ222),0)</f>
        <v>3187.6986986233551</v>
      </c>
      <c r="CL222" s="17">
        <f t="shared" si="175"/>
        <v>3187.6986986233551</v>
      </c>
      <c r="CM222" s="17">
        <f>'1 - Input'!$B$22*CJ222*CL222</f>
        <v>828.8016616420723</v>
      </c>
      <c r="CN222" s="17">
        <f t="shared" si="176"/>
        <v>2358.8970369812828</v>
      </c>
      <c r="CO222" s="17">
        <f t="shared" si="177"/>
        <v>0</v>
      </c>
      <c r="CP222" s="17">
        <f t="shared" si="178"/>
        <v>0</v>
      </c>
      <c r="CQ222" s="17">
        <f t="shared" si="179"/>
        <v>163571.58743561839</v>
      </c>
      <c r="CR222" s="17">
        <f t="shared" si="180"/>
        <v>0</v>
      </c>
      <c r="CS222" s="17">
        <f>IF(MOD(BU222,12)=0,CQ222*'1 - Input'!$B$23,0)</f>
        <v>0</v>
      </c>
      <c r="CT222" s="17">
        <f t="shared" si="181"/>
        <v>163571.58743561839</v>
      </c>
      <c r="CU222" s="17">
        <f>IF(MOD(BU222,12)=0,CR222*(1-'1 - Input'!$B$23),CR222)</f>
        <v>0</v>
      </c>
      <c r="CV222" s="17">
        <f>IF('1 - Input'!$B$17=1,MIN(CF222,BX222)+CN222,CF222)</f>
        <v>3562.592660269755</v>
      </c>
      <c r="CW222" s="17">
        <f t="shared" si="201"/>
        <v>556744.11542481941</v>
      </c>
      <c r="CX222" s="17">
        <f t="shared" si="202"/>
        <v>56.450115761213581</v>
      </c>
      <c r="CY222" s="17">
        <f t="shared" si="203"/>
        <v>26853.69321752281</v>
      </c>
      <c r="CZ222" s="17">
        <f t="shared" si="204"/>
        <v>0</v>
      </c>
      <c r="DA222" s="17">
        <f t="shared" si="205"/>
        <v>10320.33034363269</v>
      </c>
      <c r="DB222" s="17">
        <f t="shared" si="206"/>
        <v>0</v>
      </c>
      <c r="DC222" s="15">
        <f t="shared" si="182"/>
        <v>0</v>
      </c>
    </row>
    <row r="223" spans="1:107">
      <c r="A223" s="14">
        <v>180</v>
      </c>
      <c r="B223" s="15">
        <f t="shared" si="138"/>
        <v>15</v>
      </c>
      <c r="C223" s="16">
        <f>(1+INDEX('1 - Input'!$B$34:$E$63,B223,'1 - Input'!$B$16))^(1/12)-1</f>
        <v>4.1219243192651689E-3</v>
      </c>
      <c r="D223" s="17">
        <f>'1 - Input'!$B$7*(1+'1 - Input'!$B$12)^(B223-1)</f>
        <v>3562.592660269755</v>
      </c>
      <c r="E223" s="17">
        <f t="shared" si="183"/>
        <v>33424.020339793831</v>
      </c>
      <c r="F223" s="17">
        <f t="shared" si="184"/>
        <v>61591.655874087402</v>
      </c>
      <c r="G223" s="17">
        <f t="shared" si="139"/>
        <v>33561.79162208004</v>
      </c>
      <c r="H223" s="17">
        <f>IF(G223&gt;0,'1 - Input'!$B$8/12*G223,0)</f>
        <v>251.71343716560028</v>
      </c>
      <c r="I223" s="17">
        <f t="shared" si="140"/>
        <v>33310.07818491444</v>
      </c>
      <c r="J223" s="17">
        <f t="shared" si="141"/>
        <v>0</v>
      </c>
      <c r="K223" s="17">
        <f>'1 - Input'!$B$22*(H223-J223)</f>
        <v>65.44549366305607</v>
      </c>
      <c r="L223" s="17">
        <f t="shared" si="142"/>
        <v>186.2679435025442</v>
      </c>
      <c r="M223" s="17">
        <f t="shared" si="143"/>
        <v>61591.655874087402</v>
      </c>
      <c r="N223" s="17">
        <f>IF('1 - Input'!$B$17=1,MAX(0,L223-D223),0)</f>
        <v>0</v>
      </c>
      <c r="O223" s="17">
        <f>IF('1 - Input'!$B$17=1,MAX(0,D223-L223),0)</f>
        <v>3376.3247167672107</v>
      </c>
      <c r="P223" s="17">
        <f t="shared" si="144"/>
        <v>0</v>
      </c>
      <c r="Q223" s="17">
        <f>IF(AND(O223&gt;0,I223&gt;0),O223/(1-'1 - Input'!$B$22*P223),0)</f>
        <v>3376.3247167672107</v>
      </c>
      <c r="R223" s="17">
        <f t="shared" si="145"/>
        <v>3376.3247167672107</v>
      </c>
      <c r="S223" s="17">
        <f>'1 - Input'!$B$22*P223*R223</f>
        <v>0</v>
      </c>
      <c r="T223" s="17">
        <f t="shared" si="146"/>
        <v>3376.3247167672107</v>
      </c>
      <c r="U223" s="17">
        <f t="shared" si="147"/>
        <v>0</v>
      </c>
      <c r="V223" s="17">
        <f t="shared" si="148"/>
        <v>2866.6336131378862</v>
      </c>
      <c r="W223" s="17">
        <f t="shared" si="149"/>
        <v>29933.753468147232</v>
      </c>
      <c r="X223" s="17">
        <f t="shared" si="150"/>
        <v>55348.697544182301</v>
      </c>
      <c r="Y223" s="17">
        <f>IF(MOD(A223,12)=0,W223*'1 - Input'!$B$23,0)</f>
        <v>59.867506936294461</v>
      </c>
      <c r="Z223" s="17">
        <f t="shared" si="151"/>
        <v>29873.885961210937</v>
      </c>
      <c r="AA223" s="17">
        <f>IF(MOD(A223,12)=0,X223*(1-'1 - Input'!$B$23),X223)</f>
        <v>55238.000149093939</v>
      </c>
      <c r="AB223" s="17">
        <f>IF('1 - Input'!$B$17=1,MIN(L223,D223)+T223,L223)</f>
        <v>3562.592660269755</v>
      </c>
      <c r="AC223" s="17">
        <f t="shared" si="185"/>
        <v>560306.70808508911</v>
      </c>
      <c r="AD223" s="17">
        <f t="shared" si="186"/>
        <v>101168.31914661097</v>
      </c>
      <c r="AE223" s="17">
        <f t="shared" si="187"/>
        <v>0</v>
      </c>
      <c r="AF223" s="17">
        <f t="shared" si="188"/>
        <v>148448.81248313677</v>
      </c>
      <c r="AG223" s="17">
        <f t="shared" si="189"/>
        <v>8123.5662772395826</v>
      </c>
      <c r="AH223" s="17">
        <f t="shared" si="190"/>
        <v>0</v>
      </c>
      <c r="AI223" s="15">
        <f t="shared" si="152"/>
        <v>0</v>
      </c>
      <c r="AK223" s="14">
        <v>180</v>
      </c>
      <c r="AL223" s="15">
        <f t="shared" si="153"/>
        <v>15</v>
      </c>
      <c r="AM223" s="16">
        <f>(1+INDEX('1 - Input'!$B$34:$E$63,AL223,'1 - Input'!$B$16))^(1/12)-1</f>
        <v>4.1219243192651689E-3</v>
      </c>
      <c r="AN223" s="17">
        <f>'1 - Input'!$B$7*(1+'1 - Input'!$B$12)^(AL223-1)</f>
        <v>3562.592660269755</v>
      </c>
      <c r="AO223" s="17">
        <f t="shared" si="191"/>
        <v>33424.020339793831</v>
      </c>
      <c r="AP223" s="17">
        <f t="shared" si="192"/>
        <v>61591.655874087402</v>
      </c>
      <c r="AQ223" s="17">
        <f t="shared" si="154"/>
        <v>33561.79162208004</v>
      </c>
      <c r="AR223" s="17">
        <f>IF(AQ223&gt;0,'1 - Input'!$B$8/12*AQ223,0)</f>
        <v>251.71343716560028</v>
      </c>
      <c r="AS223" s="17">
        <f t="shared" si="155"/>
        <v>33310.07818491444</v>
      </c>
      <c r="AT223" s="17">
        <f t="shared" si="156"/>
        <v>0</v>
      </c>
      <c r="AU223" s="17">
        <f>'1 - Input'!$B$22*(AR223-AT223)</f>
        <v>65.44549366305607</v>
      </c>
      <c r="AV223" s="17">
        <f t="shared" si="157"/>
        <v>186.2679435025442</v>
      </c>
      <c r="AW223" s="17">
        <f t="shared" si="158"/>
        <v>61591.655874087402</v>
      </c>
      <c r="AX223" s="17">
        <f>IF('1 - Input'!$B$17=1,MAX(0,AV223-AN223),0)</f>
        <v>0</v>
      </c>
      <c r="AY223" s="17">
        <f>IF('1 - Input'!$B$17=1,MAX(0,AN223-AV223),0)</f>
        <v>3376.3247167672107</v>
      </c>
      <c r="AZ223" s="17">
        <f t="shared" si="159"/>
        <v>0</v>
      </c>
      <c r="BA223" s="17">
        <f>IF(AND(AY223&gt;0,AS223&gt;0),AY223/(1-'1 - Input'!$B$22*AZ223),0)</f>
        <v>3376.3247167672107</v>
      </c>
      <c r="BB223" s="17">
        <f t="shared" si="160"/>
        <v>3376.3247167672107</v>
      </c>
      <c r="BC223" s="17">
        <f>'1 - Input'!$B$22*AZ223*BB223</f>
        <v>0</v>
      </c>
      <c r="BD223" s="17">
        <f t="shared" si="161"/>
        <v>3376.3247167672107</v>
      </c>
      <c r="BE223" s="17">
        <f t="shared" si="162"/>
        <v>0</v>
      </c>
      <c r="BF223" s="17">
        <f t="shared" si="163"/>
        <v>2866.6336131378862</v>
      </c>
      <c r="BG223" s="17">
        <f t="shared" si="164"/>
        <v>29933.753468147232</v>
      </c>
      <c r="BH223" s="17">
        <f t="shared" si="165"/>
        <v>55348.697544182301</v>
      </c>
      <c r="BI223" s="17">
        <f>IF(MOD(AK223,12)=0,BG223*'1 - Input'!$B$23,0)</f>
        <v>59.867506936294461</v>
      </c>
      <c r="BJ223" s="17">
        <f t="shared" si="166"/>
        <v>29873.885961210937</v>
      </c>
      <c r="BK223" s="17">
        <f>IF(MOD(AK223,12)=0,BH223*(1-'1 - Input'!$B$23),BH223)</f>
        <v>55238.000149093939</v>
      </c>
      <c r="BL223" s="17">
        <f>IF('1 - Input'!$B$17=1,MIN(AV223,AN223)+BD223,AV223)</f>
        <v>3562.592660269755</v>
      </c>
      <c r="BM223" s="17">
        <f t="shared" si="193"/>
        <v>560306.70808508911</v>
      </c>
      <c r="BN223" s="17">
        <f t="shared" si="194"/>
        <v>101168.31914661097</v>
      </c>
      <c r="BO223" s="17">
        <f t="shared" si="195"/>
        <v>0</v>
      </c>
      <c r="BP223" s="17">
        <f t="shared" si="196"/>
        <v>148448.81248313677</v>
      </c>
      <c r="BQ223" s="17">
        <f t="shared" si="197"/>
        <v>8123.5662772395826</v>
      </c>
      <c r="BR223" s="17">
        <f t="shared" si="198"/>
        <v>0</v>
      </c>
      <c r="BS223" s="15">
        <f t="shared" si="167"/>
        <v>0</v>
      </c>
      <c r="BU223" s="14">
        <v>180</v>
      </c>
      <c r="BV223" s="15">
        <f t="shared" si="168"/>
        <v>15</v>
      </c>
      <c r="BW223" s="16">
        <f>(1+INDEX('1 - Input'!$B$34:$E$63,BV223,'1 - Input'!$B$16))^(1/12)-1</f>
        <v>4.1219243192651689E-3</v>
      </c>
      <c r="BX223" s="17">
        <f>'1 - Input'!$B$7*(1+'1 - Input'!$B$12)^(BV223-1)</f>
        <v>3562.592660269755</v>
      </c>
      <c r="BY223" s="17">
        <f t="shared" si="199"/>
        <v>163571.58743561839</v>
      </c>
      <c r="BZ223" s="17">
        <f t="shared" si="200"/>
        <v>0</v>
      </c>
      <c r="CA223" s="17">
        <f t="shared" si="169"/>
        <v>164245.81713981007</v>
      </c>
      <c r="CB223" s="17">
        <f>IF(CA223&gt;0,'1 - Input'!$B$8/12*CA223,0)</f>
        <v>1231.8436285485755</v>
      </c>
      <c r="CC223" s="17">
        <f t="shared" si="170"/>
        <v>163013.97351126149</v>
      </c>
      <c r="CD223" s="17">
        <f t="shared" si="171"/>
        <v>0</v>
      </c>
      <c r="CE223" s="17">
        <f>'1 - Input'!$B$22*(CB223-CD223)</f>
        <v>320.27934342262961</v>
      </c>
      <c r="CF223" s="17">
        <f t="shared" si="172"/>
        <v>911.56428512594584</v>
      </c>
      <c r="CG223" s="17">
        <f t="shared" si="173"/>
        <v>0</v>
      </c>
      <c r="CH223" s="17">
        <f>IF('1 - Input'!$B$17=1,MAX(0,CF223-BX223),0)</f>
        <v>0</v>
      </c>
      <c r="CI223" s="17">
        <f>IF('1 - Input'!$B$17=1,MAX(0,BX223-CF223),0)</f>
        <v>2651.0283751438092</v>
      </c>
      <c r="CJ223" s="17">
        <f t="shared" si="174"/>
        <v>1</v>
      </c>
      <c r="CK223" s="17">
        <f>IF(AND(CI223&gt;0,CC223&gt;0),CI223/(1-'1 - Input'!$B$22*CJ223),0)</f>
        <v>3582.4707772213637</v>
      </c>
      <c r="CL223" s="17">
        <f t="shared" si="175"/>
        <v>3582.4707772213637</v>
      </c>
      <c r="CM223" s="17">
        <f>'1 - Input'!$B$22*CJ223*CL223</f>
        <v>931.44240207755456</v>
      </c>
      <c r="CN223" s="17">
        <f t="shared" si="176"/>
        <v>2651.0283751438092</v>
      </c>
      <c r="CO223" s="17">
        <f t="shared" si="177"/>
        <v>0</v>
      </c>
      <c r="CP223" s="17">
        <f t="shared" si="178"/>
        <v>0</v>
      </c>
      <c r="CQ223" s="17">
        <f t="shared" si="179"/>
        <v>159431.50273404011</v>
      </c>
      <c r="CR223" s="17">
        <f t="shared" si="180"/>
        <v>0</v>
      </c>
      <c r="CS223" s="17">
        <f>IF(MOD(BU223,12)=0,CQ223*'1 - Input'!$B$23,0)</f>
        <v>318.86300546808025</v>
      </c>
      <c r="CT223" s="17">
        <f t="shared" si="181"/>
        <v>159112.63972857204</v>
      </c>
      <c r="CU223" s="17">
        <f>IF(MOD(BU223,12)=0,CR223*(1-'1 - Input'!$B$23),CR223)</f>
        <v>0</v>
      </c>
      <c r="CV223" s="17">
        <f>IF('1 - Input'!$B$17=1,MIN(CF223,BX223)+CN223,CF223)</f>
        <v>3562.592660269755</v>
      </c>
      <c r="CW223" s="17">
        <f t="shared" si="201"/>
        <v>560306.70808508911</v>
      </c>
      <c r="CX223" s="17">
        <f t="shared" si="202"/>
        <v>376.72945918384318</v>
      </c>
      <c r="CY223" s="17">
        <f t="shared" si="203"/>
        <v>27785.135619600365</v>
      </c>
      <c r="CZ223" s="17">
        <f t="shared" si="204"/>
        <v>0</v>
      </c>
      <c r="DA223" s="17">
        <f t="shared" si="205"/>
        <v>10639.193349100769</v>
      </c>
      <c r="DB223" s="17">
        <f t="shared" si="206"/>
        <v>0</v>
      </c>
      <c r="DC223" s="15">
        <f t="shared" si="182"/>
        <v>0</v>
      </c>
    </row>
    <row r="224" spans="1:107">
      <c r="A224" s="14">
        <v>181</v>
      </c>
      <c r="B224" s="15">
        <f t="shared" si="138"/>
        <v>16</v>
      </c>
      <c r="C224" s="16">
        <f>(1+INDEX('1 - Input'!$B$34:$E$63,B224,'1 - Input'!$B$16))^(1/12)-1</f>
        <v>4.1219243192651689E-3</v>
      </c>
      <c r="D224" s="17">
        <f>'1 - Input'!$B$7*(1+'1 - Input'!$B$12)^(B224-1)</f>
        <v>3633.8445134751487</v>
      </c>
      <c r="E224" s="17">
        <f t="shared" si="183"/>
        <v>29873.885961210937</v>
      </c>
      <c r="F224" s="17">
        <f t="shared" si="184"/>
        <v>55238.000149093939</v>
      </c>
      <c r="G224" s="17">
        <f t="shared" si="139"/>
        <v>29997.023858265406</v>
      </c>
      <c r="H224" s="17">
        <f>IF(G224&gt;0,'1 - Input'!$B$8/12*G224,0)</f>
        <v>224.97767893699054</v>
      </c>
      <c r="I224" s="17">
        <f t="shared" si="140"/>
        <v>29772.046179328416</v>
      </c>
      <c r="J224" s="17">
        <f t="shared" si="141"/>
        <v>0</v>
      </c>
      <c r="K224" s="17">
        <f>'1 - Input'!$B$22*(H224-J224)</f>
        <v>58.494196523617546</v>
      </c>
      <c r="L224" s="17">
        <f t="shared" si="142"/>
        <v>166.483482413373</v>
      </c>
      <c r="M224" s="17">
        <f t="shared" si="143"/>
        <v>55238.000149093939</v>
      </c>
      <c r="N224" s="17">
        <f>IF('1 - Input'!$B$17=1,MAX(0,L224-D224),0)</f>
        <v>0</v>
      </c>
      <c r="O224" s="17">
        <f>IF('1 - Input'!$B$17=1,MAX(0,D224-L224),0)</f>
        <v>3467.3610310617755</v>
      </c>
      <c r="P224" s="17">
        <f t="shared" si="144"/>
        <v>0</v>
      </c>
      <c r="Q224" s="17">
        <f>IF(AND(O224&gt;0,I224&gt;0),O224/(1-'1 - Input'!$B$22*P224),0)</f>
        <v>3467.3610310617755</v>
      </c>
      <c r="R224" s="17">
        <f t="shared" si="145"/>
        <v>3467.3610310617755</v>
      </c>
      <c r="S224" s="17">
        <f>'1 - Input'!$B$22*P224*R224</f>
        <v>0</v>
      </c>
      <c r="T224" s="17">
        <f t="shared" si="146"/>
        <v>3467.3610310617755</v>
      </c>
      <c r="U224" s="17">
        <f t="shared" si="147"/>
        <v>0</v>
      </c>
      <c r="V224" s="17">
        <f t="shared" si="148"/>
        <v>2965.857834618263</v>
      </c>
      <c r="W224" s="17">
        <f t="shared" si="149"/>
        <v>26304.685148266639</v>
      </c>
      <c r="X224" s="17">
        <f t="shared" si="150"/>
        <v>48804.781283413897</v>
      </c>
      <c r="Y224" s="17">
        <f>IF(MOD(A224,12)=0,W224*'1 - Input'!$B$23,0)</f>
        <v>0</v>
      </c>
      <c r="Z224" s="17">
        <f t="shared" si="151"/>
        <v>26304.685148266639</v>
      </c>
      <c r="AA224" s="17">
        <f>IF(MOD(A224,12)=0,X224*(1-'1 - Input'!$B$23),X224)</f>
        <v>48804.781283413897</v>
      </c>
      <c r="AB224" s="17">
        <f>IF('1 - Input'!$B$17=1,MIN(L224,D224)+T224,L224)</f>
        <v>3633.8445134751487</v>
      </c>
      <c r="AC224" s="17">
        <f t="shared" si="185"/>
        <v>563940.5525985643</v>
      </c>
      <c r="AD224" s="17">
        <f t="shared" si="186"/>
        <v>101226.81334313459</v>
      </c>
      <c r="AE224" s="17">
        <f t="shared" si="187"/>
        <v>0</v>
      </c>
      <c r="AF224" s="17">
        <f t="shared" si="188"/>
        <v>151414.67031775505</v>
      </c>
      <c r="AG224" s="17">
        <f t="shared" si="189"/>
        <v>8123.5662772395826</v>
      </c>
      <c r="AH224" s="17">
        <f t="shared" si="190"/>
        <v>0</v>
      </c>
      <c r="AI224" s="15">
        <f t="shared" si="152"/>
        <v>0</v>
      </c>
      <c r="AK224" s="14">
        <v>181</v>
      </c>
      <c r="AL224" s="15">
        <f t="shared" si="153"/>
        <v>16</v>
      </c>
      <c r="AM224" s="16">
        <f>(1+INDEX('1 - Input'!$B$34:$E$63,AL224,'1 - Input'!$B$16))^(1/12)-1</f>
        <v>4.1219243192651689E-3</v>
      </c>
      <c r="AN224" s="17">
        <f>'1 - Input'!$B$7*(1+'1 - Input'!$B$12)^(AL224-1)</f>
        <v>3633.8445134751487</v>
      </c>
      <c r="AO224" s="17">
        <f t="shared" si="191"/>
        <v>29873.885961210937</v>
      </c>
      <c r="AP224" s="17">
        <f t="shared" si="192"/>
        <v>55238.000149093939</v>
      </c>
      <c r="AQ224" s="17">
        <f t="shared" si="154"/>
        <v>29997.023858265406</v>
      </c>
      <c r="AR224" s="17">
        <f>IF(AQ224&gt;0,'1 - Input'!$B$8/12*AQ224,0)</f>
        <v>224.97767893699054</v>
      </c>
      <c r="AS224" s="17">
        <f t="shared" si="155"/>
        <v>29772.046179328416</v>
      </c>
      <c r="AT224" s="17">
        <f t="shared" si="156"/>
        <v>0</v>
      </c>
      <c r="AU224" s="17">
        <f>'1 - Input'!$B$22*(AR224-AT224)</f>
        <v>58.494196523617546</v>
      </c>
      <c r="AV224" s="17">
        <f t="shared" si="157"/>
        <v>166.483482413373</v>
      </c>
      <c r="AW224" s="17">
        <f t="shared" si="158"/>
        <v>55238.000149093939</v>
      </c>
      <c r="AX224" s="17">
        <f>IF('1 - Input'!$B$17=1,MAX(0,AV224-AN224),0)</f>
        <v>0</v>
      </c>
      <c r="AY224" s="17">
        <f>IF('1 - Input'!$B$17=1,MAX(0,AN224-AV224),0)</f>
        <v>3467.3610310617755</v>
      </c>
      <c r="AZ224" s="17">
        <f t="shared" si="159"/>
        <v>0</v>
      </c>
      <c r="BA224" s="17">
        <f>IF(AND(AY224&gt;0,AS224&gt;0),AY224/(1-'1 - Input'!$B$22*AZ224),0)</f>
        <v>3467.3610310617755</v>
      </c>
      <c r="BB224" s="17">
        <f t="shared" si="160"/>
        <v>3467.3610310617755</v>
      </c>
      <c r="BC224" s="17">
        <f>'1 - Input'!$B$22*AZ224*BB224</f>
        <v>0</v>
      </c>
      <c r="BD224" s="17">
        <f t="shared" si="161"/>
        <v>3467.3610310617755</v>
      </c>
      <c r="BE224" s="17">
        <f t="shared" si="162"/>
        <v>0</v>
      </c>
      <c r="BF224" s="17">
        <f t="shared" si="163"/>
        <v>2965.857834618263</v>
      </c>
      <c r="BG224" s="17">
        <f t="shared" si="164"/>
        <v>26304.685148266639</v>
      </c>
      <c r="BH224" s="17">
        <f t="shared" si="165"/>
        <v>48804.781283413897</v>
      </c>
      <c r="BI224" s="17">
        <f>IF(MOD(AK224,12)=0,BG224*'1 - Input'!$B$23,0)</f>
        <v>0</v>
      </c>
      <c r="BJ224" s="17">
        <f t="shared" si="166"/>
        <v>26304.685148266639</v>
      </c>
      <c r="BK224" s="17">
        <f>IF(MOD(AK224,12)=0,BH224*(1-'1 - Input'!$B$23),BH224)</f>
        <v>48804.781283413897</v>
      </c>
      <c r="BL224" s="17">
        <f>IF('1 - Input'!$B$17=1,MIN(AV224,AN224)+BD224,AV224)</f>
        <v>3633.8445134751487</v>
      </c>
      <c r="BM224" s="17">
        <f t="shared" si="193"/>
        <v>563940.5525985643</v>
      </c>
      <c r="BN224" s="17">
        <f t="shared" si="194"/>
        <v>101226.81334313459</v>
      </c>
      <c r="BO224" s="17">
        <f t="shared" si="195"/>
        <v>0</v>
      </c>
      <c r="BP224" s="17">
        <f t="shared" si="196"/>
        <v>151414.67031775505</v>
      </c>
      <c r="BQ224" s="17">
        <f t="shared" si="197"/>
        <v>8123.5662772395826</v>
      </c>
      <c r="BR224" s="17">
        <f t="shared" si="198"/>
        <v>0</v>
      </c>
      <c r="BS224" s="15">
        <f t="shared" si="167"/>
        <v>0</v>
      </c>
      <c r="BU224" s="14">
        <v>181</v>
      </c>
      <c r="BV224" s="15">
        <f t="shared" si="168"/>
        <v>16</v>
      </c>
      <c r="BW224" s="16">
        <f>(1+INDEX('1 - Input'!$B$34:$E$63,BV224,'1 - Input'!$B$16))^(1/12)-1</f>
        <v>4.1219243192651689E-3</v>
      </c>
      <c r="BX224" s="17">
        <f>'1 - Input'!$B$7*(1+'1 - Input'!$B$12)^(BV224-1)</f>
        <v>3633.8445134751487</v>
      </c>
      <c r="BY224" s="17">
        <f t="shared" si="199"/>
        <v>159112.63972857204</v>
      </c>
      <c r="BZ224" s="17">
        <f t="shared" si="200"/>
        <v>0</v>
      </c>
      <c r="CA224" s="17">
        <f t="shared" si="169"/>
        <v>159768.48998777173</v>
      </c>
      <c r="CB224" s="17">
        <f>IF(CA224&gt;0,'1 - Input'!$B$8/12*CA224,0)</f>
        <v>1198.2636749082878</v>
      </c>
      <c r="CC224" s="17">
        <f t="shared" si="170"/>
        <v>158570.22631286344</v>
      </c>
      <c r="CD224" s="17">
        <f t="shared" si="171"/>
        <v>0</v>
      </c>
      <c r="CE224" s="17">
        <f>'1 - Input'!$B$22*(CB224-CD224)</f>
        <v>311.54855547615483</v>
      </c>
      <c r="CF224" s="17">
        <f t="shared" si="172"/>
        <v>886.71511943213295</v>
      </c>
      <c r="CG224" s="17">
        <f t="shared" si="173"/>
        <v>0</v>
      </c>
      <c r="CH224" s="17">
        <f>IF('1 - Input'!$B$17=1,MAX(0,CF224-BX224),0)</f>
        <v>0</v>
      </c>
      <c r="CI224" s="17">
        <f>IF('1 - Input'!$B$17=1,MAX(0,BX224-CF224),0)</f>
        <v>2747.129394043016</v>
      </c>
      <c r="CJ224" s="17">
        <f t="shared" si="174"/>
        <v>1</v>
      </c>
      <c r="CK224" s="17">
        <f>IF(AND(CI224&gt;0,CC224&gt;0),CI224/(1-'1 - Input'!$B$22*CJ224),0)</f>
        <v>3712.3370189770485</v>
      </c>
      <c r="CL224" s="17">
        <f t="shared" si="175"/>
        <v>3712.3370189770485</v>
      </c>
      <c r="CM224" s="17">
        <f>'1 - Input'!$B$22*CJ224*CL224</f>
        <v>965.20762493403265</v>
      </c>
      <c r="CN224" s="17">
        <f t="shared" si="176"/>
        <v>2747.129394043016</v>
      </c>
      <c r="CO224" s="17">
        <f t="shared" si="177"/>
        <v>0</v>
      </c>
      <c r="CP224" s="17">
        <f t="shared" si="178"/>
        <v>0</v>
      </c>
      <c r="CQ224" s="17">
        <f t="shared" si="179"/>
        <v>154857.8892938864</v>
      </c>
      <c r="CR224" s="17">
        <f t="shared" si="180"/>
        <v>0</v>
      </c>
      <c r="CS224" s="17">
        <f>IF(MOD(BU224,12)=0,CQ224*'1 - Input'!$B$23,0)</f>
        <v>0</v>
      </c>
      <c r="CT224" s="17">
        <f t="shared" si="181"/>
        <v>154857.8892938864</v>
      </c>
      <c r="CU224" s="17">
        <f>IF(MOD(BU224,12)=0,CR224*(1-'1 - Input'!$B$23),CR224)</f>
        <v>0</v>
      </c>
      <c r="CV224" s="17">
        <f>IF('1 - Input'!$B$17=1,MIN(CF224,BX224)+CN224,CF224)</f>
        <v>3633.8445134751491</v>
      </c>
      <c r="CW224" s="17">
        <f t="shared" si="201"/>
        <v>563940.5525985643</v>
      </c>
      <c r="CX224" s="17">
        <f t="shared" si="202"/>
        <v>688.27801465999801</v>
      </c>
      <c r="CY224" s="17">
        <f t="shared" si="203"/>
        <v>28750.343244534397</v>
      </c>
      <c r="CZ224" s="17">
        <f t="shared" si="204"/>
        <v>0</v>
      </c>
      <c r="DA224" s="17">
        <f t="shared" si="205"/>
        <v>10639.193349100769</v>
      </c>
      <c r="DB224" s="17">
        <f t="shared" si="206"/>
        <v>0</v>
      </c>
      <c r="DC224" s="15">
        <f t="shared" si="182"/>
        <v>0</v>
      </c>
    </row>
    <row r="225" spans="1:107">
      <c r="A225" s="14">
        <v>182</v>
      </c>
      <c r="B225" s="15">
        <f t="shared" si="138"/>
        <v>16</v>
      </c>
      <c r="C225" s="16">
        <f>(1+INDEX('1 - Input'!$B$34:$E$63,B225,'1 - Input'!$B$16))^(1/12)-1</f>
        <v>4.1219243192651689E-3</v>
      </c>
      <c r="D225" s="17">
        <f>'1 - Input'!$B$7*(1+'1 - Input'!$B$12)^(B225-1)</f>
        <v>3633.8445134751487</v>
      </c>
      <c r="E225" s="17">
        <f t="shared" si="183"/>
        <v>26304.685148266639</v>
      </c>
      <c r="F225" s="17">
        <f t="shared" si="184"/>
        <v>48804.781283413897</v>
      </c>
      <c r="G225" s="17">
        <f t="shared" si="139"/>
        <v>26413.111069689894</v>
      </c>
      <c r="H225" s="17">
        <f>IF(G225&gt;0,'1 - Input'!$B$8/12*G225,0)</f>
        <v>198.09833302267421</v>
      </c>
      <c r="I225" s="17">
        <f t="shared" si="140"/>
        <v>26215.01273666722</v>
      </c>
      <c r="J225" s="17">
        <f t="shared" si="141"/>
        <v>0</v>
      </c>
      <c r="K225" s="17">
        <f>'1 - Input'!$B$22*(H225-J225)</f>
        <v>51.505566585895295</v>
      </c>
      <c r="L225" s="17">
        <f t="shared" si="142"/>
        <v>146.5927664367789</v>
      </c>
      <c r="M225" s="17">
        <f t="shared" si="143"/>
        <v>48804.781283413897</v>
      </c>
      <c r="N225" s="17">
        <f>IF('1 - Input'!$B$17=1,MAX(0,L225-D225),0)</f>
        <v>0</v>
      </c>
      <c r="O225" s="17">
        <f>IF('1 - Input'!$B$17=1,MAX(0,D225-L225),0)</f>
        <v>3487.25174703837</v>
      </c>
      <c r="P225" s="17">
        <f t="shared" si="144"/>
        <v>0</v>
      </c>
      <c r="Q225" s="17">
        <f>IF(AND(O225&gt;0,I225&gt;0),O225/(1-'1 - Input'!$B$22*P225),0)</f>
        <v>3487.25174703837</v>
      </c>
      <c r="R225" s="17">
        <f t="shared" si="145"/>
        <v>3487.25174703837</v>
      </c>
      <c r="S225" s="17">
        <f>'1 - Input'!$B$22*P225*R225</f>
        <v>0</v>
      </c>
      <c r="T225" s="17">
        <f t="shared" si="146"/>
        <v>3487.25174703837</v>
      </c>
      <c r="U225" s="17">
        <f t="shared" si="147"/>
        <v>0</v>
      </c>
      <c r="V225" s="17">
        <f t="shared" si="148"/>
        <v>3005.0036832387127</v>
      </c>
      <c r="W225" s="17">
        <f t="shared" si="149"/>
        <v>22727.760989628849</v>
      </c>
      <c r="X225" s="17">
        <f t="shared" si="150"/>
        <v>42312.525853136809</v>
      </c>
      <c r="Y225" s="17">
        <f>IF(MOD(A225,12)=0,W225*'1 - Input'!$B$23,0)</f>
        <v>0</v>
      </c>
      <c r="Z225" s="17">
        <f t="shared" si="151"/>
        <v>22727.760989628849</v>
      </c>
      <c r="AA225" s="17">
        <f>IF(MOD(A225,12)=0,X225*(1-'1 - Input'!$B$23),X225)</f>
        <v>42312.525853136809</v>
      </c>
      <c r="AB225" s="17">
        <f>IF('1 - Input'!$B$17=1,MIN(L225,D225)+T225,L225)</f>
        <v>3633.8445134751491</v>
      </c>
      <c r="AC225" s="17">
        <f t="shared" si="185"/>
        <v>567574.3971120395</v>
      </c>
      <c r="AD225" s="17">
        <f t="shared" si="186"/>
        <v>101278.31890972049</v>
      </c>
      <c r="AE225" s="17">
        <f t="shared" si="187"/>
        <v>0</v>
      </c>
      <c r="AF225" s="17">
        <f t="shared" si="188"/>
        <v>154419.67400099378</v>
      </c>
      <c r="AG225" s="17">
        <f t="shared" si="189"/>
        <v>8123.5662772395826</v>
      </c>
      <c r="AH225" s="17">
        <f t="shared" si="190"/>
        <v>0</v>
      </c>
      <c r="AI225" s="15">
        <f t="shared" si="152"/>
        <v>0</v>
      </c>
      <c r="AK225" s="14">
        <v>182</v>
      </c>
      <c r="AL225" s="15">
        <f t="shared" si="153"/>
        <v>16</v>
      </c>
      <c r="AM225" s="16">
        <f>(1+INDEX('1 - Input'!$B$34:$E$63,AL225,'1 - Input'!$B$16))^(1/12)-1</f>
        <v>4.1219243192651689E-3</v>
      </c>
      <c r="AN225" s="17">
        <f>'1 - Input'!$B$7*(1+'1 - Input'!$B$12)^(AL225-1)</f>
        <v>3633.8445134751487</v>
      </c>
      <c r="AO225" s="17">
        <f t="shared" si="191"/>
        <v>26304.685148266639</v>
      </c>
      <c r="AP225" s="17">
        <f t="shared" si="192"/>
        <v>48804.781283413897</v>
      </c>
      <c r="AQ225" s="17">
        <f t="shared" si="154"/>
        <v>26413.111069689894</v>
      </c>
      <c r="AR225" s="17">
        <f>IF(AQ225&gt;0,'1 - Input'!$B$8/12*AQ225,0)</f>
        <v>198.09833302267421</v>
      </c>
      <c r="AS225" s="17">
        <f t="shared" si="155"/>
        <v>26215.01273666722</v>
      </c>
      <c r="AT225" s="17">
        <f t="shared" si="156"/>
        <v>0</v>
      </c>
      <c r="AU225" s="17">
        <f>'1 - Input'!$B$22*(AR225-AT225)</f>
        <v>51.505566585895295</v>
      </c>
      <c r="AV225" s="17">
        <f t="shared" si="157"/>
        <v>146.5927664367789</v>
      </c>
      <c r="AW225" s="17">
        <f t="shared" si="158"/>
        <v>48804.781283413897</v>
      </c>
      <c r="AX225" s="17">
        <f>IF('1 - Input'!$B$17=1,MAX(0,AV225-AN225),0)</f>
        <v>0</v>
      </c>
      <c r="AY225" s="17">
        <f>IF('1 - Input'!$B$17=1,MAX(0,AN225-AV225),0)</f>
        <v>3487.25174703837</v>
      </c>
      <c r="AZ225" s="17">
        <f t="shared" si="159"/>
        <v>0</v>
      </c>
      <c r="BA225" s="17">
        <f>IF(AND(AY225&gt;0,AS225&gt;0),AY225/(1-'1 - Input'!$B$22*AZ225),0)</f>
        <v>3487.25174703837</v>
      </c>
      <c r="BB225" s="17">
        <f t="shared" si="160"/>
        <v>3487.25174703837</v>
      </c>
      <c r="BC225" s="17">
        <f>'1 - Input'!$B$22*AZ225*BB225</f>
        <v>0</v>
      </c>
      <c r="BD225" s="17">
        <f t="shared" si="161"/>
        <v>3487.25174703837</v>
      </c>
      <c r="BE225" s="17">
        <f t="shared" si="162"/>
        <v>0</v>
      </c>
      <c r="BF225" s="17">
        <f t="shared" si="163"/>
        <v>3005.0036832387127</v>
      </c>
      <c r="BG225" s="17">
        <f t="shared" si="164"/>
        <v>22727.760989628849</v>
      </c>
      <c r="BH225" s="17">
        <f t="shared" si="165"/>
        <v>42312.525853136809</v>
      </c>
      <c r="BI225" s="17">
        <f>IF(MOD(AK225,12)=0,BG225*'1 - Input'!$B$23,0)</f>
        <v>0</v>
      </c>
      <c r="BJ225" s="17">
        <f t="shared" si="166"/>
        <v>22727.760989628849</v>
      </c>
      <c r="BK225" s="17">
        <f>IF(MOD(AK225,12)=0,BH225*(1-'1 - Input'!$B$23),BH225)</f>
        <v>42312.525853136809</v>
      </c>
      <c r="BL225" s="17">
        <f>IF('1 - Input'!$B$17=1,MIN(AV225,AN225)+BD225,AV225)</f>
        <v>3633.8445134751491</v>
      </c>
      <c r="BM225" s="17">
        <f t="shared" si="193"/>
        <v>567574.3971120395</v>
      </c>
      <c r="BN225" s="17">
        <f t="shared" si="194"/>
        <v>101278.31890972049</v>
      </c>
      <c r="BO225" s="17">
        <f t="shared" si="195"/>
        <v>0</v>
      </c>
      <c r="BP225" s="17">
        <f t="shared" si="196"/>
        <v>154419.67400099378</v>
      </c>
      <c r="BQ225" s="17">
        <f t="shared" si="197"/>
        <v>8123.5662772395826</v>
      </c>
      <c r="BR225" s="17">
        <f t="shared" si="198"/>
        <v>0</v>
      </c>
      <c r="BS225" s="15">
        <f t="shared" si="167"/>
        <v>0</v>
      </c>
      <c r="BU225" s="14">
        <v>182</v>
      </c>
      <c r="BV225" s="15">
        <f t="shared" si="168"/>
        <v>16</v>
      </c>
      <c r="BW225" s="16">
        <f>(1+INDEX('1 - Input'!$B$34:$E$63,BV225,'1 - Input'!$B$16))^(1/12)-1</f>
        <v>4.1219243192651689E-3</v>
      </c>
      <c r="BX225" s="17">
        <f>'1 - Input'!$B$7*(1+'1 - Input'!$B$12)^(BV225-1)</f>
        <v>3633.8445134751487</v>
      </c>
      <c r="BY225" s="17">
        <f t="shared" si="199"/>
        <v>154857.8892938864</v>
      </c>
      <c r="BZ225" s="17">
        <f t="shared" si="200"/>
        <v>0</v>
      </c>
      <c r="CA225" s="17">
        <f t="shared" si="169"/>
        <v>155496.20179379694</v>
      </c>
      <c r="CB225" s="17">
        <f>IF(CA225&gt;0,'1 - Input'!$B$8/12*CA225,0)</f>
        <v>1166.221513453477</v>
      </c>
      <c r="CC225" s="17">
        <f t="shared" si="170"/>
        <v>154329.98028034347</v>
      </c>
      <c r="CD225" s="17">
        <f t="shared" si="171"/>
        <v>0</v>
      </c>
      <c r="CE225" s="17">
        <f>'1 - Input'!$B$22*(CB225-CD225)</f>
        <v>303.21759349790403</v>
      </c>
      <c r="CF225" s="17">
        <f t="shared" si="172"/>
        <v>863.00391995557288</v>
      </c>
      <c r="CG225" s="17">
        <f t="shared" si="173"/>
        <v>0</v>
      </c>
      <c r="CH225" s="17">
        <f>IF('1 - Input'!$B$17=1,MAX(0,CF225-BX225),0)</f>
        <v>0</v>
      </c>
      <c r="CI225" s="17">
        <f>IF('1 - Input'!$B$17=1,MAX(0,BX225-CF225),0)</f>
        <v>2770.840593519576</v>
      </c>
      <c r="CJ225" s="17">
        <f t="shared" si="174"/>
        <v>1</v>
      </c>
      <c r="CK225" s="17">
        <f>IF(AND(CI225&gt;0,CC225&gt;0),CI225/(1-'1 - Input'!$B$22*CJ225),0)</f>
        <v>3744.3791804318594</v>
      </c>
      <c r="CL225" s="17">
        <f t="shared" si="175"/>
        <v>3744.3791804318594</v>
      </c>
      <c r="CM225" s="17">
        <f>'1 - Input'!$B$22*CJ225*CL225</f>
        <v>973.53858691228345</v>
      </c>
      <c r="CN225" s="17">
        <f t="shared" si="176"/>
        <v>2770.840593519576</v>
      </c>
      <c r="CO225" s="17">
        <f t="shared" si="177"/>
        <v>0</v>
      </c>
      <c r="CP225" s="17">
        <f t="shared" si="178"/>
        <v>0</v>
      </c>
      <c r="CQ225" s="17">
        <f t="shared" si="179"/>
        <v>150585.60109991161</v>
      </c>
      <c r="CR225" s="17">
        <f t="shared" si="180"/>
        <v>0</v>
      </c>
      <c r="CS225" s="17">
        <f>IF(MOD(BU225,12)=0,CQ225*'1 - Input'!$B$23,0)</f>
        <v>0</v>
      </c>
      <c r="CT225" s="17">
        <f t="shared" si="181"/>
        <v>150585.60109991161</v>
      </c>
      <c r="CU225" s="17">
        <f>IF(MOD(BU225,12)=0,CR225*(1-'1 - Input'!$B$23),CR225)</f>
        <v>0</v>
      </c>
      <c r="CV225" s="17">
        <f>IF('1 - Input'!$B$17=1,MIN(CF225,BX225)+CN225,CF225)</f>
        <v>3633.8445134751491</v>
      </c>
      <c r="CW225" s="17">
        <f t="shared" si="201"/>
        <v>567574.3971120395</v>
      </c>
      <c r="CX225" s="17">
        <f t="shared" si="202"/>
        <v>991.4956081579021</v>
      </c>
      <c r="CY225" s="17">
        <f t="shared" si="203"/>
        <v>29723.881831446681</v>
      </c>
      <c r="CZ225" s="17">
        <f t="shared" si="204"/>
        <v>0</v>
      </c>
      <c r="DA225" s="17">
        <f t="shared" si="205"/>
        <v>10639.193349100769</v>
      </c>
      <c r="DB225" s="17">
        <f t="shared" si="206"/>
        <v>0</v>
      </c>
      <c r="DC225" s="15">
        <f t="shared" si="182"/>
        <v>0</v>
      </c>
    </row>
    <row r="226" spans="1:107">
      <c r="A226" s="14">
        <v>183</v>
      </c>
      <c r="B226" s="15">
        <f t="shared" si="138"/>
        <v>16</v>
      </c>
      <c r="C226" s="16">
        <f>(1+INDEX('1 - Input'!$B$34:$E$63,B226,'1 - Input'!$B$16))^(1/12)-1</f>
        <v>4.1219243192651689E-3</v>
      </c>
      <c r="D226" s="17">
        <f>'1 - Input'!$B$7*(1+'1 - Input'!$B$12)^(B226-1)</f>
        <v>3633.8445134751487</v>
      </c>
      <c r="E226" s="17">
        <f t="shared" si="183"/>
        <v>22727.760989628849</v>
      </c>
      <c r="F226" s="17">
        <f t="shared" si="184"/>
        <v>42312.525853136809</v>
      </c>
      <c r="G226" s="17">
        <f t="shared" si="139"/>
        <v>22821.443100374447</v>
      </c>
      <c r="H226" s="17">
        <f>IF(G226&gt;0,'1 - Input'!$B$8/12*G226,0)</f>
        <v>171.16082325280834</v>
      </c>
      <c r="I226" s="17">
        <f t="shared" si="140"/>
        <v>22650.282277121638</v>
      </c>
      <c r="J226" s="17">
        <f t="shared" si="141"/>
        <v>0</v>
      </c>
      <c r="K226" s="17">
        <f>'1 - Input'!$B$22*(H226-J226)</f>
        <v>44.501814045730171</v>
      </c>
      <c r="L226" s="17">
        <f t="shared" si="142"/>
        <v>126.65900920707817</v>
      </c>
      <c r="M226" s="17">
        <f t="shared" si="143"/>
        <v>42312.525853136809</v>
      </c>
      <c r="N226" s="17">
        <f>IF('1 - Input'!$B$17=1,MAX(0,L226-D226),0)</f>
        <v>0</v>
      </c>
      <c r="O226" s="17">
        <f>IF('1 - Input'!$B$17=1,MAX(0,D226-L226),0)</f>
        <v>3507.1855042680704</v>
      </c>
      <c r="P226" s="17">
        <f t="shared" si="144"/>
        <v>0</v>
      </c>
      <c r="Q226" s="17">
        <f>IF(AND(O226&gt;0,I226&gt;0),O226/(1-'1 - Input'!$B$22*P226),0)</f>
        <v>3507.1855042680704</v>
      </c>
      <c r="R226" s="17">
        <f t="shared" si="145"/>
        <v>3507.1855042680704</v>
      </c>
      <c r="S226" s="17">
        <f>'1 - Input'!$B$22*P226*R226</f>
        <v>0</v>
      </c>
      <c r="T226" s="17">
        <f t="shared" si="146"/>
        <v>3507.1855042680704</v>
      </c>
      <c r="U226" s="17">
        <f t="shared" si="147"/>
        <v>0</v>
      </c>
      <c r="V226" s="17">
        <f t="shared" si="148"/>
        <v>3044.515507907905</v>
      </c>
      <c r="W226" s="17">
        <f t="shared" si="149"/>
        <v>19143.096772853569</v>
      </c>
      <c r="X226" s="17">
        <f t="shared" si="150"/>
        <v>35760.824840960835</v>
      </c>
      <c r="Y226" s="17">
        <f>IF(MOD(A226,12)=0,W226*'1 - Input'!$B$23,0)</f>
        <v>0</v>
      </c>
      <c r="Z226" s="17">
        <f t="shared" si="151"/>
        <v>19143.096772853569</v>
      </c>
      <c r="AA226" s="17">
        <f>IF(MOD(A226,12)=0,X226*(1-'1 - Input'!$B$23),X226)</f>
        <v>35760.824840960835</v>
      </c>
      <c r="AB226" s="17">
        <f>IF('1 - Input'!$B$17=1,MIN(L226,D226)+T226,L226)</f>
        <v>3633.8445134751487</v>
      </c>
      <c r="AC226" s="17">
        <f t="shared" si="185"/>
        <v>571208.2416255147</v>
      </c>
      <c r="AD226" s="17">
        <f t="shared" si="186"/>
        <v>101322.82072376621</v>
      </c>
      <c r="AE226" s="17">
        <f t="shared" si="187"/>
        <v>0</v>
      </c>
      <c r="AF226" s="17">
        <f t="shared" si="188"/>
        <v>157464.18950890168</v>
      </c>
      <c r="AG226" s="17">
        <f t="shared" si="189"/>
        <v>8123.5662772395826</v>
      </c>
      <c r="AH226" s="17">
        <f t="shared" si="190"/>
        <v>0</v>
      </c>
      <c r="AI226" s="15">
        <f t="shared" si="152"/>
        <v>0</v>
      </c>
      <c r="AK226" s="14">
        <v>183</v>
      </c>
      <c r="AL226" s="15">
        <f t="shared" si="153"/>
        <v>16</v>
      </c>
      <c r="AM226" s="16">
        <f>(1+INDEX('1 - Input'!$B$34:$E$63,AL226,'1 - Input'!$B$16))^(1/12)-1</f>
        <v>4.1219243192651689E-3</v>
      </c>
      <c r="AN226" s="17">
        <f>'1 - Input'!$B$7*(1+'1 - Input'!$B$12)^(AL226-1)</f>
        <v>3633.8445134751487</v>
      </c>
      <c r="AO226" s="17">
        <f t="shared" si="191"/>
        <v>22727.760989628849</v>
      </c>
      <c r="AP226" s="17">
        <f t="shared" si="192"/>
        <v>42312.525853136809</v>
      </c>
      <c r="AQ226" s="17">
        <f t="shared" si="154"/>
        <v>22821.443100374447</v>
      </c>
      <c r="AR226" s="17">
        <f>IF(AQ226&gt;0,'1 - Input'!$B$8/12*AQ226,0)</f>
        <v>171.16082325280834</v>
      </c>
      <c r="AS226" s="17">
        <f t="shared" si="155"/>
        <v>22650.282277121638</v>
      </c>
      <c r="AT226" s="17">
        <f t="shared" si="156"/>
        <v>0</v>
      </c>
      <c r="AU226" s="17">
        <f>'1 - Input'!$B$22*(AR226-AT226)</f>
        <v>44.501814045730171</v>
      </c>
      <c r="AV226" s="17">
        <f t="shared" si="157"/>
        <v>126.65900920707817</v>
      </c>
      <c r="AW226" s="17">
        <f t="shared" si="158"/>
        <v>42312.525853136809</v>
      </c>
      <c r="AX226" s="17">
        <f>IF('1 - Input'!$B$17=1,MAX(0,AV226-AN226),0)</f>
        <v>0</v>
      </c>
      <c r="AY226" s="17">
        <f>IF('1 - Input'!$B$17=1,MAX(0,AN226-AV226),0)</f>
        <v>3507.1855042680704</v>
      </c>
      <c r="AZ226" s="17">
        <f t="shared" si="159"/>
        <v>0</v>
      </c>
      <c r="BA226" s="17">
        <f>IF(AND(AY226&gt;0,AS226&gt;0),AY226/(1-'1 - Input'!$B$22*AZ226),0)</f>
        <v>3507.1855042680704</v>
      </c>
      <c r="BB226" s="17">
        <f t="shared" si="160"/>
        <v>3507.1855042680704</v>
      </c>
      <c r="BC226" s="17">
        <f>'1 - Input'!$B$22*AZ226*BB226</f>
        <v>0</v>
      </c>
      <c r="BD226" s="17">
        <f t="shared" si="161"/>
        <v>3507.1855042680704</v>
      </c>
      <c r="BE226" s="17">
        <f t="shared" si="162"/>
        <v>0</v>
      </c>
      <c r="BF226" s="17">
        <f t="shared" si="163"/>
        <v>3044.515507907905</v>
      </c>
      <c r="BG226" s="17">
        <f t="shared" si="164"/>
        <v>19143.096772853569</v>
      </c>
      <c r="BH226" s="17">
        <f t="shared" si="165"/>
        <v>35760.824840960835</v>
      </c>
      <c r="BI226" s="17">
        <f>IF(MOD(AK226,12)=0,BG226*'1 - Input'!$B$23,0)</f>
        <v>0</v>
      </c>
      <c r="BJ226" s="17">
        <f t="shared" si="166"/>
        <v>19143.096772853569</v>
      </c>
      <c r="BK226" s="17">
        <f>IF(MOD(AK226,12)=0,BH226*(1-'1 - Input'!$B$23),BH226)</f>
        <v>35760.824840960835</v>
      </c>
      <c r="BL226" s="17">
        <f>IF('1 - Input'!$B$17=1,MIN(AV226,AN226)+BD226,AV226)</f>
        <v>3633.8445134751487</v>
      </c>
      <c r="BM226" s="17">
        <f t="shared" si="193"/>
        <v>571208.2416255147</v>
      </c>
      <c r="BN226" s="17">
        <f t="shared" si="194"/>
        <v>101322.82072376621</v>
      </c>
      <c r="BO226" s="17">
        <f t="shared" si="195"/>
        <v>0</v>
      </c>
      <c r="BP226" s="17">
        <f t="shared" si="196"/>
        <v>157464.18950890168</v>
      </c>
      <c r="BQ226" s="17">
        <f t="shared" si="197"/>
        <v>8123.5662772395826</v>
      </c>
      <c r="BR226" s="17">
        <f t="shared" si="198"/>
        <v>0</v>
      </c>
      <c r="BS226" s="15">
        <f t="shared" si="167"/>
        <v>0</v>
      </c>
      <c r="BU226" s="14">
        <v>183</v>
      </c>
      <c r="BV226" s="15">
        <f t="shared" si="168"/>
        <v>16</v>
      </c>
      <c r="BW226" s="16">
        <f>(1+INDEX('1 - Input'!$B$34:$E$63,BV226,'1 - Input'!$B$16))^(1/12)-1</f>
        <v>4.1219243192651689E-3</v>
      </c>
      <c r="BX226" s="17">
        <f>'1 - Input'!$B$7*(1+'1 - Input'!$B$12)^(BV226-1)</f>
        <v>3633.8445134751487</v>
      </c>
      <c r="BY226" s="17">
        <f t="shared" si="199"/>
        <v>150585.60109991161</v>
      </c>
      <c r="BZ226" s="17">
        <f t="shared" si="200"/>
        <v>0</v>
      </c>
      <c r="CA226" s="17">
        <f t="shared" si="169"/>
        <v>151206.30355121649</v>
      </c>
      <c r="CB226" s="17">
        <f>IF(CA226&gt;0,'1 - Input'!$B$8/12*CA226,0)</f>
        <v>1134.0472766341236</v>
      </c>
      <c r="CC226" s="17">
        <f t="shared" si="170"/>
        <v>150072.25627458238</v>
      </c>
      <c r="CD226" s="17">
        <f t="shared" si="171"/>
        <v>0</v>
      </c>
      <c r="CE226" s="17">
        <f>'1 - Input'!$B$22*(CB226-CD226)</f>
        <v>294.85229192487213</v>
      </c>
      <c r="CF226" s="17">
        <f t="shared" si="172"/>
        <v>839.19498470925146</v>
      </c>
      <c r="CG226" s="17">
        <f t="shared" si="173"/>
        <v>0</v>
      </c>
      <c r="CH226" s="17">
        <f>IF('1 - Input'!$B$17=1,MAX(0,CF226-BX226),0)</f>
        <v>0</v>
      </c>
      <c r="CI226" s="17">
        <f>IF('1 - Input'!$B$17=1,MAX(0,BX226-CF226),0)</f>
        <v>2794.6495287658972</v>
      </c>
      <c r="CJ226" s="17">
        <f t="shared" si="174"/>
        <v>1</v>
      </c>
      <c r="CK226" s="17">
        <f>IF(AND(CI226&gt;0,CC226&gt;0),CI226/(1-'1 - Input'!$B$22*CJ226),0)</f>
        <v>3776.5534172512125</v>
      </c>
      <c r="CL226" s="17">
        <f t="shared" si="175"/>
        <v>3776.5534172512125</v>
      </c>
      <c r="CM226" s="17">
        <f>'1 - Input'!$B$22*CJ226*CL226</f>
        <v>981.90388848531529</v>
      </c>
      <c r="CN226" s="17">
        <f t="shared" si="176"/>
        <v>2794.6495287658972</v>
      </c>
      <c r="CO226" s="17">
        <f t="shared" si="177"/>
        <v>0</v>
      </c>
      <c r="CP226" s="17">
        <f t="shared" si="178"/>
        <v>0</v>
      </c>
      <c r="CQ226" s="17">
        <f t="shared" si="179"/>
        <v>146295.70285733117</v>
      </c>
      <c r="CR226" s="17">
        <f t="shared" si="180"/>
        <v>0</v>
      </c>
      <c r="CS226" s="17">
        <f>IF(MOD(BU226,12)=0,CQ226*'1 - Input'!$B$23,0)</f>
        <v>0</v>
      </c>
      <c r="CT226" s="17">
        <f t="shared" si="181"/>
        <v>146295.70285733117</v>
      </c>
      <c r="CU226" s="17">
        <f>IF(MOD(BU226,12)=0,CR226*(1-'1 - Input'!$B$23),CR226)</f>
        <v>0</v>
      </c>
      <c r="CV226" s="17">
        <f>IF('1 - Input'!$B$17=1,MIN(CF226,BX226)+CN226,CF226)</f>
        <v>3633.8445134751487</v>
      </c>
      <c r="CW226" s="17">
        <f t="shared" si="201"/>
        <v>571208.2416255147</v>
      </c>
      <c r="CX226" s="17">
        <f t="shared" si="202"/>
        <v>1286.3479000827742</v>
      </c>
      <c r="CY226" s="17">
        <f t="shared" si="203"/>
        <v>30705.785719931995</v>
      </c>
      <c r="CZ226" s="17">
        <f t="shared" si="204"/>
        <v>0</v>
      </c>
      <c r="DA226" s="17">
        <f t="shared" si="205"/>
        <v>10639.193349100769</v>
      </c>
      <c r="DB226" s="17">
        <f t="shared" si="206"/>
        <v>0</v>
      </c>
      <c r="DC226" s="15">
        <f t="shared" si="182"/>
        <v>0</v>
      </c>
    </row>
    <row r="227" spans="1:107">
      <c r="A227" s="14">
        <v>184</v>
      </c>
      <c r="B227" s="15">
        <f t="shared" si="138"/>
        <v>16</v>
      </c>
      <c r="C227" s="16">
        <f>(1+INDEX('1 - Input'!$B$34:$E$63,B227,'1 - Input'!$B$16))^(1/12)-1</f>
        <v>4.1219243192651689E-3</v>
      </c>
      <c r="D227" s="17">
        <f>'1 - Input'!$B$7*(1+'1 - Input'!$B$12)^(B227-1)</f>
        <v>3633.8445134751487</v>
      </c>
      <c r="E227" s="17">
        <f t="shared" si="183"/>
        <v>19143.096772853569</v>
      </c>
      <c r="F227" s="17">
        <f t="shared" si="184"/>
        <v>35760.824840960835</v>
      </c>
      <c r="G227" s="17">
        <f t="shared" si="139"/>
        <v>19222.003168987641</v>
      </c>
      <c r="H227" s="17">
        <f>IF(G227&gt;0,'1 - Input'!$B$8/12*G227,0)</f>
        <v>144.16502376740729</v>
      </c>
      <c r="I227" s="17">
        <f t="shared" si="140"/>
        <v>19077.838145220234</v>
      </c>
      <c r="J227" s="17">
        <f t="shared" si="141"/>
        <v>0</v>
      </c>
      <c r="K227" s="17">
        <f>'1 - Input'!$B$22*(H227-J227)</f>
        <v>37.482906179525898</v>
      </c>
      <c r="L227" s="17">
        <f t="shared" si="142"/>
        <v>106.68211758788139</v>
      </c>
      <c r="M227" s="17">
        <f t="shared" si="143"/>
        <v>35760.824840960835</v>
      </c>
      <c r="N227" s="17">
        <f>IF('1 - Input'!$B$17=1,MAX(0,L227-D227),0)</f>
        <v>0</v>
      </c>
      <c r="O227" s="17">
        <f>IF('1 - Input'!$B$17=1,MAX(0,D227-L227),0)</f>
        <v>3527.1623958872674</v>
      </c>
      <c r="P227" s="17">
        <f t="shared" si="144"/>
        <v>0</v>
      </c>
      <c r="Q227" s="17">
        <f>IF(AND(O227&gt;0,I227&gt;0),O227/(1-'1 - Input'!$B$22*P227),0)</f>
        <v>3527.1623958872674</v>
      </c>
      <c r="R227" s="17">
        <f t="shared" si="145"/>
        <v>3527.1623958872674</v>
      </c>
      <c r="S227" s="17">
        <f>'1 - Input'!$B$22*P227*R227</f>
        <v>0</v>
      </c>
      <c r="T227" s="17">
        <f t="shared" si="146"/>
        <v>3527.1623958872674</v>
      </c>
      <c r="U227" s="17">
        <f t="shared" si="147"/>
        <v>0</v>
      </c>
      <c r="V227" s="17">
        <f t="shared" si="148"/>
        <v>3084.395772539171</v>
      </c>
      <c r="W227" s="17">
        <f t="shared" si="149"/>
        <v>15550.675749332966</v>
      </c>
      <c r="X227" s="17">
        <f t="shared" si="150"/>
        <v>29149.266672534395</v>
      </c>
      <c r="Y227" s="17">
        <f>IF(MOD(A227,12)=0,W227*'1 - Input'!$B$23,0)</f>
        <v>0</v>
      </c>
      <c r="Z227" s="17">
        <f t="shared" si="151"/>
        <v>15550.675749332966</v>
      </c>
      <c r="AA227" s="17">
        <f>IF(MOD(A227,12)=0,X227*(1-'1 - Input'!$B$23),X227)</f>
        <v>29149.266672534395</v>
      </c>
      <c r="AB227" s="17">
        <f>IF('1 - Input'!$B$17=1,MIN(L227,D227)+T227,L227)</f>
        <v>3633.8445134751487</v>
      </c>
      <c r="AC227" s="17">
        <f t="shared" si="185"/>
        <v>574842.08613898989</v>
      </c>
      <c r="AD227" s="17">
        <f t="shared" si="186"/>
        <v>101360.30362994575</v>
      </c>
      <c r="AE227" s="17">
        <f t="shared" si="187"/>
        <v>0</v>
      </c>
      <c r="AF227" s="17">
        <f t="shared" si="188"/>
        <v>160548.58528144084</v>
      </c>
      <c r="AG227" s="17">
        <f t="shared" si="189"/>
        <v>8123.5662772395826</v>
      </c>
      <c r="AH227" s="17">
        <f t="shared" si="190"/>
        <v>0</v>
      </c>
      <c r="AI227" s="15">
        <f t="shared" si="152"/>
        <v>0</v>
      </c>
      <c r="AK227" s="14">
        <v>184</v>
      </c>
      <c r="AL227" s="15">
        <f t="shared" si="153"/>
        <v>16</v>
      </c>
      <c r="AM227" s="16">
        <f>(1+INDEX('1 - Input'!$B$34:$E$63,AL227,'1 - Input'!$B$16))^(1/12)-1</f>
        <v>4.1219243192651689E-3</v>
      </c>
      <c r="AN227" s="17">
        <f>'1 - Input'!$B$7*(1+'1 - Input'!$B$12)^(AL227-1)</f>
        <v>3633.8445134751487</v>
      </c>
      <c r="AO227" s="17">
        <f t="shared" si="191"/>
        <v>19143.096772853569</v>
      </c>
      <c r="AP227" s="17">
        <f t="shared" si="192"/>
        <v>35760.824840960835</v>
      </c>
      <c r="AQ227" s="17">
        <f t="shared" si="154"/>
        <v>19222.003168987641</v>
      </c>
      <c r="AR227" s="17">
        <f>IF(AQ227&gt;0,'1 - Input'!$B$8/12*AQ227,0)</f>
        <v>144.16502376740729</v>
      </c>
      <c r="AS227" s="17">
        <f t="shared" si="155"/>
        <v>19077.838145220234</v>
      </c>
      <c r="AT227" s="17">
        <f t="shared" si="156"/>
        <v>0</v>
      </c>
      <c r="AU227" s="17">
        <f>'1 - Input'!$B$22*(AR227-AT227)</f>
        <v>37.482906179525898</v>
      </c>
      <c r="AV227" s="17">
        <f t="shared" si="157"/>
        <v>106.68211758788139</v>
      </c>
      <c r="AW227" s="17">
        <f t="shared" si="158"/>
        <v>35760.824840960835</v>
      </c>
      <c r="AX227" s="17">
        <f>IF('1 - Input'!$B$17=1,MAX(0,AV227-AN227),0)</f>
        <v>0</v>
      </c>
      <c r="AY227" s="17">
        <f>IF('1 - Input'!$B$17=1,MAX(0,AN227-AV227),0)</f>
        <v>3527.1623958872674</v>
      </c>
      <c r="AZ227" s="17">
        <f t="shared" si="159"/>
        <v>0</v>
      </c>
      <c r="BA227" s="17">
        <f>IF(AND(AY227&gt;0,AS227&gt;0),AY227/(1-'1 - Input'!$B$22*AZ227),0)</f>
        <v>3527.1623958872674</v>
      </c>
      <c r="BB227" s="17">
        <f t="shared" si="160"/>
        <v>3527.1623958872674</v>
      </c>
      <c r="BC227" s="17">
        <f>'1 - Input'!$B$22*AZ227*BB227</f>
        <v>0</v>
      </c>
      <c r="BD227" s="17">
        <f t="shared" si="161"/>
        <v>3527.1623958872674</v>
      </c>
      <c r="BE227" s="17">
        <f t="shared" si="162"/>
        <v>0</v>
      </c>
      <c r="BF227" s="17">
        <f t="shared" si="163"/>
        <v>3084.395772539171</v>
      </c>
      <c r="BG227" s="17">
        <f t="shared" si="164"/>
        <v>15550.675749332966</v>
      </c>
      <c r="BH227" s="17">
        <f t="shared" si="165"/>
        <v>29149.266672534395</v>
      </c>
      <c r="BI227" s="17">
        <f>IF(MOD(AK227,12)=0,BG227*'1 - Input'!$B$23,0)</f>
        <v>0</v>
      </c>
      <c r="BJ227" s="17">
        <f t="shared" si="166"/>
        <v>15550.675749332966</v>
      </c>
      <c r="BK227" s="17">
        <f>IF(MOD(AK227,12)=0,BH227*(1-'1 - Input'!$B$23),BH227)</f>
        <v>29149.266672534395</v>
      </c>
      <c r="BL227" s="17">
        <f>IF('1 - Input'!$B$17=1,MIN(AV227,AN227)+BD227,AV227)</f>
        <v>3633.8445134751487</v>
      </c>
      <c r="BM227" s="17">
        <f t="shared" si="193"/>
        <v>574842.08613898989</v>
      </c>
      <c r="BN227" s="17">
        <f t="shared" si="194"/>
        <v>101360.30362994575</v>
      </c>
      <c r="BO227" s="17">
        <f t="shared" si="195"/>
        <v>0</v>
      </c>
      <c r="BP227" s="17">
        <f t="shared" si="196"/>
        <v>160548.58528144084</v>
      </c>
      <c r="BQ227" s="17">
        <f t="shared" si="197"/>
        <v>8123.5662772395826</v>
      </c>
      <c r="BR227" s="17">
        <f t="shared" si="198"/>
        <v>0</v>
      </c>
      <c r="BS227" s="15">
        <f t="shared" si="167"/>
        <v>0</v>
      </c>
      <c r="BU227" s="14">
        <v>184</v>
      </c>
      <c r="BV227" s="15">
        <f t="shared" si="168"/>
        <v>16</v>
      </c>
      <c r="BW227" s="16">
        <f>(1+INDEX('1 - Input'!$B$34:$E$63,BV227,'1 - Input'!$B$16))^(1/12)-1</f>
        <v>4.1219243192651689E-3</v>
      </c>
      <c r="BX227" s="17">
        <f>'1 - Input'!$B$7*(1+'1 - Input'!$B$12)^(BV227-1)</f>
        <v>3633.8445134751487</v>
      </c>
      <c r="BY227" s="17">
        <f t="shared" si="199"/>
        <v>146295.70285733117</v>
      </c>
      <c r="BZ227" s="17">
        <f t="shared" si="200"/>
        <v>0</v>
      </c>
      <c r="CA227" s="17">
        <f t="shared" si="169"/>
        <v>146898.72267274279</v>
      </c>
      <c r="CB227" s="17">
        <f>IF(CA227&gt;0,'1 - Input'!$B$8/12*CA227,0)</f>
        <v>1101.740420045571</v>
      </c>
      <c r="CC227" s="17">
        <f t="shared" si="170"/>
        <v>145796.98225269723</v>
      </c>
      <c r="CD227" s="17">
        <f t="shared" si="171"/>
        <v>0</v>
      </c>
      <c r="CE227" s="17">
        <f>'1 - Input'!$B$22*(CB227-CD227)</f>
        <v>286.45250921184845</v>
      </c>
      <c r="CF227" s="17">
        <f t="shared" si="172"/>
        <v>815.28791083372255</v>
      </c>
      <c r="CG227" s="17">
        <f t="shared" si="173"/>
        <v>0</v>
      </c>
      <c r="CH227" s="17">
        <f>IF('1 - Input'!$B$17=1,MAX(0,CF227-BX227),0)</f>
        <v>0</v>
      </c>
      <c r="CI227" s="17">
        <f>IF('1 - Input'!$B$17=1,MAX(0,BX227-CF227),0)</f>
        <v>2818.5566026414263</v>
      </c>
      <c r="CJ227" s="17">
        <f t="shared" si="174"/>
        <v>1</v>
      </c>
      <c r="CK227" s="17">
        <f>IF(AND(CI227&gt;0,CC227&gt;0),CI227/(1-'1 - Input'!$B$22*CJ227),0)</f>
        <v>3808.8602738397653</v>
      </c>
      <c r="CL227" s="17">
        <f t="shared" si="175"/>
        <v>3808.8602738397653</v>
      </c>
      <c r="CM227" s="17">
        <f>'1 - Input'!$B$22*CJ227*CL227</f>
        <v>990.30367119833898</v>
      </c>
      <c r="CN227" s="17">
        <f t="shared" si="176"/>
        <v>2818.5566026414263</v>
      </c>
      <c r="CO227" s="17">
        <f t="shared" si="177"/>
        <v>0</v>
      </c>
      <c r="CP227" s="17">
        <f t="shared" si="178"/>
        <v>0</v>
      </c>
      <c r="CQ227" s="17">
        <f t="shared" si="179"/>
        <v>141988.12197885747</v>
      </c>
      <c r="CR227" s="17">
        <f t="shared" si="180"/>
        <v>0</v>
      </c>
      <c r="CS227" s="17">
        <f>IF(MOD(BU227,12)=0,CQ227*'1 - Input'!$B$23,0)</f>
        <v>0</v>
      </c>
      <c r="CT227" s="17">
        <f t="shared" si="181"/>
        <v>141988.12197885747</v>
      </c>
      <c r="CU227" s="17">
        <f>IF(MOD(BU227,12)=0,CR227*(1-'1 - Input'!$B$23),CR227)</f>
        <v>0</v>
      </c>
      <c r="CV227" s="17">
        <f>IF('1 - Input'!$B$17=1,MIN(CF227,BX227)+CN227,CF227)</f>
        <v>3633.8445134751487</v>
      </c>
      <c r="CW227" s="17">
        <f t="shared" si="201"/>
        <v>574842.08613898989</v>
      </c>
      <c r="CX227" s="17">
        <f t="shared" si="202"/>
        <v>1572.8004092946226</v>
      </c>
      <c r="CY227" s="17">
        <f t="shared" si="203"/>
        <v>31696.089391130336</v>
      </c>
      <c r="CZ227" s="17">
        <f t="shared" si="204"/>
        <v>0</v>
      </c>
      <c r="DA227" s="17">
        <f t="shared" si="205"/>
        <v>10639.193349100769</v>
      </c>
      <c r="DB227" s="17">
        <f t="shared" si="206"/>
        <v>0</v>
      </c>
      <c r="DC227" s="15">
        <f t="shared" si="182"/>
        <v>0</v>
      </c>
    </row>
    <row r="228" spans="1:107">
      <c r="A228" s="14">
        <v>185</v>
      </c>
      <c r="B228" s="15">
        <f t="shared" si="138"/>
        <v>16</v>
      </c>
      <c r="C228" s="16">
        <f>(1+INDEX('1 - Input'!$B$34:$E$63,B228,'1 - Input'!$B$16))^(1/12)-1</f>
        <v>4.1219243192651689E-3</v>
      </c>
      <c r="D228" s="17">
        <f>'1 - Input'!$B$7*(1+'1 - Input'!$B$12)^(B228-1)</f>
        <v>3633.8445134751487</v>
      </c>
      <c r="E228" s="17">
        <f t="shared" si="183"/>
        <v>15550.675749332966</v>
      </c>
      <c r="F228" s="17">
        <f t="shared" si="184"/>
        <v>29149.266672534395</v>
      </c>
      <c r="G228" s="17">
        <f t="shared" si="139"/>
        <v>15614.774457885149</v>
      </c>
      <c r="H228" s="17">
        <f>IF(G228&gt;0,'1 - Input'!$B$8/12*G228,0)</f>
        <v>117.11080843413862</v>
      </c>
      <c r="I228" s="17">
        <f t="shared" si="140"/>
        <v>15497.663649451009</v>
      </c>
      <c r="J228" s="17">
        <f t="shared" si="141"/>
        <v>0</v>
      </c>
      <c r="K228" s="17">
        <f>'1 - Input'!$B$22*(H228-J228)</f>
        <v>30.448810192876042</v>
      </c>
      <c r="L228" s="17">
        <f t="shared" si="142"/>
        <v>86.66199824126258</v>
      </c>
      <c r="M228" s="17">
        <f t="shared" si="143"/>
        <v>29149.266672534395</v>
      </c>
      <c r="N228" s="17">
        <f>IF('1 - Input'!$B$17=1,MAX(0,L228-D228),0)</f>
        <v>0</v>
      </c>
      <c r="O228" s="17">
        <f>IF('1 - Input'!$B$17=1,MAX(0,D228-L228),0)</f>
        <v>3547.1825152338861</v>
      </c>
      <c r="P228" s="17">
        <f t="shared" si="144"/>
        <v>0</v>
      </c>
      <c r="Q228" s="17">
        <f>IF(AND(O228&gt;0,I228&gt;0),O228/(1-'1 - Input'!$B$22*P228),0)</f>
        <v>3547.1825152338861</v>
      </c>
      <c r="R228" s="17">
        <f t="shared" si="145"/>
        <v>3547.1825152338861</v>
      </c>
      <c r="S228" s="17">
        <f>'1 - Input'!$B$22*P228*R228</f>
        <v>0</v>
      </c>
      <c r="T228" s="17">
        <f t="shared" si="146"/>
        <v>3547.1825152338861</v>
      </c>
      <c r="U228" s="17">
        <f t="shared" si="147"/>
        <v>0</v>
      </c>
      <c r="V228" s="17">
        <f t="shared" si="148"/>
        <v>3124.6469560662358</v>
      </c>
      <c r="W228" s="17">
        <f t="shared" si="149"/>
        <v>11950.481134217123</v>
      </c>
      <c r="X228" s="17">
        <f t="shared" si="150"/>
        <v>22477.437201234272</v>
      </c>
      <c r="Y228" s="17">
        <f>IF(MOD(A228,12)=0,W228*'1 - Input'!$B$23,0)</f>
        <v>0</v>
      </c>
      <c r="Z228" s="17">
        <f t="shared" si="151"/>
        <v>11950.481134217123</v>
      </c>
      <c r="AA228" s="17">
        <f>IF(MOD(A228,12)=0,X228*(1-'1 - Input'!$B$23),X228)</f>
        <v>22477.437201234272</v>
      </c>
      <c r="AB228" s="17">
        <f>IF('1 - Input'!$B$17=1,MIN(L228,D228)+T228,L228)</f>
        <v>3633.8445134751487</v>
      </c>
      <c r="AC228" s="17">
        <f t="shared" si="185"/>
        <v>578475.93065246509</v>
      </c>
      <c r="AD228" s="17">
        <f t="shared" si="186"/>
        <v>101390.75244013862</v>
      </c>
      <c r="AE228" s="17">
        <f t="shared" si="187"/>
        <v>0</v>
      </c>
      <c r="AF228" s="17">
        <f t="shared" si="188"/>
        <v>163673.23223750707</v>
      </c>
      <c r="AG228" s="17">
        <f t="shared" si="189"/>
        <v>8123.5662772395826</v>
      </c>
      <c r="AH228" s="17">
        <f t="shared" si="190"/>
        <v>0</v>
      </c>
      <c r="AI228" s="15">
        <f t="shared" si="152"/>
        <v>0</v>
      </c>
      <c r="AK228" s="14">
        <v>185</v>
      </c>
      <c r="AL228" s="15">
        <f t="shared" si="153"/>
        <v>16</v>
      </c>
      <c r="AM228" s="16">
        <f>(1+INDEX('1 - Input'!$B$34:$E$63,AL228,'1 - Input'!$B$16))^(1/12)-1</f>
        <v>4.1219243192651689E-3</v>
      </c>
      <c r="AN228" s="17">
        <f>'1 - Input'!$B$7*(1+'1 - Input'!$B$12)^(AL228-1)</f>
        <v>3633.8445134751487</v>
      </c>
      <c r="AO228" s="17">
        <f t="shared" si="191"/>
        <v>15550.675749332966</v>
      </c>
      <c r="AP228" s="17">
        <f t="shared" si="192"/>
        <v>29149.266672534395</v>
      </c>
      <c r="AQ228" s="17">
        <f t="shared" si="154"/>
        <v>15614.774457885149</v>
      </c>
      <c r="AR228" s="17">
        <f>IF(AQ228&gt;0,'1 - Input'!$B$8/12*AQ228,0)</f>
        <v>117.11080843413862</v>
      </c>
      <c r="AS228" s="17">
        <f t="shared" si="155"/>
        <v>15497.663649451009</v>
      </c>
      <c r="AT228" s="17">
        <f t="shared" si="156"/>
        <v>0</v>
      </c>
      <c r="AU228" s="17">
        <f>'1 - Input'!$B$22*(AR228-AT228)</f>
        <v>30.448810192876042</v>
      </c>
      <c r="AV228" s="17">
        <f t="shared" si="157"/>
        <v>86.66199824126258</v>
      </c>
      <c r="AW228" s="17">
        <f t="shared" si="158"/>
        <v>29149.266672534395</v>
      </c>
      <c r="AX228" s="17">
        <f>IF('1 - Input'!$B$17=1,MAX(0,AV228-AN228),0)</f>
        <v>0</v>
      </c>
      <c r="AY228" s="17">
        <f>IF('1 - Input'!$B$17=1,MAX(0,AN228-AV228),0)</f>
        <v>3547.1825152338861</v>
      </c>
      <c r="AZ228" s="17">
        <f t="shared" si="159"/>
        <v>0</v>
      </c>
      <c r="BA228" s="17">
        <f>IF(AND(AY228&gt;0,AS228&gt;0),AY228/(1-'1 - Input'!$B$22*AZ228),0)</f>
        <v>3547.1825152338861</v>
      </c>
      <c r="BB228" s="17">
        <f t="shared" si="160"/>
        <v>3547.1825152338861</v>
      </c>
      <c r="BC228" s="17">
        <f>'1 - Input'!$B$22*AZ228*BB228</f>
        <v>0</v>
      </c>
      <c r="BD228" s="17">
        <f t="shared" si="161"/>
        <v>3547.1825152338861</v>
      </c>
      <c r="BE228" s="17">
        <f t="shared" si="162"/>
        <v>0</v>
      </c>
      <c r="BF228" s="17">
        <f t="shared" si="163"/>
        <v>3124.6469560662358</v>
      </c>
      <c r="BG228" s="17">
        <f t="shared" si="164"/>
        <v>11950.481134217123</v>
      </c>
      <c r="BH228" s="17">
        <f t="shared" si="165"/>
        <v>22477.437201234272</v>
      </c>
      <c r="BI228" s="17">
        <f>IF(MOD(AK228,12)=0,BG228*'1 - Input'!$B$23,0)</f>
        <v>0</v>
      </c>
      <c r="BJ228" s="17">
        <f t="shared" si="166"/>
        <v>11950.481134217123</v>
      </c>
      <c r="BK228" s="17">
        <f>IF(MOD(AK228,12)=0,BH228*(1-'1 - Input'!$B$23),BH228)</f>
        <v>22477.437201234272</v>
      </c>
      <c r="BL228" s="17">
        <f>IF('1 - Input'!$B$17=1,MIN(AV228,AN228)+BD228,AV228)</f>
        <v>3633.8445134751487</v>
      </c>
      <c r="BM228" s="17">
        <f t="shared" si="193"/>
        <v>578475.93065246509</v>
      </c>
      <c r="BN228" s="17">
        <f t="shared" si="194"/>
        <v>101390.75244013862</v>
      </c>
      <c r="BO228" s="17">
        <f t="shared" si="195"/>
        <v>0</v>
      </c>
      <c r="BP228" s="17">
        <f t="shared" si="196"/>
        <v>163673.23223750707</v>
      </c>
      <c r="BQ228" s="17">
        <f t="shared" si="197"/>
        <v>8123.5662772395826</v>
      </c>
      <c r="BR228" s="17">
        <f t="shared" si="198"/>
        <v>0</v>
      </c>
      <c r="BS228" s="15">
        <f t="shared" si="167"/>
        <v>0</v>
      </c>
      <c r="BU228" s="14">
        <v>185</v>
      </c>
      <c r="BV228" s="15">
        <f t="shared" si="168"/>
        <v>16</v>
      </c>
      <c r="BW228" s="16">
        <f>(1+INDEX('1 - Input'!$B$34:$E$63,BV228,'1 - Input'!$B$16))^(1/12)-1</f>
        <v>4.1219243192651689E-3</v>
      </c>
      <c r="BX228" s="17">
        <f>'1 - Input'!$B$7*(1+'1 - Input'!$B$12)^(BV228-1)</f>
        <v>3633.8445134751487</v>
      </c>
      <c r="BY228" s="17">
        <f t="shared" si="199"/>
        <v>141988.12197885747</v>
      </c>
      <c r="BZ228" s="17">
        <f t="shared" si="200"/>
        <v>0</v>
      </c>
      <c r="CA228" s="17">
        <f t="shared" si="169"/>
        <v>142573.38627188891</v>
      </c>
      <c r="CB228" s="17">
        <f>IF(CA228&gt;0,'1 - Input'!$B$8/12*CA228,0)</f>
        <v>1069.3003970391669</v>
      </c>
      <c r="CC228" s="17">
        <f t="shared" si="170"/>
        <v>141504.08587484976</v>
      </c>
      <c r="CD228" s="17">
        <f t="shared" si="171"/>
        <v>0</v>
      </c>
      <c r="CE228" s="17">
        <f>'1 - Input'!$B$22*(CB228-CD228)</f>
        <v>278.01810323018339</v>
      </c>
      <c r="CF228" s="17">
        <f t="shared" si="172"/>
        <v>791.28229380898347</v>
      </c>
      <c r="CG228" s="17">
        <f t="shared" si="173"/>
        <v>0</v>
      </c>
      <c r="CH228" s="17">
        <f>IF('1 - Input'!$B$17=1,MAX(0,CF228-BX228),0)</f>
        <v>0</v>
      </c>
      <c r="CI228" s="17">
        <f>IF('1 - Input'!$B$17=1,MAX(0,BX228-CF228),0)</f>
        <v>2842.5622196661652</v>
      </c>
      <c r="CJ228" s="17">
        <f t="shared" si="174"/>
        <v>1</v>
      </c>
      <c r="CK228" s="17">
        <f>IF(AND(CI228&gt;0,CC228&gt;0),CI228/(1-'1 - Input'!$B$22*CJ228),0)</f>
        <v>3841.3002968461692</v>
      </c>
      <c r="CL228" s="17">
        <f t="shared" si="175"/>
        <v>3841.3002968461692</v>
      </c>
      <c r="CM228" s="17">
        <f>'1 - Input'!$B$22*CJ228*CL228</f>
        <v>998.73807718000398</v>
      </c>
      <c r="CN228" s="17">
        <f t="shared" si="176"/>
        <v>2842.5622196661652</v>
      </c>
      <c r="CO228" s="17">
        <f t="shared" si="177"/>
        <v>0</v>
      </c>
      <c r="CP228" s="17">
        <f t="shared" si="178"/>
        <v>0</v>
      </c>
      <c r="CQ228" s="17">
        <f t="shared" si="179"/>
        <v>137662.78557800359</v>
      </c>
      <c r="CR228" s="17">
        <f t="shared" si="180"/>
        <v>0</v>
      </c>
      <c r="CS228" s="17">
        <f>IF(MOD(BU228,12)=0,CQ228*'1 - Input'!$B$23,0)</f>
        <v>0</v>
      </c>
      <c r="CT228" s="17">
        <f t="shared" si="181"/>
        <v>137662.78557800359</v>
      </c>
      <c r="CU228" s="17">
        <f>IF(MOD(BU228,12)=0,CR228*(1-'1 - Input'!$B$23),CR228)</f>
        <v>0</v>
      </c>
      <c r="CV228" s="17">
        <f>IF('1 - Input'!$B$17=1,MIN(CF228,BX228)+CN228,CF228)</f>
        <v>3633.8445134751487</v>
      </c>
      <c r="CW228" s="17">
        <f t="shared" si="201"/>
        <v>578475.93065246509</v>
      </c>
      <c r="CX228" s="17">
        <f t="shared" si="202"/>
        <v>1850.818512524806</v>
      </c>
      <c r="CY228" s="17">
        <f t="shared" si="203"/>
        <v>32694.827468310341</v>
      </c>
      <c r="CZ228" s="17">
        <f t="shared" si="204"/>
        <v>0</v>
      </c>
      <c r="DA228" s="17">
        <f t="shared" si="205"/>
        <v>10639.193349100769</v>
      </c>
      <c r="DB228" s="17">
        <f t="shared" si="206"/>
        <v>0</v>
      </c>
      <c r="DC228" s="15">
        <f t="shared" si="182"/>
        <v>0</v>
      </c>
    </row>
    <row r="229" spans="1:107">
      <c r="A229" s="14">
        <v>186</v>
      </c>
      <c r="B229" s="15">
        <f t="shared" si="138"/>
        <v>16</v>
      </c>
      <c r="C229" s="16">
        <f>(1+INDEX('1 - Input'!$B$34:$E$63,B229,'1 - Input'!$B$16))^(1/12)-1</f>
        <v>4.1219243192651689E-3</v>
      </c>
      <c r="D229" s="17">
        <f>'1 - Input'!$B$7*(1+'1 - Input'!$B$12)^(B229-1)</f>
        <v>3633.8445134751487</v>
      </c>
      <c r="E229" s="17">
        <f t="shared" si="183"/>
        <v>11950.481134217123</v>
      </c>
      <c r="F229" s="17">
        <f t="shared" si="184"/>
        <v>22477.437201234272</v>
      </c>
      <c r="G229" s="17">
        <f t="shared" si="139"/>
        <v>11999.740113031172</v>
      </c>
      <c r="H229" s="17">
        <f>IF(G229&gt;0,'1 - Input'!$B$8/12*G229,0)</f>
        <v>89.998050847733779</v>
      </c>
      <c r="I229" s="17">
        <f t="shared" si="140"/>
        <v>11909.742062183439</v>
      </c>
      <c r="J229" s="17">
        <f t="shared" si="141"/>
        <v>0</v>
      </c>
      <c r="K229" s="17">
        <f>'1 - Input'!$B$22*(H229-J229)</f>
        <v>23.399493220410783</v>
      </c>
      <c r="L229" s="17">
        <f t="shared" si="142"/>
        <v>66.598557627323004</v>
      </c>
      <c r="M229" s="17">
        <f t="shared" si="143"/>
        <v>22477.437201234272</v>
      </c>
      <c r="N229" s="17">
        <f>IF('1 - Input'!$B$17=1,MAX(0,L229-D229),0)</f>
        <v>0</v>
      </c>
      <c r="O229" s="17">
        <f>IF('1 - Input'!$B$17=1,MAX(0,D229-L229),0)</f>
        <v>3567.2459558478258</v>
      </c>
      <c r="P229" s="17">
        <f t="shared" si="144"/>
        <v>0</v>
      </c>
      <c r="Q229" s="17">
        <f>IF(AND(O229&gt;0,I229&gt;0),O229/(1-'1 - Input'!$B$22*P229),0)</f>
        <v>3567.2459558478258</v>
      </c>
      <c r="R229" s="17">
        <f t="shared" si="145"/>
        <v>3567.2459558478258</v>
      </c>
      <c r="S229" s="17">
        <f>'1 - Input'!$B$22*P229*R229</f>
        <v>0</v>
      </c>
      <c r="T229" s="17">
        <f t="shared" si="146"/>
        <v>3567.2459558478258</v>
      </c>
      <c r="U229" s="17">
        <f t="shared" si="147"/>
        <v>0</v>
      </c>
      <c r="V229" s="17">
        <f t="shared" si="148"/>
        <v>3165.2715525310573</v>
      </c>
      <c r="W229" s="17">
        <f t="shared" si="149"/>
        <v>8342.4961063356131</v>
      </c>
      <c r="X229" s="17">
        <f t="shared" si="150"/>
        <v>15744.91969285539</v>
      </c>
      <c r="Y229" s="17">
        <f>IF(MOD(A229,12)=0,W229*'1 - Input'!$B$23,0)</f>
        <v>0</v>
      </c>
      <c r="Z229" s="17">
        <f t="shared" si="151"/>
        <v>8342.4961063356131</v>
      </c>
      <c r="AA229" s="17">
        <f>IF(MOD(A229,12)=0,X229*(1-'1 - Input'!$B$23),X229)</f>
        <v>15744.91969285539</v>
      </c>
      <c r="AB229" s="17">
        <f>IF('1 - Input'!$B$17=1,MIN(L229,D229)+T229,L229)</f>
        <v>3633.8445134751487</v>
      </c>
      <c r="AC229" s="17">
        <f t="shared" si="185"/>
        <v>582109.77516594029</v>
      </c>
      <c r="AD229" s="17">
        <f t="shared" si="186"/>
        <v>101414.15193335903</v>
      </c>
      <c r="AE229" s="17">
        <f t="shared" si="187"/>
        <v>0</v>
      </c>
      <c r="AF229" s="17">
        <f t="shared" si="188"/>
        <v>166838.50379003811</v>
      </c>
      <c r="AG229" s="17">
        <f t="shared" si="189"/>
        <v>8123.5662772395826</v>
      </c>
      <c r="AH229" s="17">
        <f t="shared" si="190"/>
        <v>0</v>
      </c>
      <c r="AI229" s="15">
        <f t="shared" si="152"/>
        <v>0</v>
      </c>
      <c r="AK229" s="14">
        <v>186</v>
      </c>
      <c r="AL229" s="15">
        <f t="shared" si="153"/>
        <v>16</v>
      </c>
      <c r="AM229" s="16">
        <f>(1+INDEX('1 - Input'!$B$34:$E$63,AL229,'1 - Input'!$B$16))^(1/12)-1</f>
        <v>4.1219243192651689E-3</v>
      </c>
      <c r="AN229" s="17">
        <f>'1 - Input'!$B$7*(1+'1 - Input'!$B$12)^(AL229-1)</f>
        <v>3633.8445134751487</v>
      </c>
      <c r="AO229" s="17">
        <f t="shared" si="191"/>
        <v>11950.481134217123</v>
      </c>
      <c r="AP229" s="17">
        <f t="shared" si="192"/>
        <v>22477.437201234272</v>
      </c>
      <c r="AQ229" s="17">
        <f t="shared" si="154"/>
        <v>11999.740113031172</v>
      </c>
      <c r="AR229" s="17">
        <f>IF(AQ229&gt;0,'1 - Input'!$B$8/12*AQ229,0)</f>
        <v>89.998050847733779</v>
      </c>
      <c r="AS229" s="17">
        <f t="shared" si="155"/>
        <v>11909.742062183439</v>
      </c>
      <c r="AT229" s="17">
        <f t="shared" si="156"/>
        <v>0</v>
      </c>
      <c r="AU229" s="17">
        <f>'1 - Input'!$B$22*(AR229-AT229)</f>
        <v>23.399493220410783</v>
      </c>
      <c r="AV229" s="17">
        <f t="shared" si="157"/>
        <v>66.598557627323004</v>
      </c>
      <c r="AW229" s="17">
        <f t="shared" si="158"/>
        <v>22477.437201234272</v>
      </c>
      <c r="AX229" s="17">
        <f>IF('1 - Input'!$B$17=1,MAX(0,AV229-AN229),0)</f>
        <v>0</v>
      </c>
      <c r="AY229" s="17">
        <f>IF('1 - Input'!$B$17=1,MAX(0,AN229-AV229),0)</f>
        <v>3567.2459558478258</v>
      </c>
      <c r="AZ229" s="17">
        <f t="shared" si="159"/>
        <v>0</v>
      </c>
      <c r="BA229" s="17">
        <f>IF(AND(AY229&gt;0,AS229&gt;0),AY229/(1-'1 - Input'!$B$22*AZ229),0)</f>
        <v>3567.2459558478258</v>
      </c>
      <c r="BB229" s="17">
        <f t="shared" si="160"/>
        <v>3567.2459558478258</v>
      </c>
      <c r="BC229" s="17">
        <f>'1 - Input'!$B$22*AZ229*BB229</f>
        <v>0</v>
      </c>
      <c r="BD229" s="17">
        <f t="shared" si="161"/>
        <v>3567.2459558478258</v>
      </c>
      <c r="BE229" s="17">
        <f t="shared" si="162"/>
        <v>0</v>
      </c>
      <c r="BF229" s="17">
        <f t="shared" si="163"/>
        <v>3165.2715525310573</v>
      </c>
      <c r="BG229" s="17">
        <f t="shared" si="164"/>
        <v>8342.4961063356131</v>
      </c>
      <c r="BH229" s="17">
        <f t="shared" si="165"/>
        <v>15744.91969285539</v>
      </c>
      <c r="BI229" s="17">
        <f>IF(MOD(AK229,12)=0,BG229*'1 - Input'!$B$23,0)</f>
        <v>0</v>
      </c>
      <c r="BJ229" s="17">
        <f t="shared" si="166"/>
        <v>8342.4961063356131</v>
      </c>
      <c r="BK229" s="17">
        <f>IF(MOD(AK229,12)=0,BH229*(1-'1 - Input'!$B$23),BH229)</f>
        <v>15744.91969285539</v>
      </c>
      <c r="BL229" s="17">
        <f>IF('1 - Input'!$B$17=1,MIN(AV229,AN229)+BD229,AV229)</f>
        <v>3633.8445134751487</v>
      </c>
      <c r="BM229" s="17">
        <f t="shared" si="193"/>
        <v>582109.77516594029</v>
      </c>
      <c r="BN229" s="17">
        <f t="shared" si="194"/>
        <v>101414.15193335903</v>
      </c>
      <c r="BO229" s="17">
        <f t="shared" si="195"/>
        <v>0</v>
      </c>
      <c r="BP229" s="17">
        <f t="shared" si="196"/>
        <v>166838.50379003811</v>
      </c>
      <c r="BQ229" s="17">
        <f t="shared" si="197"/>
        <v>8123.5662772395826</v>
      </c>
      <c r="BR229" s="17">
        <f t="shared" si="198"/>
        <v>0</v>
      </c>
      <c r="BS229" s="15">
        <f t="shared" si="167"/>
        <v>0</v>
      </c>
      <c r="BU229" s="14">
        <v>186</v>
      </c>
      <c r="BV229" s="15">
        <f t="shared" si="168"/>
        <v>16</v>
      </c>
      <c r="BW229" s="16">
        <f>(1+INDEX('1 - Input'!$B$34:$E$63,BV229,'1 - Input'!$B$16))^(1/12)-1</f>
        <v>4.1219243192651689E-3</v>
      </c>
      <c r="BX229" s="17">
        <f>'1 - Input'!$B$7*(1+'1 - Input'!$B$12)^(BV229-1)</f>
        <v>3633.8445134751487</v>
      </c>
      <c r="BY229" s="17">
        <f t="shared" si="199"/>
        <v>137662.78557800359</v>
      </c>
      <c r="BZ229" s="17">
        <f t="shared" si="200"/>
        <v>0</v>
      </c>
      <c r="CA229" s="17">
        <f t="shared" si="169"/>
        <v>138230.22116173536</v>
      </c>
      <c r="CB229" s="17">
        <f>IF(CA229&gt;0,'1 - Input'!$B$8/12*CA229,0)</f>
        <v>1036.7266587130152</v>
      </c>
      <c r="CC229" s="17">
        <f t="shared" si="170"/>
        <v>137193.49450302235</v>
      </c>
      <c r="CD229" s="17">
        <f t="shared" si="171"/>
        <v>0</v>
      </c>
      <c r="CE229" s="17">
        <f>'1 - Input'!$B$22*(CB229-CD229)</f>
        <v>269.548931265384</v>
      </c>
      <c r="CF229" s="17">
        <f t="shared" si="172"/>
        <v>767.17772744763124</v>
      </c>
      <c r="CG229" s="17">
        <f t="shared" si="173"/>
        <v>0</v>
      </c>
      <c r="CH229" s="17">
        <f>IF('1 - Input'!$B$17=1,MAX(0,CF229-BX229),0)</f>
        <v>0</v>
      </c>
      <c r="CI229" s="17">
        <f>IF('1 - Input'!$B$17=1,MAX(0,BX229-CF229),0)</f>
        <v>2866.6667860275174</v>
      </c>
      <c r="CJ229" s="17">
        <f t="shared" si="174"/>
        <v>1</v>
      </c>
      <c r="CK229" s="17">
        <f>IF(AND(CI229&gt;0,CC229&gt;0),CI229/(1-'1 - Input'!$B$22*CJ229),0)</f>
        <v>3873.8740351723209</v>
      </c>
      <c r="CL229" s="17">
        <f t="shared" si="175"/>
        <v>3873.8740351723209</v>
      </c>
      <c r="CM229" s="17">
        <f>'1 - Input'!$B$22*CJ229*CL229</f>
        <v>1007.2072491448034</v>
      </c>
      <c r="CN229" s="17">
        <f t="shared" si="176"/>
        <v>2866.6667860275174</v>
      </c>
      <c r="CO229" s="17">
        <f t="shared" si="177"/>
        <v>0</v>
      </c>
      <c r="CP229" s="17">
        <f t="shared" si="178"/>
        <v>0</v>
      </c>
      <c r="CQ229" s="17">
        <f t="shared" si="179"/>
        <v>133319.62046785004</v>
      </c>
      <c r="CR229" s="17">
        <f t="shared" si="180"/>
        <v>0</v>
      </c>
      <c r="CS229" s="17">
        <f>IF(MOD(BU229,12)=0,CQ229*'1 - Input'!$B$23,0)</f>
        <v>0</v>
      </c>
      <c r="CT229" s="17">
        <f t="shared" si="181"/>
        <v>133319.62046785004</v>
      </c>
      <c r="CU229" s="17">
        <f>IF(MOD(BU229,12)=0,CR229*(1-'1 - Input'!$B$23),CR229)</f>
        <v>0</v>
      </c>
      <c r="CV229" s="17">
        <f>IF('1 - Input'!$B$17=1,MIN(CF229,BX229)+CN229,CF229)</f>
        <v>3633.8445134751487</v>
      </c>
      <c r="CW229" s="17">
        <f t="shared" si="201"/>
        <v>582109.77516594029</v>
      </c>
      <c r="CX229" s="17">
        <f t="shared" si="202"/>
        <v>2120.36744379019</v>
      </c>
      <c r="CY229" s="17">
        <f t="shared" si="203"/>
        <v>33702.034717455143</v>
      </c>
      <c r="CZ229" s="17">
        <f t="shared" si="204"/>
        <v>0</v>
      </c>
      <c r="DA229" s="17">
        <f t="shared" si="205"/>
        <v>10639.193349100769</v>
      </c>
      <c r="DB229" s="17">
        <f t="shared" si="206"/>
        <v>0</v>
      </c>
      <c r="DC229" s="15">
        <f t="shared" si="182"/>
        <v>0</v>
      </c>
    </row>
    <row r="230" spans="1:107">
      <c r="A230" s="14">
        <v>187</v>
      </c>
      <c r="B230" s="15">
        <f t="shared" si="138"/>
        <v>16</v>
      </c>
      <c r="C230" s="16">
        <f>(1+INDEX('1 - Input'!$B$34:$E$63,B230,'1 - Input'!$B$16))^(1/12)-1</f>
        <v>4.1219243192651689E-3</v>
      </c>
      <c r="D230" s="17">
        <f>'1 - Input'!$B$7*(1+'1 - Input'!$B$12)^(B230-1)</f>
        <v>3633.8445134751487</v>
      </c>
      <c r="E230" s="17">
        <f t="shared" si="183"/>
        <v>8342.4961063356131</v>
      </c>
      <c r="F230" s="17">
        <f t="shared" si="184"/>
        <v>15744.91969285539</v>
      </c>
      <c r="G230" s="17">
        <f t="shared" si="139"/>
        <v>8376.8832439196922</v>
      </c>
      <c r="H230" s="17">
        <f>IF(G230&gt;0,'1 - Input'!$B$8/12*G230,0)</f>
        <v>62.826624329397688</v>
      </c>
      <c r="I230" s="17">
        <f t="shared" si="140"/>
        <v>8314.0566195902938</v>
      </c>
      <c r="J230" s="17">
        <f t="shared" si="141"/>
        <v>0</v>
      </c>
      <c r="K230" s="17">
        <f>'1 - Input'!$B$22*(H230-J230)</f>
        <v>16.334922325643401</v>
      </c>
      <c r="L230" s="17">
        <f t="shared" si="142"/>
        <v>46.491702003754284</v>
      </c>
      <c r="M230" s="17">
        <f t="shared" si="143"/>
        <v>15744.91969285539</v>
      </c>
      <c r="N230" s="17">
        <f>IF('1 - Input'!$B$17=1,MAX(0,L230-D230),0)</f>
        <v>0</v>
      </c>
      <c r="O230" s="17">
        <f>IF('1 - Input'!$B$17=1,MAX(0,D230-L230),0)</f>
        <v>3587.3528114713945</v>
      </c>
      <c r="P230" s="17">
        <f t="shared" si="144"/>
        <v>0</v>
      </c>
      <c r="Q230" s="17">
        <f>IF(AND(O230&gt;0,I230&gt;0),O230/(1-'1 - Input'!$B$22*P230),0)</f>
        <v>3587.3528114713945</v>
      </c>
      <c r="R230" s="17">
        <f t="shared" si="145"/>
        <v>3587.3528114713945</v>
      </c>
      <c r="S230" s="17">
        <f>'1 - Input'!$B$22*P230*R230</f>
        <v>0</v>
      </c>
      <c r="T230" s="17">
        <f t="shared" si="146"/>
        <v>3587.3528114713945</v>
      </c>
      <c r="U230" s="17">
        <f t="shared" si="147"/>
        <v>0</v>
      </c>
      <c r="V230" s="17">
        <f t="shared" si="148"/>
        <v>3206.2720711721754</v>
      </c>
      <c r="W230" s="17">
        <f t="shared" si="149"/>
        <v>4726.7038081188994</v>
      </c>
      <c r="X230" s="17">
        <f t="shared" si="150"/>
        <v>8951.2948102118189</v>
      </c>
      <c r="Y230" s="17">
        <f>IF(MOD(A230,12)=0,W230*'1 - Input'!$B$23,0)</f>
        <v>0</v>
      </c>
      <c r="Z230" s="17">
        <f t="shared" si="151"/>
        <v>4726.7038081188994</v>
      </c>
      <c r="AA230" s="17">
        <f>IF(MOD(A230,12)=0,X230*(1-'1 - Input'!$B$23),X230)</f>
        <v>8951.2948102118189</v>
      </c>
      <c r="AB230" s="17">
        <f>IF('1 - Input'!$B$17=1,MIN(L230,D230)+T230,L230)</f>
        <v>3633.8445134751487</v>
      </c>
      <c r="AC230" s="17">
        <f t="shared" si="185"/>
        <v>585743.61967941548</v>
      </c>
      <c r="AD230" s="17">
        <f t="shared" si="186"/>
        <v>101430.48685568466</v>
      </c>
      <c r="AE230" s="17">
        <f t="shared" si="187"/>
        <v>0</v>
      </c>
      <c r="AF230" s="17">
        <f t="shared" si="188"/>
        <v>170044.77586121028</v>
      </c>
      <c r="AG230" s="17">
        <f t="shared" si="189"/>
        <v>8123.5662772395826</v>
      </c>
      <c r="AH230" s="17">
        <f t="shared" si="190"/>
        <v>0</v>
      </c>
      <c r="AI230" s="15">
        <f t="shared" si="152"/>
        <v>0</v>
      </c>
      <c r="AK230" s="14">
        <v>187</v>
      </c>
      <c r="AL230" s="15">
        <f t="shared" si="153"/>
        <v>16</v>
      </c>
      <c r="AM230" s="16">
        <f>(1+INDEX('1 - Input'!$B$34:$E$63,AL230,'1 - Input'!$B$16))^(1/12)-1</f>
        <v>4.1219243192651689E-3</v>
      </c>
      <c r="AN230" s="17">
        <f>'1 - Input'!$B$7*(1+'1 - Input'!$B$12)^(AL230-1)</f>
        <v>3633.8445134751487</v>
      </c>
      <c r="AO230" s="17">
        <f t="shared" si="191"/>
        <v>8342.4961063356131</v>
      </c>
      <c r="AP230" s="17">
        <f t="shared" si="192"/>
        <v>15744.91969285539</v>
      </c>
      <c r="AQ230" s="17">
        <f t="shared" si="154"/>
        <v>8376.8832439196922</v>
      </c>
      <c r="AR230" s="17">
        <f>IF(AQ230&gt;0,'1 - Input'!$B$8/12*AQ230,0)</f>
        <v>62.826624329397688</v>
      </c>
      <c r="AS230" s="17">
        <f t="shared" si="155"/>
        <v>8314.0566195902938</v>
      </c>
      <c r="AT230" s="17">
        <f t="shared" si="156"/>
        <v>0</v>
      </c>
      <c r="AU230" s="17">
        <f>'1 - Input'!$B$22*(AR230-AT230)</f>
        <v>16.334922325643401</v>
      </c>
      <c r="AV230" s="17">
        <f t="shared" si="157"/>
        <v>46.491702003754284</v>
      </c>
      <c r="AW230" s="17">
        <f t="shared" si="158"/>
        <v>15744.91969285539</v>
      </c>
      <c r="AX230" s="17">
        <f>IF('1 - Input'!$B$17=1,MAX(0,AV230-AN230),0)</f>
        <v>0</v>
      </c>
      <c r="AY230" s="17">
        <f>IF('1 - Input'!$B$17=1,MAX(0,AN230-AV230),0)</f>
        <v>3587.3528114713945</v>
      </c>
      <c r="AZ230" s="17">
        <f t="shared" si="159"/>
        <v>0</v>
      </c>
      <c r="BA230" s="17">
        <f>IF(AND(AY230&gt;0,AS230&gt;0),AY230/(1-'1 - Input'!$B$22*AZ230),0)</f>
        <v>3587.3528114713945</v>
      </c>
      <c r="BB230" s="17">
        <f t="shared" si="160"/>
        <v>3587.3528114713945</v>
      </c>
      <c r="BC230" s="17">
        <f>'1 - Input'!$B$22*AZ230*BB230</f>
        <v>0</v>
      </c>
      <c r="BD230" s="17">
        <f t="shared" si="161"/>
        <v>3587.3528114713945</v>
      </c>
      <c r="BE230" s="17">
        <f t="shared" si="162"/>
        <v>0</v>
      </c>
      <c r="BF230" s="17">
        <f t="shared" si="163"/>
        <v>3206.2720711721754</v>
      </c>
      <c r="BG230" s="17">
        <f t="shared" si="164"/>
        <v>4726.7038081188994</v>
      </c>
      <c r="BH230" s="17">
        <f t="shared" si="165"/>
        <v>8951.2948102118189</v>
      </c>
      <c r="BI230" s="17">
        <f>IF(MOD(AK230,12)=0,BG230*'1 - Input'!$B$23,0)</f>
        <v>0</v>
      </c>
      <c r="BJ230" s="17">
        <f t="shared" si="166"/>
        <v>4726.7038081188994</v>
      </c>
      <c r="BK230" s="17">
        <f>IF(MOD(AK230,12)=0,BH230*(1-'1 - Input'!$B$23),BH230)</f>
        <v>8951.2948102118189</v>
      </c>
      <c r="BL230" s="17">
        <f>IF('1 - Input'!$B$17=1,MIN(AV230,AN230)+BD230,AV230)</f>
        <v>3633.8445134751487</v>
      </c>
      <c r="BM230" s="17">
        <f t="shared" si="193"/>
        <v>585743.61967941548</v>
      </c>
      <c r="BN230" s="17">
        <f t="shared" si="194"/>
        <v>101430.48685568466</v>
      </c>
      <c r="BO230" s="17">
        <f t="shared" si="195"/>
        <v>0</v>
      </c>
      <c r="BP230" s="17">
        <f t="shared" si="196"/>
        <v>170044.77586121028</v>
      </c>
      <c r="BQ230" s="17">
        <f t="shared" si="197"/>
        <v>8123.5662772395826</v>
      </c>
      <c r="BR230" s="17">
        <f t="shared" si="198"/>
        <v>0</v>
      </c>
      <c r="BS230" s="15">
        <f t="shared" si="167"/>
        <v>0</v>
      </c>
      <c r="BU230" s="14">
        <v>187</v>
      </c>
      <c r="BV230" s="15">
        <f t="shared" si="168"/>
        <v>16</v>
      </c>
      <c r="BW230" s="16">
        <f>(1+INDEX('1 - Input'!$B$34:$E$63,BV230,'1 - Input'!$B$16))^(1/12)-1</f>
        <v>4.1219243192651689E-3</v>
      </c>
      <c r="BX230" s="17">
        <f>'1 - Input'!$B$7*(1+'1 - Input'!$B$12)^(BV230-1)</f>
        <v>3633.8445134751487</v>
      </c>
      <c r="BY230" s="17">
        <f t="shared" si="199"/>
        <v>133319.62046785004</v>
      </c>
      <c r="BZ230" s="17">
        <f t="shared" si="200"/>
        <v>0</v>
      </c>
      <c r="CA230" s="17">
        <f t="shared" si="169"/>
        <v>133869.15385369168</v>
      </c>
      <c r="CB230" s="17">
        <f>IF(CA230&gt;0,'1 - Input'!$B$8/12*CA230,0)</f>
        <v>1004.0186539026876</v>
      </c>
      <c r="CC230" s="17">
        <f t="shared" si="170"/>
        <v>132865.13519978899</v>
      </c>
      <c r="CD230" s="17">
        <f t="shared" si="171"/>
        <v>0</v>
      </c>
      <c r="CE230" s="17">
        <f>'1 - Input'!$B$22*(CB230-CD230)</f>
        <v>261.0448500146988</v>
      </c>
      <c r="CF230" s="17">
        <f t="shared" si="172"/>
        <v>742.97380388798877</v>
      </c>
      <c r="CG230" s="17">
        <f t="shared" si="173"/>
        <v>0</v>
      </c>
      <c r="CH230" s="17">
        <f>IF('1 - Input'!$B$17=1,MAX(0,CF230-BX230),0)</f>
        <v>0</v>
      </c>
      <c r="CI230" s="17">
        <f>IF('1 - Input'!$B$17=1,MAX(0,BX230-CF230),0)</f>
        <v>2890.87070958716</v>
      </c>
      <c r="CJ230" s="17">
        <f t="shared" si="174"/>
        <v>1</v>
      </c>
      <c r="CK230" s="17">
        <f>IF(AND(CI230&gt;0,CC230&gt;0),CI230/(1-'1 - Input'!$B$22*CJ230),0)</f>
        <v>3906.5820399826489</v>
      </c>
      <c r="CL230" s="17">
        <f t="shared" si="175"/>
        <v>3906.5820399826489</v>
      </c>
      <c r="CM230" s="17">
        <f>'1 - Input'!$B$22*CJ230*CL230</f>
        <v>1015.7113303954887</v>
      </c>
      <c r="CN230" s="17">
        <f t="shared" si="176"/>
        <v>2890.87070958716</v>
      </c>
      <c r="CO230" s="17">
        <f t="shared" si="177"/>
        <v>0</v>
      </c>
      <c r="CP230" s="17">
        <f t="shared" si="178"/>
        <v>0</v>
      </c>
      <c r="CQ230" s="17">
        <f t="shared" si="179"/>
        <v>128958.55315980634</v>
      </c>
      <c r="CR230" s="17">
        <f t="shared" si="180"/>
        <v>0</v>
      </c>
      <c r="CS230" s="17">
        <f>IF(MOD(BU230,12)=0,CQ230*'1 - Input'!$B$23,0)</f>
        <v>0</v>
      </c>
      <c r="CT230" s="17">
        <f t="shared" si="181"/>
        <v>128958.55315980634</v>
      </c>
      <c r="CU230" s="17">
        <f>IF(MOD(BU230,12)=0,CR230*(1-'1 - Input'!$B$23),CR230)</f>
        <v>0</v>
      </c>
      <c r="CV230" s="17">
        <f>IF('1 - Input'!$B$17=1,MIN(CF230,BX230)+CN230,CF230)</f>
        <v>3633.8445134751487</v>
      </c>
      <c r="CW230" s="17">
        <f t="shared" si="201"/>
        <v>585743.61967941548</v>
      </c>
      <c r="CX230" s="17">
        <f t="shared" si="202"/>
        <v>2381.4122938048886</v>
      </c>
      <c r="CY230" s="17">
        <f t="shared" si="203"/>
        <v>34717.746047850633</v>
      </c>
      <c r="CZ230" s="17">
        <f t="shared" si="204"/>
        <v>0</v>
      </c>
      <c r="DA230" s="17">
        <f t="shared" si="205"/>
        <v>10639.193349100769</v>
      </c>
      <c r="DB230" s="17">
        <f t="shared" si="206"/>
        <v>0</v>
      </c>
      <c r="DC230" s="15">
        <f t="shared" si="182"/>
        <v>0</v>
      </c>
    </row>
    <row r="231" spans="1:107">
      <c r="A231" s="14">
        <v>188</v>
      </c>
      <c r="B231" s="15">
        <f t="shared" si="138"/>
        <v>16</v>
      </c>
      <c r="C231" s="16">
        <f>(1+INDEX('1 - Input'!$B$34:$E$63,B231,'1 - Input'!$B$16))^(1/12)-1</f>
        <v>4.1219243192651689E-3</v>
      </c>
      <c r="D231" s="17">
        <f>'1 - Input'!$B$7*(1+'1 - Input'!$B$12)^(B231-1)</f>
        <v>3633.8445134751487</v>
      </c>
      <c r="E231" s="17">
        <f t="shared" si="183"/>
        <v>4726.7038081188994</v>
      </c>
      <c r="F231" s="17">
        <f t="shared" si="184"/>
        <v>8951.2948102118189</v>
      </c>
      <c r="G231" s="17">
        <f t="shared" si="139"/>
        <v>4746.1869234955475</v>
      </c>
      <c r="H231" s="17">
        <f>IF(G231&gt;0,'1 - Input'!$B$8/12*G231,0)</f>
        <v>35.596401926216608</v>
      </c>
      <c r="I231" s="17">
        <f t="shared" si="140"/>
        <v>4710.590521569331</v>
      </c>
      <c r="J231" s="17">
        <f t="shared" si="141"/>
        <v>0</v>
      </c>
      <c r="K231" s="17">
        <f>'1 - Input'!$B$22*(H231-J231)</f>
        <v>9.255064500816319</v>
      </c>
      <c r="L231" s="17">
        <f t="shared" si="142"/>
        <v>26.34133742540029</v>
      </c>
      <c r="M231" s="17">
        <f t="shared" si="143"/>
        <v>8951.2948102118189</v>
      </c>
      <c r="N231" s="17">
        <f>IF('1 - Input'!$B$17=1,MAX(0,L231-D231),0)</f>
        <v>0</v>
      </c>
      <c r="O231" s="17">
        <f>IF('1 - Input'!$B$17=1,MAX(0,D231-L231),0)</f>
        <v>3607.5031760497486</v>
      </c>
      <c r="P231" s="17">
        <f t="shared" si="144"/>
        <v>0</v>
      </c>
      <c r="Q231" s="17">
        <f>IF(AND(O231&gt;0,I231&gt;0),O231/(1-'1 - Input'!$B$22*P231),0)</f>
        <v>3607.5031760497486</v>
      </c>
      <c r="R231" s="17">
        <f t="shared" si="145"/>
        <v>3607.5031760497486</v>
      </c>
      <c r="S231" s="17">
        <f>'1 - Input'!$B$22*P231*R231</f>
        <v>0</v>
      </c>
      <c r="T231" s="17">
        <f t="shared" si="146"/>
        <v>3607.5031760497486</v>
      </c>
      <c r="U231" s="17">
        <f t="shared" si="147"/>
        <v>0</v>
      </c>
      <c r="V231" s="17">
        <f t="shared" si="148"/>
        <v>3247.6510365135546</v>
      </c>
      <c r="W231" s="17">
        <f t="shared" si="149"/>
        <v>1103.0873455195824</v>
      </c>
      <c r="X231" s="17">
        <f t="shared" si="150"/>
        <v>2096.1405976485153</v>
      </c>
      <c r="Y231" s="17">
        <f>IF(MOD(A231,12)=0,W231*'1 - Input'!$B$23,0)</f>
        <v>0</v>
      </c>
      <c r="Z231" s="17">
        <f t="shared" si="151"/>
        <v>1103.0873455195824</v>
      </c>
      <c r="AA231" s="17">
        <f>IF(MOD(A231,12)=0,X231*(1-'1 - Input'!$B$23),X231)</f>
        <v>2096.1405976485153</v>
      </c>
      <c r="AB231" s="17">
        <f>IF('1 - Input'!$B$17=1,MIN(L231,D231)+T231,L231)</f>
        <v>3633.8445134751487</v>
      </c>
      <c r="AC231" s="17">
        <f t="shared" si="185"/>
        <v>589377.46419289068</v>
      </c>
      <c r="AD231" s="17">
        <f t="shared" si="186"/>
        <v>101439.74192018548</v>
      </c>
      <c r="AE231" s="17">
        <f t="shared" si="187"/>
        <v>0</v>
      </c>
      <c r="AF231" s="17">
        <f t="shared" si="188"/>
        <v>173292.42689772384</v>
      </c>
      <c r="AG231" s="17">
        <f t="shared" si="189"/>
        <v>8123.5662772395826</v>
      </c>
      <c r="AH231" s="17">
        <f t="shared" si="190"/>
        <v>0</v>
      </c>
      <c r="AI231" s="15">
        <f t="shared" si="152"/>
        <v>0</v>
      </c>
      <c r="AK231" s="14">
        <v>188</v>
      </c>
      <c r="AL231" s="15">
        <f t="shared" si="153"/>
        <v>16</v>
      </c>
      <c r="AM231" s="16">
        <f>(1+INDEX('1 - Input'!$B$34:$E$63,AL231,'1 - Input'!$B$16))^(1/12)-1</f>
        <v>4.1219243192651689E-3</v>
      </c>
      <c r="AN231" s="17">
        <f>'1 - Input'!$B$7*(1+'1 - Input'!$B$12)^(AL231-1)</f>
        <v>3633.8445134751487</v>
      </c>
      <c r="AO231" s="17">
        <f t="shared" si="191"/>
        <v>4726.7038081188994</v>
      </c>
      <c r="AP231" s="17">
        <f t="shared" si="192"/>
        <v>8951.2948102118189</v>
      </c>
      <c r="AQ231" s="17">
        <f t="shared" si="154"/>
        <v>4746.1869234955475</v>
      </c>
      <c r="AR231" s="17">
        <f>IF(AQ231&gt;0,'1 - Input'!$B$8/12*AQ231,0)</f>
        <v>35.596401926216608</v>
      </c>
      <c r="AS231" s="17">
        <f t="shared" si="155"/>
        <v>4710.590521569331</v>
      </c>
      <c r="AT231" s="17">
        <f t="shared" si="156"/>
        <v>0</v>
      </c>
      <c r="AU231" s="17">
        <f>'1 - Input'!$B$22*(AR231-AT231)</f>
        <v>9.255064500816319</v>
      </c>
      <c r="AV231" s="17">
        <f t="shared" si="157"/>
        <v>26.34133742540029</v>
      </c>
      <c r="AW231" s="17">
        <f t="shared" si="158"/>
        <v>8951.2948102118189</v>
      </c>
      <c r="AX231" s="17">
        <f>IF('1 - Input'!$B$17=1,MAX(0,AV231-AN231),0)</f>
        <v>0</v>
      </c>
      <c r="AY231" s="17">
        <f>IF('1 - Input'!$B$17=1,MAX(0,AN231-AV231),0)</f>
        <v>3607.5031760497486</v>
      </c>
      <c r="AZ231" s="17">
        <f t="shared" si="159"/>
        <v>0</v>
      </c>
      <c r="BA231" s="17">
        <f>IF(AND(AY231&gt;0,AS231&gt;0),AY231/(1-'1 - Input'!$B$22*AZ231),0)</f>
        <v>3607.5031760497486</v>
      </c>
      <c r="BB231" s="17">
        <f t="shared" si="160"/>
        <v>3607.5031760497486</v>
      </c>
      <c r="BC231" s="17">
        <f>'1 - Input'!$B$22*AZ231*BB231</f>
        <v>0</v>
      </c>
      <c r="BD231" s="17">
        <f t="shared" si="161"/>
        <v>3607.5031760497486</v>
      </c>
      <c r="BE231" s="17">
        <f t="shared" si="162"/>
        <v>0</v>
      </c>
      <c r="BF231" s="17">
        <f t="shared" si="163"/>
        <v>3247.6510365135546</v>
      </c>
      <c r="BG231" s="17">
        <f t="shared" si="164"/>
        <v>1103.0873455195824</v>
      </c>
      <c r="BH231" s="17">
        <f t="shared" si="165"/>
        <v>2096.1405976485153</v>
      </c>
      <c r="BI231" s="17">
        <f>IF(MOD(AK231,12)=0,BG231*'1 - Input'!$B$23,0)</f>
        <v>0</v>
      </c>
      <c r="BJ231" s="17">
        <f t="shared" si="166"/>
        <v>1103.0873455195824</v>
      </c>
      <c r="BK231" s="17">
        <f>IF(MOD(AK231,12)=0,BH231*(1-'1 - Input'!$B$23),BH231)</f>
        <v>2096.1405976485153</v>
      </c>
      <c r="BL231" s="17">
        <f>IF('1 - Input'!$B$17=1,MIN(AV231,AN231)+BD231,AV231)</f>
        <v>3633.8445134751487</v>
      </c>
      <c r="BM231" s="17">
        <f t="shared" si="193"/>
        <v>589377.46419289068</v>
      </c>
      <c r="BN231" s="17">
        <f t="shared" si="194"/>
        <v>101439.74192018548</v>
      </c>
      <c r="BO231" s="17">
        <f t="shared" si="195"/>
        <v>0</v>
      </c>
      <c r="BP231" s="17">
        <f t="shared" si="196"/>
        <v>173292.42689772384</v>
      </c>
      <c r="BQ231" s="17">
        <f t="shared" si="197"/>
        <v>8123.5662772395826</v>
      </c>
      <c r="BR231" s="17">
        <f t="shared" si="198"/>
        <v>0</v>
      </c>
      <c r="BS231" s="15">
        <f t="shared" si="167"/>
        <v>0</v>
      </c>
      <c r="BU231" s="14">
        <v>188</v>
      </c>
      <c r="BV231" s="15">
        <f t="shared" si="168"/>
        <v>16</v>
      </c>
      <c r="BW231" s="16">
        <f>(1+INDEX('1 - Input'!$B$34:$E$63,BV231,'1 - Input'!$B$16))^(1/12)-1</f>
        <v>4.1219243192651689E-3</v>
      </c>
      <c r="BX231" s="17">
        <f>'1 - Input'!$B$7*(1+'1 - Input'!$B$12)^(BV231-1)</f>
        <v>3633.8445134751487</v>
      </c>
      <c r="BY231" s="17">
        <f t="shared" si="199"/>
        <v>128958.55315980634</v>
      </c>
      <c r="BZ231" s="17">
        <f t="shared" si="200"/>
        <v>0</v>
      </c>
      <c r="CA231" s="17">
        <f t="shared" si="169"/>
        <v>129490.110556253</v>
      </c>
      <c r="CB231" s="17">
        <f>IF(CA231&gt;0,'1 - Input'!$B$8/12*CA231,0)</f>
        <v>971.17582917189748</v>
      </c>
      <c r="CC231" s="17">
        <f t="shared" si="170"/>
        <v>128518.9347270811</v>
      </c>
      <c r="CD231" s="17">
        <f t="shared" si="171"/>
        <v>0</v>
      </c>
      <c r="CE231" s="17">
        <f>'1 - Input'!$B$22*(CB231-CD231)</f>
        <v>252.50571558469335</v>
      </c>
      <c r="CF231" s="17">
        <f t="shared" si="172"/>
        <v>718.67011358720413</v>
      </c>
      <c r="CG231" s="17">
        <f t="shared" si="173"/>
        <v>0</v>
      </c>
      <c r="CH231" s="17">
        <f>IF('1 - Input'!$B$17=1,MAX(0,CF231-BX231),0)</f>
        <v>0</v>
      </c>
      <c r="CI231" s="17">
        <f>IF('1 - Input'!$B$17=1,MAX(0,BX231-CF231),0)</f>
        <v>2915.1743998879447</v>
      </c>
      <c r="CJ231" s="17">
        <f t="shared" si="174"/>
        <v>1</v>
      </c>
      <c r="CK231" s="17">
        <f>IF(AND(CI231&gt;0,CC231&gt;0),CI231/(1-'1 - Input'!$B$22*CJ231),0)</f>
        <v>3939.4248647134386</v>
      </c>
      <c r="CL231" s="17">
        <f t="shared" si="175"/>
        <v>3939.4248647134386</v>
      </c>
      <c r="CM231" s="17">
        <f>'1 - Input'!$B$22*CJ231*CL231</f>
        <v>1024.2504648254942</v>
      </c>
      <c r="CN231" s="17">
        <f t="shared" si="176"/>
        <v>2915.1743998879447</v>
      </c>
      <c r="CO231" s="17">
        <f t="shared" si="177"/>
        <v>0</v>
      </c>
      <c r="CP231" s="17">
        <f t="shared" si="178"/>
        <v>0</v>
      </c>
      <c r="CQ231" s="17">
        <f t="shared" si="179"/>
        <v>124579.50986236766</v>
      </c>
      <c r="CR231" s="17">
        <f t="shared" si="180"/>
        <v>0</v>
      </c>
      <c r="CS231" s="17">
        <f>IF(MOD(BU231,12)=0,CQ231*'1 - Input'!$B$23,0)</f>
        <v>0</v>
      </c>
      <c r="CT231" s="17">
        <f t="shared" si="181"/>
        <v>124579.50986236766</v>
      </c>
      <c r="CU231" s="17">
        <f>IF(MOD(BU231,12)=0,CR231*(1-'1 - Input'!$B$23),CR231)</f>
        <v>0</v>
      </c>
      <c r="CV231" s="17">
        <f>IF('1 - Input'!$B$17=1,MIN(CF231,BX231)+CN231,CF231)</f>
        <v>3633.8445134751487</v>
      </c>
      <c r="CW231" s="17">
        <f t="shared" si="201"/>
        <v>589377.46419289068</v>
      </c>
      <c r="CX231" s="17">
        <f t="shared" si="202"/>
        <v>2633.918009389582</v>
      </c>
      <c r="CY231" s="17">
        <f t="shared" si="203"/>
        <v>35741.996512676124</v>
      </c>
      <c r="CZ231" s="17">
        <f t="shared" si="204"/>
        <v>0</v>
      </c>
      <c r="DA231" s="17">
        <f t="shared" si="205"/>
        <v>10639.193349100769</v>
      </c>
      <c r="DB231" s="17">
        <f t="shared" si="206"/>
        <v>0</v>
      </c>
      <c r="DC231" s="15">
        <f t="shared" si="182"/>
        <v>0</v>
      </c>
    </row>
    <row r="232" spans="1:107">
      <c r="A232" s="14">
        <v>189</v>
      </c>
      <c r="B232" s="15">
        <f t="shared" si="138"/>
        <v>16</v>
      </c>
      <c r="C232" s="16">
        <f>(1+INDEX('1 - Input'!$B$34:$E$63,B232,'1 - Input'!$B$16))^(1/12)-1</f>
        <v>4.1219243192651689E-3</v>
      </c>
      <c r="D232" s="17">
        <f>'1 - Input'!$B$7*(1+'1 - Input'!$B$12)^(B232-1)</f>
        <v>3633.8445134751487</v>
      </c>
      <c r="E232" s="17">
        <f t="shared" si="183"/>
        <v>1103.0873455195824</v>
      </c>
      <c r="F232" s="17">
        <f t="shared" si="184"/>
        <v>2096.1405976485153</v>
      </c>
      <c r="G232" s="17">
        <f t="shared" si="139"/>
        <v>1107.6341880753532</v>
      </c>
      <c r="H232" s="17">
        <f>IF(G232&gt;0,'1 - Input'!$B$8/12*G232,0)</f>
        <v>8.3072564105651487</v>
      </c>
      <c r="I232" s="17">
        <f t="shared" si="140"/>
        <v>1099.3269316647882</v>
      </c>
      <c r="J232" s="17">
        <f t="shared" si="141"/>
        <v>0</v>
      </c>
      <c r="K232" s="17">
        <f>'1 - Input'!$B$22*(H232-J232)</f>
        <v>2.1598866667469387</v>
      </c>
      <c r="L232" s="17">
        <f t="shared" si="142"/>
        <v>6.14736974381821</v>
      </c>
      <c r="M232" s="17">
        <f t="shared" si="143"/>
        <v>2096.1405976485153</v>
      </c>
      <c r="N232" s="17">
        <f>IF('1 - Input'!$B$17=1,MAX(0,L232-D232),0)</f>
        <v>0</v>
      </c>
      <c r="O232" s="17">
        <f>IF('1 - Input'!$B$17=1,MAX(0,D232-L232),0)</f>
        <v>3627.6971437313305</v>
      </c>
      <c r="P232" s="17">
        <f t="shared" si="144"/>
        <v>0</v>
      </c>
      <c r="Q232" s="17">
        <f>IF(AND(O232&gt;0,I232&gt;0),O232/(1-'1 - Input'!$B$22*P232),0)</f>
        <v>3627.6971437313305</v>
      </c>
      <c r="R232" s="17">
        <f t="shared" si="145"/>
        <v>1099.3269316647882</v>
      </c>
      <c r="S232" s="17">
        <f>'1 - Input'!$B$22*P232*R232</f>
        <v>0</v>
      </c>
      <c r="T232" s="17">
        <f t="shared" si="146"/>
        <v>1099.3269316647882</v>
      </c>
      <c r="U232" s="17">
        <f t="shared" si="147"/>
        <v>2528.3702120665421</v>
      </c>
      <c r="V232" s="17">
        <f t="shared" si="148"/>
        <v>996.81366598372722</v>
      </c>
      <c r="W232" s="17">
        <f t="shared" si="149"/>
        <v>0</v>
      </c>
      <c r="X232" s="17">
        <f t="shared" si="150"/>
        <v>0</v>
      </c>
      <c r="Y232" s="17">
        <f>IF(MOD(A232,12)=0,W232*'1 - Input'!$B$23,0)</f>
        <v>0</v>
      </c>
      <c r="Z232" s="17">
        <f t="shared" si="151"/>
        <v>0</v>
      </c>
      <c r="AA232" s="17">
        <f>IF(MOD(A232,12)=0,X232*(1-'1 - Input'!$B$23),X232)</f>
        <v>0</v>
      </c>
      <c r="AB232" s="17">
        <f>IF('1 - Input'!$B$17=1,MIN(L232,D232)+T232,L232)</f>
        <v>1105.4743014086064</v>
      </c>
      <c r="AC232" s="17">
        <f t="shared" si="185"/>
        <v>590482.93849429931</v>
      </c>
      <c r="AD232" s="17">
        <f t="shared" si="186"/>
        <v>101441.90180685223</v>
      </c>
      <c r="AE232" s="17">
        <f t="shared" si="187"/>
        <v>0</v>
      </c>
      <c r="AF232" s="17">
        <f t="shared" si="188"/>
        <v>174289.24056370757</v>
      </c>
      <c r="AG232" s="17">
        <f t="shared" si="189"/>
        <v>8123.5662772395826</v>
      </c>
      <c r="AH232" s="17">
        <f t="shared" si="190"/>
        <v>2528.3702120665421</v>
      </c>
      <c r="AI232" s="15">
        <f t="shared" si="152"/>
        <v>1</v>
      </c>
      <c r="AK232" s="14">
        <v>189</v>
      </c>
      <c r="AL232" s="15">
        <f t="shared" si="153"/>
        <v>16</v>
      </c>
      <c r="AM232" s="16">
        <f>(1+INDEX('1 - Input'!$B$34:$E$63,AL232,'1 - Input'!$B$16))^(1/12)-1</f>
        <v>4.1219243192651689E-3</v>
      </c>
      <c r="AN232" s="17">
        <f>'1 - Input'!$B$7*(1+'1 - Input'!$B$12)^(AL232-1)</f>
        <v>3633.8445134751487</v>
      </c>
      <c r="AO232" s="17">
        <f t="shared" si="191"/>
        <v>1103.0873455195824</v>
      </c>
      <c r="AP232" s="17">
        <f t="shared" si="192"/>
        <v>2096.1405976485153</v>
      </c>
      <c r="AQ232" s="17">
        <f t="shared" si="154"/>
        <v>1107.6341880753532</v>
      </c>
      <c r="AR232" s="17">
        <f>IF(AQ232&gt;0,'1 - Input'!$B$8/12*AQ232,0)</f>
        <v>8.3072564105651487</v>
      </c>
      <c r="AS232" s="17">
        <f t="shared" si="155"/>
        <v>1099.3269316647882</v>
      </c>
      <c r="AT232" s="17">
        <f t="shared" si="156"/>
        <v>0</v>
      </c>
      <c r="AU232" s="17">
        <f>'1 - Input'!$B$22*(AR232-AT232)</f>
        <v>2.1598866667469387</v>
      </c>
      <c r="AV232" s="17">
        <f t="shared" si="157"/>
        <v>6.14736974381821</v>
      </c>
      <c r="AW232" s="17">
        <f t="shared" si="158"/>
        <v>2096.1405976485153</v>
      </c>
      <c r="AX232" s="17">
        <f>IF('1 - Input'!$B$17=1,MAX(0,AV232-AN232),0)</f>
        <v>0</v>
      </c>
      <c r="AY232" s="17">
        <f>IF('1 - Input'!$B$17=1,MAX(0,AN232-AV232),0)</f>
        <v>3627.6971437313305</v>
      </c>
      <c r="AZ232" s="17">
        <f t="shared" si="159"/>
        <v>0</v>
      </c>
      <c r="BA232" s="17">
        <f>IF(AND(AY232&gt;0,AS232&gt;0),AY232/(1-'1 - Input'!$B$22*AZ232),0)</f>
        <v>3627.6971437313305</v>
      </c>
      <c r="BB232" s="17">
        <f t="shared" si="160"/>
        <v>1099.3269316647882</v>
      </c>
      <c r="BC232" s="17">
        <f>'1 - Input'!$B$22*AZ232*BB232</f>
        <v>0</v>
      </c>
      <c r="BD232" s="17">
        <f t="shared" si="161"/>
        <v>1099.3269316647882</v>
      </c>
      <c r="BE232" s="17">
        <f t="shared" si="162"/>
        <v>2528.3702120665421</v>
      </c>
      <c r="BF232" s="17">
        <f t="shared" si="163"/>
        <v>996.81366598372722</v>
      </c>
      <c r="BG232" s="17">
        <f t="shared" si="164"/>
        <v>0</v>
      </c>
      <c r="BH232" s="17">
        <f t="shared" si="165"/>
        <v>0</v>
      </c>
      <c r="BI232" s="17">
        <f>IF(MOD(AK232,12)=0,BG232*'1 - Input'!$B$23,0)</f>
        <v>0</v>
      </c>
      <c r="BJ232" s="17">
        <f t="shared" si="166"/>
        <v>0</v>
      </c>
      <c r="BK232" s="17">
        <f>IF(MOD(AK232,12)=0,BH232*(1-'1 - Input'!$B$23),BH232)</f>
        <v>0</v>
      </c>
      <c r="BL232" s="17">
        <f>IF('1 - Input'!$B$17=1,MIN(AV232,AN232)+BD232,AV232)</f>
        <v>1105.4743014086064</v>
      </c>
      <c r="BM232" s="17">
        <f t="shared" si="193"/>
        <v>590482.93849429931</v>
      </c>
      <c r="BN232" s="17">
        <f t="shared" si="194"/>
        <v>101441.90180685223</v>
      </c>
      <c r="BO232" s="17">
        <f t="shared" si="195"/>
        <v>0</v>
      </c>
      <c r="BP232" s="17">
        <f t="shared" si="196"/>
        <v>174289.24056370757</v>
      </c>
      <c r="BQ232" s="17">
        <f t="shared" si="197"/>
        <v>8123.5662772395826</v>
      </c>
      <c r="BR232" s="17">
        <f t="shared" si="198"/>
        <v>2528.3702120665421</v>
      </c>
      <c r="BS232" s="15">
        <f t="shared" si="167"/>
        <v>1</v>
      </c>
      <c r="BU232" s="14">
        <v>189</v>
      </c>
      <c r="BV232" s="15">
        <f t="shared" si="168"/>
        <v>16</v>
      </c>
      <c r="BW232" s="16">
        <f>(1+INDEX('1 - Input'!$B$34:$E$63,BV232,'1 - Input'!$B$16))^(1/12)-1</f>
        <v>4.1219243192651689E-3</v>
      </c>
      <c r="BX232" s="17">
        <f>'1 - Input'!$B$7*(1+'1 - Input'!$B$12)^(BV232-1)</f>
        <v>3633.8445134751487</v>
      </c>
      <c r="BY232" s="17">
        <f t="shared" si="199"/>
        <v>124579.50986236766</v>
      </c>
      <c r="BZ232" s="17">
        <f t="shared" si="200"/>
        <v>0</v>
      </c>
      <c r="CA232" s="17">
        <f t="shared" si="169"/>
        <v>125093.01717375149</v>
      </c>
      <c r="CB232" s="17">
        <f>IF(CA232&gt;0,'1 - Input'!$B$8/12*CA232,0)</f>
        <v>938.19762880313613</v>
      </c>
      <c r="CC232" s="17">
        <f t="shared" si="170"/>
        <v>124154.81954494836</v>
      </c>
      <c r="CD232" s="17">
        <f t="shared" si="171"/>
        <v>0</v>
      </c>
      <c r="CE232" s="17">
        <f>'1 - Input'!$B$22*(CB232-CD232)</f>
        <v>243.93138348881541</v>
      </c>
      <c r="CF232" s="17">
        <f t="shared" si="172"/>
        <v>694.26624531432071</v>
      </c>
      <c r="CG232" s="17">
        <f t="shared" si="173"/>
        <v>0</v>
      </c>
      <c r="CH232" s="17">
        <f>IF('1 - Input'!$B$17=1,MAX(0,CF232-BX232),0)</f>
        <v>0</v>
      </c>
      <c r="CI232" s="17">
        <f>IF('1 - Input'!$B$17=1,MAX(0,BX232-CF232),0)</f>
        <v>2939.578268160828</v>
      </c>
      <c r="CJ232" s="17">
        <f t="shared" si="174"/>
        <v>1</v>
      </c>
      <c r="CK232" s="17">
        <f>IF(AND(CI232&gt;0,CC232&gt;0),CI232/(1-'1 - Input'!$B$22*CJ232),0)</f>
        <v>3972.4030650822001</v>
      </c>
      <c r="CL232" s="17">
        <f t="shared" si="175"/>
        <v>3972.4030650822001</v>
      </c>
      <c r="CM232" s="17">
        <f>'1 - Input'!$B$22*CJ232*CL232</f>
        <v>1032.8247969213721</v>
      </c>
      <c r="CN232" s="17">
        <f t="shared" si="176"/>
        <v>2939.578268160828</v>
      </c>
      <c r="CO232" s="17">
        <f t="shared" si="177"/>
        <v>0</v>
      </c>
      <c r="CP232" s="17">
        <f t="shared" si="178"/>
        <v>0</v>
      </c>
      <c r="CQ232" s="17">
        <f t="shared" si="179"/>
        <v>120182.41647986617</v>
      </c>
      <c r="CR232" s="17">
        <f t="shared" si="180"/>
        <v>0</v>
      </c>
      <c r="CS232" s="17">
        <f>IF(MOD(BU232,12)=0,CQ232*'1 - Input'!$B$23,0)</f>
        <v>0</v>
      </c>
      <c r="CT232" s="17">
        <f t="shared" si="181"/>
        <v>120182.41647986617</v>
      </c>
      <c r="CU232" s="17">
        <f>IF(MOD(BU232,12)=0,CR232*(1-'1 - Input'!$B$23),CR232)</f>
        <v>0</v>
      </c>
      <c r="CV232" s="17">
        <f>IF('1 - Input'!$B$17=1,MIN(CF232,BX232)+CN232,CF232)</f>
        <v>3633.8445134751487</v>
      </c>
      <c r="CW232" s="17">
        <f t="shared" si="201"/>
        <v>593011.30870636587</v>
      </c>
      <c r="CX232" s="17">
        <f t="shared" si="202"/>
        <v>2877.8493928783973</v>
      </c>
      <c r="CY232" s="17">
        <f t="shared" si="203"/>
        <v>36774.821309597493</v>
      </c>
      <c r="CZ232" s="17">
        <f t="shared" si="204"/>
        <v>0</v>
      </c>
      <c r="DA232" s="17">
        <f t="shared" si="205"/>
        <v>10639.193349100769</v>
      </c>
      <c r="DB232" s="17">
        <f t="shared" si="206"/>
        <v>0</v>
      </c>
      <c r="DC232" s="15">
        <f t="shared" si="182"/>
        <v>0</v>
      </c>
    </row>
    <row r="233" spans="1:107">
      <c r="A233" s="14">
        <v>190</v>
      </c>
      <c r="B233" s="15">
        <f t="shared" si="138"/>
        <v>16</v>
      </c>
      <c r="C233" s="16">
        <f>(1+INDEX('1 - Input'!$B$34:$E$63,B233,'1 - Input'!$B$16))^(1/12)-1</f>
        <v>4.1219243192651689E-3</v>
      </c>
      <c r="D233" s="17">
        <f>'1 - Input'!$B$7*(1+'1 - Input'!$B$12)^(B233-1)</f>
        <v>3633.8445134751487</v>
      </c>
      <c r="E233" s="17">
        <f t="shared" si="183"/>
        <v>0</v>
      </c>
      <c r="F233" s="17">
        <f t="shared" si="184"/>
        <v>0</v>
      </c>
      <c r="G233" s="17">
        <f t="shared" si="139"/>
        <v>0</v>
      </c>
      <c r="H233" s="17">
        <f>IF(G233&gt;0,'1 - Input'!$B$8/12*G233,0)</f>
        <v>0</v>
      </c>
      <c r="I233" s="17">
        <f t="shared" si="140"/>
        <v>0</v>
      </c>
      <c r="J233" s="17">
        <f t="shared" si="141"/>
        <v>0</v>
      </c>
      <c r="K233" s="17">
        <f>'1 - Input'!$B$22*(H233-J233)</f>
        <v>0</v>
      </c>
      <c r="L233" s="17">
        <f t="shared" si="142"/>
        <v>0</v>
      </c>
      <c r="M233" s="17">
        <f t="shared" si="143"/>
        <v>0</v>
      </c>
      <c r="N233" s="17">
        <f>IF('1 - Input'!$B$17=1,MAX(0,L233-D233),0)</f>
        <v>0</v>
      </c>
      <c r="O233" s="17">
        <f>IF('1 - Input'!$B$17=1,MAX(0,D233-L233),0)</f>
        <v>3633.8445134751487</v>
      </c>
      <c r="P233" s="17">
        <f t="shared" si="144"/>
        <v>0</v>
      </c>
      <c r="Q233" s="17">
        <f>IF(AND(O233&gt;0,I233&gt;0),O233/(1-'1 - Input'!$B$22*P233),0)</f>
        <v>0</v>
      </c>
      <c r="R233" s="17">
        <f t="shared" si="145"/>
        <v>0</v>
      </c>
      <c r="S233" s="17">
        <f>'1 - Input'!$B$22*P233*R233</f>
        <v>0</v>
      </c>
      <c r="T233" s="17">
        <f t="shared" si="146"/>
        <v>0</v>
      </c>
      <c r="U233" s="17">
        <f t="shared" si="147"/>
        <v>3633.8445134751487</v>
      </c>
      <c r="V233" s="17">
        <f t="shared" si="148"/>
        <v>0</v>
      </c>
      <c r="W233" s="17">
        <f t="shared" si="149"/>
        <v>0</v>
      </c>
      <c r="X233" s="17">
        <f t="shared" si="150"/>
        <v>0</v>
      </c>
      <c r="Y233" s="17">
        <f>IF(MOD(A233,12)=0,W233*'1 - Input'!$B$23,0)</f>
        <v>0</v>
      </c>
      <c r="Z233" s="17">
        <f t="shared" si="151"/>
        <v>0</v>
      </c>
      <c r="AA233" s="17">
        <f>IF(MOD(A233,12)=0,X233*(1-'1 - Input'!$B$23),X233)</f>
        <v>0</v>
      </c>
      <c r="AB233" s="17">
        <f>IF('1 - Input'!$B$17=1,MIN(L233,D233)+T233,L233)</f>
        <v>0</v>
      </c>
      <c r="AC233" s="17">
        <f t="shared" si="185"/>
        <v>590482.93849429931</v>
      </c>
      <c r="AD233" s="17">
        <f t="shared" si="186"/>
        <v>101441.90180685223</v>
      </c>
      <c r="AE233" s="17">
        <f t="shared" si="187"/>
        <v>0</v>
      </c>
      <c r="AF233" s="17">
        <f t="shared" si="188"/>
        <v>174289.24056370757</v>
      </c>
      <c r="AG233" s="17">
        <f t="shared" si="189"/>
        <v>8123.5662772395826</v>
      </c>
      <c r="AH233" s="17">
        <f t="shared" si="190"/>
        <v>6162.2147255416912</v>
      </c>
      <c r="AI233" s="15">
        <f t="shared" si="152"/>
        <v>1</v>
      </c>
      <c r="AK233" s="14">
        <v>190</v>
      </c>
      <c r="AL233" s="15">
        <f t="shared" si="153"/>
        <v>16</v>
      </c>
      <c r="AM233" s="16">
        <f>(1+INDEX('1 - Input'!$B$34:$E$63,AL233,'1 - Input'!$B$16))^(1/12)-1</f>
        <v>4.1219243192651689E-3</v>
      </c>
      <c r="AN233" s="17">
        <f>'1 - Input'!$B$7*(1+'1 - Input'!$B$12)^(AL233-1)</f>
        <v>3633.8445134751487</v>
      </c>
      <c r="AO233" s="17">
        <f t="shared" si="191"/>
        <v>0</v>
      </c>
      <c r="AP233" s="17">
        <f t="shared" si="192"/>
        <v>0</v>
      </c>
      <c r="AQ233" s="17">
        <f t="shared" si="154"/>
        <v>0</v>
      </c>
      <c r="AR233" s="17">
        <f>IF(AQ233&gt;0,'1 - Input'!$B$8/12*AQ233,0)</f>
        <v>0</v>
      </c>
      <c r="AS233" s="17">
        <f t="shared" si="155"/>
        <v>0</v>
      </c>
      <c r="AT233" s="17">
        <f t="shared" si="156"/>
        <v>0</v>
      </c>
      <c r="AU233" s="17">
        <f>'1 - Input'!$B$22*(AR233-AT233)</f>
        <v>0</v>
      </c>
      <c r="AV233" s="17">
        <f t="shared" si="157"/>
        <v>0</v>
      </c>
      <c r="AW233" s="17">
        <f t="shared" si="158"/>
        <v>0</v>
      </c>
      <c r="AX233" s="17">
        <f>IF('1 - Input'!$B$17=1,MAX(0,AV233-AN233),0)</f>
        <v>0</v>
      </c>
      <c r="AY233" s="17">
        <f>IF('1 - Input'!$B$17=1,MAX(0,AN233-AV233),0)</f>
        <v>3633.8445134751487</v>
      </c>
      <c r="AZ233" s="17">
        <f t="shared" si="159"/>
        <v>0</v>
      </c>
      <c r="BA233" s="17">
        <f>IF(AND(AY233&gt;0,AS233&gt;0),AY233/(1-'1 - Input'!$B$22*AZ233),0)</f>
        <v>0</v>
      </c>
      <c r="BB233" s="17">
        <f t="shared" si="160"/>
        <v>0</v>
      </c>
      <c r="BC233" s="17">
        <f>'1 - Input'!$B$22*AZ233*BB233</f>
        <v>0</v>
      </c>
      <c r="BD233" s="17">
        <f t="shared" si="161"/>
        <v>0</v>
      </c>
      <c r="BE233" s="17">
        <f t="shared" si="162"/>
        <v>3633.8445134751487</v>
      </c>
      <c r="BF233" s="17">
        <f t="shared" si="163"/>
        <v>0</v>
      </c>
      <c r="BG233" s="17">
        <f t="shared" si="164"/>
        <v>0</v>
      </c>
      <c r="BH233" s="17">
        <f t="shared" si="165"/>
        <v>0</v>
      </c>
      <c r="BI233" s="17">
        <f>IF(MOD(AK233,12)=0,BG233*'1 - Input'!$B$23,0)</f>
        <v>0</v>
      </c>
      <c r="BJ233" s="17">
        <f t="shared" si="166"/>
        <v>0</v>
      </c>
      <c r="BK233" s="17">
        <f>IF(MOD(AK233,12)=0,BH233*(1-'1 - Input'!$B$23),BH233)</f>
        <v>0</v>
      </c>
      <c r="BL233" s="17">
        <f>IF('1 - Input'!$B$17=1,MIN(AV233,AN233)+BD233,AV233)</f>
        <v>0</v>
      </c>
      <c r="BM233" s="17">
        <f t="shared" si="193"/>
        <v>590482.93849429931</v>
      </c>
      <c r="BN233" s="17">
        <f t="shared" si="194"/>
        <v>101441.90180685223</v>
      </c>
      <c r="BO233" s="17">
        <f t="shared" si="195"/>
        <v>0</v>
      </c>
      <c r="BP233" s="17">
        <f t="shared" si="196"/>
        <v>174289.24056370757</v>
      </c>
      <c r="BQ233" s="17">
        <f t="shared" si="197"/>
        <v>8123.5662772395826</v>
      </c>
      <c r="BR233" s="17">
        <f t="shared" si="198"/>
        <v>6162.2147255416912</v>
      </c>
      <c r="BS233" s="15">
        <f t="shared" si="167"/>
        <v>1</v>
      </c>
      <c r="BU233" s="14">
        <v>190</v>
      </c>
      <c r="BV233" s="15">
        <f t="shared" si="168"/>
        <v>16</v>
      </c>
      <c r="BW233" s="16">
        <f>(1+INDEX('1 - Input'!$B$34:$E$63,BV233,'1 - Input'!$B$16))^(1/12)-1</f>
        <v>4.1219243192651689E-3</v>
      </c>
      <c r="BX233" s="17">
        <f>'1 - Input'!$B$7*(1+'1 - Input'!$B$12)^(BV233-1)</f>
        <v>3633.8445134751487</v>
      </c>
      <c r="BY233" s="17">
        <f t="shared" si="199"/>
        <v>120182.41647986617</v>
      </c>
      <c r="BZ233" s="17">
        <f t="shared" si="200"/>
        <v>0</v>
      </c>
      <c r="CA233" s="17">
        <f t="shared" si="169"/>
        <v>120677.79930510258</v>
      </c>
      <c r="CB233" s="17">
        <f>IF(CA233&gt;0,'1 - Input'!$B$8/12*CA233,0)</f>
        <v>905.08349478826938</v>
      </c>
      <c r="CC233" s="17">
        <f t="shared" si="170"/>
        <v>119772.71581031432</v>
      </c>
      <c r="CD233" s="17">
        <f t="shared" si="171"/>
        <v>0</v>
      </c>
      <c r="CE233" s="17">
        <f>'1 - Input'!$B$22*(CB233-CD233)</f>
        <v>235.32170864495004</v>
      </c>
      <c r="CF233" s="17">
        <f t="shared" si="172"/>
        <v>669.76178614331934</v>
      </c>
      <c r="CG233" s="17">
        <f t="shared" si="173"/>
        <v>0</v>
      </c>
      <c r="CH233" s="17">
        <f>IF('1 - Input'!$B$17=1,MAX(0,CF233-BX233),0)</f>
        <v>0</v>
      </c>
      <c r="CI233" s="17">
        <f>IF('1 - Input'!$B$17=1,MAX(0,BX233-CF233),0)</f>
        <v>2964.0827273318291</v>
      </c>
      <c r="CJ233" s="17">
        <f t="shared" si="174"/>
        <v>1</v>
      </c>
      <c r="CK233" s="17">
        <f>IF(AND(CI233&gt;0,CC233&gt;0),CI233/(1-'1 - Input'!$B$22*CJ233),0)</f>
        <v>4005.5171990970666</v>
      </c>
      <c r="CL233" s="17">
        <f t="shared" si="175"/>
        <v>4005.5171990970666</v>
      </c>
      <c r="CM233" s="17">
        <f>'1 - Input'!$B$22*CJ233*CL233</f>
        <v>1041.4344717652373</v>
      </c>
      <c r="CN233" s="17">
        <f t="shared" si="176"/>
        <v>2964.0827273318291</v>
      </c>
      <c r="CO233" s="17">
        <f t="shared" si="177"/>
        <v>0</v>
      </c>
      <c r="CP233" s="17">
        <f t="shared" si="178"/>
        <v>0</v>
      </c>
      <c r="CQ233" s="17">
        <f t="shared" si="179"/>
        <v>115767.19861121725</v>
      </c>
      <c r="CR233" s="17">
        <f t="shared" si="180"/>
        <v>0</v>
      </c>
      <c r="CS233" s="17">
        <f>IF(MOD(BU233,12)=0,CQ233*'1 - Input'!$B$23,0)</f>
        <v>0</v>
      </c>
      <c r="CT233" s="17">
        <f t="shared" si="181"/>
        <v>115767.19861121725</v>
      </c>
      <c r="CU233" s="17">
        <f>IF(MOD(BU233,12)=0,CR233*(1-'1 - Input'!$B$23),CR233)</f>
        <v>0</v>
      </c>
      <c r="CV233" s="17">
        <f>IF('1 - Input'!$B$17=1,MIN(CF233,BX233)+CN233,CF233)</f>
        <v>3633.8445134751482</v>
      </c>
      <c r="CW233" s="17">
        <f t="shared" si="201"/>
        <v>596645.15321984107</v>
      </c>
      <c r="CX233" s="17">
        <f t="shared" si="202"/>
        <v>3113.1711015233473</v>
      </c>
      <c r="CY233" s="17">
        <f t="shared" si="203"/>
        <v>37816.255781362728</v>
      </c>
      <c r="CZ233" s="17">
        <f t="shared" si="204"/>
        <v>0</v>
      </c>
      <c r="DA233" s="17">
        <f t="shared" si="205"/>
        <v>10639.193349100769</v>
      </c>
      <c r="DB233" s="17">
        <f t="shared" si="206"/>
        <v>0</v>
      </c>
      <c r="DC233" s="15">
        <f t="shared" si="182"/>
        <v>0</v>
      </c>
    </row>
    <row r="234" spans="1:107">
      <c r="A234" s="14">
        <v>191</v>
      </c>
      <c r="B234" s="15">
        <f t="shared" si="138"/>
        <v>16</v>
      </c>
      <c r="C234" s="16">
        <f>(1+INDEX('1 - Input'!$B$34:$E$63,B234,'1 - Input'!$B$16))^(1/12)-1</f>
        <v>4.1219243192651689E-3</v>
      </c>
      <c r="D234" s="17">
        <f>'1 - Input'!$B$7*(1+'1 - Input'!$B$12)^(B234-1)</f>
        <v>3633.8445134751487</v>
      </c>
      <c r="E234" s="17">
        <f t="shared" si="183"/>
        <v>0</v>
      </c>
      <c r="F234" s="17">
        <f t="shared" si="184"/>
        <v>0</v>
      </c>
      <c r="G234" s="17">
        <f t="shared" si="139"/>
        <v>0</v>
      </c>
      <c r="H234" s="17">
        <f>IF(G234&gt;0,'1 - Input'!$B$8/12*G234,0)</f>
        <v>0</v>
      </c>
      <c r="I234" s="17">
        <f t="shared" si="140"/>
        <v>0</v>
      </c>
      <c r="J234" s="17">
        <f t="shared" si="141"/>
        <v>0</v>
      </c>
      <c r="K234" s="17">
        <f>'1 - Input'!$B$22*(H234-J234)</f>
        <v>0</v>
      </c>
      <c r="L234" s="17">
        <f t="shared" si="142"/>
        <v>0</v>
      </c>
      <c r="M234" s="17">
        <f t="shared" si="143"/>
        <v>0</v>
      </c>
      <c r="N234" s="17">
        <f>IF('1 - Input'!$B$17=1,MAX(0,L234-D234),0)</f>
        <v>0</v>
      </c>
      <c r="O234" s="17">
        <f>IF('1 - Input'!$B$17=1,MAX(0,D234-L234),0)</f>
        <v>3633.8445134751487</v>
      </c>
      <c r="P234" s="17">
        <f t="shared" si="144"/>
        <v>0</v>
      </c>
      <c r="Q234" s="17">
        <f>IF(AND(O234&gt;0,I234&gt;0),O234/(1-'1 - Input'!$B$22*P234),0)</f>
        <v>0</v>
      </c>
      <c r="R234" s="17">
        <f t="shared" si="145"/>
        <v>0</v>
      </c>
      <c r="S234" s="17">
        <f>'1 - Input'!$B$22*P234*R234</f>
        <v>0</v>
      </c>
      <c r="T234" s="17">
        <f t="shared" si="146"/>
        <v>0</v>
      </c>
      <c r="U234" s="17">
        <f t="shared" si="147"/>
        <v>3633.8445134751487</v>
      </c>
      <c r="V234" s="17">
        <f t="shared" si="148"/>
        <v>0</v>
      </c>
      <c r="W234" s="17">
        <f t="shared" si="149"/>
        <v>0</v>
      </c>
      <c r="X234" s="17">
        <f t="shared" si="150"/>
        <v>0</v>
      </c>
      <c r="Y234" s="17">
        <f>IF(MOD(A234,12)=0,W234*'1 - Input'!$B$23,0)</f>
        <v>0</v>
      </c>
      <c r="Z234" s="17">
        <f t="shared" si="151"/>
        <v>0</v>
      </c>
      <c r="AA234" s="17">
        <f>IF(MOD(A234,12)=0,X234*(1-'1 - Input'!$B$23),X234)</f>
        <v>0</v>
      </c>
      <c r="AB234" s="17">
        <f>IF('1 - Input'!$B$17=1,MIN(L234,D234)+T234,L234)</f>
        <v>0</v>
      </c>
      <c r="AC234" s="17">
        <f t="shared" si="185"/>
        <v>590482.93849429931</v>
      </c>
      <c r="AD234" s="17">
        <f t="shared" si="186"/>
        <v>101441.90180685223</v>
      </c>
      <c r="AE234" s="17">
        <f t="shared" si="187"/>
        <v>0</v>
      </c>
      <c r="AF234" s="17">
        <f t="shared" si="188"/>
        <v>174289.24056370757</v>
      </c>
      <c r="AG234" s="17">
        <f t="shared" si="189"/>
        <v>8123.5662772395826</v>
      </c>
      <c r="AH234" s="17">
        <f t="shared" si="190"/>
        <v>9796.0592390168404</v>
      </c>
      <c r="AI234" s="15">
        <f t="shared" si="152"/>
        <v>1</v>
      </c>
      <c r="AK234" s="14">
        <v>191</v>
      </c>
      <c r="AL234" s="15">
        <f t="shared" si="153"/>
        <v>16</v>
      </c>
      <c r="AM234" s="16">
        <f>(1+INDEX('1 - Input'!$B$34:$E$63,AL234,'1 - Input'!$B$16))^(1/12)-1</f>
        <v>4.1219243192651689E-3</v>
      </c>
      <c r="AN234" s="17">
        <f>'1 - Input'!$B$7*(1+'1 - Input'!$B$12)^(AL234-1)</f>
        <v>3633.8445134751487</v>
      </c>
      <c r="AO234" s="17">
        <f t="shared" si="191"/>
        <v>0</v>
      </c>
      <c r="AP234" s="17">
        <f t="shared" si="192"/>
        <v>0</v>
      </c>
      <c r="AQ234" s="17">
        <f t="shared" si="154"/>
        <v>0</v>
      </c>
      <c r="AR234" s="17">
        <f>IF(AQ234&gt;0,'1 - Input'!$B$8/12*AQ234,0)</f>
        <v>0</v>
      </c>
      <c r="AS234" s="17">
        <f t="shared" si="155"/>
        <v>0</v>
      </c>
      <c r="AT234" s="17">
        <f t="shared" si="156"/>
        <v>0</v>
      </c>
      <c r="AU234" s="17">
        <f>'1 - Input'!$B$22*(AR234-AT234)</f>
        <v>0</v>
      </c>
      <c r="AV234" s="17">
        <f t="shared" si="157"/>
        <v>0</v>
      </c>
      <c r="AW234" s="17">
        <f t="shared" si="158"/>
        <v>0</v>
      </c>
      <c r="AX234" s="17">
        <f>IF('1 - Input'!$B$17=1,MAX(0,AV234-AN234),0)</f>
        <v>0</v>
      </c>
      <c r="AY234" s="17">
        <f>IF('1 - Input'!$B$17=1,MAX(0,AN234-AV234),0)</f>
        <v>3633.8445134751487</v>
      </c>
      <c r="AZ234" s="17">
        <f t="shared" si="159"/>
        <v>0</v>
      </c>
      <c r="BA234" s="17">
        <f>IF(AND(AY234&gt;0,AS234&gt;0),AY234/(1-'1 - Input'!$B$22*AZ234),0)</f>
        <v>0</v>
      </c>
      <c r="BB234" s="17">
        <f t="shared" si="160"/>
        <v>0</v>
      </c>
      <c r="BC234" s="17">
        <f>'1 - Input'!$B$22*AZ234*BB234</f>
        <v>0</v>
      </c>
      <c r="BD234" s="17">
        <f t="shared" si="161"/>
        <v>0</v>
      </c>
      <c r="BE234" s="17">
        <f t="shared" si="162"/>
        <v>3633.8445134751487</v>
      </c>
      <c r="BF234" s="17">
        <f t="shared" si="163"/>
        <v>0</v>
      </c>
      <c r="BG234" s="17">
        <f t="shared" si="164"/>
        <v>0</v>
      </c>
      <c r="BH234" s="17">
        <f t="shared" si="165"/>
        <v>0</v>
      </c>
      <c r="BI234" s="17">
        <f>IF(MOD(AK234,12)=0,BG234*'1 - Input'!$B$23,0)</f>
        <v>0</v>
      </c>
      <c r="BJ234" s="17">
        <f t="shared" si="166"/>
        <v>0</v>
      </c>
      <c r="BK234" s="17">
        <f>IF(MOD(AK234,12)=0,BH234*(1-'1 - Input'!$B$23),BH234)</f>
        <v>0</v>
      </c>
      <c r="BL234" s="17">
        <f>IF('1 - Input'!$B$17=1,MIN(AV234,AN234)+BD234,AV234)</f>
        <v>0</v>
      </c>
      <c r="BM234" s="17">
        <f t="shared" si="193"/>
        <v>590482.93849429931</v>
      </c>
      <c r="BN234" s="17">
        <f t="shared" si="194"/>
        <v>101441.90180685223</v>
      </c>
      <c r="BO234" s="17">
        <f t="shared" si="195"/>
        <v>0</v>
      </c>
      <c r="BP234" s="17">
        <f t="shared" si="196"/>
        <v>174289.24056370757</v>
      </c>
      <c r="BQ234" s="17">
        <f t="shared" si="197"/>
        <v>8123.5662772395826</v>
      </c>
      <c r="BR234" s="17">
        <f t="shared" si="198"/>
        <v>9796.0592390168404</v>
      </c>
      <c r="BS234" s="15">
        <f t="shared" si="167"/>
        <v>1</v>
      </c>
      <c r="BU234" s="14">
        <v>191</v>
      </c>
      <c r="BV234" s="15">
        <f t="shared" si="168"/>
        <v>16</v>
      </c>
      <c r="BW234" s="16">
        <f>(1+INDEX('1 - Input'!$B$34:$E$63,BV234,'1 - Input'!$B$16))^(1/12)-1</f>
        <v>4.1219243192651689E-3</v>
      </c>
      <c r="BX234" s="17">
        <f>'1 - Input'!$B$7*(1+'1 - Input'!$B$12)^(BV234-1)</f>
        <v>3633.8445134751487</v>
      </c>
      <c r="BY234" s="17">
        <f t="shared" si="199"/>
        <v>115767.19861121725</v>
      </c>
      <c r="BZ234" s="17">
        <f t="shared" si="200"/>
        <v>0</v>
      </c>
      <c r="CA234" s="17">
        <f t="shared" si="169"/>
        <v>116244.38224254602</v>
      </c>
      <c r="CB234" s="17">
        <f>IF(CA234&gt;0,'1 - Input'!$B$8/12*CA234,0)</f>
        <v>871.8328668190951</v>
      </c>
      <c r="CC234" s="17">
        <f t="shared" si="170"/>
        <v>115372.54937572693</v>
      </c>
      <c r="CD234" s="17">
        <f t="shared" si="171"/>
        <v>0</v>
      </c>
      <c r="CE234" s="17">
        <f>'1 - Input'!$B$22*(CB234-CD234)</f>
        <v>226.67654537296474</v>
      </c>
      <c r="CF234" s="17">
        <f t="shared" si="172"/>
        <v>645.15632144613039</v>
      </c>
      <c r="CG234" s="17">
        <f t="shared" si="173"/>
        <v>0</v>
      </c>
      <c r="CH234" s="17">
        <f>IF('1 - Input'!$B$17=1,MAX(0,CF234-BX234),0)</f>
        <v>0</v>
      </c>
      <c r="CI234" s="17">
        <f>IF('1 - Input'!$B$17=1,MAX(0,BX234-CF234),0)</f>
        <v>2988.6881920290184</v>
      </c>
      <c r="CJ234" s="17">
        <f t="shared" si="174"/>
        <v>1</v>
      </c>
      <c r="CK234" s="17">
        <f>IF(AND(CI234&gt;0,CC234&gt;0),CI234/(1-'1 - Input'!$B$22*CJ234),0)</f>
        <v>4038.7678270662414</v>
      </c>
      <c r="CL234" s="17">
        <f t="shared" si="175"/>
        <v>4038.7678270662414</v>
      </c>
      <c r="CM234" s="17">
        <f>'1 - Input'!$B$22*CJ234*CL234</f>
        <v>1050.0796350372227</v>
      </c>
      <c r="CN234" s="17">
        <f t="shared" si="176"/>
        <v>2988.6881920290189</v>
      </c>
      <c r="CO234" s="17">
        <f t="shared" si="177"/>
        <v>0</v>
      </c>
      <c r="CP234" s="17">
        <f t="shared" si="178"/>
        <v>0</v>
      </c>
      <c r="CQ234" s="17">
        <f t="shared" si="179"/>
        <v>111333.78154866069</v>
      </c>
      <c r="CR234" s="17">
        <f t="shared" si="180"/>
        <v>0</v>
      </c>
      <c r="CS234" s="17">
        <f>IF(MOD(BU234,12)=0,CQ234*'1 - Input'!$B$23,0)</f>
        <v>0</v>
      </c>
      <c r="CT234" s="17">
        <f t="shared" si="181"/>
        <v>111333.78154866069</v>
      </c>
      <c r="CU234" s="17">
        <f>IF(MOD(BU234,12)=0,CR234*(1-'1 - Input'!$B$23),CR234)</f>
        <v>0</v>
      </c>
      <c r="CV234" s="17">
        <f>IF('1 - Input'!$B$17=1,MIN(CF234,BX234)+CN234,CF234)</f>
        <v>3633.8445134751491</v>
      </c>
      <c r="CW234" s="17">
        <f t="shared" si="201"/>
        <v>600278.99773331627</v>
      </c>
      <c r="CX234" s="17">
        <f t="shared" si="202"/>
        <v>3339.8476468963122</v>
      </c>
      <c r="CY234" s="17">
        <f t="shared" si="203"/>
        <v>38866.335416399954</v>
      </c>
      <c r="CZ234" s="17">
        <f t="shared" si="204"/>
        <v>0</v>
      </c>
      <c r="DA234" s="17">
        <f t="shared" si="205"/>
        <v>10639.193349100769</v>
      </c>
      <c r="DB234" s="17">
        <f t="shared" si="206"/>
        <v>0</v>
      </c>
      <c r="DC234" s="15">
        <f t="shared" si="182"/>
        <v>0</v>
      </c>
    </row>
    <row r="235" spans="1:107">
      <c r="A235" s="14">
        <v>192</v>
      </c>
      <c r="B235" s="15">
        <f t="shared" si="138"/>
        <v>16</v>
      </c>
      <c r="C235" s="16">
        <f>(1+INDEX('1 - Input'!$B$34:$E$63,B235,'1 - Input'!$B$16))^(1/12)-1</f>
        <v>4.1219243192651689E-3</v>
      </c>
      <c r="D235" s="17">
        <f>'1 - Input'!$B$7*(1+'1 - Input'!$B$12)^(B235-1)</f>
        <v>3633.8445134751487</v>
      </c>
      <c r="E235" s="17">
        <f t="shared" si="183"/>
        <v>0</v>
      </c>
      <c r="F235" s="17">
        <f t="shared" si="184"/>
        <v>0</v>
      </c>
      <c r="G235" s="17">
        <f t="shared" si="139"/>
        <v>0</v>
      </c>
      <c r="H235" s="17">
        <f>IF(G235&gt;0,'1 - Input'!$B$8/12*G235,0)</f>
        <v>0</v>
      </c>
      <c r="I235" s="17">
        <f t="shared" si="140"/>
        <v>0</v>
      </c>
      <c r="J235" s="17">
        <f t="shared" si="141"/>
        <v>0</v>
      </c>
      <c r="K235" s="17">
        <f>'1 - Input'!$B$22*(H235-J235)</f>
        <v>0</v>
      </c>
      <c r="L235" s="17">
        <f t="shared" si="142"/>
        <v>0</v>
      </c>
      <c r="M235" s="17">
        <f t="shared" si="143"/>
        <v>0</v>
      </c>
      <c r="N235" s="17">
        <f>IF('1 - Input'!$B$17=1,MAX(0,L235-D235),0)</f>
        <v>0</v>
      </c>
      <c r="O235" s="17">
        <f>IF('1 - Input'!$B$17=1,MAX(0,D235-L235),0)</f>
        <v>3633.8445134751487</v>
      </c>
      <c r="P235" s="17">
        <f t="shared" si="144"/>
        <v>0</v>
      </c>
      <c r="Q235" s="17">
        <f>IF(AND(O235&gt;0,I235&gt;0),O235/(1-'1 - Input'!$B$22*P235),0)</f>
        <v>0</v>
      </c>
      <c r="R235" s="17">
        <f t="shared" si="145"/>
        <v>0</v>
      </c>
      <c r="S235" s="17">
        <f>'1 - Input'!$B$22*P235*R235</f>
        <v>0</v>
      </c>
      <c r="T235" s="17">
        <f t="shared" si="146"/>
        <v>0</v>
      </c>
      <c r="U235" s="17">
        <f t="shared" si="147"/>
        <v>3633.8445134751487</v>
      </c>
      <c r="V235" s="17">
        <f t="shared" si="148"/>
        <v>0</v>
      </c>
      <c r="W235" s="17">
        <f t="shared" si="149"/>
        <v>0</v>
      </c>
      <c r="X235" s="17">
        <f t="shared" si="150"/>
        <v>0</v>
      </c>
      <c r="Y235" s="17">
        <f>IF(MOD(A235,12)=0,W235*'1 - Input'!$B$23,0)</f>
        <v>0</v>
      </c>
      <c r="Z235" s="17">
        <f t="shared" si="151"/>
        <v>0</v>
      </c>
      <c r="AA235" s="17">
        <f>IF(MOD(A235,12)=0,X235*(1-'1 - Input'!$B$23),X235)</f>
        <v>0</v>
      </c>
      <c r="AB235" s="17">
        <f>IF('1 - Input'!$B$17=1,MIN(L235,D235)+T235,L235)</f>
        <v>0</v>
      </c>
      <c r="AC235" s="17">
        <f t="shared" si="185"/>
        <v>590482.93849429931</v>
      </c>
      <c r="AD235" s="17">
        <f t="shared" si="186"/>
        <v>101441.90180685223</v>
      </c>
      <c r="AE235" s="17">
        <f t="shared" si="187"/>
        <v>0</v>
      </c>
      <c r="AF235" s="17">
        <f t="shared" si="188"/>
        <v>174289.24056370757</v>
      </c>
      <c r="AG235" s="17">
        <f t="shared" si="189"/>
        <v>8123.5662772395826</v>
      </c>
      <c r="AH235" s="17">
        <f t="shared" si="190"/>
        <v>13429.90375249199</v>
      </c>
      <c r="AI235" s="15">
        <f t="shared" si="152"/>
        <v>1</v>
      </c>
      <c r="AK235" s="14">
        <v>192</v>
      </c>
      <c r="AL235" s="15">
        <f t="shared" si="153"/>
        <v>16</v>
      </c>
      <c r="AM235" s="16">
        <f>(1+INDEX('1 - Input'!$B$34:$E$63,AL235,'1 - Input'!$B$16))^(1/12)-1</f>
        <v>4.1219243192651689E-3</v>
      </c>
      <c r="AN235" s="17">
        <f>'1 - Input'!$B$7*(1+'1 - Input'!$B$12)^(AL235-1)</f>
        <v>3633.8445134751487</v>
      </c>
      <c r="AO235" s="17">
        <f t="shared" si="191"/>
        <v>0</v>
      </c>
      <c r="AP235" s="17">
        <f t="shared" si="192"/>
        <v>0</v>
      </c>
      <c r="AQ235" s="17">
        <f t="shared" si="154"/>
        <v>0</v>
      </c>
      <c r="AR235" s="17">
        <f>IF(AQ235&gt;0,'1 - Input'!$B$8/12*AQ235,0)</f>
        <v>0</v>
      </c>
      <c r="AS235" s="17">
        <f t="shared" si="155"/>
        <v>0</v>
      </c>
      <c r="AT235" s="17">
        <f t="shared" si="156"/>
        <v>0</v>
      </c>
      <c r="AU235" s="17">
        <f>'1 - Input'!$B$22*(AR235-AT235)</f>
        <v>0</v>
      </c>
      <c r="AV235" s="17">
        <f t="shared" si="157"/>
        <v>0</v>
      </c>
      <c r="AW235" s="17">
        <f t="shared" si="158"/>
        <v>0</v>
      </c>
      <c r="AX235" s="17">
        <f>IF('1 - Input'!$B$17=1,MAX(0,AV235-AN235),0)</f>
        <v>0</v>
      </c>
      <c r="AY235" s="17">
        <f>IF('1 - Input'!$B$17=1,MAX(0,AN235-AV235),0)</f>
        <v>3633.8445134751487</v>
      </c>
      <c r="AZ235" s="17">
        <f t="shared" si="159"/>
        <v>0</v>
      </c>
      <c r="BA235" s="17">
        <f>IF(AND(AY235&gt;0,AS235&gt;0),AY235/(1-'1 - Input'!$B$22*AZ235),0)</f>
        <v>0</v>
      </c>
      <c r="BB235" s="17">
        <f t="shared" si="160"/>
        <v>0</v>
      </c>
      <c r="BC235" s="17">
        <f>'1 - Input'!$B$22*AZ235*BB235</f>
        <v>0</v>
      </c>
      <c r="BD235" s="17">
        <f t="shared" si="161"/>
        <v>0</v>
      </c>
      <c r="BE235" s="17">
        <f t="shared" si="162"/>
        <v>3633.8445134751487</v>
      </c>
      <c r="BF235" s="17">
        <f t="shared" si="163"/>
        <v>0</v>
      </c>
      <c r="BG235" s="17">
        <f t="shared" si="164"/>
        <v>0</v>
      </c>
      <c r="BH235" s="17">
        <f t="shared" si="165"/>
        <v>0</v>
      </c>
      <c r="BI235" s="17">
        <f>IF(MOD(AK235,12)=0,BG235*'1 - Input'!$B$23,0)</f>
        <v>0</v>
      </c>
      <c r="BJ235" s="17">
        <f t="shared" si="166"/>
        <v>0</v>
      </c>
      <c r="BK235" s="17">
        <f>IF(MOD(AK235,12)=0,BH235*(1-'1 - Input'!$B$23),BH235)</f>
        <v>0</v>
      </c>
      <c r="BL235" s="17">
        <f>IF('1 - Input'!$B$17=1,MIN(AV235,AN235)+BD235,AV235)</f>
        <v>0</v>
      </c>
      <c r="BM235" s="17">
        <f t="shared" si="193"/>
        <v>590482.93849429931</v>
      </c>
      <c r="BN235" s="17">
        <f t="shared" si="194"/>
        <v>101441.90180685223</v>
      </c>
      <c r="BO235" s="17">
        <f t="shared" si="195"/>
        <v>0</v>
      </c>
      <c r="BP235" s="17">
        <f t="shared" si="196"/>
        <v>174289.24056370757</v>
      </c>
      <c r="BQ235" s="17">
        <f t="shared" si="197"/>
        <v>8123.5662772395826</v>
      </c>
      <c r="BR235" s="17">
        <f t="shared" si="198"/>
        <v>13429.90375249199</v>
      </c>
      <c r="BS235" s="15">
        <f t="shared" si="167"/>
        <v>1</v>
      </c>
      <c r="BU235" s="14">
        <v>192</v>
      </c>
      <c r="BV235" s="15">
        <f t="shared" si="168"/>
        <v>16</v>
      </c>
      <c r="BW235" s="16">
        <f>(1+INDEX('1 - Input'!$B$34:$E$63,BV235,'1 - Input'!$B$16))^(1/12)-1</f>
        <v>4.1219243192651689E-3</v>
      </c>
      <c r="BX235" s="17">
        <f>'1 - Input'!$B$7*(1+'1 - Input'!$B$12)^(BV235-1)</f>
        <v>3633.8445134751487</v>
      </c>
      <c r="BY235" s="17">
        <f t="shared" si="199"/>
        <v>111333.78154866069</v>
      </c>
      <c r="BZ235" s="17">
        <f t="shared" si="200"/>
        <v>0</v>
      </c>
      <c r="CA235" s="17">
        <f t="shared" si="169"/>
        <v>111792.69097038187</v>
      </c>
      <c r="CB235" s="17">
        <f>IF(CA235&gt;0,'1 - Input'!$B$8/12*CA235,0)</f>
        <v>838.44518227786398</v>
      </c>
      <c r="CC235" s="17">
        <f t="shared" si="170"/>
        <v>110954.245788104</v>
      </c>
      <c r="CD235" s="17">
        <f t="shared" si="171"/>
        <v>0</v>
      </c>
      <c r="CE235" s="17">
        <f>'1 - Input'!$B$22*(CB235-CD235)</f>
        <v>217.99574739224465</v>
      </c>
      <c r="CF235" s="17">
        <f t="shared" si="172"/>
        <v>620.44943488561933</v>
      </c>
      <c r="CG235" s="17">
        <f t="shared" si="173"/>
        <v>0</v>
      </c>
      <c r="CH235" s="17">
        <f>IF('1 - Input'!$B$17=1,MAX(0,CF235-BX235),0)</f>
        <v>0</v>
      </c>
      <c r="CI235" s="17">
        <f>IF('1 - Input'!$B$17=1,MAX(0,BX235-CF235),0)</f>
        <v>3013.3950785895295</v>
      </c>
      <c r="CJ235" s="17">
        <f t="shared" si="174"/>
        <v>1</v>
      </c>
      <c r="CK235" s="17">
        <f>IF(AND(CI235&gt;0,CC235&gt;0),CI235/(1-'1 - Input'!$B$22*CJ235),0)</f>
        <v>4072.1555116074724</v>
      </c>
      <c r="CL235" s="17">
        <f t="shared" si="175"/>
        <v>4072.1555116074724</v>
      </c>
      <c r="CM235" s="17">
        <f>'1 - Input'!$B$22*CJ235*CL235</f>
        <v>1058.7604330179429</v>
      </c>
      <c r="CN235" s="17">
        <f t="shared" si="176"/>
        <v>3013.3950785895295</v>
      </c>
      <c r="CO235" s="17">
        <f t="shared" si="177"/>
        <v>0</v>
      </c>
      <c r="CP235" s="17">
        <f t="shared" si="178"/>
        <v>0</v>
      </c>
      <c r="CQ235" s="17">
        <f t="shared" si="179"/>
        <v>106882.09027649653</v>
      </c>
      <c r="CR235" s="17">
        <f t="shared" si="180"/>
        <v>0</v>
      </c>
      <c r="CS235" s="17">
        <f>IF(MOD(BU235,12)=0,CQ235*'1 - Input'!$B$23,0)</f>
        <v>213.76418055299305</v>
      </c>
      <c r="CT235" s="17">
        <f t="shared" si="181"/>
        <v>106668.32609594353</v>
      </c>
      <c r="CU235" s="17">
        <f>IF(MOD(BU235,12)=0,CR235*(1-'1 - Input'!$B$23),CR235)</f>
        <v>0</v>
      </c>
      <c r="CV235" s="17">
        <f>IF('1 - Input'!$B$17=1,MIN(CF235,BX235)+CN235,CF235)</f>
        <v>3633.8445134751487</v>
      </c>
      <c r="CW235" s="17">
        <f t="shared" si="201"/>
        <v>603912.84224679146</v>
      </c>
      <c r="CX235" s="17">
        <f t="shared" si="202"/>
        <v>3557.8433942885567</v>
      </c>
      <c r="CY235" s="17">
        <f t="shared" si="203"/>
        <v>39925.095849417899</v>
      </c>
      <c r="CZ235" s="17">
        <f t="shared" si="204"/>
        <v>0</v>
      </c>
      <c r="DA235" s="17">
        <f t="shared" si="205"/>
        <v>10852.957529653762</v>
      </c>
      <c r="DB235" s="17">
        <f t="shared" si="206"/>
        <v>0</v>
      </c>
      <c r="DC235" s="15">
        <f t="shared" si="182"/>
        <v>0</v>
      </c>
    </row>
    <row r="236" spans="1:107">
      <c r="A236" s="14">
        <v>193</v>
      </c>
      <c r="B236" s="15">
        <f t="shared" ref="B236:B299" si="207">ROUNDUP(A236/12,0)</f>
        <v>17</v>
      </c>
      <c r="C236" s="16">
        <f>(1+INDEX('1 - Input'!$B$34:$E$63,B236,'1 - Input'!$B$16))^(1/12)-1</f>
        <v>4.1219243192651689E-3</v>
      </c>
      <c r="D236" s="17">
        <f>'1 - Input'!$B$7*(1+'1 - Input'!$B$12)^(B236-1)</f>
        <v>3706.5214037446526</v>
      </c>
      <c r="E236" s="17">
        <f t="shared" si="183"/>
        <v>0</v>
      </c>
      <c r="F236" s="17">
        <f t="shared" si="184"/>
        <v>0</v>
      </c>
      <c r="G236" s="17">
        <f t="shared" ref="G236:G299" si="208">E236*(1+C236)</f>
        <v>0</v>
      </c>
      <c r="H236" s="17">
        <f>IF(G236&gt;0,'1 - Input'!$B$8/12*G236,0)</f>
        <v>0</v>
      </c>
      <c r="I236" s="17">
        <f t="shared" ref="I236:I299" si="209">G236-H236</f>
        <v>0</v>
      </c>
      <c r="J236" s="17">
        <f t="shared" ref="J236:J299" si="210">MIN($B$41*H236,F236)</f>
        <v>0</v>
      </c>
      <c r="K236" s="17">
        <f>'1 - Input'!$B$22*(H236-J236)</f>
        <v>0</v>
      </c>
      <c r="L236" s="17">
        <f t="shared" ref="L236:L299" si="211">H236-K236</f>
        <v>0</v>
      </c>
      <c r="M236" s="17">
        <f t="shared" ref="M236:M299" si="212">F236-J236</f>
        <v>0</v>
      </c>
      <c r="N236" s="17">
        <f>IF('1 - Input'!$B$17=1,MAX(0,L236-D236),0)</f>
        <v>0</v>
      </c>
      <c r="O236" s="17">
        <f>IF('1 - Input'!$B$17=1,MAX(0,D236-L236),0)</f>
        <v>3706.5214037446526</v>
      </c>
      <c r="P236" s="17">
        <f t="shared" ref="P236:P299" si="213">IF(I236&gt;0,MAX(0,1-M236/I236),0)</f>
        <v>0</v>
      </c>
      <c r="Q236" s="17">
        <f>IF(AND(O236&gt;0,I236&gt;0),O236/(1-'1 - Input'!$B$22*P236),0)</f>
        <v>0</v>
      </c>
      <c r="R236" s="17">
        <f t="shared" ref="R236:R299" si="214">MIN(Q236,I236)</f>
        <v>0</v>
      </c>
      <c r="S236" s="17">
        <f>'1 - Input'!$B$22*P236*R236</f>
        <v>0</v>
      </c>
      <c r="T236" s="17">
        <f t="shared" ref="T236:T299" si="215">R236-S236</f>
        <v>0</v>
      </c>
      <c r="U236" s="17">
        <f t="shared" ref="U236:U299" si="216">O236-T236</f>
        <v>3706.5214037446526</v>
      </c>
      <c r="V236" s="17">
        <f t="shared" ref="V236:V299" si="217">IF(I236&gt;0,R236*MAX(0,M236/I236-1),0)</f>
        <v>0</v>
      </c>
      <c r="W236" s="17">
        <f t="shared" ref="W236:W299" si="218">I236-R236+N236</f>
        <v>0</v>
      </c>
      <c r="X236" s="17">
        <f t="shared" ref="X236:X299" si="219">IF(R236&gt;0,M236*(1-R236/I236),M236)+N236</f>
        <v>0</v>
      </c>
      <c r="Y236" s="17">
        <f>IF(MOD(A236,12)=0,W236*'1 - Input'!$B$23,0)</f>
        <v>0</v>
      </c>
      <c r="Z236" s="17">
        <f t="shared" ref="Z236:Z299" si="220">W236-Y236</f>
        <v>0</v>
      </c>
      <c r="AA236" s="17">
        <f>IF(MOD(A236,12)=0,X236*(1-'1 - Input'!$B$23),X236)</f>
        <v>0</v>
      </c>
      <c r="AB236" s="17">
        <f>IF('1 - Input'!$B$17=1,MIN(L236,D236)+T236,L236)</f>
        <v>0</v>
      </c>
      <c r="AC236" s="17">
        <f t="shared" si="185"/>
        <v>590482.93849429931</v>
      </c>
      <c r="AD236" s="17">
        <f t="shared" si="186"/>
        <v>101441.90180685223</v>
      </c>
      <c r="AE236" s="17">
        <f t="shared" si="187"/>
        <v>0</v>
      </c>
      <c r="AF236" s="17">
        <f t="shared" si="188"/>
        <v>174289.24056370757</v>
      </c>
      <c r="AG236" s="17">
        <f t="shared" si="189"/>
        <v>8123.5662772395826</v>
      </c>
      <c r="AH236" s="17">
        <f t="shared" si="190"/>
        <v>17136.425156236641</v>
      </c>
      <c r="AI236" s="15">
        <f t="shared" ref="AI236:AI299" si="221">IF(W236&lt;=0.000001,1,0)</f>
        <v>1</v>
      </c>
      <c r="AK236" s="14">
        <v>193</v>
      </c>
      <c r="AL236" s="15">
        <f t="shared" ref="AL236:AL299" si="222">ROUNDUP(AK236/12,0)</f>
        <v>17</v>
      </c>
      <c r="AM236" s="16">
        <f>(1+INDEX('1 - Input'!$B$34:$E$63,AL236,'1 - Input'!$B$16))^(1/12)-1</f>
        <v>4.1219243192651689E-3</v>
      </c>
      <c r="AN236" s="17">
        <f>'1 - Input'!$B$7*(1+'1 - Input'!$B$12)^(AL236-1)</f>
        <v>3706.5214037446526</v>
      </c>
      <c r="AO236" s="17">
        <f t="shared" si="191"/>
        <v>0</v>
      </c>
      <c r="AP236" s="17">
        <f t="shared" si="192"/>
        <v>0</v>
      </c>
      <c r="AQ236" s="17">
        <f t="shared" ref="AQ236:AQ299" si="223">AO236*(1+AM236)</f>
        <v>0</v>
      </c>
      <c r="AR236" s="17">
        <f>IF(AQ236&gt;0,'1 - Input'!$B$8/12*AQ236,0)</f>
        <v>0</v>
      </c>
      <c r="AS236" s="17">
        <f t="shared" ref="AS236:AS299" si="224">AQ236-AR236</f>
        <v>0</v>
      </c>
      <c r="AT236" s="17">
        <f t="shared" ref="AT236:AT299" si="225">MIN($AL$41*AR236,AP236)</f>
        <v>0</v>
      </c>
      <c r="AU236" s="17">
        <f>'1 - Input'!$B$22*(AR236-AT236)</f>
        <v>0</v>
      </c>
      <c r="AV236" s="17">
        <f t="shared" ref="AV236:AV299" si="226">AR236-AU236</f>
        <v>0</v>
      </c>
      <c r="AW236" s="17">
        <f t="shared" ref="AW236:AW299" si="227">AP236-AT236</f>
        <v>0</v>
      </c>
      <c r="AX236" s="17">
        <f>IF('1 - Input'!$B$17=1,MAX(0,AV236-AN236),0)</f>
        <v>0</v>
      </c>
      <c r="AY236" s="17">
        <f>IF('1 - Input'!$B$17=1,MAX(0,AN236-AV236),0)</f>
        <v>3706.5214037446526</v>
      </c>
      <c r="AZ236" s="17">
        <f t="shared" ref="AZ236:AZ299" si="228">IF(AS236&gt;0,MAX(0,1-AW236/AS236),0)</f>
        <v>0</v>
      </c>
      <c r="BA236" s="17">
        <f>IF(AND(AY236&gt;0,AS236&gt;0),AY236/(1-'1 - Input'!$B$22*AZ236),0)</f>
        <v>0</v>
      </c>
      <c r="BB236" s="17">
        <f t="shared" ref="BB236:BB299" si="229">MIN(BA236,AS236)</f>
        <v>0</v>
      </c>
      <c r="BC236" s="17">
        <f>'1 - Input'!$B$22*AZ236*BB236</f>
        <v>0</v>
      </c>
      <c r="BD236" s="17">
        <f t="shared" ref="BD236:BD299" si="230">BB236-BC236</f>
        <v>0</v>
      </c>
      <c r="BE236" s="17">
        <f t="shared" ref="BE236:BE299" si="231">AY236-BD236</f>
        <v>3706.5214037446526</v>
      </c>
      <c r="BF236" s="17">
        <f t="shared" ref="BF236:BF299" si="232">IF(AS236&gt;0,BB236*MAX(0,AW236/AS236-1),0)</f>
        <v>0</v>
      </c>
      <c r="BG236" s="17">
        <f t="shared" ref="BG236:BG299" si="233">AS236-BB236+AX236</f>
        <v>0</v>
      </c>
      <c r="BH236" s="17">
        <f t="shared" ref="BH236:BH299" si="234">IF(BB236&gt;0,AW236*(1-BB236/AS236),AW236)+AX236</f>
        <v>0</v>
      </c>
      <c r="BI236" s="17">
        <f>IF(MOD(AK236,12)=0,BG236*'1 - Input'!$B$23,0)</f>
        <v>0</v>
      </c>
      <c r="BJ236" s="17">
        <f t="shared" ref="BJ236:BJ299" si="235">BG236-BI236</f>
        <v>0</v>
      </c>
      <c r="BK236" s="17">
        <f>IF(MOD(AK236,12)=0,BH236*(1-'1 - Input'!$B$23),BH236)</f>
        <v>0</v>
      </c>
      <c r="BL236" s="17">
        <f>IF('1 - Input'!$B$17=1,MIN(AV236,AN236)+BD236,AV236)</f>
        <v>0</v>
      </c>
      <c r="BM236" s="17">
        <f t="shared" si="193"/>
        <v>590482.93849429931</v>
      </c>
      <c r="BN236" s="17">
        <f t="shared" si="194"/>
        <v>101441.90180685223</v>
      </c>
      <c r="BO236" s="17">
        <f t="shared" si="195"/>
        <v>0</v>
      </c>
      <c r="BP236" s="17">
        <f t="shared" si="196"/>
        <v>174289.24056370757</v>
      </c>
      <c r="BQ236" s="17">
        <f t="shared" si="197"/>
        <v>8123.5662772395826</v>
      </c>
      <c r="BR236" s="17">
        <f t="shared" si="198"/>
        <v>17136.425156236641</v>
      </c>
      <c r="BS236" s="15">
        <f t="shared" ref="BS236:BS299" si="236">IF(BG236&lt;=0.000001,1,0)</f>
        <v>1</v>
      </c>
      <c r="BU236" s="14">
        <v>193</v>
      </c>
      <c r="BV236" s="15">
        <f t="shared" ref="BV236:BV299" si="237">ROUNDUP(BU236/12,0)</f>
        <v>17</v>
      </c>
      <c r="BW236" s="16">
        <f>(1+INDEX('1 - Input'!$B$34:$E$63,BV236,'1 - Input'!$B$16))^(1/12)-1</f>
        <v>4.1219243192651689E-3</v>
      </c>
      <c r="BX236" s="17">
        <f>'1 - Input'!$B$7*(1+'1 - Input'!$B$12)^(BV236-1)</f>
        <v>3706.5214037446526</v>
      </c>
      <c r="BY236" s="17">
        <f t="shared" si="199"/>
        <v>106668.32609594353</v>
      </c>
      <c r="BZ236" s="17">
        <f t="shared" si="200"/>
        <v>0</v>
      </c>
      <c r="CA236" s="17">
        <f t="shared" ref="CA236:CA299" si="238">BY236*(1+BW236)</f>
        <v>107108.0048633737</v>
      </c>
      <c r="CB236" s="17">
        <f>IF(CA236&gt;0,'1 - Input'!$B$8/12*CA236,0)</f>
        <v>803.3100364753027</v>
      </c>
      <c r="CC236" s="17">
        <f t="shared" ref="CC236:CC299" si="239">CA236-CB236</f>
        <v>106304.6948268984</v>
      </c>
      <c r="CD236" s="17">
        <f t="shared" ref="CD236:CD299" si="240">MIN($BV$41*CB236,BZ236)</f>
        <v>0</v>
      </c>
      <c r="CE236" s="17">
        <f>'1 - Input'!$B$22*(CB236-CD236)</f>
        <v>208.86060948357871</v>
      </c>
      <c r="CF236" s="17">
        <f t="shared" ref="CF236:CF299" si="241">CB236-CE236</f>
        <v>594.44942699172395</v>
      </c>
      <c r="CG236" s="17">
        <f t="shared" ref="CG236:CG299" si="242">BZ236-CD236</f>
        <v>0</v>
      </c>
      <c r="CH236" s="17">
        <f>IF('1 - Input'!$B$17=1,MAX(0,CF236-BX236),0)</f>
        <v>0</v>
      </c>
      <c r="CI236" s="17">
        <f>IF('1 - Input'!$B$17=1,MAX(0,BX236-CF236),0)</f>
        <v>3112.0719767529285</v>
      </c>
      <c r="CJ236" s="17">
        <f t="shared" ref="CJ236:CJ299" si="243">IF(CC236&gt;0,MAX(0,1-CG236/CC236),0)</f>
        <v>1</v>
      </c>
      <c r="CK236" s="17">
        <f>IF(AND(CI236&gt;0,CC236&gt;0),CI236/(1-'1 - Input'!$B$22*CJ236),0)</f>
        <v>4205.5026712877416</v>
      </c>
      <c r="CL236" s="17">
        <f t="shared" ref="CL236:CL299" si="244">MIN(CK236,CC236)</f>
        <v>4205.5026712877416</v>
      </c>
      <c r="CM236" s="17">
        <f>'1 - Input'!$B$22*CJ236*CL236</f>
        <v>1093.4306945348128</v>
      </c>
      <c r="CN236" s="17">
        <f t="shared" ref="CN236:CN299" si="245">CL236-CM236</f>
        <v>3112.071976752929</v>
      </c>
      <c r="CO236" s="17">
        <f t="shared" ref="CO236:CO299" si="246">CI236-CN236</f>
        <v>0</v>
      </c>
      <c r="CP236" s="17">
        <f t="shared" ref="CP236:CP299" si="247">IF(CC236&gt;0,CL236*MAX(0,CG236/CC236-1),0)</f>
        <v>0</v>
      </c>
      <c r="CQ236" s="17">
        <f t="shared" ref="CQ236:CQ299" si="248">CC236-CL236+CH236</f>
        <v>102099.19215561065</v>
      </c>
      <c r="CR236" s="17">
        <f t="shared" ref="CR236:CR299" si="249">IF(CL236&gt;0,CG236*(1-CL236/CC236),CG236)+CH236</f>
        <v>0</v>
      </c>
      <c r="CS236" s="17">
        <f>IF(MOD(BU236,12)=0,CQ236*'1 - Input'!$B$23,0)</f>
        <v>0</v>
      </c>
      <c r="CT236" s="17">
        <f t="shared" ref="CT236:CT299" si="250">CQ236-CS236</f>
        <v>102099.19215561065</v>
      </c>
      <c r="CU236" s="17">
        <f>IF(MOD(BU236,12)=0,CR236*(1-'1 - Input'!$B$23),CR236)</f>
        <v>0</v>
      </c>
      <c r="CV236" s="17">
        <f>IF('1 - Input'!$B$17=1,MIN(CF236,BX236)+CN236,CF236)</f>
        <v>3706.5214037446531</v>
      </c>
      <c r="CW236" s="17">
        <f t="shared" si="201"/>
        <v>607619.36365053616</v>
      </c>
      <c r="CX236" s="17">
        <f t="shared" si="202"/>
        <v>3766.7040037721354</v>
      </c>
      <c r="CY236" s="17">
        <f t="shared" si="203"/>
        <v>41018.526543952714</v>
      </c>
      <c r="CZ236" s="17">
        <f t="shared" si="204"/>
        <v>0</v>
      </c>
      <c r="DA236" s="17">
        <f t="shared" si="205"/>
        <v>10852.957529653762</v>
      </c>
      <c r="DB236" s="17">
        <f t="shared" si="206"/>
        <v>0</v>
      </c>
      <c r="DC236" s="15">
        <f t="shared" ref="DC236:DC299" si="251">IF(CQ236&lt;=0.000001,1,0)</f>
        <v>0</v>
      </c>
    </row>
    <row r="237" spans="1:107">
      <c r="A237" s="14">
        <v>194</v>
      </c>
      <c r="B237" s="15">
        <f t="shared" si="207"/>
        <v>17</v>
      </c>
      <c r="C237" s="16">
        <f>(1+INDEX('1 - Input'!$B$34:$E$63,B237,'1 - Input'!$B$16))^(1/12)-1</f>
        <v>4.1219243192651689E-3</v>
      </c>
      <c r="D237" s="17">
        <f>'1 - Input'!$B$7*(1+'1 - Input'!$B$12)^(B237-1)</f>
        <v>3706.5214037446526</v>
      </c>
      <c r="E237" s="17">
        <f t="shared" ref="E237:E300" si="252">Z236</f>
        <v>0</v>
      </c>
      <c r="F237" s="17">
        <f t="shared" ref="F237:F300" si="253">AA236</f>
        <v>0</v>
      </c>
      <c r="G237" s="17">
        <f t="shared" si="208"/>
        <v>0</v>
      </c>
      <c r="H237" s="17">
        <f>IF(G237&gt;0,'1 - Input'!$B$8/12*G237,0)</f>
        <v>0</v>
      </c>
      <c r="I237" s="17">
        <f t="shared" si="209"/>
        <v>0</v>
      </c>
      <c r="J237" s="17">
        <f t="shared" si="210"/>
        <v>0</v>
      </c>
      <c r="K237" s="17">
        <f>'1 - Input'!$B$22*(H237-J237)</f>
        <v>0</v>
      </c>
      <c r="L237" s="17">
        <f t="shared" si="211"/>
        <v>0</v>
      </c>
      <c r="M237" s="17">
        <f t="shared" si="212"/>
        <v>0</v>
      </c>
      <c r="N237" s="17">
        <f>IF('1 - Input'!$B$17=1,MAX(0,L237-D237),0)</f>
        <v>0</v>
      </c>
      <c r="O237" s="17">
        <f>IF('1 - Input'!$B$17=1,MAX(0,D237-L237),0)</f>
        <v>3706.5214037446526</v>
      </c>
      <c r="P237" s="17">
        <f t="shared" si="213"/>
        <v>0</v>
      </c>
      <c r="Q237" s="17">
        <f>IF(AND(O237&gt;0,I237&gt;0),O237/(1-'1 - Input'!$B$22*P237),0)</f>
        <v>0</v>
      </c>
      <c r="R237" s="17">
        <f t="shared" si="214"/>
        <v>0</v>
      </c>
      <c r="S237" s="17">
        <f>'1 - Input'!$B$22*P237*R237</f>
        <v>0</v>
      </c>
      <c r="T237" s="17">
        <f t="shared" si="215"/>
        <v>0</v>
      </c>
      <c r="U237" s="17">
        <f t="shared" si="216"/>
        <v>3706.5214037446526</v>
      </c>
      <c r="V237" s="17">
        <f t="shared" si="217"/>
        <v>0</v>
      </c>
      <c r="W237" s="17">
        <f t="shared" si="218"/>
        <v>0</v>
      </c>
      <c r="X237" s="17">
        <f t="shared" si="219"/>
        <v>0</v>
      </c>
      <c r="Y237" s="17">
        <f>IF(MOD(A237,12)=0,W237*'1 - Input'!$B$23,0)</f>
        <v>0</v>
      </c>
      <c r="Z237" s="17">
        <f t="shared" si="220"/>
        <v>0</v>
      </c>
      <c r="AA237" s="17">
        <f>IF(MOD(A237,12)=0,X237*(1-'1 - Input'!$B$23),X237)</f>
        <v>0</v>
      </c>
      <c r="AB237" s="17">
        <f>IF('1 - Input'!$B$17=1,MIN(L237,D237)+T237,L237)</f>
        <v>0</v>
      </c>
      <c r="AC237" s="17">
        <f t="shared" ref="AC237:AC300" si="254">AC236+AB237</f>
        <v>590482.93849429931</v>
      </c>
      <c r="AD237" s="17">
        <f t="shared" ref="AD237:AD300" si="255">AD236+K237</f>
        <v>101441.90180685223</v>
      </c>
      <c r="AE237" s="17">
        <f t="shared" ref="AE237:AE300" si="256">AE236+S237</f>
        <v>0</v>
      </c>
      <c r="AF237" s="17">
        <f t="shared" ref="AF237:AF300" si="257">AF236+V237</f>
        <v>174289.24056370757</v>
      </c>
      <c r="AG237" s="17">
        <f t="shared" ref="AG237:AG300" si="258">AG236+Y237</f>
        <v>8123.5662772395826</v>
      </c>
      <c r="AH237" s="17">
        <f t="shared" ref="AH237:AH300" si="259">AH236+U237</f>
        <v>20842.946559981294</v>
      </c>
      <c r="AI237" s="15">
        <f t="shared" si="221"/>
        <v>1</v>
      </c>
      <c r="AK237" s="14">
        <v>194</v>
      </c>
      <c r="AL237" s="15">
        <f t="shared" si="222"/>
        <v>17</v>
      </c>
      <c r="AM237" s="16">
        <f>(1+INDEX('1 - Input'!$B$34:$E$63,AL237,'1 - Input'!$B$16))^(1/12)-1</f>
        <v>4.1219243192651689E-3</v>
      </c>
      <c r="AN237" s="17">
        <f>'1 - Input'!$B$7*(1+'1 - Input'!$B$12)^(AL237-1)</f>
        <v>3706.5214037446526</v>
      </c>
      <c r="AO237" s="17">
        <f t="shared" ref="AO237:AO300" si="260">BJ236</f>
        <v>0</v>
      </c>
      <c r="AP237" s="17">
        <f t="shared" ref="AP237:AP300" si="261">BK236</f>
        <v>0</v>
      </c>
      <c r="AQ237" s="17">
        <f t="shared" si="223"/>
        <v>0</v>
      </c>
      <c r="AR237" s="17">
        <f>IF(AQ237&gt;0,'1 - Input'!$B$8/12*AQ237,0)</f>
        <v>0</v>
      </c>
      <c r="AS237" s="17">
        <f t="shared" si="224"/>
        <v>0</v>
      </c>
      <c r="AT237" s="17">
        <f t="shared" si="225"/>
        <v>0</v>
      </c>
      <c r="AU237" s="17">
        <f>'1 - Input'!$B$22*(AR237-AT237)</f>
        <v>0</v>
      </c>
      <c r="AV237" s="17">
        <f t="shared" si="226"/>
        <v>0</v>
      </c>
      <c r="AW237" s="17">
        <f t="shared" si="227"/>
        <v>0</v>
      </c>
      <c r="AX237" s="17">
        <f>IF('1 - Input'!$B$17=1,MAX(0,AV237-AN237),0)</f>
        <v>0</v>
      </c>
      <c r="AY237" s="17">
        <f>IF('1 - Input'!$B$17=1,MAX(0,AN237-AV237),0)</f>
        <v>3706.5214037446526</v>
      </c>
      <c r="AZ237" s="17">
        <f t="shared" si="228"/>
        <v>0</v>
      </c>
      <c r="BA237" s="17">
        <f>IF(AND(AY237&gt;0,AS237&gt;0),AY237/(1-'1 - Input'!$B$22*AZ237),0)</f>
        <v>0</v>
      </c>
      <c r="BB237" s="17">
        <f t="shared" si="229"/>
        <v>0</v>
      </c>
      <c r="BC237" s="17">
        <f>'1 - Input'!$B$22*AZ237*BB237</f>
        <v>0</v>
      </c>
      <c r="BD237" s="17">
        <f t="shared" si="230"/>
        <v>0</v>
      </c>
      <c r="BE237" s="17">
        <f t="shared" si="231"/>
        <v>3706.5214037446526</v>
      </c>
      <c r="BF237" s="17">
        <f t="shared" si="232"/>
        <v>0</v>
      </c>
      <c r="BG237" s="17">
        <f t="shared" si="233"/>
        <v>0</v>
      </c>
      <c r="BH237" s="17">
        <f t="shared" si="234"/>
        <v>0</v>
      </c>
      <c r="BI237" s="17">
        <f>IF(MOD(AK237,12)=0,BG237*'1 - Input'!$B$23,0)</f>
        <v>0</v>
      </c>
      <c r="BJ237" s="17">
        <f t="shared" si="235"/>
        <v>0</v>
      </c>
      <c r="BK237" s="17">
        <f>IF(MOD(AK237,12)=0,BH237*(1-'1 - Input'!$B$23),BH237)</f>
        <v>0</v>
      </c>
      <c r="BL237" s="17">
        <f>IF('1 - Input'!$B$17=1,MIN(AV237,AN237)+BD237,AV237)</f>
        <v>0</v>
      </c>
      <c r="BM237" s="17">
        <f t="shared" ref="BM237:BM300" si="262">BM236+BL237</f>
        <v>590482.93849429931</v>
      </c>
      <c r="BN237" s="17">
        <f t="shared" ref="BN237:BN300" si="263">BN236+AU237</f>
        <v>101441.90180685223</v>
      </c>
      <c r="BO237" s="17">
        <f t="shared" ref="BO237:BO300" si="264">BO236+BC237</f>
        <v>0</v>
      </c>
      <c r="BP237" s="17">
        <f t="shared" ref="BP237:BP300" si="265">BP236+BF237</f>
        <v>174289.24056370757</v>
      </c>
      <c r="BQ237" s="17">
        <f t="shared" ref="BQ237:BQ300" si="266">BQ236+BI237</f>
        <v>8123.5662772395826</v>
      </c>
      <c r="BR237" s="17">
        <f t="shared" ref="BR237:BR300" si="267">BR236+BE237</f>
        <v>20842.946559981294</v>
      </c>
      <c r="BS237" s="15">
        <f t="shared" si="236"/>
        <v>1</v>
      </c>
      <c r="BU237" s="14">
        <v>194</v>
      </c>
      <c r="BV237" s="15">
        <f t="shared" si="237"/>
        <v>17</v>
      </c>
      <c r="BW237" s="16">
        <f>(1+INDEX('1 - Input'!$B$34:$E$63,BV237,'1 - Input'!$B$16))^(1/12)-1</f>
        <v>4.1219243192651689E-3</v>
      </c>
      <c r="BX237" s="17">
        <f>'1 - Input'!$B$7*(1+'1 - Input'!$B$12)^(BV237-1)</f>
        <v>3706.5214037446526</v>
      </c>
      <c r="BY237" s="17">
        <f t="shared" ref="BY237:BY300" si="268">CT236</f>
        <v>102099.19215561065</v>
      </c>
      <c r="BZ237" s="17">
        <f t="shared" ref="BZ237:BZ300" si="269">CU236</f>
        <v>0</v>
      </c>
      <c r="CA237" s="17">
        <f t="shared" si="238"/>
        <v>102520.0372987342</v>
      </c>
      <c r="CB237" s="17">
        <f>IF(CA237&gt;0,'1 - Input'!$B$8/12*CA237,0)</f>
        <v>768.90027974050645</v>
      </c>
      <c r="CC237" s="17">
        <f t="shared" si="239"/>
        <v>101751.13701899369</v>
      </c>
      <c r="CD237" s="17">
        <f t="shared" si="240"/>
        <v>0</v>
      </c>
      <c r="CE237" s="17">
        <f>'1 - Input'!$B$22*(CB237-CD237)</f>
        <v>199.91407273253168</v>
      </c>
      <c r="CF237" s="17">
        <f t="shared" si="241"/>
        <v>568.98620700797483</v>
      </c>
      <c r="CG237" s="17">
        <f t="shared" si="242"/>
        <v>0</v>
      </c>
      <c r="CH237" s="17">
        <f>IF('1 - Input'!$B$17=1,MAX(0,CF237-BX237),0)</f>
        <v>0</v>
      </c>
      <c r="CI237" s="17">
        <f>IF('1 - Input'!$B$17=1,MAX(0,BX237-CF237),0)</f>
        <v>3137.5351967366778</v>
      </c>
      <c r="CJ237" s="17">
        <f t="shared" si="243"/>
        <v>1</v>
      </c>
      <c r="CK237" s="17">
        <f>IF(AND(CI237&gt;0,CC237&gt;0),CI237/(1-'1 - Input'!$B$22*CJ237),0)</f>
        <v>4239.9124280225378</v>
      </c>
      <c r="CL237" s="17">
        <f t="shared" si="244"/>
        <v>4239.9124280225378</v>
      </c>
      <c r="CM237" s="17">
        <f>'1 - Input'!$B$22*CJ237*CL237</f>
        <v>1102.3772312858598</v>
      </c>
      <c r="CN237" s="17">
        <f t="shared" si="245"/>
        <v>3137.5351967366778</v>
      </c>
      <c r="CO237" s="17">
        <f t="shared" si="246"/>
        <v>0</v>
      </c>
      <c r="CP237" s="17">
        <f t="shared" si="247"/>
        <v>0</v>
      </c>
      <c r="CQ237" s="17">
        <f t="shared" si="248"/>
        <v>97511.224590971149</v>
      </c>
      <c r="CR237" s="17">
        <f t="shared" si="249"/>
        <v>0</v>
      </c>
      <c r="CS237" s="17">
        <f>IF(MOD(BU237,12)=0,CQ237*'1 - Input'!$B$23,0)</f>
        <v>0</v>
      </c>
      <c r="CT237" s="17">
        <f t="shared" si="250"/>
        <v>97511.224590971149</v>
      </c>
      <c r="CU237" s="17">
        <f>IF(MOD(BU237,12)=0,CR237*(1-'1 - Input'!$B$23),CR237)</f>
        <v>0</v>
      </c>
      <c r="CV237" s="17">
        <f>IF('1 - Input'!$B$17=1,MIN(CF237,BX237)+CN237,CF237)</f>
        <v>3706.5214037446526</v>
      </c>
      <c r="CW237" s="17">
        <f t="shared" ref="CW237:CW300" si="270">CW236+CV237</f>
        <v>611325.88505428087</v>
      </c>
      <c r="CX237" s="17">
        <f t="shared" ref="CX237:CX300" si="271">CX236+CE237</f>
        <v>3966.618076504667</v>
      </c>
      <c r="CY237" s="17">
        <f t="shared" ref="CY237:CY300" si="272">CY236+CM237</f>
        <v>42120.90377523857</v>
      </c>
      <c r="CZ237" s="17">
        <f t="shared" ref="CZ237:CZ300" si="273">CZ236+CP237</f>
        <v>0</v>
      </c>
      <c r="DA237" s="17">
        <f t="shared" ref="DA237:DA300" si="274">DA236+CS237</f>
        <v>10852.957529653762</v>
      </c>
      <c r="DB237" s="17">
        <f t="shared" ref="DB237:DB300" si="275">DB236+CO237</f>
        <v>0</v>
      </c>
      <c r="DC237" s="15">
        <f t="shared" si="251"/>
        <v>0</v>
      </c>
    </row>
    <row r="238" spans="1:107">
      <c r="A238" s="14">
        <v>195</v>
      </c>
      <c r="B238" s="15">
        <f t="shared" si="207"/>
        <v>17</v>
      </c>
      <c r="C238" s="16">
        <f>(1+INDEX('1 - Input'!$B$34:$E$63,B238,'1 - Input'!$B$16))^(1/12)-1</f>
        <v>4.1219243192651689E-3</v>
      </c>
      <c r="D238" s="17">
        <f>'1 - Input'!$B$7*(1+'1 - Input'!$B$12)^(B238-1)</f>
        <v>3706.5214037446526</v>
      </c>
      <c r="E238" s="17">
        <f t="shared" si="252"/>
        <v>0</v>
      </c>
      <c r="F238" s="17">
        <f t="shared" si="253"/>
        <v>0</v>
      </c>
      <c r="G238" s="17">
        <f t="shared" si="208"/>
        <v>0</v>
      </c>
      <c r="H238" s="17">
        <f>IF(G238&gt;0,'1 - Input'!$B$8/12*G238,0)</f>
        <v>0</v>
      </c>
      <c r="I238" s="17">
        <f t="shared" si="209"/>
        <v>0</v>
      </c>
      <c r="J238" s="17">
        <f t="shared" si="210"/>
        <v>0</v>
      </c>
      <c r="K238" s="17">
        <f>'1 - Input'!$B$22*(H238-J238)</f>
        <v>0</v>
      </c>
      <c r="L238" s="17">
        <f t="shared" si="211"/>
        <v>0</v>
      </c>
      <c r="M238" s="17">
        <f t="shared" si="212"/>
        <v>0</v>
      </c>
      <c r="N238" s="17">
        <f>IF('1 - Input'!$B$17=1,MAX(0,L238-D238),0)</f>
        <v>0</v>
      </c>
      <c r="O238" s="17">
        <f>IF('1 - Input'!$B$17=1,MAX(0,D238-L238),0)</f>
        <v>3706.5214037446526</v>
      </c>
      <c r="P238" s="17">
        <f t="shared" si="213"/>
        <v>0</v>
      </c>
      <c r="Q238" s="17">
        <f>IF(AND(O238&gt;0,I238&gt;0),O238/(1-'1 - Input'!$B$22*P238),0)</f>
        <v>0</v>
      </c>
      <c r="R238" s="17">
        <f t="shared" si="214"/>
        <v>0</v>
      </c>
      <c r="S238" s="17">
        <f>'1 - Input'!$B$22*P238*R238</f>
        <v>0</v>
      </c>
      <c r="T238" s="17">
        <f t="shared" si="215"/>
        <v>0</v>
      </c>
      <c r="U238" s="17">
        <f t="shared" si="216"/>
        <v>3706.5214037446526</v>
      </c>
      <c r="V238" s="17">
        <f t="shared" si="217"/>
        <v>0</v>
      </c>
      <c r="W238" s="17">
        <f t="shared" si="218"/>
        <v>0</v>
      </c>
      <c r="X238" s="17">
        <f t="shared" si="219"/>
        <v>0</v>
      </c>
      <c r="Y238" s="17">
        <f>IF(MOD(A238,12)=0,W238*'1 - Input'!$B$23,0)</f>
        <v>0</v>
      </c>
      <c r="Z238" s="17">
        <f t="shared" si="220"/>
        <v>0</v>
      </c>
      <c r="AA238" s="17">
        <f>IF(MOD(A238,12)=0,X238*(1-'1 - Input'!$B$23),X238)</f>
        <v>0</v>
      </c>
      <c r="AB238" s="17">
        <f>IF('1 - Input'!$B$17=1,MIN(L238,D238)+T238,L238)</f>
        <v>0</v>
      </c>
      <c r="AC238" s="17">
        <f t="shared" si="254"/>
        <v>590482.93849429931</v>
      </c>
      <c r="AD238" s="17">
        <f t="shared" si="255"/>
        <v>101441.90180685223</v>
      </c>
      <c r="AE238" s="17">
        <f t="shared" si="256"/>
        <v>0</v>
      </c>
      <c r="AF238" s="17">
        <f t="shared" si="257"/>
        <v>174289.24056370757</v>
      </c>
      <c r="AG238" s="17">
        <f t="shared" si="258"/>
        <v>8123.5662772395826</v>
      </c>
      <c r="AH238" s="17">
        <f t="shared" si="259"/>
        <v>24549.467963725947</v>
      </c>
      <c r="AI238" s="15">
        <f t="shared" si="221"/>
        <v>1</v>
      </c>
      <c r="AK238" s="14">
        <v>195</v>
      </c>
      <c r="AL238" s="15">
        <f t="shared" si="222"/>
        <v>17</v>
      </c>
      <c r="AM238" s="16">
        <f>(1+INDEX('1 - Input'!$B$34:$E$63,AL238,'1 - Input'!$B$16))^(1/12)-1</f>
        <v>4.1219243192651689E-3</v>
      </c>
      <c r="AN238" s="17">
        <f>'1 - Input'!$B$7*(1+'1 - Input'!$B$12)^(AL238-1)</f>
        <v>3706.5214037446526</v>
      </c>
      <c r="AO238" s="17">
        <f t="shared" si="260"/>
        <v>0</v>
      </c>
      <c r="AP238" s="17">
        <f t="shared" si="261"/>
        <v>0</v>
      </c>
      <c r="AQ238" s="17">
        <f t="shared" si="223"/>
        <v>0</v>
      </c>
      <c r="AR238" s="17">
        <f>IF(AQ238&gt;0,'1 - Input'!$B$8/12*AQ238,0)</f>
        <v>0</v>
      </c>
      <c r="AS238" s="17">
        <f t="shared" si="224"/>
        <v>0</v>
      </c>
      <c r="AT238" s="17">
        <f t="shared" si="225"/>
        <v>0</v>
      </c>
      <c r="AU238" s="17">
        <f>'1 - Input'!$B$22*(AR238-AT238)</f>
        <v>0</v>
      </c>
      <c r="AV238" s="17">
        <f t="shared" si="226"/>
        <v>0</v>
      </c>
      <c r="AW238" s="17">
        <f t="shared" si="227"/>
        <v>0</v>
      </c>
      <c r="AX238" s="17">
        <f>IF('1 - Input'!$B$17=1,MAX(0,AV238-AN238),0)</f>
        <v>0</v>
      </c>
      <c r="AY238" s="17">
        <f>IF('1 - Input'!$B$17=1,MAX(0,AN238-AV238),0)</f>
        <v>3706.5214037446526</v>
      </c>
      <c r="AZ238" s="17">
        <f t="shared" si="228"/>
        <v>0</v>
      </c>
      <c r="BA238" s="17">
        <f>IF(AND(AY238&gt;0,AS238&gt;0),AY238/(1-'1 - Input'!$B$22*AZ238),0)</f>
        <v>0</v>
      </c>
      <c r="BB238" s="17">
        <f t="shared" si="229"/>
        <v>0</v>
      </c>
      <c r="BC238" s="17">
        <f>'1 - Input'!$B$22*AZ238*BB238</f>
        <v>0</v>
      </c>
      <c r="BD238" s="17">
        <f t="shared" si="230"/>
        <v>0</v>
      </c>
      <c r="BE238" s="17">
        <f t="shared" si="231"/>
        <v>3706.5214037446526</v>
      </c>
      <c r="BF238" s="17">
        <f t="shared" si="232"/>
        <v>0</v>
      </c>
      <c r="BG238" s="17">
        <f t="shared" si="233"/>
        <v>0</v>
      </c>
      <c r="BH238" s="17">
        <f t="shared" si="234"/>
        <v>0</v>
      </c>
      <c r="BI238" s="17">
        <f>IF(MOD(AK238,12)=0,BG238*'1 - Input'!$B$23,0)</f>
        <v>0</v>
      </c>
      <c r="BJ238" s="17">
        <f t="shared" si="235"/>
        <v>0</v>
      </c>
      <c r="BK238" s="17">
        <f>IF(MOD(AK238,12)=0,BH238*(1-'1 - Input'!$B$23),BH238)</f>
        <v>0</v>
      </c>
      <c r="BL238" s="17">
        <f>IF('1 - Input'!$B$17=1,MIN(AV238,AN238)+BD238,AV238)</f>
        <v>0</v>
      </c>
      <c r="BM238" s="17">
        <f t="shared" si="262"/>
        <v>590482.93849429931</v>
      </c>
      <c r="BN238" s="17">
        <f t="shared" si="263"/>
        <v>101441.90180685223</v>
      </c>
      <c r="BO238" s="17">
        <f t="shared" si="264"/>
        <v>0</v>
      </c>
      <c r="BP238" s="17">
        <f t="shared" si="265"/>
        <v>174289.24056370757</v>
      </c>
      <c r="BQ238" s="17">
        <f t="shared" si="266"/>
        <v>8123.5662772395826</v>
      </c>
      <c r="BR238" s="17">
        <f t="shared" si="267"/>
        <v>24549.467963725947</v>
      </c>
      <c r="BS238" s="15">
        <f t="shared" si="236"/>
        <v>1</v>
      </c>
      <c r="BU238" s="14">
        <v>195</v>
      </c>
      <c r="BV238" s="15">
        <f t="shared" si="237"/>
        <v>17</v>
      </c>
      <c r="BW238" s="16">
        <f>(1+INDEX('1 - Input'!$B$34:$E$63,BV238,'1 - Input'!$B$16))^(1/12)-1</f>
        <v>4.1219243192651689E-3</v>
      </c>
      <c r="BX238" s="17">
        <f>'1 - Input'!$B$7*(1+'1 - Input'!$B$12)^(BV238-1)</f>
        <v>3706.5214037446526</v>
      </c>
      <c r="BY238" s="17">
        <f t="shared" si="268"/>
        <v>97511.224590971149</v>
      </c>
      <c r="BZ238" s="17">
        <f t="shared" si="269"/>
        <v>0</v>
      </c>
      <c r="CA238" s="17">
        <f t="shared" si="238"/>
        <v>97913.158479014004</v>
      </c>
      <c r="CB238" s="17">
        <f>IF(CA238&gt;0,'1 - Input'!$B$8/12*CA238,0)</f>
        <v>734.34868859260496</v>
      </c>
      <c r="CC238" s="17">
        <f t="shared" si="239"/>
        <v>97178.809790421394</v>
      </c>
      <c r="CD238" s="17">
        <f t="shared" si="240"/>
        <v>0</v>
      </c>
      <c r="CE238" s="17">
        <f>'1 - Input'!$B$22*(CB238-CD238)</f>
        <v>190.93065903407731</v>
      </c>
      <c r="CF238" s="17">
        <f t="shared" si="241"/>
        <v>543.41802955852768</v>
      </c>
      <c r="CG238" s="17">
        <f t="shared" si="242"/>
        <v>0</v>
      </c>
      <c r="CH238" s="17">
        <f>IF('1 - Input'!$B$17=1,MAX(0,CF238-BX238),0)</f>
        <v>0</v>
      </c>
      <c r="CI238" s="17">
        <f>IF('1 - Input'!$B$17=1,MAX(0,BX238-CF238),0)</f>
        <v>3163.1033741861247</v>
      </c>
      <c r="CJ238" s="17">
        <f t="shared" si="243"/>
        <v>1</v>
      </c>
      <c r="CK238" s="17">
        <f>IF(AND(CI238&gt;0,CC238&gt;0),CI238/(1-'1 - Input'!$B$22*CJ238),0)</f>
        <v>4274.4640191704384</v>
      </c>
      <c r="CL238" s="17">
        <f t="shared" si="244"/>
        <v>4274.4640191704384</v>
      </c>
      <c r="CM238" s="17">
        <f>'1 - Input'!$B$22*CJ238*CL238</f>
        <v>1111.3606449843139</v>
      </c>
      <c r="CN238" s="17">
        <f t="shared" si="245"/>
        <v>3163.1033741861247</v>
      </c>
      <c r="CO238" s="17">
        <f t="shared" si="246"/>
        <v>0</v>
      </c>
      <c r="CP238" s="17">
        <f t="shared" si="247"/>
        <v>0</v>
      </c>
      <c r="CQ238" s="17">
        <f t="shared" si="248"/>
        <v>92904.345771250955</v>
      </c>
      <c r="CR238" s="17">
        <f t="shared" si="249"/>
        <v>0</v>
      </c>
      <c r="CS238" s="17">
        <f>IF(MOD(BU238,12)=0,CQ238*'1 - Input'!$B$23,0)</f>
        <v>0</v>
      </c>
      <c r="CT238" s="17">
        <f t="shared" si="250"/>
        <v>92904.345771250955</v>
      </c>
      <c r="CU238" s="17">
        <f>IF(MOD(BU238,12)=0,CR238*(1-'1 - Input'!$B$23),CR238)</f>
        <v>0</v>
      </c>
      <c r="CV238" s="17">
        <f>IF('1 - Input'!$B$17=1,MIN(CF238,BX238)+CN238,CF238)</f>
        <v>3706.5214037446522</v>
      </c>
      <c r="CW238" s="17">
        <f t="shared" si="270"/>
        <v>615032.40645802557</v>
      </c>
      <c r="CX238" s="17">
        <f t="shared" si="271"/>
        <v>4157.548735538744</v>
      </c>
      <c r="CY238" s="17">
        <f t="shared" si="272"/>
        <v>43232.264420222884</v>
      </c>
      <c r="CZ238" s="17">
        <f t="shared" si="273"/>
        <v>0</v>
      </c>
      <c r="DA238" s="17">
        <f t="shared" si="274"/>
        <v>10852.957529653762</v>
      </c>
      <c r="DB238" s="17">
        <f t="shared" si="275"/>
        <v>0</v>
      </c>
      <c r="DC238" s="15">
        <f t="shared" si="251"/>
        <v>0</v>
      </c>
    </row>
    <row r="239" spans="1:107">
      <c r="A239" s="14">
        <v>196</v>
      </c>
      <c r="B239" s="15">
        <f t="shared" si="207"/>
        <v>17</v>
      </c>
      <c r="C239" s="16">
        <f>(1+INDEX('1 - Input'!$B$34:$E$63,B239,'1 - Input'!$B$16))^(1/12)-1</f>
        <v>4.1219243192651689E-3</v>
      </c>
      <c r="D239" s="17">
        <f>'1 - Input'!$B$7*(1+'1 - Input'!$B$12)^(B239-1)</f>
        <v>3706.5214037446526</v>
      </c>
      <c r="E239" s="17">
        <f t="shared" si="252"/>
        <v>0</v>
      </c>
      <c r="F239" s="17">
        <f t="shared" si="253"/>
        <v>0</v>
      </c>
      <c r="G239" s="17">
        <f t="shared" si="208"/>
        <v>0</v>
      </c>
      <c r="H239" s="17">
        <f>IF(G239&gt;0,'1 - Input'!$B$8/12*G239,0)</f>
        <v>0</v>
      </c>
      <c r="I239" s="17">
        <f t="shared" si="209"/>
        <v>0</v>
      </c>
      <c r="J239" s="17">
        <f t="shared" si="210"/>
        <v>0</v>
      </c>
      <c r="K239" s="17">
        <f>'1 - Input'!$B$22*(H239-J239)</f>
        <v>0</v>
      </c>
      <c r="L239" s="17">
        <f t="shared" si="211"/>
        <v>0</v>
      </c>
      <c r="M239" s="17">
        <f t="shared" si="212"/>
        <v>0</v>
      </c>
      <c r="N239" s="17">
        <f>IF('1 - Input'!$B$17=1,MAX(0,L239-D239),0)</f>
        <v>0</v>
      </c>
      <c r="O239" s="17">
        <f>IF('1 - Input'!$B$17=1,MAX(0,D239-L239),0)</f>
        <v>3706.5214037446526</v>
      </c>
      <c r="P239" s="17">
        <f t="shared" si="213"/>
        <v>0</v>
      </c>
      <c r="Q239" s="17">
        <f>IF(AND(O239&gt;0,I239&gt;0),O239/(1-'1 - Input'!$B$22*P239),0)</f>
        <v>0</v>
      </c>
      <c r="R239" s="17">
        <f t="shared" si="214"/>
        <v>0</v>
      </c>
      <c r="S239" s="17">
        <f>'1 - Input'!$B$22*P239*R239</f>
        <v>0</v>
      </c>
      <c r="T239" s="17">
        <f t="shared" si="215"/>
        <v>0</v>
      </c>
      <c r="U239" s="17">
        <f t="shared" si="216"/>
        <v>3706.5214037446526</v>
      </c>
      <c r="V239" s="17">
        <f t="shared" si="217"/>
        <v>0</v>
      </c>
      <c r="W239" s="17">
        <f t="shared" si="218"/>
        <v>0</v>
      </c>
      <c r="X239" s="17">
        <f t="shared" si="219"/>
        <v>0</v>
      </c>
      <c r="Y239" s="17">
        <f>IF(MOD(A239,12)=0,W239*'1 - Input'!$B$23,0)</f>
        <v>0</v>
      </c>
      <c r="Z239" s="17">
        <f t="shared" si="220"/>
        <v>0</v>
      </c>
      <c r="AA239" s="17">
        <f>IF(MOD(A239,12)=0,X239*(1-'1 - Input'!$B$23),X239)</f>
        <v>0</v>
      </c>
      <c r="AB239" s="17">
        <f>IF('1 - Input'!$B$17=1,MIN(L239,D239)+T239,L239)</f>
        <v>0</v>
      </c>
      <c r="AC239" s="17">
        <f t="shared" si="254"/>
        <v>590482.93849429931</v>
      </c>
      <c r="AD239" s="17">
        <f t="shared" si="255"/>
        <v>101441.90180685223</v>
      </c>
      <c r="AE239" s="17">
        <f t="shared" si="256"/>
        <v>0</v>
      </c>
      <c r="AF239" s="17">
        <f t="shared" si="257"/>
        <v>174289.24056370757</v>
      </c>
      <c r="AG239" s="17">
        <f t="shared" si="258"/>
        <v>8123.5662772395826</v>
      </c>
      <c r="AH239" s="17">
        <f t="shared" si="259"/>
        <v>28255.9893674706</v>
      </c>
      <c r="AI239" s="15">
        <f t="shared" si="221"/>
        <v>1</v>
      </c>
      <c r="AK239" s="14">
        <v>196</v>
      </c>
      <c r="AL239" s="15">
        <f t="shared" si="222"/>
        <v>17</v>
      </c>
      <c r="AM239" s="16">
        <f>(1+INDEX('1 - Input'!$B$34:$E$63,AL239,'1 - Input'!$B$16))^(1/12)-1</f>
        <v>4.1219243192651689E-3</v>
      </c>
      <c r="AN239" s="17">
        <f>'1 - Input'!$B$7*(1+'1 - Input'!$B$12)^(AL239-1)</f>
        <v>3706.5214037446526</v>
      </c>
      <c r="AO239" s="17">
        <f t="shared" si="260"/>
        <v>0</v>
      </c>
      <c r="AP239" s="17">
        <f t="shared" si="261"/>
        <v>0</v>
      </c>
      <c r="AQ239" s="17">
        <f t="shared" si="223"/>
        <v>0</v>
      </c>
      <c r="AR239" s="17">
        <f>IF(AQ239&gt;0,'1 - Input'!$B$8/12*AQ239,0)</f>
        <v>0</v>
      </c>
      <c r="AS239" s="17">
        <f t="shared" si="224"/>
        <v>0</v>
      </c>
      <c r="AT239" s="17">
        <f t="shared" si="225"/>
        <v>0</v>
      </c>
      <c r="AU239" s="17">
        <f>'1 - Input'!$B$22*(AR239-AT239)</f>
        <v>0</v>
      </c>
      <c r="AV239" s="17">
        <f t="shared" si="226"/>
        <v>0</v>
      </c>
      <c r="AW239" s="17">
        <f t="shared" si="227"/>
        <v>0</v>
      </c>
      <c r="AX239" s="17">
        <f>IF('1 - Input'!$B$17=1,MAX(0,AV239-AN239),0)</f>
        <v>0</v>
      </c>
      <c r="AY239" s="17">
        <f>IF('1 - Input'!$B$17=1,MAX(0,AN239-AV239),0)</f>
        <v>3706.5214037446526</v>
      </c>
      <c r="AZ239" s="17">
        <f t="shared" si="228"/>
        <v>0</v>
      </c>
      <c r="BA239" s="17">
        <f>IF(AND(AY239&gt;0,AS239&gt;0),AY239/(1-'1 - Input'!$B$22*AZ239),0)</f>
        <v>0</v>
      </c>
      <c r="BB239" s="17">
        <f t="shared" si="229"/>
        <v>0</v>
      </c>
      <c r="BC239" s="17">
        <f>'1 - Input'!$B$22*AZ239*BB239</f>
        <v>0</v>
      </c>
      <c r="BD239" s="17">
        <f t="shared" si="230"/>
        <v>0</v>
      </c>
      <c r="BE239" s="17">
        <f t="shared" si="231"/>
        <v>3706.5214037446526</v>
      </c>
      <c r="BF239" s="17">
        <f t="shared" si="232"/>
        <v>0</v>
      </c>
      <c r="BG239" s="17">
        <f t="shared" si="233"/>
        <v>0</v>
      </c>
      <c r="BH239" s="17">
        <f t="shared" si="234"/>
        <v>0</v>
      </c>
      <c r="BI239" s="17">
        <f>IF(MOD(AK239,12)=0,BG239*'1 - Input'!$B$23,0)</f>
        <v>0</v>
      </c>
      <c r="BJ239" s="17">
        <f t="shared" si="235"/>
        <v>0</v>
      </c>
      <c r="BK239" s="17">
        <f>IF(MOD(AK239,12)=0,BH239*(1-'1 - Input'!$B$23),BH239)</f>
        <v>0</v>
      </c>
      <c r="BL239" s="17">
        <f>IF('1 - Input'!$B$17=1,MIN(AV239,AN239)+BD239,AV239)</f>
        <v>0</v>
      </c>
      <c r="BM239" s="17">
        <f t="shared" si="262"/>
        <v>590482.93849429931</v>
      </c>
      <c r="BN239" s="17">
        <f t="shared" si="263"/>
        <v>101441.90180685223</v>
      </c>
      <c r="BO239" s="17">
        <f t="shared" si="264"/>
        <v>0</v>
      </c>
      <c r="BP239" s="17">
        <f t="shared" si="265"/>
        <v>174289.24056370757</v>
      </c>
      <c r="BQ239" s="17">
        <f t="shared" si="266"/>
        <v>8123.5662772395826</v>
      </c>
      <c r="BR239" s="17">
        <f t="shared" si="267"/>
        <v>28255.9893674706</v>
      </c>
      <c r="BS239" s="15">
        <f t="shared" si="236"/>
        <v>1</v>
      </c>
      <c r="BU239" s="14">
        <v>196</v>
      </c>
      <c r="BV239" s="15">
        <f t="shared" si="237"/>
        <v>17</v>
      </c>
      <c r="BW239" s="16">
        <f>(1+INDEX('1 - Input'!$B$34:$E$63,BV239,'1 - Input'!$B$16))^(1/12)-1</f>
        <v>4.1219243192651689E-3</v>
      </c>
      <c r="BX239" s="17">
        <f>'1 - Input'!$B$7*(1+'1 - Input'!$B$12)^(BV239-1)</f>
        <v>3706.5214037446526</v>
      </c>
      <c r="BY239" s="17">
        <f t="shared" si="268"/>
        <v>92904.345771250955</v>
      </c>
      <c r="BZ239" s="17">
        <f t="shared" si="269"/>
        <v>0</v>
      </c>
      <c r="CA239" s="17">
        <f t="shared" si="238"/>
        <v>93287.2904534509</v>
      </c>
      <c r="CB239" s="17">
        <f>IF(CA239&gt;0,'1 - Input'!$B$8/12*CA239,0)</f>
        <v>699.65467840088172</v>
      </c>
      <c r="CC239" s="17">
        <f t="shared" si="239"/>
        <v>92587.635775050017</v>
      </c>
      <c r="CD239" s="17">
        <f t="shared" si="240"/>
        <v>0</v>
      </c>
      <c r="CE239" s="17">
        <f>'1 - Input'!$B$22*(CB239-CD239)</f>
        <v>181.91021638422924</v>
      </c>
      <c r="CF239" s="17">
        <f t="shared" si="241"/>
        <v>517.74446201665251</v>
      </c>
      <c r="CG239" s="17">
        <f t="shared" si="242"/>
        <v>0</v>
      </c>
      <c r="CH239" s="17">
        <f>IF('1 - Input'!$B$17=1,MAX(0,CF239-BX239),0)</f>
        <v>0</v>
      </c>
      <c r="CI239" s="17">
        <f>IF('1 - Input'!$B$17=1,MAX(0,BX239-CF239),0)</f>
        <v>3188.7769417280001</v>
      </c>
      <c r="CJ239" s="17">
        <f t="shared" si="243"/>
        <v>1</v>
      </c>
      <c r="CK239" s="17">
        <f>IF(AND(CI239&gt;0,CC239&gt;0),CI239/(1-'1 - Input'!$B$22*CJ239),0)</f>
        <v>4309.1580293621628</v>
      </c>
      <c r="CL239" s="17">
        <f t="shared" si="244"/>
        <v>4309.1580293621628</v>
      </c>
      <c r="CM239" s="17">
        <f>'1 - Input'!$B$22*CJ239*CL239</f>
        <v>1120.3810876341624</v>
      </c>
      <c r="CN239" s="17">
        <f t="shared" si="245"/>
        <v>3188.7769417280006</v>
      </c>
      <c r="CO239" s="17">
        <f t="shared" si="246"/>
        <v>0</v>
      </c>
      <c r="CP239" s="17">
        <f t="shared" si="247"/>
        <v>0</v>
      </c>
      <c r="CQ239" s="17">
        <f t="shared" si="248"/>
        <v>88278.477745687851</v>
      </c>
      <c r="CR239" s="17">
        <f t="shared" si="249"/>
        <v>0</v>
      </c>
      <c r="CS239" s="17">
        <f>IF(MOD(BU239,12)=0,CQ239*'1 - Input'!$B$23,0)</f>
        <v>0</v>
      </c>
      <c r="CT239" s="17">
        <f t="shared" si="250"/>
        <v>88278.477745687851</v>
      </c>
      <c r="CU239" s="17">
        <f>IF(MOD(BU239,12)=0,CR239*(1-'1 - Input'!$B$23),CR239)</f>
        <v>0</v>
      </c>
      <c r="CV239" s="17">
        <f>IF('1 - Input'!$B$17=1,MIN(CF239,BX239)+CN239,CF239)</f>
        <v>3706.5214037446531</v>
      </c>
      <c r="CW239" s="17">
        <f t="shared" si="270"/>
        <v>618738.92786177027</v>
      </c>
      <c r="CX239" s="17">
        <f t="shared" si="271"/>
        <v>4339.458951922973</v>
      </c>
      <c r="CY239" s="17">
        <f t="shared" si="272"/>
        <v>44352.645507857043</v>
      </c>
      <c r="CZ239" s="17">
        <f t="shared" si="273"/>
        <v>0</v>
      </c>
      <c r="DA239" s="17">
        <f t="shared" si="274"/>
        <v>10852.957529653762</v>
      </c>
      <c r="DB239" s="17">
        <f t="shared" si="275"/>
        <v>0</v>
      </c>
      <c r="DC239" s="15">
        <f t="shared" si="251"/>
        <v>0</v>
      </c>
    </row>
    <row r="240" spans="1:107">
      <c r="A240" s="14">
        <v>197</v>
      </c>
      <c r="B240" s="15">
        <f t="shared" si="207"/>
        <v>17</v>
      </c>
      <c r="C240" s="16">
        <f>(1+INDEX('1 - Input'!$B$34:$E$63,B240,'1 - Input'!$B$16))^(1/12)-1</f>
        <v>4.1219243192651689E-3</v>
      </c>
      <c r="D240" s="17">
        <f>'1 - Input'!$B$7*(1+'1 - Input'!$B$12)^(B240-1)</f>
        <v>3706.5214037446526</v>
      </c>
      <c r="E240" s="17">
        <f t="shared" si="252"/>
        <v>0</v>
      </c>
      <c r="F240" s="17">
        <f t="shared" si="253"/>
        <v>0</v>
      </c>
      <c r="G240" s="17">
        <f t="shared" si="208"/>
        <v>0</v>
      </c>
      <c r="H240" s="17">
        <f>IF(G240&gt;0,'1 - Input'!$B$8/12*G240,0)</f>
        <v>0</v>
      </c>
      <c r="I240" s="17">
        <f t="shared" si="209"/>
        <v>0</v>
      </c>
      <c r="J240" s="17">
        <f t="shared" si="210"/>
        <v>0</v>
      </c>
      <c r="K240" s="17">
        <f>'1 - Input'!$B$22*(H240-J240)</f>
        <v>0</v>
      </c>
      <c r="L240" s="17">
        <f t="shared" si="211"/>
        <v>0</v>
      </c>
      <c r="M240" s="17">
        <f t="shared" si="212"/>
        <v>0</v>
      </c>
      <c r="N240" s="17">
        <f>IF('1 - Input'!$B$17=1,MAX(0,L240-D240),0)</f>
        <v>0</v>
      </c>
      <c r="O240" s="17">
        <f>IF('1 - Input'!$B$17=1,MAX(0,D240-L240),0)</f>
        <v>3706.5214037446526</v>
      </c>
      <c r="P240" s="17">
        <f t="shared" si="213"/>
        <v>0</v>
      </c>
      <c r="Q240" s="17">
        <f>IF(AND(O240&gt;0,I240&gt;0),O240/(1-'1 - Input'!$B$22*P240),0)</f>
        <v>0</v>
      </c>
      <c r="R240" s="17">
        <f t="shared" si="214"/>
        <v>0</v>
      </c>
      <c r="S240" s="17">
        <f>'1 - Input'!$B$22*P240*R240</f>
        <v>0</v>
      </c>
      <c r="T240" s="17">
        <f t="shared" si="215"/>
        <v>0</v>
      </c>
      <c r="U240" s="17">
        <f t="shared" si="216"/>
        <v>3706.5214037446526</v>
      </c>
      <c r="V240" s="17">
        <f t="shared" si="217"/>
        <v>0</v>
      </c>
      <c r="W240" s="17">
        <f t="shared" si="218"/>
        <v>0</v>
      </c>
      <c r="X240" s="17">
        <f t="shared" si="219"/>
        <v>0</v>
      </c>
      <c r="Y240" s="17">
        <f>IF(MOD(A240,12)=0,W240*'1 - Input'!$B$23,0)</f>
        <v>0</v>
      </c>
      <c r="Z240" s="17">
        <f t="shared" si="220"/>
        <v>0</v>
      </c>
      <c r="AA240" s="17">
        <f>IF(MOD(A240,12)=0,X240*(1-'1 - Input'!$B$23),X240)</f>
        <v>0</v>
      </c>
      <c r="AB240" s="17">
        <f>IF('1 - Input'!$B$17=1,MIN(L240,D240)+T240,L240)</f>
        <v>0</v>
      </c>
      <c r="AC240" s="17">
        <f t="shared" si="254"/>
        <v>590482.93849429931</v>
      </c>
      <c r="AD240" s="17">
        <f t="shared" si="255"/>
        <v>101441.90180685223</v>
      </c>
      <c r="AE240" s="17">
        <f t="shared" si="256"/>
        <v>0</v>
      </c>
      <c r="AF240" s="17">
        <f t="shared" si="257"/>
        <v>174289.24056370757</v>
      </c>
      <c r="AG240" s="17">
        <f t="shared" si="258"/>
        <v>8123.5662772395826</v>
      </c>
      <c r="AH240" s="17">
        <f t="shared" si="259"/>
        <v>31962.510771215253</v>
      </c>
      <c r="AI240" s="15">
        <f t="shared" si="221"/>
        <v>1</v>
      </c>
      <c r="AK240" s="14">
        <v>197</v>
      </c>
      <c r="AL240" s="15">
        <f t="shared" si="222"/>
        <v>17</v>
      </c>
      <c r="AM240" s="16">
        <f>(1+INDEX('1 - Input'!$B$34:$E$63,AL240,'1 - Input'!$B$16))^(1/12)-1</f>
        <v>4.1219243192651689E-3</v>
      </c>
      <c r="AN240" s="17">
        <f>'1 - Input'!$B$7*(1+'1 - Input'!$B$12)^(AL240-1)</f>
        <v>3706.5214037446526</v>
      </c>
      <c r="AO240" s="17">
        <f t="shared" si="260"/>
        <v>0</v>
      </c>
      <c r="AP240" s="17">
        <f t="shared" si="261"/>
        <v>0</v>
      </c>
      <c r="AQ240" s="17">
        <f t="shared" si="223"/>
        <v>0</v>
      </c>
      <c r="AR240" s="17">
        <f>IF(AQ240&gt;0,'1 - Input'!$B$8/12*AQ240,0)</f>
        <v>0</v>
      </c>
      <c r="AS240" s="17">
        <f t="shared" si="224"/>
        <v>0</v>
      </c>
      <c r="AT240" s="17">
        <f t="shared" si="225"/>
        <v>0</v>
      </c>
      <c r="AU240" s="17">
        <f>'1 - Input'!$B$22*(AR240-AT240)</f>
        <v>0</v>
      </c>
      <c r="AV240" s="17">
        <f t="shared" si="226"/>
        <v>0</v>
      </c>
      <c r="AW240" s="17">
        <f t="shared" si="227"/>
        <v>0</v>
      </c>
      <c r="AX240" s="17">
        <f>IF('1 - Input'!$B$17=1,MAX(0,AV240-AN240),0)</f>
        <v>0</v>
      </c>
      <c r="AY240" s="17">
        <f>IF('1 - Input'!$B$17=1,MAX(0,AN240-AV240),0)</f>
        <v>3706.5214037446526</v>
      </c>
      <c r="AZ240" s="17">
        <f t="shared" si="228"/>
        <v>0</v>
      </c>
      <c r="BA240" s="17">
        <f>IF(AND(AY240&gt;0,AS240&gt;0),AY240/(1-'1 - Input'!$B$22*AZ240),0)</f>
        <v>0</v>
      </c>
      <c r="BB240" s="17">
        <f t="shared" si="229"/>
        <v>0</v>
      </c>
      <c r="BC240" s="17">
        <f>'1 - Input'!$B$22*AZ240*BB240</f>
        <v>0</v>
      </c>
      <c r="BD240" s="17">
        <f t="shared" si="230"/>
        <v>0</v>
      </c>
      <c r="BE240" s="17">
        <f t="shared" si="231"/>
        <v>3706.5214037446526</v>
      </c>
      <c r="BF240" s="17">
        <f t="shared" si="232"/>
        <v>0</v>
      </c>
      <c r="BG240" s="17">
        <f t="shared" si="233"/>
        <v>0</v>
      </c>
      <c r="BH240" s="17">
        <f t="shared" si="234"/>
        <v>0</v>
      </c>
      <c r="BI240" s="17">
        <f>IF(MOD(AK240,12)=0,BG240*'1 - Input'!$B$23,0)</f>
        <v>0</v>
      </c>
      <c r="BJ240" s="17">
        <f t="shared" si="235"/>
        <v>0</v>
      </c>
      <c r="BK240" s="17">
        <f>IF(MOD(AK240,12)=0,BH240*(1-'1 - Input'!$B$23),BH240)</f>
        <v>0</v>
      </c>
      <c r="BL240" s="17">
        <f>IF('1 - Input'!$B$17=1,MIN(AV240,AN240)+BD240,AV240)</f>
        <v>0</v>
      </c>
      <c r="BM240" s="17">
        <f t="shared" si="262"/>
        <v>590482.93849429931</v>
      </c>
      <c r="BN240" s="17">
        <f t="shared" si="263"/>
        <v>101441.90180685223</v>
      </c>
      <c r="BO240" s="17">
        <f t="shared" si="264"/>
        <v>0</v>
      </c>
      <c r="BP240" s="17">
        <f t="shared" si="265"/>
        <v>174289.24056370757</v>
      </c>
      <c r="BQ240" s="17">
        <f t="shared" si="266"/>
        <v>8123.5662772395826</v>
      </c>
      <c r="BR240" s="17">
        <f t="shared" si="267"/>
        <v>31962.510771215253</v>
      </c>
      <c r="BS240" s="15">
        <f t="shared" si="236"/>
        <v>1</v>
      </c>
      <c r="BU240" s="14">
        <v>197</v>
      </c>
      <c r="BV240" s="15">
        <f t="shared" si="237"/>
        <v>17</v>
      </c>
      <c r="BW240" s="16">
        <f>(1+INDEX('1 - Input'!$B$34:$E$63,BV240,'1 - Input'!$B$16))^(1/12)-1</f>
        <v>4.1219243192651689E-3</v>
      </c>
      <c r="BX240" s="17">
        <f>'1 - Input'!$B$7*(1+'1 - Input'!$B$12)^(BV240-1)</f>
        <v>3706.5214037446526</v>
      </c>
      <c r="BY240" s="17">
        <f t="shared" si="268"/>
        <v>88278.477745687851</v>
      </c>
      <c r="BZ240" s="17">
        <f t="shared" si="269"/>
        <v>0</v>
      </c>
      <c r="CA240" s="17">
        <f t="shared" si="238"/>
        <v>88642.354949975517</v>
      </c>
      <c r="CB240" s="17">
        <f>IF(CA240&gt;0,'1 - Input'!$B$8/12*CA240,0)</f>
        <v>664.81766212481637</v>
      </c>
      <c r="CC240" s="17">
        <f t="shared" si="239"/>
        <v>87977.537287850704</v>
      </c>
      <c r="CD240" s="17">
        <f t="shared" si="240"/>
        <v>0</v>
      </c>
      <c r="CE240" s="17">
        <f>'1 - Input'!$B$22*(CB240-CD240)</f>
        <v>172.85259215245227</v>
      </c>
      <c r="CF240" s="17">
        <f t="shared" si="241"/>
        <v>491.96506997236406</v>
      </c>
      <c r="CG240" s="17">
        <f t="shared" si="242"/>
        <v>0</v>
      </c>
      <c r="CH240" s="17">
        <f>IF('1 - Input'!$B$17=1,MAX(0,CF240-BX240),0)</f>
        <v>0</v>
      </c>
      <c r="CI240" s="17">
        <f>IF('1 - Input'!$B$17=1,MAX(0,BX240-CF240),0)</f>
        <v>3214.5563337722888</v>
      </c>
      <c r="CJ240" s="17">
        <f t="shared" si="243"/>
        <v>1</v>
      </c>
      <c r="CK240" s="17">
        <f>IF(AND(CI240&gt;0,CC240&gt;0),CI240/(1-'1 - Input'!$B$22*CJ240),0)</f>
        <v>4343.9950456382285</v>
      </c>
      <c r="CL240" s="17">
        <f t="shared" si="244"/>
        <v>4343.9950456382285</v>
      </c>
      <c r="CM240" s="17">
        <f>'1 - Input'!$B$22*CJ240*CL240</f>
        <v>1129.4387118659395</v>
      </c>
      <c r="CN240" s="17">
        <f t="shared" si="245"/>
        <v>3214.5563337722888</v>
      </c>
      <c r="CO240" s="17">
        <f t="shared" si="246"/>
        <v>0</v>
      </c>
      <c r="CP240" s="17">
        <f t="shared" si="247"/>
        <v>0</v>
      </c>
      <c r="CQ240" s="17">
        <f t="shared" si="248"/>
        <v>83633.542242212483</v>
      </c>
      <c r="CR240" s="17">
        <f t="shared" si="249"/>
        <v>0</v>
      </c>
      <c r="CS240" s="17">
        <f>IF(MOD(BU240,12)=0,CQ240*'1 - Input'!$B$23,0)</f>
        <v>0</v>
      </c>
      <c r="CT240" s="17">
        <f t="shared" si="250"/>
        <v>83633.542242212483</v>
      </c>
      <c r="CU240" s="17">
        <f>IF(MOD(BU240,12)=0,CR240*(1-'1 - Input'!$B$23),CR240)</f>
        <v>0</v>
      </c>
      <c r="CV240" s="17">
        <f>IF('1 - Input'!$B$17=1,MIN(CF240,BX240)+CN240,CF240)</f>
        <v>3706.5214037446531</v>
      </c>
      <c r="CW240" s="17">
        <f t="shared" si="270"/>
        <v>622445.44926551497</v>
      </c>
      <c r="CX240" s="17">
        <f t="shared" si="271"/>
        <v>4512.3115440754254</v>
      </c>
      <c r="CY240" s="17">
        <f t="shared" si="272"/>
        <v>45482.084219722979</v>
      </c>
      <c r="CZ240" s="17">
        <f t="shared" si="273"/>
        <v>0</v>
      </c>
      <c r="DA240" s="17">
        <f t="shared" si="274"/>
        <v>10852.957529653762</v>
      </c>
      <c r="DB240" s="17">
        <f t="shared" si="275"/>
        <v>0</v>
      </c>
      <c r="DC240" s="15">
        <f t="shared" si="251"/>
        <v>0</v>
      </c>
    </row>
    <row r="241" spans="1:107">
      <c r="A241" s="14">
        <v>198</v>
      </c>
      <c r="B241" s="15">
        <f t="shared" si="207"/>
        <v>17</v>
      </c>
      <c r="C241" s="16">
        <f>(1+INDEX('1 - Input'!$B$34:$E$63,B241,'1 - Input'!$B$16))^(1/12)-1</f>
        <v>4.1219243192651689E-3</v>
      </c>
      <c r="D241" s="17">
        <f>'1 - Input'!$B$7*(1+'1 - Input'!$B$12)^(B241-1)</f>
        <v>3706.5214037446526</v>
      </c>
      <c r="E241" s="17">
        <f t="shared" si="252"/>
        <v>0</v>
      </c>
      <c r="F241" s="17">
        <f t="shared" si="253"/>
        <v>0</v>
      </c>
      <c r="G241" s="17">
        <f t="shared" si="208"/>
        <v>0</v>
      </c>
      <c r="H241" s="17">
        <f>IF(G241&gt;0,'1 - Input'!$B$8/12*G241,0)</f>
        <v>0</v>
      </c>
      <c r="I241" s="17">
        <f t="shared" si="209"/>
        <v>0</v>
      </c>
      <c r="J241" s="17">
        <f t="shared" si="210"/>
        <v>0</v>
      </c>
      <c r="K241" s="17">
        <f>'1 - Input'!$B$22*(H241-J241)</f>
        <v>0</v>
      </c>
      <c r="L241" s="17">
        <f t="shared" si="211"/>
        <v>0</v>
      </c>
      <c r="M241" s="17">
        <f t="shared" si="212"/>
        <v>0</v>
      </c>
      <c r="N241" s="17">
        <f>IF('1 - Input'!$B$17=1,MAX(0,L241-D241),0)</f>
        <v>0</v>
      </c>
      <c r="O241" s="17">
        <f>IF('1 - Input'!$B$17=1,MAX(0,D241-L241),0)</f>
        <v>3706.5214037446526</v>
      </c>
      <c r="P241" s="17">
        <f t="shared" si="213"/>
        <v>0</v>
      </c>
      <c r="Q241" s="17">
        <f>IF(AND(O241&gt;0,I241&gt;0),O241/(1-'1 - Input'!$B$22*P241),0)</f>
        <v>0</v>
      </c>
      <c r="R241" s="17">
        <f t="shared" si="214"/>
        <v>0</v>
      </c>
      <c r="S241" s="17">
        <f>'1 - Input'!$B$22*P241*R241</f>
        <v>0</v>
      </c>
      <c r="T241" s="17">
        <f t="shared" si="215"/>
        <v>0</v>
      </c>
      <c r="U241" s="17">
        <f t="shared" si="216"/>
        <v>3706.5214037446526</v>
      </c>
      <c r="V241" s="17">
        <f t="shared" si="217"/>
        <v>0</v>
      </c>
      <c r="W241" s="17">
        <f t="shared" si="218"/>
        <v>0</v>
      </c>
      <c r="X241" s="17">
        <f t="shared" si="219"/>
        <v>0</v>
      </c>
      <c r="Y241" s="17">
        <f>IF(MOD(A241,12)=0,W241*'1 - Input'!$B$23,0)</f>
        <v>0</v>
      </c>
      <c r="Z241" s="17">
        <f t="shared" si="220"/>
        <v>0</v>
      </c>
      <c r="AA241" s="17">
        <f>IF(MOD(A241,12)=0,X241*(1-'1 - Input'!$B$23),X241)</f>
        <v>0</v>
      </c>
      <c r="AB241" s="17">
        <f>IF('1 - Input'!$B$17=1,MIN(L241,D241)+T241,L241)</f>
        <v>0</v>
      </c>
      <c r="AC241" s="17">
        <f t="shared" si="254"/>
        <v>590482.93849429931</v>
      </c>
      <c r="AD241" s="17">
        <f t="shared" si="255"/>
        <v>101441.90180685223</v>
      </c>
      <c r="AE241" s="17">
        <f t="shared" si="256"/>
        <v>0</v>
      </c>
      <c r="AF241" s="17">
        <f t="shared" si="257"/>
        <v>174289.24056370757</v>
      </c>
      <c r="AG241" s="17">
        <f t="shared" si="258"/>
        <v>8123.5662772395826</v>
      </c>
      <c r="AH241" s="17">
        <f t="shared" si="259"/>
        <v>35669.032174959902</v>
      </c>
      <c r="AI241" s="15">
        <f t="shared" si="221"/>
        <v>1</v>
      </c>
      <c r="AK241" s="14">
        <v>198</v>
      </c>
      <c r="AL241" s="15">
        <f t="shared" si="222"/>
        <v>17</v>
      </c>
      <c r="AM241" s="16">
        <f>(1+INDEX('1 - Input'!$B$34:$E$63,AL241,'1 - Input'!$B$16))^(1/12)-1</f>
        <v>4.1219243192651689E-3</v>
      </c>
      <c r="AN241" s="17">
        <f>'1 - Input'!$B$7*(1+'1 - Input'!$B$12)^(AL241-1)</f>
        <v>3706.5214037446526</v>
      </c>
      <c r="AO241" s="17">
        <f t="shared" si="260"/>
        <v>0</v>
      </c>
      <c r="AP241" s="17">
        <f t="shared" si="261"/>
        <v>0</v>
      </c>
      <c r="AQ241" s="17">
        <f t="shared" si="223"/>
        <v>0</v>
      </c>
      <c r="AR241" s="17">
        <f>IF(AQ241&gt;0,'1 - Input'!$B$8/12*AQ241,0)</f>
        <v>0</v>
      </c>
      <c r="AS241" s="17">
        <f t="shared" si="224"/>
        <v>0</v>
      </c>
      <c r="AT241" s="17">
        <f t="shared" si="225"/>
        <v>0</v>
      </c>
      <c r="AU241" s="17">
        <f>'1 - Input'!$B$22*(AR241-AT241)</f>
        <v>0</v>
      </c>
      <c r="AV241" s="17">
        <f t="shared" si="226"/>
        <v>0</v>
      </c>
      <c r="AW241" s="17">
        <f t="shared" si="227"/>
        <v>0</v>
      </c>
      <c r="AX241" s="17">
        <f>IF('1 - Input'!$B$17=1,MAX(0,AV241-AN241),0)</f>
        <v>0</v>
      </c>
      <c r="AY241" s="17">
        <f>IF('1 - Input'!$B$17=1,MAX(0,AN241-AV241),0)</f>
        <v>3706.5214037446526</v>
      </c>
      <c r="AZ241" s="17">
        <f t="shared" si="228"/>
        <v>0</v>
      </c>
      <c r="BA241" s="17">
        <f>IF(AND(AY241&gt;0,AS241&gt;0),AY241/(1-'1 - Input'!$B$22*AZ241),0)</f>
        <v>0</v>
      </c>
      <c r="BB241" s="17">
        <f t="shared" si="229"/>
        <v>0</v>
      </c>
      <c r="BC241" s="17">
        <f>'1 - Input'!$B$22*AZ241*BB241</f>
        <v>0</v>
      </c>
      <c r="BD241" s="17">
        <f t="shared" si="230"/>
        <v>0</v>
      </c>
      <c r="BE241" s="17">
        <f t="shared" si="231"/>
        <v>3706.5214037446526</v>
      </c>
      <c r="BF241" s="17">
        <f t="shared" si="232"/>
        <v>0</v>
      </c>
      <c r="BG241" s="17">
        <f t="shared" si="233"/>
        <v>0</v>
      </c>
      <c r="BH241" s="17">
        <f t="shared" si="234"/>
        <v>0</v>
      </c>
      <c r="BI241" s="17">
        <f>IF(MOD(AK241,12)=0,BG241*'1 - Input'!$B$23,0)</f>
        <v>0</v>
      </c>
      <c r="BJ241" s="17">
        <f t="shared" si="235"/>
        <v>0</v>
      </c>
      <c r="BK241" s="17">
        <f>IF(MOD(AK241,12)=0,BH241*(1-'1 - Input'!$B$23),BH241)</f>
        <v>0</v>
      </c>
      <c r="BL241" s="17">
        <f>IF('1 - Input'!$B$17=1,MIN(AV241,AN241)+BD241,AV241)</f>
        <v>0</v>
      </c>
      <c r="BM241" s="17">
        <f t="shared" si="262"/>
        <v>590482.93849429931</v>
      </c>
      <c r="BN241" s="17">
        <f t="shared" si="263"/>
        <v>101441.90180685223</v>
      </c>
      <c r="BO241" s="17">
        <f t="shared" si="264"/>
        <v>0</v>
      </c>
      <c r="BP241" s="17">
        <f t="shared" si="265"/>
        <v>174289.24056370757</v>
      </c>
      <c r="BQ241" s="17">
        <f t="shared" si="266"/>
        <v>8123.5662772395826</v>
      </c>
      <c r="BR241" s="17">
        <f t="shared" si="267"/>
        <v>35669.032174959902</v>
      </c>
      <c r="BS241" s="15">
        <f t="shared" si="236"/>
        <v>1</v>
      </c>
      <c r="BU241" s="14">
        <v>198</v>
      </c>
      <c r="BV241" s="15">
        <f t="shared" si="237"/>
        <v>17</v>
      </c>
      <c r="BW241" s="16">
        <f>(1+INDEX('1 - Input'!$B$34:$E$63,BV241,'1 - Input'!$B$16))^(1/12)-1</f>
        <v>4.1219243192651689E-3</v>
      </c>
      <c r="BX241" s="17">
        <f>'1 - Input'!$B$7*(1+'1 - Input'!$B$12)^(BV241-1)</f>
        <v>3706.5214037446526</v>
      </c>
      <c r="BY241" s="17">
        <f t="shared" si="268"/>
        <v>83633.542242212483</v>
      </c>
      <c r="BZ241" s="17">
        <f t="shared" si="269"/>
        <v>0</v>
      </c>
      <c r="CA241" s="17">
        <f t="shared" si="238"/>
        <v>83978.273373886943</v>
      </c>
      <c r="CB241" s="17">
        <f>IF(CA241&gt;0,'1 - Input'!$B$8/12*CA241,0)</f>
        <v>629.83705030415206</v>
      </c>
      <c r="CC241" s="17">
        <f t="shared" si="239"/>
        <v>83348.436323582791</v>
      </c>
      <c r="CD241" s="17">
        <f t="shared" si="240"/>
        <v>0</v>
      </c>
      <c r="CE241" s="17">
        <f>'1 - Input'!$B$22*(CB241-CD241)</f>
        <v>163.75763307907954</v>
      </c>
      <c r="CF241" s="17">
        <f t="shared" si="241"/>
        <v>466.07941722507252</v>
      </c>
      <c r="CG241" s="17">
        <f t="shared" si="242"/>
        <v>0</v>
      </c>
      <c r="CH241" s="17">
        <f>IF('1 - Input'!$B$17=1,MAX(0,CF241-BX241),0)</f>
        <v>0</v>
      </c>
      <c r="CI241" s="17">
        <f>IF('1 - Input'!$B$17=1,MAX(0,BX241-CF241),0)</f>
        <v>3240.44198651958</v>
      </c>
      <c r="CJ241" s="17">
        <f t="shared" si="243"/>
        <v>1</v>
      </c>
      <c r="CK241" s="17">
        <f>IF(AND(CI241&gt;0,CC241&gt;0),CI241/(1-'1 - Input'!$B$22*CJ241),0)</f>
        <v>4378.9756574588919</v>
      </c>
      <c r="CL241" s="17">
        <f t="shared" si="244"/>
        <v>4378.9756574588919</v>
      </c>
      <c r="CM241" s="17">
        <f>'1 - Input'!$B$22*CJ241*CL241</f>
        <v>1138.5336709393118</v>
      </c>
      <c r="CN241" s="17">
        <f t="shared" si="245"/>
        <v>3240.44198651958</v>
      </c>
      <c r="CO241" s="17">
        <f t="shared" si="246"/>
        <v>0</v>
      </c>
      <c r="CP241" s="17">
        <f t="shared" si="247"/>
        <v>0</v>
      </c>
      <c r="CQ241" s="17">
        <f t="shared" si="248"/>
        <v>78969.460666123894</v>
      </c>
      <c r="CR241" s="17">
        <f t="shared" si="249"/>
        <v>0</v>
      </c>
      <c r="CS241" s="17">
        <f>IF(MOD(BU241,12)=0,CQ241*'1 - Input'!$B$23,0)</f>
        <v>0</v>
      </c>
      <c r="CT241" s="17">
        <f t="shared" si="250"/>
        <v>78969.460666123894</v>
      </c>
      <c r="CU241" s="17">
        <f>IF(MOD(BU241,12)=0,CR241*(1-'1 - Input'!$B$23),CR241)</f>
        <v>0</v>
      </c>
      <c r="CV241" s="17">
        <f>IF('1 - Input'!$B$17=1,MIN(CF241,BX241)+CN241,CF241)</f>
        <v>3706.5214037446526</v>
      </c>
      <c r="CW241" s="17">
        <f t="shared" si="270"/>
        <v>626151.97066925967</v>
      </c>
      <c r="CX241" s="17">
        <f t="shared" si="271"/>
        <v>4676.0691771545053</v>
      </c>
      <c r="CY241" s="17">
        <f t="shared" si="272"/>
        <v>46620.617890662288</v>
      </c>
      <c r="CZ241" s="17">
        <f t="shared" si="273"/>
        <v>0</v>
      </c>
      <c r="DA241" s="17">
        <f t="shared" si="274"/>
        <v>10852.957529653762</v>
      </c>
      <c r="DB241" s="17">
        <f t="shared" si="275"/>
        <v>0</v>
      </c>
      <c r="DC241" s="15">
        <f t="shared" si="251"/>
        <v>0</v>
      </c>
    </row>
    <row r="242" spans="1:107">
      <c r="A242" s="14">
        <v>199</v>
      </c>
      <c r="B242" s="15">
        <f t="shared" si="207"/>
        <v>17</v>
      </c>
      <c r="C242" s="16">
        <f>(1+INDEX('1 - Input'!$B$34:$E$63,B242,'1 - Input'!$B$16))^(1/12)-1</f>
        <v>4.1219243192651689E-3</v>
      </c>
      <c r="D242" s="17">
        <f>'1 - Input'!$B$7*(1+'1 - Input'!$B$12)^(B242-1)</f>
        <v>3706.5214037446526</v>
      </c>
      <c r="E242" s="17">
        <f t="shared" si="252"/>
        <v>0</v>
      </c>
      <c r="F242" s="17">
        <f t="shared" si="253"/>
        <v>0</v>
      </c>
      <c r="G242" s="17">
        <f t="shared" si="208"/>
        <v>0</v>
      </c>
      <c r="H242" s="17">
        <f>IF(G242&gt;0,'1 - Input'!$B$8/12*G242,0)</f>
        <v>0</v>
      </c>
      <c r="I242" s="17">
        <f t="shared" si="209"/>
        <v>0</v>
      </c>
      <c r="J242" s="17">
        <f t="shared" si="210"/>
        <v>0</v>
      </c>
      <c r="K242" s="17">
        <f>'1 - Input'!$B$22*(H242-J242)</f>
        <v>0</v>
      </c>
      <c r="L242" s="17">
        <f t="shared" si="211"/>
        <v>0</v>
      </c>
      <c r="M242" s="17">
        <f t="shared" si="212"/>
        <v>0</v>
      </c>
      <c r="N242" s="17">
        <f>IF('1 - Input'!$B$17=1,MAX(0,L242-D242),0)</f>
        <v>0</v>
      </c>
      <c r="O242" s="17">
        <f>IF('1 - Input'!$B$17=1,MAX(0,D242-L242),0)</f>
        <v>3706.5214037446526</v>
      </c>
      <c r="P242" s="17">
        <f t="shared" si="213"/>
        <v>0</v>
      </c>
      <c r="Q242" s="17">
        <f>IF(AND(O242&gt;0,I242&gt;0),O242/(1-'1 - Input'!$B$22*P242),0)</f>
        <v>0</v>
      </c>
      <c r="R242" s="17">
        <f t="shared" si="214"/>
        <v>0</v>
      </c>
      <c r="S242" s="17">
        <f>'1 - Input'!$B$22*P242*R242</f>
        <v>0</v>
      </c>
      <c r="T242" s="17">
        <f t="shared" si="215"/>
        <v>0</v>
      </c>
      <c r="U242" s="17">
        <f t="shared" si="216"/>
        <v>3706.5214037446526</v>
      </c>
      <c r="V242" s="17">
        <f t="shared" si="217"/>
        <v>0</v>
      </c>
      <c r="W242" s="17">
        <f t="shared" si="218"/>
        <v>0</v>
      </c>
      <c r="X242" s="17">
        <f t="shared" si="219"/>
        <v>0</v>
      </c>
      <c r="Y242" s="17">
        <f>IF(MOD(A242,12)=0,W242*'1 - Input'!$B$23,0)</f>
        <v>0</v>
      </c>
      <c r="Z242" s="17">
        <f t="shared" si="220"/>
        <v>0</v>
      </c>
      <c r="AA242" s="17">
        <f>IF(MOD(A242,12)=0,X242*(1-'1 - Input'!$B$23),X242)</f>
        <v>0</v>
      </c>
      <c r="AB242" s="17">
        <f>IF('1 - Input'!$B$17=1,MIN(L242,D242)+T242,L242)</f>
        <v>0</v>
      </c>
      <c r="AC242" s="17">
        <f t="shared" si="254"/>
        <v>590482.93849429931</v>
      </c>
      <c r="AD242" s="17">
        <f t="shared" si="255"/>
        <v>101441.90180685223</v>
      </c>
      <c r="AE242" s="17">
        <f t="shared" si="256"/>
        <v>0</v>
      </c>
      <c r="AF242" s="17">
        <f t="shared" si="257"/>
        <v>174289.24056370757</v>
      </c>
      <c r="AG242" s="17">
        <f t="shared" si="258"/>
        <v>8123.5662772395826</v>
      </c>
      <c r="AH242" s="17">
        <f t="shared" si="259"/>
        <v>39375.553578704552</v>
      </c>
      <c r="AI242" s="15">
        <f t="shared" si="221"/>
        <v>1</v>
      </c>
      <c r="AK242" s="14">
        <v>199</v>
      </c>
      <c r="AL242" s="15">
        <f t="shared" si="222"/>
        <v>17</v>
      </c>
      <c r="AM242" s="16">
        <f>(1+INDEX('1 - Input'!$B$34:$E$63,AL242,'1 - Input'!$B$16))^(1/12)-1</f>
        <v>4.1219243192651689E-3</v>
      </c>
      <c r="AN242" s="17">
        <f>'1 - Input'!$B$7*(1+'1 - Input'!$B$12)^(AL242-1)</f>
        <v>3706.5214037446526</v>
      </c>
      <c r="AO242" s="17">
        <f t="shared" si="260"/>
        <v>0</v>
      </c>
      <c r="AP242" s="17">
        <f t="shared" si="261"/>
        <v>0</v>
      </c>
      <c r="AQ242" s="17">
        <f t="shared" si="223"/>
        <v>0</v>
      </c>
      <c r="AR242" s="17">
        <f>IF(AQ242&gt;0,'1 - Input'!$B$8/12*AQ242,0)</f>
        <v>0</v>
      </c>
      <c r="AS242" s="17">
        <f t="shared" si="224"/>
        <v>0</v>
      </c>
      <c r="AT242" s="17">
        <f t="shared" si="225"/>
        <v>0</v>
      </c>
      <c r="AU242" s="17">
        <f>'1 - Input'!$B$22*(AR242-AT242)</f>
        <v>0</v>
      </c>
      <c r="AV242" s="17">
        <f t="shared" si="226"/>
        <v>0</v>
      </c>
      <c r="AW242" s="17">
        <f t="shared" si="227"/>
        <v>0</v>
      </c>
      <c r="AX242" s="17">
        <f>IF('1 - Input'!$B$17=1,MAX(0,AV242-AN242),0)</f>
        <v>0</v>
      </c>
      <c r="AY242" s="17">
        <f>IF('1 - Input'!$B$17=1,MAX(0,AN242-AV242),0)</f>
        <v>3706.5214037446526</v>
      </c>
      <c r="AZ242" s="17">
        <f t="shared" si="228"/>
        <v>0</v>
      </c>
      <c r="BA242" s="17">
        <f>IF(AND(AY242&gt;0,AS242&gt;0),AY242/(1-'1 - Input'!$B$22*AZ242),0)</f>
        <v>0</v>
      </c>
      <c r="BB242" s="17">
        <f t="shared" si="229"/>
        <v>0</v>
      </c>
      <c r="BC242" s="17">
        <f>'1 - Input'!$B$22*AZ242*BB242</f>
        <v>0</v>
      </c>
      <c r="BD242" s="17">
        <f t="shared" si="230"/>
        <v>0</v>
      </c>
      <c r="BE242" s="17">
        <f t="shared" si="231"/>
        <v>3706.5214037446526</v>
      </c>
      <c r="BF242" s="17">
        <f t="shared" si="232"/>
        <v>0</v>
      </c>
      <c r="BG242" s="17">
        <f t="shared" si="233"/>
        <v>0</v>
      </c>
      <c r="BH242" s="17">
        <f t="shared" si="234"/>
        <v>0</v>
      </c>
      <c r="BI242" s="17">
        <f>IF(MOD(AK242,12)=0,BG242*'1 - Input'!$B$23,0)</f>
        <v>0</v>
      </c>
      <c r="BJ242" s="17">
        <f t="shared" si="235"/>
        <v>0</v>
      </c>
      <c r="BK242" s="17">
        <f>IF(MOD(AK242,12)=0,BH242*(1-'1 - Input'!$B$23),BH242)</f>
        <v>0</v>
      </c>
      <c r="BL242" s="17">
        <f>IF('1 - Input'!$B$17=1,MIN(AV242,AN242)+BD242,AV242)</f>
        <v>0</v>
      </c>
      <c r="BM242" s="17">
        <f t="shared" si="262"/>
        <v>590482.93849429931</v>
      </c>
      <c r="BN242" s="17">
        <f t="shared" si="263"/>
        <v>101441.90180685223</v>
      </c>
      <c r="BO242" s="17">
        <f t="shared" si="264"/>
        <v>0</v>
      </c>
      <c r="BP242" s="17">
        <f t="shared" si="265"/>
        <v>174289.24056370757</v>
      </c>
      <c r="BQ242" s="17">
        <f t="shared" si="266"/>
        <v>8123.5662772395826</v>
      </c>
      <c r="BR242" s="17">
        <f t="shared" si="267"/>
        <v>39375.553578704552</v>
      </c>
      <c r="BS242" s="15">
        <f t="shared" si="236"/>
        <v>1</v>
      </c>
      <c r="BU242" s="14">
        <v>199</v>
      </c>
      <c r="BV242" s="15">
        <f t="shared" si="237"/>
        <v>17</v>
      </c>
      <c r="BW242" s="16">
        <f>(1+INDEX('1 - Input'!$B$34:$E$63,BV242,'1 - Input'!$B$16))^(1/12)-1</f>
        <v>4.1219243192651689E-3</v>
      </c>
      <c r="BX242" s="17">
        <f>'1 - Input'!$B$7*(1+'1 - Input'!$B$12)^(BV242-1)</f>
        <v>3706.5214037446526</v>
      </c>
      <c r="BY242" s="17">
        <f t="shared" si="268"/>
        <v>78969.460666123894</v>
      </c>
      <c r="BZ242" s="17">
        <f t="shared" si="269"/>
        <v>0</v>
      </c>
      <c r="CA242" s="17">
        <f t="shared" si="238"/>
        <v>79294.966806522847</v>
      </c>
      <c r="CB242" s="17">
        <f>IF(CA242&gt;0,'1 - Input'!$B$8/12*CA242,0)</f>
        <v>594.7122510489213</v>
      </c>
      <c r="CC242" s="17">
        <f t="shared" si="239"/>
        <v>78700.254555473919</v>
      </c>
      <c r="CD242" s="17">
        <f t="shared" si="240"/>
        <v>0</v>
      </c>
      <c r="CE242" s="17">
        <f>'1 - Input'!$B$22*(CB242-CD242)</f>
        <v>154.62518527271953</v>
      </c>
      <c r="CF242" s="17">
        <f t="shared" si="241"/>
        <v>440.08706577620177</v>
      </c>
      <c r="CG242" s="17">
        <f t="shared" si="242"/>
        <v>0</v>
      </c>
      <c r="CH242" s="17">
        <f>IF('1 - Input'!$B$17=1,MAX(0,CF242-BX242),0)</f>
        <v>0</v>
      </c>
      <c r="CI242" s="17">
        <f>IF('1 - Input'!$B$17=1,MAX(0,BX242-CF242),0)</f>
        <v>3266.434337968451</v>
      </c>
      <c r="CJ242" s="17">
        <f t="shared" si="243"/>
        <v>1</v>
      </c>
      <c r="CK242" s="17">
        <f>IF(AND(CI242&gt;0,CC242&gt;0),CI242/(1-'1 - Input'!$B$22*CJ242),0)</f>
        <v>4414.1004567141226</v>
      </c>
      <c r="CL242" s="17">
        <f t="shared" si="244"/>
        <v>4414.1004567141226</v>
      </c>
      <c r="CM242" s="17">
        <f>'1 - Input'!$B$22*CJ242*CL242</f>
        <v>1147.6661187456718</v>
      </c>
      <c r="CN242" s="17">
        <f t="shared" si="245"/>
        <v>3266.4343379684506</v>
      </c>
      <c r="CO242" s="17">
        <f t="shared" si="246"/>
        <v>0</v>
      </c>
      <c r="CP242" s="17">
        <f t="shared" si="247"/>
        <v>0</v>
      </c>
      <c r="CQ242" s="17">
        <f t="shared" si="248"/>
        <v>74286.154098759798</v>
      </c>
      <c r="CR242" s="17">
        <f t="shared" si="249"/>
        <v>0</v>
      </c>
      <c r="CS242" s="17">
        <f>IF(MOD(BU242,12)=0,CQ242*'1 - Input'!$B$23,0)</f>
        <v>0</v>
      </c>
      <c r="CT242" s="17">
        <f t="shared" si="250"/>
        <v>74286.154098759798</v>
      </c>
      <c r="CU242" s="17">
        <f>IF(MOD(BU242,12)=0,CR242*(1-'1 - Input'!$B$23),CR242)</f>
        <v>0</v>
      </c>
      <c r="CV242" s="17">
        <f>IF('1 - Input'!$B$17=1,MIN(CF242,BX242)+CN242,CF242)</f>
        <v>3706.5214037446522</v>
      </c>
      <c r="CW242" s="17">
        <f t="shared" si="270"/>
        <v>629858.49207300437</v>
      </c>
      <c r="CX242" s="17">
        <f t="shared" si="271"/>
        <v>4830.6943624272244</v>
      </c>
      <c r="CY242" s="17">
        <f t="shared" si="272"/>
        <v>47768.284009407958</v>
      </c>
      <c r="CZ242" s="17">
        <f t="shared" si="273"/>
        <v>0</v>
      </c>
      <c r="DA242" s="17">
        <f t="shared" si="274"/>
        <v>10852.957529653762</v>
      </c>
      <c r="DB242" s="17">
        <f t="shared" si="275"/>
        <v>0</v>
      </c>
      <c r="DC242" s="15">
        <f t="shared" si="251"/>
        <v>0</v>
      </c>
    </row>
    <row r="243" spans="1:107">
      <c r="A243" s="14">
        <v>200</v>
      </c>
      <c r="B243" s="15">
        <f t="shared" si="207"/>
        <v>17</v>
      </c>
      <c r="C243" s="16">
        <f>(1+INDEX('1 - Input'!$B$34:$E$63,B243,'1 - Input'!$B$16))^(1/12)-1</f>
        <v>4.1219243192651689E-3</v>
      </c>
      <c r="D243" s="17">
        <f>'1 - Input'!$B$7*(1+'1 - Input'!$B$12)^(B243-1)</f>
        <v>3706.5214037446526</v>
      </c>
      <c r="E243" s="17">
        <f t="shared" si="252"/>
        <v>0</v>
      </c>
      <c r="F243" s="17">
        <f t="shared" si="253"/>
        <v>0</v>
      </c>
      <c r="G243" s="17">
        <f t="shared" si="208"/>
        <v>0</v>
      </c>
      <c r="H243" s="17">
        <f>IF(G243&gt;0,'1 - Input'!$B$8/12*G243,0)</f>
        <v>0</v>
      </c>
      <c r="I243" s="17">
        <f t="shared" si="209"/>
        <v>0</v>
      </c>
      <c r="J243" s="17">
        <f t="shared" si="210"/>
        <v>0</v>
      </c>
      <c r="K243" s="17">
        <f>'1 - Input'!$B$22*(H243-J243)</f>
        <v>0</v>
      </c>
      <c r="L243" s="17">
        <f t="shared" si="211"/>
        <v>0</v>
      </c>
      <c r="M243" s="17">
        <f t="shared" si="212"/>
        <v>0</v>
      </c>
      <c r="N243" s="17">
        <f>IF('1 - Input'!$B$17=1,MAX(0,L243-D243),0)</f>
        <v>0</v>
      </c>
      <c r="O243" s="17">
        <f>IF('1 - Input'!$B$17=1,MAX(0,D243-L243),0)</f>
        <v>3706.5214037446526</v>
      </c>
      <c r="P243" s="17">
        <f t="shared" si="213"/>
        <v>0</v>
      </c>
      <c r="Q243" s="17">
        <f>IF(AND(O243&gt;0,I243&gt;0),O243/(1-'1 - Input'!$B$22*P243),0)</f>
        <v>0</v>
      </c>
      <c r="R243" s="17">
        <f t="shared" si="214"/>
        <v>0</v>
      </c>
      <c r="S243" s="17">
        <f>'1 - Input'!$B$22*P243*R243</f>
        <v>0</v>
      </c>
      <c r="T243" s="17">
        <f t="shared" si="215"/>
        <v>0</v>
      </c>
      <c r="U243" s="17">
        <f t="shared" si="216"/>
        <v>3706.5214037446526</v>
      </c>
      <c r="V243" s="17">
        <f t="shared" si="217"/>
        <v>0</v>
      </c>
      <c r="W243" s="17">
        <f t="shared" si="218"/>
        <v>0</v>
      </c>
      <c r="X243" s="17">
        <f t="shared" si="219"/>
        <v>0</v>
      </c>
      <c r="Y243" s="17">
        <f>IF(MOD(A243,12)=0,W243*'1 - Input'!$B$23,0)</f>
        <v>0</v>
      </c>
      <c r="Z243" s="17">
        <f t="shared" si="220"/>
        <v>0</v>
      </c>
      <c r="AA243" s="17">
        <f>IF(MOD(A243,12)=0,X243*(1-'1 - Input'!$B$23),X243)</f>
        <v>0</v>
      </c>
      <c r="AB243" s="17">
        <f>IF('1 - Input'!$B$17=1,MIN(L243,D243)+T243,L243)</f>
        <v>0</v>
      </c>
      <c r="AC243" s="17">
        <f t="shared" si="254"/>
        <v>590482.93849429931</v>
      </c>
      <c r="AD243" s="17">
        <f t="shared" si="255"/>
        <v>101441.90180685223</v>
      </c>
      <c r="AE243" s="17">
        <f t="shared" si="256"/>
        <v>0</v>
      </c>
      <c r="AF243" s="17">
        <f t="shared" si="257"/>
        <v>174289.24056370757</v>
      </c>
      <c r="AG243" s="17">
        <f t="shared" si="258"/>
        <v>8123.5662772395826</v>
      </c>
      <c r="AH243" s="17">
        <f t="shared" si="259"/>
        <v>43082.074982449201</v>
      </c>
      <c r="AI243" s="15">
        <f t="shared" si="221"/>
        <v>1</v>
      </c>
      <c r="AK243" s="14">
        <v>200</v>
      </c>
      <c r="AL243" s="15">
        <f t="shared" si="222"/>
        <v>17</v>
      </c>
      <c r="AM243" s="16">
        <f>(1+INDEX('1 - Input'!$B$34:$E$63,AL243,'1 - Input'!$B$16))^(1/12)-1</f>
        <v>4.1219243192651689E-3</v>
      </c>
      <c r="AN243" s="17">
        <f>'1 - Input'!$B$7*(1+'1 - Input'!$B$12)^(AL243-1)</f>
        <v>3706.5214037446526</v>
      </c>
      <c r="AO243" s="17">
        <f t="shared" si="260"/>
        <v>0</v>
      </c>
      <c r="AP243" s="17">
        <f t="shared" si="261"/>
        <v>0</v>
      </c>
      <c r="AQ243" s="17">
        <f t="shared" si="223"/>
        <v>0</v>
      </c>
      <c r="AR243" s="17">
        <f>IF(AQ243&gt;0,'1 - Input'!$B$8/12*AQ243,0)</f>
        <v>0</v>
      </c>
      <c r="AS243" s="17">
        <f t="shared" si="224"/>
        <v>0</v>
      </c>
      <c r="AT243" s="17">
        <f t="shared" si="225"/>
        <v>0</v>
      </c>
      <c r="AU243" s="17">
        <f>'1 - Input'!$B$22*(AR243-AT243)</f>
        <v>0</v>
      </c>
      <c r="AV243" s="17">
        <f t="shared" si="226"/>
        <v>0</v>
      </c>
      <c r="AW243" s="17">
        <f t="shared" si="227"/>
        <v>0</v>
      </c>
      <c r="AX243" s="17">
        <f>IF('1 - Input'!$B$17=1,MAX(0,AV243-AN243),0)</f>
        <v>0</v>
      </c>
      <c r="AY243" s="17">
        <f>IF('1 - Input'!$B$17=1,MAX(0,AN243-AV243),0)</f>
        <v>3706.5214037446526</v>
      </c>
      <c r="AZ243" s="17">
        <f t="shared" si="228"/>
        <v>0</v>
      </c>
      <c r="BA243" s="17">
        <f>IF(AND(AY243&gt;0,AS243&gt;0),AY243/(1-'1 - Input'!$B$22*AZ243),0)</f>
        <v>0</v>
      </c>
      <c r="BB243" s="17">
        <f t="shared" si="229"/>
        <v>0</v>
      </c>
      <c r="BC243" s="17">
        <f>'1 - Input'!$B$22*AZ243*BB243</f>
        <v>0</v>
      </c>
      <c r="BD243" s="17">
        <f t="shared" si="230"/>
        <v>0</v>
      </c>
      <c r="BE243" s="17">
        <f t="shared" si="231"/>
        <v>3706.5214037446526</v>
      </c>
      <c r="BF243" s="17">
        <f t="shared" si="232"/>
        <v>0</v>
      </c>
      <c r="BG243" s="17">
        <f t="shared" si="233"/>
        <v>0</v>
      </c>
      <c r="BH243" s="17">
        <f t="shared" si="234"/>
        <v>0</v>
      </c>
      <c r="BI243" s="17">
        <f>IF(MOD(AK243,12)=0,BG243*'1 - Input'!$B$23,0)</f>
        <v>0</v>
      </c>
      <c r="BJ243" s="17">
        <f t="shared" si="235"/>
        <v>0</v>
      </c>
      <c r="BK243" s="17">
        <f>IF(MOD(AK243,12)=0,BH243*(1-'1 - Input'!$B$23),BH243)</f>
        <v>0</v>
      </c>
      <c r="BL243" s="17">
        <f>IF('1 - Input'!$B$17=1,MIN(AV243,AN243)+BD243,AV243)</f>
        <v>0</v>
      </c>
      <c r="BM243" s="17">
        <f t="shared" si="262"/>
        <v>590482.93849429931</v>
      </c>
      <c r="BN243" s="17">
        <f t="shared" si="263"/>
        <v>101441.90180685223</v>
      </c>
      <c r="BO243" s="17">
        <f t="shared" si="264"/>
        <v>0</v>
      </c>
      <c r="BP243" s="17">
        <f t="shared" si="265"/>
        <v>174289.24056370757</v>
      </c>
      <c r="BQ243" s="17">
        <f t="shared" si="266"/>
        <v>8123.5662772395826</v>
      </c>
      <c r="BR243" s="17">
        <f t="shared" si="267"/>
        <v>43082.074982449201</v>
      </c>
      <c r="BS243" s="15">
        <f t="shared" si="236"/>
        <v>1</v>
      </c>
      <c r="BU243" s="14">
        <v>200</v>
      </c>
      <c r="BV243" s="15">
        <f t="shared" si="237"/>
        <v>17</v>
      </c>
      <c r="BW243" s="16">
        <f>(1+INDEX('1 - Input'!$B$34:$E$63,BV243,'1 - Input'!$B$16))^(1/12)-1</f>
        <v>4.1219243192651689E-3</v>
      </c>
      <c r="BX243" s="17">
        <f>'1 - Input'!$B$7*(1+'1 - Input'!$B$12)^(BV243-1)</f>
        <v>3706.5214037446526</v>
      </c>
      <c r="BY243" s="17">
        <f t="shared" si="268"/>
        <v>74286.154098759798</v>
      </c>
      <c r="BZ243" s="17">
        <f t="shared" si="269"/>
        <v>0</v>
      </c>
      <c r="CA243" s="17">
        <f t="shared" si="238"/>
        <v>74592.356003924157</v>
      </c>
      <c r="CB243" s="17">
        <f>IF(CA243&gt;0,'1 - Input'!$B$8/12*CA243,0)</f>
        <v>559.44267002943116</v>
      </c>
      <c r="CC243" s="17">
        <f t="shared" si="239"/>
        <v>74032.913333894729</v>
      </c>
      <c r="CD243" s="17">
        <f t="shared" si="240"/>
        <v>0</v>
      </c>
      <c r="CE243" s="17">
        <f>'1 - Input'!$B$22*(CB243-CD243)</f>
        <v>145.45509420765211</v>
      </c>
      <c r="CF243" s="17">
        <f t="shared" si="241"/>
        <v>413.98757582177905</v>
      </c>
      <c r="CG243" s="17">
        <f t="shared" si="242"/>
        <v>0</v>
      </c>
      <c r="CH243" s="17">
        <f>IF('1 - Input'!$B$17=1,MAX(0,CF243-BX243),0)</f>
        <v>0</v>
      </c>
      <c r="CI243" s="17">
        <f>IF('1 - Input'!$B$17=1,MAX(0,BX243-CF243),0)</f>
        <v>3292.5338279228736</v>
      </c>
      <c r="CJ243" s="17">
        <f t="shared" si="243"/>
        <v>1</v>
      </c>
      <c r="CK243" s="17">
        <f>IF(AND(CI243&gt;0,CC243&gt;0),CI243/(1-'1 - Input'!$B$22*CJ243),0)</f>
        <v>4449.3700377336127</v>
      </c>
      <c r="CL243" s="17">
        <f t="shared" si="244"/>
        <v>4449.3700377336127</v>
      </c>
      <c r="CM243" s="17">
        <f>'1 - Input'!$B$22*CJ243*CL243</f>
        <v>1156.8362098107393</v>
      </c>
      <c r="CN243" s="17">
        <f t="shared" si="245"/>
        <v>3292.5338279228736</v>
      </c>
      <c r="CO243" s="17">
        <f t="shared" si="246"/>
        <v>0</v>
      </c>
      <c r="CP243" s="17">
        <f t="shared" si="247"/>
        <v>0</v>
      </c>
      <c r="CQ243" s="17">
        <f t="shared" si="248"/>
        <v>69583.543296161122</v>
      </c>
      <c r="CR243" s="17">
        <f t="shared" si="249"/>
        <v>0</v>
      </c>
      <c r="CS243" s="17">
        <f>IF(MOD(BU243,12)=0,CQ243*'1 - Input'!$B$23,0)</f>
        <v>0</v>
      </c>
      <c r="CT243" s="17">
        <f t="shared" si="250"/>
        <v>69583.543296161122</v>
      </c>
      <c r="CU243" s="17">
        <f>IF(MOD(BU243,12)=0,CR243*(1-'1 - Input'!$B$23),CR243)</f>
        <v>0</v>
      </c>
      <c r="CV243" s="17">
        <f>IF('1 - Input'!$B$17=1,MIN(CF243,BX243)+CN243,CF243)</f>
        <v>3706.5214037446526</v>
      </c>
      <c r="CW243" s="17">
        <f t="shared" si="270"/>
        <v>633565.01347674907</v>
      </c>
      <c r="CX243" s="17">
        <f t="shared" si="271"/>
        <v>4976.1494566348765</v>
      </c>
      <c r="CY243" s="17">
        <f t="shared" si="272"/>
        <v>48925.120219218697</v>
      </c>
      <c r="CZ243" s="17">
        <f t="shared" si="273"/>
        <v>0</v>
      </c>
      <c r="DA243" s="17">
        <f t="shared" si="274"/>
        <v>10852.957529653762</v>
      </c>
      <c r="DB243" s="17">
        <f t="shared" si="275"/>
        <v>0</v>
      </c>
      <c r="DC243" s="15">
        <f t="shared" si="251"/>
        <v>0</v>
      </c>
    </row>
    <row r="244" spans="1:107">
      <c r="A244" s="14">
        <v>201</v>
      </c>
      <c r="B244" s="15">
        <f t="shared" si="207"/>
        <v>17</v>
      </c>
      <c r="C244" s="16">
        <f>(1+INDEX('1 - Input'!$B$34:$E$63,B244,'1 - Input'!$B$16))^(1/12)-1</f>
        <v>4.1219243192651689E-3</v>
      </c>
      <c r="D244" s="17">
        <f>'1 - Input'!$B$7*(1+'1 - Input'!$B$12)^(B244-1)</f>
        <v>3706.5214037446526</v>
      </c>
      <c r="E244" s="17">
        <f t="shared" si="252"/>
        <v>0</v>
      </c>
      <c r="F244" s="17">
        <f t="shared" si="253"/>
        <v>0</v>
      </c>
      <c r="G244" s="17">
        <f t="shared" si="208"/>
        <v>0</v>
      </c>
      <c r="H244" s="17">
        <f>IF(G244&gt;0,'1 - Input'!$B$8/12*G244,0)</f>
        <v>0</v>
      </c>
      <c r="I244" s="17">
        <f t="shared" si="209"/>
        <v>0</v>
      </c>
      <c r="J244" s="17">
        <f t="shared" si="210"/>
        <v>0</v>
      </c>
      <c r="K244" s="17">
        <f>'1 - Input'!$B$22*(H244-J244)</f>
        <v>0</v>
      </c>
      <c r="L244" s="17">
        <f t="shared" si="211"/>
        <v>0</v>
      </c>
      <c r="M244" s="17">
        <f t="shared" si="212"/>
        <v>0</v>
      </c>
      <c r="N244" s="17">
        <f>IF('1 - Input'!$B$17=1,MAX(0,L244-D244),0)</f>
        <v>0</v>
      </c>
      <c r="O244" s="17">
        <f>IF('1 - Input'!$B$17=1,MAX(0,D244-L244),0)</f>
        <v>3706.5214037446526</v>
      </c>
      <c r="P244" s="17">
        <f t="shared" si="213"/>
        <v>0</v>
      </c>
      <c r="Q244" s="17">
        <f>IF(AND(O244&gt;0,I244&gt;0),O244/(1-'1 - Input'!$B$22*P244),0)</f>
        <v>0</v>
      </c>
      <c r="R244" s="17">
        <f t="shared" si="214"/>
        <v>0</v>
      </c>
      <c r="S244" s="17">
        <f>'1 - Input'!$B$22*P244*R244</f>
        <v>0</v>
      </c>
      <c r="T244" s="17">
        <f t="shared" si="215"/>
        <v>0</v>
      </c>
      <c r="U244" s="17">
        <f t="shared" si="216"/>
        <v>3706.5214037446526</v>
      </c>
      <c r="V244" s="17">
        <f t="shared" si="217"/>
        <v>0</v>
      </c>
      <c r="W244" s="17">
        <f t="shared" si="218"/>
        <v>0</v>
      </c>
      <c r="X244" s="17">
        <f t="shared" si="219"/>
        <v>0</v>
      </c>
      <c r="Y244" s="17">
        <f>IF(MOD(A244,12)=0,W244*'1 - Input'!$B$23,0)</f>
        <v>0</v>
      </c>
      <c r="Z244" s="17">
        <f t="shared" si="220"/>
        <v>0</v>
      </c>
      <c r="AA244" s="17">
        <f>IF(MOD(A244,12)=0,X244*(1-'1 - Input'!$B$23),X244)</f>
        <v>0</v>
      </c>
      <c r="AB244" s="17">
        <f>IF('1 - Input'!$B$17=1,MIN(L244,D244)+T244,L244)</f>
        <v>0</v>
      </c>
      <c r="AC244" s="17">
        <f t="shared" si="254"/>
        <v>590482.93849429931</v>
      </c>
      <c r="AD244" s="17">
        <f t="shared" si="255"/>
        <v>101441.90180685223</v>
      </c>
      <c r="AE244" s="17">
        <f t="shared" si="256"/>
        <v>0</v>
      </c>
      <c r="AF244" s="17">
        <f t="shared" si="257"/>
        <v>174289.24056370757</v>
      </c>
      <c r="AG244" s="17">
        <f t="shared" si="258"/>
        <v>8123.5662772395826</v>
      </c>
      <c r="AH244" s="17">
        <f t="shared" si="259"/>
        <v>46788.596386193851</v>
      </c>
      <c r="AI244" s="15">
        <f t="shared" si="221"/>
        <v>1</v>
      </c>
      <c r="AK244" s="14">
        <v>201</v>
      </c>
      <c r="AL244" s="15">
        <f t="shared" si="222"/>
        <v>17</v>
      </c>
      <c r="AM244" s="16">
        <f>(1+INDEX('1 - Input'!$B$34:$E$63,AL244,'1 - Input'!$B$16))^(1/12)-1</f>
        <v>4.1219243192651689E-3</v>
      </c>
      <c r="AN244" s="17">
        <f>'1 - Input'!$B$7*(1+'1 - Input'!$B$12)^(AL244-1)</f>
        <v>3706.5214037446526</v>
      </c>
      <c r="AO244" s="17">
        <f t="shared" si="260"/>
        <v>0</v>
      </c>
      <c r="AP244" s="17">
        <f t="shared" si="261"/>
        <v>0</v>
      </c>
      <c r="AQ244" s="17">
        <f t="shared" si="223"/>
        <v>0</v>
      </c>
      <c r="AR244" s="17">
        <f>IF(AQ244&gt;0,'1 - Input'!$B$8/12*AQ244,0)</f>
        <v>0</v>
      </c>
      <c r="AS244" s="17">
        <f t="shared" si="224"/>
        <v>0</v>
      </c>
      <c r="AT244" s="17">
        <f t="shared" si="225"/>
        <v>0</v>
      </c>
      <c r="AU244" s="17">
        <f>'1 - Input'!$B$22*(AR244-AT244)</f>
        <v>0</v>
      </c>
      <c r="AV244" s="17">
        <f t="shared" si="226"/>
        <v>0</v>
      </c>
      <c r="AW244" s="17">
        <f t="shared" si="227"/>
        <v>0</v>
      </c>
      <c r="AX244" s="17">
        <f>IF('1 - Input'!$B$17=1,MAX(0,AV244-AN244),0)</f>
        <v>0</v>
      </c>
      <c r="AY244" s="17">
        <f>IF('1 - Input'!$B$17=1,MAX(0,AN244-AV244),0)</f>
        <v>3706.5214037446526</v>
      </c>
      <c r="AZ244" s="17">
        <f t="shared" si="228"/>
        <v>0</v>
      </c>
      <c r="BA244" s="17">
        <f>IF(AND(AY244&gt;0,AS244&gt;0),AY244/(1-'1 - Input'!$B$22*AZ244),0)</f>
        <v>0</v>
      </c>
      <c r="BB244" s="17">
        <f t="shared" si="229"/>
        <v>0</v>
      </c>
      <c r="BC244" s="17">
        <f>'1 - Input'!$B$22*AZ244*BB244</f>
        <v>0</v>
      </c>
      <c r="BD244" s="17">
        <f t="shared" si="230"/>
        <v>0</v>
      </c>
      <c r="BE244" s="17">
        <f t="shared" si="231"/>
        <v>3706.5214037446526</v>
      </c>
      <c r="BF244" s="17">
        <f t="shared" si="232"/>
        <v>0</v>
      </c>
      <c r="BG244" s="17">
        <f t="shared" si="233"/>
        <v>0</v>
      </c>
      <c r="BH244" s="17">
        <f t="shared" si="234"/>
        <v>0</v>
      </c>
      <c r="BI244" s="17">
        <f>IF(MOD(AK244,12)=0,BG244*'1 - Input'!$B$23,0)</f>
        <v>0</v>
      </c>
      <c r="BJ244" s="17">
        <f t="shared" si="235"/>
        <v>0</v>
      </c>
      <c r="BK244" s="17">
        <f>IF(MOD(AK244,12)=0,BH244*(1-'1 - Input'!$B$23),BH244)</f>
        <v>0</v>
      </c>
      <c r="BL244" s="17">
        <f>IF('1 - Input'!$B$17=1,MIN(AV244,AN244)+BD244,AV244)</f>
        <v>0</v>
      </c>
      <c r="BM244" s="17">
        <f t="shared" si="262"/>
        <v>590482.93849429931</v>
      </c>
      <c r="BN244" s="17">
        <f t="shared" si="263"/>
        <v>101441.90180685223</v>
      </c>
      <c r="BO244" s="17">
        <f t="shared" si="264"/>
        <v>0</v>
      </c>
      <c r="BP244" s="17">
        <f t="shared" si="265"/>
        <v>174289.24056370757</v>
      </c>
      <c r="BQ244" s="17">
        <f t="shared" si="266"/>
        <v>8123.5662772395826</v>
      </c>
      <c r="BR244" s="17">
        <f t="shared" si="267"/>
        <v>46788.596386193851</v>
      </c>
      <c r="BS244" s="15">
        <f t="shared" si="236"/>
        <v>1</v>
      </c>
      <c r="BU244" s="14">
        <v>201</v>
      </c>
      <c r="BV244" s="15">
        <f t="shared" si="237"/>
        <v>17</v>
      </c>
      <c r="BW244" s="16">
        <f>(1+INDEX('1 - Input'!$B$34:$E$63,BV244,'1 - Input'!$B$16))^(1/12)-1</f>
        <v>4.1219243192651689E-3</v>
      </c>
      <c r="BX244" s="17">
        <f>'1 - Input'!$B$7*(1+'1 - Input'!$B$12)^(BV244-1)</f>
        <v>3706.5214037446526</v>
      </c>
      <c r="BY244" s="17">
        <f t="shared" si="268"/>
        <v>69583.543296161122</v>
      </c>
      <c r="BZ244" s="17">
        <f t="shared" si="269"/>
        <v>0</v>
      </c>
      <c r="CA244" s="17">
        <f t="shared" si="238"/>
        <v>69870.361395494212</v>
      </c>
      <c r="CB244" s="17">
        <f>IF(CA244&gt;0,'1 - Input'!$B$8/12*CA244,0)</f>
        <v>524.0277104662066</v>
      </c>
      <c r="CC244" s="17">
        <f t="shared" si="239"/>
        <v>69346.333685028003</v>
      </c>
      <c r="CD244" s="17">
        <f t="shared" si="240"/>
        <v>0</v>
      </c>
      <c r="CE244" s="17">
        <f>'1 - Input'!$B$22*(CB244-CD244)</f>
        <v>136.24720472121373</v>
      </c>
      <c r="CF244" s="17">
        <f t="shared" si="241"/>
        <v>387.78050574499287</v>
      </c>
      <c r="CG244" s="17">
        <f t="shared" si="242"/>
        <v>0</v>
      </c>
      <c r="CH244" s="17">
        <f>IF('1 - Input'!$B$17=1,MAX(0,CF244-BX244),0)</f>
        <v>0</v>
      </c>
      <c r="CI244" s="17">
        <f>IF('1 - Input'!$B$17=1,MAX(0,BX244-CF244),0)</f>
        <v>3318.7408979996599</v>
      </c>
      <c r="CJ244" s="17">
        <f t="shared" si="243"/>
        <v>1</v>
      </c>
      <c r="CK244" s="17">
        <f>IF(AND(CI244&gt;0,CC244&gt;0),CI244/(1-'1 - Input'!$B$22*CJ244),0)</f>
        <v>4484.7849972968379</v>
      </c>
      <c r="CL244" s="17">
        <f t="shared" si="244"/>
        <v>4484.7849972968379</v>
      </c>
      <c r="CM244" s="17">
        <f>'1 - Input'!$B$22*CJ244*CL244</f>
        <v>1166.0440992971778</v>
      </c>
      <c r="CN244" s="17">
        <f t="shared" si="245"/>
        <v>3318.7408979996599</v>
      </c>
      <c r="CO244" s="17">
        <f t="shared" si="246"/>
        <v>0</v>
      </c>
      <c r="CP244" s="17">
        <f t="shared" si="247"/>
        <v>0</v>
      </c>
      <c r="CQ244" s="17">
        <f t="shared" si="248"/>
        <v>64861.548687731163</v>
      </c>
      <c r="CR244" s="17">
        <f t="shared" si="249"/>
        <v>0</v>
      </c>
      <c r="CS244" s="17">
        <f>IF(MOD(BU244,12)=0,CQ244*'1 - Input'!$B$23,0)</f>
        <v>0</v>
      </c>
      <c r="CT244" s="17">
        <f t="shared" si="250"/>
        <v>64861.548687731163</v>
      </c>
      <c r="CU244" s="17">
        <f>IF(MOD(BU244,12)=0,CR244*(1-'1 - Input'!$B$23),CR244)</f>
        <v>0</v>
      </c>
      <c r="CV244" s="17">
        <f>IF('1 - Input'!$B$17=1,MIN(CF244,BX244)+CN244,CF244)</f>
        <v>3706.5214037446526</v>
      </c>
      <c r="CW244" s="17">
        <f t="shared" si="270"/>
        <v>637271.53488049377</v>
      </c>
      <c r="CX244" s="17">
        <f t="shared" si="271"/>
        <v>5112.3966613560906</v>
      </c>
      <c r="CY244" s="17">
        <f t="shared" si="272"/>
        <v>50091.164318515875</v>
      </c>
      <c r="CZ244" s="17">
        <f t="shared" si="273"/>
        <v>0</v>
      </c>
      <c r="DA244" s="17">
        <f t="shared" si="274"/>
        <v>10852.957529653762</v>
      </c>
      <c r="DB244" s="17">
        <f t="shared" si="275"/>
        <v>0</v>
      </c>
      <c r="DC244" s="15">
        <f t="shared" si="251"/>
        <v>0</v>
      </c>
    </row>
    <row r="245" spans="1:107">
      <c r="A245" s="14">
        <v>202</v>
      </c>
      <c r="B245" s="15">
        <f t="shared" si="207"/>
        <v>17</v>
      </c>
      <c r="C245" s="16">
        <f>(1+INDEX('1 - Input'!$B$34:$E$63,B245,'1 - Input'!$B$16))^(1/12)-1</f>
        <v>4.1219243192651689E-3</v>
      </c>
      <c r="D245" s="17">
        <f>'1 - Input'!$B$7*(1+'1 - Input'!$B$12)^(B245-1)</f>
        <v>3706.5214037446526</v>
      </c>
      <c r="E245" s="17">
        <f t="shared" si="252"/>
        <v>0</v>
      </c>
      <c r="F245" s="17">
        <f t="shared" si="253"/>
        <v>0</v>
      </c>
      <c r="G245" s="17">
        <f t="shared" si="208"/>
        <v>0</v>
      </c>
      <c r="H245" s="17">
        <f>IF(G245&gt;0,'1 - Input'!$B$8/12*G245,0)</f>
        <v>0</v>
      </c>
      <c r="I245" s="17">
        <f t="shared" si="209"/>
        <v>0</v>
      </c>
      <c r="J245" s="17">
        <f t="shared" si="210"/>
        <v>0</v>
      </c>
      <c r="K245" s="17">
        <f>'1 - Input'!$B$22*(H245-J245)</f>
        <v>0</v>
      </c>
      <c r="L245" s="17">
        <f t="shared" si="211"/>
        <v>0</v>
      </c>
      <c r="M245" s="17">
        <f t="shared" si="212"/>
        <v>0</v>
      </c>
      <c r="N245" s="17">
        <f>IF('1 - Input'!$B$17=1,MAX(0,L245-D245),0)</f>
        <v>0</v>
      </c>
      <c r="O245" s="17">
        <f>IF('1 - Input'!$B$17=1,MAX(0,D245-L245),0)</f>
        <v>3706.5214037446526</v>
      </c>
      <c r="P245" s="17">
        <f t="shared" si="213"/>
        <v>0</v>
      </c>
      <c r="Q245" s="17">
        <f>IF(AND(O245&gt;0,I245&gt;0),O245/(1-'1 - Input'!$B$22*P245),0)</f>
        <v>0</v>
      </c>
      <c r="R245" s="17">
        <f t="shared" si="214"/>
        <v>0</v>
      </c>
      <c r="S245" s="17">
        <f>'1 - Input'!$B$22*P245*R245</f>
        <v>0</v>
      </c>
      <c r="T245" s="17">
        <f t="shared" si="215"/>
        <v>0</v>
      </c>
      <c r="U245" s="17">
        <f t="shared" si="216"/>
        <v>3706.5214037446526</v>
      </c>
      <c r="V245" s="17">
        <f t="shared" si="217"/>
        <v>0</v>
      </c>
      <c r="W245" s="17">
        <f t="shared" si="218"/>
        <v>0</v>
      </c>
      <c r="X245" s="17">
        <f t="shared" si="219"/>
        <v>0</v>
      </c>
      <c r="Y245" s="17">
        <f>IF(MOD(A245,12)=0,W245*'1 - Input'!$B$23,0)</f>
        <v>0</v>
      </c>
      <c r="Z245" s="17">
        <f t="shared" si="220"/>
        <v>0</v>
      </c>
      <c r="AA245" s="17">
        <f>IF(MOD(A245,12)=0,X245*(1-'1 - Input'!$B$23),X245)</f>
        <v>0</v>
      </c>
      <c r="AB245" s="17">
        <f>IF('1 - Input'!$B$17=1,MIN(L245,D245)+T245,L245)</f>
        <v>0</v>
      </c>
      <c r="AC245" s="17">
        <f t="shared" si="254"/>
        <v>590482.93849429931</v>
      </c>
      <c r="AD245" s="17">
        <f t="shared" si="255"/>
        <v>101441.90180685223</v>
      </c>
      <c r="AE245" s="17">
        <f t="shared" si="256"/>
        <v>0</v>
      </c>
      <c r="AF245" s="17">
        <f t="shared" si="257"/>
        <v>174289.24056370757</v>
      </c>
      <c r="AG245" s="17">
        <f t="shared" si="258"/>
        <v>8123.5662772395826</v>
      </c>
      <c r="AH245" s="17">
        <f t="shared" si="259"/>
        <v>50495.1177899385</v>
      </c>
      <c r="AI245" s="15">
        <f t="shared" si="221"/>
        <v>1</v>
      </c>
      <c r="AK245" s="14">
        <v>202</v>
      </c>
      <c r="AL245" s="15">
        <f t="shared" si="222"/>
        <v>17</v>
      </c>
      <c r="AM245" s="16">
        <f>(1+INDEX('1 - Input'!$B$34:$E$63,AL245,'1 - Input'!$B$16))^(1/12)-1</f>
        <v>4.1219243192651689E-3</v>
      </c>
      <c r="AN245" s="17">
        <f>'1 - Input'!$B$7*(1+'1 - Input'!$B$12)^(AL245-1)</f>
        <v>3706.5214037446526</v>
      </c>
      <c r="AO245" s="17">
        <f t="shared" si="260"/>
        <v>0</v>
      </c>
      <c r="AP245" s="17">
        <f t="shared" si="261"/>
        <v>0</v>
      </c>
      <c r="AQ245" s="17">
        <f t="shared" si="223"/>
        <v>0</v>
      </c>
      <c r="AR245" s="17">
        <f>IF(AQ245&gt;0,'1 - Input'!$B$8/12*AQ245,0)</f>
        <v>0</v>
      </c>
      <c r="AS245" s="17">
        <f t="shared" si="224"/>
        <v>0</v>
      </c>
      <c r="AT245" s="17">
        <f t="shared" si="225"/>
        <v>0</v>
      </c>
      <c r="AU245" s="17">
        <f>'1 - Input'!$B$22*(AR245-AT245)</f>
        <v>0</v>
      </c>
      <c r="AV245" s="17">
        <f t="shared" si="226"/>
        <v>0</v>
      </c>
      <c r="AW245" s="17">
        <f t="shared" si="227"/>
        <v>0</v>
      </c>
      <c r="AX245" s="17">
        <f>IF('1 - Input'!$B$17=1,MAX(0,AV245-AN245),0)</f>
        <v>0</v>
      </c>
      <c r="AY245" s="17">
        <f>IF('1 - Input'!$B$17=1,MAX(0,AN245-AV245),0)</f>
        <v>3706.5214037446526</v>
      </c>
      <c r="AZ245" s="17">
        <f t="shared" si="228"/>
        <v>0</v>
      </c>
      <c r="BA245" s="17">
        <f>IF(AND(AY245&gt;0,AS245&gt;0),AY245/(1-'1 - Input'!$B$22*AZ245),0)</f>
        <v>0</v>
      </c>
      <c r="BB245" s="17">
        <f t="shared" si="229"/>
        <v>0</v>
      </c>
      <c r="BC245" s="17">
        <f>'1 - Input'!$B$22*AZ245*BB245</f>
        <v>0</v>
      </c>
      <c r="BD245" s="17">
        <f t="shared" si="230"/>
        <v>0</v>
      </c>
      <c r="BE245" s="17">
        <f t="shared" si="231"/>
        <v>3706.5214037446526</v>
      </c>
      <c r="BF245" s="17">
        <f t="shared" si="232"/>
        <v>0</v>
      </c>
      <c r="BG245" s="17">
        <f t="shared" si="233"/>
        <v>0</v>
      </c>
      <c r="BH245" s="17">
        <f t="shared" si="234"/>
        <v>0</v>
      </c>
      <c r="BI245" s="17">
        <f>IF(MOD(AK245,12)=0,BG245*'1 - Input'!$B$23,0)</f>
        <v>0</v>
      </c>
      <c r="BJ245" s="17">
        <f t="shared" si="235"/>
        <v>0</v>
      </c>
      <c r="BK245" s="17">
        <f>IF(MOD(AK245,12)=0,BH245*(1-'1 - Input'!$B$23),BH245)</f>
        <v>0</v>
      </c>
      <c r="BL245" s="17">
        <f>IF('1 - Input'!$B$17=1,MIN(AV245,AN245)+BD245,AV245)</f>
        <v>0</v>
      </c>
      <c r="BM245" s="17">
        <f t="shared" si="262"/>
        <v>590482.93849429931</v>
      </c>
      <c r="BN245" s="17">
        <f t="shared" si="263"/>
        <v>101441.90180685223</v>
      </c>
      <c r="BO245" s="17">
        <f t="shared" si="264"/>
        <v>0</v>
      </c>
      <c r="BP245" s="17">
        <f t="shared" si="265"/>
        <v>174289.24056370757</v>
      </c>
      <c r="BQ245" s="17">
        <f t="shared" si="266"/>
        <v>8123.5662772395826</v>
      </c>
      <c r="BR245" s="17">
        <f t="shared" si="267"/>
        <v>50495.1177899385</v>
      </c>
      <c r="BS245" s="15">
        <f t="shared" si="236"/>
        <v>1</v>
      </c>
      <c r="BU245" s="14">
        <v>202</v>
      </c>
      <c r="BV245" s="15">
        <f t="shared" si="237"/>
        <v>17</v>
      </c>
      <c r="BW245" s="16">
        <f>(1+INDEX('1 - Input'!$B$34:$E$63,BV245,'1 - Input'!$B$16))^(1/12)-1</f>
        <v>4.1219243192651689E-3</v>
      </c>
      <c r="BX245" s="17">
        <f>'1 - Input'!$B$7*(1+'1 - Input'!$B$12)^(BV245-1)</f>
        <v>3706.5214037446526</v>
      </c>
      <c r="BY245" s="17">
        <f t="shared" si="268"/>
        <v>64861.548687731163</v>
      </c>
      <c r="BZ245" s="17">
        <f t="shared" si="269"/>
        <v>0</v>
      </c>
      <c r="CA245" s="17">
        <f t="shared" si="238"/>
        <v>65128.903082652323</v>
      </c>
      <c r="CB245" s="17">
        <f>IF(CA245&gt;0,'1 - Input'!$B$8/12*CA245,0)</f>
        <v>488.46677311989242</v>
      </c>
      <c r="CC245" s="17">
        <f t="shared" si="239"/>
        <v>64640.43630953243</v>
      </c>
      <c r="CD245" s="17">
        <f t="shared" si="240"/>
        <v>0</v>
      </c>
      <c r="CE245" s="17">
        <f>'1 - Input'!$B$22*(CB245-CD245)</f>
        <v>127.00136101117204</v>
      </c>
      <c r="CF245" s="17">
        <f t="shared" si="241"/>
        <v>361.46541210872039</v>
      </c>
      <c r="CG245" s="17">
        <f t="shared" si="242"/>
        <v>0</v>
      </c>
      <c r="CH245" s="17">
        <f>IF('1 - Input'!$B$17=1,MAX(0,CF245-BX245),0)</f>
        <v>0</v>
      </c>
      <c r="CI245" s="17">
        <f>IF('1 - Input'!$B$17=1,MAX(0,BX245-CF245),0)</f>
        <v>3345.0559916359321</v>
      </c>
      <c r="CJ245" s="17">
        <f t="shared" si="243"/>
        <v>1</v>
      </c>
      <c r="CK245" s="17">
        <f>IF(AND(CI245&gt;0,CC245&gt;0),CI245/(1-'1 - Input'!$B$22*CJ245),0)</f>
        <v>4520.3459346431518</v>
      </c>
      <c r="CL245" s="17">
        <f t="shared" si="244"/>
        <v>4520.3459346431518</v>
      </c>
      <c r="CM245" s="17">
        <f>'1 - Input'!$B$22*CJ245*CL245</f>
        <v>1175.2899430072196</v>
      </c>
      <c r="CN245" s="17">
        <f t="shared" si="245"/>
        <v>3345.0559916359325</v>
      </c>
      <c r="CO245" s="17">
        <f t="shared" si="246"/>
        <v>0</v>
      </c>
      <c r="CP245" s="17">
        <f t="shared" si="247"/>
        <v>0</v>
      </c>
      <c r="CQ245" s="17">
        <f t="shared" si="248"/>
        <v>60120.090374889274</v>
      </c>
      <c r="CR245" s="17">
        <f t="shared" si="249"/>
        <v>0</v>
      </c>
      <c r="CS245" s="17">
        <f>IF(MOD(BU245,12)=0,CQ245*'1 - Input'!$B$23,0)</f>
        <v>0</v>
      </c>
      <c r="CT245" s="17">
        <f t="shared" si="250"/>
        <v>60120.090374889274</v>
      </c>
      <c r="CU245" s="17">
        <f>IF(MOD(BU245,12)=0,CR245*(1-'1 - Input'!$B$23),CR245)</f>
        <v>0</v>
      </c>
      <c r="CV245" s="17">
        <f>IF('1 - Input'!$B$17=1,MIN(CF245,BX245)+CN245,CF245)</f>
        <v>3706.5214037446531</v>
      </c>
      <c r="CW245" s="17">
        <f t="shared" si="270"/>
        <v>640978.05628423847</v>
      </c>
      <c r="CX245" s="17">
        <f t="shared" si="271"/>
        <v>5239.3980223672625</v>
      </c>
      <c r="CY245" s="17">
        <f t="shared" si="272"/>
        <v>51266.454261523097</v>
      </c>
      <c r="CZ245" s="17">
        <f t="shared" si="273"/>
        <v>0</v>
      </c>
      <c r="DA245" s="17">
        <f t="shared" si="274"/>
        <v>10852.957529653762</v>
      </c>
      <c r="DB245" s="17">
        <f t="shared" si="275"/>
        <v>0</v>
      </c>
      <c r="DC245" s="15">
        <f t="shared" si="251"/>
        <v>0</v>
      </c>
    </row>
    <row r="246" spans="1:107">
      <c r="A246" s="14">
        <v>203</v>
      </c>
      <c r="B246" s="15">
        <f t="shared" si="207"/>
        <v>17</v>
      </c>
      <c r="C246" s="16">
        <f>(1+INDEX('1 - Input'!$B$34:$E$63,B246,'1 - Input'!$B$16))^(1/12)-1</f>
        <v>4.1219243192651689E-3</v>
      </c>
      <c r="D246" s="17">
        <f>'1 - Input'!$B$7*(1+'1 - Input'!$B$12)^(B246-1)</f>
        <v>3706.5214037446526</v>
      </c>
      <c r="E246" s="17">
        <f t="shared" si="252"/>
        <v>0</v>
      </c>
      <c r="F246" s="17">
        <f t="shared" si="253"/>
        <v>0</v>
      </c>
      <c r="G246" s="17">
        <f t="shared" si="208"/>
        <v>0</v>
      </c>
      <c r="H246" s="17">
        <f>IF(G246&gt;0,'1 - Input'!$B$8/12*G246,0)</f>
        <v>0</v>
      </c>
      <c r="I246" s="17">
        <f t="shared" si="209"/>
        <v>0</v>
      </c>
      <c r="J246" s="17">
        <f t="shared" si="210"/>
        <v>0</v>
      </c>
      <c r="K246" s="17">
        <f>'1 - Input'!$B$22*(H246-J246)</f>
        <v>0</v>
      </c>
      <c r="L246" s="17">
        <f t="shared" si="211"/>
        <v>0</v>
      </c>
      <c r="M246" s="17">
        <f t="shared" si="212"/>
        <v>0</v>
      </c>
      <c r="N246" s="17">
        <f>IF('1 - Input'!$B$17=1,MAX(0,L246-D246),0)</f>
        <v>0</v>
      </c>
      <c r="O246" s="17">
        <f>IF('1 - Input'!$B$17=1,MAX(0,D246-L246),0)</f>
        <v>3706.5214037446526</v>
      </c>
      <c r="P246" s="17">
        <f t="shared" si="213"/>
        <v>0</v>
      </c>
      <c r="Q246" s="17">
        <f>IF(AND(O246&gt;0,I246&gt;0),O246/(1-'1 - Input'!$B$22*P246),0)</f>
        <v>0</v>
      </c>
      <c r="R246" s="17">
        <f t="shared" si="214"/>
        <v>0</v>
      </c>
      <c r="S246" s="17">
        <f>'1 - Input'!$B$22*P246*R246</f>
        <v>0</v>
      </c>
      <c r="T246" s="17">
        <f t="shared" si="215"/>
        <v>0</v>
      </c>
      <c r="U246" s="17">
        <f t="shared" si="216"/>
        <v>3706.5214037446526</v>
      </c>
      <c r="V246" s="17">
        <f t="shared" si="217"/>
        <v>0</v>
      </c>
      <c r="W246" s="17">
        <f t="shared" si="218"/>
        <v>0</v>
      </c>
      <c r="X246" s="17">
        <f t="shared" si="219"/>
        <v>0</v>
      </c>
      <c r="Y246" s="17">
        <f>IF(MOD(A246,12)=0,W246*'1 - Input'!$B$23,0)</f>
        <v>0</v>
      </c>
      <c r="Z246" s="17">
        <f t="shared" si="220"/>
        <v>0</v>
      </c>
      <c r="AA246" s="17">
        <f>IF(MOD(A246,12)=0,X246*(1-'1 - Input'!$B$23),X246)</f>
        <v>0</v>
      </c>
      <c r="AB246" s="17">
        <f>IF('1 - Input'!$B$17=1,MIN(L246,D246)+T246,L246)</f>
        <v>0</v>
      </c>
      <c r="AC246" s="17">
        <f t="shared" si="254"/>
        <v>590482.93849429931</v>
      </c>
      <c r="AD246" s="17">
        <f t="shared" si="255"/>
        <v>101441.90180685223</v>
      </c>
      <c r="AE246" s="17">
        <f t="shared" si="256"/>
        <v>0</v>
      </c>
      <c r="AF246" s="17">
        <f t="shared" si="257"/>
        <v>174289.24056370757</v>
      </c>
      <c r="AG246" s="17">
        <f t="shared" si="258"/>
        <v>8123.5662772395826</v>
      </c>
      <c r="AH246" s="17">
        <f t="shared" si="259"/>
        <v>54201.63919368315</v>
      </c>
      <c r="AI246" s="15">
        <f t="shared" si="221"/>
        <v>1</v>
      </c>
      <c r="AK246" s="14">
        <v>203</v>
      </c>
      <c r="AL246" s="15">
        <f t="shared" si="222"/>
        <v>17</v>
      </c>
      <c r="AM246" s="16">
        <f>(1+INDEX('1 - Input'!$B$34:$E$63,AL246,'1 - Input'!$B$16))^(1/12)-1</f>
        <v>4.1219243192651689E-3</v>
      </c>
      <c r="AN246" s="17">
        <f>'1 - Input'!$B$7*(1+'1 - Input'!$B$12)^(AL246-1)</f>
        <v>3706.5214037446526</v>
      </c>
      <c r="AO246" s="17">
        <f t="shared" si="260"/>
        <v>0</v>
      </c>
      <c r="AP246" s="17">
        <f t="shared" si="261"/>
        <v>0</v>
      </c>
      <c r="AQ246" s="17">
        <f t="shared" si="223"/>
        <v>0</v>
      </c>
      <c r="AR246" s="17">
        <f>IF(AQ246&gt;0,'1 - Input'!$B$8/12*AQ246,0)</f>
        <v>0</v>
      </c>
      <c r="AS246" s="17">
        <f t="shared" si="224"/>
        <v>0</v>
      </c>
      <c r="AT246" s="17">
        <f t="shared" si="225"/>
        <v>0</v>
      </c>
      <c r="AU246" s="17">
        <f>'1 - Input'!$B$22*(AR246-AT246)</f>
        <v>0</v>
      </c>
      <c r="AV246" s="17">
        <f t="shared" si="226"/>
        <v>0</v>
      </c>
      <c r="AW246" s="17">
        <f t="shared" si="227"/>
        <v>0</v>
      </c>
      <c r="AX246" s="17">
        <f>IF('1 - Input'!$B$17=1,MAX(0,AV246-AN246),0)</f>
        <v>0</v>
      </c>
      <c r="AY246" s="17">
        <f>IF('1 - Input'!$B$17=1,MAX(0,AN246-AV246),0)</f>
        <v>3706.5214037446526</v>
      </c>
      <c r="AZ246" s="17">
        <f t="shared" si="228"/>
        <v>0</v>
      </c>
      <c r="BA246" s="17">
        <f>IF(AND(AY246&gt;0,AS246&gt;0),AY246/(1-'1 - Input'!$B$22*AZ246),0)</f>
        <v>0</v>
      </c>
      <c r="BB246" s="17">
        <f t="shared" si="229"/>
        <v>0</v>
      </c>
      <c r="BC246" s="17">
        <f>'1 - Input'!$B$22*AZ246*BB246</f>
        <v>0</v>
      </c>
      <c r="BD246" s="17">
        <f t="shared" si="230"/>
        <v>0</v>
      </c>
      <c r="BE246" s="17">
        <f t="shared" si="231"/>
        <v>3706.5214037446526</v>
      </c>
      <c r="BF246" s="17">
        <f t="shared" si="232"/>
        <v>0</v>
      </c>
      <c r="BG246" s="17">
        <f t="shared" si="233"/>
        <v>0</v>
      </c>
      <c r="BH246" s="17">
        <f t="shared" si="234"/>
        <v>0</v>
      </c>
      <c r="BI246" s="17">
        <f>IF(MOD(AK246,12)=0,BG246*'1 - Input'!$B$23,0)</f>
        <v>0</v>
      </c>
      <c r="BJ246" s="17">
        <f t="shared" si="235"/>
        <v>0</v>
      </c>
      <c r="BK246" s="17">
        <f>IF(MOD(AK246,12)=0,BH246*(1-'1 - Input'!$B$23),BH246)</f>
        <v>0</v>
      </c>
      <c r="BL246" s="17">
        <f>IF('1 - Input'!$B$17=1,MIN(AV246,AN246)+BD246,AV246)</f>
        <v>0</v>
      </c>
      <c r="BM246" s="17">
        <f t="shared" si="262"/>
        <v>590482.93849429931</v>
      </c>
      <c r="BN246" s="17">
        <f t="shared" si="263"/>
        <v>101441.90180685223</v>
      </c>
      <c r="BO246" s="17">
        <f t="shared" si="264"/>
        <v>0</v>
      </c>
      <c r="BP246" s="17">
        <f t="shared" si="265"/>
        <v>174289.24056370757</v>
      </c>
      <c r="BQ246" s="17">
        <f t="shared" si="266"/>
        <v>8123.5662772395826</v>
      </c>
      <c r="BR246" s="17">
        <f t="shared" si="267"/>
        <v>54201.63919368315</v>
      </c>
      <c r="BS246" s="15">
        <f t="shared" si="236"/>
        <v>1</v>
      </c>
      <c r="BU246" s="14">
        <v>203</v>
      </c>
      <c r="BV246" s="15">
        <f t="shared" si="237"/>
        <v>17</v>
      </c>
      <c r="BW246" s="16">
        <f>(1+INDEX('1 - Input'!$B$34:$E$63,BV246,'1 - Input'!$B$16))^(1/12)-1</f>
        <v>4.1219243192651689E-3</v>
      </c>
      <c r="BX246" s="17">
        <f>'1 - Input'!$B$7*(1+'1 - Input'!$B$12)^(BV246-1)</f>
        <v>3706.5214037446526</v>
      </c>
      <c r="BY246" s="17">
        <f t="shared" si="268"/>
        <v>60120.090374889274</v>
      </c>
      <c r="BZ246" s="17">
        <f t="shared" si="269"/>
        <v>0</v>
      </c>
      <c r="CA246" s="17">
        <f t="shared" si="238"/>
        <v>60367.900837481953</v>
      </c>
      <c r="CB246" s="17">
        <f>IF(CA246&gt;0,'1 - Input'!$B$8/12*CA246,0)</f>
        <v>452.75925628111463</v>
      </c>
      <c r="CC246" s="17">
        <f t="shared" si="239"/>
        <v>59915.141581200842</v>
      </c>
      <c r="CD246" s="17">
        <f t="shared" si="240"/>
        <v>0</v>
      </c>
      <c r="CE246" s="17">
        <f>'1 - Input'!$B$22*(CB246-CD246)</f>
        <v>117.71740663308981</v>
      </c>
      <c r="CF246" s="17">
        <f t="shared" si="241"/>
        <v>335.04184964802482</v>
      </c>
      <c r="CG246" s="17">
        <f t="shared" si="242"/>
        <v>0</v>
      </c>
      <c r="CH246" s="17">
        <f>IF('1 - Input'!$B$17=1,MAX(0,CF246-BX246),0)</f>
        <v>0</v>
      </c>
      <c r="CI246" s="17">
        <f>IF('1 - Input'!$B$17=1,MAX(0,BX246-CF246),0)</f>
        <v>3371.4795540966279</v>
      </c>
      <c r="CJ246" s="17">
        <f t="shared" si="243"/>
        <v>1</v>
      </c>
      <c r="CK246" s="17">
        <f>IF(AND(CI246&gt;0,CC246&gt;0),CI246/(1-'1 - Input'!$B$22*CJ246),0)</f>
        <v>4556.0534514819301</v>
      </c>
      <c r="CL246" s="17">
        <f t="shared" si="244"/>
        <v>4556.0534514819301</v>
      </c>
      <c r="CM246" s="17">
        <f>'1 - Input'!$B$22*CJ246*CL246</f>
        <v>1184.573897385302</v>
      </c>
      <c r="CN246" s="17">
        <f t="shared" si="245"/>
        <v>3371.4795540966279</v>
      </c>
      <c r="CO246" s="17">
        <f t="shared" si="246"/>
        <v>0</v>
      </c>
      <c r="CP246" s="17">
        <f t="shared" si="247"/>
        <v>0</v>
      </c>
      <c r="CQ246" s="17">
        <f t="shared" si="248"/>
        <v>55359.088129718912</v>
      </c>
      <c r="CR246" s="17">
        <f t="shared" si="249"/>
        <v>0</v>
      </c>
      <c r="CS246" s="17">
        <f>IF(MOD(BU246,12)=0,CQ246*'1 - Input'!$B$23,0)</f>
        <v>0</v>
      </c>
      <c r="CT246" s="17">
        <f t="shared" si="250"/>
        <v>55359.088129718912</v>
      </c>
      <c r="CU246" s="17">
        <f>IF(MOD(BU246,12)=0,CR246*(1-'1 - Input'!$B$23),CR246)</f>
        <v>0</v>
      </c>
      <c r="CV246" s="17">
        <f>IF('1 - Input'!$B$17=1,MIN(CF246,BX246)+CN246,CF246)</f>
        <v>3706.5214037446526</v>
      </c>
      <c r="CW246" s="17">
        <f t="shared" si="270"/>
        <v>644684.57768798317</v>
      </c>
      <c r="CX246" s="17">
        <f t="shared" si="271"/>
        <v>5357.1154290003524</v>
      </c>
      <c r="CY246" s="17">
        <f t="shared" si="272"/>
        <v>52451.028158908397</v>
      </c>
      <c r="CZ246" s="17">
        <f t="shared" si="273"/>
        <v>0</v>
      </c>
      <c r="DA246" s="17">
        <f t="shared" si="274"/>
        <v>10852.957529653762</v>
      </c>
      <c r="DB246" s="17">
        <f t="shared" si="275"/>
        <v>0</v>
      </c>
      <c r="DC246" s="15">
        <f t="shared" si="251"/>
        <v>0</v>
      </c>
    </row>
    <row r="247" spans="1:107">
      <c r="A247" s="14">
        <v>204</v>
      </c>
      <c r="B247" s="15">
        <f t="shared" si="207"/>
        <v>17</v>
      </c>
      <c r="C247" s="16">
        <f>(1+INDEX('1 - Input'!$B$34:$E$63,B247,'1 - Input'!$B$16))^(1/12)-1</f>
        <v>4.1219243192651689E-3</v>
      </c>
      <c r="D247" s="17">
        <f>'1 - Input'!$B$7*(1+'1 - Input'!$B$12)^(B247-1)</f>
        <v>3706.5214037446526</v>
      </c>
      <c r="E247" s="17">
        <f t="shared" si="252"/>
        <v>0</v>
      </c>
      <c r="F247" s="17">
        <f t="shared" si="253"/>
        <v>0</v>
      </c>
      <c r="G247" s="17">
        <f t="shared" si="208"/>
        <v>0</v>
      </c>
      <c r="H247" s="17">
        <f>IF(G247&gt;0,'1 - Input'!$B$8/12*G247,0)</f>
        <v>0</v>
      </c>
      <c r="I247" s="17">
        <f t="shared" si="209"/>
        <v>0</v>
      </c>
      <c r="J247" s="17">
        <f t="shared" si="210"/>
        <v>0</v>
      </c>
      <c r="K247" s="17">
        <f>'1 - Input'!$B$22*(H247-J247)</f>
        <v>0</v>
      </c>
      <c r="L247" s="17">
        <f t="shared" si="211"/>
        <v>0</v>
      </c>
      <c r="M247" s="17">
        <f t="shared" si="212"/>
        <v>0</v>
      </c>
      <c r="N247" s="17">
        <f>IF('1 - Input'!$B$17=1,MAX(0,L247-D247),0)</f>
        <v>0</v>
      </c>
      <c r="O247" s="17">
        <f>IF('1 - Input'!$B$17=1,MAX(0,D247-L247),0)</f>
        <v>3706.5214037446526</v>
      </c>
      <c r="P247" s="17">
        <f t="shared" si="213"/>
        <v>0</v>
      </c>
      <c r="Q247" s="17">
        <f>IF(AND(O247&gt;0,I247&gt;0),O247/(1-'1 - Input'!$B$22*P247),0)</f>
        <v>0</v>
      </c>
      <c r="R247" s="17">
        <f t="shared" si="214"/>
        <v>0</v>
      </c>
      <c r="S247" s="17">
        <f>'1 - Input'!$B$22*P247*R247</f>
        <v>0</v>
      </c>
      <c r="T247" s="17">
        <f t="shared" si="215"/>
        <v>0</v>
      </c>
      <c r="U247" s="17">
        <f t="shared" si="216"/>
        <v>3706.5214037446526</v>
      </c>
      <c r="V247" s="17">
        <f t="shared" si="217"/>
        <v>0</v>
      </c>
      <c r="W247" s="17">
        <f t="shared" si="218"/>
        <v>0</v>
      </c>
      <c r="X247" s="17">
        <f t="shared" si="219"/>
        <v>0</v>
      </c>
      <c r="Y247" s="17">
        <f>IF(MOD(A247,12)=0,W247*'1 - Input'!$B$23,0)</f>
        <v>0</v>
      </c>
      <c r="Z247" s="17">
        <f t="shared" si="220"/>
        <v>0</v>
      </c>
      <c r="AA247" s="17">
        <f>IF(MOD(A247,12)=0,X247*(1-'1 - Input'!$B$23),X247)</f>
        <v>0</v>
      </c>
      <c r="AB247" s="17">
        <f>IF('1 - Input'!$B$17=1,MIN(L247,D247)+T247,L247)</f>
        <v>0</v>
      </c>
      <c r="AC247" s="17">
        <f t="shared" si="254"/>
        <v>590482.93849429931</v>
      </c>
      <c r="AD247" s="17">
        <f t="shared" si="255"/>
        <v>101441.90180685223</v>
      </c>
      <c r="AE247" s="17">
        <f t="shared" si="256"/>
        <v>0</v>
      </c>
      <c r="AF247" s="17">
        <f t="shared" si="257"/>
        <v>174289.24056370757</v>
      </c>
      <c r="AG247" s="17">
        <f t="shared" si="258"/>
        <v>8123.5662772395826</v>
      </c>
      <c r="AH247" s="17">
        <f t="shared" si="259"/>
        <v>57908.160597427799</v>
      </c>
      <c r="AI247" s="15">
        <f t="shared" si="221"/>
        <v>1</v>
      </c>
      <c r="AK247" s="14">
        <v>204</v>
      </c>
      <c r="AL247" s="15">
        <f t="shared" si="222"/>
        <v>17</v>
      </c>
      <c r="AM247" s="16">
        <f>(1+INDEX('1 - Input'!$B$34:$E$63,AL247,'1 - Input'!$B$16))^(1/12)-1</f>
        <v>4.1219243192651689E-3</v>
      </c>
      <c r="AN247" s="17">
        <f>'1 - Input'!$B$7*(1+'1 - Input'!$B$12)^(AL247-1)</f>
        <v>3706.5214037446526</v>
      </c>
      <c r="AO247" s="17">
        <f t="shared" si="260"/>
        <v>0</v>
      </c>
      <c r="AP247" s="17">
        <f t="shared" si="261"/>
        <v>0</v>
      </c>
      <c r="AQ247" s="17">
        <f t="shared" si="223"/>
        <v>0</v>
      </c>
      <c r="AR247" s="17">
        <f>IF(AQ247&gt;0,'1 - Input'!$B$8/12*AQ247,0)</f>
        <v>0</v>
      </c>
      <c r="AS247" s="17">
        <f t="shared" si="224"/>
        <v>0</v>
      </c>
      <c r="AT247" s="17">
        <f t="shared" si="225"/>
        <v>0</v>
      </c>
      <c r="AU247" s="17">
        <f>'1 - Input'!$B$22*(AR247-AT247)</f>
        <v>0</v>
      </c>
      <c r="AV247" s="17">
        <f t="shared" si="226"/>
        <v>0</v>
      </c>
      <c r="AW247" s="17">
        <f t="shared" si="227"/>
        <v>0</v>
      </c>
      <c r="AX247" s="17">
        <f>IF('1 - Input'!$B$17=1,MAX(0,AV247-AN247),0)</f>
        <v>0</v>
      </c>
      <c r="AY247" s="17">
        <f>IF('1 - Input'!$B$17=1,MAX(0,AN247-AV247),0)</f>
        <v>3706.5214037446526</v>
      </c>
      <c r="AZ247" s="17">
        <f t="shared" si="228"/>
        <v>0</v>
      </c>
      <c r="BA247" s="17">
        <f>IF(AND(AY247&gt;0,AS247&gt;0),AY247/(1-'1 - Input'!$B$22*AZ247),0)</f>
        <v>0</v>
      </c>
      <c r="BB247" s="17">
        <f t="shared" si="229"/>
        <v>0</v>
      </c>
      <c r="BC247" s="17">
        <f>'1 - Input'!$B$22*AZ247*BB247</f>
        <v>0</v>
      </c>
      <c r="BD247" s="17">
        <f t="shared" si="230"/>
        <v>0</v>
      </c>
      <c r="BE247" s="17">
        <f t="shared" si="231"/>
        <v>3706.5214037446526</v>
      </c>
      <c r="BF247" s="17">
        <f t="shared" si="232"/>
        <v>0</v>
      </c>
      <c r="BG247" s="17">
        <f t="shared" si="233"/>
        <v>0</v>
      </c>
      <c r="BH247" s="17">
        <f t="shared" si="234"/>
        <v>0</v>
      </c>
      <c r="BI247" s="17">
        <f>IF(MOD(AK247,12)=0,BG247*'1 - Input'!$B$23,0)</f>
        <v>0</v>
      </c>
      <c r="BJ247" s="17">
        <f t="shared" si="235"/>
        <v>0</v>
      </c>
      <c r="BK247" s="17">
        <f>IF(MOD(AK247,12)=0,BH247*(1-'1 - Input'!$B$23),BH247)</f>
        <v>0</v>
      </c>
      <c r="BL247" s="17">
        <f>IF('1 - Input'!$B$17=1,MIN(AV247,AN247)+BD247,AV247)</f>
        <v>0</v>
      </c>
      <c r="BM247" s="17">
        <f t="shared" si="262"/>
        <v>590482.93849429931</v>
      </c>
      <c r="BN247" s="17">
        <f t="shared" si="263"/>
        <v>101441.90180685223</v>
      </c>
      <c r="BO247" s="17">
        <f t="shared" si="264"/>
        <v>0</v>
      </c>
      <c r="BP247" s="17">
        <f t="shared" si="265"/>
        <v>174289.24056370757</v>
      </c>
      <c r="BQ247" s="17">
        <f t="shared" si="266"/>
        <v>8123.5662772395826</v>
      </c>
      <c r="BR247" s="17">
        <f t="shared" si="267"/>
        <v>57908.160597427799</v>
      </c>
      <c r="BS247" s="15">
        <f t="shared" si="236"/>
        <v>1</v>
      </c>
      <c r="BU247" s="14">
        <v>204</v>
      </c>
      <c r="BV247" s="15">
        <f t="shared" si="237"/>
        <v>17</v>
      </c>
      <c r="BW247" s="16">
        <f>(1+INDEX('1 - Input'!$B$34:$E$63,BV247,'1 - Input'!$B$16))^(1/12)-1</f>
        <v>4.1219243192651689E-3</v>
      </c>
      <c r="BX247" s="17">
        <f>'1 - Input'!$B$7*(1+'1 - Input'!$B$12)^(BV247-1)</f>
        <v>3706.5214037446526</v>
      </c>
      <c r="BY247" s="17">
        <f t="shared" si="268"/>
        <v>55359.088129718912</v>
      </c>
      <c r="BZ247" s="17">
        <f t="shared" si="269"/>
        <v>0</v>
      </c>
      <c r="CA247" s="17">
        <f t="shared" si="238"/>
        <v>55587.274101373143</v>
      </c>
      <c r="CB247" s="17">
        <f>IF(CA247&gt;0,'1 - Input'!$B$8/12*CA247,0)</f>
        <v>416.90455576029854</v>
      </c>
      <c r="CC247" s="17">
        <f t="shared" si="239"/>
        <v>55170.369545612848</v>
      </c>
      <c r="CD247" s="17">
        <f t="shared" si="240"/>
        <v>0</v>
      </c>
      <c r="CE247" s="17">
        <f>'1 - Input'!$B$22*(CB247-CD247)</f>
        <v>108.39518449767762</v>
      </c>
      <c r="CF247" s="17">
        <f t="shared" si="241"/>
        <v>308.5093712626209</v>
      </c>
      <c r="CG247" s="17">
        <f t="shared" si="242"/>
        <v>0</v>
      </c>
      <c r="CH247" s="17">
        <f>IF('1 - Input'!$B$17=1,MAX(0,CF247-BX247),0)</f>
        <v>0</v>
      </c>
      <c r="CI247" s="17">
        <f>IF('1 - Input'!$B$17=1,MAX(0,BX247-CF247),0)</f>
        <v>3398.0120324820318</v>
      </c>
      <c r="CJ247" s="17">
        <f t="shared" si="243"/>
        <v>1</v>
      </c>
      <c r="CK247" s="17">
        <f>IF(AND(CI247&gt;0,CC247&gt;0),CI247/(1-'1 - Input'!$B$22*CJ247),0)</f>
        <v>4591.9081520027457</v>
      </c>
      <c r="CL247" s="17">
        <f t="shared" si="244"/>
        <v>4591.9081520027457</v>
      </c>
      <c r="CM247" s="17">
        <f>'1 - Input'!$B$22*CJ247*CL247</f>
        <v>1193.8961195207139</v>
      </c>
      <c r="CN247" s="17">
        <f t="shared" si="245"/>
        <v>3398.0120324820318</v>
      </c>
      <c r="CO247" s="17">
        <f t="shared" si="246"/>
        <v>0</v>
      </c>
      <c r="CP247" s="17">
        <f t="shared" si="247"/>
        <v>0</v>
      </c>
      <c r="CQ247" s="17">
        <f t="shared" si="248"/>
        <v>50578.461393610101</v>
      </c>
      <c r="CR247" s="17">
        <f t="shared" si="249"/>
        <v>0</v>
      </c>
      <c r="CS247" s="17">
        <f>IF(MOD(BU247,12)=0,CQ247*'1 - Input'!$B$23,0)</f>
        <v>101.15692278722021</v>
      </c>
      <c r="CT247" s="17">
        <f t="shared" si="250"/>
        <v>50477.304470822884</v>
      </c>
      <c r="CU247" s="17">
        <f>IF(MOD(BU247,12)=0,CR247*(1-'1 - Input'!$B$23),CR247)</f>
        <v>0</v>
      </c>
      <c r="CV247" s="17">
        <f>IF('1 - Input'!$B$17=1,MIN(CF247,BX247)+CN247,CF247)</f>
        <v>3706.5214037446526</v>
      </c>
      <c r="CW247" s="17">
        <f t="shared" si="270"/>
        <v>648391.09909172787</v>
      </c>
      <c r="CX247" s="17">
        <f t="shared" si="271"/>
        <v>5465.5106134980297</v>
      </c>
      <c r="CY247" s="17">
        <f t="shared" si="272"/>
        <v>53644.924278429113</v>
      </c>
      <c r="CZ247" s="17">
        <f t="shared" si="273"/>
        <v>0</v>
      </c>
      <c r="DA247" s="17">
        <f t="shared" si="274"/>
        <v>10954.114452440983</v>
      </c>
      <c r="DB247" s="17">
        <f t="shared" si="275"/>
        <v>0</v>
      </c>
      <c r="DC247" s="15">
        <f t="shared" si="251"/>
        <v>0</v>
      </c>
    </row>
    <row r="248" spans="1:107">
      <c r="A248" s="14">
        <v>205</v>
      </c>
      <c r="B248" s="15">
        <f t="shared" si="207"/>
        <v>18</v>
      </c>
      <c r="C248" s="16">
        <f>(1+INDEX('1 - Input'!$B$34:$E$63,B248,'1 - Input'!$B$16))^(1/12)-1</f>
        <v>4.1219243192651689E-3</v>
      </c>
      <c r="D248" s="17">
        <f>'1 - Input'!$B$7*(1+'1 - Input'!$B$12)^(B248-1)</f>
        <v>3780.6518318195458</v>
      </c>
      <c r="E248" s="17">
        <f t="shared" si="252"/>
        <v>0</v>
      </c>
      <c r="F248" s="17">
        <f t="shared" si="253"/>
        <v>0</v>
      </c>
      <c r="G248" s="17">
        <f t="shared" si="208"/>
        <v>0</v>
      </c>
      <c r="H248" s="17">
        <f>IF(G248&gt;0,'1 - Input'!$B$8/12*G248,0)</f>
        <v>0</v>
      </c>
      <c r="I248" s="17">
        <f t="shared" si="209"/>
        <v>0</v>
      </c>
      <c r="J248" s="17">
        <f t="shared" si="210"/>
        <v>0</v>
      </c>
      <c r="K248" s="17">
        <f>'1 - Input'!$B$22*(H248-J248)</f>
        <v>0</v>
      </c>
      <c r="L248" s="17">
        <f t="shared" si="211"/>
        <v>0</v>
      </c>
      <c r="M248" s="17">
        <f t="shared" si="212"/>
        <v>0</v>
      </c>
      <c r="N248" s="17">
        <f>IF('1 - Input'!$B$17=1,MAX(0,L248-D248),0)</f>
        <v>0</v>
      </c>
      <c r="O248" s="17">
        <f>IF('1 - Input'!$B$17=1,MAX(0,D248-L248),0)</f>
        <v>3780.6518318195458</v>
      </c>
      <c r="P248" s="17">
        <f t="shared" si="213"/>
        <v>0</v>
      </c>
      <c r="Q248" s="17">
        <f>IF(AND(O248&gt;0,I248&gt;0),O248/(1-'1 - Input'!$B$22*P248),0)</f>
        <v>0</v>
      </c>
      <c r="R248" s="17">
        <f t="shared" si="214"/>
        <v>0</v>
      </c>
      <c r="S248" s="17">
        <f>'1 - Input'!$B$22*P248*R248</f>
        <v>0</v>
      </c>
      <c r="T248" s="17">
        <f t="shared" si="215"/>
        <v>0</v>
      </c>
      <c r="U248" s="17">
        <f t="shared" si="216"/>
        <v>3780.6518318195458</v>
      </c>
      <c r="V248" s="17">
        <f t="shared" si="217"/>
        <v>0</v>
      </c>
      <c r="W248" s="17">
        <f t="shared" si="218"/>
        <v>0</v>
      </c>
      <c r="X248" s="17">
        <f t="shared" si="219"/>
        <v>0</v>
      </c>
      <c r="Y248" s="17">
        <f>IF(MOD(A248,12)=0,W248*'1 - Input'!$B$23,0)</f>
        <v>0</v>
      </c>
      <c r="Z248" s="17">
        <f t="shared" si="220"/>
        <v>0</v>
      </c>
      <c r="AA248" s="17">
        <f>IF(MOD(A248,12)=0,X248*(1-'1 - Input'!$B$23),X248)</f>
        <v>0</v>
      </c>
      <c r="AB248" s="17">
        <f>IF('1 - Input'!$B$17=1,MIN(L248,D248)+T248,L248)</f>
        <v>0</v>
      </c>
      <c r="AC248" s="17">
        <f t="shared" si="254"/>
        <v>590482.93849429931</v>
      </c>
      <c r="AD248" s="17">
        <f t="shared" si="255"/>
        <v>101441.90180685223</v>
      </c>
      <c r="AE248" s="17">
        <f t="shared" si="256"/>
        <v>0</v>
      </c>
      <c r="AF248" s="17">
        <f t="shared" si="257"/>
        <v>174289.24056370757</v>
      </c>
      <c r="AG248" s="17">
        <f t="shared" si="258"/>
        <v>8123.5662772395826</v>
      </c>
      <c r="AH248" s="17">
        <f t="shared" si="259"/>
        <v>61688.812429247344</v>
      </c>
      <c r="AI248" s="15">
        <f t="shared" si="221"/>
        <v>1</v>
      </c>
      <c r="AK248" s="14">
        <v>205</v>
      </c>
      <c r="AL248" s="15">
        <f t="shared" si="222"/>
        <v>18</v>
      </c>
      <c r="AM248" s="16">
        <f>(1+INDEX('1 - Input'!$B$34:$E$63,AL248,'1 - Input'!$B$16))^(1/12)-1</f>
        <v>4.1219243192651689E-3</v>
      </c>
      <c r="AN248" s="17">
        <f>'1 - Input'!$B$7*(1+'1 - Input'!$B$12)^(AL248-1)</f>
        <v>3780.6518318195458</v>
      </c>
      <c r="AO248" s="17">
        <f t="shared" si="260"/>
        <v>0</v>
      </c>
      <c r="AP248" s="17">
        <f t="shared" si="261"/>
        <v>0</v>
      </c>
      <c r="AQ248" s="17">
        <f t="shared" si="223"/>
        <v>0</v>
      </c>
      <c r="AR248" s="17">
        <f>IF(AQ248&gt;0,'1 - Input'!$B$8/12*AQ248,0)</f>
        <v>0</v>
      </c>
      <c r="AS248" s="17">
        <f t="shared" si="224"/>
        <v>0</v>
      </c>
      <c r="AT248" s="17">
        <f t="shared" si="225"/>
        <v>0</v>
      </c>
      <c r="AU248" s="17">
        <f>'1 - Input'!$B$22*(AR248-AT248)</f>
        <v>0</v>
      </c>
      <c r="AV248" s="17">
        <f t="shared" si="226"/>
        <v>0</v>
      </c>
      <c r="AW248" s="17">
        <f t="shared" si="227"/>
        <v>0</v>
      </c>
      <c r="AX248" s="17">
        <f>IF('1 - Input'!$B$17=1,MAX(0,AV248-AN248),0)</f>
        <v>0</v>
      </c>
      <c r="AY248" s="17">
        <f>IF('1 - Input'!$B$17=1,MAX(0,AN248-AV248),0)</f>
        <v>3780.6518318195458</v>
      </c>
      <c r="AZ248" s="17">
        <f t="shared" si="228"/>
        <v>0</v>
      </c>
      <c r="BA248" s="17">
        <f>IF(AND(AY248&gt;0,AS248&gt;0),AY248/(1-'1 - Input'!$B$22*AZ248),0)</f>
        <v>0</v>
      </c>
      <c r="BB248" s="17">
        <f t="shared" si="229"/>
        <v>0</v>
      </c>
      <c r="BC248" s="17">
        <f>'1 - Input'!$B$22*AZ248*BB248</f>
        <v>0</v>
      </c>
      <c r="BD248" s="17">
        <f t="shared" si="230"/>
        <v>0</v>
      </c>
      <c r="BE248" s="17">
        <f t="shared" si="231"/>
        <v>3780.6518318195458</v>
      </c>
      <c r="BF248" s="17">
        <f t="shared" si="232"/>
        <v>0</v>
      </c>
      <c r="BG248" s="17">
        <f t="shared" si="233"/>
        <v>0</v>
      </c>
      <c r="BH248" s="17">
        <f t="shared" si="234"/>
        <v>0</v>
      </c>
      <c r="BI248" s="17">
        <f>IF(MOD(AK248,12)=0,BG248*'1 - Input'!$B$23,0)</f>
        <v>0</v>
      </c>
      <c r="BJ248" s="17">
        <f t="shared" si="235"/>
        <v>0</v>
      </c>
      <c r="BK248" s="17">
        <f>IF(MOD(AK248,12)=0,BH248*(1-'1 - Input'!$B$23),BH248)</f>
        <v>0</v>
      </c>
      <c r="BL248" s="17">
        <f>IF('1 - Input'!$B$17=1,MIN(AV248,AN248)+BD248,AV248)</f>
        <v>0</v>
      </c>
      <c r="BM248" s="17">
        <f t="shared" si="262"/>
        <v>590482.93849429931</v>
      </c>
      <c r="BN248" s="17">
        <f t="shared" si="263"/>
        <v>101441.90180685223</v>
      </c>
      <c r="BO248" s="17">
        <f t="shared" si="264"/>
        <v>0</v>
      </c>
      <c r="BP248" s="17">
        <f t="shared" si="265"/>
        <v>174289.24056370757</v>
      </c>
      <c r="BQ248" s="17">
        <f t="shared" si="266"/>
        <v>8123.5662772395826</v>
      </c>
      <c r="BR248" s="17">
        <f t="shared" si="267"/>
        <v>61688.812429247344</v>
      </c>
      <c r="BS248" s="15">
        <f t="shared" si="236"/>
        <v>1</v>
      </c>
      <c r="BU248" s="14">
        <v>205</v>
      </c>
      <c r="BV248" s="15">
        <f t="shared" si="237"/>
        <v>18</v>
      </c>
      <c r="BW248" s="16">
        <f>(1+INDEX('1 - Input'!$B$34:$E$63,BV248,'1 - Input'!$B$16))^(1/12)-1</f>
        <v>4.1219243192651689E-3</v>
      </c>
      <c r="BX248" s="17">
        <f>'1 - Input'!$B$7*(1+'1 - Input'!$B$12)^(BV248-1)</f>
        <v>3780.6518318195458</v>
      </c>
      <c r="BY248" s="17">
        <f t="shared" si="268"/>
        <v>50477.304470822884</v>
      </c>
      <c r="BZ248" s="17">
        <f t="shared" si="269"/>
        <v>0</v>
      </c>
      <c r="CA248" s="17">
        <f t="shared" si="238"/>
        <v>50685.368099692125</v>
      </c>
      <c r="CB248" s="17">
        <f>IF(CA248&gt;0,'1 - Input'!$B$8/12*CA248,0)</f>
        <v>380.14026074769095</v>
      </c>
      <c r="CC248" s="17">
        <f t="shared" si="239"/>
        <v>50305.227838944433</v>
      </c>
      <c r="CD248" s="17">
        <f t="shared" si="240"/>
        <v>0</v>
      </c>
      <c r="CE248" s="17">
        <f>'1 - Input'!$B$22*(CB248-CD248)</f>
        <v>98.836467794399653</v>
      </c>
      <c r="CF248" s="17">
        <f t="shared" si="241"/>
        <v>281.30379295329129</v>
      </c>
      <c r="CG248" s="17">
        <f t="shared" si="242"/>
        <v>0</v>
      </c>
      <c r="CH248" s="17">
        <f>IF('1 - Input'!$B$17=1,MAX(0,CF248-BX248),0)</f>
        <v>0</v>
      </c>
      <c r="CI248" s="17">
        <f>IF('1 - Input'!$B$17=1,MAX(0,BX248-CF248),0)</f>
        <v>3499.3480388662547</v>
      </c>
      <c r="CJ248" s="17">
        <f t="shared" si="243"/>
        <v>1</v>
      </c>
      <c r="CK248" s="17">
        <f>IF(AND(CI248&gt;0,CC248&gt;0),CI248/(1-'1 - Input'!$B$22*CJ248),0)</f>
        <v>4728.8487011706147</v>
      </c>
      <c r="CL248" s="17">
        <f t="shared" si="244"/>
        <v>4728.8487011706147</v>
      </c>
      <c r="CM248" s="17">
        <f>'1 - Input'!$B$22*CJ248*CL248</f>
        <v>1229.5006623043598</v>
      </c>
      <c r="CN248" s="17">
        <f t="shared" si="245"/>
        <v>3499.3480388662547</v>
      </c>
      <c r="CO248" s="17">
        <f t="shared" si="246"/>
        <v>0</v>
      </c>
      <c r="CP248" s="17">
        <f t="shared" si="247"/>
        <v>0</v>
      </c>
      <c r="CQ248" s="17">
        <f t="shared" si="248"/>
        <v>45576.379137773816</v>
      </c>
      <c r="CR248" s="17">
        <f t="shared" si="249"/>
        <v>0</v>
      </c>
      <c r="CS248" s="17">
        <f>IF(MOD(BU248,12)=0,CQ248*'1 - Input'!$B$23,0)</f>
        <v>0</v>
      </c>
      <c r="CT248" s="17">
        <f t="shared" si="250"/>
        <v>45576.379137773816</v>
      </c>
      <c r="CU248" s="17">
        <f>IF(MOD(BU248,12)=0,CR248*(1-'1 - Input'!$B$23),CR248)</f>
        <v>0</v>
      </c>
      <c r="CV248" s="17">
        <f>IF('1 - Input'!$B$17=1,MIN(CF248,BX248)+CN248,CF248)</f>
        <v>3780.6518318195458</v>
      </c>
      <c r="CW248" s="17">
        <f t="shared" si="270"/>
        <v>652171.75092354743</v>
      </c>
      <c r="CX248" s="17">
        <f t="shared" si="271"/>
        <v>5564.3470812924297</v>
      </c>
      <c r="CY248" s="17">
        <f t="shared" si="272"/>
        <v>54874.424940733472</v>
      </c>
      <c r="CZ248" s="17">
        <f t="shared" si="273"/>
        <v>0</v>
      </c>
      <c r="DA248" s="17">
        <f t="shared" si="274"/>
        <v>10954.114452440983</v>
      </c>
      <c r="DB248" s="17">
        <f t="shared" si="275"/>
        <v>0</v>
      </c>
      <c r="DC248" s="15">
        <f t="shared" si="251"/>
        <v>0</v>
      </c>
    </row>
    <row r="249" spans="1:107">
      <c r="A249" s="14">
        <v>206</v>
      </c>
      <c r="B249" s="15">
        <f t="shared" si="207"/>
        <v>18</v>
      </c>
      <c r="C249" s="16">
        <f>(1+INDEX('1 - Input'!$B$34:$E$63,B249,'1 - Input'!$B$16))^(1/12)-1</f>
        <v>4.1219243192651689E-3</v>
      </c>
      <c r="D249" s="17">
        <f>'1 - Input'!$B$7*(1+'1 - Input'!$B$12)^(B249-1)</f>
        <v>3780.6518318195458</v>
      </c>
      <c r="E249" s="17">
        <f t="shared" si="252"/>
        <v>0</v>
      </c>
      <c r="F249" s="17">
        <f t="shared" si="253"/>
        <v>0</v>
      </c>
      <c r="G249" s="17">
        <f t="shared" si="208"/>
        <v>0</v>
      </c>
      <c r="H249" s="17">
        <f>IF(G249&gt;0,'1 - Input'!$B$8/12*G249,0)</f>
        <v>0</v>
      </c>
      <c r="I249" s="17">
        <f t="shared" si="209"/>
        <v>0</v>
      </c>
      <c r="J249" s="17">
        <f t="shared" si="210"/>
        <v>0</v>
      </c>
      <c r="K249" s="17">
        <f>'1 - Input'!$B$22*(H249-J249)</f>
        <v>0</v>
      </c>
      <c r="L249" s="17">
        <f t="shared" si="211"/>
        <v>0</v>
      </c>
      <c r="M249" s="17">
        <f t="shared" si="212"/>
        <v>0</v>
      </c>
      <c r="N249" s="17">
        <f>IF('1 - Input'!$B$17=1,MAX(0,L249-D249),0)</f>
        <v>0</v>
      </c>
      <c r="O249" s="17">
        <f>IF('1 - Input'!$B$17=1,MAX(0,D249-L249),0)</f>
        <v>3780.6518318195458</v>
      </c>
      <c r="P249" s="17">
        <f t="shared" si="213"/>
        <v>0</v>
      </c>
      <c r="Q249" s="17">
        <f>IF(AND(O249&gt;0,I249&gt;0),O249/(1-'1 - Input'!$B$22*P249),0)</f>
        <v>0</v>
      </c>
      <c r="R249" s="17">
        <f t="shared" si="214"/>
        <v>0</v>
      </c>
      <c r="S249" s="17">
        <f>'1 - Input'!$B$22*P249*R249</f>
        <v>0</v>
      </c>
      <c r="T249" s="17">
        <f t="shared" si="215"/>
        <v>0</v>
      </c>
      <c r="U249" s="17">
        <f t="shared" si="216"/>
        <v>3780.6518318195458</v>
      </c>
      <c r="V249" s="17">
        <f t="shared" si="217"/>
        <v>0</v>
      </c>
      <c r="W249" s="17">
        <f t="shared" si="218"/>
        <v>0</v>
      </c>
      <c r="X249" s="17">
        <f t="shared" si="219"/>
        <v>0</v>
      </c>
      <c r="Y249" s="17">
        <f>IF(MOD(A249,12)=0,W249*'1 - Input'!$B$23,0)</f>
        <v>0</v>
      </c>
      <c r="Z249" s="17">
        <f t="shared" si="220"/>
        <v>0</v>
      </c>
      <c r="AA249" s="17">
        <f>IF(MOD(A249,12)=0,X249*(1-'1 - Input'!$B$23),X249)</f>
        <v>0</v>
      </c>
      <c r="AB249" s="17">
        <f>IF('1 - Input'!$B$17=1,MIN(L249,D249)+T249,L249)</f>
        <v>0</v>
      </c>
      <c r="AC249" s="17">
        <f t="shared" si="254"/>
        <v>590482.93849429931</v>
      </c>
      <c r="AD249" s="17">
        <f t="shared" si="255"/>
        <v>101441.90180685223</v>
      </c>
      <c r="AE249" s="17">
        <f t="shared" si="256"/>
        <v>0</v>
      </c>
      <c r="AF249" s="17">
        <f t="shared" si="257"/>
        <v>174289.24056370757</v>
      </c>
      <c r="AG249" s="17">
        <f t="shared" si="258"/>
        <v>8123.5662772395826</v>
      </c>
      <c r="AH249" s="17">
        <f t="shared" si="259"/>
        <v>65469.464261066889</v>
      </c>
      <c r="AI249" s="15">
        <f t="shared" si="221"/>
        <v>1</v>
      </c>
      <c r="AK249" s="14">
        <v>206</v>
      </c>
      <c r="AL249" s="15">
        <f t="shared" si="222"/>
        <v>18</v>
      </c>
      <c r="AM249" s="16">
        <f>(1+INDEX('1 - Input'!$B$34:$E$63,AL249,'1 - Input'!$B$16))^(1/12)-1</f>
        <v>4.1219243192651689E-3</v>
      </c>
      <c r="AN249" s="17">
        <f>'1 - Input'!$B$7*(1+'1 - Input'!$B$12)^(AL249-1)</f>
        <v>3780.6518318195458</v>
      </c>
      <c r="AO249" s="17">
        <f t="shared" si="260"/>
        <v>0</v>
      </c>
      <c r="AP249" s="17">
        <f t="shared" si="261"/>
        <v>0</v>
      </c>
      <c r="AQ249" s="17">
        <f t="shared" si="223"/>
        <v>0</v>
      </c>
      <c r="AR249" s="17">
        <f>IF(AQ249&gt;0,'1 - Input'!$B$8/12*AQ249,0)</f>
        <v>0</v>
      </c>
      <c r="AS249" s="17">
        <f t="shared" si="224"/>
        <v>0</v>
      </c>
      <c r="AT249" s="17">
        <f t="shared" si="225"/>
        <v>0</v>
      </c>
      <c r="AU249" s="17">
        <f>'1 - Input'!$B$22*(AR249-AT249)</f>
        <v>0</v>
      </c>
      <c r="AV249" s="17">
        <f t="shared" si="226"/>
        <v>0</v>
      </c>
      <c r="AW249" s="17">
        <f t="shared" si="227"/>
        <v>0</v>
      </c>
      <c r="AX249" s="17">
        <f>IF('1 - Input'!$B$17=1,MAX(0,AV249-AN249),0)</f>
        <v>0</v>
      </c>
      <c r="AY249" s="17">
        <f>IF('1 - Input'!$B$17=1,MAX(0,AN249-AV249),0)</f>
        <v>3780.6518318195458</v>
      </c>
      <c r="AZ249" s="17">
        <f t="shared" si="228"/>
        <v>0</v>
      </c>
      <c r="BA249" s="17">
        <f>IF(AND(AY249&gt;0,AS249&gt;0),AY249/(1-'1 - Input'!$B$22*AZ249),0)</f>
        <v>0</v>
      </c>
      <c r="BB249" s="17">
        <f t="shared" si="229"/>
        <v>0</v>
      </c>
      <c r="BC249" s="17">
        <f>'1 - Input'!$B$22*AZ249*BB249</f>
        <v>0</v>
      </c>
      <c r="BD249" s="17">
        <f t="shared" si="230"/>
        <v>0</v>
      </c>
      <c r="BE249" s="17">
        <f t="shared" si="231"/>
        <v>3780.6518318195458</v>
      </c>
      <c r="BF249" s="17">
        <f t="shared" si="232"/>
        <v>0</v>
      </c>
      <c r="BG249" s="17">
        <f t="shared" si="233"/>
        <v>0</v>
      </c>
      <c r="BH249" s="17">
        <f t="shared" si="234"/>
        <v>0</v>
      </c>
      <c r="BI249" s="17">
        <f>IF(MOD(AK249,12)=0,BG249*'1 - Input'!$B$23,0)</f>
        <v>0</v>
      </c>
      <c r="BJ249" s="17">
        <f t="shared" si="235"/>
        <v>0</v>
      </c>
      <c r="BK249" s="17">
        <f>IF(MOD(AK249,12)=0,BH249*(1-'1 - Input'!$B$23),BH249)</f>
        <v>0</v>
      </c>
      <c r="BL249" s="17">
        <f>IF('1 - Input'!$B$17=1,MIN(AV249,AN249)+BD249,AV249)</f>
        <v>0</v>
      </c>
      <c r="BM249" s="17">
        <f t="shared" si="262"/>
        <v>590482.93849429931</v>
      </c>
      <c r="BN249" s="17">
        <f t="shared" si="263"/>
        <v>101441.90180685223</v>
      </c>
      <c r="BO249" s="17">
        <f t="shared" si="264"/>
        <v>0</v>
      </c>
      <c r="BP249" s="17">
        <f t="shared" si="265"/>
        <v>174289.24056370757</v>
      </c>
      <c r="BQ249" s="17">
        <f t="shared" si="266"/>
        <v>8123.5662772395826</v>
      </c>
      <c r="BR249" s="17">
        <f t="shared" si="267"/>
        <v>65469.464261066889</v>
      </c>
      <c r="BS249" s="15">
        <f t="shared" si="236"/>
        <v>1</v>
      </c>
      <c r="BU249" s="14">
        <v>206</v>
      </c>
      <c r="BV249" s="15">
        <f t="shared" si="237"/>
        <v>18</v>
      </c>
      <c r="BW249" s="16">
        <f>(1+INDEX('1 - Input'!$B$34:$E$63,BV249,'1 - Input'!$B$16))^(1/12)-1</f>
        <v>4.1219243192651689E-3</v>
      </c>
      <c r="BX249" s="17">
        <f>'1 - Input'!$B$7*(1+'1 - Input'!$B$12)^(BV249-1)</f>
        <v>3780.6518318195458</v>
      </c>
      <c r="BY249" s="17">
        <f t="shared" si="268"/>
        <v>45576.379137773816</v>
      </c>
      <c r="BZ249" s="17">
        <f t="shared" si="269"/>
        <v>0</v>
      </c>
      <c r="CA249" s="17">
        <f t="shared" si="238"/>
        <v>45764.241523325858</v>
      </c>
      <c r="CB249" s="17">
        <f>IF(CA249&gt;0,'1 - Input'!$B$8/12*CA249,0)</f>
        <v>343.23181142494394</v>
      </c>
      <c r="CC249" s="17">
        <f t="shared" si="239"/>
        <v>45421.009711900915</v>
      </c>
      <c r="CD249" s="17">
        <f t="shared" si="240"/>
        <v>0</v>
      </c>
      <c r="CE249" s="17">
        <f>'1 - Input'!$B$22*(CB249-CD249)</f>
        <v>89.240270970485426</v>
      </c>
      <c r="CF249" s="17">
        <f t="shared" si="241"/>
        <v>253.99154045445852</v>
      </c>
      <c r="CG249" s="17">
        <f t="shared" si="242"/>
        <v>0</v>
      </c>
      <c r="CH249" s="17">
        <f>IF('1 - Input'!$B$17=1,MAX(0,CF249-BX249),0)</f>
        <v>0</v>
      </c>
      <c r="CI249" s="17">
        <f>IF('1 - Input'!$B$17=1,MAX(0,BX249-CF249),0)</f>
        <v>3526.6602913650872</v>
      </c>
      <c r="CJ249" s="17">
        <f t="shared" si="243"/>
        <v>1</v>
      </c>
      <c r="CK249" s="17">
        <f>IF(AND(CI249&gt;0,CC249&gt;0),CI249/(1-'1 - Input'!$B$22*CJ249),0)</f>
        <v>4765.7571504933612</v>
      </c>
      <c r="CL249" s="17">
        <f t="shared" si="244"/>
        <v>4765.7571504933612</v>
      </c>
      <c r="CM249" s="17">
        <f>'1 - Input'!$B$22*CJ249*CL249</f>
        <v>1239.096859128274</v>
      </c>
      <c r="CN249" s="17">
        <f t="shared" si="245"/>
        <v>3526.6602913650872</v>
      </c>
      <c r="CO249" s="17">
        <f t="shared" si="246"/>
        <v>0</v>
      </c>
      <c r="CP249" s="17">
        <f t="shared" si="247"/>
        <v>0</v>
      </c>
      <c r="CQ249" s="17">
        <f t="shared" si="248"/>
        <v>40655.252561407557</v>
      </c>
      <c r="CR249" s="17">
        <f t="shared" si="249"/>
        <v>0</v>
      </c>
      <c r="CS249" s="17">
        <f>IF(MOD(BU249,12)=0,CQ249*'1 - Input'!$B$23,0)</f>
        <v>0</v>
      </c>
      <c r="CT249" s="17">
        <f t="shared" si="250"/>
        <v>40655.252561407557</v>
      </c>
      <c r="CU249" s="17">
        <f>IF(MOD(BU249,12)=0,CR249*(1-'1 - Input'!$B$23),CR249)</f>
        <v>0</v>
      </c>
      <c r="CV249" s="17">
        <f>IF('1 - Input'!$B$17=1,MIN(CF249,BX249)+CN249,CF249)</f>
        <v>3780.6518318195458</v>
      </c>
      <c r="CW249" s="17">
        <f t="shared" si="270"/>
        <v>655952.40275536699</v>
      </c>
      <c r="CX249" s="17">
        <f t="shared" si="271"/>
        <v>5653.5873522629154</v>
      </c>
      <c r="CY249" s="17">
        <f t="shared" si="272"/>
        <v>56113.521799861745</v>
      </c>
      <c r="CZ249" s="17">
        <f t="shared" si="273"/>
        <v>0</v>
      </c>
      <c r="DA249" s="17">
        <f t="shared" si="274"/>
        <v>10954.114452440983</v>
      </c>
      <c r="DB249" s="17">
        <f t="shared" si="275"/>
        <v>0</v>
      </c>
      <c r="DC249" s="15">
        <f t="shared" si="251"/>
        <v>0</v>
      </c>
    </row>
    <row r="250" spans="1:107">
      <c r="A250" s="14">
        <v>207</v>
      </c>
      <c r="B250" s="15">
        <f t="shared" si="207"/>
        <v>18</v>
      </c>
      <c r="C250" s="16">
        <f>(1+INDEX('1 - Input'!$B$34:$E$63,B250,'1 - Input'!$B$16))^(1/12)-1</f>
        <v>4.1219243192651689E-3</v>
      </c>
      <c r="D250" s="17">
        <f>'1 - Input'!$B$7*(1+'1 - Input'!$B$12)^(B250-1)</f>
        <v>3780.6518318195458</v>
      </c>
      <c r="E250" s="17">
        <f t="shared" si="252"/>
        <v>0</v>
      </c>
      <c r="F250" s="17">
        <f t="shared" si="253"/>
        <v>0</v>
      </c>
      <c r="G250" s="17">
        <f t="shared" si="208"/>
        <v>0</v>
      </c>
      <c r="H250" s="17">
        <f>IF(G250&gt;0,'1 - Input'!$B$8/12*G250,0)</f>
        <v>0</v>
      </c>
      <c r="I250" s="17">
        <f t="shared" si="209"/>
        <v>0</v>
      </c>
      <c r="J250" s="17">
        <f t="shared" si="210"/>
        <v>0</v>
      </c>
      <c r="K250" s="17">
        <f>'1 - Input'!$B$22*(H250-J250)</f>
        <v>0</v>
      </c>
      <c r="L250" s="17">
        <f t="shared" si="211"/>
        <v>0</v>
      </c>
      <c r="M250" s="17">
        <f t="shared" si="212"/>
        <v>0</v>
      </c>
      <c r="N250" s="17">
        <f>IF('1 - Input'!$B$17=1,MAX(0,L250-D250),0)</f>
        <v>0</v>
      </c>
      <c r="O250" s="17">
        <f>IF('1 - Input'!$B$17=1,MAX(0,D250-L250),0)</f>
        <v>3780.6518318195458</v>
      </c>
      <c r="P250" s="17">
        <f t="shared" si="213"/>
        <v>0</v>
      </c>
      <c r="Q250" s="17">
        <f>IF(AND(O250&gt;0,I250&gt;0),O250/(1-'1 - Input'!$B$22*P250),0)</f>
        <v>0</v>
      </c>
      <c r="R250" s="17">
        <f t="shared" si="214"/>
        <v>0</v>
      </c>
      <c r="S250" s="17">
        <f>'1 - Input'!$B$22*P250*R250</f>
        <v>0</v>
      </c>
      <c r="T250" s="17">
        <f t="shared" si="215"/>
        <v>0</v>
      </c>
      <c r="U250" s="17">
        <f t="shared" si="216"/>
        <v>3780.6518318195458</v>
      </c>
      <c r="V250" s="17">
        <f t="shared" si="217"/>
        <v>0</v>
      </c>
      <c r="W250" s="17">
        <f t="shared" si="218"/>
        <v>0</v>
      </c>
      <c r="X250" s="17">
        <f t="shared" si="219"/>
        <v>0</v>
      </c>
      <c r="Y250" s="17">
        <f>IF(MOD(A250,12)=0,W250*'1 - Input'!$B$23,0)</f>
        <v>0</v>
      </c>
      <c r="Z250" s="17">
        <f t="shared" si="220"/>
        <v>0</v>
      </c>
      <c r="AA250" s="17">
        <f>IF(MOD(A250,12)=0,X250*(1-'1 - Input'!$B$23),X250)</f>
        <v>0</v>
      </c>
      <c r="AB250" s="17">
        <f>IF('1 - Input'!$B$17=1,MIN(L250,D250)+T250,L250)</f>
        <v>0</v>
      </c>
      <c r="AC250" s="17">
        <f t="shared" si="254"/>
        <v>590482.93849429931</v>
      </c>
      <c r="AD250" s="17">
        <f t="shared" si="255"/>
        <v>101441.90180685223</v>
      </c>
      <c r="AE250" s="17">
        <f t="shared" si="256"/>
        <v>0</v>
      </c>
      <c r="AF250" s="17">
        <f t="shared" si="257"/>
        <v>174289.24056370757</v>
      </c>
      <c r="AG250" s="17">
        <f t="shared" si="258"/>
        <v>8123.5662772395826</v>
      </c>
      <c r="AH250" s="17">
        <f t="shared" si="259"/>
        <v>69250.116092886441</v>
      </c>
      <c r="AI250" s="15">
        <f t="shared" si="221"/>
        <v>1</v>
      </c>
      <c r="AK250" s="14">
        <v>207</v>
      </c>
      <c r="AL250" s="15">
        <f t="shared" si="222"/>
        <v>18</v>
      </c>
      <c r="AM250" s="16">
        <f>(1+INDEX('1 - Input'!$B$34:$E$63,AL250,'1 - Input'!$B$16))^(1/12)-1</f>
        <v>4.1219243192651689E-3</v>
      </c>
      <c r="AN250" s="17">
        <f>'1 - Input'!$B$7*(1+'1 - Input'!$B$12)^(AL250-1)</f>
        <v>3780.6518318195458</v>
      </c>
      <c r="AO250" s="17">
        <f t="shared" si="260"/>
        <v>0</v>
      </c>
      <c r="AP250" s="17">
        <f t="shared" si="261"/>
        <v>0</v>
      </c>
      <c r="AQ250" s="17">
        <f t="shared" si="223"/>
        <v>0</v>
      </c>
      <c r="AR250" s="17">
        <f>IF(AQ250&gt;0,'1 - Input'!$B$8/12*AQ250,0)</f>
        <v>0</v>
      </c>
      <c r="AS250" s="17">
        <f t="shared" si="224"/>
        <v>0</v>
      </c>
      <c r="AT250" s="17">
        <f t="shared" si="225"/>
        <v>0</v>
      </c>
      <c r="AU250" s="17">
        <f>'1 - Input'!$B$22*(AR250-AT250)</f>
        <v>0</v>
      </c>
      <c r="AV250" s="17">
        <f t="shared" si="226"/>
        <v>0</v>
      </c>
      <c r="AW250" s="17">
        <f t="shared" si="227"/>
        <v>0</v>
      </c>
      <c r="AX250" s="17">
        <f>IF('1 - Input'!$B$17=1,MAX(0,AV250-AN250),0)</f>
        <v>0</v>
      </c>
      <c r="AY250" s="17">
        <f>IF('1 - Input'!$B$17=1,MAX(0,AN250-AV250),0)</f>
        <v>3780.6518318195458</v>
      </c>
      <c r="AZ250" s="17">
        <f t="shared" si="228"/>
        <v>0</v>
      </c>
      <c r="BA250" s="17">
        <f>IF(AND(AY250&gt;0,AS250&gt;0),AY250/(1-'1 - Input'!$B$22*AZ250),0)</f>
        <v>0</v>
      </c>
      <c r="BB250" s="17">
        <f t="shared" si="229"/>
        <v>0</v>
      </c>
      <c r="BC250" s="17">
        <f>'1 - Input'!$B$22*AZ250*BB250</f>
        <v>0</v>
      </c>
      <c r="BD250" s="17">
        <f t="shared" si="230"/>
        <v>0</v>
      </c>
      <c r="BE250" s="17">
        <f t="shared" si="231"/>
        <v>3780.6518318195458</v>
      </c>
      <c r="BF250" s="17">
        <f t="shared" si="232"/>
        <v>0</v>
      </c>
      <c r="BG250" s="17">
        <f t="shared" si="233"/>
        <v>0</v>
      </c>
      <c r="BH250" s="17">
        <f t="shared" si="234"/>
        <v>0</v>
      </c>
      <c r="BI250" s="17">
        <f>IF(MOD(AK250,12)=0,BG250*'1 - Input'!$B$23,0)</f>
        <v>0</v>
      </c>
      <c r="BJ250" s="17">
        <f t="shared" si="235"/>
        <v>0</v>
      </c>
      <c r="BK250" s="17">
        <f>IF(MOD(AK250,12)=0,BH250*(1-'1 - Input'!$B$23),BH250)</f>
        <v>0</v>
      </c>
      <c r="BL250" s="17">
        <f>IF('1 - Input'!$B$17=1,MIN(AV250,AN250)+BD250,AV250)</f>
        <v>0</v>
      </c>
      <c r="BM250" s="17">
        <f t="shared" si="262"/>
        <v>590482.93849429931</v>
      </c>
      <c r="BN250" s="17">
        <f t="shared" si="263"/>
        <v>101441.90180685223</v>
      </c>
      <c r="BO250" s="17">
        <f t="shared" si="264"/>
        <v>0</v>
      </c>
      <c r="BP250" s="17">
        <f t="shared" si="265"/>
        <v>174289.24056370757</v>
      </c>
      <c r="BQ250" s="17">
        <f t="shared" si="266"/>
        <v>8123.5662772395826</v>
      </c>
      <c r="BR250" s="17">
        <f t="shared" si="267"/>
        <v>69250.116092886441</v>
      </c>
      <c r="BS250" s="15">
        <f t="shared" si="236"/>
        <v>1</v>
      </c>
      <c r="BU250" s="14">
        <v>207</v>
      </c>
      <c r="BV250" s="15">
        <f t="shared" si="237"/>
        <v>18</v>
      </c>
      <c r="BW250" s="16">
        <f>(1+INDEX('1 - Input'!$B$34:$E$63,BV250,'1 - Input'!$B$16))^(1/12)-1</f>
        <v>4.1219243192651689E-3</v>
      </c>
      <c r="BX250" s="17">
        <f>'1 - Input'!$B$7*(1+'1 - Input'!$B$12)^(BV250-1)</f>
        <v>3780.6518318195458</v>
      </c>
      <c r="BY250" s="17">
        <f t="shared" si="268"/>
        <v>40655.252561407557</v>
      </c>
      <c r="BZ250" s="17">
        <f t="shared" si="269"/>
        <v>0</v>
      </c>
      <c r="CA250" s="17">
        <f t="shared" si="238"/>
        <v>40822.83043564629</v>
      </c>
      <c r="CB250" s="17">
        <f>IF(CA250&gt;0,'1 - Input'!$B$8/12*CA250,0)</f>
        <v>306.17122826734715</v>
      </c>
      <c r="CC250" s="17">
        <f t="shared" si="239"/>
        <v>40516.659207378943</v>
      </c>
      <c r="CD250" s="17">
        <f t="shared" si="240"/>
        <v>0</v>
      </c>
      <c r="CE250" s="17">
        <f>'1 - Input'!$B$22*(CB250-CD250)</f>
        <v>79.604519349510255</v>
      </c>
      <c r="CF250" s="17">
        <f t="shared" si="241"/>
        <v>226.56670891783688</v>
      </c>
      <c r="CG250" s="17">
        <f t="shared" si="242"/>
        <v>0</v>
      </c>
      <c r="CH250" s="17">
        <f>IF('1 - Input'!$B$17=1,MAX(0,CF250-BX250),0)</f>
        <v>0</v>
      </c>
      <c r="CI250" s="17">
        <f>IF('1 - Input'!$B$17=1,MAX(0,BX250-CF250),0)</f>
        <v>3554.0851229017089</v>
      </c>
      <c r="CJ250" s="17">
        <f t="shared" si="243"/>
        <v>1</v>
      </c>
      <c r="CK250" s="17">
        <f>IF(AND(CI250&gt;0,CC250&gt;0),CI250/(1-'1 - Input'!$B$22*CJ250),0)</f>
        <v>4802.817733650958</v>
      </c>
      <c r="CL250" s="17">
        <f t="shared" si="244"/>
        <v>4802.817733650958</v>
      </c>
      <c r="CM250" s="17">
        <f>'1 - Input'!$B$22*CJ250*CL250</f>
        <v>1248.732610749249</v>
      </c>
      <c r="CN250" s="17">
        <f t="shared" si="245"/>
        <v>3554.0851229017089</v>
      </c>
      <c r="CO250" s="17">
        <f t="shared" si="246"/>
        <v>0</v>
      </c>
      <c r="CP250" s="17">
        <f t="shared" si="247"/>
        <v>0</v>
      </c>
      <c r="CQ250" s="17">
        <f t="shared" si="248"/>
        <v>35713.841473727982</v>
      </c>
      <c r="CR250" s="17">
        <f t="shared" si="249"/>
        <v>0</v>
      </c>
      <c r="CS250" s="17">
        <f>IF(MOD(BU250,12)=0,CQ250*'1 - Input'!$B$23,0)</f>
        <v>0</v>
      </c>
      <c r="CT250" s="17">
        <f t="shared" si="250"/>
        <v>35713.841473727982</v>
      </c>
      <c r="CU250" s="17">
        <f>IF(MOD(BU250,12)=0,CR250*(1-'1 - Input'!$B$23),CR250)</f>
        <v>0</v>
      </c>
      <c r="CV250" s="17">
        <f>IF('1 - Input'!$B$17=1,MIN(CF250,BX250)+CN250,CF250)</f>
        <v>3780.6518318195458</v>
      </c>
      <c r="CW250" s="17">
        <f t="shared" si="270"/>
        <v>659733.05458718655</v>
      </c>
      <c r="CX250" s="17">
        <f t="shared" si="271"/>
        <v>5733.1918716124255</v>
      </c>
      <c r="CY250" s="17">
        <f t="shared" si="272"/>
        <v>57362.254410610993</v>
      </c>
      <c r="CZ250" s="17">
        <f t="shared" si="273"/>
        <v>0</v>
      </c>
      <c r="DA250" s="17">
        <f t="shared" si="274"/>
        <v>10954.114452440983</v>
      </c>
      <c r="DB250" s="17">
        <f t="shared" si="275"/>
        <v>0</v>
      </c>
      <c r="DC250" s="15">
        <f t="shared" si="251"/>
        <v>0</v>
      </c>
    </row>
    <row r="251" spans="1:107">
      <c r="A251" s="14">
        <v>208</v>
      </c>
      <c r="B251" s="15">
        <f t="shared" si="207"/>
        <v>18</v>
      </c>
      <c r="C251" s="16">
        <f>(1+INDEX('1 - Input'!$B$34:$E$63,B251,'1 - Input'!$B$16))^(1/12)-1</f>
        <v>4.1219243192651689E-3</v>
      </c>
      <c r="D251" s="17">
        <f>'1 - Input'!$B$7*(1+'1 - Input'!$B$12)^(B251-1)</f>
        <v>3780.6518318195458</v>
      </c>
      <c r="E251" s="17">
        <f t="shared" si="252"/>
        <v>0</v>
      </c>
      <c r="F251" s="17">
        <f t="shared" si="253"/>
        <v>0</v>
      </c>
      <c r="G251" s="17">
        <f t="shared" si="208"/>
        <v>0</v>
      </c>
      <c r="H251" s="17">
        <f>IF(G251&gt;0,'1 - Input'!$B$8/12*G251,0)</f>
        <v>0</v>
      </c>
      <c r="I251" s="17">
        <f t="shared" si="209"/>
        <v>0</v>
      </c>
      <c r="J251" s="17">
        <f t="shared" si="210"/>
        <v>0</v>
      </c>
      <c r="K251" s="17">
        <f>'1 - Input'!$B$22*(H251-J251)</f>
        <v>0</v>
      </c>
      <c r="L251" s="17">
        <f t="shared" si="211"/>
        <v>0</v>
      </c>
      <c r="M251" s="17">
        <f t="shared" si="212"/>
        <v>0</v>
      </c>
      <c r="N251" s="17">
        <f>IF('1 - Input'!$B$17=1,MAX(0,L251-D251),0)</f>
        <v>0</v>
      </c>
      <c r="O251" s="17">
        <f>IF('1 - Input'!$B$17=1,MAX(0,D251-L251),0)</f>
        <v>3780.6518318195458</v>
      </c>
      <c r="P251" s="17">
        <f t="shared" si="213"/>
        <v>0</v>
      </c>
      <c r="Q251" s="17">
        <f>IF(AND(O251&gt;0,I251&gt;0),O251/(1-'1 - Input'!$B$22*P251),0)</f>
        <v>0</v>
      </c>
      <c r="R251" s="17">
        <f t="shared" si="214"/>
        <v>0</v>
      </c>
      <c r="S251" s="17">
        <f>'1 - Input'!$B$22*P251*R251</f>
        <v>0</v>
      </c>
      <c r="T251" s="17">
        <f t="shared" si="215"/>
        <v>0</v>
      </c>
      <c r="U251" s="17">
        <f t="shared" si="216"/>
        <v>3780.6518318195458</v>
      </c>
      <c r="V251" s="17">
        <f t="shared" si="217"/>
        <v>0</v>
      </c>
      <c r="W251" s="17">
        <f t="shared" si="218"/>
        <v>0</v>
      </c>
      <c r="X251" s="17">
        <f t="shared" si="219"/>
        <v>0</v>
      </c>
      <c r="Y251" s="17">
        <f>IF(MOD(A251,12)=0,W251*'1 - Input'!$B$23,0)</f>
        <v>0</v>
      </c>
      <c r="Z251" s="17">
        <f t="shared" si="220"/>
        <v>0</v>
      </c>
      <c r="AA251" s="17">
        <f>IF(MOD(A251,12)=0,X251*(1-'1 - Input'!$B$23),X251)</f>
        <v>0</v>
      </c>
      <c r="AB251" s="17">
        <f>IF('1 - Input'!$B$17=1,MIN(L251,D251)+T251,L251)</f>
        <v>0</v>
      </c>
      <c r="AC251" s="17">
        <f t="shared" si="254"/>
        <v>590482.93849429931</v>
      </c>
      <c r="AD251" s="17">
        <f t="shared" si="255"/>
        <v>101441.90180685223</v>
      </c>
      <c r="AE251" s="17">
        <f t="shared" si="256"/>
        <v>0</v>
      </c>
      <c r="AF251" s="17">
        <f t="shared" si="257"/>
        <v>174289.24056370757</v>
      </c>
      <c r="AG251" s="17">
        <f t="shared" si="258"/>
        <v>8123.5662772395826</v>
      </c>
      <c r="AH251" s="17">
        <f t="shared" si="259"/>
        <v>73030.767924705986</v>
      </c>
      <c r="AI251" s="15">
        <f t="shared" si="221"/>
        <v>1</v>
      </c>
      <c r="AK251" s="14">
        <v>208</v>
      </c>
      <c r="AL251" s="15">
        <f t="shared" si="222"/>
        <v>18</v>
      </c>
      <c r="AM251" s="16">
        <f>(1+INDEX('1 - Input'!$B$34:$E$63,AL251,'1 - Input'!$B$16))^(1/12)-1</f>
        <v>4.1219243192651689E-3</v>
      </c>
      <c r="AN251" s="17">
        <f>'1 - Input'!$B$7*(1+'1 - Input'!$B$12)^(AL251-1)</f>
        <v>3780.6518318195458</v>
      </c>
      <c r="AO251" s="17">
        <f t="shared" si="260"/>
        <v>0</v>
      </c>
      <c r="AP251" s="17">
        <f t="shared" si="261"/>
        <v>0</v>
      </c>
      <c r="AQ251" s="17">
        <f t="shared" si="223"/>
        <v>0</v>
      </c>
      <c r="AR251" s="17">
        <f>IF(AQ251&gt;0,'1 - Input'!$B$8/12*AQ251,0)</f>
        <v>0</v>
      </c>
      <c r="AS251" s="17">
        <f t="shared" si="224"/>
        <v>0</v>
      </c>
      <c r="AT251" s="17">
        <f t="shared" si="225"/>
        <v>0</v>
      </c>
      <c r="AU251" s="17">
        <f>'1 - Input'!$B$22*(AR251-AT251)</f>
        <v>0</v>
      </c>
      <c r="AV251" s="17">
        <f t="shared" si="226"/>
        <v>0</v>
      </c>
      <c r="AW251" s="17">
        <f t="shared" si="227"/>
        <v>0</v>
      </c>
      <c r="AX251" s="17">
        <f>IF('1 - Input'!$B$17=1,MAX(0,AV251-AN251),0)</f>
        <v>0</v>
      </c>
      <c r="AY251" s="17">
        <f>IF('1 - Input'!$B$17=1,MAX(0,AN251-AV251),0)</f>
        <v>3780.6518318195458</v>
      </c>
      <c r="AZ251" s="17">
        <f t="shared" si="228"/>
        <v>0</v>
      </c>
      <c r="BA251" s="17">
        <f>IF(AND(AY251&gt;0,AS251&gt;0),AY251/(1-'1 - Input'!$B$22*AZ251),0)</f>
        <v>0</v>
      </c>
      <c r="BB251" s="17">
        <f t="shared" si="229"/>
        <v>0</v>
      </c>
      <c r="BC251" s="17">
        <f>'1 - Input'!$B$22*AZ251*BB251</f>
        <v>0</v>
      </c>
      <c r="BD251" s="17">
        <f t="shared" si="230"/>
        <v>0</v>
      </c>
      <c r="BE251" s="17">
        <f t="shared" si="231"/>
        <v>3780.6518318195458</v>
      </c>
      <c r="BF251" s="17">
        <f t="shared" si="232"/>
        <v>0</v>
      </c>
      <c r="BG251" s="17">
        <f t="shared" si="233"/>
        <v>0</v>
      </c>
      <c r="BH251" s="17">
        <f t="shared" si="234"/>
        <v>0</v>
      </c>
      <c r="BI251" s="17">
        <f>IF(MOD(AK251,12)=0,BG251*'1 - Input'!$B$23,0)</f>
        <v>0</v>
      </c>
      <c r="BJ251" s="17">
        <f t="shared" si="235"/>
        <v>0</v>
      </c>
      <c r="BK251" s="17">
        <f>IF(MOD(AK251,12)=0,BH251*(1-'1 - Input'!$B$23),BH251)</f>
        <v>0</v>
      </c>
      <c r="BL251" s="17">
        <f>IF('1 - Input'!$B$17=1,MIN(AV251,AN251)+BD251,AV251)</f>
        <v>0</v>
      </c>
      <c r="BM251" s="17">
        <f t="shared" si="262"/>
        <v>590482.93849429931</v>
      </c>
      <c r="BN251" s="17">
        <f t="shared" si="263"/>
        <v>101441.90180685223</v>
      </c>
      <c r="BO251" s="17">
        <f t="shared" si="264"/>
        <v>0</v>
      </c>
      <c r="BP251" s="17">
        <f t="shared" si="265"/>
        <v>174289.24056370757</v>
      </c>
      <c r="BQ251" s="17">
        <f t="shared" si="266"/>
        <v>8123.5662772395826</v>
      </c>
      <c r="BR251" s="17">
        <f t="shared" si="267"/>
        <v>73030.767924705986</v>
      </c>
      <c r="BS251" s="15">
        <f t="shared" si="236"/>
        <v>1</v>
      </c>
      <c r="BU251" s="14">
        <v>208</v>
      </c>
      <c r="BV251" s="15">
        <f t="shared" si="237"/>
        <v>18</v>
      </c>
      <c r="BW251" s="16">
        <f>(1+INDEX('1 - Input'!$B$34:$E$63,BV251,'1 - Input'!$B$16))^(1/12)-1</f>
        <v>4.1219243192651689E-3</v>
      </c>
      <c r="BX251" s="17">
        <f>'1 - Input'!$B$7*(1+'1 - Input'!$B$12)^(BV251-1)</f>
        <v>3780.6518318195458</v>
      </c>
      <c r="BY251" s="17">
        <f t="shared" si="268"/>
        <v>35713.841473727982</v>
      </c>
      <c r="BZ251" s="17">
        <f t="shared" si="269"/>
        <v>0</v>
      </c>
      <c r="CA251" s="17">
        <f t="shared" si="238"/>
        <v>35861.051225432922</v>
      </c>
      <c r="CB251" s="17">
        <f>IF(CA251&gt;0,'1 - Input'!$B$8/12*CA251,0)</f>
        <v>268.95788419074688</v>
      </c>
      <c r="CC251" s="17">
        <f t="shared" si="239"/>
        <v>35592.093341242173</v>
      </c>
      <c r="CD251" s="17">
        <f t="shared" si="240"/>
        <v>0</v>
      </c>
      <c r="CE251" s="17">
        <f>'1 - Input'!$B$22*(CB251-CD251)</f>
        <v>69.929049889594197</v>
      </c>
      <c r="CF251" s="17">
        <f t="shared" si="241"/>
        <v>199.0288343011527</v>
      </c>
      <c r="CG251" s="17">
        <f t="shared" si="242"/>
        <v>0</v>
      </c>
      <c r="CH251" s="17">
        <f>IF('1 - Input'!$B$17=1,MAX(0,CF251-BX251),0)</f>
        <v>0</v>
      </c>
      <c r="CI251" s="17">
        <f>IF('1 - Input'!$B$17=1,MAX(0,BX251-CF251),0)</f>
        <v>3581.6229975183933</v>
      </c>
      <c r="CJ251" s="17">
        <f t="shared" si="243"/>
        <v>1</v>
      </c>
      <c r="CK251" s="17">
        <f>IF(AND(CI251&gt;0,CC251&gt;0),CI251/(1-'1 - Input'!$B$22*CJ251),0)</f>
        <v>4840.0310777275581</v>
      </c>
      <c r="CL251" s="17">
        <f t="shared" si="244"/>
        <v>4840.0310777275581</v>
      </c>
      <c r="CM251" s="17">
        <f>'1 - Input'!$B$22*CJ251*CL251</f>
        <v>1258.4080802091651</v>
      </c>
      <c r="CN251" s="17">
        <f t="shared" si="245"/>
        <v>3581.6229975183933</v>
      </c>
      <c r="CO251" s="17">
        <f t="shared" si="246"/>
        <v>0</v>
      </c>
      <c r="CP251" s="17">
        <f t="shared" si="247"/>
        <v>0</v>
      </c>
      <c r="CQ251" s="17">
        <f t="shared" si="248"/>
        <v>30752.062263514614</v>
      </c>
      <c r="CR251" s="17">
        <f t="shared" si="249"/>
        <v>0</v>
      </c>
      <c r="CS251" s="17">
        <f>IF(MOD(BU251,12)=0,CQ251*'1 - Input'!$B$23,0)</f>
        <v>0</v>
      </c>
      <c r="CT251" s="17">
        <f t="shared" si="250"/>
        <v>30752.062263514614</v>
      </c>
      <c r="CU251" s="17">
        <f>IF(MOD(BU251,12)=0,CR251*(1-'1 - Input'!$B$23),CR251)</f>
        <v>0</v>
      </c>
      <c r="CV251" s="17">
        <f>IF('1 - Input'!$B$17=1,MIN(CF251,BX251)+CN251,CF251)</f>
        <v>3780.6518318195458</v>
      </c>
      <c r="CW251" s="17">
        <f t="shared" si="270"/>
        <v>663513.70641900611</v>
      </c>
      <c r="CX251" s="17">
        <f t="shared" si="271"/>
        <v>5803.1209215020199</v>
      </c>
      <c r="CY251" s="17">
        <f t="shared" si="272"/>
        <v>58620.662490820156</v>
      </c>
      <c r="CZ251" s="17">
        <f t="shared" si="273"/>
        <v>0</v>
      </c>
      <c r="DA251" s="17">
        <f t="shared" si="274"/>
        <v>10954.114452440983</v>
      </c>
      <c r="DB251" s="17">
        <f t="shared" si="275"/>
        <v>0</v>
      </c>
      <c r="DC251" s="15">
        <f t="shared" si="251"/>
        <v>0</v>
      </c>
    </row>
    <row r="252" spans="1:107">
      <c r="A252" s="14">
        <v>209</v>
      </c>
      <c r="B252" s="15">
        <f t="shared" si="207"/>
        <v>18</v>
      </c>
      <c r="C252" s="16">
        <f>(1+INDEX('1 - Input'!$B$34:$E$63,B252,'1 - Input'!$B$16))^(1/12)-1</f>
        <v>4.1219243192651689E-3</v>
      </c>
      <c r="D252" s="17">
        <f>'1 - Input'!$B$7*(1+'1 - Input'!$B$12)^(B252-1)</f>
        <v>3780.6518318195458</v>
      </c>
      <c r="E252" s="17">
        <f t="shared" si="252"/>
        <v>0</v>
      </c>
      <c r="F252" s="17">
        <f t="shared" si="253"/>
        <v>0</v>
      </c>
      <c r="G252" s="17">
        <f t="shared" si="208"/>
        <v>0</v>
      </c>
      <c r="H252" s="17">
        <f>IF(G252&gt;0,'1 - Input'!$B$8/12*G252,0)</f>
        <v>0</v>
      </c>
      <c r="I252" s="17">
        <f t="shared" si="209"/>
        <v>0</v>
      </c>
      <c r="J252" s="17">
        <f t="shared" si="210"/>
        <v>0</v>
      </c>
      <c r="K252" s="17">
        <f>'1 - Input'!$B$22*(H252-J252)</f>
        <v>0</v>
      </c>
      <c r="L252" s="17">
        <f t="shared" si="211"/>
        <v>0</v>
      </c>
      <c r="M252" s="17">
        <f t="shared" si="212"/>
        <v>0</v>
      </c>
      <c r="N252" s="17">
        <f>IF('1 - Input'!$B$17=1,MAX(0,L252-D252),0)</f>
        <v>0</v>
      </c>
      <c r="O252" s="17">
        <f>IF('1 - Input'!$B$17=1,MAX(0,D252-L252),0)</f>
        <v>3780.6518318195458</v>
      </c>
      <c r="P252" s="17">
        <f t="shared" si="213"/>
        <v>0</v>
      </c>
      <c r="Q252" s="17">
        <f>IF(AND(O252&gt;0,I252&gt;0),O252/(1-'1 - Input'!$B$22*P252),0)</f>
        <v>0</v>
      </c>
      <c r="R252" s="17">
        <f t="shared" si="214"/>
        <v>0</v>
      </c>
      <c r="S252" s="17">
        <f>'1 - Input'!$B$22*P252*R252</f>
        <v>0</v>
      </c>
      <c r="T252" s="17">
        <f t="shared" si="215"/>
        <v>0</v>
      </c>
      <c r="U252" s="17">
        <f t="shared" si="216"/>
        <v>3780.6518318195458</v>
      </c>
      <c r="V252" s="17">
        <f t="shared" si="217"/>
        <v>0</v>
      </c>
      <c r="W252" s="17">
        <f t="shared" si="218"/>
        <v>0</v>
      </c>
      <c r="X252" s="17">
        <f t="shared" si="219"/>
        <v>0</v>
      </c>
      <c r="Y252" s="17">
        <f>IF(MOD(A252,12)=0,W252*'1 - Input'!$B$23,0)</f>
        <v>0</v>
      </c>
      <c r="Z252" s="17">
        <f t="shared" si="220"/>
        <v>0</v>
      </c>
      <c r="AA252" s="17">
        <f>IF(MOD(A252,12)=0,X252*(1-'1 - Input'!$B$23),X252)</f>
        <v>0</v>
      </c>
      <c r="AB252" s="17">
        <f>IF('1 - Input'!$B$17=1,MIN(L252,D252)+T252,L252)</f>
        <v>0</v>
      </c>
      <c r="AC252" s="17">
        <f t="shared" si="254"/>
        <v>590482.93849429931</v>
      </c>
      <c r="AD252" s="17">
        <f t="shared" si="255"/>
        <v>101441.90180685223</v>
      </c>
      <c r="AE252" s="17">
        <f t="shared" si="256"/>
        <v>0</v>
      </c>
      <c r="AF252" s="17">
        <f t="shared" si="257"/>
        <v>174289.24056370757</v>
      </c>
      <c r="AG252" s="17">
        <f t="shared" si="258"/>
        <v>8123.5662772395826</v>
      </c>
      <c r="AH252" s="17">
        <f t="shared" si="259"/>
        <v>76811.419756525531</v>
      </c>
      <c r="AI252" s="15">
        <f t="shared" si="221"/>
        <v>1</v>
      </c>
      <c r="AK252" s="14">
        <v>209</v>
      </c>
      <c r="AL252" s="15">
        <f t="shared" si="222"/>
        <v>18</v>
      </c>
      <c r="AM252" s="16">
        <f>(1+INDEX('1 - Input'!$B$34:$E$63,AL252,'1 - Input'!$B$16))^(1/12)-1</f>
        <v>4.1219243192651689E-3</v>
      </c>
      <c r="AN252" s="17">
        <f>'1 - Input'!$B$7*(1+'1 - Input'!$B$12)^(AL252-1)</f>
        <v>3780.6518318195458</v>
      </c>
      <c r="AO252" s="17">
        <f t="shared" si="260"/>
        <v>0</v>
      </c>
      <c r="AP252" s="17">
        <f t="shared" si="261"/>
        <v>0</v>
      </c>
      <c r="AQ252" s="17">
        <f t="shared" si="223"/>
        <v>0</v>
      </c>
      <c r="AR252" s="17">
        <f>IF(AQ252&gt;0,'1 - Input'!$B$8/12*AQ252,0)</f>
        <v>0</v>
      </c>
      <c r="AS252" s="17">
        <f t="shared" si="224"/>
        <v>0</v>
      </c>
      <c r="AT252" s="17">
        <f t="shared" si="225"/>
        <v>0</v>
      </c>
      <c r="AU252" s="17">
        <f>'1 - Input'!$B$22*(AR252-AT252)</f>
        <v>0</v>
      </c>
      <c r="AV252" s="17">
        <f t="shared" si="226"/>
        <v>0</v>
      </c>
      <c r="AW252" s="17">
        <f t="shared" si="227"/>
        <v>0</v>
      </c>
      <c r="AX252" s="17">
        <f>IF('1 - Input'!$B$17=1,MAX(0,AV252-AN252),0)</f>
        <v>0</v>
      </c>
      <c r="AY252" s="17">
        <f>IF('1 - Input'!$B$17=1,MAX(0,AN252-AV252),0)</f>
        <v>3780.6518318195458</v>
      </c>
      <c r="AZ252" s="17">
        <f t="shared" si="228"/>
        <v>0</v>
      </c>
      <c r="BA252" s="17">
        <f>IF(AND(AY252&gt;0,AS252&gt;0),AY252/(1-'1 - Input'!$B$22*AZ252),0)</f>
        <v>0</v>
      </c>
      <c r="BB252" s="17">
        <f t="shared" si="229"/>
        <v>0</v>
      </c>
      <c r="BC252" s="17">
        <f>'1 - Input'!$B$22*AZ252*BB252</f>
        <v>0</v>
      </c>
      <c r="BD252" s="17">
        <f t="shared" si="230"/>
        <v>0</v>
      </c>
      <c r="BE252" s="17">
        <f t="shared" si="231"/>
        <v>3780.6518318195458</v>
      </c>
      <c r="BF252" s="17">
        <f t="shared" si="232"/>
        <v>0</v>
      </c>
      <c r="BG252" s="17">
        <f t="shared" si="233"/>
        <v>0</v>
      </c>
      <c r="BH252" s="17">
        <f t="shared" si="234"/>
        <v>0</v>
      </c>
      <c r="BI252" s="17">
        <f>IF(MOD(AK252,12)=0,BG252*'1 - Input'!$B$23,0)</f>
        <v>0</v>
      </c>
      <c r="BJ252" s="17">
        <f t="shared" si="235"/>
        <v>0</v>
      </c>
      <c r="BK252" s="17">
        <f>IF(MOD(AK252,12)=0,BH252*(1-'1 - Input'!$B$23),BH252)</f>
        <v>0</v>
      </c>
      <c r="BL252" s="17">
        <f>IF('1 - Input'!$B$17=1,MIN(AV252,AN252)+BD252,AV252)</f>
        <v>0</v>
      </c>
      <c r="BM252" s="17">
        <f t="shared" si="262"/>
        <v>590482.93849429931</v>
      </c>
      <c r="BN252" s="17">
        <f t="shared" si="263"/>
        <v>101441.90180685223</v>
      </c>
      <c r="BO252" s="17">
        <f t="shared" si="264"/>
        <v>0</v>
      </c>
      <c r="BP252" s="17">
        <f t="shared" si="265"/>
        <v>174289.24056370757</v>
      </c>
      <c r="BQ252" s="17">
        <f t="shared" si="266"/>
        <v>8123.5662772395826</v>
      </c>
      <c r="BR252" s="17">
        <f t="shared" si="267"/>
        <v>76811.419756525531</v>
      </c>
      <c r="BS252" s="15">
        <f t="shared" si="236"/>
        <v>1</v>
      </c>
      <c r="BU252" s="14">
        <v>209</v>
      </c>
      <c r="BV252" s="15">
        <f t="shared" si="237"/>
        <v>18</v>
      </c>
      <c r="BW252" s="16">
        <f>(1+INDEX('1 - Input'!$B$34:$E$63,BV252,'1 - Input'!$B$16))^(1/12)-1</f>
        <v>4.1219243192651689E-3</v>
      </c>
      <c r="BX252" s="17">
        <f>'1 - Input'!$B$7*(1+'1 - Input'!$B$12)^(BV252-1)</f>
        <v>3780.6518318195458</v>
      </c>
      <c r="BY252" s="17">
        <f t="shared" si="268"/>
        <v>30752.062263514614</v>
      </c>
      <c r="BZ252" s="17">
        <f t="shared" si="269"/>
        <v>0</v>
      </c>
      <c r="CA252" s="17">
        <f t="shared" si="238"/>
        <v>30878.819936826152</v>
      </c>
      <c r="CB252" s="17">
        <f>IF(CA252&gt;0,'1 - Input'!$B$8/12*CA252,0)</f>
        <v>231.59114952619612</v>
      </c>
      <c r="CC252" s="17">
        <f t="shared" si="239"/>
        <v>30647.228787299955</v>
      </c>
      <c r="CD252" s="17">
        <f t="shared" si="240"/>
        <v>0</v>
      </c>
      <c r="CE252" s="17">
        <f>'1 - Input'!$B$22*(CB252-CD252)</f>
        <v>60.213698876810994</v>
      </c>
      <c r="CF252" s="17">
        <f t="shared" si="241"/>
        <v>171.37745064938514</v>
      </c>
      <c r="CG252" s="17">
        <f t="shared" si="242"/>
        <v>0</v>
      </c>
      <c r="CH252" s="17">
        <f>IF('1 - Input'!$B$17=1,MAX(0,CF252-BX252),0)</f>
        <v>0</v>
      </c>
      <c r="CI252" s="17">
        <f>IF('1 - Input'!$B$17=1,MAX(0,BX252-CF252),0)</f>
        <v>3609.2743811701607</v>
      </c>
      <c r="CJ252" s="17">
        <f t="shared" si="243"/>
        <v>1</v>
      </c>
      <c r="CK252" s="17">
        <f>IF(AND(CI252&gt;0,CC252&gt;0),CI252/(1-'1 - Input'!$B$22*CJ252),0)</f>
        <v>4877.3978123921088</v>
      </c>
      <c r="CL252" s="17">
        <f t="shared" si="244"/>
        <v>4877.3978123921088</v>
      </c>
      <c r="CM252" s="17">
        <f>'1 - Input'!$B$22*CJ252*CL252</f>
        <v>1268.1234312219483</v>
      </c>
      <c r="CN252" s="17">
        <f t="shared" si="245"/>
        <v>3609.2743811701603</v>
      </c>
      <c r="CO252" s="17">
        <f t="shared" si="246"/>
        <v>0</v>
      </c>
      <c r="CP252" s="17">
        <f t="shared" si="247"/>
        <v>0</v>
      </c>
      <c r="CQ252" s="17">
        <f t="shared" si="248"/>
        <v>25769.830974907847</v>
      </c>
      <c r="CR252" s="17">
        <f t="shared" si="249"/>
        <v>0</v>
      </c>
      <c r="CS252" s="17">
        <f>IF(MOD(BU252,12)=0,CQ252*'1 - Input'!$B$23,0)</f>
        <v>0</v>
      </c>
      <c r="CT252" s="17">
        <f t="shared" si="250"/>
        <v>25769.830974907847</v>
      </c>
      <c r="CU252" s="17">
        <f>IF(MOD(BU252,12)=0,CR252*(1-'1 - Input'!$B$23),CR252)</f>
        <v>0</v>
      </c>
      <c r="CV252" s="17">
        <f>IF('1 - Input'!$B$17=1,MIN(CF252,BX252)+CN252,CF252)</f>
        <v>3780.6518318195454</v>
      </c>
      <c r="CW252" s="17">
        <f t="shared" si="270"/>
        <v>667294.35825082567</v>
      </c>
      <c r="CX252" s="17">
        <f t="shared" si="271"/>
        <v>5863.3346203788306</v>
      </c>
      <c r="CY252" s="17">
        <f t="shared" si="272"/>
        <v>59888.785922042101</v>
      </c>
      <c r="CZ252" s="17">
        <f t="shared" si="273"/>
        <v>0</v>
      </c>
      <c r="DA252" s="17">
        <f t="shared" si="274"/>
        <v>10954.114452440983</v>
      </c>
      <c r="DB252" s="17">
        <f t="shared" si="275"/>
        <v>0</v>
      </c>
      <c r="DC252" s="15">
        <f t="shared" si="251"/>
        <v>0</v>
      </c>
    </row>
    <row r="253" spans="1:107">
      <c r="A253" s="14">
        <v>210</v>
      </c>
      <c r="B253" s="15">
        <f t="shared" si="207"/>
        <v>18</v>
      </c>
      <c r="C253" s="16">
        <f>(1+INDEX('1 - Input'!$B$34:$E$63,B253,'1 - Input'!$B$16))^(1/12)-1</f>
        <v>4.1219243192651689E-3</v>
      </c>
      <c r="D253" s="17">
        <f>'1 - Input'!$B$7*(1+'1 - Input'!$B$12)^(B253-1)</f>
        <v>3780.6518318195458</v>
      </c>
      <c r="E253" s="17">
        <f t="shared" si="252"/>
        <v>0</v>
      </c>
      <c r="F253" s="17">
        <f t="shared" si="253"/>
        <v>0</v>
      </c>
      <c r="G253" s="17">
        <f t="shared" si="208"/>
        <v>0</v>
      </c>
      <c r="H253" s="17">
        <f>IF(G253&gt;0,'1 - Input'!$B$8/12*G253,0)</f>
        <v>0</v>
      </c>
      <c r="I253" s="17">
        <f t="shared" si="209"/>
        <v>0</v>
      </c>
      <c r="J253" s="17">
        <f t="shared" si="210"/>
        <v>0</v>
      </c>
      <c r="K253" s="17">
        <f>'1 - Input'!$B$22*(H253-J253)</f>
        <v>0</v>
      </c>
      <c r="L253" s="17">
        <f t="shared" si="211"/>
        <v>0</v>
      </c>
      <c r="M253" s="17">
        <f t="shared" si="212"/>
        <v>0</v>
      </c>
      <c r="N253" s="17">
        <f>IF('1 - Input'!$B$17=1,MAX(0,L253-D253),0)</f>
        <v>0</v>
      </c>
      <c r="O253" s="17">
        <f>IF('1 - Input'!$B$17=1,MAX(0,D253-L253),0)</f>
        <v>3780.6518318195458</v>
      </c>
      <c r="P253" s="17">
        <f t="shared" si="213"/>
        <v>0</v>
      </c>
      <c r="Q253" s="17">
        <f>IF(AND(O253&gt;0,I253&gt;0),O253/(1-'1 - Input'!$B$22*P253),0)</f>
        <v>0</v>
      </c>
      <c r="R253" s="17">
        <f t="shared" si="214"/>
        <v>0</v>
      </c>
      <c r="S253" s="17">
        <f>'1 - Input'!$B$22*P253*R253</f>
        <v>0</v>
      </c>
      <c r="T253" s="17">
        <f t="shared" si="215"/>
        <v>0</v>
      </c>
      <c r="U253" s="17">
        <f t="shared" si="216"/>
        <v>3780.6518318195458</v>
      </c>
      <c r="V253" s="17">
        <f t="shared" si="217"/>
        <v>0</v>
      </c>
      <c r="W253" s="17">
        <f t="shared" si="218"/>
        <v>0</v>
      </c>
      <c r="X253" s="17">
        <f t="shared" si="219"/>
        <v>0</v>
      </c>
      <c r="Y253" s="17">
        <f>IF(MOD(A253,12)=0,W253*'1 - Input'!$B$23,0)</f>
        <v>0</v>
      </c>
      <c r="Z253" s="17">
        <f t="shared" si="220"/>
        <v>0</v>
      </c>
      <c r="AA253" s="17">
        <f>IF(MOD(A253,12)=0,X253*(1-'1 - Input'!$B$23),X253)</f>
        <v>0</v>
      </c>
      <c r="AB253" s="17">
        <f>IF('1 - Input'!$B$17=1,MIN(L253,D253)+T253,L253)</f>
        <v>0</v>
      </c>
      <c r="AC253" s="17">
        <f t="shared" si="254"/>
        <v>590482.93849429931</v>
      </c>
      <c r="AD253" s="17">
        <f t="shared" si="255"/>
        <v>101441.90180685223</v>
      </c>
      <c r="AE253" s="17">
        <f t="shared" si="256"/>
        <v>0</v>
      </c>
      <c r="AF253" s="17">
        <f t="shared" si="257"/>
        <v>174289.24056370757</v>
      </c>
      <c r="AG253" s="17">
        <f t="shared" si="258"/>
        <v>8123.5662772395826</v>
      </c>
      <c r="AH253" s="17">
        <f t="shared" si="259"/>
        <v>80592.071588345076</v>
      </c>
      <c r="AI253" s="15">
        <f t="shared" si="221"/>
        <v>1</v>
      </c>
      <c r="AK253" s="14">
        <v>210</v>
      </c>
      <c r="AL253" s="15">
        <f t="shared" si="222"/>
        <v>18</v>
      </c>
      <c r="AM253" s="16">
        <f>(1+INDEX('1 - Input'!$B$34:$E$63,AL253,'1 - Input'!$B$16))^(1/12)-1</f>
        <v>4.1219243192651689E-3</v>
      </c>
      <c r="AN253" s="17">
        <f>'1 - Input'!$B$7*(1+'1 - Input'!$B$12)^(AL253-1)</f>
        <v>3780.6518318195458</v>
      </c>
      <c r="AO253" s="17">
        <f t="shared" si="260"/>
        <v>0</v>
      </c>
      <c r="AP253" s="17">
        <f t="shared" si="261"/>
        <v>0</v>
      </c>
      <c r="AQ253" s="17">
        <f t="shared" si="223"/>
        <v>0</v>
      </c>
      <c r="AR253" s="17">
        <f>IF(AQ253&gt;0,'1 - Input'!$B$8/12*AQ253,0)</f>
        <v>0</v>
      </c>
      <c r="AS253" s="17">
        <f t="shared" si="224"/>
        <v>0</v>
      </c>
      <c r="AT253" s="17">
        <f t="shared" si="225"/>
        <v>0</v>
      </c>
      <c r="AU253" s="17">
        <f>'1 - Input'!$B$22*(AR253-AT253)</f>
        <v>0</v>
      </c>
      <c r="AV253" s="17">
        <f t="shared" si="226"/>
        <v>0</v>
      </c>
      <c r="AW253" s="17">
        <f t="shared" si="227"/>
        <v>0</v>
      </c>
      <c r="AX253" s="17">
        <f>IF('1 - Input'!$B$17=1,MAX(0,AV253-AN253),0)</f>
        <v>0</v>
      </c>
      <c r="AY253" s="17">
        <f>IF('1 - Input'!$B$17=1,MAX(0,AN253-AV253),0)</f>
        <v>3780.6518318195458</v>
      </c>
      <c r="AZ253" s="17">
        <f t="shared" si="228"/>
        <v>0</v>
      </c>
      <c r="BA253" s="17">
        <f>IF(AND(AY253&gt;0,AS253&gt;0),AY253/(1-'1 - Input'!$B$22*AZ253),0)</f>
        <v>0</v>
      </c>
      <c r="BB253" s="17">
        <f t="shared" si="229"/>
        <v>0</v>
      </c>
      <c r="BC253" s="17">
        <f>'1 - Input'!$B$22*AZ253*BB253</f>
        <v>0</v>
      </c>
      <c r="BD253" s="17">
        <f t="shared" si="230"/>
        <v>0</v>
      </c>
      <c r="BE253" s="17">
        <f t="shared" si="231"/>
        <v>3780.6518318195458</v>
      </c>
      <c r="BF253" s="17">
        <f t="shared" si="232"/>
        <v>0</v>
      </c>
      <c r="BG253" s="17">
        <f t="shared" si="233"/>
        <v>0</v>
      </c>
      <c r="BH253" s="17">
        <f t="shared" si="234"/>
        <v>0</v>
      </c>
      <c r="BI253" s="17">
        <f>IF(MOD(AK253,12)=0,BG253*'1 - Input'!$B$23,0)</f>
        <v>0</v>
      </c>
      <c r="BJ253" s="17">
        <f t="shared" si="235"/>
        <v>0</v>
      </c>
      <c r="BK253" s="17">
        <f>IF(MOD(AK253,12)=0,BH253*(1-'1 - Input'!$B$23),BH253)</f>
        <v>0</v>
      </c>
      <c r="BL253" s="17">
        <f>IF('1 - Input'!$B$17=1,MIN(AV253,AN253)+BD253,AV253)</f>
        <v>0</v>
      </c>
      <c r="BM253" s="17">
        <f t="shared" si="262"/>
        <v>590482.93849429931</v>
      </c>
      <c r="BN253" s="17">
        <f t="shared" si="263"/>
        <v>101441.90180685223</v>
      </c>
      <c r="BO253" s="17">
        <f t="shared" si="264"/>
        <v>0</v>
      </c>
      <c r="BP253" s="17">
        <f t="shared" si="265"/>
        <v>174289.24056370757</v>
      </c>
      <c r="BQ253" s="17">
        <f t="shared" si="266"/>
        <v>8123.5662772395826</v>
      </c>
      <c r="BR253" s="17">
        <f t="shared" si="267"/>
        <v>80592.071588345076</v>
      </c>
      <c r="BS253" s="15">
        <f t="shared" si="236"/>
        <v>1</v>
      </c>
      <c r="BU253" s="14">
        <v>210</v>
      </c>
      <c r="BV253" s="15">
        <f t="shared" si="237"/>
        <v>18</v>
      </c>
      <c r="BW253" s="16">
        <f>(1+INDEX('1 - Input'!$B$34:$E$63,BV253,'1 - Input'!$B$16))^(1/12)-1</f>
        <v>4.1219243192651689E-3</v>
      </c>
      <c r="BX253" s="17">
        <f>'1 - Input'!$B$7*(1+'1 - Input'!$B$12)^(BV253-1)</f>
        <v>3780.6518318195458</v>
      </c>
      <c r="BY253" s="17">
        <f t="shared" si="268"/>
        <v>25769.830974907847</v>
      </c>
      <c r="BZ253" s="17">
        <f t="shared" si="269"/>
        <v>0</v>
      </c>
      <c r="CA253" s="17">
        <f t="shared" si="238"/>
        <v>25876.052267906674</v>
      </c>
      <c r="CB253" s="17">
        <f>IF(CA253&gt;0,'1 - Input'!$B$8/12*CA253,0)</f>
        <v>194.07039200930006</v>
      </c>
      <c r="CC253" s="17">
        <f t="shared" si="239"/>
        <v>25681.981875897374</v>
      </c>
      <c r="CD253" s="17">
        <f t="shared" si="240"/>
        <v>0</v>
      </c>
      <c r="CE253" s="17">
        <f>'1 - Input'!$B$22*(CB253-CD253)</f>
        <v>50.458301922418016</v>
      </c>
      <c r="CF253" s="17">
        <f t="shared" si="241"/>
        <v>143.61209008688206</v>
      </c>
      <c r="CG253" s="17">
        <f t="shared" si="242"/>
        <v>0</v>
      </c>
      <c r="CH253" s="17">
        <f>IF('1 - Input'!$B$17=1,MAX(0,CF253-BX253),0)</f>
        <v>0</v>
      </c>
      <c r="CI253" s="17">
        <f>IF('1 - Input'!$B$17=1,MAX(0,BX253-CF253),0)</f>
        <v>3637.039741732664</v>
      </c>
      <c r="CJ253" s="17">
        <f t="shared" si="243"/>
        <v>1</v>
      </c>
      <c r="CK253" s="17">
        <f>IF(AND(CI253&gt;0,CC253&gt;0),CI253/(1-'1 - Input'!$B$22*CJ253),0)</f>
        <v>4914.9185699090058</v>
      </c>
      <c r="CL253" s="17">
        <f t="shared" si="244"/>
        <v>4914.9185699090058</v>
      </c>
      <c r="CM253" s="17">
        <f>'1 - Input'!$B$22*CJ253*CL253</f>
        <v>1277.8788281763416</v>
      </c>
      <c r="CN253" s="17">
        <f t="shared" si="245"/>
        <v>3637.039741732664</v>
      </c>
      <c r="CO253" s="17">
        <f t="shared" si="246"/>
        <v>0</v>
      </c>
      <c r="CP253" s="17">
        <f t="shared" si="247"/>
        <v>0</v>
      </c>
      <c r="CQ253" s="17">
        <f t="shared" si="248"/>
        <v>20767.063305988369</v>
      </c>
      <c r="CR253" s="17">
        <f t="shared" si="249"/>
        <v>0</v>
      </c>
      <c r="CS253" s="17">
        <f>IF(MOD(BU253,12)=0,CQ253*'1 - Input'!$B$23,0)</f>
        <v>0</v>
      </c>
      <c r="CT253" s="17">
        <f t="shared" si="250"/>
        <v>20767.063305988369</v>
      </c>
      <c r="CU253" s="17">
        <f>IF(MOD(BU253,12)=0,CR253*(1-'1 - Input'!$B$23),CR253)</f>
        <v>0</v>
      </c>
      <c r="CV253" s="17">
        <f>IF('1 - Input'!$B$17=1,MIN(CF253,BX253)+CN253,CF253)</f>
        <v>3780.6518318195458</v>
      </c>
      <c r="CW253" s="17">
        <f t="shared" si="270"/>
        <v>671075.01008264523</v>
      </c>
      <c r="CX253" s="17">
        <f t="shared" si="271"/>
        <v>5913.7929223012488</v>
      </c>
      <c r="CY253" s="17">
        <f t="shared" si="272"/>
        <v>61166.664750218442</v>
      </c>
      <c r="CZ253" s="17">
        <f t="shared" si="273"/>
        <v>0</v>
      </c>
      <c r="DA253" s="17">
        <f t="shared" si="274"/>
        <v>10954.114452440983</v>
      </c>
      <c r="DB253" s="17">
        <f t="shared" si="275"/>
        <v>0</v>
      </c>
      <c r="DC253" s="15">
        <f t="shared" si="251"/>
        <v>0</v>
      </c>
    </row>
    <row r="254" spans="1:107">
      <c r="A254" s="14">
        <v>211</v>
      </c>
      <c r="B254" s="15">
        <f t="shared" si="207"/>
        <v>18</v>
      </c>
      <c r="C254" s="16">
        <f>(1+INDEX('1 - Input'!$B$34:$E$63,B254,'1 - Input'!$B$16))^(1/12)-1</f>
        <v>4.1219243192651689E-3</v>
      </c>
      <c r="D254" s="17">
        <f>'1 - Input'!$B$7*(1+'1 - Input'!$B$12)^(B254-1)</f>
        <v>3780.6518318195458</v>
      </c>
      <c r="E254" s="17">
        <f t="shared" si="252"/>
        <v>0</v>
      </c>
      <c r="F254" s="17">
        <f t="shared" si="253"/>
        <v>0</v>
      </c>
      <c r="G254" s="17">
        <f t="shared" si="208"/>
        <v>0</v>
      </c>
      <c r="H254" s="17">
        <f>IF(G254&gt;0,'1 - Input'!$B$8/12*G254,0)</f>
        <v>0</v>
      </c>
      <c r="I254" s="17">
        <f t="shared" si="209"/>
        <v>0</v>
      </c>
      <c r="J254" s="17">
        <f t="shared" si="210"/>
        <v>0</v>
      </c>
      <c r="K254" s="17">
        <f>'1 - Input'!$B$22*(H254-J254)</f>
        <v>0</v>
      </c>
      <c r="L254" s="17">
        <f t="shared" si="211"/>
        <v>0</v>
      </c>
      <c r="M254" s="17">
        <f t="shared" si="212"/>
        <v>0</v>
      </c>
      <c r="N254" s="17">
        <f>IF('1 - Input'!$B$17=1,MAX(0,L254-D254),0)</f>
        <v>0</v>
      </c>
      <c r="O254" s="17">
        <f>IF('1 - Input'!$B$17=1,MAX(0,D254-L254),0)</f>
        <v>3780.6518318195458</v>
      </c>
      <c r="P254" s="17">
        <f t="shared" si="213"/>
        <v>0</v>
      </c>
      <c r="Q254" s="17">
        <f>IF(AND(O254&gt;0,I254&gt;0),O254/(1-'1 - Input'!$B$22*P254),0)</f>
        <v>0</v>
      </c>
      <c r="R254" s="17">
        <f t="shared" si="214"/>
        <v>0</v>
      </c>
      <c r="S254" s="17">
        <f>'1 - Input'!$B$22*P254*R254</f>
        <v>0</v>
      </c>
      <c r="T254" s="17">
        <f t="shared" si="215"/>
        <v>0</v>
      </c>
      <c r="U254" s="17">
        <f t="shared" si="216"/>
        <v>3780.6518318195458</v>
      </c>
      <c r="V254" s="17">
        <f t="shared" si="217"/>
        <v>0</v>
      </c>
      <c r="W254" s="17">
        <f t="shared" si="218"/>
        <v>0</v>
      </c>
      <c r="X254" s="17">
        <f t="shared" si="219"/>
        <v>0</v>
      </c>
      <c r="Y254" s="17">
        <f>IF(MOD(A254,12)=0,W254*'1 - Input'!$B$23,0)</f>
        <v>0</v>
      </c>
      <c r="Z254" s="17">
        <f t="shared" si="220"/>
        <v>0</v>
      </c>
      <c r="AA254" s="17">
        <f>IF(MOD(A254,12)=0,X254*(1-'1 - Input'!$B$23),X254)</f>
        <v>0</v>
      </c>
      <c r="AB254" s="17">
        <f>IF('1 - Input'!$B$17=1,MIN(L254,D254)+T254,L254)</f>
        <v>0</v>
      </c>
      <c r="AC254" s="17">
        <f t="shared" si="254"/>
        <v>590482.93849429931</v>
      </c>
      <c r="AD254" s="17">
        <f t="shared" si="255"/>
        <v>101441.90180685223</v>
      </c>
      <c r="AE254" s="17">
        <f t="shared" si="256"/>
        <v>0</v>
      </c>
      <c r="AF254" s="17">
        <f t="shared" si="257"/>
        <v>174289.24056370757</v>
      </c>
      <c r="AG254" s="17">
        <f t="shared" si="258"/>
        <v>8123.5662772395826</v>
      </c>
      <c r="AH254" s="17">
        <f t="shared" si="259"/>
        <v>84372.723420164621</v>
      </c>
      <c r="AI254" s="15">
        <f t="shared" si="221"/>
        <v>1</v>
      </c>
      <c r="AK254" s="14">
        <v>211</v>
      </c>
      <c r="AL254" s="15">
        <f t="shared" si="222"/>
        <v>18</v>
      </c>
      <c r="AM254" s="16">
        <f>(1+INDEX('1 - Input'!$B$34:$E$63,AL254,'1 - Input'!$B$16))^(1/12)-1</f>
        <v>4.1219243192651689E-3</v>
      </c>
      <c r="AN254" s="17">
        <f>'1 - Input'!$B$7*(1+'1 - Input'!$B$12)^(AL254-1)</f>
        <v>3780.6518318195458</v>
      </c>
      <c r="AO254" s="17">
        <f t="shared" si="260"/>
        <v>0</v>
      </c>
      <c r="AP254" s="17">
        <f t="shared" si="261"/>
        <v>0</v>
      </c>
      <c r="AQ254" s="17">
        <f t="shared" si="223"/>
        <v>0</v>
      </c>
      <c r="AR254" s="17">
        <f>IF(AQ254&gt;0,'1 - Input'!$B$8/12*AQ254,0)</f>
        <v>0</v>
      </c>
      <c r="AS254" s="17">
        <f t="shared" si="224"/>
        <v>0</v>
      </c>
      <c r="AT254" s="17">
        <f t="shared" si="225"/>
        <v>0</v>
      </c>
      <c r="AU254" s="17">
        <f>'1 - Input'!$B$22*(AR254-AT254)</f>
        <v>0</v>
      </c>
      <c r="AV254" s="17">
        <f t="shared" si="226"/>
        <v>0</v>
      </c>
      <c r="AW254" s="17">
        <f t="shared" si="227"/>
        <v>0</v>
      </c>
      <c r="AX254" s="17">
        <f>IF('1 - Input'!$B$17=1,MAX(0,AV254-AN254),0)</f>
        <v>0</v>
      </c>
      <c r="AY254" s="17">
        <f>IF('1 - Input'!$B$17=1,MAX(0,AN254-AV254),0)</f>
        <v>3780.6518318195458</v>
      </c>
      <c r="AZ254" s="17">
        <f t="shared" si="228"/>
        <v>0</v>
      </c>
      <c r="BA254" s="17">
        <f>IF(AND(AY254&gt;0,AS254&gt;0),AY254/(1-'1 - Input'!$B$22*AZ254),0)</f>
        <v>0</v>
      </c>
      <c r="BB254" s="17">
        <f t="shared" si="229"/>
        <v>0</v>
      </c>
      <c r="BC254" s="17">
        <f>'1 - Input'!$B$22*AZ254*BB254</f>
        <v>0</v>
      </c>
      <c r="BD254" s="17">
        <f t="shared" si="230"/>
        <v>0</v>
      </c>
      <c r="BE254" s="17">
        <f t="shared" si="231"/>
        <v>3780.6518318195458</v>
      </c>
      <c r="BF254" s="17">
        <f t="shared" si="232"/>
        <v>0</v>
      </c>
      <c r="BG254" s="17">
        <f t="shared" si="233"/>
        <v>0</v>
      </c>
      <c r="BH254" s="17">
        <f t="shared" si="234"/>
        <v>0</v>
      </c>
      <c r="BI254" s="17">
        <f>IF(MOD(AK254,12)=0,BG254*'1 - Input'!$B$23,0)</f>
        <v>0</v>
      </c>
      <c r="BJ254" s="17">
        <f t="shared" si="235"/>
        <v>0</v>
      </c>
      <c r="BK254" s="17">
        <f>IF(MOD(AK254,12)=0,BH254*(1-'1 - Input'!$B$23),BH254)</f>
        <v>0</v>
      </c>
      <c r="BL254" s="17">
        <f>IF('1 - Input'!$B$17=1,MIN(AV254,AN254)+BD254,AV254)</f>
        <v>0</v>
      </c>
      <c r="BM254" s="17">
        <f t="shared" si="262"/>
        <v>590482.93849429931</v>
      </c>
      <c r="BN254" s="17">
        <f t="shared" si="263"/>
        <v>101441.90180685223</v>
      </c>
      <c r="BO254" s="17">
        <f t="shared" si="264"/>
        <v>0</v>
      </c>
      <c r="BP254" s="17">
        <f t="shared" si="265"/>
        <v>174289.24056370757</v>
      </c>
      <c r="BQ254" s="17">
        <f t="shared" si="266"/>
        <v>8123.5662772395826</v>
      </c>
      <c r="BR254" s="17">
        <f t="shared" si="267"/>
        <v>84372.723420164621</v>
      </c>
      <c r="BS254" s="15">
        <f t="shared" si="236"/>
        <v>1</v>
      </c>
      <c r="BU254" s="14">
        <v>211</v>
      </c>
      <c r="BV254" s="15">
        <f t="shared" si="237"/>
        <v>18</v>
      </c>
      <c r="BW254" s="16">
        <f>(1+INDEX('1 - Input'!$B$34:$E$63,BV254,'1 - Input'!$B$16))^(1/12)-1</f>
        <v>4.1219243192651689E-3</v>
      </c>
      <c r="BX254" s="17">
        <f>'1 - Input'!$B$7*(1+'1 - Input'!$B$12)^(BV254-1)</f>
        <v>3780.6518318195458</v>
      </c>
      <c r="BY254" s="17">
        <f t="shared" si="268"/>
        <v>20767.063305988369</v>
      </c>
      <c r="BZ254" s="17">
        <f t="shared" si="269"/>
        <v>0</v>
      </c>
      <c r="CA254" s="17">
        <f t="shared" si="238"/>
        <v>20852.663569269043</v>
      </c>
      <c r="CB254" s="17">
        <f>IF(CA254&gt;0,'1 - Input'!$B$8/12*CA254,0)</f>
        <v>156.39497676951783</v>
      </c>
      <c r="CC254" s="17">
        <f t="shared" si="239"/>
        <v>20696.268592499524</v>
      </c>
      <c r="CD254" s="17">
        <f t="shared" si="240"/>
        <v>0</v>
      </c>
      <c r="CE254" s="17">
        <f>'1 - Input'!$B$22*(CB254-CD254)</f>
        <v>40.662693960074634</v>
      </c>
      <c r="CF254" s="17">
        <f t="shared" si="241"/>
        <v>115.73228280944319</v>
      </c>
      <c r="CG254" s="17">
        <f t="shared" si="242"/>
        <v>0</v>
      </c>
      <c r="CH254" s="17">
        <f>IF('1 - Input'!$B$17=1,MAX(0,CF254-BX254),0)</f>
        <v>0</v>
      </c>
      <c r="CI254" s="17">
        <f>IF('1 - Input'!$B$17=1,MAX(0,BX254-CF254),0)</f>
        <v>3664.9195490101024</v>
      </c>
      <c r="CJ254" s="17">
        <f t="shared" si="243"/>
        <v>1</v>
      </c>
      <c r="CK254" s="17">
        <f>IF(AND(CI254&gt;0,CC254&gt;0),CI254/(1-'1 - Input'!$B$22*CJ254),0)</f>
        <v>4952.5939851487874</v>
      </c>
      <c r="CL254" s="17">
        <f t="shared" si="244"/>
        <v>4952.5939851487874</v>
      </c>
      <c r="CM254" s="17">
        <f>'1 - Input'!$B$22*CJ254*CL254</f>
        <v>1287.6744361386848</v>
      </c>
      <c r="CN254" s="17">
        <f t="shared" si="245"/>
        <v>3664.9195490101029</v>
      </c>
      <c r="CO254" s="17">
        <f t="shared" si="246"/>
        <v>0</v>
      </c>
      <c r="CP254" s="17">
        <f t="shared" si="247"/>
        <v>0</v>
      </c>
      <c r="CQ254" s="17">
        <f t="shared" si="248"/>
        <v>15743.674607350737</v>
      </c>
      <c r="CR254" s="17">
        <f t="shared" si="249"/>
        <v>0</v>
      </c>
      <c r="CS254" s="17">
        <f>IF(MOD(BU254,12)=0,CQ254*'1 - Input'!$B$23,0)</f>
        <v>0</v>
      </c>
      <c r="CT254" s="17">
        <f t="shared" si="250"/>
        <v>15743.674607350737</v>
      </c>
      <c r="CU254" s="17">
        <f>IF(MOD(BU254,12)=0,CR254*(1-'1 - Input'!$B$23),CR254)</f>
        <v>0</v>
      </c>
      <c r="CV254" s="17">
        <f>IF('1 - Input'!$B$17=1,MIN(CF254,BX254)+CN254,CF254)</f>
        <v>3780.6518318195463</v>
      </c>
      <c r="CW254" s="17">
        <f t="shared" si="270"/>
        <v>674855.66191446478</v>
      </c>
      <c r="CX254" s="17">
        <f t="shared" si="271"/>
        <v>5954.4556162613235</v>
      </c>
      <c r="CY254" s="17">
        <f t="shared" si="272"/>
        <v>62454.339186357131</v>
      </c>
      <c r="CZ254" s="17">
        <f t="shared" si="273"/>
        <v>0</v>
      </c>
      <c r="DA254" s="17">
        <f t="shared" si="274"/>
        <v>10954.114452440983</v>
      </c>
      <c r="DB254" s="17">
        <f t="shared" si="275"/>
        <v>0</v>
      </c>
      <c r="DC254" s="15">
        <f t="shared" si="251"/>
        <v>0</v>
      </c>
    </row>
    <row r="255" spans="1:107">
      <c r="A255" s="14">
        <v>212</v>
      </c>
      <c r="B255" s="15">
        <f t="shared" si="207"/>
        <v>18</v>
      </c>
      <c r="C255" s="16">
        <f>(1+INDEX('1 - Input'!$B$34:$E$63,B255,'1 - Input'!$B$16))^(1/12)-1</f>
        <v>4.1219243192651689E-3</v>
      </c>
      <c r="D255" s="17">
        <f>'1 - Input'!$B$7*(1+'1 - Input'!$B$12)^(B255-1)</f>
        <v>3780.6518318195458</v>
      </c>
      <c r="E255" s="17">
        <f t="shared" si="252"/>
        <v>0</v>
      </c>
      <c r="F255" s="17">
        <f t="shared" si="253"/>
        <v>0</v>
      </c>
      <c r="G255" s="17">
        <f t="shared" si="208"/>
        <v>0</v>
      </c>
      <c r="H255" s="17">
        <f>IF(G255&gt;0,'1 - Input'!$B$8/12*G255,0)</f>
        <v>0</v>
      </c>
      <c r="I255" s="17">
        <f t="shared" si="209"/>
        <v>0</v>
      </c>
      <c r="J255" s="17">
        <f t="shared" si="210"/>
        <v>0</v>
      </c>
      <c r="K255" s="17">
        <f>'1 - Input'!$B$22*(H255-J255)</f>
        <v>0</v>
      </c>
      <c r="L255" s="17">
        <f t="shared" si="211"/>
        <v>0</v>
      </c>
      <c r="M255" s="17">
        <f t="shared" si="212"/>
        <v>0</v>
      </c>
      <c r="N255" s="17">
        <f>IF('1 - Input'!$B$17=1,MAX(0,L255-D255),0)</f>
        <v>0</v>
      </c>
      <c r="O255" s="17">
        <f>IF('1 - Input'!$B$17=1,MAX(0,D255-L255),0)</f>
        <v>3780.6518318195458</v>
      </c>
      <c r="P255" s="17">
        <f t="shared" si="213"/>
        <v>0</v>
      </c>
      <c r="Q255" s="17">
        <f>IF(AND(O255&gt;0,I255&gt;0),O255/(1-'1 - Input'!$B$22*P255),0)</f>
        <v>0</v>
      </c>
      <c r="R255" s="17">
        <f t="shared" si="214"/>
        <v>0</v>
      </c>
      <c r="S255" s="17">
        <f>'1 - Input'!$B$22*P255*R255</f>
        <v>0</v>
      </c>
      <c r="T255" s="17">
        <f t="shared" si="215"/>
        <v>0</v>
      </c>
      <c r="U255" s="17">
        <f t="shared" si="216"/>
        <v>3780.6518318195458</v>
      </c>
      <c r="V255" s="17">
        <f t="shared" si="217"/>
        <v>0</v>
      </c>
      <c r="W255" s="17">
        <f t="shared" si="218"/>
        <v>0</v>
      </c>
      <c r="X255" s="17">
        <f t="shared" si="219"/>
        <v>0</v>
      </c>
      <c r="Y255" s="17">
        <f>IF(MOD(A255,12)=0,W255*'1 - Input'!$B$23,0)</f>
        <v>0</v>
      </c>
      <c r="Z255" s="17">
        <f t="shared" si="220"/>
        <v>0</v>
      </c>
      <c r="AA255" s="17">
        <f>IF(MOD(A255,12)=0,X255*(1-'1 - Input'!$B$23),X255)</f>
        <v>0</v>
      </c>
      <c r="AB255" s="17">
        <f>IF('1 - Input'!$B$17=1,MIN(L255,D255)+T255,L255)</f>
        <v>0</v>
      </c>
      <c r="AC255" s="17">
        <f t="shared" si="254"/>
        <v>590482.93849429931</v>
      </c>
      <c r="AD255" s="17">
        <f t="shared" si="255"/>
        <v>101441.90180685223</v>
      </c>
      <c r="AE255" s="17">
        <f t="shared" si="256"/>
        <v>0</v>
      </c>
      <c r="AF255" s="17">
        <f t="shared" si="257"/>
        <v>174289.24056370757</v>
      </c>
      <c r="AG255" s="17">
        <f t="shared" si="258"/>
        <v>8123.5662772395826</v>
      </c>
      <c r="AH255" s="17">
        <f t="shared" si="259"/>
        <v>88153.375251984166</v>
      </c>
      <c r="AI255" s="15">
        <f t="shared" si="221"/>
        <v>1</v>
      </c>
      <c r="AK255" s="14">
        <v>212</v>
      </c>
      <c r="AL255" s="15">
        <f t="shared" si="222"/>
        <v>18</v>
      </c>
      <c r="AM255" s="16">
        <f>(1+INDEX('1 - Input'!$B$34:$E$63,AL255,'1 - Input'!$B$16))^(1/12)-1</f>
        <v>4.1219243192651689E-3</v>
      </c>
      <c r="AN255" s="17">
        <f>'1 - Input'!$B$7*(1+'1 - Input'!$B$12)^(AL255-1)</f>
        <v>3780.6518318195458</v>
      </c>
      <c r="AO255" s="17">
        <f t="shared" si="260"/>
        <v>0</v>
      </c>
      <c r="AP255" s="17">
        <f t="shared" si="261"/>
        <v>0</v>
      </c>
      <c r="AQ255" s="17">
        <f t="shared" si="223"/>
        <v>0</v>
      </c>
      <c r="AR255" s="17">
        <f>IF(AQ255&gt;0,'1 - Input'!$B$8/12*AQ255,0)</f>
        <v>0</v>
      </c>
      <c r="AS255" s="17">
        <f t="shared" si="224"/>
        <v>0</v>
      </c>
      <c r="AT255" s="17">
        <f t="shared" si="225"/>
        <v>0</v>
      </c>
      <c r="AU255" s="17">
        <f>'1 - Input'!$B$22*(AR255-AT255)</f>
        <v>0</v>
      </c>
      <c r="AV255" s="17">
        <f t="shared" si="226"/>
        <v>0</v>
      </c>
      <c r="AW255" s="17">
        <f t="shared" si="227"/>
        <v>0</v>
      </c>
      <c r="AX255" s="17">
        <f>IF('1 - Input'!$B$17=1,MAX(0,AV255-AN255),0)</f>
        <v>0</v>
      </c>
      <c r="AY255" s="17">
        <f>IF('1 - Input'!$B$17=1,MAX(0,AN255-AV255),0)</f>
        <v>3780.6518318195458</v>
      </c>
      <c r="AZ255" s="17">
        <f t="shared" si="228"/>
        <v>0</v>
      </c>
      <c r="BA255" s="17">
        <f>IF(AND(AY255&gt;0,AS255&gt;0),AY255/(1-'1 - Input'!$B$22*AZ255),0)</f>
        <v>0</v>
      </c>
      <c r="BB255" s="17">
        <f t="shared" si="229"/>
        <v>0</v>
      </c>
      <c r="BC255" s="17">
        <f>'1 - Input'!$B$22*AZ255*BB255</f>
        <v>0</v>
      </c>
      <c r="BD255" s="17">
        <f t="shared" si="230"/>
        <v>0</v>
      </c>
      <c r="BE255" s="17">
        <f t="shared" si="231"/>
        <v>3780.6518318195458</v>
      </c>
      <c r="BF255" s="17">
        <f t="shared" si="232"/>
        <v>0</v>
      </c>
      <c r="BG255" s="17">
        <f t="shared" si="233"/>
        <v>0</v>
      </c>
      <c r="BH255" s="17">
        <f t="shared" si="234"/>
        <v>0</v>
      </c>
      <c r="BI255" s="17">
        <f>IF(MOD(AK255,12)=0,BG255*'1 - Input'!$B$23,0)</f>
        <v>0</v>
      </c>
      <c r="BJ255" s="17">
        <f t="shared" si="235"/>
        <v>0</v>
      </c>
      <c r="BK255" s="17">
        <f>IF(MOD(AK255,12)=0,BH255*(1-'1 - Input'!$B$23),BH255)</f>
        <v>0</v>
      </c>
      <c r="BL255" s="17">
        <f>IF('1 - Input'!$B$17=1,MIN(AV255,AN255)+BD255,AV255)</f>
        <v>0</v>
      </c>
      <c r="BM255" s="17">
        <f t="shared" si="262"/>
        <v>590482.93849429931</v>
      </c>
      <c r="BN255" s="17">
        <f t="shared" si="263"/>
        <v>101441.90180685223</v>
      </c>
      <c r="BO255" s="17">
        <f t="shared" si="264"/>
        <v>0</v>
      </c>
      <c r="BP255" s="17">
        <f t="shared" si="265"/>
        <v>174289.24056370757</v>
      </c>
      <c r="BQ255" s="17">
        <f t="shared" si="266"/>
        <v>8123.5662772395826</v>
      </c>
      <c r="BR255" s="17">
        <f t="shared" si="267"/>
        <v>88153.375251984166</v>
      </c>
      <c r="BS255" s="15">
        <f t="shared" si="236"/>
        <v>1</v>
      </c>
      <c r="BU255" s="14">
        <v>212</v>
      </c>
      <c r="BV255" s="15">
        <f t="shared" si="237"/>
        <v>18</v>
      </c>
      <c r="BW255" s="16">
        <f>(1+INDEX('1 - Input'!$B$34:$E$63,BV255,'1 - Input'!$B$16))^(1/12)-1</f>
        <v>4.1219243192651689E-3</v>
      </c>
      <c r="BX255" s="17">
        <f>'1 - Input'!$B$7*(1+'1 - Input'!$B$12)^(BV255-1)</f>
        <v>3780.6518318195458</v>
      </c>
      <c r="BY255" s="17">
        <f t="shared" si="268"/>
        <v>15743.674607350737</v>
      </c>
      <c r="BZ255" s="17">
        <f t="shared" si="269"/>
        <v>0</v>
      </c>
      <c r="CA255" s="17">
        <f t="shared" si="238"/>
        <v>15808.568842589373</v>
      </c>
      <c r="CB255" s="17">
        <f>IF(CA255&gt;0,'1 - Input'!$B$8/12*CA255,0)</f>
        <v>118.5642663194203</v>
      </c>
      <c r="CC255" s="17">
        <f t="shared" si="239"/>
        <v>15690.004576269954</v>
      </c>
      <c r="CD255" s="17">
        <f t="shared" si="240"/>
        <v>0</v>
      </c>
      <c r="CE255" s="17">
        <f>'1 - Input'!$B$22*(CB255-CD255)</f>
        <v>30.82670924304928</v>
      </c>
      <c r="CF255" s="17">
        <f t="shared" si="241"/>
        <v>87.737557076371019</v>
      </c>
      <c r="CG255" s="17">
        <f t="shared" si="242"/>
        <v>0</v>
      </c>
      <c r="CH255" s="17">
        <f>IF('1 - Input'!$B$17=1,MAX(0,CF255-BX255),0)</f>
        <v>0</v>
      </c>
      <c r="CI255" s="17">
        <f>IF('1 - Input'!$B$17=1,MAX(0,BX255-CF255),0)</f>
        <v>3692.9142747431747</v>
      </c>
      <c r="CJ255" s="17">
        <f t="shared" si="243"/>
        <v>1</v>
      </c>
      <c r="CK255" s="17">
        <f>IF(AND(CI255&gt;0,CC255&gt;0),CI255/(1-'1 - Input'!$B$22*CJ255),0)</f>
        <v>4990.4246955988847</v>
      </c>
      <c r="CL255" s="17">
        <f t="shared" si="244"/>
        <v>4990.4246955988847</v>
      </c>
      <c r="CM255" s="17">
        <f>'1 - Input'!$B$22*CJ255*CL255</f>
        <v>1297.51042085571</v>
      </c>
      <c r="CN255" s="17">
        <f t="shared" si="245"/>
        <v>3692.9142747431747</v>
      </c>
      <c r="CO255" s="17">
        <f t="shared" si="246"/>
        <v>0</v>
      </c>
      <c r="CP255" s="17">
        <f t="shared" si="247"/>
        <v>0</v>
      </c>
      <c r="CQ255" s="17">
        <f t="shared" si="248"/>
        <v>10699.57988067107</v>
      </c>
      <c r="CR255" s="17">
        <f t="shared" si="249"/>
        <v>0</v>
      </c>
      <c r="CS255" s="17">
        <f>IF(MOD(BU255,12)=0,CQ255*'1 - Input'!$B$23,0)</f>
        <v>0</v>
      </c>
      <c r="CT255" s="17">
        <f t="shared" si="250"/>
        <v>10699.57988067107</v>
      </c>
      <c r="CU255" s="17">
        <f>IF(MOD(BU255,12)=0,CR255*(1-'1 - Input'!$B$23),CR255)</f>
        <v>0</v>
      </c>
      <c r="CV255" s="17">
        <f>IF('1 - Input'!$B$17=1,MIN(CF255,BX255)+CN255,CF255)</f>
        <v>3780.6518318195458</v>
      </c>
      <c r="CW255" s="17">
        <f t="shared" si="270"/>
        <v>678636.31374628434</v>
      </c>
      <c r="CX255" s="17">
        <f t="shared" si="271"/>
        <v>5985.2823255043731</v>
      </c>
      <c r="CY255" s="17">
        <f t="shared" si="272"/>
        <v>63751.84960721284</v>
      </c>
      <c r="CZ255" s="17">
        <f t="shared" si="273"/>
        <v>0</v>
      </c>
      <c r="DA255" s="17">
        <f t="shared" si="274"/>
        <v>10954.114452440983</v>
      </c>
      <c r="DB255" s="17">
        <f t="shared" si="275"/>
        <v>0</v>
      </c>
      <c r="DC255" s="15">
        <f t="shared" si="251"/>
        <v>0</v>
      </c>
    </row>
    <row r="256" spans="1:107">
      <c r="A256" s="14">
        <v>213</v>
      </c>
      <c r="B256" s="15">
        <f t="shared" si="207"/>
        <v>18</v>
      </c>
      <c r="C256" s="16">
        <f>(1+INDEX('1 - Input'!$B$34:$E$63,B256,'1 - Input'!$B$16))^(1/12)-1</f>
        <v>4.1219243192651689E-3</v>
      </c>
      <c r="D256" s="17">
        <f>'1 - Input'!$B$7*(1+'1 - Input'!$B$12)^(B256-1)</f>
        <v>3780.6518318195458</v>
      </c>
      <c r="E256" s="17">
        <f t="shared" si="252"/>
        <v>0</v>
      </c>
      <c r="F256" s="17">
        <f t="shared" si="253"/>
        <v>0</v>
      </c>
      <c r="G256" s="17">
        <f t="shared" si="208"/>
        <v>0</v>
      </c>
      <c r="H256" s="17">
        <f>IF(G256&gt;0,'1 - Input'!$B$8/12*G256,0)</f>
        <v>0</v>
      </c>
      <c r="I256" s="17">
        <f t="shared" si="209"/>
        <v>0</v>
      </c>
      <c r="J256" s="17">
        <f t="shared" si="210"/>
        <v>0</v>
      </c>
      <c r="K256" s="17">
        <f>'1 - Input'!$B$22*(H256-J256)</f>
        <v>0</v>
      </c>
      <c r="L256" s="17">
        <f t="shared" si="211"/>
        <v>0</v>
      </c>
      <c r="M256" s="17">
        <f t="shared" si="212"/>
        <v>0</v>
      </c>
      <c r="N256" s="17">
        <f>IF('1 - Input'!$B$17=1,MAX(0,L256-D256),0)</f>
        <v>0</v>
      </c>
      <c r="O256" s="17">
        <f>IF('1 - Input'!$B$17=1,MAX(0,D256-L256),0)</f>
        <v>3780.6518318195458</v>
      </c>
      <c r="P256" s="17">
        <f t="shared" si="213"/>
        <v>0</v>
      </c>
      <c r="Q256" s="17">
        <f>IF(AND(O256&gt;0,I256&gt;0),O256/(1-'1 - Input'!$B$22*P256),0)</f>
        <v>0</v>
      </c>
      <c r="R256" s="17">
        <f t="shared" si="214"/>
        <v>0</v>
      </c>
      <c r="S256" s="17">
        <f>'1 - Input'!$B$22*P256*R256</f>
        <v>0</v>
      </c>
      <c r="T256" s="17">
        <f t="shared" si="215"/>
        <v>0</v>
      </c>
      <c r="U256" s="17">
        <f t="shared" si="216"/>
        <v>3780.6518318195458</v>
      </c>
      <c r="V256" s="17">
        <f t="shared" si="217"/>
        <v>0</v>
      </c>
      <c r="W256" s="17">
        <f t="shared" si="218"/>
        <v>0</v>
      </c>
      <c r="X256" s="17">
        <f t="shared" si="219"/>
        <v>0</v>
      </c>
      <c r="Y256" s="17">
        <f>IF(MOD(A256,12)=0,W256*'1 - Input'!$B$23,0)</f>
        <v>0</v>
      </c>
      <c r="Z256" s="17">
        <f t="shared" si="220"/>
        <v>0</v>
      </c>
      <c r="AA256" s="17">
        <f>IF(MOD(A256,12)=0,X256*(1-'1 - Input'!$B$23),X256)</f>
        <v>0</v>
      </c>
      <c r="AB256" s="17">
        <f>IF('1 - Input'!$B$17=1,MIN(L256,D256)+T256,L256)</f>
        <v>0</v>
      </c>
      <c r="AC256" s="17">
        <f t="shared" si="254"/>
        <v>590482.93849429931</v>
      </c>
      <c r="AD256" s="17">
        <f t="shared" si="255"/>
        <v>101441.90180685223</v>
      </c>
      <c r="AE256" s="17">
        <f t="shared" si="256"/>
        <v>0</v>
      </c>
      <c r="AF256" s="17">
        <f t="shared" si="257"/>
        <v>174289.24056370757</v>
      </c>
      <c r="AG256" s="17">
        <f t="shared" si="258"/>
        <v>8123.5662772395826</v>
      </c>
      <c r="AH256" s="17">
        <f t="shared" si="259"/>
        <v>91934.02708380371</v>
      </c>
      <c r="AI256" s="15">
        <f t="shared" si="221"/>
        <v>1</v>
      </c>
      <c r="AK256" s="14">
        <v>213</v>
      </c>
      <c r="AL256" s="15">
        <f t="shared" si="222"/>
        <v>18</v>
      </c>
      <c r="AM256" s="16">
        <f>(1+INDEX('1 - Input'!$B$34:$E$63,AL256,'1 - Input'!$B$16))^(1/12)-1</f>
        <v>4.1219243192651689E-3</v>
      </c>
      <c r="AN256" s="17">
        <f>'1 - Input'!$B$7*(1+'1 - Input'!$B$12)^(AL256-1)</f>
        <v>3780.6518318195458</v>
      </c>
      <c r="AO256" s="17">
        <f t="shared" si="260"/>
        <v>0</v>
      </c>
      <c r="AP256" s="17">
        <f t="shared" si="261"/>
        <v>0</v>
      </c>
      <c r="AQ256" s="17">
        <f t="shared" si="223"/>
        <v>0</v>
      </c>
      <c r="AR256" s="17">
        <f>IF(AQ256&gt;0,'1 - Input'!$B$8/12*AQ256,0)</f>
        <v>0</v>
      </c>
      <c r="AS256" s="17">
        <f t="shared" si="224"/>
        <v>0</v>
      </c>
      <c r="AT256" s="17">
        <f t="shared" si="225"/>
        <v>0</v>
      </c>
      <c r="AU256" s="17">
        <f>'1 - Input'!$B$22*(AR256-AT256)</f>
        <v>0</v>
      </c>
      <c r="AV256" s="17">
        <f t="shared" si="226"/>
        <v>0</v>
      </c>
      <c r="AW256" s="17">
        <f t="shared" si="227"/>
        <v>0</v>
      </c>
      <c r="AX256" s="17">
        <f>IF('1 - Input'!$B$17=1,MAX(0,AV256-AN256),0)</f>
        <v>0</v>
      </c>
      <c r="AY256" s="17">
        <f>IF('1 - Input'!$B$17=1,MAX(0,AN256-AV256),0)</f>
        <v>3780.6518318195458</v>
      </c>
      <c r="AZ256" s="17">
        <f t="shared" si="228"/>
        <v>0</v>
      </c>
      <c r="BA256" s="17">
        <f>IF(AND(AY256&gt;0,AS256&gt;0),AY256/(1-'1 - Input'!$B$22*AZ256),0)</f>
        <v>0</v>
      </c>
      <c r="BB256" s="17">
        <f t="shared" si="229"/>
        <v>0</v>
      </c>
      <c r="BC256" s="17">
        <f>'1 - Input'!$B$22*AZ256*BB256</f>
        <v>0</v>
      </c>
      <c r="BD256" s="17">
        <f t="shared" si="230"/>
        <v>0</v>
      </c>
      <c r="BE256" s="17">
        <f t="shared" si="231"/>
        <v>3780.6518318195458</v>
      </c>
      <c r="BF256" s="17">
        <f t="shared" si="232"/>
        <v>0</v>
      </c>
      <c r="BG256" s="17">
        <f t="shared" si="233"/>
        <v>0</v>
      </c>
      <c r="BH256" s="17">
        <f t="shared" si="234"/>
        <v>0</v>
      </c>
      <c r="BI256" s="17">
        <f>IF(MOD(AK256,12)=0,BG256*'1 - Input'!$B$23,0)</f>
        <v>0</v>
      </c>
      <c r="BJ256" s="17">
        <f t="shared" si="235"/>
        <v>0</v>
      </c>
      <c r="BK256" s="17">
        <f>IF(MOD(AK256,12)=0,BH256*(1-'1 - Input'!$B$23),BH256)</f>
        <v>0</v>
      </c>
      <c r="BL256" s="17">
        <f>IF('1 - Input'!$B$17=1,MIN(AV256,AN256)+BD256,AV256)</f>
        <v>0</v>
      </c>
      <c r="BM256" s="17">
        <f t="shared" si="262"/>
        <v>590482.93849429931</v>
      </c>
      <c r="BN256" s="17">
        <f t="shared" si="263"/>
        <v>101441.90180685223</v>
      </c>
      <c r="BO256" s="17">
        <f t="shared" si="264"/>
        <v>0</v>
      </c>
      <c r="BP256" s="17">
        <f t="shared" si="265"/>
        <v>174289.24056370757</v>
      </c>
      <c r="BQ256" s="17">
        <f t="shared" si="266"/>
        <v>8123.5662772395826</v>
      </c>
      <c r="BR256" s="17">
        <f t="shared" si="267"/>
        <v>91934.02708380371</v>
      </c>
      <c r="BS256" s="15">
        <f t="shared" si="236"/>
        <v>1</v>
      </c>
      <c r="BU256" s="14">
        <v>213</v>
      </c>
      <c r="BV256" s="15">
        <f t="shared" si="237"/>
        <v>18</v>
      </c>
      <c r="BW256" s="16">
        <f>(1+INDEX('1 - Input'!$B$34:$E$63,BV256,'1 - Input'!$B$16))^(1/12)-1</f>
        <v>4.1219243192651689E-3</v>
      </c>
      <c r="BX256" s="17">
        <f>'1 - Input'!$B$7*(1+'1 - Input'!$B$12)^(BV256-1)</f>
        <v>3780.6518318195458</v>
      </c>
      <c r="BY256" s="17">
        <f t="shared" si="268"/>
        <v>10699.57988067107</v>
      </c>
      <c r="BZ256" s="17">
        <f t="shared" si="269"/>
        <v>0</v>
      </c>
      <c r="CA256" s="17">
        <f t="shared" si="238"/>
        <v>10743.682739187128</v>
      </c>
      <c r="CB256" s="17">
        <f>IF(CA256&gt;0,'1 - Input'!$B$8/12*CA256,0)</f>
        <v>80.577620543903464</v>
      </c>
      <c r="CC256" s="17">
        <f t="shared" si="239"/>
        <v>10663.105118643225</v>
      </c>
      <c r="CD256" s="17">
        <f t="shared" si="240"/>
        <v>0</v>
      </c>
      <c r="CE256" s="17">
        <f>'1 - Input'!$B$22*(CB256-CD256)</f>
        <v>20.950181341414901</v>
      </c>
      <c r="CF256" s="17">
        <f t="shared" si="241"/>
        <v>59.62743920248856</v>
      </c>
      <c r="CG256" s="17">
        <f t="shared" si="242"/>
        <v>0</v>
      </c>
      <c r="CH256" s="17">
        <f>IF('1 - Input'!$B$17=1,MAX(0,CF256-BX256),0)</f>
        <v>0</v>
      </c>
      <c r="CI256" s="17">
        <f>IF('1 - Input'!$B$17=1,MAX(0,BX256-CF256),0)</f>
        <v>3721.0243926170574</v>
      </c>
      <c r="CJ256" s="17">
        <f t="shared" si="243"/>
        <v>1</v>
      </c>
      <c r="CK256" s="17">
        <f>IF(AND(CI256&gt;0,CC256&gt;0),CI256/(1-'1 - Input'!$B$22*CJ256),0)</f>
        <v>5028.4113413744017</v>
      </c>
      <c r="CL256" s="17">
        <f t="shared" si="244"/>
        <v>5028.4113413744017</v>
      </c>
      <c r="CM256" s="17">
        <f>'1 - Input'!$B$22*CJ256*CL256</f>
        <v>1307.3869487573445</v>
      </c>
      <c r="CN256" s="17">
        <f t="shared" si="245"/>
        <v>3721.0243926170569</v>
      </c>
      <c r="CO256" s="17">
        <f t="shared" si="246"/>
        <v>0</v>
      </c>
      <c r="CP256" s="17">
        <f t="shared" si="247"/>
        <v>0</v>
      </c>
      <c r="CQ256" s="17">
        <f t="shared" si="248"/>
        <v>5634.6937772688234</v>
      </c>
      <c r="CR256" s="17">
        <f t="shared" si="249"/>
        <v>0</v>
      </c>
      <c r="CS256" s="17">
        <f>IF(MOD(BU256,12)=0,CQ256*'1 - Input'!$B$23,0)</f>
        <v>0</v>
      </c>
      <c r="CT256" s="17">
        <f t="shared" si="250"/>
        <v>5634.6937772688234</v>
      </c>
      <c r="CU256" s="17">
        <f>IF(MOD(BU256,12)=0,CR256*(1-'1 - Input'!$B$23),CR256)</f>
        <v>0</v>
      </c>
      <c r="CV256" s="17">
        <f>IF('1 - Input'!$B$17=1,MIN(CF256,BX256)+CN256,CF256)</f>
        <v>3780.6518318195454</v>
      </c>
      <c r="CW256" s="17">
        <f t="shared" si="270"/>
        <v>682416.9655781039</v>
      </c>
      <c r="CX256" s="17">
        <f t="shared" si="271"/>
        <v>6006.2325068457876</v>
      </c>
      <c r="CY256" s="17">
        <f t="shared" si="272"/>
        <v>65059.236555970187</v>
      </c>
      <c r="CZ256" s="17">
        <f t="shared" si="273"/>
        <v>0</v>
      </c>
      <c r="DA256" s="17">
        <f t="shared" si="274"/>
        <v>10954.114452440983</v>
      </c>
      <c r="DB256" s="17">
        <f t="shared" si="275"/>
        <v>0</v>
      </c>
      <c r="DC256" s="15">
        <f t="shared" si="251"/>
        <v>0</v>
      </c>
    </row>
    <row r="257" spans="1:107">
      <c r="A257" s="14">
        <v>214</v>
      </c>
      <c r="B257" s="15">
        <f t="shared" si="207"/>
        <v>18</v>
      </c>
      <c r="C257" s="16">
        <f>(1+INDEX('1 - Input'!$B$34:$E$63,B257,'1 - Input'!$B$16))^(1/12)-1</f>
        <v>4.1219243192651689E-3</v>
      </c>
      <c r="D257" s="17">
        <f>'1 - Input'!$B$7*(1+'1 - Input'!$B$12)^(B257-1)</f>
        <v>3780.6518318195458</v>
      </c>
      <c r="E257" s="17">
        <f t="shared" si="252"/>
        <v>0</v>
      </c>
      <c r="F257" s="17">
        <f t="shared" si="253"/>
        <v>0</v>
      </c>
      <c r="G257" s="17">
        <f t="shared" si="208"/>
        <v>0</v>
      </c>
      <c r="H257" s="17">
        <f>IF(G257&gt;0,'1 - Input'!$B$8/12*G257,0)</f>
        <v>0</v>
      </c>
      <c r="I257" s="17">
        <f t="shared" si="209"/>
        <v>0</v>
      </c>
      <c r="J257" s="17">
        <f t="shared" si="210"/>
        <v>0</v>
      </c>
      <c r="K257" s="17">
        <f>'1 - Input'!$B$22*(H257-J257)</f>
        <v>0</v>
      </c>
      <c r="L257" s="17">
        <f t="shared" si="211"/>
        <v>0</v>
      </c>
      <c r="M257" s="17">
        <f t="shared" si="212"/>
        <v>0</v>
      </c>
      <c r="N257" s="17">
        <f>IF('1 - Input'!$B$17=1,MAX(0,L257-D257),0)</f>
        <v>0</v>
      </c>
      <c r="O257" s="17">
        <f>IF('1 - Input'!$B$17=1,MAX(0,D257-L257),0)</f>
        <v>3780.6518318195458</v>
      </c>
      <c r="P257" s="17">
        <f t="shared" si="213"/>
        <v>0</v>
      </c>
      <c r="Q257" s="17">
        <f>IF(AND(O257&gt;0,I257&gt;0),O257/(1-'1 - Input'!$B$22*P257),0)</f>
        <v>0</v>
      </c>
      <c r="R257" s="17">
        <f t="shared" si="214"/>
        <v>0</v>
      </c>
      <c r="S257" s="17">
        <f>'1 - Input'!$B$22*P257*R257</f>
        <v>0</v>
      </c>
      <c r="T257" s="17">
        <f t="shared" si="215"/>
        <v>0</v>
      </c>
      <c r="U257" s="17">
        <f t="shared" si="216"/>
        <v>3780.6518318195458</v>
      </c>
      <c r="V257" s="17">
        <f t="shared" si="217"/>
        <v>0</v>
      </c>
      <c r="W257" s="17">
        <f t="shared" si="218"/>
        <v>0</v>
      </c>
      <c r="X257" s="17">
        <f t="shared" si="219"/>
        <v>0</v>
      </c>
      <c r="Y257" s="17">
        <f>IF(MOD(A257,12)=0,W257*'1 - Input'!$B$23,0)</f>
        <v>0</v>
      </c>
      <c r="Z257" s="17">
        <f t="shared" si="220"/>
        <v>0</v>
      </c>
      <c r="AA257" s="17">
        <f>IF(MOD(A257,12)=0,X257*(1-'1 - Input'!$B$23),X257)</f>
        <v>0</v>
      </c>
      <c r="AB257" s="17">
        <f>IF('1 - Input'!$B$17=1,MIN(L257,D257)+T257,L257)</f>
        <v>0</v>
      </c>
      <c r="AC257" s="17">
        <f t="shared" si="254"/>
        <v>590482.93849429931</v>
      </c>
      <c r="AD257" s="17">
        <f t="shared" si="255"/>
        <v>101441.90180685223</v>
      </c>
      <c r="AE257" s="17">
        <f t="shared" si="256"/>
        <v>0</v>
      </c>
      <c r="AF257" s="17">
        <f t="shared" si="257"/>
        <v>174289.24056370757</v>
      </c>
      <c r="AG257" s="17">
        <f t="shared" si="258"/>
        <v>8123.5662772395826</v>
      </c>
      <c r="AH257" s="17">
        <f t="shared" si="259"/>
        <v>95714.678915623255</v>
      </c>
      <c r="AI257" s="15">
        <f t="shared" si="221"/>
        <v>1</v>
      </c>
      <c r="AK257" s="14">
        <v>214</v>
      </c>
      <c r="AL257" s="15">
        <f t="shared" si="222"/>
        <v>18</v>
      </c>
      <c r="AM257" s="16">
        <f>(1+INDEX('1 - Input'!$B$34:$E$63,AL257,'1 - Input'!$B$16))^(1/12)-1</f>
        <v>4.1219243192651689E-3</v>
      </c>
      <c r="AN257" s="17">
        <f>'1 - Input'!$B$7*(1+'1 - Input'!$B$12)^(AL257-1)</f>
        <v>3780.6518318195458</v>
      </c>
      <c r="AO257" s="17">
        <f t="shared" si="260"/>
        <v>0</v>
      </c>
      <c r="AP257" s="17">
        <f t="shared" si="261"/>
        <v>0</v>
      </c>
      <c r="AQ257" s="17">
        <f t="shared" si="223"/>
        <v>0</v>
      </c>
      <c r="AR257" s="17">
        <f>IF(AQ257&gt;0,'1 - Input'!$B$8/12*AQ257,0)</f>
        <v>0</v>
      </c>
      <c r="AS257" s="17">
        <f t="shared" si="224"/>
        <v>0</v>
      </c>
      <c r="AT257" s="17">
        <f t="shared" si="225"/>
        <v>0</v>
      </c>
      <c r="AU257" s="17">
        <f>'1 - Input'!$B$22*(AR257-AT257)</f>
        <v>0</v>
      </c>
      <c r="AV257" s="17">
        <f t="shared" si="226"/>
        <v>0</v>
      </c>
      <c r="AW257" s="17">
        <f t="shared" si="227"/>
        <v>0</v>
      </c>
      <c r="AX257" s="17">
        <f>IF('1 - Input'!$B$17=1,MAX(0,AV257-AN257),0)</f>
        <v>0</v>
      </c>
      <c r="AY257" s="17">
        <f>IF('1 - Input'!$B$17=1,MAX(0,AN257-AV257),0)</f>
        <v>3780.6518318195458</v>
      </c>
      <c r="AZ257" s="17">
        <f t="shared" si="228"/>
        <v>0</v>
      </c>
      <c r="BA257" s="17">
        <f>IF(AND(AY257&gt;0,AS257&gt;0),AY257/(1-'1 - Input'!$B$22*AZ257),0)</f>
        <v>0</v>
      </c>
      <c r="BB257" s="17">
        <f t="shared" si="229"/>
        <v>0</v>
      </c>
      <c r="BC257" s="17">
        <f>'1 - Input'!$B$22*AZ257*BB257</f>
        <v>0</v>
      </c>
      <c r="BD257" s="17">
        <f t="shared" si="230"/>
        <v>0</v>
      </c>
      <c r="BE257" s="17">
        <f t="shared" si="231"/>
        <v>3780.6518318195458</v>
      </c>
      <c r="BF257" s="17">
        <f t="shared" si="232"/>
        <v>0</v>
      </c>
      <c r="BG257" s="17">
        <f t="shared" si="233"/>
        <v>0</v>
      </c>
      <c r="BH257" s="17">
        <f t="shared" si="234"/>
        <v>0</v>
      </c>
      <c r="BI257" s="17">
        <f>IF(MOD(AK257,12)=0,BG257*'1 - Input'!$B$23,0)</f>
        <v>0</v>
      </c>
      <c r="BJ257" s="17">
        <f t="shared" si="235"/>
        <v>0</v>
      </c>
      <c r="BK257" s="17">
        <f>IF(MOD(AK257,12)=0,BH257*(1-'1 - Input'!$B$23),BH257)</f>
        <v>0</v>
      </c>
      <c r="BL257" s="17">
        <f>IF('1 - Input'!$B$17=1,MIN(AV257,AN257)+BD257,AV257)</f>
        <v>0</v>
      </c>
      <c r="BM257" s="17">
        <f t="shared" si="262"/>
        <v>590482.93849429931</v>
      </c>
      <c r="BN257" s="17">
        <f t="shared" si="263"/>
        <v>101441.90180685223</v>
      </c>
      <c r="BO257" s="17">
        <f t="shared" si="264"/>
        <v>0</v>
      </c>
      <c r="BP257" s="17">
        <f t="shared" si="265"/>
        <v>174289.24056370757</v>
      </c>
      <c r="BQ257" s="17">
        <f t="shared" si="266"/>
        <v>8123.5662772395826</v>
      </c>
      <c r="BR257" s="17">
        <f t="shared" si="267"/>
        <v>95714.678915623255</v>
      </c>
      <c r="BS257" s="15">
        <f t="shared" si="236"/>
        <v>1</v>
      </c>
      <c r="BU257" s="14">
        <v>214</v>
      </c>
      <c r="BV257" s="15">
        <f t="shared" si="237"/>
        <v>18</v>
      </c>
      <c r="BW257" s="16">
        <f>(1+INDEX('1 - Input'!$B$34:$E$63,BV257,'1 - Input'!$B$16))^(1/12)-1</f>
        <v>4.1219243192651689E-3</v>
      </c>
      <c r="BX257" s="17">
        <f>'1 - Input'!$B$7*(1+'1 - Input'!$B$12)^(BV257-1)</f>
        <v>3780.6518318195458</v>
      </c>
      <c r="BY257" s="17">
        <f t="shared" si="268"/>
        <v>5634.6937772688234</v>
      </c>
      <c r="BZ257" s="17">
        <f t="shared" si="269"/>
        <v>0</v>
      </c>
      <c r="CA257" s="17">
        <f t="shared" si="238"/>
        <v>5657.9195585809603</v>
      </c>
      <c r="CB257" s="17">
        <f>IF(CA257&gt;0,'1 - Input'!$B$8/12*CA257,0)</f>
        <v>42.4343966893572</v>
      </c>
      <c r="CC257" s="17">
        <f t="shared" si="239"/>
        <v>5615.4851618916027</v>
      </c>
      <c r="CD257" s="17">
        <f t="shared" si="240"/>
        <v>0</v>
      </c>
      <c r="CE257" s="17">
        <f>'1 - Input'!$B$22*(CB257-CD257)</f>
        <v>11.032943139232872</v>
      </c>
      <c r="CF257" s="17">
        <f t="shared" si="241"/>
        <v>31.40145355012433</v>
      </c>
      <c r="CG257" s="17">
        <f t="shared" si="242"/>
        <v>0</v>
      </c>
      <c r="CH257" s="17">
        <f>IF('1 - Input'!$B$17=1,MAX(0,CF257-BX257),0)</f>
        <v>0</v>
      </c>
      <c r="CI257" s="17">
        <f>IF('1 - Input'!$B$17=1,MAX(0,BX257-CF257),0)</f>
        <v>3749.2503782694216</v>
      </c>
      <c r="CJ257" s="17">
        <f t="shared" si="243"/>
        <v>1</v>
      </c>
      <c r="CK257" s="17">
        <f>IF(AND(CI257&gt;0,CC257&gt;0),CI257/(1-'1 - Input'!$B$22*CJ257),0)</f>
        <v>5066.5545652289484</v>
      </c>
      <c r="CL257" s="17">
        <f t="shared" si="244"/>
        <v>5066.5545652289484</v>
      </c>
      <c r="CM257" s="17">
        <f>'1 - Input'!$B$22*CJ257*CL257</f>
        <v>1317.3041869595265</v>
      </c>
      <c r="CN257" s="17">
        <f t="shared" si="245"/>
        <v>3749.2503782694221</v>
      </c>
      <c r="CO257" s="17">
        <f t="shared" si="246"/>
        <v>0</v>
      </c>
      <c r="CP257" s="17">
        <f t="shared" si="247"/>
        <v>0</v>
      </c>
      <c r="CQ257" s="17">
        <f t="shared" si="248"/>
        <v>548.93059666265435</v>
      </c>
      <c r="CR257" s="17">
        <f t="shared" si="249"/>
        <v>0</v>
      </c>
      <c r="CS257" s="17">
        <f>IF(MOD(BU257,12)=0,CQ257*'1 - Input'!$B$23,0)</f>
        <v>0</v>
      </c>
      <c r="CT257" s="17">
        <f t="shared" si="250"/>
        <v>548.93059666265435</v>
      </c>
      <c r="CU257" s="17">
        <f>IF(MOD(BU257,12)=0,CR257*(1-'1 - Input'!$B$23),CR257)</f>
        <v>0</v>
      </c>
      <c r="CV257" s="17">
        <f>IF('1 - Input'!$B$17=1,MIN(CF257,BX257)+CN257,CF257)</f>
        <v>3780.6518318195463</v>
      </c>
      <c r="CW257" s="17">
        <f t="shared" si="270"/>
        <v>686197.61740992346</v>
      </c>
      <c r="CX257" s="17">
        <f t="shared" si="271"/>
        <v>6017.2654499850205</v>
      </c>
      <c r="CY257" s="17">
        <f t="shared" si="272"/>
        <v>66376.540742929719</v>
      </c>
      <c r="CZ257" s="17">
        <f t="shared" si="273"/>
        <v>0</v>
      </c>
      <c r="DA257" s="17">
        <f t="shared" si="274"/>
        <v>10954.114452440983</v>
      </c>
      <c r="DB257" s="17">
        <f t="shared" si="275"/>
        <v>0</v>
      </c>
      <c r="DC257" s="15">
        <f t="shared" si="251"/>
        <v>0</v>
      </c>
    </row>
    <row r="258" spans="1:107">
      <c r="A258" s="14">
        <v>215</v>
      </c>
      <c r="B258" s="15">
        <f t="shared" si="207"/>
        <v>18</v>
      </c>
      <c r="C258" s="16">
        <f>(1+INDEX('1 - Input'!$B$34:$E$63,B258,'1 - Input'!$B$16))^(1/12)-1</f>
        <v>4.1219243192651689E-3</v>
      </c>
      <c r="D258" s="17">
        <f>'1 - Input'!$B$7*(1+'1 - Input'!$B$12)^(B258-1)</f>
        <v>3780.6518318195458</v>
      </c>
      <c r="E258" s="17">
        <f t="shared" si="252"/>
        <v>0</v>
      </c>
      <c r="F258" s="17">
        <f t="shared" si="253"/>
        <v>0</v>
      </c>
      <c r="G258" s="17">
        <f t="shared" si="208"/>
        <v>0</v>
      </c>
      <c r="H258" s="17">
        <f>IF(G258&gt;0,'1 - Input'!$B$8/12*G258,0)</f>
        <v>0</v>
      </c>
      <c r="I258" s="17">
        <f t="shared" si="209"/>
        <v>0</v>
      </c>
      <c r="J258" s="17">
        <f t="shared" si="210"/>
        <v>0</v>
      </c>
      <c r="K258" s="17">
        <f>'1 - Input'!$B$22*(H258-J258)</f>
        <v>0</v>
      </c>
      <c r="L258" s="17">
        <f t="shared" si="211"/>
        <v>0</v>
      </c>
      <c r="M258" s="17">
        <f t="shared" si="212"/>
        <v>0</v>
      </c>
      <c r="N258" s="17">
        <f>IF('1 - Input'!$B$17=1,MAX(0,L258-D258),0)</f>
        <v>0</v>
      </c>
      <c r="O258" s="17">
        <f>IF('1 - Input'!$B$17=1,MAX(0,D258-L258),0)</f>
        <v>3780.6518318195458</v>
      </c>
      <c r="P258" s="17">
        <f t="shared" si="213"/>
        <v>0</v>
      </c>
      <c r="Q258" s="17">
        <f>IF(AND(O258&gt;0,I258&gt;0),O258/(1-'1 - Input'!$B$22*P258),0)</f>
        <v>0</v>
      </c>
      <c r="R258" s="17">
        <f t="shared" si="214"/>
        <v>0</v>
      </c>
      <c r="S258" s="17">
        <f>'1 - Input'!$B$22*P258*R258</f>
        <v>0</v>
      </c>
      <c r="T258" s="17">
        <f t="shared" si="215"/>
        <v>0</v>
      </c>
      <c r="U258" s="17">
        <f t="shared" si="216"/>
        <v>3780.6518318195458</v>
      </c>
      <c r="V258" s="17">
        <f t="shared" si="217"/>
        <v>0</v>
      </c>
      <c r="W258" s="17">
        <f t="shared" si="218"/>
        <v>0</v>
      </c>
      <c r="X258" s="17">
        <f t="shared" si="219"/>
        <v>0</v>
      </c>
      <c r="Y258" s="17">
        <f>IF(MOD(A258,12)=0,W258*'1 - Input'!$B$23,0)</f>
        <v>0</v>
      </c>
      <c r="Z258" s="17">
        <f t="shared" si="220"/>
        <v>0</v>
      </c>
      <c r="AA258" s="17">
        <f>IF(MOD(A258,12)=0,X258*(1-'1 - Input'!$B$23),X258)</f>
        <v>0</v>
      </c>
      <c r="AB258" s="17">
        <f>IF('1 - Input'!$B$17=1,MIN(L258,D258)+T258,L258)</f>
        <v>0</v>
      </c>
      <c r="AC258" s="17">
        <f t="shared" si="254"/>
        <v>590482.93849429931</v>
      </c>
      <c r="AD258" s="17">
        <f t="shared" si="255"/>
        <v>101441.90180685223</v>
      </c>
      <c r="AE258" s="17">
        <f t="shared" si="256"/>
        <v>0</v>
      </c>
      <c r="AF258" s="17">
        <f t="shared" si="257"/>
        <v>174289.24056370757</v>
      </c>
      <c r="AG258" s="17">
        <f t="shared" si="258"/>
        <v>8123.5662772395826</v>
      </c>
      <c r="AH258" s="17">
        <f t="shared" si="259"/>
        <v>99495.3307474428</v>
      </c>
      <c r="AI258" s="15">
        <f t="shared" si="221"/>
        <v>1</v>
      </c>
      <c r="AK258" s="14">
        <v>215</v>
      </c>
      <c r="AL258" s="15">
        <f t="shared" si="222"/>
        <v>18</v>
      </c>
      <c r="AM258" s="16">
        <f>(1+INDEX('1 - Input'!$B$34:$E$63,AL258,'1 - Input'!$B$16))^(1/12)-1</f>
        <v>4.1219243192651689E-3</v>
      </c>
      <c r="AN258" s="17">
        <f>'1 - Input'!$B$7*(1+'1 - Input'!$B$12)^(AL258-1)</f>
        <v>3780.6518318195458</v>
      </c>
      <c r="AO258" s="17">
        <f t="shared" si="260"/>
        <v>0</v>
      </c>
      <c r="AP258" s="17">
        <f t="shared" si="261"/>
        <v>0</v>
      </c>
      <c r="AQ258" s="17">
        <f t="shared" si="223"/>
        <v>0</v>
      </c>
      <c r="AR258" s="17">
        <f>IF(AQ258&gt;0,'1 - Input'!$B$8/12*AQ258,0)</f>
        <v>0</v>
      </c>
      <c r="AS258" s="17">
        <f t="shared" si="224"/>
        <v>0</v>
      </c>
      <c r="AT258" s="17">
        <f t="shared" si="225"/>
        <v>0</v>
      </c>
      <c r="AU258" s="17">
        <f>'1 - Input'!$B$22*(AR258-AT258)</f>
        <v>0</v>
      </c>
      <c r="AV258" s="17">
        <f t="shared" si="226"/>
        <v>0</v>
      </c>
      <c r="AW258" s="17">
        <f t="shared" si="227"/>
        <v>0</v>
      </c>
      <c r="AX258" s="17">
        <f>IF('1 - Input'!$B$17=1,MAX(0,AV258-AN258),0)</f>
        <v>0</v>
      </c>
      <c r="AY258" s="17">
        <f>IF('1 - Input'!$B$17=1,MAX(0,AN258-AV258),0)</f>
        <v>3780.6518318195458</v>
      </c>
      <c r="AZ258" s="17">
        <f t="shared" si="228"/>
        <v>0</v>
      </c>
      <c r="BA258" s="17">
        <f>IF(AND(AY258&gt;0,AS258&gt;0),AY258/(1-'1 - Input'!$B$22*AZ258),0)</f>
        <v>0</v>
      </c>
      <c r="BB258" s="17">
        <f t="shared" si="229"/>
        <v>0</v>
      </c>
      <c r="BC258" s="17">
        <f>'1 - Input'!$B$22*AZ258*BB258</f>
        <v>0</v>
      </c>
      <c r="BD258" s="17">
        <f t="shared" si="230"/>
        <v>0</v>
      </c>
      <c r="BE258" s="17">
        <f t="shared" si="231"/>
        <v>3780.6518318195458</v>
      </c>
      <c r="BF258" s="17">
        <f t="shared" si="232"/>
        <v>0</v>
      </c>
      <c r="BG258" s="17">
        <f t="shared" si="233"/>
        <v>0</v>
      </c>
      <c r="BH258" s="17">
        <f t="shared" si="234"/>
        <v>0</v>
      </c>
      <c r="BI258" s="17">
        <f>IF(MOD(AK258,12)=0,BG258*'1 - Input'!$B$23,0)</f>
        <v>0</v>
      </c>
      <c r="BJ258" s="17">
        <f t="shared" si="235"/>
        <v>0</v>
      </c>
      <c r="BK258" s="17">
        <f>IF(MOD(AK258,12)=0,BH258*(1-'1 - Input'!$B$23),BH258)</f>
        <v>0</v>
      </c>
      <c r="BL258" s="17">
        <f>IF('1 - Input'!$B$17=1,MIN(AV258,AN258)+BD258,AV258)</f>
        <v>0</v>
      </c>
      <c r="BM258" s="17">
        <f t="shared" si="262"/>
        <v>590482.93849429931</v>
      </c>
      <c r="BN258" s="17">
        <f t="shared" si="263"/>
        <v>101441.90180685223</v>
      </c>
      <c r="BO258" s="17">
        <f t="shared" si="264"/>
        <v>0</v>
      </c>
      <c r="BP258" s="17">
        <f t="shared" si="265"/>
        <v>174289.24056370757</v>
      </c>
      <c r="BQ258" s="17">
        <f t="shared" si="266"/>
        <v>8123.5662772395826</v>
      </c>
      <c r="BR258" s="17">
        <f t="shared" si="267"/>
        <v>99495.3307474428</v>
      </c>
      <c r="BS258" s="15">
        <f t="shared" si="236"/>
        <v>1</v>
      </c>
      <c r="BU258" s="14">
        <v>215</v>
      </c>
      <c r="BV258" s="15">
        <f t="shared" si="237"/>
        <v>18</v>
      </c>
      <c r="BW258" s="16">
        <f>(1+INDEX('1 - Input'!$B$34:$E$63,BV258,'1 - Input'!$B$16))^(1/12)-1</f>
        <v>4.1219243192651689E-3</v>
      </c>
      <c r="BX258" s="17">
        <f>'1 - Input'!$B$7*(1+'1 - Input'!$B$12)^(BV258-1)</f>
        <v>3780.6518318195458</v>
      </c>
      <c r="BY258" s="17">
        <f t="shared" si="268"/>
        <v>548.93059666265435</v>
      </c>
      <c r="BZ258" s="17">
        <f t="shared" si="269"/>
        <v>0</v>
      </c>
      <c r="CA258" s="17">
        <f t="shared" si="238"/>
        <v>551.19324703862685</v>
      </c>
      <c r="CB258" s="17">
        <f>IF(CA258&gt;0,'1 - Input'!$B$8/12*CA258,0)</f>
        <v>4.1339493527897009</v>
      </c>
      <c r="CC258" s="17">
        <f t="shared" si="239"/>
        <v>547.05929768583712</v>
      </c>
      <c r="CD258" s="17">
        <f t="shared" si="240"/>
        <v>0</v>
      </c>
      <c r="CE258" s="17">
        <f>'1 - Input'!$B$22*(CB258-CD258)</f>
        <v>1.0748268317253222</v>
      </c>
      <c r="CF258" s="17">
        <f t="shared" si="241"/>
        <v>3.0591225210643787</v>
      </c>
      <c r="CG258" s="17">
        <f t="shared" si="242"/>
        <v>0</v>
      </c>
      <c r="CH258" s="17">
        <f>IF('1 - Input'!$B$17=1,MAX(0,CF258-BX258),0)</f>
        <v>0</v>
      </c>
      <c r="CI258" s="17">
        <f>IF('1 - Input'!$B$17=1,MAX(0,BX258-CF258),0)</f>
        <v>3777.5927092984816</v>
      </c>
      <c r="CJ258" s="17">
        <f t="shared" si="243"/>
        <v>1</v>
      </c>
      <c r="CK258" s="17">
        <f>IF(AND(CI258&gt;0,CC258&gt;0),CI258/(1-'1 - Input'!$B$22*CJ258),0)</f>
        <v>5104.8550125655156</v>
      </c>
      <c r="CL258" s="17">
        <f t="shared" si="244"/>
        <v>547.05929768583712</v>
      </c>
      <c r="CM258" s="17">
        <f>'1 - Input'!$B$22*CJ258*CL258</f>
        <v>142.23541739831765</v>
      </c>
      <c r="CN258" s="17">
        <f t="shared" si="245"/>
        <v>404.8238802875195</v>
      </c>
      <c r="CO258" s="17">
        <f t="shared" si="246"/>
        <v>3372.7688290109622</v>
      </c>
      <c r="CP258" s="17">
        <f t="shared" si="247"/>
        <v>0</v>
      </c>
      <c r="CQ258" s="17">
        <f t="shared" si="248"/>
        <v>0</v>
      </c>
      <c r="CR258" s="17">
        <f t="shared" si="249"/>
        <v>0</v>
      </c>
      <c r="CS258" s="17">
        <f>IF(MOD(BU258,12)=0,CQ258*'1 - Input'!$B$23,0)</f>
        <v>0</v>
      </c>
      <c r="CT258" s="17">
        <f t="shared" si="250"/>
        <v>0</v>
      </c>
      <c r="CU258" s="17">
        <f>IF(MOD(BU258,12)=0,CR258*(1-'1 - Input'!$B$23),CR258)</f>
        <v>0</v>
      </c>
      <c r="CV258" s="17">
        <f>IF('1 - Input'!$B$17=1,MIN(CF258,BX258)+CN258,CF258)</f>
        <v>407.88300280858385</v>
      </c>
      <c r="CW258" s="17">
        <f t="shared" si="270"/>
        <v>686605.50041273201</v>
      </c>
      <c r="CX258" s="17">
        <f t="shared" si="271"/>
        <v>6018.3402768167462</v>
      </c>
      <c r="CY258" s="17">
        <f t="shared" si="272"/>
        <v>66518.776160328038</v>
      </c>
      <c r="CZ258" s="17">
        <f t="shared" si="273"/>
        <v>0</v>
      </c>
      <c r="DA258" s="17">
        <f t="shared" si="274"/>
        <v>10954.114452440983</v>
      </c>
      <c r="DB258" s="17">
        <f t="shared" si="275"/>
        <v>3372.7688290109622</v>
      </c>
      <c r="DC258" s="15">
        <f t="shared" si="251"/>
        <v>1</v>
      </c>
    </row>
    <row r="259" spans="1:107">
      <c r="A259" s="14">
        <v>216</v>
      </c>
      <c r="B259" s="15">
        <f t="shared" si="207"/>
        <v>18</v>
      </c>
      <c r="C259" s="16">
        <f>(1+INDEX('1 - Input'!$B$34:$E$63,B259,'1 - Input'!$B$16))^(1/12)-1</f>
        <v>4.1219243192651689E-3</v>
      </c>
      <c r="D259" s="17">
        <f>'1 - Input'!$B$7*(1+'1 - Input'!$B$12)^(B259-1)</f>
        <v>3780.6518318195458</v>
      </c>
      <c r="E259" s="17">
        <f t="shared" si="252"/>
        <v>0</v>
      </c>
      <c r="F259" s="17">
        <f t="shared" si="253"/>
        <v>0</v>
      </c>
      <c r="G259" s="17">
        <f t="shared" si="208"/>
        <v>0</v>
      </c>
      <c r="H259" s="17">
        <f>IF(G259&gt;0,'1 - Input'!$B$8/12*G259,0)</f>
        <v>0</v>
      </c>
      <c r="I259" s="17">
        <f t="shared" si="209"/>
        <v>0</v>
      </c>
      <c r="J259" s="17">
        <f t="shared" si="210"/>
        <v>0</v>
      </c>
      <c r="K259" s="17">
        <f>'1 - Input'!$B$22*(H259-J259)</f>
        <v>0</v>
      </c>
      <c r="L259" s="17">
        <f t="shared" si="211"/>
        <v>0</v>
      </c>
      <c r="M259" s="17">
        <f t="shared" si="212"/>
        <v>0</v>
      </c>
      <c r="N259" s="17">
        <f>IF('1 - Input'!$B$17=1,MAX(0,L259-D259),0)</f>
        <v>0</v>
      </c>
      <c r="O259" s="17">
        <f>IF('1 - Input'!$B$17=1,MAX(0,D259-L259),0)</f>
        <v>3780.6518318195458</v>
      </c>
      <c r="P259" s="17">
        <f t="shared" si="213"/>
        <v>0</v>
      </c>
      <c r="Q259" s="17">
        <f>IF(AND(O259&gt;0,I259&gt;0),O259/(1-'1 - Input'!$B$22*P259),0)</f>
        <v>0</v>
      </c>
      <c r="R259" s="17">
        <f t="shared" si="214"/>
        <v>0</v>
      </c>
      <c r="S259" s="17">
        <f>'1 - Input'!$B$22*P259*R259</f>
        <v>0</v>
      </c>
      <c r="T259" s="17">
        <f t="shared" si="215"/>
        <v>0</v>
      </c>
      <c r="U259" s="17">
        <f t="shared" si="216"/>
        <v>3780.6518318195458</v>
      </c>
      <c r="V259" s="17">
        <f t="shared" si="217"/>
        <v>0</v>
      </c>
      <c r="W259" s="17">
        <f t="shared" si="218"/>
        <v>0</v>
      </c>
      <c r="X259" s="17">
        <f t="shared" si="219"/>
        <v>0</v>
      </c>
      <c r="Y259" s="17">
        <f>IF(MOD(A259,12)=0,W259*'1 - Input'!$B$23,0)</f>
        <v>0</v>
      </c>
      <c r="Z259" s="17">
        <f t="shared" si="220"/>
        <v>0</v>
      </c>
      <c r="AA259" s="17">
        <f>IF(MOD(A259,12)=0,X259*(1-'1 - Input'!$B$23),X259)</f>
        <v>0</v>
      </c>
      <c r="AB259" s="17">
        <f>IF('1 - Input'!$B$17=1,MIN(L259,D259)+T259,L259)</f>
        <v>0</v>
      </c>
      <c r="AC259" s="17">
        <f t="shared" si="254"/>
        <v>590482.93849429931</v>
      </c>
      <c r="AD259" s="17">
        <f t="shared" si="255"/>
        <v>101441.90180685223</v>
      </c>
      <c r="AE259" s="17">
        <f t="shared" si="256"/>
        <v>0</v>
      </c>
      <c r="AF259" s="17">
        <f t="shared" si="257"/>
        <v>174289.24056370757</v>
      </c>
      <c r="AG259" s="17">
        <f t="shared" si="258"/>
        <v>8123.5662772395826</v>
      </c>
      <c r="AH259" s="17">
        <f t="shared" si="259"/>
        <v>103275.98257926235</v>
      </c>
      <c r="AI259" s="15">
        <f t="shared" si="221"/>
        <v>1</v>
      </c>
      <c r="AK259" s="14">
        <v>216</v>
      </c>
      <c r="AL259" s="15">
        <f t="shared" si="222"/>
        <v>18</v>
      </c>
      <c r="AM259" s="16">
        <f>(1+INDEX('1 - Input'!$B$34:$E$63,AL259,'1 - Input'!$B$16))^(1/12)-1</f>
        <v>4.1219243192651689E-3</v>
      </c>
      <c r="AN259" s="17">
        <f>'1 - Input'!$B$7*(1+'1 - Input'!$B$12)^(AL259-1)</f>
        <v>3780.6518318195458</v>
      </c>
      <c r="AO259" s="17">
        <f t="shared" si="260"/>
        <v>0</v>
      </c>
      <c r="AP259" s="17">
        <f t="shared" si="261"/>
        <v>0</v>
      </c>
      <c r="AQ259" s="17">
        <f t="shared" si="223"/>
        <v>0</v>
      </c>
      <c r="AR259" s="17">
        <f>IF(AQ259&gt;0,'1 - Input'!$B$8/12*AQ259,0)</f>
        <v>0</v>
      </c>
      <c r="AS259" s="17">
        <f t="shared" si="224"/>
        <v>0</v>
      </c>
      <c r="AT259" s="17">
        <f t="shared" si="225"/>
        <v>0</v>
      </c>
      <c r="AU259" s="17">
        <f>'1 - Input'!$B$22*(AR259-AT259)</f>
        <v>0</v>
      </c>
      <c r="AV259" s="17">
        <f t="shared" si="226"/>
        <v>0</v>
      </c>
      <c r="AW259" s="17">
        <f t="shared" si="227"/>
        <v>0</v>
      </c>
      <c r="AX259" s="17">
        <f>IF('1 - Input'!$B$17=1,MAX(0,AV259-AN259),0)</f>
        <v>0</v>
      </c>
      <c r="AY259" s="17">
        <f>IF('1 - Input'!$B$17=1,MAX(0,AN259-AV259),0)</f>
        <v>3780.6518318195458</v>
      </c>
      <c r="AZ259" s="17">
        <f t="shared" si="228"/>
        <v>0</v>
      </c>
      <c r="BA259" s="17">
        <f>IF(AND(AY259&gt;0,AS259&gt;0),AY259/(1-'1 - Input'!$B$22*AZ259),0)</f>
        <v>0</v>
      </c>
      <c r="BB259" s="17">
        <f t="shared" si="229"/>
        <v>0</v>
      </c>
      <c r="BC259" s="17">
        <f>'1 - Input'!$B$22*AZ259*BB259</f>
        <v>0</v>
      </c>
      <c r="BD259" s="17">
        <f t="shared" si="230"/>
        <v>0</v>
      </c>
      <c r="BE259" s="17">
        <f t="shared" si="231"/>
        <v>3780.6518318195458</v>
      </c>
      <c r="BF259" s="17">
        <f t="shared" si="232"/>
        <v>0</v>
      </c>
      <c r="BG259" s="17">
        <f t="shared" si="233"/>
        <v>0</v>
      </c>
      <c r="BH259" s="17">
        <f t="shared" si="234"/>
        <v>0</v>
      </c>
      <c r="BI259" s="17">
        <f>IF(MOD(AK259,12)=0,BG259*'1 - Input'!$B$23,0)</f>
        <v>0</v>
      </c>
      <c r="BJ259" s="17">
        <f t="shared" si="235"/>
        <v>0</v>
      </c>
      <c r="BK259" s="17">
        <f>IF(MOD(AK259,12)=0,BH259*(1-'1 - Input'!$B$23),BH259)</f>
        <v>0</v>
      </c>
      <c r="BL259" s="17">
        <f>IF('1 - Input'!$B$17=1,MIN(AV259,AN259)+BD259,AV259)</f>
        <v>0</v>
      </c>
      <c r="BM259" s="17">
        <f t="shared" si="262"/>
        <v>590482.93849429931</v>
      </c>
      <c r="BN259" s="17">
        <f t="shared" si="263"/>
        <v>101441.90180685223</v>
      </c>
      <c r="BO259" s="17">
        <f t="shared" si="264"/>
        <v>0</v>
      </c>
      <c r="BP259" s="17">
        <f t="shared" si="265"/>
        <v>174289.24056370757</v>
      </c>
      <c r="BQ259" s="17">
        <f t="shared" si="266"/>
        <v>8123.5662772395826</v>
      </c>
      <c r="BR259" s="17">
        <f t="shared" si="267"/>
        <v>103275.98257926235</v>
      </c>
      <c r="BS259" s="15">
        <f t="shared" si="236"/>
        <v>1</v>
      </c>
      <c r="BU259" s="14">
        <v>216</v>
      </c>
      <c r="BV259" s="15">
        <f t="shared" si="237"/>
        <v>18</v>
      </c>
      <c r="BW259" s="16">
        <f>(1+INDEX('1 - Input'!$B$34:$E$63,BV259,'1 - Input'!$B$16))^(1/12)-1</f>
        <v>4.1219243192651689E-3</v>
      </c>
      <c r="BX259" s="17">
        <f>'1 - Input'!$B$7*(1+'1 - Input'!$B$12)^(BV259-1)</f>
        <v>3780.6518318195458</v>
      </c>
      <c r="BY259" s="17">
        <f t="shared" si="268"/>
        <v>0</v>
      </c>
      <c r="BZ259" s="17">
        <f t="shared" si="269"/>
        <v>0</v>
      </c>
      <c r="CA259" s="17">
        <f t="shared" si="238"/>
        <v>0</v>
      </c>
      <c r="CB259" s="17">
        <f>IF(CA259&gt;0,'1 - Input'!$B$8/12*CA259,0)</f>
        <v>0</v>
      </c>
      <c r="CC259" s="17">
        <f t="shared" si="239"/>
        <v>0</v>
      </c>
      <c r="CD259" s="17">
        <f t="shared" si="240"/>
        <v>0</v>
      </c>
      <c r="CE259" s="17">
        <f>'1 - Input'!$B$22*(CB259-CD259)</f>
        <v>0</v>
      </c>
      <c r="CF259" s="17">
        <f t="shared" si="241"/>
        <v>0</v>
      </c>
      <c r="CG259" s="17">
        <f t="shared" si="242"/>
        <v>0</v>
      </c>
      <c r="CH259" s="17">
        <f>IF('1 - Input'!$B$17=1,MAX(0,CF259-BX259),0)</f>
        <v>0</v>
      </c>
      <c r="CI259" s="17">
        <f>IF('1 - Input'!$B$17=1,MAX(0,BX259-CF259),0)</f>
        <v>3780.6518318195458</v>
      </c>
      <c r="CJ259" s="17">
        <f t="shared" si="243"/>
        <v>0</v>
      </c>
      <c r="CK259" s="17">
        <f>IF(AND(CI259&gt;0,CC259&gt;0),CI259/(1-'1 - Input'!$B$22*CJ259),0)</f>
        <v>0</v>
      </c>
      <c r="CL259" s="17">
        <f t="shared" si="244"/>
        <v>0</v>
      </c>
      <c r="CM259" s="17">
        <f>'1 - Input'!$B$22*CJ259*CL259</f>
        <v>0</v>
      </c>
      <c r="CN259" s="17">
        <f t="shared" si="245"/>
        <v>0</v>
      </c>
      <c r="CO259" s="17">
        <f t="shared" si="246"/>
        <v>3780.6518318195458</v>
      </c>
      <c r="CP259" s="17">
        <f t="shared" si="247"/>
        <v>0</v>
      </c>
      <c r="CQ259" s="17">
        <f t="shared" si="248"/>
        <v>0</v>
      </c>
      <c r="CR259" s="17">
        <f t="shared" si="249"/>
        <v>0</v>
      </c>
      <c r="CS259" s="17">
        <f>IF(MOD(BU259,12)=0,CQ259*'1 - Input'!$B$23,0)</f>
        <v>0</v>
      </c>
      <c r="CT259" s="17">
        <f t="shared" si="250"/>
        <v>0</v>
      </c>
      <c r="CU259" s="17">
        <f>IF(MOD(BU259,12)=0,CR259*(1-'1 - Input'!$B$23),CR259)</f>
        <v>0</v>
      </c>
      <c r="CV259" s="17">
        <f>IF('1 - Input'!$B$17=1,MIN(CF259,BX259)+CN259,CF259)</f>
        <v>0</v>
      </c>
      <c r="CW259" s="17">
        <f t="shared" si="270"/>
        <v>686605.50041273201</v>
      </c>
      <c r="CX259" s="17">
        <f t="shared" si="271"/>
        <v>6018.3402768167462</v>
      </c>
      <c r="CY259" s="17">
        <f t="shared" si="272"/>
        <v>66518.776160328038</v>
      </c>
      <c r="CZ259" s="17">
        <f t="shared" si="273"/>
        <v>0</v>
      </c>
      <c r="DA259" s="17">
        <f t="shared" si="274"/>
        <v>10954.114452440983</v>
      </c>
      <c r="DB259" s="17">
        <f t="shared" si="275"/>
        <v>7153.4206608305085</v>
      </c>
      <c r="DC259" s="15">
        <f t="shared" si="251"/>
        <v>1</v>
      </c>
    </row>
    <row r="260" spans="1:107">
      <c r="A260" s="14">
        <v>217</v>
      </c>
      <c r="B260" s="15">
        <f t="shared" si="207"/>
        <v>19</v>
      </c>
      <c r="C260" s="16">
        <f>(1+INDEX('1 - Input'!$B$34:$E$63,B260,'1 - Input'!$B$16))^(1/12)-1</f>
        <v>4.1219243192651689E-3</v>
      </c>
      <c r="D260" s="17">
        <f>'1 - Input'!$B$7*(1+'1 - Input'!$B$12)^(B260-1)</f>
        <v>3856.2648684559363</v>
      </c>
      <c r="E260" s="17">
        <f t="shared" si="252"/>
        <v>0</v>
      </c>
      <c r="F260" s="17">
        <f t="shared" si="253"/>
        <v>0</v>
      </c>
      <c r="G260" s="17">
        <f t="shared" si="208"/>
        <v>0</v>
      </c>
      <c r="H260" s="17">
        <f>IF(G260&gt;0,'1 - Input'!$B$8/12*G260,0)</f>
        <v>0</v>
      </c>
      <c r="I260" s="17">
        <f t="shared" si="209"/>
        <v>0</v>
      </c>
      <c r="J260" s="17">
        <f t="shared" si="210"/>
        <v>0</v>
      </c>
      <c r="K260" s="17">
        <f>'1 - Input'!$B$22*(H260-J260)</f>
        <v>0</v>
      </c>
      <c r="L260" s="17">
        <f t="shared" si="211"/>
        <v>0</v>
      </c>
      <c r="M260" s="17">
        <f t="shared" si="212"/>
        <v>0</v>
      </c>
      <c r="N260" s="17">
        <f>IF('1 - Input'!$B$17=1,MAX(0,L260-D260),0)</f>
        <v>0</v>
      </c>
      <c r="O260" s="17">
        <f>IF('1 - Input'!$B$17=1,MAX(0,D260-L260),0)</f>
        <v>3856.2648684559363</v>
      </c>
      <c r="P260" s="17">
        <f t="shared" si="213"/>
        <v>0</v>
      </c>
      <c r="Q260" s="17">
        <f>IF(AND(O260&gt;0,I260&gt;0),O260/(1-'1 - Input'!$B$22*P260),0)</f>
        <v>0</v>
      </c>
      <c r="R260" s="17">
        <f t="shared" si="214"/>
        <v>0</v>
      </c>
      <c r="S260" s="17">
        <f>'1 - Input'!$B$22*P260*R260</f>
        <v>0</v>
      </c>
      <c r="T260" s="17">
        <f t="shared" si="215"/>
        <v>0</v>
      </c>
      <c r="U260" s="17">
        <f t="shared" si="216"/>
        <v>3856.2648684559363</v>
      </c>
      <c r="V260" s="17">
        <f t="shared" si="217"/>
        <v>0</v>
      </c>
      <c r="W260" s="17">
        <f t="shared" si="218"/>
        <v>0</v>
      </c>
      <c r="X260" s="17">
        <f t="shared" si="219"/>
        <v>0</v>
      </c>
      <c r="Y260" s="17">
        <f>IF(MOD(A260,12)=0,W260*'1 - Input'!$B$23,0)</f>
        <v>0</v>
      </c>
      <c r="Z260" s="17">
        <f t="shared" si="220"/>
        <v>0</v>
      </c>
      <c r="AA260" s="17">
        <f>IF(MOD(A260,12)=0,X260*(1-'1 - Input'!$B$23),X260)</f>
        <v>0</v>
      </c>
      <c r="AB260" s="17">
        <f>IF('1 - Input'!$B$17=1,MIN(L260,D260)+T260,L260)</f>
        <v>0</v>
      </c>
      <c r="AC260" s="17">
        <f t="shared" si="254"/>
        <v>590482.93849429931</v>
      </c>
      <c r="AD260" s="17">
        <f t="shared" si="255"/>
        <v>101441.90180685223</v>
      </c>
      <c r="AE260" s="17">
        <f t="shared" si="256"/>
        <v>0</v>
      </c>
      <c r="AF260" s="17">
        <f t="shared" si="257"/>
        <v>174289.24056370757</v>
      </c>
      <c r="AG260" s="17">
        <f t="shared" si="258"/>
        <v>8123.5662772395826</v>
      </c>
      <c r="AH260" s="17">
        <f t="shared" si="259"/>
        <v>107132.24744771828</v>
      </c>
      <c r="AI260" s="15">
        <f t="shared" si="221"/>
        <v>1</v>
      </c>
      <c r="AK260" s="14">
        <v>217</v>
      </c>
      <c r="AL260" s="15">
        <f t="shared" si="222"/>
        <v>19</v>
      </c>
      <c r="AM260" s="16">
        <f>(1+INDEX('1 - Input'!$B$34:$E$63,AL260,'1 - Input'!$B$16))^(1/12)-1</f>
        <v>4.1219243192651689E-3</v>
      </c>
      <c r="AN260" s="17">
        <f>'1 - Input'!$B$7*(1+'1 - Input'!$B$12)^(AL260-1)</f>
        <v>3856.2648684559363</v>
      </c>
      <c r="AO260" s="17">
        <f t="shared" si="260"/>
        <v>0</v>
      </c>
      <c r="AP260" s="17">
        <f t="shared" si="261"/>
        <v>0</v>
      </c>
      <c r="AQ260" s="17">
        <f t="shared" si="223"/>
        <v>0</v>
      </c>
      <c r="AR260" s="17">
        <f>IF(AQ260&gt;0,'1 - Input'!$B$8/12*AQ260,0)</f>
        <v>0</v>
      </c>
      <c r="AS260" s="17">
        <f t="shared" si="224"/>
        <v>0</v>
      </c>
      <c r="AT260" s="17">
        <f t="shared" si="225"/>
        <v>0</v>
      </c>
      <c r="AU260" s="17">
        <f>'1 - Input'!$B$22*(AR260-AT260)</f>
        <v>0</v>
      </c>
      <c r="AV260" s="17">
        <f t="shared" si="226"/>
        <v>0</v>
      </c>
      <c r="AW260" s="17">
        <f t="shared" si="227"/>
        <v>0</v>
      </c>
      <c r="AX260" s="17">
        <f>IF('1 - Input'!$B$17=1,MAX(0,AV260-AN260),0)</f>
        <v>0</v>
      </c>
      <c r="AY260" s="17">
        <f>IF('1 - Input'!$B$17=1,MAX(0,AN260-AV260),0)</f>
        <v>3856.2648684559363</v>
      </c>
      <c r="AZ260" s="17">
        <f t="shared" si="228"/>
        <v>0</v>
      </c>
      <c r="BA260" s="17">
        <f>IF(AND(AY260&gt;0,AS260&gt;0),AY260/(1-'1 - Input'!$B$22*AZ260),0)</f>
        <v>0</v>
      </c>
      <c r="BB260" s="17">
        <f t="shared" si="229"/>
        <v>0</v>
      </c>
      <c r="BC260" s="17">
        <f>'1 - Input'!$B$22*AZ260*BB260</f>
        <v>0</v>
      </c>
      <c r="BD260" s="17">
        <f t="shared" si="230"/>
        <v>0</v>
      </c>
      <c r="BE260" s="17">
        <f t="shared" si="231"/>
        <v>3856.2648684559363</v>
      </c>
      <c r="BF260" s="17">
        <f t="shared" si="232"/>
        <v>0</v>
      </c>
      <c r="BG260" s="17">
        <f t="shared" si="233"/>
        <v>0</v>
      </c>
      <c r="BH260" s="17">
        <f t="shared" si="234"/>
        <v>0</v>
      </c>
      <c r="BI260" s="17">
        <f>IF(MOD(AK260,12)=0,BG260*'1 - Input'!$B$23,0)</f>
        <v>0</v>
      </c>
      <c r="BJ260" s="17">
        <f t="shared" si="235"/>
        <v>0</v>
      </c>
      <c r="BK260" s="17">
        <f>IF(MOD(AK260,12)=0,BH260*(1-'1 - Input'!$B$23),BH260)</f>
        <v>0</v>
      </c>
      <c r="BL260" s="17">
        <f>IF('1 - Input'!$B$17=1,MIN(AV260,AN260)+BD260,AV260)</f>
        <v>0</v>
      </c>
      <c r="BM260" s="17">
        <f t="shared" si="262"/>
        <v>590482.93849429931</v>
      </c>
      <c r="BN260" s="17">
        <f t="shared" si="263"/>
        <v>101441.90180685223</v>
      </c>
      <c r="BO260" s="17">
        <f t="shared" si="264"/>
        <v>0</v>
      </c>
      <c r="BP260" s="17">
        <f t="shared" si="265"/>
        <v>174289.24056370757</v>
      </c>
      <c r="BQ260" s="17">
        <f t="shared" si="266"/>
        <v>8123.5662772395826</v>
      </c>
      <c r="BR260" s="17">
        <f t="shared" si="267"/>
        <v>107132.24744771828</v>
      </c>
      <c r="BS260" s="15">
        <f t="shared" si="236"/>
        <v>1</v>
      </c>
      <c r="BU260" s="14">
        <v>217</v>
      </c>
      <c r="BV260" s="15">
        <f t="shared" si="237"/>
        <v>19</v>
      </c>
      <c r="BW260" s="16">
        <f>(1+INDEX('1 - Input'!$B$34:$E$63,BV260,'1 - Input'!$B$16))^(1/12)-1</f>
        <v>4.1219243192651689E-3</v>
      </c>
      <c r="BX260" s="17">
        <f>'1 - Input'!$B$7*(1+'1 - Input'!$B$12)^(BV260-1)</f>
        <v>3856.2648684559363</v>
      </c>
      <c r="BY260" s="17">
        <f t="shared" si="268"/>
        <v>0</v>
      </c>
      <c r="BZ260" s="17">
        <f t="shared" si="269"/>
        <v>0</v>
      </c>
      <c r="CA260" s="17">
        <f t="shared" si="238"/>
        <v>0</v>
      </c>
      <c r="CB260" s="17">
        <f>IF(CA260&gt;0,'1 - Input'!$B$8/12*CA260,0)</f>
        <v>0</v>
      </c>
      <c r="CC260" s="17">
        <f t="shared" si="239"/>
        <v>0</v>
      </c>
      <c r="CD260" s="17">
        <f t="shared" si="240"/>
        <v>0</v>
      </c>
      <c r="CE260" s="17">
        <f>'1 - Input'!$B$22*(CB260-CD260)</f>
        <v>0</v>
      </c>
      <c r="CF260" s="17">
        <f t="shared" si="241"/>
        <v>0</v>
      </c>
      <c r="CG260" s="17">
        <f t="shared" si="242"/>
        <v>0</v>
      </c>
      <c r="CH260" s="17">
        <f>IF('1 - Input'!$B$17=1,MAX(0,CF260-BX260),0)</f>
        <v>0</v>
      </c>
      <c r="CI260" s="17">
        <f>IF('1 - Input'!$B$17=1,MAX(0,BX260-CF260),0)</f>
        <v>3856.2648684559363</v>
      </c>
      <c r="CJ260" s="17">
        <f t="shared" si="243"/>
        <v>0</v>
      </c>
      <c r="CK260" s="17">
        <f>IF(AND(CI260&gt;0,CC260&gt;0),CI260/(1-'1 - Input'!$B$22*CJ260),0)</f>
        <v>0</v>
      </c>
      <c r="CL260" s="17">
        <f t="shared" si="244"/>
        <v>0</v>
      </c>
      <c r="CM260" s="17">
        <f>'1 - Input'!$B$22*CJ260*CL260</f>
        <v>0</v>
      </c>
      <c r="CN260" s="17">
        <f t="shared" si="245"/>
        <v>0</v>
      </c>
      <c r="CO260" s="17">
        <f t="shared" si="246"/>
        <v>3856.2648684559363</v>
      </c>
      <c r="CP260" s="17">
        <f t="shared" si="247"/>
        <v>0</v>
      </c>
      <c r="CQ260" s="17">
        <f t="shared" si="248"/>
        <v>0</v>
      </c>
      <c r="CR260" s="17">
        <f t="shared" si="249"/>
        <v>0</v>
      </c>
      <c r="CS260" s="17">
        <f>IF(MOD(BU260,12)=0,CQ260*'1 - Input'!$B$23,0)</f>
        <v>0</v>
      </c>
      <c r="CT260" s="17">
        <f t="shared" si="250"/>
        <v>0</v>
      </c>
      <c r="CU260" s="17">
        <f>IF(MOD(BU260,12)=0,CR260*(1-'1 - Input'!$B$23),CR260)</f>
        <v>0</v>
      </c>
      <c r="CV260" s="17">
        <f>IF('1 - Input'!$B$17=1,MIN(CF260,BX260)+CN260,CF260)</f>
        <v>0</v>
      </c>
      <c r="CW260" s="17">
        <f t="shared" si="270"/>
        <v>686605.50041273201</v>
      </c>
      <c r="CX260" s="17">
        <f t="shared" si="271"/>
        <v>6018.3402768167462</v>
      </c>
      <c r="CY260" s="17">
        <f t="shared" si="272"/>
        <v>66518.776160328038</v>
      </c>
      <c r="CZ260" s="17">
        <f t="shared" si="273"/>
        <v>0</v>
      </c>
      <c r="DA260" s="17">
        <f t="shared" si="274"/>
        <v>10954.114452440983</v>
      </c>
      <c r="DB260" s="17">
        <f t="shared" si="275"/>
        <v>11009.685529286446</v>
      </c>
      <c r="DC260" s="15">
        <f t="shared" si="251"/>
        <v>1</v>
      </c>
    </row>
    <row r="261" spans="1:107">
      <c r="A261" s="14">
        <v>218</v>
      </c>
      <c r="B261" s="15">
        <f t="shared" si="207"/>
        <v>19</v>
      </c>
      <c r="C261" s="16">
        <f>(1+INDEX('1 - Input'!$B$34:$E$63,B261,'1 - Input'!$B$16))^(1/12)-1</f>
        <v>4.1219243192651689E-3</v>
      </c>
      <c r="D261" s="17">
        <f>'1 - Input'!$B$7*(1+'1 - Input'!$B$12)^(B261-1)</f>
        <v>3856.2648684559363</v>
      </c>
      <c r="E261" s="17">
        <f t="shared" si="252"/>
        <v>0</v>
      </c>
      <c r="F261" s="17">
        <f t="shared" si="253"/>
        <v>0</v>
      </c>
      <c r="G261" s="17">
        <f t="shared" si="208"/>
        <v>0</v>
      </c>
      <c r="H261" s="17">
        <f>IF(G261&gt;0,'1 - Input'!$B$8/12*G261,0)</f>
        <v>0</v>
      </c>
      <c r="I261" s="17">
        <f t="shared" si="209"/>
        <v>0</v>
      </c>
      <c r="J261" s="17">
        <f t="shared" si="210"/>
        <v>0</v>
      </c>
      <c r="K261" s="17">
        <f>'1 - Input'!$B$22*(H261-J261)</f>
        <v>0</v>
      </c>
      <c r="L261" s="17">
        <f t="shared" si="211"/>
        <v>0</v>
      </c>
      <c r="M261" s="17">
        <f t="shared" si="212"/>
        <v>0</v>
      </c>
      <c r="N261" s="17">
        <f>IF('1 - Input'!$B$17=1,MAX(0,L261-D261),0)</f>
        <v>0</v>
      </c>
      <c r="O261" s="17">
        <f>IF('1 - Input'!$B$17=1,MAX(0,D261-L261),0)</f>
        <v>3856.2648684559363</v>
      </c>
      <c r="P261" s="17">
        <f t="shared" si="213"/>
        <v>0</v>
      </c>
      <c r="Q261" s="17">
        <f>IF(AND(O261&gt;0,I261&gt;0),O261/(1-'1 - Input'!$B$22*P261),0)</f>
        <v>0</v>
      </c>
      <c r="R261" s="17">
        <f t="shared" si="214"/>
        <v>0</v>
      </c>
      <c r="S261" s="17">
        <f>'1 - Input'!$B$22*P261*R261</f>
        <v>0</v>
      </c>
      <c r="T261" s="17">
        <f t="shared" si="215"/>
        <v>0</v>
      </c>
      <c r="U261" s="17">
        <f t="shared" si="216"/>
        <v>3856.2648684559363</v>
      </c>
      <c r="V261" s="17">
        <f t="shared" si="217"/>
        <v>0</v>
      </c>
      <c r="W261" s="17">
        <f t="shared" si="218"/>
        <v>0</v>
      </c>
      <c r="X261" s="17">
        <f t="shared" si="219"/>
        <v>0</v>
      </c>
      <c r="Y261" s="17">
        <f>IF(MOD(A261,12)=0,W261*'1 - Input'!$B$23,0)</f>
        <v>0</v>
      </c>
      <c r="Z261" s="17">
        <f t="shared" si="220"/>
        <v>0</v>
      </c>
      <c r="AA261" s="17">
        <f>IF(MOD(A261,12)=0,X261*(1-'1 - Input'!$B$23),X261)</f>
        <v>0</v>
      </c>
      <c r="AB261" s="17">
        <f>IF('1 - Input'!$B$17=1,MIN(L261,D261)+T261,L261)</f>
        <v>0</v>
      </c>
      <c r="AC261" s="17">
        <f t="shared" si="254"/>
        <v>590482.93849429931</v>
      </c>
      <c r="AD261" s="17">
        <f t="shared" si="255"/>
        <v>101441.90180685223</v>
      </c>
      <c r="AE261" s="17">
        <f t="shared" si="256"/>
        <v>0</v>
      </c>
      <c r="AF261" s="17">
        <f t="shared" si="257"/>
        <v>174289.24056370757</v>
      </c>
      <c r="AG261" s="17">
        <f t="shared" si="258"/>
        <v>8123.5662772395826</v>
      </c>
      <c r="AH261" s="17">
        <f t="shared" si="259"/>
        <v>110988.51231617422</v>
      </c>
      <c r="AI261" s="15">
        <f t="shared" si="221"/>
        <v>1</v>
      </c>
      <c r="AK261" s="14">
        <v>218</v>
      </c>
      <c r="AL261" s="15">
        <f t="shared" si="222"/>
        <v>19</v>
      </c>
      <c r="AM261" s="16">
        <f>(1+INDEX('1 - Input'!$B$34:$E$63,AL261,'1 - Input'!$B$16))^(1/12)-1</f>
        <v>4.1219243192651689E-3</v>
      </c>
      <c r="AN261" s="17">
        <f>'1 - Input'!$B$7*(1+'1 - Input'!$B$12)^(AL261-1)</f>
        <v>3856.2648684559363</v>
      </c>
      <c r="AO261" s="17">
        <f t="shared" si="260"/>
        <v>0</v>
      </c>
      <c r="AP261" s="17">
        <f t="shared" si="261"/>
        <v>0</v>
      </c>
      <c r="AQ261" s="17">
        <f t="shared" si="223"/>
        <v>0</v>
      </c>
      <c r="AR261" s="17">
        <f>IF(AQ261&gt;0,'1 - Input'!$B$8/12*AQ261,0)</f>
        <v>0</v>
      </c>
      <c r="AS261" s="17">
        <f t="shared" si="224"/>
        <v>0</v>
      </c>
      <c r="AT261" s="17">
        <f t="shared" si="225"/>
        <v>0</v>
      </c>
      <c r="AU261" s="17">
        <f>'1 - Input'!$B$22*(AR261-AT261)</f>
        <v>0</v>
      </c>
      <c r="AV261" s="17">
        <f t="shared" si="226"/>
        <v>0</v>
      </c>
      <c r="AW261" s="17">
        <f t="shared" si="227"/>
        <v>0</v>
      </c>
      <c r="AX261" s="17">
        <f>IF('1 - Input'!$B$17=1,MAX(0,AV261-AN261),0)</f>
        <v>0</v>
      </c>
      <c r="AY261" s="17">
        <f>IF('1 - Input'!$B$17=1,MAX(0,AN261-AV261),0)</f>
        <v>3856.2648684559363</v>
      </c>
      <c r="AZ261" s="17">
        <f t="shared" si="228"/>
        <v>0</v>
      </c>
      <c r="BA261" s="17">
        <f>IF(AND(AY261&gt;0,AS261&gt;0),AY261/(1-'1 - Input'!$B$22*AZ261),0)</f>
        <v>0</v>
      </c>
      <c r="BB261" s="17">
        <f t="shared" si="229"/>
        <v>0</v>
      </c>
      <c r="BC261" s="17">
        <f>'1 - Input'!$B$22*AZ261*BB261</f>
        <v>0</v>
      </c>
      <c r="BD261" s="17">
        <f t="shared" si="230"/>
        <v>0</v>
      </c>
      <c r="BE261" s="17">
        <f t="shared" si="231"/>
        <v>3856.2648684559363</v>
      </c>
      <c r="BF261" s="17">
        <f t="shared" si="232"/>
        <v>0</v>
      </c>
      <c r="BG261" s="17">
        <f t="shared" si="233"/>
        <v>0</v>
      </c>
      <c r="BH261" s="17">
        <f t="shared" si="234"/>
        <v>0</v>
      </c>
      <c r="BI261" s="17">
        <f>IF(MOD(AK261,12)=0,BG261*'1 - Input'!$B$23,0)</f>
        <v>0</v>
      </c>
      <c r="BJ261" s="17">
        <f t="shared" si="235"/>
        <v>0</v>
      </c>
      <c r="BK261" s="17">
        <f>IF(MOD(AK261,12)=0,BH261*(1-'1 - Input'!$B$23),BH261)</f>
        <v>0</v>
      </c>
      <c r="BL261" s="17">
        <f>IF('1 - Input'!$B$17=1,MIN(AV261,AN261)+BD261,AV261)</f>
        <v>0</v>
      </c>
      <c r="BM261" s="17">
        <f t="shared" si="262"/>
        <v>590482.93849429931</v>
      </c>
      <c r="BN261" s="17">
        <f t="shared" si="263"/>
        <v>101441.90180685223</v>
      </c>
      <c r="BO261" s="17">
        <f t="shared" si="264"/>
        <v>0</v>
      </c>
      <c r="BP261" s="17">
        <f t="shared" si="265"/>
        <v>174289.24056370757</v>
      </c>
      <c r="BQ261" s="17">
        <f t="shared" si="266"/>
        <v>8123.5662772395826</v>
      </c>
      <c r="BR261" s="17">
        <f t="shared" si="267"/>
        <v>110988.51231617422</v>
      </c>
      <c r="BS261" s="15">
        <f t="shared" si="236"/>
        <v>1</v>
      </c>
      <c r="BU261" s="14">
        <v>218</v>
      </c>
      <c r="BV261" s="15">
        <f t="shared" si="237"/>
        <v>19</v>
      </c>
      <c r="BW261" s="16">
        <f>(1+INDEX('1 - Input'!$B$34:$E$63,BV261,'1 - Input'!$B$16))^(1/12)-1</f>
        <v>4.1219243192651689E-3</v>
      </c>
      <c r="BX261" s="17">
        <f>'1 - Input'!$B$7*(1+'1 - Input'!$B$12)^(BV261-1)</f>
        <v>3856.2648684559363</v>
      </c>
      <c r="BY261" s="17">
        <f t="shared" si="268"/>
        <v>0</v>
      </c>
      <c r="BZ261" s="17">
        <f t="shared" si="269"/>
        <v>0</v>
      </c>
      <c r="CA261" s="17">
        <f t="shared" si="238"/>
        <v>0</v>
      </c>
      <c r="CB261" s="17">
        <f>IF(CA261&gt;0,'1 - Input'!$B$8/12*CA261,0)</f>
        <v>0</v>
      </c>
      <c r="CC261" s="17">
        <f t="shared" si="239"/>
        <v>0</v>
      </c>
      <c r="CD261" s="17">
        <f t="shared" si="240"/>
        <v>0</v>
      </c>
      <c r="CE261" s="17">
        <f>'1 - Input'!$B$22*(CB261-CD261)</f>
        <v>0</v>
      </c>
      <c r="CF261" s="17">
        <f t="shared" si="241"/>
        <v>0</v>
      </c>
      <c r="CG261" s="17">
        <f t="shared" si="242"/>
        <v>0</v>
      </c>
      <c r="CH261" s="17">
        <f>IF('1 - Input'!$B$17=1,MAX(0,CF261-BX261),0)</f>
        <v>0</v>
      </c>
      <c r="CI261" s="17">
        <f>IF('1 - Input'!$B$17=1,MAX(0,BX261-CF261),0)</f>
        <v>3856.2648684559363</v>
      </c>
      <c r="CJ261" s="17">
        <f t="shared" si="243"/>
        <v>0</v>
      </c>
      <c r="CK261" s="17">
        <f>IF(AND(CI261&gt;0,CC261&gt;0),CI261/(1-'1 - Input'!$B$22*CJ261),0)</f>
        <v>0</v>
      </c>
      <c r="CL261" s="17">
        <f t="shared" si="244"/>
        <v>0</v>
      </c>
      <c r="CM261" s="17">
        <f>'1 - Input'!$B$22*CJ261*CL261</f>
        <v>0</v>
      </c>
      <c r="CN261" s="17">
        <f t="shared" si="245"/>
        <v>0</v>
      </c>
      <c r="CO261" s="17">
        <f t="shared" si="246"/>
        <v>3856.2648684559363</v>
      </c>
      <c r="CP261" s="17">
        <f t="shared" si="247"/>
        <v>0</v>
      </c>
      <c r="CQ261" s="17">
        <f t="shared" si="248"/>
        <v>0</v>
      </c>
      <c r="CR261" s="17">
        <f t="shared" si="249"/>
        <v>0</v>
      </c>
      <c r="CS261" s="17">
        <f>IF(MOD(BU261,12)=0,CQ261*'1 - Input'!$B$23,0)</f>
        <v>0</v>
      </c>
      <c r="CT261" s="17">
        <f t="shared" si="250"/>
        <v>0</v>
      </c>
      <c r="CU261" s="17">
        <f>IF(MOD(BU261,12)=0,CR261*(1-'1 - Input'!$B$23),CR261)</f>
        <v>0</v>
      </c>
      <c r="CV261" s="17">
        <f>IF('1 - Input'!$B$17=1,MIN(CF261,BX261)+CN261,CF261)</f>
        <v>0</v>
      </c>
      <c r="CW261" s="17">
        <f t="shared" si="270"/>
        <v>686605.50041273201</v>
      </c>
      <c r="CX261" s="17">
        <f t="shared" si="271"/>
        <v>6018.3402768167462</v>
      </c>
      <c r="CY261" s="17">
        <f t="shared" si="272"/>
        <v>66518.776160328038</v>
      </c>
      <c r="CZ261" s="17">
        <f t="shared" si="273"/>
        <v>0</v>
      </c>
      <c r="DA261" s="17">
        <f t="shared" si="274"/>
        <v>10954.114452440983</v>
      </c>
      <c r="DB261" s="17">
        <f t="shared" si="275"/>
        <v>14865.950397742381</v>
      </c>
      <c r="DC261" s="15">
        <f t="shared" si="251"/>
        <v>1</v>
      </c>
    </row>
    <row r="262" spans="1:107">
      <c r="A262" s="14">
        <v>219</v>
      </c>
      <c r="B262" s="15">
        <f t="shared" si="207"/>
        <v>19</v>
      </c>
      <c r="C262" s="16">
        <f>(1+INDEX('1 - Input'!$B$34:$E$63,B262,'1 - Input'!$B$16))^(1/12)-1</f>
        <v>4.1219243192651689E-3</v>
      </c>
      <c r="D262" s="17">
        <f>'1 - Input'!$B$7*(1+'1 - Input'!$B$12)^(B262-1)</f>
        <v>3856.2648684559363</v>
      </c>
      <c r="E262" s="17">
        <f t="shared" si="252"/>
        <v>0</v>
      </c>
      <c r="F262" s="17">
        <f t="shared" si="253"/>
        <v>0</v>
      </c>
      <c r="G262" s="17">
        <f t="shared" si="208"/>
        <v>0</v>
      </c>
      <c r="H262" s="17">
        <f>IF(G262&gt;0,'1 - Input'!$B$8/12*G262,0)</f>
        <v>0</v>
      </c>
      <c r="I262" s="17">
        <f t="shared" si="209"/>
        <v>0</v>
      </c>
      <c r="J262" s="17">
        <f t="shared" si="210"/>
        <v>0</v>
      </c>
      <c r="K262" s="17">
        <f>'1 - Input'!$B$22*(H262-J262)</f>
        <v>0</v>
      </c>
      <c r="L262" s="17">
        <f t="shared" si="211"/>
        <v>0</v>
      </c>
      <c r="M262" s="17">
        <f t="shared" si="212"/>
        <v>0</v>
      </c>
      <c r="N262" s="17">
        <f>IF('1 - Input'!$B$17=1,MAX(0,L262-D262),0)</f>
        <v>0</v>
      </c>
      <c r="O262" s="17">
        <f>IF('1 - Input'!$B$17=1,MAX(0,D262-L262),0)</f>
        <v>3856.2648684559363</v>
      </c>
      <c r="P262" s="17">
        <f t="shared" si="213"/>
        <v>0</v>
      </c>
      <c r="Q262" s="17">
        <f>IF(AND(O262&gt;0,I262&gt;0),O262/(1-'1 - Input'!$B$22*P262),0)</f>
        <v>0</v>
      </c>
      <c r="R262" s="17">
        <f t="shared" si="214"/>
        <v>0</v>
      </c>
      <c r="S262" s="17">
        <f>'1 - Input'!$B$22*P262*R262</f>
        <v>0</v>
      </c>
      <c r="T262" s="17">
        <f t="shared" si="215"/>
        <v>0</v>
      </c>
      <c r="U262" s="17">
        <f t="shared" si="216"/>
        <v>3856.2648684559363</v>
      </c>
      <c r="V262" s="17">
        <f t="shared" si="217"/>
        <v>0</v>
      </c>
      <c r="W262" s="17">
        <f t="shared" si="218"/>
        <v>0</v>
      </c>
      <c r="X262" s="17">
        <f t="shared" si="219"/>
        <v>0</v>
      </c>
      <c r="Y262" s="17">
        <f>IF(MOD(A262,12)=0,W262*'1 - Input'!$B$23,0)</f>
        <v>0</v>
      </c>
      <c r="Z262" s="17">
        <f t="shared" si="220"/>
        <v>0</v>
      </c>
      <c r="AA262" s="17">
        <f>IF(MOD(A262,12)=0,X262*(1-'1 - Input'!$B$23),X262)</f>
        <v>0</v>
      </c>
      <c r="AB262" s="17">
        <f>IF('1 - Input'!$B$17=1,MIN(L262,D262)+T262,L262)</f>
        <v>0</v>
      </c>
      <c r="AC262" s="17">
        <f t="shared" si="254"/>
        <v>590482.93849429931</v>
      </c>
      <c r="AD262" s="17">
        <f t="shared" si="255"/>
        <v>101441.90180685223</v>
      </c>
      <c r="AE262" s="17">
        <f t="shared" si="256"/>
        <v>0</v>
      </c>
      <c r="AF262" s="17">
        <f t="shared" si="257"/>
        <v>174289.24056370757</v>
      </c>
      <c r="AG262" s="17">
        <f t="shared" si="258"/>
        <v>8123.5662772395826</v>
      </c>
      <c r="AH262" s="17">
        <f t="shared" si="259"/>
        <v>114844.77718463016</v>
      </c>
      <c r="AI262" s="15">
        <f t="shared" si="221"/>
        <v>1</v>
      </c>
      <c r="AK262" s="14">
        <v>219</v>
      </c>
      <c r="AL262" s="15">
        <f t="shared" si="222"/>
        <v>19</v>
      </c>
      <c r="AM262" s="16">
        <f>(1+INDEX('1 - Input'!$B$34:$E$63,AL262,'1 - Input'!$B$16))^(1/12)-1</f>
        <v>4.1219243192651689E-3</v>
      </c>
      <c r="AN262" s="17">
        <f>'1 - Input'!$B$7*(1+'1 - Input'!$B$12)^(AL262-1)</f>
        <v>3856.2648684559363</v>
      </c>
      <c r="AO262" s="17">
        <f t="shared" si="260"/>
        <v>0</v>
      </c>
      <c r="AP262" s="17">
        <f t="shared" si="261"/>
        <v>0</v>
      </c>
      <c r="AQ262" s="17">
        <f t="shared" si="223"/>
        <v>0</v>
      </c>
      <c r="AR262" s="17">
        <f>IF(AQ262&gt;0,'1 - Input'!$B$8/12*AQ262,0)</f>
        <v>0</v>
      </c>
      <c r="AS262" s="17">
        <f t="shared" si="224"/>
        <v>0</v>
      </c>
      <c r="AT262" s="17">
        <f t="shared" si="225"/>
        <v>0</v>
      </c>
      <c r="AU262" s="17">
        <f>'1 - Input'!$B$22*(AR262-AT262)</f>
        <v>0</v>
      </c>
      <c r="AV262" s="17">
        <f t="shared" si="226"/>
        <v>0</v>
      </c>
      <c r="AW262" s="17">
        <f t="shared" si="227"/>
        <v>0</v>
      </c>
      <c r="AX262" s="17">
        <f>IF('1 - Input'!$B$17=1,MAX(0,AV262-AN262),0)</f>
        <v>0</v>
      </c>
      <c r="AY262" s="17">
        <f>IF('1 - Input'!$B$17=1,MAX(0,AN262-AV262),0)</f>
        <v>3856.2648684559363</v>
      </c>
      <c r="AZ262" s="17">
        <f t="shared" si="228"/>
        <v>0</v>
      </c>
      <c r="BA262" s="17">
        <f>IF(AND(AY262&gt;0,AS262&gt;0),AY262/(1-'1 - Input'!$B$22*AZ262),0)</f>
        <v>0</v>
      </c>
      <c r="BB262" s="17">
        <f t="shared" si="229"/>
        <v>0</v>
      </c>
      <c r="BC262" s="17">
        <f>'1 - Input'!$B$22*AZ262*BB262</f>
        <v>0</v>
      </c>
      <c r="BD262" s="17">
        <f t="shared" si="230"/>
        <v>0</v>
      </c>
      <c r="BE262" s="17">
        <f t="shared" si="231"/>
        <v>3856.2648684559363</v>
      </c>
      <c r="BF262" s="17">
        <f t="shared" si="232"/>
        <v>0</v>
      </c>
      <c r="BG262" s="17">
        <f t="shared" si="233"/>
        <v>0</v>
      </c>
      <c r="BH262" s="17">
        <f t="shared" si="234"/>
        <v>0</v>
      </c>
      <c r="BI262" s="17">
        <f>IF(MOD(AK262,12)=0,BG262*'1 - Input'!$B$23,0)</f>
        <v>0</v>
      </c>
      <c r="BJ262" s="17">
        <f t="shared" si="235"/>
        <v>0</v>
      </c>
      <c r="BK262" s="17">
        <f>IF(MOD(AK262,12)=0,BH262*(1-'1 - Input'!$B$23),BH262)</f>
        <v>0</v>
      </c>
      <c r="BL262" s="17">
        <f>IF('1 - Input'!$B$17=1,MIN(AV262,AN262)+BD262,AV262)</f>
        <v>0</v>
      </c>
      <c r="BM262" s="17">
        <f t="shared" si="262"/>
        <v>590482.93849429931</v>
      </c>
      <c r="BN262" s="17">
        <f t="shared" si="263"/>
        <v>101441.90180685223</v>
      </c>
      <c r="BO262" s="17">
        <f t="shared" si="264"/>
        <v>0</v>
      </c>
      <c r="BP262" s="17">
        <f t="shared" si="265"/>
        <v>174289.24056370757</v>
      </c>
      <c r="BQ262" s="17">
        <f t="shared" si="266"/>
        <v>8123.5662772395826</v>
      </c>
      <c r="BR262" s="17">
        <f t="shared" si="267"/>
        <v>114844.77718463016</v>
      </c>
      <c r="BS262" s="15">
        <f t="shared" si="236"/>
        <v>1</v>
      </c>
      <c r="BU262" s="14">
        <v>219</v>
      </c>
      <c r="BV262" s="15">
        <f t="shared" si="237"/>
        <v>19</v>
      </c>
      <c r="BW262" s="16">
        <f>(1+INDEX('1 - Input'!$B$34:$E$63,BV262,'1 - Input'!$B$16))^(1/12)-1</f>
        <v>4.1219243192651689E-3</v>
      </c>
      <c r="BX262" s="17">
        <f>'1 - Input'!$B$7*(1+'1 - Input'!$B$12)^(BV262-1)</f>
        <v>3856.2648684559363</v>
      </c>
      <c r="BY262" s="17">
        <f t="shared" si="268"/>
        <v>0</v>
      </c>
      <c r="BZ262" s="17">
        <f t="shared" si="269"/>
        <v>0</v>
      </c>
      <c r="CA262" s="17">
        <f t="shared" si="238"/>
        <v>0</v>
      </c>
      <c r="CB262" s="17">
        <f>IF(CA262&gt;0,'1 - Input'!$B$8/12*CA262,0)</f>
        <v>0</v>
      </c>
      <c r="CC262" s="17">
        <f t="shared" si="239"/>
        <v>0</v>
      </c>
      <c r="CD262" s="17">
        <f t="shared" si="240"/>
        <v>0</v>
      </c>
      <c r="CE262" s="17">
        <f>'1 - Input'!$B$22*(CB262-CD262)</f>
        <v>0</v>
      </c>
      <c r="CF262" s="17">
        <f t="shared" si="241"/>
        <v>0</v>
      </c>
      <c r="CG262" s="17">
        <f t="shared" si="242"/>
        <v>0</v>
      </c>
      <c r="CH262" s="17">
        <f>IF('1 - Input'!$B$17=1,MAX(0,CF262-BX262),0)</f>
        <v>0</v>
      </c>
      <c r="CI262" s="17">
        <f>IF('1 - Input'!$B$17=1,MAX(0,BX262-CF262),0)</f>
        <v>3856.2648684559363</v>
      </c>
      <c r="CJ262" s="17">
        <f t="shared" si="243"/>
        <v>0</v>
      </c>
      <c r="CK262" s="17">
        <f>IF(AND(CI262&gt;0,CC262&gt;0),CI262/(1-'1 - Input'!$B$22*CJ262),0)</f>
        <v>0</v>
      </c>
      <c r="CL262" s="17">
        <f t="shared" si="244"/>
        <v>0</v>
      </c>
      <c r="CM262" s="17">
        <f>'1 - Input'!$B$22*CJ262*CL262</f>
        <v>0</v>
      </c>
      <c r="CN262" s="17">
        <f t="shared" si="245"/>
        <v>0</v>
      </c>
      <c r="CO262" s="17">
        <f t="shared" si="246"/>
        <v>3856.2648684559363</v>
      </c>
      <c r="CP262" s="17">
        <f t="shared" si="247"/>
        <v>0</v>
      </c>
      <c r="CQ262" s="17">
        <f t="shared" si="248"/>
        <v>0</v>
      </c>
      <c r="CR262" s="17">
        <f t="shared" si="249"/>
        <v>0</v>
      </c>
      <c r="CS262" s="17">
        <f>IF(MOD(BU262,12)=0,CQ262*'1 - Input'!$B$23,0)</f>
        <v>0</v>
      </c>
      <c r="CT262" s="17">
        <f t="shared" si="250"/>
        <v>0</v>
      </c>
      <c r="CU262" s="17">
        <f>IF(MOD(BU262,12)=0,CR262*(1-'1 - Input'!$B$23),CR262)</f>
        <v>0</v>
      </c>
      <c r="CV262" s="17">
        <f>IF('1 - Input'!$B$17=1,MIN(CF262,BX262)+CN262,CF262)</f>
        <v>0</v>
      </c>
      <c r="CW262" s="17">
        <f t="shared" si="270"/>
        <v>686605.50041273201</v>
      </c>
      <c r="CX262" s="17">
        <f t="shared" si="271"/>
        <v>6018.3402768167462</v>
      </c>
      <c r="CY262" s="17">
        <f t="shared" si="272"/>
        <v>66518.776160328038</v>
      </c>
      <c r="CZ262" s="17">
        <f t="shared" si="273"/>
        <v>0</v>
      </c>
      <c r="DA262" s="17">
        <f t="shared" si="274"/>
        <v>10954.114452440983</v>
      </c>
      <c r="DB262" s="17">
        <f t="shared" si="275"/>
        <v>18722.215266198316</v>
      </c>
      <c r="DC262" s="15">
        <f t="shared" si="251"/>
        <v>1</v>
      </c>
    </row>
    <row r="263" spans="1:107">
      <c r="A263" s="14">
        <v>220</v>
      </c>
      <c r="B263" s="15">
        <f t="shared" si="207"/>
        <v>19</v>
      </c>
      <c r="C263" s="16">
        <f>(1+INDEX('1 - Input'!$B$34:$E$63,B263,'1 - Input'!$B$16))^(1/12)-1</f>
        <v>4.1219243192651689E-3</v>
      </c>
      <c r="D263" s="17">
        <f>'1 - Input'!$B$7*(1+'1 - Input'!$B$12)^(B263-1)</f>
        <v>3856.2648684559363</v>
      </c>
      <c r="E263" s="17">
        <f t="shared" si="252"/>
        <v>0</v>
      </c>
      <c r="F263" s="17">
        <f t="shared" si="253"/>
        <v>0</v>
      </c>
      <c r="G263" s="17">
        <f t="shared" si="208"/>
        <v>0</v>
      </c>
      <c r="H263" s="17">
        <f>IF(G263&gt;0,'1 - Input'!$B$8/12*G263,0)</f>
        <v>0</v>
      </c>
      <c r="I263" s="17">
        <f t="shared" si="209"/>
        <v>0</v>
      </c>
      <c r="J263" s="17">
        <f t="shared" si="210"/>
        <v>0</v>
      </c>
      <c r="K263" s="17">
        <f>'1 - Input'!$B$22*(H263-J263)</f>
        <v>0</v>
      </c>
      <c r="L263" s="17">
        <f t="shared" si="211"/>
        <v>0</v>
      </c>
      <c r="M263" s="17">
        <f t="shared" si="212"/>
        <v>0</v>
      </c>
      <c r="N263" s="17">
        <f>IF('1 - Input'!$B$17=1,MAX(0,L263-D263),0)</f>
        <v>0</v>
      </c>
      <c r="O263" s="17">
        <f>IF('1 - Input'!$B$17=1,MAX(0,D263-L263),0)</f>
        <v>3856.2648684559363</v>
      </c>
      <c r="P263" s="17">
        <f t="shared" si="213"/>
        <v>0</v>
      </c>
      <c r="Q263" s="17">
        <f>IF(AND(O263&gt;0,I263&gt;0),O263/(1-'1 - Input'!$B$22*P263),0)</f>
        <v>0</v>
      </c>
      <c r="R263" s="17">
        <f t="shared" si="214"/>
        <v>0</v>
      </c>
      <c r="S263" s="17">
        <f>'1 - Input'!$B$22*P263*R263</f>
        <v>0</v>
      </c>
      <c r="T263" s="17">
        <f t="shared" si="215"/>
        <v>0</v>
      </c>
      <c r="U263" s="17">
        <f t="shared" si="216"/>
        <v>3856.2648684559363</v>
      </c>
      <c r="V263" s="17">
        <f t="shared" si="217"/>
        <v>0</v>
      </c>
      <c r="W263" s="17">
        <f t="shared" si="218"/>
        <v>0</v>
      </c>
      <c r="X263" s="17">
        <f t="shared" si="219"/>
        <v>0</v>
      </c>
      <c r="Y263" s="17">
        <f>IF(MOD(A263,12)=0,W263*'1 - Input'!$B$23,0)</f>
        <v>0</v>
      </c>
      <c r="Z263" s="17">
        <f t="shared" si="220"/>
        <v>0</v>
      </c>
      <c r="AA263" s="17">
        <f>IF(MOD(A263,12)=0,X263*(1-'1 - Input'!$B$23),X263)</f>
        <v>0</v>
      </c>
      <c r="AB263" s="17">
        <f>IF('1 - Input'!$B$17=1,MIN(L263,D263)+T263,L263)</f>
        <v>0</v>
      </c>
      <c r="AC263" s="17">
        <f t="shared" si="254"/>
        <v>590482.93849429931</v>
      </c>
      <c r="AD263" s="17">
        <f t="shared" si="255"/>
        <v>101441.90180685223</v>
      </c>
      <c r="AE263" s="17">
        <f t="shared" si="256"/>
        <v>0</v>
      </c>
      <c r="AF263" s="17">
        <f t="shared" si="257"/>
        <v>174289.24056370757</v>
      </c>
      <c r="AG263" s="17">
        <f t="shared" si="258"/>
        <v>8123.5662772395826</v>
      </c>
      <c r="AH263" s="17">
        <f t="shared" si="259"/>
        <v>118701.0420530861</v>
      </c>
      <c r="AI263" s="15">
        <f t="shared" si="221"/>
        <v>1</v>
      </c>
      <c r="AK263" s="14">
        <v>220</v>
      </c>
      <c r="AL263" s="15">
        <f t="shared" si="222"/>
        <v>19</v>
      </c>
      <c r="AM263" s="16">
        <f>(1+INDEX('1 - Input'!$B$34:$E$63,AL263,'1 - Input'!$B$16))^(1/12)-1</f>
        <v>4.1219243192651689E-3</v>
      </c>
      <c r="AN263" s="17">
        <f>'1 - Input'!$B$7*(1+'1 - Input'!$B$12)^(AL263-1)</f>
        <v>3856.2648684559363</v>
      </c>
      <c r="AO263" s="17">
        <f t="shared" si="260"/>
        <v>0</v>
      </c>
      <c r="AP263" s="17">
        <f t="shared" si="261"/>
        <v>0</v>
      </c>
      <c r="AQ263" s="17">
        <f t="shared" si="223"/>
        <v>0</v>
      </c>
      <c r="AR263" s="17">
        <f>IF(AQ263&gt;0,'1 - Input'!$B$8/12*AQ263,0)</f>
        <v>0</v>
      </c>
      <c r="AS263" s="17">
        <f t="shared" si="224"/>
        <v>0</v>
      </c>
      <c r="AT263" s="17">
        <f t="shared" si="225"/>
        <v>0</v>
      </c>
      <c r="AU263" s="17">
        <f>'1 - Input'!$B$22*(AR263-AT263)</f>
        <v>0</v>
      </c>
      <c r="AV263" s="17">
        <f t="shared" si="226"/>
        <v>0</v>
      </c>
      <c r="AW263" s="17">
        <f t="shared" si="227"/>
        <v>0</v>
      </c>
      <c r="AX263" s="17">
        <f>IF('1 - Input'!$B$17=1,MAX(0,AV263-AN263),0)</f>
        <v>0</v>
      </c>
      <c r="AY263" s="17">
        <f>IF('1 - Input'!$B$17=1,MAX(0,AN263-AV263),0)</f>
        <v>3856.2648684559363</v>
      </c>
      <c r="AZ263" s="17">
        <f t="shared" si="228"/>
        <v>0</v>
      </c>
      <c r="BA263" s="17">
        <f>IF(AND(AY263&gt;0,AS263&gt;0),AY263/(1-'1 - Input'!$B$22*AZ263),0)</f>
        <v>0</v>
      </c>
      <c r="BB263" s="17">
        <f t="shared" si="229"/>
        <v>0</v>
      </c>
      <c r="BC263" s="17">
        <f>'1 - Input'!$B$22*AZ263*BB263</f>
        <v>0</v>
      </c>
      <c r="BD263" s="17">
        <f t="shared" si="230"/>
        <v>0</v>
      </c>
      <c r="BE263" s="17">
        <f t="shared" si="231"/>
        <v>3856.2648684559363</v>
      </c>
      <c r="BF263" s="17">
        <f t="shared" si="232"/>
        <v>0</v>
      </c>
      <c r="BG263" s="17">
        <f t="shared" si="233"/>
        <v>0</v>
      </c>
      <c r="BH263" s="17">
        <f t="shared" si="234"/>
        <v>0</v>
      </c>
      <c r="BI263" s="17">
        <f>IF(MOD(AK263,12)=0,BG263*'1 - Input'!$B$23,0)</f>
        <v>0</v>
      </c>
      <c r="BJ263" s="17">
        <f t="shared" si="235"/>
        <v>0</v>
      </c>
      <c r="BK263" s="17">
        <f>IF(MOD(AK263,12)=0,BH263*(1-'1 - Input'!$B$23),BH263)</f>
        <v>0</v>
      </c>
      <c r="BL263" s="17">
        <f>IF('1 - Input'!$B$17=1,MIN(AV263,AN263)+BD263,AV263)</f>
        <v>0</v>
      </c>
      <c r="BM263" s="17">
        <f t="shared" si="262"/>
        <v>590482.93849429931</v>
      </c>
      <c r="BN263" s="17">
        <f t="shared" si="263"/>
        <v>101441.90180685223</v>
      </c>
      <c r="BO263" s="17">
        <f t="shared" si="264"/>
        <v>0</v>
      </c>
      <c r="BP263" s="17">
        <f t="shared" si="265"/>
        <v>174289.24056370757</v>
      </c>
      <c r="BQ263" s="17">
        <f t="shared" si="266"/>
        <v>8123.5662772395826</v>
      </c>
      <c r="BR263" s="17">
        <f t="shared" si="267"/>
        <v>118701.0420530861</v>
      </c>
      <c r="BS263" s="15">
        <f t="shared" si="236"/>
        <v>1</v>
      </c>
      <c r="BU263" s="14">
        <v>220</v>
      </c>
      <c r="BV263" s="15">
        <f t="shared" si="237"/>
        <v>19</v>
      </c>
      <c r="BW263" s="16">
        <f>(1+INDEX('1 - Input'!$B$34:$E$63,BV263,'1 - Input'!$B$16))^(1/12)-1</f>
        <v>4.1219243192651689E-3</v>
      </c>
      <c r="BX263" s="17">
        <f>'1 - Input'!$B$7*(1+'1 - Input'!$B$12)^(BV263-1)</f>
        <v>3856.2648684559363</v>
      </c>
      <c r="BY263" s="17">
        <f t="shared" si="268"/>
        <v>0</v>
      </c>
      <c r="BZ263" s="17">
        <f t="shared" si="269"/>
        <v>0</v>
      </c>
      <c r="CA263" s="17">
        <f t="shared" si="238"/>
        <v>0</v>
      </c>
      <c r="CB263" s="17">
        <f>IF(CA263&gt;0,'1 - Input'!$B$8/12*CA263,0)</f>
        <v>0</v>
      </c>
      <c r="CC263" s="17">
        <f t="shared" si="239"/>
        <v>0</v>
      </c>
      <c r="CD263" s="17">
        <f t="shared" si="240"/>
        <v>0</v>
      </c>
      <c r="CE263" s="17">
        <f>'1 - Input'!$B$22*(CB263-CD263)</f>
        <v>0</v>
      </c>
      <c r="CF263" s="17">
        <f t="shared" si="241"/>
        <v>0</v>
      </c>
      <c r="CG263" s="17">
        <f t="shared" si="242"/>
        <v>0</v>
      </c>
      <c r="CH263" s="17">
        <f>IF('1 - Input'!$B$17=1,MAX(0,CF263-BX263),0)</f>
        <v>0</v>
      </c>
      <c r="CI263" s="17">
        <f>IF('1 - Input'!$B$17=1,MAX(0,BX263-CF263),0)</f>
        <v>3856.2648684559363</v>
      </c>
      <c r="CJ263" s="17">
        <f t="shared" si="243"/>
        <v>0</v>
      </c>
      <c r="CK263" s="17">
        <f>IF(AND(CI263&gt;0,CC263&gt;0),CI263/(1-'1 - Input'!$B$22*CJ263),0)</f>
        <v>0</v>
      </c>
      <c r="CL263" s="17">
        <f t="shared" si="244"/>
        <v>0</v>
      </c>
      <c r="CM263" s="17">
        <f>'1 - Input'!$B$22*CJ263*CL263</f>
        <v>0</v>
      </c>
      <c r="CN263" s="17">
        <f t="shared" si="245"/>
        <v>0</v>
      </c>
      <c r="CO263" s="17">
        <f t="shared" si="246"/>
        <v>3856.2648684559363</v>
      </c>
      <c r="CP263" s="17">
        <f t="shared" si="247"/>
        <v>0</v>
      </c>
      <c r="CQ263" s="17">
        <f t="shared" si="248"/>
        <v>0</v>
      </c>
      <c r="CR263" s="17">
        <f t="shared" si="249"/>
        <v>0</v>
      </c>
      <c r="CS263" s="17">
        <f>IF(MOD(BU263,12)=0,CQ263*'1 - Input'!$B$23,0)</f>
        <v>0</v>
      </c>
      <c r="CT263" s="17">
        <f t="shared" si="250"/>
        <v>0</v>
      </c>
      <c r="CU263" s="17">
        <f>IF(MOD(BU263,12)=0,CR263*(1-'1 - Input'!$B$23),CR263)</f>
        <v>0</v>
      </c>
      <c r="CV263" s="17">
        <f>IF('1 - Input'!$B$17=1,MIN(CF263,BX263)+CN263,CF263)</f>
        <v>0</v>
      </c>
      <c r="CW263" s="17">
        <f t="shared" si="270"/>
        <v>686605.50041273201</v>
      </c>
      <c r="CX263" s="17">
        <f t="shared" si="271"/>
        <v>6018.3402768167462</v>
      </c>
      <c r="CY263" s="17">
        <f t="shared" si="272"/>
        <v>66518.776160328038</v>
      </c>
      <c r="CZ263" s="17">
        <f t="shared" si="273"/>
        <v>0</v>
      </c>
      <c r="DA263" s="17">
        <f t="shared" si="274"/>
        <v>10954.114452440983</v>
      </c>
      <c r="DB263" s="17">
        <f t="shared" si="275"/>
        <v>22578.480134654252</v>
      </c>
      <c r="DC263" s="15">
        <f t="shared" si="251"/>
        <v>1</v>
      </c>
    </row>
    <row r="264" spans="1:107">
      <c r="A264" s="14">
        <v>221</v>
      </c>
      <c r="B264" s="15">
        <f t="shared" si="207"/>
        <v>19</v>
      </c>
      <c r="C264" s="16">
        <f>(1+INDEX('1 - Input'!$B$34:$E$63,B264,'1 - Input'!$B$16))^(1/12)-1</f>
        <v>4.1219243192651689E-3</v>
      </c>
      <c r="D264" s="17">
        <f>'1 - Input'!$B$7*(1+'1 - Input'!$B$12)^(B264-1)</f>
        <v>3856.2648684559363</v>
      </c>
      <c r="E264" s="17">
        <f t="shared" si="252"/>
        <v>0</v>
      </c>
      <c r="F264" s="17">
        <f t="shared" si="253"/>
        <v>0</v>
      </c>
      <c r="G264" s="17">
        <f t="shared" si="208"/>
        <v>0</v>
      </c>
      <c r="H264" s="17">
        <f>IF(G264&gt;0,'1 - Input'!$B$8/12*G264,0)</f>
        <v>0</v>
      </c>
      <c r="I264" s="17">
        <f t="shared" si="209"/>
        <v>0</v>
      </c>
      <c r="J264" s="17">
        <f t="shared" si="210"/>
        <v>0</v>
      </c>
      <c r="K264" s="17">
        <f>'1 - Input'!$B$22*(H264-J264)</f>
        <v>0</v>
      </c>
      <c r="L264" s="17">
        <f t="shared" si="211"/>
        <v>0</v>
      </c>
      <c r="M264" s="17">
        <f t="shared" si="212"/>
        <v>0</v>
      </c>
      <c r="N264" s="17">
        <f>IF('1 - Input'!$B$17=1,MAX(0,L264-D264),0)</f>
        <v>0</v>
      </c>
      <c r="O264" s="17">
        <f>IF('1 - Input'!$B$17=1,MAX(0,D264-L264),0)</f>
        <v>3856.2648684559363</v>
      </c>
      <c r="P264" s="17">
        <f t="shared" si="213"/>
        <v>0</v>
      </c>
      <c r="Q264" s="17">
        <f>IF(AND(O264&gt;0,I264&gt;0),O264/(1-'1 - Input'!$B$22*P264),0)</f>
        <v>0</v>
      </c>
      <c r="R264" s="17">
        <f t="shared" si="214"/>
        <v>0</v>
      </c>
      <c r="S264" s="17">
        <f>'1 - Input'!$B$22*P264*R264</f>
        <v>0</v>
      </c>
      <c r="T264" s="17">
        <f t="shared" si="215"/>
        <v>0</v>
      </c>
      <c r="U264" s="17">
        <f t="shared" si="216"/>
        <v>3856.2648684559363</v>
      </c>
      <c r="V264" s="17">
        <f t="shared" si="217"/>
        <v>0</v>
      </c>
      <c r="W264" s="17">
        <f t="shared" si="218"/>
        <v>0</v>
      </c>
      <c r="X264" s="17">
        <f t="shared" si="219"/>
        <v>0</v>
      </c>
      <c r="Y264" s="17">
        <f>IF(MOD(A264,12)=0,W264*'1 - Input'!$B$23,0)</f>
        <v>0</v>
      </c>
      <c r="Z264" s="17">
        <f t="shared" si="220"/>
        <v>0</v>
      </c>
      <c r="AA264" s="17">
        <f>IF(MOD(A264,12)=0,X264*(1-'1 - Input'!$B$23),X264)</f>
        <v>0</v>
      </c>
      <c r="AB264" s="17">
        <f>IF('1 - Input'!$B$17=1,MIN(L264,D264)+T264,L264)</f>
        <v>0</v>
      </c>
      <c r="AC264" s="17">
        <f t="shared" si="254"/>
        <v>590482.93849429931</v>
      </c>
      <c r="AD264" s="17">
        <f t="shared" si="255"/>
        <v>101441.90180685223</v>
      </c>
      <c r="AE264" s="17">
        <f t="shared" si="256"/>
        <v>0</v>
      </c>
      <c r="AF264" s="17">
        <f t="shared" si="257"/>
        <v>174289.24056370757</v>
      </c>
      <c r="AG264" s="17">
        <f t="shared" si="258"/>
        <v>8123.5662772395826</v>
      </c>
      <c r="AH264" s="17">
        <f t="shared" si="259"/>
        <v>122557.30692154204</v>
      </c>
      <c r="AI264" s="15">
        <f t="shared" si="221"/>
        <v>1</v>
      </c>
      <c r="AK264" s="14">
        <v>221</v>
      </c>
      <c r="AL264" s="15">
        <f t="shared" si="222"/>
        <v>19</v>
      </c>
      <c r="AM264" s="16">
        <f>(1+INDEX('1 - Input'!$B$34:$E$63,AL264,'1 - Input'!$B$16))^(1/12)-1</f>
        <v>4.1219243192651689E-3</v>
      </c>
      <c r="AN264" s="17">
        <f>'1 - Input'!$B$7*(1+'1 - Input'!$B$12)^(AL264-1)</f>
        <v>3856.2648684559363</v>
      </c>
      <c r="AO264" s="17">
        <f t="shared" si="260"/>
        <v>0</v>
      </c>
      <c r="AP264" s="17">
        <f t="shared" si="261"/>
        <v>0</v>
      </c>
      <c r="AQ264" s="17">
        <f t="shared" si="223"/>
        <v>0</v>
      </c>
      <c r="AR264" s="17">
        <f>IF(AQ264&gt;0,'1 - Input'!$B$8/12*AQ264,0)</f>
        <v>0</v>
      </c>
      <c r="AS264" s="17">
        <f t="shared" si="224"/>
        <v>0</v>
      </c>
      <c r="AT264" s="17">
        <f t="shared" si="225"/>
        <v>0</v>
      </c>
      <c r="AU264" s="17">
        <f>'1 - Input'!$B$22*(AR264-AT264)</f>
        <v>0</v>
      </c>
      <c r="AV264" s="17">
        <f t="shared" si="226"/>
        <v>0</v>
      </c>
      <c r="AW264" s="17">
        <f t="shared" si="227"/>
        <v>0</v>
      </c>
      <c r="AX264" s="17">
        <f>IF('1 - Input'!$B$17=1,MAX(0,AV264-AN264),0)</f>
        <v>0</v>
      </c>
      <c r="AY264" s="17">
        <f>IF('1 - Input'!$B$17=1,MAX(0,AN264-AV264),0)</f>
        <v>3856.2648684559363</v>
      </c>
      <c r="AZ264" s="17">
        <f t="shared" si="228"/>
        <v>0</v>
      </c>
      <c r="BA264" s="17">
        <f>IF(AND(AY264&gt;0,AS264&gt;0),AY264/(1-'1 - Input'!$B$22*AZ264),0)</f>
        <v>0</v>
      </c>
      <c r="BB264" s="17">
        <f t="shared" si="229"/>
        <v>0</v>
      </c>
      <c r="BC264" s="17">
        <f>'1 - Input'!$B$22*AZ264*BB264</f>
        <v>0</v>
      </c>
      <c r="BD264" s="17">
        <f t="shared" si="230"/>
        <v>0</v>
      </c>
      <c r="BE264" s="17">
        <f t="shared" si="231"/>
        <v>3856.2648684559363</v>
      </c>
      <c r="BF264" s="17">
        <f t="shared" si="232"/>
        <v>0</v>
      </c>
      <c r="BG264" s="17">
        <f t="shared" si="233"/>
        <v>0</v>
      </c>
      <c r="BH264" s="17">
        <f t="shared" si="234"/>
        <v>0</v>
      </c>
      <c r="BI264" s="17">
        <f>IF(MOD(AK264,12)=0,BG264*'1 - Input'!$B$23,0)</f>
        <v>0</v>
      </c>
      <c r="BJ264" s="17">
        <f t="shared" si="235"/>
        <v>0</v>
      </c>
      <c r="BK264" s="17">
        <f>IF(MOD(AK264,12)=0,BH264*(1-'1 - Input'!$B$23),BH264)</f>
        <v>0</v>
      </c>
      <c r="BL264" s="17">
        <f>IF('1 - Input'!$B$17=1,MIN(AV264,AN264)+BD264,AV264)</f>
        <v>0</v>
      </c>
      <c r="BM264" s="17">
        <f t="shared" si="262"/>
        <v>590482.93849429931</v>
      </c>
      <c r="BN264" s="17">
        <f t="shared" si="263"/>
        <v>101441.90180685223</v>
      </c>
      <c r="BO264" s="17">
        <f t="shared" si="264"/>
        <v>0</v>
      </c>
      <c r="BP264" s="17">
        <f t="shared" si="265"/>
        <v>174289.24056370757</v>
      </c>
      <c r="BQ264" s="17">
        <f t="shared" si="266"/>
        <v>8123.5662772395826</v>
      </c>
      <c r="BR264" s="17">
        <f t="shared" si="267"/>
        <v>122557.30692154204</v>
      </c>
      <c r="BS264" s="15">
        <f t="shared" si="236"/>
        <v>1</v>
      </c>
      <c r="BU264" s="14">
        <v>221</v>
      </c>
      <c r="BV264" s="15">
        <f t="shared" si="237"/>
        <v>19</v>
      </c>
      <c r="BW264" s="16">
        <f>(1+INDEX('1 - Input'!$B$34:$E$63,BV264,'1 - Input'!$B$16))^(1/12)-1</f>
        <v>4.1219243192651689E-3</v>
      </c>
      <c r="BX264" s="17">
        <f>'1 - Input'!$B$7*(1+'1 - Input'!$B$12)^(BV264-1)</f>
        <v>3856.2648684559363</v>
      </c>
      <c r="BY264" s="17">
        <f t="shared" si="268"/>
        <v>0</v>
      </c>
      <c r="BZ264" s="17">
        <f t="shared" si="269"/>
        <v>0</v>
      </c>
      <c r="CA264" s="17">
        <f t="shared" si="238"/>
        <v>0</v>
      </c>
      <c r="CB264" s="17">
        <f>IF(CA264&gt;0,'1 - Input'!$B$8/12*CA264,0)</f>
        <v>0</v>
      </c>
      <c r="CC264" s="17">
        <f t="shared" si="239"/>
        <v>0</v>
      </c>
      <c r="CD264" s="17">
        <f t="shared" si="240"/>
        <v>0</v>
      </c>
      <c r="CE264" s="17">
        <f>'1 - Input'!$B$22*(CB264-CD264)</f>
        <v>0</v>
      </c>
      <c r="CF264" s="17">
        <f t="shared" si="241"/>
        <v>0</v>
      </c>
      <c r="CG264" s="17">
        <f t="shared" si="242"/>
        <v>0</v>
      </c>
      <c r="CH264" s="17">
        <f>IF('1 - Input'!$B$17=1,MAX(0,CF264-BX264),0)</f>
        <v>0</v>
      </c>
      <c r="CI264" s="17">
        <f>IF('1 - Input'!$B$17=1,MAX(0,BX264-CF264),0)</f>
        <v>3856.2648684559363</v>
      </c>
      <c r="CJ264" s="17">
        <f t="shared" si="243"/>
        <v>0</v>
      </c>
      <c r="CK264" s="17">
        <f>IF(AND(CI264&gt;0,CC264&gt;0),CI264/(1-'1 - Input'!$B$22*CJ264),0)</f>
        <v>0</v>
      </c>
      <c r="CL264" s="17">
        <f t="shared" si="244"/>
        <v>0</v>
      </c>
      <c r="CM264" s="17">
        <f>'1 - Input'!$B$22*CJ264*CL264</f>
        <v>0</v>
      </c>
      <c r="CN264" s="17">
        <f t="shared" si="245"/>
        <v>0</v>
      </c>
      <c r="CO264" s="17">
        <f t="shared" si="246"/>
        <v>3856.2648684559363</v>
      </c>
      <c r="CP264" s="17">
        <f t="shared" si="247"/>
        <v>0</v>
      </c>
      <c r="CQ264" s="17">
        <f t="shared" si="248"/>
        <v>0</v>
      </c>
      <c r="CR264" s="17">
        <f t="shared" si="249"/>
        <v>0</v>
      </c>
      <c r="CS264" s="17">
        <f>IF(MOD(BU264,12)=0,CQ264*'1 - Input'!$B$23,0)</f>
        <v>0</v>
      </c>
      <c r="CT264" s="17">
        <f t="shared" si="250"/>
        <v>0</v>
      </c>
      <c r="CU264" s="17">
        <f>IF(MOD(BU264,12)=0,CR264*(1-'1 - Input'!$B$23),CR264)</f>
        <v>0</v>
      </c>
      <c r="CV264" s="17">
        <f>IF('1 - Input'!$B$17=1,MIN(CF264,BX264)+CN264,CF264)</f>
        <v>0</v>
      </c>
      <c r="CW264" s="17">
        <f t="shared" si="270"/>
        <v>686605.50041273201</v>
      </c>
      <c r="CX264" s="17">
        <f t="shared" si="271"/>
        <v>6018.3402768167462</v>
      </c>
      <c r="CY264" s="17">
        <f t="shared" si="272"/>
        <v>66518.776160328038</v>
      </c>
      <c r="CZ264" s="17">
        <f t="shared" si="273"/>
        <v>0</v>
      </c>
      <c r="DA264" s="17">
        <f t="shared" si="274"/>
        <v>10954.114452440983</v>
      </c>
      <c r="DB264" s="17">
        <f t="shared" si="275"/>
        <v>26434.745003110187</v>
      </c>
      <c r="DC264" s="15">
        <f t="shared" si="251"/>
        <v>1</v>
      </c>
    </row>
    <row r="265" spans="1:107">
      <c r="A265" s="14">
        <v>222</v>
      </c>
      <c r="B265" s="15">
        <f t="shared" si="207"/>
        <v>19</v>
      </c>
      <c r="C265" s="16">
        <f>(1+INDEX('1 - Input'!$B$34:$E$63,B265,'1 - Input'!$B$16))^(1/12)-1</f>
        <v>4.1219243192651689E-3</v>
      </c>
      <c r="D265" s="17">
        <f>'1 - Input'!$B$7*(1+'1 - Input'!$B$12)^(B265-1)</f>
        <v>3856.2648684559363</v>
      </c>
      <c r="E265" s="17">
        <f t="shared" si="252"/>
        <v>0</v>
      </c>
      <c r="F265" s="17">
        <f t="shared" si="253"/>
        <v>0</v>
      </c>
      <c r="G265" s="17">
        <f t="shared" si="208"/>
        <v>0</v>
      </c>
      <c r="H265" s="17">
        <f>IF(G265&gt;0,'1 - Input'!$B$8/12*G265,0)</f>
        <v>0</v>
      </c>
      <c r="I265" s="17">
        <f t="shared" si="209"/>
        <v>0</v>
      </c>
      <c r="J265" s="17">
        <f t="shared" si="210"/>
        <v>0</v>
      </c>
      <c r="K265" s="17">
        <f>'1 - Input'!$B$22*(H265-J265)</f>
        <v>0</v>
      </c>
      <c r="L265" s="17">
        <f t="shared" si="211"/>
        <v>0</v>
      </c>
      <c r="M265" s="17">
        <f t="shared" si="212"/>
        <v>0</v>
      </c>
      <c r="N265" s="17">
        <f>IF('1 - Input'!$B$17=1,MAX(0,L265-D265),0)</f>
        <v>0</v>
      </c>
      <c r="O265" s="17">
        <f>IF('1 - Input'!$B$17=1,MAX(0,D265-L265),0)</f>
        <v>3856.2648684559363</v>
      </c>
      <c r="P265" s="17">
        <f t="shared" si="213"/>
        <v>0</v>
      </c>
      <c r="Q265" s="17">
        <f>IF(AND(O265&gt;0,I265&gt;0),O265/(1-'1 - Input'!$B$22*P265),0)</f>
        <v>0</v>
      </c>
      <c r="R265" s="17">
        <f t="shared" si="214"/>
        <v>0</v>
      </c>
      <c r="S265" s="17">
        <f>'1 - Input'!$B$22*P265*R265</f>
        <v>0</v>
      </c>
      <c r="T265" s="17">
        <f t="shared" si="215"/>
        <v>0</v>
      </c>
      <c r="U265" s="17">
        <f t="shared" si="216"/>
        <v>3856.2648684559363</v>
      </c>
      <c r="V265" s="17">
        <f t="shared" si="217"/>
        <v>0</v>
      </c>
      <c r="W265" s="17">
        <f t="shared" si="218"/>
        <v>0</v>
      </c>
      <c r="X265" s="17">
        <f t="shared" si="219"/>
        <v>0</v>
      </c>
      <c r="Y265" s="17">
        <f>IF(MOD(A265,12)=0,W265*'1 - Input'!$B$23,0)</f>
        <v>0</v>
      </c>
      <c r="Z265" s="17">
        <f t="shared" si="220"/>
        <v>0</v>
      </c>
      <c r="AA265" s="17">
        <f>IF(MOD(A265,12)=0,X265*(1-'1 - Input'!$B$23),X265)</f>
        <v>0</v>
      </c>
      <c r="AB265" s="17">
        <f>IF('1 - Input'!$B$17=1,MIN(L265,D265)+T265,L265)</f>
        <v>0</v>
      </c>
      <c r="AC265" s="17">
        <f t="shared" si="254"/>
        <v>590482.93849429931</v>
      </c>
      <c r="AD265" s="17">
        <f t="shared" si="255"/>
        <v>101441.90180685223</v>
      </c>
      <c r="AE265" s="17">
        <f t="shared" si="256"/>
        <v>0</v>
      </c>
      <c r="AF265" s="17">
        <f t="shared" si="257"/>
        <v>174289.24056370757</v>
      </c>
      <c r="AG265" s="17">
        <f t="shared" si="258"/>
        <v>8123.5662772395826</v>
      </c>
      <c r="AH265" s="17">
        <f t="shared" si="259"/>
        <v>126413.57178999798</v>
      </c>
      <c r="AI265" s="15">
        <f t="shared" si="221"/>
        <v>1</v>
      </c>
      <c r="AK265" s="14">
        <v>222</v>
      </c>
      <c r="AL265" s="15">
        <f t="shared" si="222"/>
        <v>19</v>
      </c>
      <c r="AM265" s="16">
        <f>(1+INDEX('1 - Input'!$B$34:$E$63,AL265,'1 - Input'!$B$16))^(1/12)-1</f>
        <v>4.1219243192651689E-3</v>
      </c>
      <c r="AN265" s="17">
        <f>'1 - Input'!$B$7*(1+'1 - Input'!$B$12)^(AL265-1)</f>
        <v>3856.2648684559363</v>
      </c>
      <c r="AO265" s="17">
        <f t="shared" si="260"/>
        <v>0</v>
      </c>
      <c r="AP265" s="17">
        <f t="shared" si="261"/>
        <v>0</v>
      </c>
      <c r="AQ265" s="17">
        <f t="shared" si="223"/>
        <v>0</v>
      </c>
      <c r="AR265" s="17">
        <f>IF(AQ265&gt;0,'1 - Input'!$B$8/12*AQ265,0)</f>
        <v>0</v>
      </c>
      <c r="AS265" s="17">
        <f t="shared" si="224"/>
        <v>0</v>
      </c>
      <c r="AT265" s="17">
        <f t="shared" si="225"/>
        <v>0</v>
      </c>
      <c r="AU265" s="17">
        <f>'1 - Input'!$B$22*(AR265-AT265)</f>
        <v>0</v>
      </c>
      <c r="AV265" s="17">
        <f t="shared" si="226"/>
        <v>0</v>
      </c>
      <c r="AW265" s="17">
        <f t="shared" si="227"/>
        <v>0</v>
      </c>
      <c r="AX265" s="17">
        <f>IF('1 - Input'!$B$17=1,MAX(0,AV265-AN265),0)</f>
        <v>0</v>
      </c>
      <c r="AY265" s="17">
        <f>IF('1 - Input'!$B$17=1,MAX(0,AN265-AV265),0)</f>
        <v>3856.2648684559363</v>
      </c>
      <c r="AZ265" s="17">
        <f t="shared" si="228"/>
        <v>0</v>
      </c>
      <c r="BA265" s="17">
        <f>IF(AND(AY265&gt;0,AS265&gt;0),AY265/(1-'1 - Input'!$B$22*AZ265),0)</f>
        <v>0</v>
      </c>
      <c r="BB265" s="17">
        <f t="shared" si="229"/>
        <v>0</v>
      </c>
      <c r="BC265" s="17">
        <f>'1 - Input'!$B$22*AZ265*BB265</f>
        <v>0</v>
      </c>
      <c r="BD265" s="17">
        <f t="shared" si="230"/>
        <v>0</v>
      </c>
      <c r="BE265" s="17">
        <f t="shared" si="231"/>
        <v>3856.2648684559363</v>
      </c>
      <c r="BF265" s="17">
        <f t="shared" si="232"/>
        <v>0</v>
      </c>
      <c r="BG265" s="17">
        <f t="shared" si="233"/>
        <v>0</v>
      </c>
      <c r="BH265" s="17">
        <f t="shared" si="234"/>
        <v>0</v>
      </c>
      <c r="BI265" s="17">
        <f>IF(MOD(AK265,12)=0,BG265*'1 - Input'!$B$23,0)</f>
        <v>0</v>
      </c>
      <c r="BJ265" s="17">
        <f t="shared" si="235"/>
        <v>0</v>
      </c>
      <c r="BK265" s="17">
        <f>IF(MOD(AK265,12)=0,BH265*(1-'1 - Input'!$B$23),BH265)</f>
        <v>0</v>
      </c>
      <c r="BL265" s="17">
        <f>IF('1 - Input'!$B$17=1,MIN(AV265,AN265)+BD265,AV265)</f>
        <v>0</v>
      </c>
      <c r="BM265" s="17">
        <f t="shared" si="262"/>
        <v>590482.93849429931</v>
      </c>
      <c r="BN265" s="17">
        <f t="shared" si="263"/>
        <v>101441.90180685223</v>
      </c>
      <c r="BO265" s="17">
        <f t="shared" si="264"/>
        <v>0</v>
      </c>
      <c r="BP265" s="17">
        <f t="shared" si="265"/>
        <v>174289.24056370757</v>
      </c>
      <c r="BQ265" s="17">
        <f t="shared" si="266"/>
        <v>8123.5662772395826</v>
      </c>
      <c r="BR265" s="17">
        <f t="shared" si="267"/>
        <v>126413.57178999798</v>
      </c>
      <c r="BS265" s="15">
        <f t="shared" si="236"/>
        <v>1</v>
      </c>
      <c r="BU265" s="14">
        <v>222</v>
      </c>
      <c r="BV265" s="15">
        <f t="shared" si="237"/>
        <v>19</v>
      </c>
      <c r="BW265" s="16">
        <f>(1+INDEX('1 - Input'!$B$34:$E$63,BV265,'1 - Input'!$B$16))^(1/12)-1</f>
        <v>4.1219243192651689E-3</v>
      </c>
      <c r="BX265" s="17">
        <f>'1 - Input'!$B$7*(1+'1 - Input'!$B$12)^(BV265-1)</f>
        <v>3856.2648684559363</v>
      </c>
      <c r="BY265" s="17">
        <f t="shared" si="268"/>
        <v>0</v>
      </c>
      <c r="BZ265" s="17">
        <f t="shared" si="269"/>
        <v>0</v>
      </c>
      <c r="CA265" s="17">
        <f t="shared" si="238"/>
        <v>0</v>
      </c>
      <c r="CB265" s="17">
        <f>IF(CA265&gt;0,'1 - Input'!$B$8/12*CA265,0)</f>
        <v>0</v>
      </c>
      <c r="CC265" s="17">
        <f t="shared" si="239"/>
        <v>0</v>
      </c>
      <c r="CD265" s="17">
        <f t="shared" si="240"/>
        <v>0</v>
      </c>
      <c r="CE265" s="17">
        <f>'1 - Input'!$B$22*(CB265-CD265)</f>
        <v>0</v>
      </c>
      <c r="CF265" s="17">
        <f t="shared" si="241"/>
        <v>0</v>
      </c>
      <c r="CG265" s="17">
        <f t="shared" si="242"/>
        <v>0</v>
      </c>
      <c r="CH265" s="17">
        <f>IF('1 - Input'!$B$17=1,MAX(0,CF265-BX265),0)</f>
        <v>0</v>
      </c>
      <c r="CI265" s="17">
        <f>IF('1 - Input'!$B$17=1,MAX(0,BX265-CF265),0)</f>
        <v>3856.2648684559363</v>
      </c>
      <c r="CJ265" s="17">
        <f t="shared" si="243"/>
        <v>0</v>
      </c>
      <c r="CK265" s="17">
        <f>IF(AND(CI265&gt;0,CC265&gt;0),CI265/(1-'1 - Input'!$B$22*CJ265),0)</f>
        <v>0</v>
      </c>
      <c r="CL265" s="17">
        <f t="shared" si="244"/>
        <v>0</v>
      </c>
      <c r="CM265" s="17">
        <f>'1 - Input'!$B$22*CJ265*CL265</f>
        <v>0</v>
      </c>
      <c r="CN265" s="17">
        <f t="shared" si="245"/>
        <v>0</v>
      </c>
      <c r="CO265" s="17">
        <f t="shared" si="246"/>
        <v>3856.2648684559363</v>
      </c>
      <c r="CP265" s="17">
        <f t="shared" si="247"/>
        <v>0</v>
      </c>
      <c r="CQ265" s="17">
        <f t="shared" si="248"/>
        <v>0</v>
      </c>
      <c r="CR265" s="17">
        <f t="shared" si="249"/>
        <v>0</v>
      </c>
      <c r="CS265" s="17">
        <f>IF(MOD(BU265,12)=0,CQ265*'1 - Input'!$B$23,0)</f>
        <v>0</v>
      </c>
      <c r="CT265" s="17">
        <f t="shared" si="250"/>
        <v>0</v>
      </c>
      <c r="CU265" s="17">
        <f>IF(MOD(BU265,12)=0,CR265*(1-'1 - Input'!$B$23),CR265)</f>
        <v>0</v>
      </c>
      <c r="CV265" s="17">
        <f>IF('1 - Input'!$B$17=1,MIN(CF265,BX265)+CN265,CF265)</f>
        <v>0</v>
      </c>
      <c r="CW265" s="17">
        <f t="shared" si="270"/>
        <v>686605.50041273201</v>
      </c>
      <c r="CX265" s="17">
        <f t="shared" si="271"/>
        <v>6018.3402768167462</v>
      </c>
      <c r="CY265" s="17">
        <f t="shared" si="272"/>
        <v>66518.776160328038</v>
      </c>
      <c r="CZ265" s="17">
        <f t="shared" si="273"/>
        <v>0</v>
      </c>
      <c r="DA265" s="17">
        <f t="shared" si="274"/>
        <v>10954.114452440983</v>
      </c>
      <c r="DB265" s="17">
        <f t="shared" si="275"/>
        <v>30291.009871566122</v>
      </c>
      <c r="DC265" s="15">
        <f t="shared" si="251"/>
        <v>1</v>
      </c>
    </row>
    <row r="266" spans="1:107">
      <c r="A266" s="14">
        <v>223</v>
      </c>
      <c r="B266" s="15">
        <f t="shared" si="207"/>
        <v>19</v>
      </c>
      <c r="C266" s="16">
        <f>(1+INDEX('1 - Input'!$B$34:$E$63,B266,'1 - Input'!$B$16))^(1/12)-1</f>
        <v>4.1219243192651689E-3</v>
      </c>
      <c r="D266" s="17">
        <f>'1 - Input'!$B$7*(1+'1 - Input'!$B$12)^(B266-1)</f>
        <v>3856.2648684559363</v>
      </c>
      <c r="E266" s="17">
        <f t="shared" si="252"/>
        <v>0</v>
      </c>
      <c r="F266" s="17">
        <f t="shared" si="253"/>
        <v>0</v>
      </c>
      <c r="G266" s="17">
        <f t="shared" si="208"/>
        <v>0</v>
      </c>
      <c r="H266" s="17">
        <f>IF(G266&gt;0,'1 - Input'!$B$8/12*G266,0)</f>
        <v>0</v>
      </c>
      <c r="I266" s="17">
        <f t="shared" si="209"/>
        <v>0</v>
      </c>
      <c r="J266" s="17">
        <f t="shared" si="210"/>
        <v>0</v>
      </c>
      <c r="K266" s="17">
        <f>'1 - Input'!$B$22*(H266-J266)</f>
        <v>0</v>
      </c>
      <c r="L266" s="17">
        <f t="shared" si="211"/>
        <v>0</v>
      </c>
      <c r="M266" s="17">
        <f t="shared" si="212"/>
        <v>0</v>
      </c>
      <c r="N266" s="17">
        <f>IF('1 - Input'!$B$17=1,MAX(0,L266-D266),0)</f>
        <v>0</v>
      </c>
      <c r="O266" s="17">
        <f>IF('1 - Input'!$B$17=1,MAX(0,D266-L266),0)</f>
        <v>3856.2648684559363</v>
      </c>
      <c r="P266" s="17">
        <f t="shared" si="213"/>
        <v>0</v>
      </c>
      <c r="Q266" s="17">
        <f>IF(AND(O266&gt;0,I266&gt;0),O266/(1-'1 - Input'!$B$22*P266),0)</f>
        <v>0</v>
      </c>
      <c r="R266" s="17">
        <f t="shared" si="214"/>
        <v>0</v>
      </c>
      <c r="S266" s="17">
        <f>'1 - Input'!$B$22*P266*R266</f>
        <v>0</v>
      </c>
      <c r="T266" s="17">
        <f t="shared" si="215"/>
        <v>0</v>
      </c>
      <c r="U266" s="17">
        <f t="shared" si="216"/>
        <v>3856.2648684559363</v>
      </c>
      <c r="V266" s="17">
        <f t="shared" si="217"/>
        <v>0</v>
      </c>
      <c r="W266" s="17">
        <f t="shared" si="218"/>
        <v>0</v>
      </c>
      <c r="X266" s="17">
        <f t="shared" si="219"/>
        <v>0</v>
      </c>
      <c r="Y266" s="17">
        <f>IF(MOD(A266,12)=0,W266*'1 - Input'!$B$23,0)</f>
        <v>0</v>
      </c>
      <c r="Z266" s="17">
        <f t="shared" si="220"/>
        <v>0</v>
      </c>
      <c r="AA266" s="17">
        <f>IF(MOD(A266,12)=0,X266*(1-'1 - Input'!$B$23),X266)</f>
        <v>0</v>
      </c>
      <c r="AB266" s="17">
        <f>IF('1 - Input'!$B$17=1,MIN(L266,D266)+T266,L266)</f>
        <v>0</v>
      </c>
      <c r="AC266" s="17">
        <f t="shared" si="254"/>
        <v>590482.93849429931</v>
      </c>
      <c r="AD266" s="17">
        <f t="shared" si="255"/>
        <v>101441.90180685223</v>
      </c>
      <c r="AE266" s="17">
        <f t="shared" si="256"/>
        <v>0</v>
      </c>
      <c r="AF266" s="17">
        <f t="shared" si="257"/>
        <v>174289.24056370757</v>
      </c>
      <c r="AG266" s="17">
        <f t="shared" si="258"/>
        <v>8123.5662772395826</v>
      </c>
      <c r="AH266" s="17">
        <f t="shared" si="259"/>
        <v>130269.83665845392</v>
      </c>
      <c r="AI266" s="15">
        <f t="shared" si="221"/>
        <v>1</v>
      </c>
      <c r="AK266" s="14">
        <v>223</v>
      </c>
      <c r="AL266" s="15">
        <f t="shared" si="222"/>
        <v>19</v>
      </c>
      <c r="AM266" s="16">
        <f>(1+INDEX('1 - Input'!$B$34:$E$63,AL266,'1 - Input'!$B$16))^(1/12)-1</f>
        <v>4.1219243192651689E-3</v>
      </c>
      <c r="AN266" s="17">
        <f>'1 - Input'!$B$7*(1+'1 - Input'!$B$12)^(AL266-1)</f>
        <v>3856.2648684559363</v>
      </c>
      <c r="AO266" s="17">
        <f t="shared" si="260"/>
        <v>0</v>
      </c>
      <c r="AP266" s="17">
        <f t="shared" si="261"/>
        <v>0</v>
      </c>
      <c r="AQ266" s="17">
        <f t="shared" si="223"/>
        <v>0</v>
      </c>
      <c r="AR266" s="17">
        <f>IF(AQ266&gt;0,'1 - Input'!$B$8/12*AQ266,0)</f>
        <v>0</v>
      </c>
      <c r="AS266" s="17">
        <f t="shared" si="224"/>
        <v>0</v>
      </c>
      <c r="AT266" s="17">
        <f t="shared" si="225"/>
        <v>0</v>
      </c>
      <c r="AU266" s="17">
        <f>'1 - Input'!$B$22*(AR266-AT266)</f>
        <v>0</v>
      </c>
      <c r="AV266" s="17">
        <f t="shared" si="226"/>
        <v>0</v>
      </c>
      <c r="AW266" s="17">
        <f t="shared" si="227"/>
        <v>0</v>
      </c>
      <c r="AX266" s="17">
        <f>IF('1 - Input'!$B$17=1,MAX(0,AV266-AN266),0)</f>
        <v>0</v>
      </c>
      <c r="AY266" s="17">
        <f>IF('1 - Input'!$B$17=1,MAX(0,AN266-AV266),0)</f>
        <v>3856.2648684559363</v>
      </c>
      <c r="AZ266" s="17">
        <f t="shared" si="228"/>
        <v>0</v>
      </c>
      <c r="BA266" s="17">
        <f>IF(AND(AY266&gt;0,AS266&gt;0),AY266/(1-'1 - Input'!$B$22*AZ266),0)</f>
        <v>0</v>
      </c>
      <c r="BB266" s="17">
        <f t="shared" si="229"/>
        <v>0</v>
      </c>
      <c r="BC266" s="17">
        <f>'1 - Input'!$B$22*AZ266*BB266</f>
        <v>0</v>
      </c>
      <c r="BD266" s="17">
        <f t="shared" si="230"/>
        <v>0</v>
      </c>
      <c r="BE266" s="17">
        <f t="shared" si="231"/>
        <v>3856.2648684559363</v>
      </c>
      <c r="BF266" s="17">
        <f t="shared" si="232"/>
        <v>0</v>
      </c>
      <c r="BG266" s="17">
        <f t="shared" si="233"/>
        <v>0</v>
      </c>
      <c r="BH266" s="17">
        <f t="shared" si="234"/>
        <v>0</v>
      </c>
      <c r="BI266" s="17">
        <f>IF(MOD(AK266,12)=0,BG266*'1 - Input'!$B$23,0)</f>
        <v>0</v>
      </c>
      <c r="BJ266" s="17">
        <f t="shared" si="235"/>
        <v>0</v>
      </c>
      <c r="BK266" s="17">
        <f>IF(MOD(AK266,12)=0,BH266*(1-'1 - Input'!$B$23),BH266)</f>
        <v>0</v>
      </c>
      <c r="BL266" s="17">
        <f>IF('1 - Input'!$B$17=1,MIN(AV266,AN266)+BD266,AV266)</f>
        <v>0</v>
      </c>
      <c r="BM266" s="17">
        <f t="shared" si="262"/>
        <v>590482.93849429931</v>
      </c>
      <c r="BN266" s="17">
        <f t="shared" si="263"/>
        <v>101441.90180685223</v>
      </c>
      <c r="BO266" s="17">
        <f t="shared" si="264"/>
        <v>0</v>
      </c>
      <c r="BP266" s="17">
        <f t="shared" si="265"/>
        <v>174289.24056370757</v>
      </c>
      <c r="BQ266" s="17">
        <f t="shared" si="266"/>
        <v>8123.5662772395826</v>
      </c>
      <c r="BR266" s="17">
        <f t="shared" si="267"/>
        <v>130269.83665845392</v>
      </c>
      <c r="BS266" s="15">
        <f t="shared" si="236"/>
        <v>1</v>
      </c>
      <c r="BU266" s="14">
        <v>223</v>
      </c>
      <c r="BV266" s="15">
        <f t="shared" si="237"/>
        <v>19</v>
      </c>
      <c r="BW266" s="16">
        <f>(1+INDEX('1 - Input'!$B$34:$E$63,BV266,'1 - Input'!$B$16))^(1/12)-1</f>
        <v>4.1219243192651689E-3</v>
      </c>
      <c r="BX266" s="17">
        <f>'1 - Input'!$B$7*(1+'1 - Input'!$B$12)^(BV266-1)</f>
        <v>3856.2648684559363</v>
      </c>
      <c r="BY266" s="17">
        <f t="shared" si="268"/>
        <v>0</v>
      </c>
      <c r="BZ266" s="17">
        <f t="shared" si="269"/>
        <v>0</v>
      </c>
      <c r="CA266" s="17">
        <f t="shared" si="238"/>
        <v>0</v>
      </c>
      <c r="CB266" s="17">
        <f>IF(CA266&gt;0,'1 - Input'!$B$8/12*CA266,0)</f>
        <v>0</v>
      </c>
      <c r="CC266" s="17">
        <f t="shared" si="239"/>
        <v>0</v>
      </c>
      <c r="CD266" s="17">
        <f t="shared" si="240"/>
        <v>0</v>
      </c>
      <c r="CE266" s="17">
        <f>'1 - Input'!$B$22*(CB266-CD266)</f>
        <v>0</v>
      </c>
      <c r="CF266" s="17">
        <f t="shared" si="241"/>
        <v>0</v>
      </c>
      <c r="CG266" s="17">
        <f t="shared" si="242"/>
        <v>0</v>
      </c>
      <c r="CH266" s="17">
        <f>IF('1 - Input'!$B$17=1,MAX(0,CF266-BX266),0)</f>
        <v>0</v>
      </c>
      <c r="CI266" s="17">
        <f>IF('1 - Input'!$B$17=1,MAX(0,BX266-CF266),0)</f>
        <v>3856.2648684559363</v>
      </c>
      <c r="CJ266" s="17">
        <f t="shared" si="243"/>
        <v>0</v>
      </c>
      <c r="CK266" s="17">
        <f>IF(AND(CI266&gt;0,CC266&gt;0),CI266/(1-'1 - Input'!$B$22*CJ266),0)</f>
        <v>0</v>
      </c>
      <c r="CL266" s="17">
        <f t="shared" si="244"/>
        <v>0</v>
      </c>
      <c r="CM266" s="17">
        <f>'1 - Input'!$B$22*CJ266*CL266</f>
        <v>0</v>
      </c>
      <c r="CN266" s="17">
        <f t="shared" si="245"/>
        <v>0</v>
      </c>
      <c r="CO266" s="17">
        <f t="shared" si="246"/>
        <v>3856.2648684559363</v>
      </c>
      <c r="CP266" s="17">
        <f t="shared" si="247"/>
        <v>0</v>
      </c>
      <c r="CQ266" s="17">
        <f t="shared" si="248"/>
        <v>0</v>
      </c>
      <c r="CR266" s="17">
        <f t="shared" si="249"/>
        <v>0</v>
      </c>
      <c r="CS266" s="17">
        <f>IF(MOD(BU266,12)=0,CQ266*'1 - Input'!$B$23,0)</f>
        <v>0</v>
      </c>
      <c r="CT266" s="17">
        <f t="shared" si="250"/>
        <v>0</v>
      </c>
      <c r="CU266" s="17">
        <f>IF(MOD(BU266,12)=0,CR266*(1-'1 - Input'!$B$23),CR266)</f>
        <v>0</v>
      </c>
      <c r="CV266" s="17">
        <f>IF('1 - Input'!$B$17=1,MIN(CF266,BX266)+CN266,CF266)</f>
        <v>0</v>
      </c>
      <c r="CW266" s="17">
        <f t="shared" si="270"/>
        <v>686605.50041273201</v>
      </c>
      <c r="CX266" s="17">
        <f t="shared" si="271"/>
        <v>6018.3402768167462</v>
      </c>
      <c r="CY266" s="17">
        <f t="shared" si="272"/>
        <v>66518.776160328038</v>
      </c>
      <c r="CZ266" s="17">
        <f t="shared" si="273"/>
        <v>0</v>
      </c>
      <c r="DA266" s="17">
        <f t="shared" si="274"/>
        <v>10954.114452440983</v>
      </c>
      <c r="DB266" s="17">
        <f t="shared" si="275"/>
        <v>34147.274740022061</v>
      </c>
      <c r="DC266" s="15">
        <f t="shared" si="251"/>
        <v>1</v>
      </c>
    </row>
    <row r="267" spans="1:107">
      <c r="A267" s="14">
        <v>224</v>
      </c>
      <c r="B267" s="15">
        <f t="shared" si="207"/>
        <v>19</v>
      </c>
      <c r="C267" s="16">
        <f>(1+INDEX('1 - Input'!$B$34:$E$63,B267,'1 - Input'!$B$16))^(1/12)-1</f>
        <v>4.1219243192651689E-3</v>
      </c>
      <c r="D267" s="17">
        <f>'1 - Input'!$B$7*(1+'1 - Input'!$B$12)^(B267-1)</f>
        <v>3856.2648684559363</v>
      </c>
      <c r="E267" s="17">
        <f t="shared" si="252"/>
        <v>0</v>
      </c>
      <c r="F267" s="17">
        <f t="shared" si="253"/>
        <v>0</v>
      </c>
      <c r="G267" s="17">
        <f t="shared" si="208"/>
        <v>0</v>
      </c>
      <c r="H267" s="17">
        <f>IF(G267&gt;0,'1 - Input'!$B$8/12*G267,0)</f>
        <v>0</v>
      </c>
      <c r="I267" s="17">
        <f t="shared" si="209"/>
        <v>0</v>
      </c>
      <c r="J267" s="17">
        <f t="shared" si="210"/>
        <v>0</v>
      </c>
      <c r="K267" s="17">
        <f>'1 - Input'!$B$22*(H267-J267)</f>
        <v>0</v>
      </c>
      <c r="L267" s="17">
        <f t="shared" si="211"/>
        <v>0</v>
      </c>
      <c r="M267" s="17">
        <f t="shared" si="212"/>
        <v>0</v>
      </c>
      <c r="N267" s="17">
        <f>IF('1 - Input'!$B$17=1,MAX(0,L267-D267),0)</f>
        <v>0</v>
      </c>
      <c r="O267" s="17">
        <f>IF('1 - Input'!$B$17=1,MAX(0,D267-L267),0)</f>
        <v>3856.2648684559363</v>
      </c>
      <c r="P267" s="17">
        <f t="shared" si="213"/>
        <v>0</v>
      </c>
      <c r="Q267" s="17">
        <f>IF(AND(O267&gt;0,I267&gt;0),O267/(1-'1 - Input'!$B$22*P267),0)</f>
        <v>0</v>
      </c>
      <c r="R267" s="17">
        <f t="shared" si="214"/>
        <v>0</v>
      </c>
      <c r="S267" s="17">
        <f>'1 - Input'!$B$22*P267*R267</f>
        <v>0</v>
      </c>
      <c r="T267" s="17">
        <f t="shared" si="215"/>
        <v>0</v>
      </c>
      <c r="U267" s="17">
        <f t="shared" si="216"/>
        <v>3856.2648684559363</v>
      </c>
      <c r="V267" s="17">
        <f t="shared" si="217"/>
        <v>0</v>
      </c>
      <c r="W267" s="17">
        <f t="shared" si="218"/>
        <v>0</v>
      </c>
      <c r="X267" s="17">
        <f t="shared" si="219"/>
        <v>0</v>
      </c>
      <c r="Y267" s="17">
        <f>IF(MOD(A267,12)=0,W267*'1 - Input'!$B$23,0)</f>
        <v>0</v>
      </c>
      <c r="Z267" s="17">
        <f t="shared" si="220"/>
        <v>0</v>
      </c>
      <c r="AA267" s="17">
        <f>IF(MOD(A267,12)=0,X267*(1-'1 - Input'!$B$23),X267)</f>
        <v>0</v>
      </c>
      <c r="AB267" s="17">
        <f>IF('1 - Input'!$B$17=1,MIN(L267,D267)+T267,L267)</f>
        <v>0</v>
      </c>
      <c r="AC267" s="17">
        <f t="shared" si="254"/>
        <v>590482.93849429931</v>
      </c>
      <c r="AD267" s="17">
        <f t="shared" si="255"/>
        <v>101441.90180685223</v>
      </c>
      <c r="AE267" s="17">
        <f t="shared" si="256"/>
        <v>0</v>
      </c>
      <c r="AF267" s="17">
        <f t="shared" si="257"/>
        <v>174289.24056370757</v>
      </c>
      <c r="AG267" s="17">
        <f t="shared" si="258"/>
        <v>8123.5662772395826</v>
      </c>
      <c r="AH267" s="17">
        <f t="shared" si="259"/>
        <v>134126.10152690986</v>
      </c>
      <c r="AI267" s="15">
        <f t="shared" si="221"/>
        <v>1</v>
      </c>
      <c r="AK267" s="14">
        <v>224</v>
      </c>
      <c r="AL267" s="15">
        <f t="shared" si="222"/>
        <v>19</v>
      </c>
      <c r="AM267" s="16">
        <f>(1+INDEX('1 - Input'!$B$34:$E$63,AL267,'1 - Input'!$B$16))^(1/12)-1</f>
        <v>4.1219243192651689E-3</v>
      </c>
      <c r="AN267" s="17">
        <f>'1 - Input'!$B$7*(1+'1 - Input'!$B$12)^(AL267-1)</f>
        <v>3856.2648684559363</v>
      </c>
      <c r="AO267" s="17">
        <f t="shared" si="260"/>
        <v>0</v>
      </c>
      <c r="AP267" s="17">
        <f t="shared" si="261"/>
        <v>0</v>
      </c>
      <c r="AQ267" s="17">
        <f t="shared" si="223"/>
        <v>0</v>
      </c>
      <c r="AR267" s="17">
        <f>IF(AQ267&gt;0,'1 - Input'!$B$8/12*AQ267,0)</f>
        <v>0</v>
      </c>
      <c r="AS267" s="17">
        <f t="shared" si="224"/>
        <v>0</v>
      </c>
      <c r="AT267" s="17">
        <f t="shared" si="225"/>
        <v>0</v>
      </c>
      <c r="AU267" s="17">
        <f>'1 - Input'!$B$22*(AR267-AT267)</f>
        <v>0</v>
      </c>
      <c r="AV267" s="17">
        <f t="shared" si="226"/>
        <v>0</v>
      </c>
      <c r="AW267" s="17">
        <f t="shared" si="227"/>
        <v>0</v>
      </c>
      <c r="AX267" s="17">
        <f>IF('1 - Input'!$B$17=1,MAX(0,AV267-AN267),0)</f>
        <v>0</v>
      </c>
      <c r="AY267" s="17">
        <f>IF('1 - Input'!$B$17=1,MAX(0,AN267-AV267),0)</f>
        <v>3856.2648684559363</v>
      </c>
      <c r="AZ267" s="17">
        <f t="shared" si="228"/>
        <v>0</v>
      </c>
      <c r="BA267" s="17">
        <f>IF(AND(AY267&gt;0,AS267&gt;0),AY267/(1-'1 - Input'!$B$22*AZ267),0)</f>
        <v>0</v>
      </c>
      <c r="BB267" s="17">
        <f t="shared" si="229"/>
        <v>0</v>
      </c>
      <c r="BC267" s="17">
        <f>'1 - Input'!$B$22*AZ267*BB267</f>
        <v>0</v>
      </c>
      <c r="BD267" s="17">
        <f t="shared" si="230"/>
        <v>0</v>
      </c>
      <c r="BE267" s="17">
        <f t="shared" si="231"/>
        <v>3856.2648684559363</v>
      </c>
      <c r="BF267" s="17">
        <f t="shared" si="232"/>
        <v>0</v>
      </c>
      <c r="BG267" s="17">
        <f t="shared" si="233"/>
        <v>0</v>
      </c>
      <c r="BH267" s="17">
        <f t="shared" si="234"/>
        <v>0</v>
      </c>
      <c r="BI267" s="17">
        <f>IF(MOD(AK267,12)=0,BG267*'1 - Input'!$B$23,0)</f>
        <v>0</v>
      </c>
      <c r="BJ267" s="17">
        <f t="shared" si="235"/>
        <v>0</v>
      </c>
      <c r="BK267" s="17">
        <f>IF(MOD(AK267,12)=0,BH267*(1-'1 - Input'!$B$23),BH267)</f>
        <v>0</v>
      </c>
      <c r="BL267" s="17">
        <f>IF('1 - Input'!$B$17=1,MIN(AV267,AN267)+BD267,AV267)</f>
        <v>0</v>
      </c>
      <c r="BM267" s="17">
        <f t="shared" si="262"/>
        <v>590482.93849429931</v>
      </c>
      <c r="BN267" s="17">
        <f t="shared" si="263"/>
        <v>101441.90180685223</v>
      </c>
      <c r="BO267" s="17">
        <f t="shared" si="264"/>
        <v>0</v>
      </c>
      <c r="BP267" s="17">
        <f t="shared" si="265"/>
        <v>174289.24056370757</v>
      </c>
      <c r="BQ267" s="17">
        <f t="shared" si="266"/>
        <v>8123.5662772395826</v>
      </c>
      <c r="BR267" s="17">
        <f t="shared" si="267"/>
        <v>134126.10152690986</v>
      </c>
      <c r="BS267" s="15">
        <f t="shared" si="236"/>
        <v>1</v>
      </c>
      <c r="BU267" s="14">
        <v>224</v>
      </c>
      <c r="BV267" s="15">
        <f t="shared" si="237"/>
        <v>19</v>
      </c>
      <c r="BW267" s="16">
        <f>(1+INDEX('1 - Input'!$B$34:$E$63,BV267,'1 - Input'!$B$16))^(1/12)-1</f>
        <v>4.1219243192651689E-3</v>
      </c>
      <c r="BX267" s="17">
        <f>'1 - Input'!$B$7*(1+'1 - Input'!$B$12)^(BV267-1)</f>
        <v>3856.2648684559363</v>
      </c>
      <c r="BY267" s="17">
        <f t="shared" si="268"/>
        <v>0</v>
      </c>
      <c r="BZ267" s="17">
        <f t="shared" si="269"/>
        <v>0</v>
      </c>
      <c r="CA267" s="17">
        <f t="shared" si="238"/>
        <v>0</v>
      </c>
      <c r="CB267" s="17">
        <f>IF(CA267&gt;0,'1 - Input'!$B$8/12*CA267,0)</f>
        <v>0</v>
      </c>
      <c r="CC267" s="17">
        <f t="shared" si="239"/>
        <v>0</v>
      </c>
      <c r="CD267" s="17">
        <f t="shared" si="240"/>
        <v>0</v>
      </c>
      <c r="CE267" s="17">
        <f>'1 - Input'!$B$22*(CB267-CD267)</f>
        <v>0</v>
      </c>
      <c r="CF267" s="17">
        <f t="shared" si="241"/>
        <v>0</v>
      </c>
      <c r="CG267" s="17">
        <f t="shared" si="242"/>
        <v>0</v>
      </c>
      <c r="CH267" s="17">
        <f>IF('1 - Input'!$B$17=1,MAX(0,CF267-BX267),0)</f>
        <v>0</v>
      </c>
      <c r="CI267" s="17">
        <f>IF('1 - Input'!$B$17=1,MAX(0,BX267-CF267),0)</f>
        <v>3856.2648684559363</v>
      </c>
      <c r="CJ267" s="17">
        <f t="shared" si="243"/>
        <v>0</v>
      </c>
      <c r="CK267" s="17">
        <f>IF(AND(CI267&gt;0,CC267&gt;0),CI267/(1-'1 - Input'!$B$22*CJ267),0)</f>
        <v>0</v>
      </c>
      <c r="CL267" s="17">
        <f t="shared" si="244"/>
        <v>0</v>
      </c>
      <c r="CM267" s="17">
        <f>'1 - Input'!$B$22*CJ267*CL267</f>
        <v>0</v>
      </c>
      <c r="CN267" s="17">
        <f t="shared" si="245"/>
        <v>0</v>
      </c>
      <c r="CO267" s="17">
        <f t="shared" si="246"/>
        <v>3856.2648684559363</v>
      </c>
      <c r="CP267" s="17">
        <f t="shared" si="247"/>
        <v>0</v>
      </c>
      <c r="CQ267" s="17">
        <f t="shared" si="248"/>
        <v>0</v>
      </c>
      <c r="CR267" s="17">
        <f t="shared" si="249"/>
        <v>0</v>
      </c>
      <c r="CS267" s="17">
        <f>IF(MOD(BU267,12)=0,CQ267*'1 - Input'!$B$23,0)</f>
        <v>0</v>
      </c>
      <c r="CT267" s="17">
        <f t="shared" si="250"/>
        <v>0</v>
      </c>
      <c r="CU267" s="17">
        <f>IF(MOD(BU267,12)=0,CR267*(1-'1 - Input'!$B$23),CR267)</f>
        <v>0</v>
      </c>
      <c r="CV267" s="17">
        <f>IF('1 - Input'!$B$17=1,MIN(CF267,BX267)+CN267,CF267)</f>
        <v>0</v>
      </c>
      <c r="CW267" s="17">
        <f t="shared" si="270"/>
        <v>686605.50041273201</v>
      </c>
      <c r="CX267" s="17">
        <f t="shared" si="271"/>
        <v>6018.3402768167462</v>
      </c>
      <c r="CY267" s="17">
        <f t="shared" si="272"/>
        <v>66518.776160328038</v>
      </c>
      <c r="CZ267" s="17">
        <f t="shared" si="273"/>
        <v>0</v>
      </c>
      <c r="DA267" s="17">
        <f t="shared" si="274"/>
        <v>10954.114452440983</v>
      </c>
      <c r="DB267" s="17">
        <f t="shared" si="275"/>
        <v>38003.539608478</v>
      </c>
      <c r="DC267" s="15">
        <f t="shared" si="251"/>
        <v>1</v>
      </c>
    </row>
    <row r="268" spans="1:107">
      <c r="A268" s="14">
        <v>225</v>
      </c>
      <c r="B268" s="15">
        <f t="shared" si="207"/>
        <v>19</v>
      </c>
      <c r="C268" s="16">
        <f>(1+INDEX('1 - Input'!$B$34:$E$63,B268,'1 - Input'!$B$16))^(1/12)-1</f>
        <v>4.1219243192651689E-3</v>
      </c>
      <c r="D268" s="17">
        <f>'1 - Input'!$B$7*(1+'1 - Input'!$B$12)^(B268-1)</f>
        <v>3856.2648684559363</v>
      </c>
      <c r="E268" s="17">
        <f t="shared" si="252"/>
        <v>0</v>
      </c>
      <c r="F268" s="17">
        <f t="shared" si="253"/>
        <v>0</v>
      </c>
      <c r="G268" s="17">
        <f t="shared" si="208"/>
        <v>0</v>
      </c>
      <c r="H268" s="17">
        <f>IF(G268&gt;0,'1 - Input'!$B$8/12*G268,0)</f>
        <v>0</v>
      </c>
      <c r="I268" s="17">
        <f t="shared" si="209"/>
        <v>0</v>
      </c>
      <c r="J268" s="17">
        <f t="shared" si="210"/>
        <v>0</v>
      </c>
      <c r="K268" s="17">
        <f>'1 - Input'!$B$22*(H268-J268)</f>
        <v>0</v>
      </c>
      <c r="L268" s="17">
        <f t="shared" si="211"/>
        <v>0</v>
      </c>
      <c r="M268" s="17">
        <f t="shared" si="212"/>
        <v>0</v>
      </c>
      <c r="N268" s="17">
        <f>IF('1 - Input'!$B$17=1,MAX(0,L268-D268),0)</f>
        <v>0</v>
      </c>
      <c r="O268" s="17">
        <f>IF('1 - Input'!$B$17=1,MAX(0,D268-L268),0)</f>
        <v>3856.2648684559363</v>
      </c>
      <c r="P268" s="17">
        <f t="shared" si="213"/>
        <v>0</v>
      </c>
      <c r="Q268" s="17">
        <f>IF(AND(O268&gt;0,I268&gt;0),O268/(1-'1 - Input'!$B$22*P268),0)</f>
        <v>0</v>
      </c>
      <c r="R268" s="17">
        <f t="shared" si="214"/>
        <v>0</v>
      </c>
      <c r="S268" s="17">
        <f>'1 - Input'!$B$22*P268*R268</f>
        <v>0</v>
      </c>
      <c r="T268" s="17">
        <f t="shared" si="215"/>
        <v>0</v>
      </c>
      <c r="U268" s="17">
        <f t="shared" si="216"/>
        <v>3856.2648684559363</v>
      </c>
      <c r="V268" s="17">
        <f t="shared" si="217"/>
        <v>0</v>
      </c>
      <c r="W268" s="17">
        <f t="shared" si="218"/>
        <v>0</v>
      </c>
      <c r="X268" s="17">
        <f t="shared" si="219"/>
        <v>0</v>
      </c>
      <c r="Y268" s="17">
        <f>IF(MOD(A268,12)=0,W268*'1 - Input'!$B$23,0)</f>
        <v>0</v>
      </c>
      <c r="Z268" s="17">
        <f t="shared" si="220"/>
        <v>0</v>
      </c>
      <c r="AA268" s="17">
        <f>IF(MOD(A268,12)=0,X268*(1-'1 - Input'!$B$23),X268)</f>
        <v>0</v>
      </c>
      <c r="AB268" s="17">
        <f>IF('1 - Input'!$B$17=1,MIN(L268,D268)+T268,L268)</f>
        <v>0</v>
      </c>
      <c r="AC268" s="17">
        <f t="shared" si="254"/>
        <v>590482.93849429931</v>
      </c>
      <c r="AD268" s="17">
        <f t="shared" si="255"/>
        <v>101441.90180685223</v>
      </c>
      <c r="AE268" s="17">
        <f t="shared" si="256"/>
        <v>0</v>
      </c>
      <c r="AF268" s="17">
        <f t="shared" si="257"/>
        <v>174289.24056370757</v>
      </c>
      <c r="AG268" s="17">
        <f t="shared" si="258"/>
        <v>8123.5662772395826</v>
      </c>
      <c r="AH268" s="17">
        <f t="shared" si="259"/>
        <v>137982.3663953658</v>
      </c>
      <c r="AI268" s="15">
        <f t="shared" si="221"/>
        <v>1</v>
      </c>
      <c r="AK268" s="14">
        <v>225</v>
      </c>
      <c r="AL268" s="15">
        <f t="shared" si="222"/>
        <v>19</v>
      </c>
      <c r="AM268" s="16">
        <f>(1+INDEX('1 - Input'!$B$34:$E$63,AL268,'1 - Input'!$B$16))^(1/12)-1</f>
        <v>4.1219243192651689E-3</v>
      </c>
      <c r="AN268" s="17">
        <f>'1 - Input'!$B$7*(1+'1 - Input'!$B$12)^(AL268-1)</f>
        <v>3856.2648684559363</v>
      </c>
      <c r="AO268" s="17">
        <f t="shared" si="260"/>
        <v>0</v>
      </c>
      <c r="AP268" s="17">
        <f t="shared" si="261"/>
        <v>0</v>
      </c>
      <c r="AQ268" s="17">
        <f t="shared" si="223"/>
        <v>0</v>
      </c>
      <c r="AR268" s="17">
        <f>IF(AQ268&gt;0,'1 - Input'!$B$8/12*AQ268,0)</f>
        <v>0</v>
      </c>
      <c r="AS268" s="17">
        <f t="shared" si="224"/>
        <v>0</v>
      </c>
      <c r="AT268" s="17">
        <f t="shared" si="225"/>
        <v>0</v>
      </c>
      <c r="AU268" s="17">
        <f>'1 - Input'!$B$22*(AR268-AT268)</f>
        <v>0</v>
      </c>
      <c r="AV268" s="17">
        <f t="shared" si="226"/>
        <v>0</v>
      </c>
      <c r="AW268" s="17">
        <f t="shared" si="227"/>
        <v>0</v>
      </c>
      <c r="AX268" s="17">
        <f>IF('1 - Input'!$B$17=1,MAX(0,AV268-AN268),0)</f>
        <v>0</v>
      </c>
      <c r="AY268" s="17">
        <f>IF('1 - Input'!$B$17=1,MAX(0,AN268-AV268),0)</f>
        <v>3856.2648684559363</v>
      </c>
      <c r="AZ268" s="17">
        <f t="shared" si="228"/>
        <v>0</v>
      </c>
      <c r="BA268" s="17">
        <f>IF(AND(AY268&gt;0,AS268&gt;0),AY268/(1-'1 - Input'!$B$22*AZ268),0)</f>
        <v>0</v>
      </c>
      <c r="BB268" s="17">
        <f t="shared" si="229"/>
        <v>0</v>
      </c>
      <c r="BC268" s="17">
        <f>'1 - Input'!$B$22*AZ268*BB268</f>
        <v>0</v>
      </c>
      <c r="BD268" s="17">
        <f t="shared" si="230"/>
        <v>0</v>
      </c>
      <c r="BE268" s="17">
        <f t="shared" si="231"/>
        <v>3856.2648684559363</v>
      </c>
      <c r="BF268" s="17">
        <f t="shared" si="232"/>
        <v>0</v>
      </c>
      <c r="BG268" s="17">
        <f t="shared" si="233"/>
        <v>0</v>
      </c>
      <c r="BH268" s="17">
        <f t="shared" si="234"/>
        <v>0</v>
      </c>
      <c r="BI268" s="17">
        <f>IF(MOD(AK268,12)=0,BG268*'1 - Input'!$B$23,0)</f>
        <v>0</v>
      </c>
      <c r="BJ268" s="17">
        <f t="shared" si="235"/>
        <v>0</v>
      </c>
      <c r="BK268" s="17">
        <f>IF(MOD(AK268,12)=0,BH268*(1-'1 - Input'!$B$23),BH268)</f>
        <v>0</v>
      </c>
      <c r="BL268" s="17">
        <f>IF('1 - Input'!$B$17=1,MIN(AV268,AN268)+BD268,AV268)</f>
        <v>0</v>
      </c>
      <c r="BM268" s="17">
        <f t="shared" si="262"/>
        <v>590482.93849429931</v>
      </c>
      <c r="BN268" s="17">
        <f t="shared" si="263"/>
        <v>101441.90180685223</v>
      </c>
      <c r="BO268" s="17">
        <f t="shared" si="264"/>
        <v>0</v>
      </c>
      <c r="BP268" s="17">
        <f t="shared" si="265"/>
        <v>174289.24056370757</v>
      </c>
      <c r="BQ268" s="17">
        <f t="shared" si="266"/>
        <v>8123.5662772395826</v>
      </c>
      <c r="BR268" s="17">
        <f t="shared" si="267"/>
        <v>137982.3663953658</v>
      </c>
      <c r="BS268" s="15">
        <f t="shared" si="236"/>
        <v>1</v>
      </c>
      <c r="BU268" s="14">
        <v>225</v>
      </c>
      <c r="BV268" s="15">
        <f t="shared" si="237"/>
        <v>19</v>
      </c>
      <c r="BW268" s="16">
        <f>(1+INDEX('1 - Input'!$B$34:$E$63,BV268,'1 - Input'!$B$16))^(1/12)-1</f>
        <v>4.1219243192651689E-3</v>
      </c>
      <c r="BX268" s="17">
        <f>'1 - Input'!$B$7*(1+'1 - Input'!$B$12)^(BV268-1)</f>
        <v>3856.2648684559363</v>
      </c>
      <c r="BY268" s="17">
        <f t="shared" si="268"/>
        <v>0</v>
      </c>
      <c r="BZ268" s="17">
        <f t="shared" si="269"/>
        <v>0</v>
      </c>
      <c r="CA268" s="17">
        <f t="shared" si="238"/>
        <v>0</v>
      </c>
      <c r="CB268" s="17">
        <f>IF(CA268&gt;0,'1 - Input'!$B$8/12*CA268,0)</f>
        <v>0</v>
      </c>
      <c r="CC268" s="17">
        <f t="shared" si="239"/>
        <v>0</v>
      </c>
      <c r="CD268" s="17">
        <f t="shared" si="240"/>
        <v>0</v>
      </c>
      <c r="CE268" s="17">
        <f>'1 - Input'!$B$22*(CB268-CD268)</f>
        <v>0</v>
      </c>
      <c r="CF268" s="17">
        <f t="shared" si="241"/>
        <v>0</v>
      </c>
      <c r="CG268" s="17">
        <f t="shared" si="242"/>
        <v>0</v>
      </c>
      <c r="CH268" s="17">
        <f>IF('1 - Input'!$B$17=1,MAX(0,CF268-BX268),0)</f>
        <v>0</v>
      </c>
      <c r="CI268" s="17">
        <f>IF('1 - Input'!$B$17=1,MAX(0,BX268-CF268),0)</f>
        <v>3856.2648684559363</v>
      </c>
      <c r="CJ268" s="17">
        <f t="shared" si="243"/>
        <v>0</v>
      </c>
      <c r="CK268" s="17">
        <f>IF(AND(CI268&gt;0,CC268&gt;0),CI268/(1-'1 - Input'!$B$22*CJ268),0)</f>
        <v>0</v>
      </c>
      <c r="CL268" s="17">
        <f t="shared" si="244"/>
        <v>0</v>
      </c>
      <c r="CM268" s="17">
        <f>'1 - Input'!$B$22*CJ268*CL268</f>
        <v>0</v>
      </c>
      <c r="CN268" s="17">
        <f t="shared" si="245"/>
        <v>0</v>
      </c>
      <c r="CO268" s="17">
        <f t="shared" si="246"/>
        <v>3856.2648684559363</v>
      </c>
      <c r="CP268" s="17">
        <f t="shared" si="247"/>
        <v>0</v>
      </c>
      <c r="CQ268" s="17">
        <f t="shared" si="248"/>
        <v>0</v>
      </c>
      <c r="CR268" s="17">
        <f t="shared" si="249"/>
        <v>0</v>
      </c>
      <c r="CS268" s="17">
        <f>IF(MOD(BU268,12)=0,CQ268*'1 - Input'!$B$23,0)</f>
        <v>0</v>
      </c>
      <c r="CT268" s="17">
        <f t="shared" si="250"/>
        <v>0</v>
      </c>
      <c r="CU268" s="17">
        <f>IF(MOD(BU268,12)=0,CR268*(1-'1 - Input'!$B$23),CR268)</f>
        <v>0</v>
      </c>
      <c r="CV268" s="17">
        <f>IF('1 - Input'!$B$17=1,MIN(CF268,BX268)+CN268,CF268)</f>
        <v>0</v>
      </c>
      <c r="CW268" s="17">
        <f t="shared" si="270"/>
        <v>686605.50041273201</v>
      </c>
      <c r="CX268" s="17">
        <f t="shared" si="271"/>
        <v>6018.3402768167462</v>
      </c>
      <c r="CY268" s="17">
        <f t="shared" si="272"/>
        <v>66518.776160328038</v>
      </c>
      <c r="CZ268" s="17">
        <f t="shared" si="273"/>
        <v>0</v>
      </c>
      <c r="DA268" s="17">
        <f t="shared" si="274"/>
        <v>10954.114452440983</v>
      </c>
      <c r="DB268" s="17">
        <f t="shared" si="275"/>
        <v>41859.804476933939</v>
      </c>
      <c r="DC268" s="15">
        <f t="shared" si="251"/>
        <v>1</v>
      </c>
    </row>
    <row r="269" spans="1:107">
      <c r="A269" s="14">
        <v>226</v>
      </c>
      <c r="B269" s="15">
        <f t="shared" si="207"/>
        <v>19</v>
      </c>
      <c r="C269" s="16">
        <f>(1+INDEX('1 - Input'!$B$34:$E$63,B269,'1 - Input'!$B$16))^(1/12)-1</f>
        <v>4.1219243192651689E-3</v>
      </c>
      <c r="D269" s="17">
        <f>'1 - Input'!$B$7*(1+'1 - Input'!$B$12)^(B269-1)</f>
        <v>3856.2648684559363</v>
      </c>
      <c r="E269" s="17">
        <f t="shared" si="252"/>
        <v>0</v>
      </c>
      <c r="F269" s="17">
        <f t="shared" si="253"/>
        <v>0</v>
      </c>
      <c r="G269" s="17">
        <f t="shared" si="208"/>
        <v>0</v>
      </c>
      <c r="H269" s="17">
        <f>IF(G269&gt;0,'1 - Input'!$B$8/12*G269,0)</f>
        <v>0</v>
      </c>
      <c r="I269" s="17">
        <f t="shared" si="209"/>
        <v>0</v>
      </c>
      <c r="J269" s="17">
        <f t="shared" si="210"/>
        <v>0</v>
      </c>
      <c r="K269" s="17">
        <f>'1 - Input'!$B$22*(H269-J269)</f>
        <v>0</v>
      </c>
      <c r="L269" s="17">
        <f t="shared" si="211"/>
        <v>0</v>
      </c>
      <c r="M269" s="17">
        <f t="shared" si="212"/>
        <v>0</v>
      </c>
      <c r="N269" s="17">
        <f>IF('1 - Input'!$B$17=1,MAX(0,L269-D269),0)</f>
        <v>0</v>
      </c>
      <c r="O269" s="17">
        <f>IF('1 - Input'!$B$17=1,MAX(0,D269-L269),0)</f>
        <v>3856.2648684559363</v>
      </c>
      <c r="P269" s="17">
        <f t="shared" si="213"/>
        <v>0</v>
      </c>
      <c r="Q269" s="17">
        <f>IF(AND(O269&gt;0,I269&gt;0),O269/(1-'1 - Input'!$B$22*P269),0)</f>
        <v>0</v>
      </c>
      <c r="R269" s="17">
        <f t="shared" si="214"/>
        <v>0</v>
      </c>
      <c r="S269" s="17">
        <f>'1 - Input'!$B$22*P269*R269</f>
        <v>0</v>
      </c>
      <c r="T269" s="17">
        <f t="shared" si="215"/>
        <v>0</v>
      </c>
      <c r="U269" s="17">
        <f t="shared" si="216"/>
        <v>3856.2648684559363</v>
      </c>
      <c r="V269" s="17">
        <f t="shared" si="217"/>
        <v>0</v>
      </c>
      <c r="W269" s="17">
        <f t="shared" si="218"/>
        <v>0</v>
      </c>
      <c r="X269" s="17">
        <f t="shared" si="219"/>
        <v>0</v>
      </c>
      <c r="Y269" s="17">
        <f>IF(MOD(A269,12)=0,W269*'1 - Input'!$B$23,0)</f>
        <v>0</v>
      </c>
      <c r="Z269" s="17">
        <f t="shared" si="220"/>
        <v>0</v>
      </c>
      <c r="AA269" s="17">
        <f>IF(MOD(A269,12)=0,X269*(1-'1 - Input'!$B$23),X269)</f>
        <v>0</v>
      </c>
      <c r="AB269" s="17">
        <f>IF('1 - Input'!$B$17=1,MIN(L269,D269)+T269,L269)</f>
        <v>0</v>
      </c>
      <c r="AC269" s="17">
        <f t="shared" si="254"/>
        <v>590482.93849429931</v>
      </c>
      <c r="AD269" s="17">
        <f t="shared" si="255"/>
        <v>101441.90180685223</v>
      </c>
      <c r="AE269" s="17">
        <f t="shared" si="256"/>
        <v>0</v>
      </c>
      <c r="AF269" s="17">
        <f t="shared" si="257"/>
        <v>174289.24056370757</v>
      </c>
      <c r="AG269" s="17">
        <f t="shared" si="258"/>
        <v>8123.5662772395826</v>
      </c>
      <c r="AH269" s="17">
        <f t="shared" si="259"/>
        <v>141838.63126382174</v>
      </c>
      <c r="AI269" s="15">
        <f t="shared" si="221"/>
        <v>1</v>
      </c>
      <c r="AK269" s="14">
        <v>226</v>
      </c>
      <c r="AL269" s="15">
        <f t="shared" si="222"/>
        <v>19</v>
      </c>
      <c r="AM269" s="16">
        <f>(1+INDEX('1 - Input'!$B$34:$E$63,AL269,'1 - Input'!$B$16))^(1/12)-1</f>
        <v>4.1219243192651689E-3</v>
      </c>
      <c r="AN269" s="17">
        <f>'1 - Input'!$B$7*(1+'1 - Input'!$B$12)^(AL269-1)</f>
        <v>3856.2648684559363</v>
      </c>
      <c r="AO269" s="17">
        <f t="shared" si="260"/>
        <v>0</v>
      </c>
      <c r="AP269" s="17">
        <f t="shared" si="261"/>
        <v>0</v>
      </c>
      <c r="AQ269" s="17">
        <f t="shared" si="223"/>
        <v>0</v>
      </c>
      <c r="AR269" s="17">
        <f>IF(AQ269&gt;0,'1 - Input'!$B$8/12*AQ269,0)</f>
        <v>0</v>
      </c>
      <c r="AS269" s="17">
        <f t="shared" si="224"/>
        <v>0</v>
      </c>
      <c r="AT269" s="17">
        <f t="shared" si="225"/>
        <v>0</v>
      </c>
      <c r="AU269" s="17">
        <f>'1 - Input'!$B$22*(AR269-AT269)</f>
        <v>0</v>
      </c>
      <c r="AV269" s="17">
        <f t="shared" si="226"/>
        <v>0</v>
      </c>
      <c r="AW269" s="17">
        <f t="shared" si="227"/>
        <v>0</v>
      </c>
      <c r="AX269" s="17">
        <f>IF('1 - Input'!$B$17=1,MAX(0,AV269-AN269),0)</f>
        <v>0</v>
      </c>
      <c r="AY269" s="17">
        <f>IF('1 - Input'!$B$17=1,MAX(0,AN269-AV269),0)</f>
        <v>3856.2648684559363</v>
      </c>
      <c r="AZ269" s="17">
        <f t="shared" si="228"/>
        <v>0</v>
      </c>
      <c r="BA269" s="17">
        <f>IF(AND(AY269&gt;0,AS269&gt;0),AY269/(1-'1 - Input'!$B$22*AZ269),0)</f>
        <v>0</v>
      </c>
      <c r="BB269" s="17">
        <f t="shared" si="229"/>
        <v>0</v>
      </c>
      <c r="BC269" s="17">
        <f>'1 - Input'!$B$22*AZ269*BB269</f>
        <v>0</v>
      </c>
      <c r="BD269" s="17">
        <f t="shared" si="230"/>
        <v>0</v>
      </c>
      <c r="BE269" s="17">
        <f t="shared" si="231"/>
        <v>3856.2648684559363</v>
      </c>
      <c r="BF269" s="17">
        <f t="shared" si="232"/>
        <v>0</v>
      </c>
      <c r="BG269" s="17">
        <f t="shared" si="233"/>
        <v>0</v>
      </c>
      <c r="BH269" s="17">
        <f t="shared" si="234"/>
        <v>0</v>
      </c>
      <c r="BI269" s="17">
        <f>IF(MOD(AK269,12)=0,BG269*'1 - Input'!$B$23,0)</f>
        <v>0</v>
      </c>
      <c r="BJ269" s="17">
        <f t="shared" si="235"/>
        <v>0</v>
      </c>
      <c r="BK269" s="17">
        <f>IF(MOD(AK269,12)=0,BH269*(1-'1 - Input'!$B$23),BH269)</f>
        <v>0</v>
      </c>
      <c r="BL269" s="17">
        <f>IF('1 - Input'!$B$17=1,MIN(AV269,AN269)+BD269,AV269)</f>
        <v>0</v>
      </c>
      <c r="BM269" s="17">
        <f t="shared" si="262"/>
        <v>590482.93849429931</v>
      </c>
      <c r="BN269" s="17">
        <f t="shared" si="263"/>
        <v>101441.90180685223</v>
      </c>
      <c r="BO269" s="17">
        <f t="shared" si="264"/>
        <v>0</v>
      </c>
      <c r="BP269" s="17">
        <f t="shared" si="265"/>
        <v>174289.24056370757</v>
      </c>
      <c r="BQ269" s="17">
        <f t="shared" si="266"/>
        <v>8123.5662772395826</v>
      </c>
      <c r="BR269" s="17">
        <f t="shared" si="267"/>
        <v>141838.63126382174</v>
      </c>
      <c r="BS269" s="15">
        <f t="shared" si="236"/>
        <v>1</v>
      </c>
      <c r="BU269" s="14">
        <v>226</v>
      </c>
      <c r="BV269" s="15">
        <f t="shared" si="237"/>
        <v>19</v>
      </c>
      <c r="BW269" s="16">
        <f>(1+INDEX('1 - Input'!$B$34:$E$63,BV269,'1 - Input'!$B$16))^(1/12)-1</f>
        <v>4.1219243192651689E-3</v>
      </c>
      <c r="BX269" s="17">
        <f>'1 - Input'!$B$7*(1+'1 - Input'!$B$12)^(BV269-1)</f>
        <v>3856.2648684559363</v>
      </c>
      <c r="BY269" s="17">
        <f t="shared" si="268"/>
        <v>0</v>
      </c>
      <c r="BZ269" s="17">
        <f t="shared" si="269"/>
        <v>0</v>
      </c>
      <c r="CA269" s="17">
        <f t="shared" si="238"/>
        <v>0</v>
      </c>
      <c r="CB269" s="17">
        <f>IF(CA269&gt;0,'1 - Input'!$B$8/12*CA269,0)</f>
        <v>0</v>
      </c>
      <c r="CC269" s="17">
        <f t="shared" si="239"/>
        <v>0</v>
      </c>
      <c r="CD269" s="17">
        <f t="shared" si="240"/>
        <v>0</v>
      </c>
      <c r="CE269" s="17">
        <f>'1 - Input'!$B$22*(CB269-CD269)</f>
        <v>0</v>
      </c>
      <c r="CF269" s="17">
        <f t="shared" si="241"/>
        <v>0</v>
      </c>
      <c r="CG269" s="17">
        <f t="shared" si="242"/>
        <v>0</v>
      </c>
      <c r="CH269" s="17">
        <f>IF('1 - Input'!$B$17=1,MAX(0,CF269-BX269),0)</f>
        <v>0</v>
      </c>
      <c r="CI269" s="17">
        <f>IF('1 - Input'!$B$17=1,MAX(0,BX269-CF269),0)</f>
        <v>3856.2648684559363</v>
      </c>
      <c r="CJ269" s="17">
        <f t="shared" si="243"/>
        <v>0</v>
      </c>
      <c r="CK269" s="17">
        <f>IF(AND(CI269&gt;0,CC269&gt;0),CI269/(1-'1 - Input'!$B$22*CJ269),0)</f>
        <v>0</v>
      </c>
      <c r="CL269" s="17">
        <f t="shared" si="244"/>
        <v>0</v>
      </c>
      <c r="CM269" s="17">
        <f>'1 - Input'!$B$22*CJ269*CL269</f>
        <v>0</v>
      </c>
      <c r="CN269" s="17">
        <f t="shared" si="245"/>
        <v>0</v>
      </c>
      <c r="CO269" s="17">
        <f t="shared" si="246"/>
        <v>3856.2648684559363</v>
      </c>
      <c r="CP269" s="17">
        <f t="shared" si="247"/>
        <v>0</v>
      </c>
      <c r="CQ269" s="17">
        <f t="shared" si="248"/>
        <v>0</v>
      </c>
      <c r="CR269" s="17">
        <f t="shared" si="249"/>
        <v>0</v>
      </c>
      <c r="CS269" s="17">
        <f>IF(MOD(BU269,12)=0,CQ269*'1 - Input'!$B$23,0)</f>
        <v>0</v>
      </c>
      <c r="CT269" s="17">
        <f t="shared" si="250"/>
        <v>0</v>
      </c>
      <c r="CU269" s="17">
        <f>IF(MOD(BU269,12)=0,CR269*(1-'1 - Input'!$B$23),CR269)</f>
        <v>0</v>
      </c>
      <c r="CV269" s="17">
        <f>IF('1 - Input'!$B$17=1,MIN(CF269,BX269)+CN269,CF269)</f>
        <v>0</v>
      </c>
      <c r="CW269" s="17">
        <f t="shared" si="270"/>
        <v>686605.50041273201</v>
      </c>
      <c r="CX269" s="17">
        <f t="shared" si="271"/>
        <v>6018.3402768167462</v>
      </c>
      <c r="CY269" s="17">
        <f t="shared" si="272"/>
        <v>66518.776160328038</v>
      </c>
      <c r="CZ269" s="17">
        <f t="shared" si="273"/>
        <v>0</v>
      </c>
      <c r="DA269" s="17">
        <f t="shared" si="274"/>
        <v>10954.114452440983</v>
      </c>
      <c r="DB269" s="17">
        <f t="shared" si="275"/>
        <v>45716.069345389878</v>
      </c>
      <c r="DC269" s="15">
        <f t="shared" si="251"/>
        <v>1</v>
      </c>
    </row>
    <row r="270" spans="1:107">
      <c r="A270" s="14">
        <v>227</v>
      </c>
      <c r="B270" s="15">
        <f t="shared" si="207"/>
        <v>19</v>
      </c>
      <c r="C270" s="16">
        <f>(1+INDEX('1 - Input'!$B$34:$E$63,B270,'1 - Input'!$B$16))^(1/12)-1</f>
        <v>4.1219243192651689E-3</v>
      </c>
      <c r="D270" s="17">
        <f>'1 - Input'!$B$7*(1+'1 - Input'!$B$12)^(B270-1)</f>
        <v>3856.2648684559363</v>
      </c>
      <c r="E270" s="17">
        <f t="shared" si="252"/>
        <v>0</v>
      </c>
      <c r="F270" s="17">
        <f t="shared" si="253"/>
        <v>0</v>
      </c>
      <c r="G270" s="17">
        <f t="shared" si="208"/>
        <v>0</v>
      </c>
      <c r="H270" s="17">
        <f>IF(G270&gt;0,'1 - Input'!$B$8/12*G270,0)</f>
        <v>0</v>
      </c>
      <c r="I270" s="17">
        <f t="shared" si="209"/>
        <v>0</v>
      </c>
      <c r="J270" s="17">
        <f t="shared" si="210"/>
        <v>0</v>
      </c>
      <c r="K270" s="17">
        <f>'1 - Input'!$B$22*(H270-J270)</f>
        <v>0</v>
      </c>
      <c r="L270" s="17">
        <f t="shared" si="211"/>
        <v>0</v>
      </c>
      <c r="M270" s="17">
        <f t="shared" si="212"/>
        <v>0</v>
      </c>
      <c r="N270" s="17">
        <f>IF('1 - Input'!$B$17=1,MAX(0,L270-D270),0)</f>
        <v>0</v>
      </c>
      <c r="O270" s="17">
        <f>IF('1 - Input'!$B$17=1,MAX(0,D270-L270),0)</f>
        <v>3856.2648684559363</v>
      </c>
      <c r="P270" s="17">
        <f t="shared" si="213"/>
        <v>0</v>
      </c>
      <c r="Q270" s="17">
        <f>IF(AND(O270&gt;0,I270&gt;0),O270/(1-'1 - Input'!$B$22*P270),0)</f>
        <v>0</v>
      </c>
      <c r="R270" s="17">
        <f t="shared" si="214"/>
        <v>0</v>
      </c>
      <c r="S270" s="17">
        <f>'1 - Input'!$B$22*P270*R270</f>
        <v>0</v>
      </c>
      <c r="T270" s="17">
        <f t="shared" si="215"/>
        <v>0</v>
      </c>
      <c r="U270" s="17">
        <f t="shared" si="216"/>
        <v>3856.2648684559363</v>
      </c>
      <c r="V270" s="17">
        <f t="shared" si="217"/>
        <v>0</v>
      </c>
      <c r="W270" s="17">
        <f t="shared" si="218"/>
        <v>0</v>
      </c>
      <c r="X270" s="17">
        <f t="shared" si="219"/>
        <v>0</v>
      </c>
      <c r="Y270" s="17">
        <f>IF(MOD(A270,12)=0,W270*'1 - Input'!$B$23,0)</f>
        <v>0</v>
      </c>
      <c r="Z270" s="17">
        <f t="shared" si="220"/>
        <v>0</v>
      </c>
      <c r="AA270" s="17">
        <f>IF(MOD(A270,12)=0,X270*(1-'1 - Input'!$B$23),X270)</f>
        <v>0</v>
      </c>
      <c r="AB270" s="17">
        <f>IF('1 - Input'!$B$17=1,MIN(L270,D270)+T270,L270)</f>
        <v>0</v>
      </c>
      <c r="AC270" s="17">
        <f t="shared" si="254"/>
        <v>590482.93849429931</v>
      </c>
      <c r="AD270" s="17">
        <f t="shared" si="255"/>
        <v>101441.90180685223</v>
      </c>
      <c r="AE270" s="17">
        <f t="shared" si="256"/>
        <v>0</v>
      </c>
      <c r="AF270" s="17">
        <f t="shared" si="257"/>
        <v>174289.24056370757</v>
      </c>
      <c r="AG270" s="17">
        <f t="shared" si="258"/>
        <v>8123.5662772395826</v>
      </c>
      <c r="AH270" s="17">
        <f t="shared" si="259"/>
        <v>145694.89613227767</v>
      </c>
      <c r="AI270" s="15">
        <f t="shared" si="221"/>
        <v>1</v>
      </c>
      <c r="AK270" s="14">
        <v>227</v>
      </c>
      <c r="AL270" s="15">
        <f t="shared" si="222"/>
        <v>19</v>
      </c>
      <c r="AM270" s="16">
        <f>(1+INDEX('1 - Input'!$B$34:$E$63,AL270,'1 - Input'!$B$16))^(1/12)-1</f>
        <v>4.1219243192651689E-3</v>
      </c>
      <c r="AN270" s="17">
        <f>'1 - Input'!$B$7*(1+'1 - Input'!$B$12)^(AL270-1)</f>
        <v>3856.2648684559363</v>
      </c>
      <c r="AO270" s="17">
        <f t="shared" si="260"/>
        <v>0</v>
      </c>
      <c r="AP270" s="17">
        <f t="shared" si="261"/>
        <v>0</v>
      </c>
      <c r="AQ270" s="17">
        <f t="shared" si="223"/>
        <v>0</v>
      </c>
      <c r="AR270" s="17">
        <f>IF(AQ270&gt;0,'1 - Input'!$B$8/12*AQ270,0)</f>
        <v>0</v>
      </c>
      <c r="AS270" s="17">
        <f t="shared" si="224"/>
        <v>0</v>
      </c>
      <c r="AT270" s="17">
        <f t="shared" si="225"/>
        <v>0</v>
      </c>
      <c r="AU270" s="17">
        <f>'1 - Input'!$B$22*(AR270-AT270)</f>
        <v>0</v>
      </c>
      <c r="AV270" s="17">
        <f t="shared" si="226"/>
        <v>0</v>
      </c>
      <c r="AW270" s="17">
        <f t="shared" si="227"/>
        <v>0</v>
      </c>
      <c r="AX270" s="17">
        <f>IF('1 - Input'!$B$17=1,MAX(0,AV270-AN270),0)</f>
        <v>0</v>
      </c>
      <c r="AY270" s="17">
        <f>IF('1 - Input'!$B$17=1,MAX(0,AN270-AV270),0)</f>
        <v>3856.2648684559363</v>
      </c>
      <c r="AZ270" s="17">
        <f t="shared" si="228"/>
        <v>0</v>
      </c>
      <c r="BA270" s="17">
        <f>IF(AND(AY270&gt;0,AS270&gt;0),AY270/(1-'1 - Input'!$B$22*AZ270),0)</f>
        <v>0</v>
      </c>
      <c r="BB270" s="17">
        <f t="shared" si="229"/>
        <v>0</v>
      </c>
      <c r="BC270" s="17">
        <f>'1 - Input'!$B$22*AZ270*BB270</f>
        <v>0</v>
      </c>
      <c r="BD270" s="17">
        <f t="shared" si="230"/>
        <v>0</v>
      </c>
      <c r="BE270" s="17">
        <f t="shared" si="231"/>
        <v>3856.2648684559363</v>
      </c>
      <c r="BF270" s="17">
        <f t="shared" si="232"/>
        <v>0</v>
      </c>
      <c r="BG270" s="17">
        <f t="shared" si="233"/>
        <v>0</v>
      </c>
      <c r="BH270" s="17">
        <f t="shared" si="234"/>
        <v>0</v>
      </c>
      <c r="BI270" s="17">
        <f>IF(MOD(AK270,12)=0,BG270*'1 - Input'!$B$23,0)</f>
        <v>0</v>
      </c>
      <c r="BJ270" s="17">
        <f t="shared" si="235"/>
        <v>0</v>
      </c>
      <c r="BK270" s="17">
        <f>IF(MOD(AK270,12)=0,BH270*(1-'1 - Input'!$B$23),BH270)</f>
        <v>0</v>
      </c>
      <c r="BL270" s="17">
        <f>IF('1 - Input'!$B$17=1,MIN(AV270,AN270)+BD270,AV270)</f>
        <v>0</v>
      </c>
      <c r="BM270" s="17">
        <f t="shared" si="262"/>
        <v>590482.93849429931</v>
      </c>
      <c r="BN270" s="17">
        <f t="shared" si="263"/>
        <v>101441.90180685223</v>
      </c>
      <c r="BO270" s="17">
        <f t="shared" si="264"/>
        <v>0</v>
      </c>
      <c r="BP270" s="17">
        <f t="shared" si="265"/>
        <v>174289.24056370757</v>
      </c>
      <c r="BQ270" s="17">
        <f t="shared" si="266"/>
        <v>8123.5662772395826</v>
      </c>
      <c r="BR270" s="17">
        <f t="shared" si="267"/>
        <v>145694.89613227767</v>
      </c>
      <c r="BS270" s="15">
        <f t="shared" si="236"/>
        <v>1</v>
      </c>
      <c r="BU270" s="14">
        <v>227</v>
      </c>
      <c r="BV270" s="15">
        <f t="shared" si="237"/>
        <v>19</v>
      </c>
      <c r="BW270" s="16">
        <f>(1+INDEX('1 - Input'!$B$34:$E$63,BV270,'1 - Input'!$B$16))^(1/12)-1</f>
        <v>4.1219243192651689E-3</v>
      </c>
      <c r="BX270" s="17">
        <f>'1 - Input'!$B$7*(1+'1 - Input'!$B$12)^(BV270-1)</f>
        <v>3856.2648684559363</v>
      </c>
      <c r="BY270" s="17">
        <f t="shared" si="268"/>
        <v>0</v>
      </c>
      <c r="BZ270" s="17">
        <f t="shared" si="269"/>
        <v>0</v>
      </c>
      <c r="CA270" s="17">
        <f t="shared" si="238"/>
        <v>0</v>
      </c>
      <c r="CB270" s="17">
        <f>IF(CA270&gt;0,'1 - Input'!$B$8/12*CA270,0)</f>
        <v>0</v>
      </c>
      <c r="CC270" s="17">
        <f t="shared" si="239"/>
        <v>0</v>
      </c>
      <c r="CD270" s="17">
        <f t="shared" si="240"/>
        <v>0</v>
      </c>
      <c r="CE270" s="17">
        <f>'1 - Input'!$B$22*(CB270-CD270)</f>
        <v>0</v>
      </c>
      <c r="CF270" s="17">
        <f t="shared" si="241"/>
        <v>0</v>
      </c>
      <c r="CG270" s="17">
        <f t="shared" si="242"/>
        <v>0</v>
      </c>
      <c r="CH270" s="17">
        <f>IF('1 - Input'!$B$17=1,MAX(0,CF270-BX270),0)</f>
        <v>0</v>
      </c>
      <c r="CI270" s="17">
        <f>IF('1 - Input'!$B$17=1,MAX(0,BX270-CF270),0)</f>
        <v>3856.2648684559363</v>
      </c>
      <c r="CJ270" s="17">
        <f t="shared" si="243"/>
        <v>0</v>
      </c>
      <c r="CK270" s="17">
        <f>IF(AND(CI270&gt;0,CC270&gt;0),CI270/(1-'1 - Input'!$B$22*CJ270),0)</f>
        <v>0</v>
      </c>
      <c r="CL270" s="17">
        <f t="shared" si="244"/>
        <v>0</v>
      </c>
      <c r="CM270" s="17">
        <f>'1 - Input'!$B$22*CJ270*CL270</f>
        <v>0</v>
      </c>
      <c r="CN270" s="17">
        <f t="shared" si="245"/>
        <v>0</v>
      </c>
      <c r="CO270" s="17">
        <f t="shared" si="246"/>
        <v>3856.2648684559363</v>
      </c>
      <c r="CP270" s="17">
        <f t="shared" si="247"/>
        <v>0</v>
      </c>
      <c r="CQ270" s="17">
        <f t="shared" si="248"/>
        <v>0</v>
      </c>
      <c r="CR270" s="17">
        <f t="shared" si="249"/>
        <v>0</v>
      </c>
      <c r="CS270" s="17">
        <f>IF(MOD(BU270,12)=0,CQ270*'1 - Input'!$B$23,0)</f>
        <v>0</v>
      </c>
      <c r="CT270" s="17">
        <f t="shared" si="250"/>
        <v>0</v>
      </c>
      <c r="CU270" s="17">
        <f>IF(MOD(BU270,12)=0,CR270*(1-'1 - Input'!$B$23),CR270)</f>
        <v>0</v>
      </c>
      <c r="CV270" s="17">
        <f>IF('1 - Input'!$B$17=1,MIN(CF270,BX270)+CN270,CF270)</f>
        <v>0</v>
      </c>
      <c r="CW270" s="17">
        <f t="shared" si="270"/>
        <v>686605.50041273201</v>
      </c>
      <c r="CX270" s="17">
        <f t="shared" si="271"/>
        <v>6018.3402768167462</v>
      </c>
      <c r="CY270" s="17">
        <f t="shared" si="272"/>
        <v>66518.776160328038</v>
      </c>
      <c r="CZ270" s="17">
        <f t="shared" si="273"/>
        <v>0</v>
      </c>
      <c r="DA270" s="17">
        <f t="shared" si="274"/>
        <v>10954.114452440983</v>
      </c>
      <c r="DB270" s="17">
        <f t="shared" si="275"/>
        <v>49572.334213845817</v>
      </c>
      <c r="DC270" s="15">
        <f t="shared" si="251"/>
        <v>1</v>
      </c>
    </row>
    <row r="271" spans="1:107">
      <c r="A271" s="14">
        <v>228</v>
      </c>
      <c r="B271" s="15">
        <f t="shared" si="207"/>
        <v>19</v>
      </c>
      <c r="C271" s="16">
        <f>(1+INDEX('1 - Input'!$B$34:$E$63,B271,'1 - Input'!$B$16))^(1/12)-1</f>
        <v>4.1219243192651689E-3</v>
      </c>
      <c r="D271" s="17">
        <f>'1 - Input'!$B$7*(1+'1 - Input'!$B$12)^(B271-1)</f>
        <v>3856.2648684559363</v>
      </c>
      <c r="E271" s="17">
        <f t="shared" si="252"/>
        <v>0</v>
      </c>
      <c r="F271" s="17">
        <f t="shared" si="253"/>
        <v>0</v>
      </c>
      <c r="G271" s="17">
        <f t="shared" si="208"/>
        <v>0</v>
      </c>
      <c r="H271" s="17">
        <f>IF(G271&gt;0,'1 - Input'!$B$8/12*G271,0)</f>
        <v>0</v>
      </c>
      <c r="I271" s="17">
        <f t="shared" si="209"/>
        <v>0</v>
      </c>
      <c r="J271" s="17">
        <f t="shared" si="210"/>
        <v>0</v>
      </c>
      <c r="K271" s="17">
        <f>'1 - Input'!$B$22*(H271-J271)</f>
        <v>0</v>
      </c>
      <c r="L271" s="17">
        <f t="shared" si="211"/>
        <v>0</v>
      </c>
      <c r="M271" s="17">
        <f t="shared" si="212"/>
        <v>0</v>
      </c>
      <c r="N271" s="17">
        <f>IF('1 - Input'!$B$17=1,MAX(0,L271-D271),0)</f>
        <v>0</v>
      </c>
      <c r="O271" s="17">
        <f>IF('1 - Input'!$B$17=1,MAX(0,D271-L271),0)</f>
        <v>3856.2648684559363</v>
      </c>
      <c r="P271" s="17">
        <f t="shared" si="213"/>
        <v>0</v>
      </c>
      <c r="Q271" s="17">
        <f>IF(AND(O271&gt;0,I271&gt;0),O271/(1-'1 - Input'!$B$22*P271),0)</f>
        <v>0</v>
      </c>
      <c r="R271" s="17">
        <f t="shared" si="214"/>
        <v>0</v>
      </c>
      <c r="S271" s="17">
        <f>'1 - Input'!$B$22*P271*R271</f>
        <v>0</v>
      </c>
      <c r="T271" s="17">
        <f t="shared" si="215"/>
        <v>0</v>
      </c>
      <c r="U271" s="17">
        <f t="shared" si="216"/>
        <v>3856.2648684559363</v>
      </c>
      <c r="V271" s="17">
        <f t="shared" si="217"/>
        <v>0</v>
      </c>
      <c r="W271" s="17">
        <f t="shared" si="218"/>
        <v>0</v>
      </c>
      <c r="X271" s="17">
        <f t="shared" si="219"/>
        <v>0</v>
      </c>
      <c r="Y271" s="17">
        <f>IF(MOD(A271,12)=0,W271*'1 - Input'!$B$23,0)</f>
        <v>0</v>
      </c>
      <c r="Z271" s="17">
        <f t="shared" si="220"/>
        <v>0</v>
      </c>
      <c r="AA271" s="17">
        <f>IF(MOD(A271,12)=0,X271*(1-'1 - Input'!$B$23),X271)</f>
        <v>0</v>
      </c>
      <c r="AB271" s="17">
        <f>IF('1 - Input'!$B$17=1,MIN(L271,D271)+T271,L271)</f>
        <v>0</v>
      </c>
      <c r="AC271" s="17">
        <f t="shared" si="254"/>
        <v>590482.93849429931</v>
      </c>
      <c r="AD271" s="17">
        <f t="shared" si="255"/>
        <v>101441.90180685223</v>
      </c>
      <c r="AE271" s="17">
        <f t="shared" si="256"/>
        <v>0</v>
      </c>
      <c r="AF271" s="17">
        <f t="shared" si="257"/>
        <v>174289.24056370757</v>
      </c>
      <c r="AG271" s="17">
        <f t="shared" si="258"/>
        <v>8123.5662772395826</v>
      </c>
      <c r="AH271" s="17">
        <f t="shared" si="259"/>
        <v>149551.16100073361</v>
      </c>
      <c r="AI271" s="15">
        <f t="shared" si="221"/>
        <v>1</v>
      </c>
      <c r="AK271" s="14">
        <v>228</v>
      </c>
      <c r="AL271" s="15">
        <f t="shared" si="222"/>
        <v>19</v>
      </c>
      <c r="AM271" s="16">
        <f>(1+INDEX('1 - Input'!$B$34:$E$63,AL271,'1 - Input'!$B$16))^(1/12)-1</f>
        <v>4.1219243192651689E-3</v>
      </c>
      <c r="AN271" s="17">
        <f>'1 - Input'!$B$7*(1+'1 - Input'!$B$12)^(AL271-1)</f>
        <v>3856.2648684559363</v>
      </c>
      <c r="AO271" s="17">
        <f t="shared" si="260"/>
        <v>0</v>
      </c>
      <c r="AP271" s="17">
        <f t="shared" si="261"/>
        <v>0</v>
      </c>
      <c r="AQ271" s="17">
        <f t="shared" si="223"/>
        <v>0</v>
      </c>
      <c r="AR271" s="17">
        <f>IF(AQ271&gt;0,'1 - Input'!$B$8/12*AQ271,0)</f>
        <v>0</v>
      </c>
      <c r="AS271" s="17">
        <f t="shared" si="224"/>
        <v>0</v>
      </c>
      <c r="AT271" s="17">
        <f t="shared" si="225"/>
        <v>0</v>
      </c>
      <c r="AU271" s="17">
        <f>'1 - Input'!$B$22*(AR271-AT271)</f>
        <v>0</v>
      </c>
      <c r="AV271" s="17">
        <f t="shared" si="226"/>
        <v>0</v>
      </c>
      <c r="AW271" s="17">
        <f t="shared" si="227"/>
        <v>0</v>
      </c>
      <c r="AX271" s="17">
        <f>IF('1 - Input'!$B$17=1,MAX(0,AV271-AN271),0)</f>
        <v>0</v>
      </c>
      <c r="AY271" s="17">
        <f>IF('1 - Input'!$B$17=1,MAX(0,AN271-AV271),0)</f>
        <v>3856.2648684559363</v>
      </c>
      <c r="AZ271" s="17">
        <f t="shared" si="228"/>
        <v>0</v>
      </c>
      <c r="BA271" s="17">
        <f>IF(AND(AY271&gt;0,AS271&gt;0),AY271/(1-'1 - Input'!$B$22*AZ271),0)</f>
        <v>0</v>
      </c>
      <c r="BB271" s="17">
        <f t="shared" si="229"/>
        <v>0</v>
      </c>
      <c r="BC271" s="17">
        <f>'1 - Input'!$B$22*AZ271*BB271</f>
        <v>0</v>
      </c>
      <c r="BD271" s="17">
        <f t="shared" si="230"/>
        <v>0</v>
      </c>
      <c r="BE271" s="17">
        <f t="shared" si="231"/>
        <v>3856.2648684559363</v>
      </c>
      <c r="BF271" s="17">
        <f t="shared" si="232"/>
        <v>0</v>
      </c>
      <c r="BG271" s="17">
        <f t="shared" si="233"/>
        <v>0</v>
      </c>
      <c r="BH271" s="17">
        <f t="shared" si="234"/>
        <v>0</v>
      </c>
      <c r="BI271" s="17">
        <f>IF(MOD(AK271,12)=0,BG271*'1 - Input'!$B$23,0)</f>
        <v>0</v>
      </c>
      <c r="BJ271" s="17">
        <f t="shared" si="235"/>
        <v>0</v>
      </c>
      <c r="BK271" s="17">
        <f>IF(MOD(AK271,12)=0,BH271*(1-'1 - Input'!$B$23),BH271)</f>
        <v>0</v>
      </c>
      <c r="BL271" s="17">
        <f>IF('1 - Input'!$B$17=1,MIN(AV271,AN271)+BD271,AV271)</f>
        <v>0</v>
      </c>
      <c r="BM271" s="17">
        <f t="shared" si="262"/>
        <v>590482.93849429931</v>
      </c>
      <c r="BN271" s="17">
        <f t="shared" si="263"/>
        <v>101441.90180685223</v>
      </c>
      <c r="BO271" s="17">
        <f t="shared" si="264"/>
        <v>0</v>
      </c>
      <c r="BP271" s="17">
        <f t="shared" si="265"/>
        <v>174289.24056370757</v>
      </c>
      <c r="BQ271" s="17">
        <f t="shared" si="266"/>
        <v>8123.5662772395826</v>
      </c>
      <c r="BR271" s="17">
        <f t="shared" si="267"/>
        <v>149551.16100073361</v>
      </c>
      <c r="BS271" s="15">
        <f t="shared" si="236"/>
        <v>1</v>
      </c>
      <c r="BU271" s="14">
        <v>228</v>
      </c>
      <c r="BV271" s="15">
        <f t="shared" si="237"/>
        <v>19</v>
      </c>
      <c r="BW271" s="16">
        <f>(1+INDEX('1 - Input'!$B$34:$E$63,BV271,'1 - Input'!$B$16))^(1/12)-1</f>
        <v>4.1219243192651689E-3</v>
      </c>
      <c r="BX271" s="17">
        <f>'1 - Input'!$B$7*(1+'1 - Input'!$B$12)^(BV271-1)</f>
        <v>3856.2648684559363</v>
      </c>
      <c r="BY271" s="17">
        <f t="shared" si="268"/>
        <v>0</v>
      </c>
      <c r="BZ271" s="17">
        <f t="shared" si="269"/>
        <v>0</v>
      </c>
      <c r="CA271" s="17">
        <f t="shared" si="238"/>
        <v>0</v>
      </c>
      <c r="CB271" s="17">
        <f>IF(CA271&gt;0,'1 - Input'!$B$8/12*CA271,0)</f>
        <v>0</v>
      </c>
      <c r="CC271" s="17">
        <f t="shared" si="239"/>
        <v>0</v>
      </c>
      <c r="CD271" s="17">
        <f t="shared" si="240"/>
        <v>0</v>
      </c>
      <c r="CE271" s="17">
        <f>'1 - Input'!$B$22*(CB271-CD271)</f>
        <v>0</v>
      </c>
      <c r="CF271" s="17">
        <f t="shared" si="241"/>
        <v>0</v>
      </c>
      <c r="CG271" s="17">
        <f t="shared" si="242"/>
        <v>0</v>
      </c>
      <c r="CH271" s="17">
        <f>IF('1 - Input'!$B$17=1,MAX(0,CF271-BX271),0)</f>
        <v>0</v>
      </c>
      <c r="CI271" s="17">
        <f>IF('1 - Input'!$B$17=1,MAX(0,BX271-CF271),0)</f>
        <v>3856.2648684559363</v>
      </c>
      <c r="CJ271" s="17">
        <f t="shared" si="243"/>
        <v>0</v>
      </c>
      <c r="CK271" s="17">
        <f>IF(AND(CI271&gt;0,CC271&gt;0),CI271/(1-'1 - Input'!$B$22*CJ271),0)</f>
        <v>0</v>
      </c>
      <c r="CL271" s="17">
        <f t="shared" si="244"/>
        <v>0</v>
      </c>
      <c r="CM271" s="17">
        <f>'1 - Input'!$B$22*CJ271*CL271</f>
        <v>0</v>
      </c>
      <c r="CN271" s="17">
        <f t="shared" si="245"/>
        <v>0</v>
      </c>
      <c r="CO271" s="17">
        <f t="shared" si="246"/>
        <v>3856.2648684559363</v>
      </c>
      <c r="CP271" s="17">
        <f t="shared" si="247"/>
        <v>0</v>
      </c>
      <c r="CQ271" s="17">
        <f t="shared" si="248"/>
        <v>0</v>
      </c>
      <c r="CR271" s="17">
        <f t="shared" si="249"/>
        <v>0</v>
      </c>
      <c r="CS271" s="17">
        <f>IF(MOD(BU271,12)=0,CQ271*'1 - Input'!$B$23,0)</f>
        <v>0</v>
      </c>
      <c r="CT271" s="17">
        <f t="shared" si="250"/>
        <v>0</v>
      </c>
      <c r="CU271" s="17">
        <f>IF(MOD(BU271,12)=0,CR271*(1-'1 - Input'!$B$23),CR271)</f>
        <v>0</v>
      </c>
      <c r="CV271" s="17">
        <f>IF('1 - Input'!$B$17=1,MIN(CF271,BX271)+CN271,CF271)</f>
        <v>0</v>
      </c>
      <c r="CW271" s="17">
        <f t="shared" si="270"/>
        <v>686605.50041273201</v>
      </c>
      <c r="CX271" s="17">
        <f t="shared" si="271"/>
        <v>6018.3402768167462</v>
      </c>
      <c r="CY271" s="17">
        <f t="shared" si="272"/>
        <v>66518.776160328038</v>
      </c>
      <c r="CZ271" s="17">
        <f t="shared" si="273"/>
        <v>0</v>
      </c>
      <c r="DA271" s="17">
        <f t="shared" si="274"/>
        <v>10954.114452440983</v>
      </c>
      <c r="DB271" s="17">
        <f t="shared" si="275"/>
        <v>53428.599082301756</v>
      </c>
      <c r="DC271" s="15">
        <f t="shared" si="251"/>
        <v>1</v>
      </c>
    </row>
    <row r="272" spans="1:107">
      <c r="A272" s="14">
        <v>229</v>
      </c>
      <c r="B272" s="15">
        <f t="shared" si="207"/>
        <v>20</v>
      </c>
      <c r="C272" s="16">
        <f>(1+INDEX('1 - Input'!$B$34:$E$63,B272,'1 - Input'!$B$16))^(1/12)-1</f>
        <v>4.1219243192651689E-3</v>
      </c>
      <c r="D272" s="17">
        <f>'1 - Input'!$B$7*(1+'1 - Input'!$B$12)^(B272-1)</f>
        <v>3933.3901658250547</v>
      </c>
      <c r="E272" s="17">
        <f t="shared" si="252"/>
        <v>0</v>
      </c>
      <c r="F272" s="17">
        <f t="shared" si="253"/>
        <v>0</v>
      </c>
      <c r="G272" s="17">
        <f t="shared" si="208"/>
        <v>0</v>
      </c>
      <c r="H272" s="17">
        <f>IF(G272&gt;0,'1 - Input'!$B$8/12*G272,0)</f>
        <v>0</v>
      </c>
      <c r="I272" s="17">
        <f t="shared" si="209"/>
        <v>0</v>
      </c>
      <c r="J272" s="17">
        <f t="shared" si="210"/>
        <v>0</v>
      </c>
      <c r="K272" s="17">
        <f>'1 - Input'!$B$22*(H272-J272)</f>
        <v>0</v>
      </c>
      <c r="L272" s="17">
        <f t="shared" si="211"/>
        <v>0</v>
      </c>
      <c r="M272" s="17">
        <f t="shared" si="212"/>
        <v>0</v>
      </c>
      <c r="N272" s="17">
        <f>IF('1 - Input'!$B$17=1,MAX(0,L272-D272),0)</f>
        <v>0</v>
      </c>
      <c r="O272" s="17">
        <f>IF('1 - Input'!$B$17=1,MAX(0,D272-L272),0)</f>
        <v>3933.3901658250547</v>
      </c>
      <c r="P272" s="17">
        <f t="shared" si="213"/>
        <v>0</v>
      </c>
      <c r="Q272" s="17">
        <f>IF(AND(O272&gt;0,I272&gt;0),O272/(1-'1 - Input'!$B$22*P272),0)</f>
        <v>0</v>
      </c>
      <c r="R272" s="17">
        <f t="shared" si="214"/>
        <v>0</v>
      </c>
      <c r="S272" s="17">
        <f>'1 - Input'!$B$22*P272*R272</f>
        <v>0</v>
      </c>
      <c r="T272" s="17">
        <f t="shared" si="215"/>
        <v>0</v>
      </c>
      <c r="U272" s="17">
        <f t="shared" si="216"/>
        <v>3933.3901658250547</v>
      </c>
      <c r="V272" s="17">
        <f t="shared" si="217"/>
        <v>0</v>
      </c>
      <c r="W272" s="17">
        <f t="shared" si="218"/>
        <v>0</v>
      </c>
      <c r="X272" s="17">
        <f t="shared" si="219"/>
        <v>0</v>
      </c>
      <c r="Y272" s="17">
        <f>IF(MOD(A272,12)=0,W272*'1 - Input'!$B$23,0)</f>
        <v>0</v>
      </c>
      <c r="Z272" s="17">
        <f t="shared" si="220"/>
        <v>0</v>
      </c>
      <c r="AA272" s="17">
        <f>IF(MOD(A272,12)=0,X272*(1-'1 - Input'!$B$23),X272)</f>
        <v>0</v>
      </c>
      <c r="AB272" s="17">
        <f>IF('1 - Input'!$B$17=1,MIN(L272,D272)+T272,L272)</f>
        <v>0</v>
      </c>
      <c r="AC272" s="17">
        <f t="shared" si="254"/>
        <v>590482.93849429931</v>
      </c>
      <c r="AD272" s="17">
        <f t="shared" si="255"/>
        <v>101441.90180685223</v>
      </c>
      <c r="AE272" s="17">
        <f t="shared" si="256"/>
        <v>0</v>
      </c>
      <c r="AF272" s="17">
        <f t="shared" si="257"/>
        <v>174289.24056370757</v>
      </c>
      <c r="AG272" s="17">
        <f t="shared" si="258"/>
        <v>8123.5662772395826</v>
      </c>
      <c r="AH272" s="17">
        <f t="shared" si="259"/>
        <v>153484.55116655867</v>
      </c>
      <c r="AI272" s="15">
        <f t="shared" si="221"/>
        <v>1</v>
      </c>
      <c r="AK272" s="14">
        <v>229</v>
      </c>
      <c r="AL272" s="15">
        <f t="shared" si="222"/>
        <v>20</v>
      </c>
      <c r="AM272" s="16">
        <f>(1+INDEX('1 - Input'!$B$34:$E$63,AL272,'1 - Input'!$B$16))^(1/12)-1</f>
        <v>4.1219243192651689E-3</v>
      </c>
      <c r="AN272" s="17">
        <f>'1 - Input'!$B$7*(1+'1 - Input'!$B$12)^(AL272-1)</f>
        <v>3933.3901658250547</v>
      </c>
      <c r="AO272" s="17">
        <f t="shared" si="260"/>
        <v>0</v>
      </c>
      <c r="AP272" s="17">
        <f t="shared" si="261"/>
        <v>0</v>
      </c>
      <c r="AQ272" s="17">
        <f t="shared" si="223"/>
        <v>0</v>
      </c>
      <c r="AR272" s="17">
        <f>IF(AQ272&gt;0,'1 - Input'!$B$8/12*AQ272,0)</f>
        <v>0</v>
      </c>
      <c r="AS272" s="17">
        <f t="shared" si="224"/>
        <v>0</v>
      </c>
      <c r="AT272" s="17">
        <f t="shared" si="225"/>
        <v>0</v>
      </c>
      <c r="AU272" s="17">
        <f>'1 - Input'!$B$22*(AR272-AT272)</f>
        <v>0</v>
      </c>
      <c r="AV272" s="17">
        <f t="shared" si="226"/>
        <v>0</v>
      </c>
      <c r="AW272" s="17">
        <f t="shared" si="227"/>
        <v>0</v>
      </c>
      <c r="AX272" s="17">
        <f>IF('1 - Input'!$B$17=1,MAX(0,AV272-AN272),0)</f>
        <v>0</v>
      </c>
      <c r="AY272" s="17">
        <f>IF('1 - Input'!$B$17=1,MAX(0,AN272-AV272),0)</f>
        <v>3933.3901658250547</v>
      </c>
      <c r="AZ272" s="17">
        <f t="shared" si="228"/>
        <v>0</v>
      </c>
      <c r="BA272" s="17">
        <f>IF(AND(AY272&gt;0,AS272&gt;0),AY272/(1-'1 - Input'!$B$22*AZ272),0)</f>
        <v>0</v>
      </c>
      <c r="BB272" s="17">
        <f t="shared" si="229"/>
        <v>0</v>
      </c>
      <c r="BC272" s="17">
        <f>'1 - Input'!$B$22*AZ272*BB272</f>
        <v>0</v>
      </c>
      <c r="BD272" s="17">
        <f t="shared" si="230"/>
        <v>0</v>
      </c>
      <c r="BE272" s="17">
        <f t="shared" si="231"/>
        <v>3933.3901658250547</v>
      </c>
      <c r="BF272" s="17">
        <f t="shared" si="232"/>
        <v>0</v>
      </c>
      <c r="BG272" s="17">
        <f t="shared" si="233"/>
        <v>0</v>
      </c>
      <c r="BH272" s="17">
        <f t="shared" si="234"/>
        <v>0</v>
      </c>
      <c r="BI272" s="17">
        <f>IF(MOD(AK272,12)=0,BG272*'1 - Input'!$B$23,0)</f>
        <v>0</v>
      </c>
      <c r="BJ272" s="17">
        <f t="shared" si="235"/>
        <v>0</v>
      </c>
      <c r="BK272" s="17">
        <f>IF(MOD(AK272,12)=0,BH272*(1-'1 - Input'!$B$23),BH272)</f>
        <v>0</v>
      </c>
      <c r="BL272" s="17">
        <f>IF('1 - Input'!$B$17=1,MIN(AV272,AN272)+BD272,AV272)</f>
        <v>0</v>
      </c>
      <c r="BM272" s="17">
        <f t="shared" si="262"/>
        <v>590482.93849429931</v>
      </c>
      <c r="BN272" s="17">
        <f t="shared" si="263"/>
        <v>101441.90180685223</v>
      </c>
      <c r="BO272" s="17">
        <f t="shared" si="264"/>
        <v>0</v>
      </c>
      <c r="BP272" s="17">
        <f t="shared" si="265"/>
        <v>174289.24056370757</v>
      </c>
      <c r="BQ272" s="17">
        <f t="shared" si="266"/>
        <v>8123.5662772395826</v>
      </c>
      <c r="BR272" s="17">
        <f t="shared" si="267"/>
        <v>153484.55116655867</v>
      </c>
      <c r="BS272" s="15">
        <f t="shared" si="236"/>
        <v>1</v>
      </c>
      <c r="BU272" s="14">
        <v>229</v>
      </c>
      <c r="BV272" s="15">
        <f t="shared" si="237"/>
        <v>20</v>
      </c>
      <c r="BW272" s="16">
        <f>(1+INDEX('1 - Input'!$B$34:$E$63,BV272,'1 - Input'!$B$16))^(1/12)-1</f>
        <v>4.1219243192651689E-3</v>
      </c>
      <c r="BX272" s="17">
        <f>'1 - Input'!$B$7*(1+'1 - Input'!$B$12)^(BV272-1)</f>
        <v>3933.3901658250547</v>
      </c>
      <c r="BY272" s="17">
        <f t="shared" si="268"/>
        <v>0</v>
      </c>
      <c r="BZ272" s="17">
        <f t="shared" si="269"/>
        <v>0</v>
      </c>
      <c r="CA272" s="17">
        <f t="shared" si="238"/>
        <v>0</v>
      </c>
      <c r="CB272" s="17">
        <f>IF(CA272&gt;0,'1 - Input'!$B$8/12*CA272,0)</f>
        <v>0</v>
      </c>
      <c r="CC272" s="17">
        <f t="shared" si="239"/>
        <v>0</v>
      </c>
      <c r="CD272" s="17">
        <f t="shared" si="240"/>
        <v>0</v>
      </c>
      <c r="CE272" s="17">
        <f>'1 - Input'!$B$22*(CB272-CD272)</f>
        <v>0</v>
      </c>
      <c r="CF272" s="17">
        <f t="shared" si="241"/>
        <v>0</v>
      </c>
      <c r="CG272" s="17">
        <f t="shared" si="242"/>
        <v>0</v>
      </c>
      <c r="CH272" s="17">
        <f>IF('1 - Input'!$B$17=1,MAX(0,CF272-BX272),0)</f>
        <v>0</v>
      </c>
      <c r="CI272" s="17">
        <f>IF('1 - Input'!$B$17=1,MAX(0,BX272-CF272),0)</f>
        <v>3933.3901658250547</v>
      </c>
      <c r="CJ272" s="17">
        <f t="shared" si="243"/>
        <v>0</v>
      </c>
      <c r="CK272" s="17">
        <f>IF(AND(CI272&gt;0,CC272&gt;0),CI272/(1-'1 - Input'!$B$22*CJ272),0)</f>
        <v>0</v>
      </c>
      <c r="CL272" s="17">
        <f t="shared" si="244"/>
        <v>0</v>
      </c>
      <c r="CM272" s="17">
        <f>'1 - Input'!$B$22*CJ272*CL272</f>
        <v>0</v>
      </c>
      <c r="CN272" s="17">
        <f t="shared" si="245"/>
        <v>0</v>
      </c>
      <c r="CO272" s="17">
        <f t="shared" si="246"/>
        <v>3933.3901658250547</v>
      </c>
      <c r="CP272" s="17">
        <f t="shared" si="247"/>
        <v>0</v>
      </c>
      <c r="CQ272" s="17">
        <f t="shared" si="248"/>
        <v>0</v>
      </c>
      <c r="CR272" s="17">
        <f t="shared" si="249"/>
        <v>0</v>
      </c>
      <c r="CS272" s="17">
        <f>IF(MOD(BU272,12)=0,CQ272*'1 - Input'!$B$23,0)</f>
        <v>0</v>
      </c>
      <c r="CT272" s="17">
        <f t="shared" si="250"/>
        <v>0</v>
      </c>
      <c r="CU272" s="17">
        <f>IF(MOD(BU272,12)=0,CR272*(1-'1 - Input'!$B$23),CR272)</f>
        <v>0</v>
      </c>
      <c r="CV272" s="17">
        <f>IF('1 - Input'!$B$17=1,MIN(CF272,BX272)+CN272,CF272)</f>
        <v>0</v>
      </c>
      <c r="CW272" s="17">
        <f t="shared" si="270"/>
        <v>686605.50041273201</v>
      </c>
      <c r="CX272" s="17">
        <f t="shared" si="271"/>
        <v>6018.3402768167462</v>
      </c>
      <c r="CY272" s="17">
        <f t="shared" si="272"/>
        <v>66518.776160328038</v>
      </c>
      <c r="CZ272" s="17">
        <f t="shared" si="273"/>
        <v>0</v>
      </c>
      <c r="DA272" s="17">
        <f t="shared" si="274"/>
        <v>10954.114452440983</v>
      </c>
      <c r="DB272" s="17">
        <f t="shared" si="275"/>
        <v>57361.989248126811</v>
      </c>
      <c r="DC272" s="15">
        <f t="shared" si="251"/>
        <v>1</v>
      </c>
    </row>
    <row r="273" spans="1:107">
      <c r="A273" s="14">
        <v>230</v>
      </c>
      <c r="B273" s="15">
        <f t="shared" si="207"/>
        <v>20</v>
      </c>
      <c r="C273" s="16">
        <f>(1+INDEX('1 - Input'!$B$34:$E$63,B273,'1 - Input'!$B$16))^(1/12)-1</f>
        <v>4.1219243192651689E-3</v>
      </c>
      <c r="D273" s="17">
        <f>'1 - Input'!$B$7*(1+'1 - Input'!$B$12)^(B273-1)</f>
        <v>3933.3901658250547</v>
      </c>
      <c r="E273" s="17">
        <f t="shared" si="252"/>
        <v>0</v>
      </c>
      <c r="F273" s="17">
        <f t="shared" si="253"/>
        <v>0</v>
      </c>
      <c r="G273" s="17">
        <f t="shared" si="208"/>
        <v>0</v>
      </c>
      <c r="H273" s="17">
        <f>IF(G273&gt;0,'1 - Input'!$B$8/12*G273,0)</f>
        <v>0</v>
      </c>
      <c r="I273" s="17">
        <f t="shared" si="209"/>
        <v>0</v>
      </c>
      <c r="J273" s="17">
        <f t="shared" si="210"/>
        <v>0</v>
      </c>
      <c r="K273" s="17">
        <f>'1 - Input'!$B$22*(H273-J273)</f>
        <v>0</v>
      </c>
      <c r="L273" s="17">
        <f t="shared" si="211"/>
        <v>0</v>
      </c>
      <c r="M273" s="17">
        <f t="shared" si="212"/>
        <v>0</v>
      </c>
      <c r="N273" s="17">
        <f>IF('1 - Input'!$B$17=1,MAX(0,L273-D273),0)</f>
        <v>0</v>
      </c>
      <c r="O273" s="17">
        <f>IF('1 - Input'!$B$17=1,MAX(0,D273-L273),0)</f>
        <v>3933.3901658250547</v>
      </c>
      <c r="P273" s="17">
        <f t="shared" si="213"/>
        <v>0</v>
      </c>
      <c r="Q273" s="17">
        <f>IF(AND(O273&gt;0,I273&gt;0),O273/(1-'1 - Input'!$B$22*P273),0)</f>
        <v>0</v>
      </c>
      <c r="R273" s="17">
        <f t="shared" si="214"/>
        <v>0</v>
      </c>
      <c r="S273" s="17">
        <f>'1 - Input'!$B$22*P273*R273</f>
        <v>0</v>
      </c>
      <c r="T273" s="17">
        <f t="shared" si="215"/>
        <v>0</v>
      </c>
      <c r="U273" s="17">
        <f t="shared" si="216"/>
        <v>3933.3901658250547</v>
      </c>
      <c r="V273" s="17">
        <f t="shared" si="217"/>
        <v>0</v>
      </c>
      <c r="W273" s="17">
        <f t="shared" si="218"/>
        <v>0</v>
      </c>
      <c r="X273" s="17">
        <f t="shared" si="219"/>
        <v>0</v>
      </c>
      <c r="Y273" s="17">
        <f>IF(MOD(A273,12)=0,W273*'1 - Input'!$B$23,0)</f>
        <v>0</v>
      </c>
      <c r="Z273" s="17">
        <f t="shared" si="220"/>
        <v>0</v>
      </c>
      <c r="AA273" s="17">
        <f>IF(MOD(A273,12)=0,X273*(1-'1 - Input'!$B$23),X273)</f>
        <v>0</v>
      </c>
      <c r="AB273" s="17">
        <f>IF('1 - Input'!$B$17=1,MIN(L273,D273)+T273,L273)</f>
        <v>0</v>
      </c>
      <c r="AC273" s="17">
        <f t="shared" si="254"/>
        <v>590482.93849429931</v>
      </c>
      <c r="AD273" s="17">
        <f t="shared" si="255"/>
        <v>101441.90180685223</v>
      </c>
      <c r="AE273" s="17">
        <f t="shared" si="256"/>
        <v>0</v>
      </c>
      <c r="AF273" s="17">
        <f t="shared" si="257"/>
        <v>174289.24056370757</v>
      </c>
      <c r="AG273" s="17">
        <f t="shared" si="258"/>
        <v>8123.5662772395826</v>
      </c>
      <c r="AH273" s="17">
        <f t="shared" si="259"/>
        <v>157417.94133238372</v>
      </c>
      <c r="AI273" s="15">
        <f t="shared" si="221"/>
        <v>1</v>
      </c>
      <c r="AK273" s="14">
        <v>230</v>
      </c>
      <c r="AL273" s="15">
        <f t="shared" si="222"/>
        <v>20</v>
      </c>
      <c r="AM273" s="16">
        <f>(1+INDEX('1 - Input'!$B$34:$E$63,AL273,'1 - Input'!$B$16))^(1/12)-1</f>
        <v>4.1219243192651689E-3</v>
      </c>
      <c r="AN273" s="17">
        <f>'1 - Input'!$B$7*(1+'1 - Input'!$B$12)^(AL273-1)</f>
        <v>3933.3901658250547</v>
      </c>
      <c r="AO273" s="17">
        <f t="shared" si="260"/>
        <v>0</v>
      </c>
      <c r="AP273" s="17">
        <f t="shared" si="261"/>
        <v>0</v>
      </c>
      <c r="AQ273" s="17">
        <f t="shared" si="223"/>
        <v>0</v>
      </c>
      <c r="AR273" s="17">
        <f>IF(AQ273&gt;0,'1 - Input'!$B$8/12*AQ273,0)</f>
        <v>0</v>
      </c>
      <c r="AS273" s="17">
        <f t="shared" si="224"/>
        <v>0</v>
      </c>
      <c r="AT273" s="17">
        <f t="shared" si="225"/>
        <v>0</v>
      </c>
      <c r="AU273" s="17">
        <f>'1 - Input'!$B$22*(AR273-AT273)</f>
        <v>0</v>
      </c>
      <c r="AV273" s="17">
        <f t="shared" si="226"/>
        <v>0</v>
      </c>
      <c r="AW273" s="17">
        <f t="shared" si="227"/>
        <v>0</v>
      </c>
      <c r="AX273" s="17">
        <f>IF('1 - Input'!$B$17=1,MAX(0,AV273-AN273),0)</f>
        <v>0</v>
      </c>
      <c r="AY273" s="17">
        <f>IF('1 - Input'!$B$17=1,MAX(0,AN273-AV273),0)</f>
        <v>3933.3901658250547</v>
      </c>
      <c r="AZ273" s="17">
        <f t="shared" si="228"/>
        <v>0</v>
      </c>
      <c r="BA273" s="17">
        <f>IF(AND(AY273&gt;0,AS273&gt;0),AY273/(1-'1 - Input'!$B$22*AZ273),0)</f>
        <v>0</v>
      </c>
      <c r="BB273" s="17">
        <f t="shared" si="229"/>
        <v>0</v>
      </c>
      <c r="BC273" s="17">
        <f>'1 - Input'!$B$22*AZ273*BB273</f>
        <v>0</v>
      </c>
      <c r="BD273" s="17">
        <f t="shared" si="230"/>
        <v>0</v>
      </c>
      <c r="BE273" s="17">
        <f t="shared" si="231"/>
        <v>3933.3901658250547</v>
      </c>
      <c r="BF273" s="17">
        <f t="shared" si="232"/>
        <v>0</v>
      </c>
      <c r="BG273" s="17">
        <f t="shared" si="233"/>
        <v>0</v>
      </c>
      <c r="BH273" s="17">
        <f t="shared" si="234"/>
        <v>0</v>
      </c>
      <c r="BI273" s="17">
        <f>IF(MOD(AK273,12)=0,BG273*'1 - Input'!$B$23,0)</f>
        <v>0</v>
      </c>
      <c r="BJ273" s="17">
        <f t="shared" si="235"/>
        <v>0</v>
      </c>
      <c r="BK273" s="17">
        <f>IF(MOD(AK273,12)=0,BH273*(1-'1 - Input'!$B$23),BH273)</f>
        <v>0</v>
      </c>
      <c r="BL273" s="17">
        <f>IF('1 - Input'!$B$17=1,MIN(AV273,AN273)+BD273,AV273)</f>
        <v>0</v>
      </c>
      <c r="BM273" s="17">
        <f t="shared" si="262"/>
        <v>590482.93849429931</v>
      </c>
      <c r="BN273" s="17">
        <f t="shared" si="263"/>
        <v>101441.90180685223</v>
      </c>
      <c r="BO273" s="17">
        <f t="shared" si="264"/>
        <v>0</v>
      </c>
      <c r="BP273" s="17">
        <f t="shared" si="265"/>
        <v>174289.24056370757</v>
      </c>
      <c r="BQ273" s="17">
        <f t="shared" si="266"/>
        <v>8123.5662772395826</v>
      </c>
      <c r="BR273" s="17">
        <f t="shared" si="267"/>
        <v>157417.94133238372</v>
      </c>
      <c r="BS273" s="15">
        <f t="shared" si="236"/>
        <v>1</v>
      </c>
      <c r="BU273" s="14">
        <v>230</v>
      </c>
      <c r="BV273" s="15">
        <f t="shared" si="237"/>
        <v>20</v>
      </c>
      <c r="BW273" s="16">
        <f>(1+INDEX('1 - Input'!$B$34:$E$63,BV273,'1 - Input'!$B$16))^(1/12)-1</f>
        <v>4.1219243192651689E-3</v>
      </c>
      <c r="BX273" s="17">
        <f>'1 - Input'!$B$7*(1+'1 - Input'!$B$12)^(BV273-1)</f>
        <v>3933.3901658250547</v>
      </c>
      <c r="BY273" s="17">
        <f t="shared" si="268"/>
        <v>0</v>
      </c>
      <c r="BZ273" s="17">
        <f t="shared" si="269"/>
        <v>0</v>
      </c>
      <c r="CA273" s="17">
        <f t="shared" si="238"/>
        <v>0</v>
      </c>
      <c r="CB273" s="17">
        <f>IF(CA273&gt;0,'1 - Input'!$B$8/12*CA273,0)</f>
        <v>0</v>
      </c>
      <c r="CC273" s="17">
        <f t="shared" si="239"/>
        <v>0</v>
      </c>
      <c r="CD273" s="17">
        <f t="shared" si="240"/>
        <v>0</v>
      </c>
      <c r="CE273" s="17">
        <f>'1 - Input'!$B$22*(CB273-CD273)</f>
        <v>0</v>
      </c>
      <c r="CF273" s="17">
        <f t="shared" si="241"/>
        <v>0</v>
      </c>
      <c r="CG273" s="17">
        <f t="shared" si="242"/>
        <v>0</v>
      </c>
      <c r="CH273" s="17">
        <f>IF('1 - Input'!$B$17=1,MAX(0,CF273-BX273),0)</f>
        <v>0</v>
      </c>
      <c r="CI273" s="17">
        <f>IF('1 - Input'!$B$17=1,MAX(0,BX273-CF273),0)</f>
        <v>3933.3901658250547</v>
      </c>
      <c r="CJ273" s="17">
        <f t="shared" si="243"/>
        <v>0</v>
      </c>
      <c r="CK273" s="17">
        <f>IF(AND(CI273&gt;0,CC273&gt;0),CI273/(1-'1 - Input'!$B$22*CJ273),0)</f>
        <v>0</v>
      </c>
      <c r="CL273" s="17">
        <f t="shared" si="244"/>
        <v>0</v>
      </c>
      <c r="CM273" s="17">
        <f>'1 - Input'!$B$22*CJ273*CL273</f>
        <v>0</v>
      </c>
      <c r="CN273" s="17">
        <f t="shared" si="245"/>
        <v>0</v>
      </c>
      <c r="CO273" s="17">
        <f t="shared" si="246"/>
        <v>3933.3901658250547</v>
      </c>
      <c r="CP273" s="17">
        <f t="shared" si="247"/>
        <v>0</v>
      </c>
      <c r="CQ273" s="17">
        <f t="shared" si="248"/>
        <v>0</v>
      </c>
      <c r="CR273" s="17">
        <f t="shared" si="249"/>
        <v>0</v>
      </c>
      <c r="CS273" s="17">
        <f>IF(MOD(BU273,12)=0,CQ273*'1 - Input'!$B$23,0)</f>
        <v>0</v>
      </c>
      <c r="CT273" s="17">
        <f t="shared" si="250"/>
        <v>0</v>
      </c>
      <c r="CU273" s="17">
        <f>IF(MOD(BU273,12)=0,CR273*(1-'1 - Input'!$B$23),CR273)</f>
        <v>0</v>
      </c>
      <c r="CV273" s="17">
        <f>IF('1 - Input'!$B$17=1,MIN(CF273,BX273)+CN273,CF273)</f>
        <v>0</v>
      </c>
      <c r="CW273" s="17">
        <f t="shared" si="270"/>
        <v>686605.50041273201</v>
      </c>
      <c r="CX273" s="17">
        <f t="shared" si="271"/>
        <v>6018.3402768167462</v>
      </c>
      <c r="CY273" s="17">
        <f t="shared" si="272"/>
        <v>66518.776160328038</v>
      </c>
      <c r="CZ273" s="17">
        <f t="shared" si="273"/>
        <v>0</v>
      </c>
      <c r="DA273" s="17">
        <f t="shared" si="274"/>
        <v>10954.114452440983</v>
      </c>
      <c r="DB273" s="17">
        <f t="shared" si="275"/>
        <v>61295.379413951865</v>
      </c>
      <c r="DC273" s="15">
        <f t="shared" si="251"/>
        <v>1</v>
      </c>
    </row>
    <row r="274" spans="1:107">
      <c r="A274" s="14">
        <v>231</v>
      </c>
      <c r="B274" s="15">
        <f t="shared" si="207"/>
        <v>20</v>
      </c>
      <c r="C274" s="16">
        <f>(1+INDEX('1 - Input'!$B$34:$E$63,B274,'1 - Input'!$B$16))^(1/12)-1</f>
        <v>4.1219243192651689E-3</v>
      </c>
      <c r="D274" s="17">
        <f>'1 - Input'!$B$7*(1+'1 - Input'!$B$12)^(B274-1)</f>
        <v>3933.3901658250547</v>
      </c>
      <c r="E274" s="17">
        <f t="shared" si="252"/>
        <v>0</v>
      </c>
      <c r="F274" s="17">
        <f t="shared" si="253"/>
        <v>0</v>
      </c>
      <c r="G274" s="17">
        <f t="shared" si="208"/>
        <v>0</v>
      </c>
      <c r="H274" s="17">
        <f>IF(G274&gt;0,'1 - Input'!$B$8/12*G274,0)</f>
        <v>0</v>
      </c>
      <c r="I274" s="17">
        <f t="shared" si="209"/>
        <v>0</v>
      </c>
      <c r="J274" s="17">
        <f t="shared" si="210"/>
        <v>0</v>
      </c>
      <c r="K274" s="17">
        <f>'1 - Input'!$B$22*(H274-J274)</f>
        <v>0</v>
      </c>
      <c r="L274" s="17">
        <f t="shared" si="211"/>
        <v>0</v>
      </c>
      <c r="M274" s="17">
        <f t="shared" si="212"/>
        <v>0</v>
      </c>
      <c r="N274" s="17">
        <f>IF('1 - Input'!$B$17=1,MAX(0,L274-D274),0)</f>
        <v>0</v>
      </c>
      <c r="O274" s="17">
        <f>IF('1 - Input'!$B$17=1,MAX(0,D274-L274),0)</f>
        <v>3933.3901658250547</v>
      </c>
      <c r="P274" s="17">
        <f t="shared" si="213"/>
        <v>0</v>
      </c>
      <c r="Q274" s="17">
        <f>IF(AND(O274&gt;0,I274&gt;0),O274/(1-'1 - Input'!$B$22*P274),0)</f>
        <v>0</v>
      </c>
      <c r="R274" s="17">
        <f t="shared" si="214"/>
        <v>0</v>
      </c>
      <c r="S274" s="17">
        <f>'1 - Input'!$B$22*P274*R274</f>
        <v>0</v>
      </c>
      <c r="T274" s="17">
        <f t="shared" si="215"/>
        <v>0</v>
      </c>
      <c r="U274" s="17">
        <f t="shared" si="216"/>
        <v>3933.3901658250547</v>
      </c>
      <c r="V274" s="17">
        <f t="shared" si="217"/>
        <v>0</v>
      </c>
      <c r="W274" s="17">
        <f t="shared" si="218"/>
        <v>0</v>
      </c>
      <c r="X274" s="17">
        <f t="shared" si="219"/>
        <v>0</v>
      </c>
      <c r="Y274" s="17">
        <f>IF(MOD(A274,12)=0,W274*'1 - Input'!$B$23,0)</f>
        <v>0</v>
      </c>
      <c r="Z274" s="17">
        <f t="shared" si="220"/>
        <v>0</v>
      </c>
      <c r="AA274" s="17">
        <f>IF(MOD(A274,12)=0,X274*(1-'1 - Input'!$B$23),X274)</f>
        <v>0</v>
      </c>
      <c r="AB274" s="17">
        <f>IF('1 - Input'!$B$17=1,MIN(L274,D274)+T274,L274)</f>
        <v>0</v>
      </c>
      <c r="AC274" s="17">
        <f t="shared" si="254"/>
        <v>590482.93849429931</v>
      </c>
      <c r="AD274" s="17">
        <f t="shared" si="255"/>
        <v>101441.90180685223</v>
      </c>
      <c r="AE274" s="17">
        <f t="shared" si="256"/>
        <v>0</v>
      </c>
      <c r="AF274" s="17">
        <f t="shared" si="257"/>
        <v>174289.24056370757</v>
      </c>
      <c r="AG274" s="17">
        <f t="shared" si="258"/>
        <v>8123.5662772395826</v>
      </c>
      <c r="AH274" s="17">
        <f t="shared" si="259"/>
        <v>161351.33149820878</v>
      </c>
      <c r="AI274" s="15">
        <f t="shared" si="221"/>
        <v>1</v>
      </c>
      <c r="AK274" s="14">
        <v>231</v>
      </c>
      <c r="AL274" s="15">
        <f t="shared" si="222"/>
        <v>20</v>
      </c>
      <c r="AM274" s="16">
        <f>(1+INDEX('1 - Input'!$B$34:$E$63,AL274,'1 - Input'!$B$16))^(1/12)-1</f>
        <v>4.1219243192651689E-3</v>
      </c>
      <c r="AN274" s="17">
        <f>'1 - Input'!$B$7*(1+'1 - Input'!$B$12)^(AL274-1)</f>
        <v>3933.3901658250547</v>
      </c>
      <c r="AO274" s="17">
        <f t="shared" si="260"/>
        <v>0</v>
      </c>
      <c r="AP274" s="17">
        <f t="shared" si="261"/>
        <v>0</v>
      </c>
      <c r="AQ274" s="17">
        <f t="shared" si="223"/>
        <v>0</v>
      </c>
      <c r="AR274" s="17">
        <f>IF(AQ274&gt;0,'1 - Input'!$B$8/12*AQ274,0)</f>
        <v>0</v>
      </c>
      <c r="AS274" s="17">
        <f t="shared" si="224"/>
        <v>0</v>
      </c>
      <c r="AT274" s="17">
        <f t="shared" si="225"/>
        <v>0</v>
      </c>
      <c r="AU274" s="17">
        <f>'1 - Input'!$B$22*(AR274-AT274)</f>
        <v>0</v>
      </c>
      <c r="AV274" s="17">
        <f t="shared" si="226"/>
        <v>0</v>
      </c>
      <c r="AW274" s="17">
        <f t="shared" si="227"/>
        <v>0</v>
      </c>
      <c r="AX274" s="17">
        <f>IF('1 - Input'!$B$17=1,MAX(0,AV274-AN274),0)</f>
        <v>0</v>
      </c>
      <c r="AY274" s="17">
        <f>IF('1 - Input'!$B$17=1,MAX(0,AN274-AV274),0)</f>
        <v>3933.3901658250547</v>
      </c>
      <c r="AZ274" s="17">
        <f t="shared" si="228"/>
        <v>0</v>
      </c>
      <c r="BA274" s="17">
        <f>IF(AND(AY274&gt;0,AS274&gt;0),AY274/(1-'1 - Input'!$B$22*AZ274),0)</f>
        <v>0</v>
      </c>
      <c r="BB274" s="17">
        <f t="shared" si="229"/>
        <v>0</v>
      </c>
      <c r="BC274" s="17">
        <f>'1 - Input'!$B$22*AZ274*BB274</f>
        <v>0</v>
      </c>
      <c r="BD274" s="17">
        <f t="shared" si="230"/>
        <v>0</v>
      </c>
      <c r="BE274" s="17">
        <f t="shared" si="231"/>
        <v>3933.3901658250547</v>
      </c>
      <c r="BF274" s="17">
        <f t="shared" si="232"/>
        <v>0</v>
      </c>
      <c r="BG274" s="17">
        <f t="shared" si="233"/>
        <v>0</v>
      </c>
      <c r="BH274" s="17">
        <f t="shared" si="234"/>
        <v>0</v>
      </c>
      <c r="BI274" s="17">
        <f>IF(MOD(AK274,12)=0,BG274*'1 - Input'!$B$23,0)</f>
        <v>0</v>
      </c>
      <c r="BJ274" s="17">
        <f t="shared" si="235"/>
        <v>0</v>
      </c>
      <c r="BK274" s="17">
        <f>IF(MOD(AK274,12)=0,BH274*(1-'1 - Input'!$B$23),BH274)</f>
        <v>0</v>
      </c>
      <c r="BL274" s="17">
        <f>IF('1 - Input'!$B$17=1,MIN(AV274,AN274)+BD274,AV274)</f>
        <v>0</v>
      </c>
      <c r="BM274" s="17">
        <f t="shared" si="262"/>
        <v>590482.93849429931</v>
      </c>
      <c r="BN274" s="17">
        <f t="shared" si="263"/>
        <v>101441.90180685223</v>
      </c>
      <c r="BO274" s="17">
        <f t="shared" si="264"/>
        <v>0</v>
      </c>
      <c r="BP274" s="17">
        <f t="shared" si="265"/>
        <v>174289.24056370757</v>
      </c>
      <c r="BQ274" s="17">
        <f t="shared" si="266"/>
        <v>8123.5662772395826</v>
      </c>
      <c r="BR274" s="17">
        <f t="shared" si="267"/>
        <v>161351.33149820878</v>
      </c>
      <c r="BS274" s="15">
        <f t="shared" si="236"/>
        <v>1</v>
      </c>
      <c r="BU274" s="14">
        <v>231</v>
      </c>
      <c r="BV274" s="15">
        <f t="shared" si="237"/>
        <v>20</v>
      </c>
      <c r="BW274" s="16">
        <f>(1+INDEX('1 - Input'!$B$34:$E$63,BV274,'1 - Input'!$B$16))^(1/12)-1</f>
        <v>4.1219243192651689E-3</v>
      </c>
      <c r="BX274" s="17">
        <f>'1 - Input'!$B$7*(1+'1 - Input'!$B$12)^(BV274-1)</f>
        <v>3933.3901658250547</v>
      </c>
      <c r="BY274" s="17">
        <f t="shared" si="268"/>
        <v>0</v>
      </c>
      <c r="BZ274" s="17">
        <f t="shared" si="269"/>
        <v>0</v>
      </c>
      <c r="CA274" s="17">
        <f t="shared" si="238"/>
        <v>0</v>
      </c>
      <c r="CB274" s="17">
        <f>IF(CA274&gt;0,'1 - Input'!$B$8/12*CA274,0)</f>
        <v>0</v>
      </c>
      <c r="CC274" s="17">
        <f t="shared" si="239"/>
        <v>0</v>
      </c>
      <c r="CD274" s="17">
        <f t="shared" si="240"/>
        <v>0</v>
      </c>
      <c r="CE274" s="17">
        <f>'1 - Input'!$B$22*(CB274-CD274)</f>
        <v>0</v>
      </c>
      <c r="CF274" s="17">
        <f t="shared" si="241"/>
        <v>0</v>
      </c>
      <c r="CG274" s="17">
        <f t="shared" si="242"/>
        <v>0</v>
      </c>
      <c r="CH274" s="17">
        <f>IF('1 - Input'!$B$17=1,MAX(0,CF274-BX274),0)</f>
        <v>0</v>
      </c>
      <c r="CI274" s="17">
        <f>IF('1 - Input'!$B$17=1,MAX(0,BX274-CF274),0)</f>
        <v>3933.3901658250547</v>
      </c>
      <c r="CJ274" s="17">
        <f t="shared" si="243"/>
        <v>0</v>
      </c>
      <c r="CK274" s="17">
        <f>IF(AND(CI274&gt;0,CC274&gt;0),CI274/(1-'1 - Input'!$B$22*CJ274),0)</f>
        <v>0</v>
      </c>
      <c r="CL274" s="17">
        <f t="shared" si="244"/>
        <v>0</v>
      </c>
      <c r="CM274" s="17">
        <f>'1 - Input'!$B$22*CJ274*CL274</f>
        <v>0</v>
      </c>
      <c r="CN274" s="17">
        <f t="shared" si="245"/>
        <v>0</v>
      </c>
      <c r="CO274" s="17">
        <f t="shared" si="246"/>
        <v>3933.3901658250547</v>
      </c>
      <c r="CP274" s="17">
        <f t="shared" si="247"/>
        <v>0</v>
      </c>
      <c r="CQ274" s="17">
        <f t="shared" si="248"/>
        <v>0</v>
      </c>
      <c r="CR274" s="17">
        <f t="shared" si="249"/>
        <v>0</v>
      </c>
      <c r="CS274" s="17">
        <f>IF(MOD(BU274,12)=0,CQ274*'1 - Input'!$B$23,0)</f>
        <v>0</v>
      </c>
      <c r="CT274" s="17">
        <f t="shared" si="250"/>
        <v>0</v>
      </c>
      <c r="CU274" s="17">
        <f>IF(MOD(BU274,12)=0,CR274*(1-'1 - Input'!$B$23),CR274)</f>
        <v>0</v>
      </c>
      <c r="CV274" s="17">
        <f>IF('1 - Input'!$B$17=1,MIN(CF274,BX274)+CN274,CF274)</f>
        <v>0</v>
      </c>
      <c r="CW274" s="17">
        <f t="shared" si="270"/>
        <v>686605.50041273201</v>
      </c>
      <c r="CX274" s="17">
        <f t="shared" si="271"/>
        <v>6018.3402768167462</v>
      </c>
      <c r="CY274" s="17">
        <f t="shared" si="272"/>
        <v>66518.776160328038</v>
      </c>
      <c r="CZ274" s="17">
        <f t="shared" si="273"/>
        <v>0</v>
      </c>
      <c r="DA274" s="17">
        <f t="shared" si="274"/>
        <v>10954.114452440983</v>
      </c>
      <c r="DB274" s="17">
        <f t="shared" si="275"/>
        <v>65228.769579776919</v>
      </c>
      <c r="DC274" s="15">
        <f t="shared" si="251"/>
        <v>1</v>
      </c>
    </row>
    <row r="275" spans="1:107">
      <c r="A275" s="14">
        <v>232</v>
      </c>
      <c r="B275" s="15">
        <f t="shared" si="207"/>
        <v>20</v>
      </c>
      <c r="C275" s="16">
        <f>(1+INDEX('1 - Input'!$B$34:$E$63,B275,'1 - Input'!$B$16))^(1/12)-1</f>
        <v>4.1219243192651689E-3</v>
      </c>
      <c r="D275" s="17">
        <f>'1 - Input'!$B$7*(1+'1 - Input'!$B$12)^(B275-1)</f>
        <v>3933.3901658250547</v>
      </c>
      <c r="E275" s="17">
        <f t="shared" si="252"/>
        <v>0</v>
      </c>
      <c r="F275" s="17">
        <f t="shared" si="253"/>
        <v>0</v>
      </c>
      <c r="G275" s="17">
        <f t="shared" si="208"/>
        <v>0</v>
      </c>
      <c r="H275" s="17">
        <f>IF(G275&gt;0,'1 - Input'!$B$8/12*G275,0)</f>
        <v>0</v>
      </c>
      <c r="I275" s="17">
        <f t="shared" si="209"/>
        <v>0</v>
      </c>
      <c r="J275" s="17">
        <f t="shared" si="210"/>
        <v>0</v>
      </c>
      <c r="K275" s="17">
        <f>'1 - Input'!$B$22*(H275-J275)</f>
        <v>0</v>
      </c>
      <c r="L275" s="17">
        <f t="shared" si="211"/>
        <v>0</v>
      </c>
      <c r="M275" s="17">
        <f t="shared" si="212"/>
        <v>0</v>
      </c>
      <c r="N275" s="17">
        <f>IF('1 - Input'!$B$17=1,MAX(0,L275-D275),0)</f>
        <v>0</v>
      </c>
      <c r="O275" s="17">
        <f>IF('1 - Input'!$B$17=1,MAX(0,D275-L275),0)</f>
        <v>3933.3901658250547</v>
      </c>
      <c r="P275" s="17">
        <f t="shared" si="213"/>
        <v>0</v>
      </c>
      <c r="Q275" s="17">
        <f>IF(AND(O275&gt;0,I275&gt;0),O275/(1-'1 - Input'!$B$22*P275),0)</f>
        <v>0</v>
      </c>
      <c r="R275" s="17">
        <f t="shared" si="214"/>
        <v>0</v>
      </c>
      <c r="S275" s="17">
        <f>'1 - Input'!$B$22*P275*R275</f>
        <v>0</v>
      </c>
      <c r="T275" s="17">
        <f t="shared" si="215"/>
        <v>0</v>
      </c>
      <c r="U275" s="17">
        <f t="shared" si="216"/>
        <v>3933.3901658250547</v>
      </c>
      <c r="V275" s="17">
        <f t="shared" si="217"/>
        <v>0</v>
      </c>
      <c r="W275" s="17">
        <f t="shared" si="218"/>
        <v>0</v>
      </c>
      <c r="X275" s="17">
        <f t="shared" si="219"/>
        <v>0</v>
      </c>
      <c r="Y275" s="17">
        <f>IF(MOD(A275,12)=0,W275*'1 - Input'!$B$23,0)</f>
        <v>0</v>
      </c>
      <c r="Z275" s="17">
        <f t="shared" si="220"/>
        <v>0</v>
      </c>
      <c r="AA275" s="17">
        <f>IF(MOD(A275,12)=0,X275*(1-'1 - Input'!$B$23),X275)</f>
        <v>0</v>
      </c>
      <c r="AB275" s="17">
        <f>IF('1 - Input'!$B$17=1,MIN(L275,D275)+T275,L275)</f>
        <v>0</v>
      </c>
      <c r="AC275" s="17">
        <f t="shared" si="254"/>
        <v>590482.93849429931</v>
      </c>
      <c r="AD275" s="17">
        <f t="shared" si="255"/>
        <v>101441.90180685223</v>
      </c>
      <c r="AE275" s="17">
        <f t="shared" si="256"/>
        <v>0</v>
      </c>
      <c r="AF275" s="17">
        <f t="shared" si="257"/>
        <v>174289.24056370757</v>
      </c>
      <c r="AG275" s="17">
        <f t="shared" si="258"/>
        <v>8123.5662772395826</v>
      </c>
      <c r="AH275" s="17">
        <f t="shared" si="259"/>
        <v>165284.72166403383</v>
      </c>
      <c r="AI275" s="15">
        <f t="shared" si="221"/>
        <v>1</v>
      </c>
      <c r="AK275" s="14">
        <v>232</v>
      </c>
      <c r="AL275" s="15">
        <f t="shared" si="222"/>
        <v>20</v>
      </c>
      <c r="AM275" s="16">
        <f>(1+INDEX('1 - Input'!$B$34:$E$63,AL275,'1 - Input'!$B$16))^(1/12)-1</f>
        <v>4.1219243192651689E-3</v>
      </c>
      <c r="AN275" s="17">
        <f>'1 - Input'!$B$7*(1+'1 - Input'!$B$12)^(AL275-1)</f>
        <v>3933.3901658250547</v>
      </c>
      <c r="AO275" s="17">
        <f t="shared" si="260"/>
        <v>0</v>
      </c>
      <c r="AP275" s="17">
        <f t="shared" si="261"/>
        <v>0</v>
      </c>
      <c r="AQ275" s="17">
        <f t="shared" si="223"/>
        <v>0</v>
      </c>
      <c r="AR275" s="17">
        <f>IF(AQ275&gt;0,'1 - Input'!$B$8/12*AQ275,0)</f>
        <v>0</v>
      </c>
      <c r="AS275" s="17">
        <f t="shared" si="224"/>
        <v>0</v>
      </c>
      <c r="AT275" s="17">
        <f t="shared" si="225"/>
        <v>0</v>
      </c>
      <c r="AU275" s="17">
        <f>'1 - Input'!$B$22*(AR275-AT275)</f>
        <v>0</v>
      </c>
      <c r="AV275" s="17">
        <f t="shared" si="226"/>
        <v>0</v>
      </c>
      <c r="AW275" s="17">
        <f t="shared" si="227"/>
        <v>0</v>
      </c>
      <c r="AX275" s="17">
        <f>IF('1 - Input'!$B$17=1,MAX(0,AV275-AN275),0)</f>
        <v>0</v>
      </c>
      <c r="AY275" s="17">
        <f>IF('1 - Input'!$B$17=1,MAX(0,AN275-AV275),0)</f>
        <v>3933.3901658250547</v>
      </c>
      <c r="AZ275" s="17">
        <f t="shared" si="228"/>
        <v>0</v>
      </c>
      <c r="BA275" s="17">
        <f>IF(AND(AY275&gt;0,AS275&gt;0),AY275/(1-'1 - Input'!$B$22*AZ275),0)</f>
        <v>0</v>
      </c>
      <c r="BB275" s="17">
        <f t="shared" si="229"/>
        <v>0</v>
      </c>
      <c r="BC275" s="17">
        <f>'1 - Input'!$B$22*AZ275*BB275</f>
        <v>0</v>
      </c>
      <c r="BD275" s="17">
        <f t="shared" si="230"/>
        <v>0</v>
      </c>
      <c r="BE275" s="17">
        <f t="shared" si="231"/>
        <v>3933.3901658250547</v>
      </c>
      <c r="BF275" s="17">
        <f t="shared" si="232"/>
        <v>0</v>
      </c>
      <c r="BG275" s="17">
        <f t="shared" si="233"/>
        <v>0</v>
      </c>
      <c r="BH275" s="17">
        <f t="shared" si="234"/>
        <v>0</v>
      </c>
      <c r="BI275" s="17">
        <f>IF(MOD(AK275,12)=0,BG275*'1 - Input'!$B$23,0)</f>
        <v>0</v>
      </c>
      <c r="BJ275" s="17">
        <f t="shared" si="235"/>
        <v>0</v>
      </c>
      <c r="BK275" s="17">
        <f>IF(MOD(AK275,12)=0,BH275*(1-'1 - Input'!$B$23),BH275)</f>
        <v>0</v>
      </c>
      <c r="BL275" s="17">
        <f>IF('1 - Input'!$B$17=1,MIN(AV275,AN275)+BD275,AV275)</f>
        <v>0</v>
      </c>
      <c r="BM275" s="17">
        <f t="shared" si="262"/>
        <v>590482.93849429931</v>
      </c>
      <c r="BN275" s="17">
        <f t="shared" si="263"/>
        <v>101441.90180685223</v>
      </c>
      <c r="BO275" s="17">
        <f t="shared" si="264"/>
        <v>0</v>
      </c>
      <c r="BP275" s="17">
        <f t="shared" si="265"/>
        <v>174289.24056370757</v>
      </c>
      <c r="BQ275" s="17">
        <f t="shared" si="266"/>
        <v>8123.5662772395826</v>
      </c>
      <c r="BR275" s="17">
        <f t="shared" si="267"/>
        <v>165284.72166403383</v>
      </c>
      <c r="BS275" s="15">
        <f t="shared" si="236"/>
        <v>1</v>
      </c>
      <c r="BU275" s="14">
        <v>232</v>
      </c>
      <c r="BV275" s="15">
        <f t="shared" si="237"/>
        <v>20</v>
      </c>
      <c r="BW275" s="16">
        <f>(1+INDEX('1 - Input'!$B$34:$E$63,BV275,'1 - Input'!$B$16))^(1/12)-1</f>
        <v>4.1219243192651689E-3</v>
      </c>
      <c r="BX275" s="17">
        <f>'1 - Input'!$B$7*(1+'1 - Input'!$B$12)^(BV275-1)</f>
        <v>3933.3901658250547</v>
      </c>
      <c r="BY275" s="17">
        <f t="shared" si="268"/>
        <v>0</v>
      </c>
      <c r="BZ275" s="17">
        <f t="shared" si="269"/>
        <v>0</v>
      </c>
      <c r="CA275" s="17">
        <f t="shared" si="238"/>
        <v>0</v>
      </c>
      <c r="CB275" s="17">
        <f>IF(CA275&gt;0,'1 - Input'!$B$8/12*CA275,0)</f>
        <v>0</v>
      </c>
      <c r="CC275" s="17">
        <f t="shared" si="239"/>
        <v>0</v>
      </c>
      <c r="CD275" s="17">
        <f t="shared" si="240"/>
        <v>0</v>
      </c>
      <c r="CE275" s="17">
        <f>'1 - Input'!$B$22*(CB275-CD275)</f>
        <v>0</v>
      </c>
      <c r="CF275" s="17">
        <f t="shared" si="241"/>
        <v>0</v>
      </c>
      <c r="CG275" s="17">
        <f t="shared" si="242"/>
        <v>0</v>
      </c>
      <c r="CH275" s="17">
        <f>IF('1 - Input'!$B$17=1,MAX(0,CF275-BX275),0)</f>
        <v>0</v>
      </c>
      <c r="CI275" s="17">
        <f>IF('1 - Input'!$B$17=1,MAX(0,BX275-CF275),0)</f>
        <v>3933.3901658250547</v>
      </c>
      <c r="CJ275" s="17">
        <f t="shared" si="243"/>
        <v>0</v>
      </c>
      <c r="CK275" s="17">
        <f>IF(AND(CI275&gt;0,CC275&gt;0),CI275/(1-'1 - Input'!$B$22*CJ275),0)</f>
        <v>0</v>
      </c>
      <c r="CL275" s="17">
        <f t="shared" si="244"/>
        <v>0</v>
      </c>
      <c r="CM275" s="17">
        <f>'1 - Input'!$B$22*CJ275*CL275</f>
        <v>0</v>
      </c>
      <c r="CN275" s="17">
        <f t="shared" si="245"/>
        <v>0</v>
      </c>
      <c r="CO275" s="17">
        <f t="shared" si="246"/>
        <v>3933.3901658250547</v>
      </c>
      <c r="CP275" s="17">
        <f t="shared" si="247"/>
        <v>0</v>
      </c>
      <c r="CQ275" s="17">
        <f t="shared" si="248"/>
        <v>0</v>
      </c>
      <c r="CR275" s="17">
        <f t="shared" si="249"/>
        <v>0</v>
      </c>
      <c r="CS275" s="17">
        <f>IF(MOD(BU275,12)=0,CQ275*'1 - Input'!$B$23,0)</f>
        <v>0</v>
      </c>
      <c r="CT275" s="17">
        <f t="shared" si="250"/>
        <v>0</v>
      </c>
      <c r="CU275" s="17">
        <f>IF(MOD(BU275,12)=0,CR275*(1-'1 - Input'!$B$23),CR275)</f>
        <v>0</v>
      </c>
      <c r="CV275" s="17">
        <f>IF('1 - Input'!$B$17=1,MIN(CF275,BX275)+CN275,CF275)</f>
        <v>0</v>
      </c>
      <c r="CW275" s="17">
        <f t="shared" si="270"/>
        <v>686605.50041273201</v>
      </c>
      <c r="CX275" s="17">
        <f t="shared" si="271"/>
        <v>6018.3402768167462</v>
      </c>
      <c r="CY275" s="17">
        <f t="shared" si="272"/>
        <v>66518.776160328038</v>
      </c>
      <c r="CZ275" s="17">
        <f t="shared" si="273"/>
        <v>0</v>
      </c>
      <c r="DA275" s="17">
        <f t="shared" si="274"/>
        <v>10954.114452440983</v>
      </c>
      <c r="DB275" s="17">
        <f t="shared" si="275"/>
        <v>69162.159745601981</v>
      </c>
      <c r="DC275" s="15">
        <f t="shared" si="251"/>
        <v>1</v>
      </c>
    </row>
    <row r="276" spans="1:107">
      <c r="A276" s="14">
        <v>233</v>
      </c>
      <c r="B276" s="15">
        <f t="shared" si="207"/>
        <v>20</v>
      </c>
      <c r="C276" s="16">
        <f>(1+INDEX('1 - Input'!$B$34:$E$63,B276,'1 - Input'!$B$16))^(1/12)-1</f>
        <v>4.1219243192651689E-3</v>
      </c>
      <c r="D276" s="17">
        <f>'1 - Input'!$B$7*(1+'1 - Input'!$B$12)^(B276-1)</f>
        <v>3933.3901658250547</v>
      </c>
      <c r="E276" s="17">
        <f t="shared" si="252"/>
        <v>0</v>
      </c>
      <c r="F276" s="17">
        <f t="shared" si="253"/>
        <v>0</v>
      </c>
      <c r="G276" s="17">
        <f t="shared" si="208"/>
        <v>0</v>
      </c>
      <c r="H276" s="17">
        <f>IF(G276&gt;0,'1 - Input'!$B$8/12*G276,0)</f>
        <v>0</v>
      </c>
      <c r="I276" s="17">
        <f t="shared" si="209"/>
        <v>0</v>
      </c>
      <c r="J276" s="17">
        <f t="shared" si="210"/>
        <v>0</v>
      </c>
      <c r="K276" s="17">
        <f>'1 - Input'!$B$22*(H276-J276)</f>
        <v>0</v>
      </c>
      <c r="L276" s="17">
        <f t="shared" si="211"/>
        <v>0</v>
      </c>
      <c r="M276" s="17">
        <f t="shared" si="212"/>
        <v>0</v>
      </c>
      <c r="N276" s="17">
        <f>IF('1 - Input'!$B$17=1,MAX(0,L276-D276),0)</f>
        <v>0</v>
      </c>
      <c r="O276" s="17">
        <f>IF('1 - Input'!$B$17=1,MAX(0,D276-L276),0)</f>
        <v>3933.3901658250547</v>
      </c>
      <c r="P276" s="17">
        <f t="shared" si="213"/>
        <v>0</v>
      </c>
      <c r="Q276" s="17">
        <f>IF(AND(O276&gt;0,I276&gt;0),O276/(1-'1 - Input'!$B$22*P276),0)</f>
        <v>0</v>
      </c>
      <c r="R276" s="17">
        <f t="shared" si="214"/>
        <v>0</v>
      </c>
      <c r="S276" s="17">
        <f>'1 - Input'!$B$22*P276*R276</f>
        <v>0</v>
      </c>
      <c r="T276" s="17">
        <f t="shared" si="215"/>
        <v>0</v>
      </c>
      <c r="U276" s="17">
        <f t="shared" si="216"/>
        <v>3933.3901658250547</v>
      </c>
      <c r="V276" s="17">
        <f t="shared" si="217"/>
        <v>0</v>
      </c>
      <c r="W276" s="17">
        <f t="shared" si="218"/>
        <v>0</v>
      </c>
      <c r="X276" s="17">
        <f t="shared" si="219"/>
        <v>0</v>
      </c>
      <c r="Y276" s="17">
        <f>IF(MOD(A276,12)=0,W276*'1 - Input'!$B$23,0)</f>
        <v>0</v>
      </c>
      <c r="Z276" s="17">
        <f t="shared" si="220"/>
        <v>0</v>
      </c>
      <c r="AA276" s="17">
        <f>IF(MOD(A276,12)=0,X276*(1-'1 - Input'!$B$23),X276)</f>
        <v>0</v>
      </c>
      <c r="AB276" s="17">
        <f>IF('1 - Input'!$B$17=1,MIN(L276,D276)+T276,L276)</f>
        <v>0</v>
      </c>
      <c r="AC276" s="17">
        <f t="shared" si="254"/>
        <v>590482.93849429931</v>
      </c>
      <c r="AD276" s="17">
        <f t="shared" si="255"/>
        <v>101441.90180685223</v>
      </c>
      <c r="AE276" s="17">
        <f t="shared" si="256"/>
        <v>0</v>
      </c>
      <c r="AF276" s="17">
        <f t="shared" si="257"/>
        <v>174289.24056370757</v>
      </c>
      <c r="AG276" s="17">
        <f t="shared" si="258"/>
        <v>8123.5662772395826</v>
      </c>
      <c r="AH276" s="17">
        <f t="shared" si="259"/>
        <v>169218.11182985888</v>
      </c>
      <c r="AI276" s="15">
        <f t="shared" si="221"/>
        <v>1</v>
      </c>
      <c r="AK276" s="14">
        <v>233</v>
      </c>
      <c r="AL276" s="15">
        <f t="shared" si="222"/>
        <v>20</v>
      </c>
      <c r="AM276" s="16">
        <f>(1+INDEX('1 - Input'!$B$34:$E$63,AL276,'1 - Input'!$B$16))^(1/12)-1</f>
        <v>4.1219243192651689E-3</v>
      </c>
      <c r="AN276" s="17">
        <f>'1 - Input'!$B$7*(1+'1 - Input'!$B$12)^(AL276-1)</f>
        <v>3933.3901658250547</v>
      </c>
      <c r="AO276" s="17">
        <f t="shared" si="260"/>
        <v>0</v>
      </c>
      <c r="AP276" s="17">
        <f t="shared" si="261"/>
        <v>0</v>
      </c>
      <c r="AQ276" s="17">
        <f t="shared" si="223"/>
        <v>0</v>
      </c>
      <c r="AR276" s="17">
        <f>IF(AQ276&gt;0,'1 - Input'!$B$8/12*AQ276,0)</f>
        <v>0</v>
      </c>
      <c r="AS276" s="17">
        <f t="shared" si="224"/>
        <v>0</v>
      </c>
      <c r="AT276" s="17">
        <f t="shared" si="225"/>
        <v>0</v>
      </c>
      <c r="AU276" s="17">
        <f>'1 - Input'!$B$22*(AR276-AT276)</f>
        <v>0</v>
      </c>
      <c r="AV276" s="17">
        <f t="shared" si="226"/>
        <v>0</v>
      </c>
      <c r="AW276" s="17">
        <f t="shared" si="227"/>
        <v>0</v>
      </c>
      <c r="AX276" s="17">
        <f>IF('1 - Input'!$B$17=1,MAX(0,AV276-AN276),0)</f>
        <v>0</v>
      </c>
      <c r="AY276" s="17">
        <f>IF('1 - Input'!$B$17=1,MAX(0,AN276-AV276),0)</f>
        <v>3933.3901658250547</v>
      </c>
      <c r="AZ276" s="17">
        <f t="shared" si="228"/>
        <v>0</v>
      </c>
      <c r="BA276" s="17">
        <f>IF(AND(AY276&gt;0,AS276&gt;0),AY276/(1-'1 - Input'!$B$22*AZ276),0)</f>
        <v>0</v>
      </c>
      <c r="BB276" s="17">
        <f t="shared" si="229"/>
        <v>0</v>
      </c>
      <c r="BC276" s="17">
        <f>'1 - Input'!$B$22*AZ276*BB276</f>
        <v>0</v>
      </c>
      <c r="BD276" s="17">
        <f t="shared" si="230"/>
        <v>0</v>
      </c>
      <c r="BE276" s="17">
        <f t="shared" si="231"/>
        <v>3933.3901658250547</v>
      </c>
      <c r="BF276" s="17">
        <f t="shared" si="232"/>
        <v>0</v>
      </c>
      <c r="BG276" s="17">
        <f t="shared" si="233"/>
        <v>0</v>
      </c>
      <c r="BH276" s="17">
        <f t="shared" si="234"/>
        <v>0</v>
      </c>
      <c r="BI276" s="17">
        <f>IF(MOD(AK276,12)=0,BG276*'1 - Input'!$B$23,0)</f>
        <v>0</v>
      </c>
      <c r="BJ276" s="17">
        <f t="shared" si="235"/>
        <v>0</v>
      </c>
      <c r="BK276" s="17">
        <f>IF(MOD(AK276,12)=0,BH276*(1-'1 - Input'!$B$23),BH276)</f>
        <v>0</v>
      </c>
      <c r="BL276" s="17">
        <f>IF('1 - Input'!$B$17=1,MIN(AV276,AN276)+BD276,AV276)</f>
        <v>0</v>
      </c>
      <c r="BM276" s="17">
        <f t="shared" si="262"/>
        <v>590482.93849429931</v>
      </c>
      <c r="BN276" s="17">
        <f t="shared" si="263"/>
        <v>101441.90180685223</v>
      </c>
      <c r="BO276" s="17">
        <f t="shared" si="264"/>
        <v>0</v>
      </c>
      <c r="BP276" s="17">
        <f t="shared" si="265"/>
        <v>174289.24056370757</v>
      </c>
      <c r="BQ276" s="17">
        <f t="shared" si="266"/>
        <v>8123.5662772395826</v>
      </c>
      <c r="BR276" s="17">
        <f t="shared" si="267"/>
        <v>169218.11182985888</v>
      </c>
      <c r="BS276" s="15">
        <f t="shared" si="236"/>
        <v>1</v>
      </c>
      <c r="BU276" s="14">
        <v>233</v>
      </c>
      <c r="BV276" s="15">
        <f t="shared" si="237"/>
        <v>20</v>
      </c>
      <c r="BW276" s="16">
        <f>(1+INDEX('1 - Input'!$B$34:$E$63,BV276,'1 - Input'!$B$16))^(1/12)-1</f>
        <v>4.1219243192651689E-3</v>
      </c>
      <c r="BX276" s="17">
        <f>'1 - Input'!$B$7*(1+'1 - Input'!$B$12)^(BV276-1)</f>
        <v>3933.3901658250547</v>
      </c>
      <c r="BY276" s="17">
        <f t="shared" si="268"/>
        <v>0</v>
      </c>
      <c r="BZ276" s="17">
        <f t="shared" si="269"/>
        <v>0</v>
      </c>
      <c r="CA276" s="17">
        <f t="shared" si="238"/>
        <v>0</v>
      </c>
      <c r="CB276" s="17">
        <f>IF(CA276&gt;0,'1 - Input'!$B$8/12*CA276,0)</f>
        <v>0</v>
      </c>
      <c r="CC276" s="17">
        <f t="shared" si="239"/>
        <v>0</v>
      </c>
      <c r="CD276" s="17">
        <f t="shared" si="240"/>
        <v>0</v>
      </c>
      <c r="CE276" s="17">
        <f>'1 - Input'!$B$22*(CB276-CD276)</f>
        <v>0</v>
      </c>
      <c r="CF276" s="17">
        <f t="shared" si="241"/>
        <v>0</v>
      </c>
      <c r="CG276" s="17">
        <f t="shared" si="242"/>
        <v>0</v>
      </c>
      <c r="CH276" s="17">
        <f>IF('1 - Input'!$B$17=1,MAX(0,CF276-BX276),0)</f>
        <v>0</v>
      </c>
      <c r="CI276" s="17">
        <f>IF('1 - Input'!$B$17=1,MAX(0,BX276-CF276),0)</f>
        <v>3933.3901658250547</v>
      </c>
      <c r="CJ276" s="17">
        <f t="shared" si="243"/>
        <v>0</v>
      </c>
      <c r="CK276" s="17">
        <f>IF(AND(CI276&gt;0,CC276&gt;0),CI276/(1-'1 - Input'!$B$22*CJ276),0)</f>
        <v>0</v>
      </c>
      <c r="CL276" s="17">
        <f t="shared" si="244"/>
        <v>0</v>
      </c>
      <c r="CM276" s="17">
        <f>'1 - Input'!$B$22*CJ276*CL276</f>
        <v>0</v>
      </c>
      <c r="CN276" s="17">
        <f t="shared" si="245"/>
        <v>0</v>
      </c>
      <c r="CO276" s="17">
        <f t="shared" si="246"/>
        <v>3933.3901658250547</v>
      </c>
      <c r="CP276" s="17">
        <f t="shared" si="247"/>
        <v>0</v>
      </c>
      <c r="CQ276" s="17">
        <f t="shared" si="248"/>
        <v>0</v>
      </c>
      <c r="CR276" s="17">
        <f t="shared" si="249"/>
        <v>0</v>
      </c>
      <c r="CS276" s="17">
        <f>IF(MOD(BU276,12)=0,CQ276*'1 - Input'!$B$23,0)</f>
        <v>0</v>
      </c>
      <c r="CT276" s="17">
        <f t="shared" si="250"/>
        <v>0</v>
      </c>
      <c r="CU276" s="17">
        <f>IF(MOD(BU276,12)=0,CR276*(1-'1 - Input'!$B$23),CR276)</f>
        <v>0</v>
      </c>
      <c r="CV276" s="17">
        <f>IF('1 - Input'!$B$17=1,MIN(CF276,BX276)+CN276,CF276)</f>
        <v>0</v>
      </c>
      <c r="CW276" s="17">
        <f t="shared" si="270"/>
        <v>686605.50041273201</v>
      </c>
      <c r="CX276" s="17">
        <f t="shared" si="271"/>
        <v>6018.3402768167462</v>
      </c>
      <c r="CY276" s="17">
        <f t="shared" si="272"/>
        <v>66518.776160328038</v>
      </c>
      <c r="CZ276" s="17">
        <f t="shared" si="273"/>
        <v>0</v>
      </c>
      <c r="DA276" s="17">
        <f t="shared" si="274"/>
        <v>10954.114452440983</v>
      </c>
      <c r="DB276" s="17">
        <f t="shared" si="275"/>
        <v>73095.549911427035</v>
      </c>
      <c r="DC276" s="15">
        <f t="shared" si="251"/>
        <v>1</v>
      </c>
    </row>
    <row r="277" spans="1:107">
      <c r="A277" s="14">
        <v>234</v>
      </c>
      <c r="B277" s="15">
        <f t="shared" si="207"/>
        <v>20</v>
      </c>
      <c r="C277" s="16">
        <f>(1+INDEX('1 - Input'!$B$34:$E$63,B277,'1 - Input'!$B$16))^(1/12)-1</f>
        <v>4.1219243192651689E-3</v>
      </c>
      <c r="D277" s="17">
        <f>'1 - Input'!$B$7*(1+'1 - Input'!$B$12)^(B277-1)</f>
        <v>3933.3901658250547</v>
      </c>
      <c r="E277" s="17">
        <f t="shared" si="252"/>
        <v>0</v>
      </c>
      <c r="F277" s="17">
        <f t="shared" si="253"/>
        <v>0</v>
      </c>
      <c r="G277" s="17">
        <f t="shared" si="208"/>
        <v>0</v>
      </c>
      <c r="H277" s="17">
        <f>IF(G277&gt;0,'1 - Input'!$B$8/12*G277,0)</f>
        <v>0</v>
      </c>
      <c r="I277" s="17">
        <f t="shared" si="209"/>
        <v>0</v>
      </c>
      <c r="J277" s="17">
        <f t="shared" si="210"/>
        <v>0</v>
      </c>
      <c r="K277" s="17">
        <f>'1 - Input'!$B$22*(H277-J277)</f>
        <v>0</v>
      </c>
      <c r="L277" s="17">
        <f t="shared" si="211"/>
        <v>0</v>
      </c>
      <c r="M277" s="17">
        <f t="shared" si="212"/>
        <v>0</v>
      </c>
      <c r="N277" s="17">
        <f>IF('1 - Input'!$B$17=1,MAX(0,L277-D277),0)</f>
        <v>0</v>
      </c>
      <c r="O277" s="17">
        <f>IF('1 - Input'!$B$17=1,MAX(0,D277-L277),0)</f>
        <v>3933.3901658250547</v>
      </c>
      <c r="P277" s="17">
        <f t="shared" si="213"/>
        <v>0</v>
      </c>
      <c r="Q277" s="17">
        <f>IF(AND(O277&gt;0,I277&gt;0),O277/(1-'1 - Input'!$B$22*P277),0)</f>
        <v>0</v>
      </c>
      <c r="R277" s="17">
        <f t="shared" si="214"/>
        <v>0</v>
      </c>
      <c r="S277" s="17">
        <f>'1 - Input'!$B$22*P277*R277</f>
        <v>0</v>
      </c>
      <c r="T277" s="17">
        <f t="shared" si="215"/>
        <v>0</v>
      </c>
      <c r="U277" s="17">
        <f t="shared" si="216"/>
        <v>3933.3901658250547</v>
      </c>
      <c r="V277" s="17">
        <f t="shared" si="217"/>
        <v>0</v>
      </c>
      <c r="W277" s="17">
        <f t="shared" si="218"/>
        <v>0</v>
      </c>
      <c r="X277" s="17">
        <f t="shared" si="219"/>
        <v>0</v>
      </c>
      <c r="Y277" s="17">
        <f>IF(MOD(A277,12)=0,W277*'1 - Input'!$B$23,0)</f>
        <v>0</v>
      </c>
      <c r="Z277" s="17">
        <f t="shared" si="220"/>
        <v>0</v>
      </c>
      <c r="AA277" s="17">
        <f>IF(MOD(A277,12)=0,X277*(1-'1 - Input'!$B$23),X277)</f>
        <v>0</v>
      </c>
      <c r="AB277" s="17">
        <f>IF('1 - Input'!$B$17=1,MIN(L277,D277)+T277,L277)</f>
        <v>0</v>
      </c>
      <c r="AC277" s="17">
        <f t="shared" si="254"/>
        <v>590482.93849429931</v>
      </c>
      <c r="AD277" s="17">
        <f t="shared" si="255"/>
        <v>101441.90180685223</v>
      </c>
      <c r="AE277" s="17">
        <f t="shared" si="256"/>
        <v>0</v>
      </c>
      <c r="AF277" s="17">
        <f t="shared" si="257"/>
        <v>174289.24056370757</v>
      </c>
      <c r="AG277" s="17">
        <f t="shared" si="258"/>
        <v>8123.5662772395826</v>
      </c>
      <c r="AH277" s="17">
        <f t="shared" si="259"/>
        <v>173151.50199568394</v>
      </c>
      <c r="AI277" s="15">
        <f t="shared" si="221"/>
        <v>1</v>
      </c>
      <c r="AK277" s="14">
        <v>234</v>
      </c>
      <c r="AL277" s="15">
        <f t="shared" si="222"/>
        <v>20</v>
      </c>
      <c r="AM277" s="16">
        <f>(1+INDEX('1 - Input'!$B$34:$E$63,AL277,'1 - Input'!$B$16))^(1/12)-1</f>
        <v>4.1219243192651689E-3</v>
      </c>
      <c r="AN277" s="17">
        <f>'1 - Input'!$B$7*(1+'1 - Input'!$B$12)^(AL277-1)</f>
        <v>3933.3901658250547</v>
      </c>
      <c r="AO277" s="17">
        <f t="shared" si="260"/>
        <v>0</v>
      </c>
      <c r="AP277" s="17">
        <f t="shared" si="261"/>
        <v>0</v>
      </c>
      <c r="AQ277" s="17">
        <f t="shared" si="223"/>
        <v>0</v>
      </c>
      <c r="AR277" s="17">
        <f>IF(AQ277&gt;0,'1 - Input'!$B$8/12*AQ277,0)</f>
        <v>0</v>
      </c>
      <c r="AS277" s="17">
        <f t="shared" si="224"/>
        <v>0</v>
      </c>
      <c r="AT277" s="17">
        <f t="shared" si="225"/>
        <v>0</v>
      </c>
      <c r="AU277" s="17">
        <f>'1 - Input'!$B$22*(AR277-AT277)</f>
        <v>0</v>
      </c>
      <c r="AV277" s="17">
        <f t="shared" si="226"/>
        <v>0</v>
      </c>
      <c r="AW277" s="17">
        <f t="shared" si="227"/>
        <v>0</v>
      </c>
      <c r="AX277" s="17">
        <f>IF('1 - Input'!$B$17=1,MAX(0,AV277-AN277),0)</f>
        <v>0</v>
      </c>
      <c r="AY277" s="17">
        <f>IF('1 - Input'!$B$17=1,MAX(0,AN277-AV277),0)</f>
        <v>3933.3901658250547</v>
      </c>
      <c r="AZ277" s="17">
        <f t="shared" si="228"/>
        <v>0</v>
      </c>
      <c r="BA277" s="17">
        <f>IF(AND(AY277&gt;0,AS277&gt;0),AY277/(1-'1 - Input'!$B$22*AZ277),0)</f>
        <v>0</v>
      </c>
      <c r="BB277" s="17">
        <f t="shared" si="229"/>
        <v>0</v>
      </c>
      <c r="BC277" s="17">
        <f>'1 - Input'!$B$22*AZ277*BB277</f>
        <v>0</v>
      </c>
      <c r="BD277" s="17">
        <f t="shared" si="230"/>
        <v>0</v>
      </c>
      <c r="BE277" s="17">
        <f t="shared" si="231"/>
        <v>3933.3901658250547</v>
      </c>
      <c r="BF277" s="17">
        <f t="shared" si="232"/>
        <v>0</v>
      </c>
      <c r="BG277" s="17">
        <f t="shared" si="233"/>
        <v>0</v>
      </c>
      <c r="BH277" s="17">
        <f t="shared" si="234"/>
        <v>0</v>
      </c>
      <c r="BI277" s="17">
        <f>IF(MOD(AK277,12)=0,BG277*'1 - Input'!$B$23,0)</f>
        <v>0</v>
      </c>
      <c r="BJ277" s="17">
        <f t="shared" si="235"/>
        <v>0</v>
      </c>
      <c r="BK277" s="17">
        <f>IF(MOD(AK277,12)=0,BH277*(1-'1 - Input'!$B$23),BH277)</f>
        <v>0</v>
      </c>
      <c r="BL277" s="17">
        <f>IF('1 - Input'!$B$17=1,MIN(AV277,AN277)+BD277,AV277)</f>
        <v>0</v>
      </c>
      <c r="BM277" s="17">
        <f t="shared" si="262"/>
        <v>590482.93849429931</v>
      </c>
      <c r="BN277" s="17">
        <f t="shared" si="263"/>
        <v>101441.90180685223</v>
      </c>
      <c r="BO277" s="17">
        <f t="shared" si="264"/>
        <v>0</v>
      </c>
      <c r="BP277" s="17">
        <f t="shared" si="265"/>
        <v>174289.24056370757</v>
      </c>
      <c r="BQ277" s="17">
        <f t="shared" si="266"/>
        <v>8123.5662772395826</v>
      </c>
      <c r="BR277" s="17">
        <f t="shared" si="267"/>
        <v>173151.50199568394</v>
      </c>
      <c r="BS277" s="15">
        <f t="shared" si="236"/>
        <v>1</v>
      </c>
      <c r="BU277" s="14">
        <v>234</v>
      </c>
      <c r="BV277" s="15">
        <f t="shared" si="237"/>
        <v>20</v>
      </c>
      <c r="BW277" s="16">
        <f>(1+INDEX('1 - Input'!$B$34:$E$63,BV277,'1 - Input'!$B$16))^(1/12)-1</f>
        <v>4.1219243192651689E-3</v>
      </c>
      <c r="BX277" s="17">
        <f>'1 - Input'!$B$7*(1+'1 - Input'!$B$12)^(BV277-1)</f>
        <v>3933.3901658250547</v>
      </c>
      <c r="BY277" s="17">
        <f t="shared" si="268"/>
        <v>0</v>
      </c>
      <c r="BZ277" s="17">
        <f t="shared" si="269"/>
        <v>0</v>
      </c>
      <c r="CA277" s="17">
        <f t="shared" si="238"/>
        <v>0</v>
      </c>
      <c r="CB277" s="17">
        <f>IF(CA277&gt;0,'1 - Input'!$B$8/12*CA277,0)</f>
        <v>0</v>
      </c>
      <c r="CC277" s="17">
        <f t="shared" si="239"/>
        <v>0</v>
      </c>
      <c r="CD277" s="17">
        <f t="shared" si="240"/>
        <v>0</v>
      </c>
      <c r="CE277" s="17">
        <f>'1 - Input'!$B$22*(CB277-CD277)</f>
        <v>0</v>
      </c>
      <c r="CF277" s="17">
        <f t="shared" si="241"/>
        <v>0</v>
      </c>
      <c r="CG277" s="17">
        <f t="shared" si="242"/>
        <v>0</v>
      </c>
      <c r="CH277" s="17">
        <f>IF('1 - Input'!$B$17=1,MAX(0,CF277-BX277),0)</f>
        <v>0</v>
      </c>
      <c r="CI277" s="17">
        <f>IF('1 - Input'!$B$17=1,MAX(0,BX277-CF277),0)</f>
        <v>3933.3901658250547</v>
      </c>
      <c r="CJ277" s="17">
        <f t="shared" si="243"/>
        <v>0</v>
      </c>
      <c r="CK277" s="17">
        <f>IF(AND(CI277&gt;0,CC277&gt;0),CI277/(1-'1 - Input'!$B$22*CJ277),0)</f>
        <v>0</v>
      </c>
      <c r="CL277" s="17">
        <f t="shared" si="244"/>
        <v>0</v>
      </c>
      <c r="CM277" s="17">
        <f>'1 - Input'!$B$22*CJ277*CL277</f>
        <v>0</v>
      </c>
      <c r="CN277" s="17">
        <f t="shared" si="245"/>
        <v>0</v>
      </c>
      <c r="CO277" s="17">
        <f t="shared" si="246"/>
        <v>3933.3901658250547</v>
      </c>
      <c r="CP277" s="17">
        <f t="shared" si="247"/>
        <v>0</v>
      </c>
      <c r="CQ277" s="17">
        <f t="shared" si="248"/>
        <v>0</v>
      </c>
      <c r="CR277" s="17">
        <f t="shared" si="249"/>
        <v>0</v>
      </c>
      <c r="CS277" s="17">
        <f>IF(MOD(BU277,12)=0,CQ277*'1 - Input'!$B$23,0)</f>
        <v>0</v>
      </c>
      <c r="CT277" s="17">
        <f t="shared" si="250"/>
        <v>0</v>
      </c>
      <c r="CU277" s="17">
        <f>IF(MOD(BU277,12)=0,CR277*(1-'1 - Input'!$B$23),CR277)</f>
        <v>0</v>
      </c>
      <c r="CV277" s="17">
        <f>IF('1 - Input'!$B$17=1,MIN(CF277,BX277)+CN277,CF277)</f>
        <v>0</v>
      </c>
      <c r="CW277" s="17">
        <f t="shared" si="270"/>
        <v>686605.50041273201</v>
      </c>
      <c r="CX277" s="17">
        <f t="shared" si="271"/>
        <v>6018.3402768167462</v>
      </c>
      <c r="CY277" s="17">
        <f t="shared" si="272"/>
        <v>66518.776160328038</v>
      </c>
      <c r="CZ277" s="17">
        <f t="shared" si="273"/>
        <v>0</v>
      </c>
      <c r="DA277" s="17">
        <f t="shared" si="274"/>
        <v>10954.114452440983</v>
      </c>
      <c r="DB277" s="17">
        <f t="shared" si="275"/>
        <v>77028.940077252089</v>
      </c>
      <c r="DC277" s="15">
        <f t="shared" si="251"/>
        <v>1</v>
      </c>
    </row>
    <row r="278" spans="1:107">
      <c r="A278" s="14">
        <v>235</v>
      </c>
      <c r="B278" s="15">
        <f t="shared" si="207"/>
        <v>20</v>
      </c>
      <c r="C278" s="16">
        <f>(1+INDEX('1 - Input'!$B$34:$E$63,B278,'1 - Input'!$B$16))^(1/12)-1</f>
        <v>4.1219243192651689E-3</v>
      </c>
      <c r="D278" s="17">
        <f>'1 - Input'!$B$7*(1+'1 - Input'!$B$12)^(B278-1)</f>
        <v>3933.3901658250547</v>
      </c>
      <c r="E278" s="17">
        <f t="shared" si="252"/>
        <v>0</v>
      </c>
      <c r="F278" s="17">
        <f t="shared" si="253"/>
        <v>0</v>
      </c>
      <c r="G278" s="17">
        <f t="shared" si="208"/>
        <v>0</v>
      </c>
      <c r="H278" s="17">
        <f>IF(G278&gt;0,'1 - Input'!$B$8/12*G278,0)</f>
        <v>0</v>
      </c>
      <c r="I278" s="17">
        <f t="shared" si="209"/>
        <v>0</v>
      </c>
      <c r="J278" s="17">
        <f t="shared" si="210"/>
        <v>0</v>
      </c>
      <c r="K278" s="17">
        <f>'1 - Input'!$B$22*(H278-J278)</f>
        <v>0</v>
      </c>
      <c r="L278" s="17">
        <f t="shared" si="211"/>
        <v>0</v>
      </c>
      <c r="M278" s="17">
        <f t="shared" si="212"/>
        <v>0</v>
      </c>
      <c r="N278" s="17">
        <f>IF('1 - Input'!$B$17=1,MAX(0,L278-D278),0)</f>
        <v>0</v>
      </c>
      <c r="O278" s="17">
        <f>IF('1 - Input'!$B$17=1,MAX(0,D278-L278),0)</f>
        <v>3933.3901658250547</v>
      </c>
      <c r="P278" s="17">
        <f t="shared" si="213"/>
        <v>0</v>
      </c>
      <c r="Q278" s="17">
        <f>IF(AND(O278&gt;0,I278&gt;0),O278/(1-'1 - Input'!$B$22*P278),0)</f>
        <v>0</v>
      </c>
      <c r="R278" s="17">
        <f t="shared" si="214"/>
        <v>0</v>
      </c>
      <c r="S278" s="17">
        <f>'1 - Input'!$B$22*P278*R278</f>
        <v>0</v>
      </c>
      <c r="T278" s="17">
        <f t="shared" si="215"/>
        <v>0</v>
      </c>
      <c r="U278" s="17">
        <f t="shared" si="216"/>
        <v>3933.3901658250547</v>
      </c>
      <c r="V278" s="17">
        <f t="shared" si="217"/>
        <v>0</v>
      </c>
      <c r="W278" s="17">
        <f t="shared" si="218"/>
        <v>0</v>
      </c>
      <c r="X278" s="17">
        <f t="shared" si="219"/>
        <v>0</v>
      </c>
      <c r="Y278" s="17">
        <f>IF(MOD(A278,12)=0,W278*'1 - Input'!$B$23,0)</f>
        <v>0</v>
      </c>
      <c r="Z278" s="17">
        <f t="shared" si="220"/>
        <v>0</v>
      </c>
      <c r="AA278" s="17">
        <f>IF(MOD(A278,12)=0,X278*(1-'1 - Input'!$B$23),X278)</f>
        <v>0</v>
      </c>
      <c r="AB278" s="17">
        <f>IF('1 - Input'!$B$17=1,MIN(L278,D278)+T278,L278)</f>
        <v>0</v>
      </c>
      <c r="AC278" s="17">
        <f t="shared" si="254"/>
        <v>590482.93849429931</v>
      </c>
      <c r="AD278" s="17">
        <f t="shared" si="255"/>
        <v>101441.90180685223</v>
      </c>
      <c r="AE278" s="17">
        <f t="shared" si="256"/>
        <v>0</v>
      </c>
      <c r="AF278" s="17">
        <f t="shared" si="257"/>
        <v>174289.24056370757</v>
      </c>
      <c r="AG278" s="17">
        <f t="shared" si="258"/>
        <v>8123.5662772395826</v>
      </c>
      <c r="AH278" s="17">
        <f t="shared" si="259"/>
        <v>177084.89216150899</v>
      </c>
      <c r="AI278" s="15">
        <f t="shared" si="221"/>
        <v>1</v>
      </c>
      <c r="AK278" s="14">
        <v>235</v>
      </c>
      <c r="AL278" s="15">
        <f t="shared" si="222"/>
        <v>20</v>
      </c>
      <c r="AM278" s="16">
        <f>(1+INDEX('1 - Input'!$B$34:$E$63,AL278,'1 - Input'!$B$16))^(1/12)-1</f>
        <v>4.1219243192651689E-3</v>
      </c>
      <c r="AN278" s="17">
        <f>'1 - Input'!$B$7*(1+'1 - Input'!$B$12)^(AL278-1)</f>
        <v>3933.3901658250547</v>
      </c>
      <c r="AO278" s="17">
        <f t="shared" si="260"/>
        <v>0</v>
      </c>
      <c r="AP278" s="17">
        <f t="shared" si="261"/>
        <v>0</v>
      </c>
      <c r="AQ278" s="17">
        <f t="shared" si="223"/>
        <v>0</v>
      </c>
      <c r="AR278" s="17">
        <f>IF(AQ278&gt;0,'1 - Input'!$B$8/12*AQ278,0)</f>
        <v>0</v>
      </c>
      <c r="AS278" s="17">
        <f t="shared" si="224"/>
        <v>0</v>
      </c>
      <c r="AT278" s="17">
        <f t="shared" si="225"/>
        <v>0</v>
      </c>
      <c r="AU278" s="17">
        <f>'1 - Input'!$B$22*(AR278-AT278)</f>
        <v>0</v>
      </c>
      <c r="AV278" s="17">
        <f t="shared" si="226"/>
        <v>0</v>
      </c>
      <c r="AW278" s="17">
        <f t="shared" si="227"/>
        <v>0</v>
      </c>
      <c r="AX278" s="17">
        <f>IF('1 - Input'!$B$17=1,MAX(0,AV278-AN278),0)</f>
        <v>0</v>
      </c>
      <c r="AY278" s="17">
        <f>IF('1 - Input'!$B$17=1,MAX(0,AN278-AV278),0)</f>
        <v>3933.3901658250547</v>
      </c>
      <c r="AZ278" s="17">
        <f t="shared" si="228"/>
        <v>0</v>
      </c>
      <c r="BA278" s="17">
        <f>IF(AND(AY278&gt;0,AS278&gt;0),AY278/(1-'1 - Input'!$B$22*AZ278),0)</f>
        <v>0</v>
      </c>
      <c r="BB278" s="17">
        <f t="shared" si="229"/>
        <v>0</v>
      </c>
      <c r="BC278" s="17">
        <f>'1 - Input'!$B$22*AZ278*BB278</f>
        <v>0</v>
      </c>
      <c r="BD278" s="17">
        <f t="shared" si="230"/>
        <v>0</v>
      </c>
      <c r="BE278" s="17">
        <f t="shared" si="231"/>
        <v>3933.3901658250547</v>
      </c>
      <c r="BF278" s="17">
        <f t="shared" si="232"/>
        <v>0</v>
      </c>
      <c r="BG278" s="17">
        <f t="shared" si="233"/>
        <v>0</v>
      </c>
      <c r="BH278" s="17">
        <f t="shared" si="234"/>
        <v>0</v>
      </c>
      <c r="BI278" s="17">
        <f>IF(MOD(AK278,12)=0,BG278*'1 - Input'!$B$23,0)</f>
        <v>0</v>
      </c>
      <c r="BJ278" s="17">
        <f t="shared" si="235"/>
        <v>0</v>
      </c>
      <c r="BK278" s="17">
        <f>IF(MOD(AK278,12)=0,BH278*(1-'1 - Input'!$B$23),BH278)</f>
        <v>0</v>
      </c>
      <c r="BL278" s="17">
        <f>IF('1 - Input'!$B$17=1,MIN(AV278,AN278)+BD278,AV278)</f>
        <v>0</v>
      </c>
      <c r="BM278" s="17">
        <f t="shared" si="262"/>
        <v>590482.93849429931</v>
      </c>
      <c r="BN278" s="17">
        <f t="shared" si="263"/>
        <v>101441.90180685223</v>
      </c>
      <c r="BO278" s="17">
        <f t="shared" si="264"/>
        <v>0</v>
      </c>
      <c r="BP278" s="17">
        <f t="shared" si="265"/>
        <v>174289.24056370757</v>
      </c>
      <c r="BQ278" s="17">
        <f t="shared" si="266"/>
        <v>8123.5662772395826</v>
      </c>
      <c r="BR278" s="17">
        <f t="shared" si="267"/>
        <v>177084.89216150899</v>
      </c>
      <c r="BS278" s="15">
        <f t="shared" si="236"/>
        <v>1</v>
      </c>
      <c r="BU278" s="14">
        <v>235</v>
      </c>
      <c r="BV278" s="15">
        <f t="shared" si="237"/>
        <v>20</v>
      </c>
      <c r="BW278" s="16">
        <f>(1+INDEX('1 - Input'!$B$34:$E$63,BV278,'1 - Input'!$B$16))^(1/12)-1</f>
        <v>4.1219243192651689E-3</v>
      </c>
      <c r="BX278" s="17">
        <f>'1 - Input'!$B$7*(1+'1 - Input'!$B$12)^(BV278-1)</f>
        <v>3933.3901658250547</v>
      </c>
      <c r="BY278" s="17">
        <f t="shared" si="268"/>
        <v>0</v>
      </c>
      <c r="BZ278" s="17">
        <f t="shared" si="269"/>
        <v>0</v>
      </c>
      <c r="CA278" s="17">
        <f t="shared" si="238"/>
        <v>0</v>
      </c>
      <c r="CB278" s="17">
        <f>IF(CA278&gt;0,'1 - Input'!$B$8/12*CA278,0)</f>
        <v>0</v>
      </c>
      <c r="CC278" s="17">
        <f t="shared" si="239"/>
        <v>0</v>
      </c>
      <c r="CD278" s="17">
        <f t="shared" si="240"/>
        <v>0</v>
      </c>
      <c r="CE278" s="17">
        <f>'1 - Input'!$B$22*(CB278-CD278)</f>
        <v>0</v>
      </c>
      <c r="CF278" s="17">
        <f t="shared" si="241"/>
        <v>0</v>
      </c>
      <c r="CG278" s="17">
        <f t="shared" si="242"/>
        <v>0</v>
      </c>
      <c r="CH278" s="17">
        <f>IF('1 - Input'!$B$17=1,MAX(0,CF278-BX278),0)</f>
        <v>0</v>
      </c>
      <c r="CI278" s="17">
        <f>IF('1 - Input'!$B$17=1,MAX(0,BX278-CF278),0)</f>
        <v>3933.3901658250547</v>
      </c>
      <c r="CJ278" s="17">
        <f t="shared" si="243"/>
        <v>0</v>
      </c>
      <c r="CK278" s="17">
        <f>IF(AND(CI278&gt;0,CC278&gt;0),CI278/(1-'1 - Input'!$B$22*CJ278),0)</f>
        <v>0</v>
      </c>
      <c r="CL278" s="17">
        <f t="shared" si="244"/>
        <v>0</v>
      </c>
      <c r="CM278" s="17">
        <f>'1 - Input'!$B$22*CJ278*CL278</f>
        <v>0</v>
      </c>
      <c r="CN278" s="17">
        <f t="shared" si="245"/>
        <v>0</v>
      </c>
      <c r="CO278" s="17">
        <f t="shared" si="246"/>
        <v>3933.3901658250547</v>
      </c>
      <c r="CP278" s="17">
        <f t="shared" si="247"/>
        <v>0</v>
      </c>
      <c r="CQ278" s="17">
        <f t="shared" si="248"/>
        <v>0</v>
      </c>
      <c r="CR278" s="17">
        <f t="shared" si="249"/>
        <v>0</v>
      </c>
      <c r="CS278" s="17">
        <f>IF(MOD(BU278,12)=0,CQ278*'1 - Input'!$B$23,0)</f>
        <v>0</v>
      </c>
      <c r="CT278" s="17">
        <f t="shared" si="250"/>
        <v>0</v>
      </c>
      <c r="CU278" s="17">
        <f>IF(MOD(BU278,12)=0,CR278*(1-'1 - Input'!$B$23),CR278)</f>
        <v>0</v>
      </c>
      <c r="CV278" s="17">
        <f>IF('1 - Input'!$B$17=1,MIN(CF278,BX278)+CN278,CF278)</f>
        <v>0</v>
      </c>
      <c r="CW278" s="17">
        <f t="shared" si="270"/>
        <v>686605.50041273201</v>
      </c>
      <c r="CX278" s="17">
        <f t="shared" si="271"/>
        <v>6018.3402768167462</v>
      </c>
      <c r="CY278" s="17">
        <f t="shared" si="272"/>
        <v>66518.776160328038</v>
      </c>
      <c r="CZ278" s="17">
        <f t="shared" si="273"/>
        <v>0</v>
      </c>
      <c r="DA278" s="17">
        <f t="shared" si="274"/>
        <v>10954.114452440983</v>
      </c>
      <c r="DB278" s="17">
        <f t="shared" si="275"/>
        <v>80962.330243077144</v>
      </c>
      <c r="DC278" s="15">
        <f t="shared" si="251"/>
        <v>1</v>
      </c>
    </row>
    <row r="279" spans="1:107">
      <c r="A279" s="14">
        <v>236</v>
      </c>
      <c r="B279" s="15">
        <f t="shared" si="207"/>
        <v>20</v>
      </c>
      <c r="C279" s="16">
        <f>(1+INDEX('1 - Input'!$B$34:$E$63,B279,'1 - Input'!$B$16))^(1/12)-1</f>
        <v>4.1219243192651689E-3</v>
      </c>
      <c r="D279" s="17">
        <f>'1 - Input'!$B$7*(1+'1 - Input'!$B$12)^(B279-1)</f>
        <v>3933.3901658250547</v>
      </c>
      <c r="E279" s="17">
        <f t="shared" si="252"/>
        <v>0</v>
      </c>
      <c r="F279" s="17">
        <f t="shared" si="253"/>
        <v>0</v>
      </c>
      <c r="G279" s="17">
        <f t="shared" si="208"/>
        <v>0</v>
      </c>
      <c r="H279" s="17">
        <f>IF(G279&gt;0,'1 - Input'!$B$8/12*G279,0)</f>
        <v>0</v>
      </c>
      <c r="I279" s="17">
        <f t="shared" si="209"/>
        <v>0</v>
      </c>
      <c r="J279" s="17">
        <f t="shared" si="210"/>
        <v>0</v>
      </c>
      <c r="K279" s="17">
        <f>'1 - Input'!$B$22*(H279-J279)</f>
        <v>0</v>
      </c>
      <c r="L279" s="17">
        <f t="shared" si="211"/>
        <v>0</v>
      </c>
      <c r="M279" s="17">
        <f t="shared" si="212"/>
        <v>0</v>
      </c>
      <c r="N279" s="17">
        <f>IF('1 - Input'!$B$17=1,MAX(0,L279-D279),0)</f>
        <v>0</v>
      </c>
      <c r="O279" s="17">
        <f>IF('1 - Input'!$B$17=1,MAX(0,D279-L279),0)</f>
        <v>3933.3901658250547</v>
      </c>
      <c r="P279" s="17">
        <f t="shared" si="213"/>
        <v>0</v>
      </c>
      <c r="Q279" s="17">
        <f>IF(AND(O279&gt;0,I279&gt;0),O279/(1-'1 - Input'!$B$22*P279),0)</f>
        <v>0</v>
      </c>
      <c r="R279" s="17">
        <f t="shared" si="214"/>
        <v>0</v>
      </c>
      <c r="S279" s="17">
        <f>'1 - Input'!$B$22*P279*R279</f>
        <v>0</v>
      </c>
      <c r="T279" s="17">
        <f t="shared" si="215"/>
        <v>0</v>
      </c>
      <c r="U279" s="17">
        <f t="shared" si="216"/>
        <v>3933.3901658250547</v>
      </c>
      <c r="V279" s="17">
        <f t="shared" si="217"/>
        <v>0</v>
      </c>
      <c r="W279" s="17">
        <f t="shared" si="218"/>
        <v>0</v>
      </c>
      <c r="X279" s="17">
        <f t="shared" si="219"/>
        <v>0</v>
      </c>
      <c r="Y279" s="17">
        <f>IF(MOD(A279,12)=0,W279*'1 - Input'!$B$23,0)</f>
        <v>0</v>
      </c>
      <c r="Z279" s="17">
        <f t="shared" si="220"/>
        <v>0</v>
      </c>
      <c r="AA279" s="17">
        <f>IF(MOD(A279,12)=0,X279*(1-'1 - Input'!$B$23),X279)</f>
        <v>0</v>
      </c>
      <c r="AB279" s="17">
        <f>IF('1 - Input'!$B$17=1,MIN(L279,D279)+T279,L279)</f>
        <v>0</v>
      </c>
      <c r="AC279" s="17">
        <f t="shared" si="254"/>
        <v>590482.93849429931</v>
      </c>
      <c r="AD279" s="17">
        <f t="shared" si="255"/>
        <v>101441.90180685223</v>
      </c>
      <c r="AE279" s="17">
        <f t="shared" si="256"/>
        <v>0</v>
      </c>
      <c r="AF279" s="17">
        <f t="shared" si="257"/>
        <v>174289.24056370757</v>
      </c>
      <c r="AG279" s="17">
        <f t="shared" si="258"/>
        <v>8123.5662772395826</v>
      </c>
      <c r="AH279" s="17">
        <f t="shared" si="259"/>
        <v>181018.28232733405</v>
      </c>
      <c r="AI279" s="15">
        <f t="shared" si="221"/>
        <v>1</v>
      </c>
      <c r="AK279" s="14">
        <v>236</v>
      </c>
      <c r="AL279" s="15">
        <f t="shared" si="222"/>
        <v>20</v>
      </c>
      <c r="AM279" s="16">
        <f>(1+INDEX('1 - Input'!$B$34:$E$63,AL279,'1 - Input'!$B$16))^(1/12)-1</f>
        <v>4.1219243192651689E-3</v>
      </c>
      <c r="AN279" s="17">
        <f>'1 - Input'!$B$7*(1+'1 - Input'!$B$12)^(AL279-1)</f>
        <v>3933.3901658250547</v>
      </c>
      <c r="AO279" s="17">
        <f t="shared" si="260"/>
        <v>0</v>
      </c>
      <c r="AP279" s="17">
        <f t="shared" si="261"/>
        <v>0</v>
      </c>
      <c r="AQ279" s="17">
        <f t="shared" si="223"/>
        <v>0</v>
      </c>
      <c r="AR279" s="17">
        <f>IF(AQ279&gt;0,'1 - Input'!$B$8/12*AQ279,0)</f>
        <v>0</v>
      </c>
      <c r="AS279" s="17">
        <f t="shared" si="224"/>
        <v>0</v>
      </c>
      <c r="AT279" s="17">
        <f t="shared" si="225"/>
        <v>0</v>
      </c>
      <c r="AU279" s="17">
        <f>'1 - Input'!$B$22*(AR279-AT279)</f>
        <v>0</v>
      </c>
      <c r="AV279" s="17">
        <f t="shared" si="226"/>
        <v>0</v>
      </c>
      <c r="AW279" s="17">
        <f t="shared" si="227"/>
        <v>0</v>
      </c>
      <c r="AX279" s="17">
        <f>IF('1 - Input'!$B$17=1,MAX(0,AV279-AN279),0)</f>
        <v>0</v>
      </c>
      <c r="AY279" s="17">
        <f>IF('1 - Input'!$B$17=1,MAX(0,AN279-AV279),0)</f>
        <v>3933.3901658250547</v>
      </c>
      <c r="AZ279" s="17">
        <f t="shared" si="228"/>
        <v>0</v>
      </c>
      <c r="BA279" s="17">
        <f>IF(AND(AY279&gt;0,AS279&gt;0),AY279/(1-'1 - Input'!$B$22*AZ279),0)</f>
        <v>0</v>
      </c>
      <c r="BB279" s="17">
        <f t="shared" si="229"/>
        <v>0</v>
      </c>
      <c r="BC279" s="17">
        <f>'1 - Input'!$B$22*AZ279*BB279</f>
        <v>0</v>
      </c>
      <c r="BD279" s="17">
        <f t="shared" si="230"/>
        <v>0</v>
      </c>
      <c r="BE279" s="17">
        <f t="shared" si="231"/>
        <v>3933.3901658250547</v>
      </c>
      <c r="BF279" s="17">
        <f t="shared" si="232"/>
        <v>0</v>
      </c>
      <c r="BG279" s="17">
        <f t="shared" si="233"/>
        <v>0</v>
      </c>
      <c r="BH279" s="17">
        <f t="shared" si="234"/>
        <v>0</v>
      </c>
      <c r="BI279" s="17">
        <f>IF(MOD(AK279,12)=0,BG279*'1 - Input'!$B$23,0)</f>
        <v>0</v>
      </c>
      <c r="BJ279" s="17">
        <f t="shared" si="235"/>
        <v>0</v>
      </c>
      <c r="BK279" s="17">
        <f>IF(MOD(AK279,12)=0,BH279*(1-'1 - Input'!$B$23),BH279)</f>
        <v>0</v>
      </c>
      <c r="BL279" s="17">
        <f>IF('1 - Input'!$B$17=1,MIN(AV279,AN279)+BD279,AV279)</f>
        <v>0</v>
      </c>
      <c r="BM279" s="17">
        <f t="shared" si="262"/>
        <v>590482.93849429931</v>
      </c>
      <c r="BN279" s="17">
        <f t="shared" si="263"/>
        <v>101441.90180685223</v>
      </c>
      <c r="BO279" s="17">
        <f t="shared" si="264"/>
        <v>0</v>
      </c>
      <c r="BP279" s="17">
        <f t="shared" si="265"/>
        <v>174289.24056370757</v>
      </c>
      <c r="BQ279" s="17">
        <f t="shared" si="266"/>
        <v>8123.5662772395826</v>
      </c>
      <c r="BR279" s="17">
        <f t="shared" si="267"/>
        <v>181018.28232733405</v>
      </c>
      <c r="BS279" s="15">
        <f t="shared" si="236"/>
        <v>1</v>
      </c>
      <c r="BU279" s="14">
        <v>236</v>
      </c>
      <c r="BV279" s="15">
        <f t="shared" si="237"/>
        <v>20</v>
      </c>
      <c r="BW279" s="16">
        <f>(1+INDEX('1 - Input'!$B$34:$E$63,BV279,'1 - Input'!$B$16))^(1/12)-1</f>
        <v>4.1219243192651689E-3</v>
      </c>
      <c r="BX279" s="17">
        <f>'1 - Input'!$B$7*(1+'1 - Input'!$B$12)^(BV279-1)</f>
        <v>3933.3901658250547</v>
      </c>
      <c r="BY279" s="17">
        <f t="shared" si="268"/>
        <v>0</v>
      </c>
      <c r="BZ279" s="17">
        <f t="shared" si="269"/>
        <v>0</v>
      </c>
      <c r="CA279" s="17">
        <f t="shared" si="238"/>
        <v>0</v>
      </c>
      <c r="CB279" s="17">
        <f>IF(CA279&gt;0,'1 - Input'!$B$8/12*CA279,0)</f>
        <v>0</v>
      </c>
      <c r="CC279" s="17">
        <f t="shared" si="239"/>
        <v>0</v>
      </c>
      <c r="CD279" s="17">
        <f t="shared" si="240"/>
        <v>0</v>
      </c>
      <c r="CE279" s="17">
        <f>'1 - Input'!$B$22*(CB279-CD279)</f>
        <v>0</v>
      </c>
      <c r="CF279" s="17">
        <f t="shared" si="241"/>
        <v>0</v>
      </c>
      <c r="CG279" s="17">
        <f t="shared" si="242"/>
        <v>0</v>
      </c>
      <c r="CH279" s="17">
        <f>IF('1 - Input'!$B$17=1,MAX(0,CF279-BX279),0)</f>
        <v>0</v>
      </c>
      <c r="CI279" s="17">
        <f>IF('1 - Input'!$B$17=1,MAX(0,BX279-CF279),0)</f>
        <v>3933.3901658250547</v>
      </c>
      <c r="CJ279" s="17">
        <f t="shared" si="243"/>
        <v>0</v>
      </c>
      <c r="CK279" s="17">
        <f>IF(AND(CI279&gt;0,CC279&gt;0),CI279/(1-'1 - Input'!$B$22*CJ279),0)</f>
        <v>0</v>
      </c>
      <c r="CL279" s="17">
        <f t="shared" si="244"/>
        <v>0</v>
      </c>
      <c r="CM279" s="17">
        <f>'1 - Input'!$B$22*CJ279*CL279</f>
        <v>0</v>
      </c>
      <c r="CN279" s="17">
        <f t="shared" si="245"/>
        <v>0</v>
      </c>
      <c r="CO279" s="17">
        <f t="shared" si="246"/>
        <v>3933.3901658250547</v>
      </c>
      <c r="CP279" s="17">
        <f t="shared" si="247"/>
        <v>0</v>
      </c>
      <c r="CQ279" s="17">
        <f t="shared" si="248"/>
        <v>0</v>
      </c>
      <c r="CR279" s="17">
        <f t="shared" si="249"/>
        <v>0</v>
      </c>
      <c r="CS279" s="17">
        <f>IF(MOD(BU279,12)=0,CQ279*'1 - Input'!$B$23,0)</f>
        <v>0</v>
      </c>
      <c r="CT279" s="17">
        <f t="shared" si="250"/>
        <v>0</v>
      </c>
      <c r="CU279" s="17">
        <f>IF(MOD(BU279,12)=0,CR279*(1-'1 - Input'!$B$23),CR279)</f>
        <v>0</v>
      </c>
      <c r="CV279" s="17">
        <f>IF('1 - Input'!$B$17=1,MIN(CF279,BX279)+CN279,CF279)</f>
        <v>0</v>
      </c>
      <c r="CW279" s="17">
        <f t="shared" si="270"/>
        <v>686605.50041273201</v>
      </c>
      <c r="CX279" s="17">
        <f t="shared" si="271"/>
        <v>6018.3402768167462</v>
      </c>
      <c r="CY279" s="17">
        <f t="shared" si="272"/>
        <v>66518.776160328038</v>
      </c>
      <c r="CZ279" s="17">
        <f t="shared" si="273"/>
        <v>0</v>
      </c>
      <c r="DA279" s="17">
        <f t="shared" si="274"/>
        <v>10954.114452440983</v>
      </c>
      <c r="DB279" s="17">
        <f t="shared" si="275"/>
        <v>84895.720408902198</v>
      </c>
      <c r="DC279" s="15">
        <f t="shared" si="251"/>
        <v>1</v>
      </c>
    </row>
    <row r="280" spans="1:107">
      <c r="A280" s="14">
        <v>237</v>
      </c>
      <c r="B280" s="15">
        <f t="shared" si="207"/>
        <v>20</v>
      </c>
      <c r="C280" s="16">
        <f>(1+INDEX('1 - Input'!$B$34:$E$63,B280,'1 - Input'!$B$16))^(1/12)-1</f>
        <v>4.1219243192651689E-3</v>
      </c>
      <c r="D280" s="17">
        <f>'1 - Input'!$B$7*(1+'1 - Input'!$B$12)^(B280-1)</f>
        <v>3933.3901658250547</v>
      </c>
      <c r="E280" s="17">
        <f t="shared" si="252"/>
        <v>0</v>
      </c>
      <c r="F280" s="17">
        <f t="shared" si="253"/>
        <v>0</v>
      </c>
      <c r="G280" s="17">
        <f t="shared" si="208"/>
        <v>0</v>
      </c>
      <c r="H280" s="17">
        <f>IF(G280&gt;0,'1 - Input'!$B$8/12*G280,0)</f>
        <v>0</v>
      </c>
      <c r="I280" s="17">
        <f t="shared" si="209"/>
        <v>0</v>
      </c>
      <c r="J280" s="17">
        <f t="shared" si="210"/>
        <v>0</v>
      </c>
      <c r="K280" s="17">
        <f>'1 - Input'!$B$22*(H280-J280)</f>
        <v>0</v>
      </c>
      <c r="L280" s="17">
        <f t="shared" si="211"/>
        <v>0</v>
      </c>
      <c r="M280" s="17">
        <f t="shared" si="212"/>
        <v>0</v>
      </c>
      <c r="N280" s="17">
        <f>IF('1 - Input'!$B$17=1,MAX(0,L280-D280),0)</f>
        <v>0</v>
      </c>
      <c r="O280" s="17">
        <f>IF('1 - Input'!$B$17=1,MAX(0,D280-L280),0)</f>
        <v>3933.3901658250547</v>
      </c>
      <c r="P280" s="17">
        <f t="shared" si="213"/>
        <v>0</v>
      </c>
      <c r="Q280" s="17">
        <f>IF(AND(O280&gt;0,I280&gt;0),O280/(1-'1 - Input'!$B$22*P280),0)</f>
        <v>0</v>
      </c>
      <c r="R280" s="17">
        <f t="shared" si="214"/>
        <v>0</v>
      </c>
      <c r="S280" s="17">
        <f>'1 - Input'!$B$22*P280*R280</f>
        <v>0</v>
      </c>
      <c r="T280" s="17">
        <f t="shared" si="215"/>
        <v>0</v>
      </c>
      <c r="U280" s="17">
        <f t="shared" si="216"/>
        <v>3933.3901658250547</v>
      </c>
      <c r="V280" s="17">
        <f t="shared" si="217"/>
        <v>0</v>
      </c>
      <c r="W280" s="17">
        <f t="shared" si="218"/>
        <v>0</v>
      </c>
      <c r="X280" s="17">
        <f t="shared" si="219"/>
        <v>0</v>
      </c>
      <c r="Y280" s="17">
        <f>IF(MOD(A280,12)=0,W280*'1 - Input'!$B$23,0)</f>
        <v>0</v>
      </c>
      <c r="Z280" s="17">
        <f t="shared" si="220"/>
        <v>0</v>
      </c>
      <c r="AA280" s="17">
        <f>IF(MOD(A280,12)=0,X280*(1-'1 - Input'!$B$23),X280)</f>
        <v>0</v>
      </c>
      <c r="AB280" s="17">
        <f>IF('1 - Input'!$B$17=1,MIN(L280,D280)+T280,L280)</f>
        <v>0</v>
      </c>
      <c r="AC280" s="17">
        <f t="shared" si="254"/>
        <v>590482.93849429931</v>
      </c>
      <c r="AD280" s="17">
        <f t="shared" si="255"/>
        <v>101441.90180685223</v>
      </c>
      <c r="AE280" s="17">
        <f t="shared" si="256"/>
        <v>0</v>
      </c>
      <c r="AF280" s="17">
        <f t="shared" si="257"/>
        <v>174289.24056370757</v>
      </c>
      <c r="AG280" s="17">
        <f t="shared" si="258"/>
        <v>8123.5662772395826</v>
      </c>
      <c r="AH280" s="17">
        <f t="shared" si="259"/>
        <v>184951.6724931591</v>
      </c>
      <c r="AI280" s="15">
        <f t="shared" si="221"/>
        <v>1</v>
      </c>
      <c r="AK280" s="14">
        <v>237</v>
      </c>
      <c r="AL280" s="15">
        <f t="shared" si="222"/>
        <v>20</v>
      </c>
      <c r="AM280" s="16">
        <f>(1+INDEX('1 - Input'!$B$34:$E$63,AL280,'1 - Input'!$B$16))^(1/12)-1</f>
        <v>4.1219243192651689E-3</v>
      </c>
      <c r="AN280" s="17">
        <f>'1 - Input'!$B$7*(1+'1 - Input'!$B$12)^(AL280-1)</f>
        <v>3933.3901658250547</v>
      </c>
      <c r="AO280" s="17">
        <f t="shared" si="260"/>
        <v>0</v>
      </c>
      <c r="AP280" s="17">
        <f t="shared" si="261"/>
        <v>0</v>
      </c>
      <c r="AQ280" s="17">
        <f t="shared" si="223"/>
        <v>0</v>
      </c>
      <c r="AR280" s="17">
        <f>IF(AQ280&gt;0,'1 - Input'!$B$8/12*AQ280,0)</f>
        <v>0</v>
      </c>
      <c r="AS280" s="17">
        <f t="shared" si="224"/>
        <v>0</v>
      </c>
      <c r="AT280" s="17">
        <f t="shared" si="225"/>
        <v>0</v>
      </c>
      <c r="AU280" s="17">
        <f>'1 - Input'!$B$22*(AR280-AT280)</f>
        <v>0</v>
      </c>
      <c r="AV280" s="17">
        <f t="shared" si="226"/>
        <v>0</v>
      </c>
      <c r="AW280" s="17">
        <f t="shared" si="227"/>
        <v>0</v>
      </c>
      <c r="AX280" s="17">
        <f>IF('1 - Input'!$B$17=1,MAX(0,AV280-AN280),0)</f>
        <v>0</v>
      </c>
      <c r="AY280" s="17">
        <f>IF('1 - Input'!$B$17=1,MAX(0,AN280-AV280),0)</f>
        <v>3933.3901658250547</v>
      </c>
      <c r="AZ280" s="17">
        <f t="shared" si="228"/>
        <v>0</v>
      </c>
      <c r="BA280" s="17">
        <f>IF(AND(AY280&gt;0,AS280&gt;0),AY280/(1-'1 - Input'!$B$22*AZ280),0)</f>
        <v>0</v>
      </c>
      <c r="BB280" s="17">
        <f t="shared" si="229"/>
        <v>0</v>
      </c>
      <c r="BC280" s="17">
        <f>'1 - Input'!$B$22*AZ280*BB280</f>
        <v>0</v>
      </c>
      <c r="BD280" s="17">
        <f t="shared" si="230"/>
        <v>0</v>
      </c>
      <c r="BE280" s="17">
        <f t="shared" si="231"/>
        <v>3933.3901658250547</v>
      </c>
      <c r="BF280" s="17">
        <f t="shared" si="232"/>
        <v>0</v>
      </c>
      <c r="BG280" s="17">
        <f t="shared" si="233"/>
        <v>0</v>
      </c>
      <c r="BH280" s="17">
        <f t="shared" si="234"/>
        <v>0</v>
      </c>
      <c r="BI280" s="17">
        <f>IF(MOD(AK280,12)=0,BG280*'1 - Input'!$B$23,0)</f>
        <v>0</v>
      </c>
      <c r="BJ280" s="17">
        <f t="shared" si="235"/>
        <v>0</v>
      </c>
      <c r="BK280" s="17">
        <f>IF(MOD(AK280,12)=0,BH280*(1-'1 - Input'!$B$23),BH280)</f>
        <v>0</v>
      </c>
      <c r="BL280" s="17">
        <f>IF('1 - Input'!$B$17=1,MIN(AV280,AN280)+BD280,AV280)</f>
        <v>0</v>
      </c>
      <c r="BM280" s="17">
        <f t="shared" si="262"/>
        <v>590482.93849429931</v>
      </c>
      <c r="BN280" s="17">
        <f t="shared" si="263"/>
        <v>101441.90180685223</v>
      </c>
      <c r="BO280" s="17">
        <f t="shared" si="264"/>
        <v>0</v>
      </c>
      <c r="BP280" s="17">
        <f t="shared" si="265"/>
        <v>174289.24056370757</v>
      </c>
      <c r="BQ280" s="17">
        <f t="shared" si="266"/>
        <v>8123.5662772395826</v>
      </c>
      <c r="BR280" s="17">
        <f t="shared" si="267"/>
        <v>184951.6724931591</v>
      </c>
      <c r="BS280" s="15">
        <f t="shared" si="236"/>
        <v>1</v>
      </c>
      <c r="BU280" s="14">
        <v>237</v>
      </c>
      <c r="BV280" s="15">
        <f t="shared" si="237"/>
        <v>20</v>
      </c>
      <c r="BW280" s="16">
        <f>(1+INDEX('1 - Input'!$B$34:$E$63,BV280,'1 - Input'!$B$16))^(1/12)-1</f>
        <v>4.1219243192651689E-3</v>
      </c>
      <c r="BX280" s="17">
        <f>'1 - Input'!$B$7*(1+'1 - Input'!$B$12)^(BV280-1)</f>
        <v>3933.3901658250547</v>
      </c>
      <c r="BY280" s="17">
        <f t="shared" si="268"/>
        <v>0</v>
      </c>
      <c r="BZ280" s="17">
        <f t="shared" si="269"/>
        <v>0</v>
      </c>
      <c r="CA280" s="17">
        <f t="shared" si="238"/>
        <v>0</v>
      </c>
      <c r="CB280" s="17">
        <f>IF(CA280&gt;0,'1 - Input'!$B$8/12*CA280,0)</f>
        <v>0</v>
      </c>
      <c r="CC280" s="17">
        <f t="shared" si="239"/>
        <v>0</v>
      </c>
      <c r="CD280" s="17">
        <f t="shared" si="240"/>
        <v>0</v>
      </c>
      <c r="CE280" s="17">
        <f>'1 - Input'!$B$22*(CB280-CD280)</f>
        <v>0</v>
      </c>
      <c r="CF280" s="17">
        <f t="shared" si="241"/>
        <v>0</v>
      </c>
      <c r="CG280" s="17">
        <f t="shared" si="242"/>
        <v>0</v>
      </c>
      <c r="CH280" s="17">
        <f>IF('1 - Input'!$B$17=1,MAX(0,CF280-BX280),0)</f>
        <v>0</v>
      </c>
      <c r="CI280" s="17">
        <f>IF('1 - Input'!$B$17=1,MAX(0,BX280-CF280),0)</f>
        <v>3933.3901658250547</v>
      </c>
      <c r="CJ280" s="17">
        <f t="shared" si="243"/>
        <v>0</v>
      </c>
      <c r="CK280" s="17">
        <f>IF(AND(CI280&gt;0,CC280&gt;0),CI280/(1-'1 - Input'!$B$22*CJ280),0)</f>
        <v>0</v>
      </c>
      <c r="CL280" s="17">
        <f t="shared" si="244"/>
        <v>0</v>
      </c>
      <c r="CM280" s="17">
        <f>'1 - Input'!$B$22*CJ280*CL280</f>
        <v>0</v>
      </c>
      <c r="CN280" s="17">
        <f t="shared" si="245"/>
        <v>0</v>
      </c>
      <c r="CO280" s="17">
        <f t="shared" si="246"/>
        <v>3933.3901658250547</v>
      </c>
      <c r="CP280" s="17">
        <f t="shared" si="247"/>
        <v>0</v>
      </c>
      <c r="CQ280" s="17">
        <f t="shared" si="248"/>
        <v>0</v>
      </c>
      <c r="CR280" s="17">
        <f t="shared" si="249"/>
        <v>0</v>
      </c>
      <c r="CS280" s="17">
        <f>IF(MOD(BU280,12)=0,CQ280*'1 - Input'!$B$23,0)</f>
        <v>0</v>
      </c>
      <c r="CT280" s="17">
        <f t="shared" si="250"/>
        <v>0</v>
      </c>
      <c r="CU280" s="17">
        <f>IF(MOD(BU280,12)=0,CR280*(1-'1 - Input'!$B$23),CR280)</f>
        <v>0</v>
      </c>
      <c r="CV280" s="17">
        <f>IF('1 - Input'!$B$17=1,MIN(CF280,BX280)+CN280,CF280)</f>
        <v>0</v>
      </c>
      <c r="CW280" s="17">
        <f t="shared" si="270"/>
        <v>686605.50041273201</v>
      </c>
      <c r="CX280" s="17">
        <f t="shared" si="271"/>
        <v>6018.3402768167462</v>
      </c>
      <c r="CY280" s="17">
        <f t="shared" si="272"/>
        <v>66518.776160328038</v>
      </c>
      <c r="CZ280" s="17">
        <f t="shared" si="273"/>
        <v>0</v>
      </c>
      <c r="DA280" s="17">
        <f t="shared" si="274"/>
        <v>10954.114452440983</v>
      </c>
      <c r="DB280" s="17">
        <f t="shared" si="275"/>
        <v>88829.110574727252</v>
      </c>
      <c r="DC280" s="15">
        <f t="shared" si="251"/>
        <v>1</v>
      </c>
    </row>
    <row r="281" spans="1:107">
      <c r="A281" s="14">
        <v>238</v>
      </c>
      <c r="B281" s="15">
        <f t="shared" si="207"/>
        <v>20</v>
      </c>
      <c r="C281" s="16">
        <f>(1+INDEX('1 - Input'!$B$34:$E$63,B281,'1 - Input'!$B$16))^(1/12)-1</f>
        <v>4.1219243192651689E-3</v>
      </c>
      <c r="D281" s="17">
        <f>'1 - Input'!$B$7*(1+'1 - Input'!$B$12)^(B281-1)</f>
        <v>3933.3901658250547</v>
      </c>
      <c r="E281" s="17">
        <f t="shared" si="252"/>
        <v>0</v>
      </c>
      <c r="F281" s="17">
        <f t="shared" si="253"/>
        <v>0</v>
      </c>
      <c r="G281" s="17">
        <f t="shared" si="208"/>
        <v>0</v>
      </c>
      <c r="H281" s="17">
        <f>IF(G281&gt;0,'1 - Input'!$B$8/12*G281,0)</f>
        <v>0</v>
      </c>
      <c r="I281" s="17">
        <f t="shared" si="209"/>
        <v>0</v>
      </c>
      <c r="J281" s="17">
        <f t="shared" si="210"/>
        <v>0</v>
      </c>
      <c r="K281" s="17">
        <f>'1 - Input'!$B$22*(H281-J281)</f>
        <v>0</v>
      </c>
      <c r="L281" s="17">
        <f t="shared" si="211"/>
        <v>0</v>
      </c>
      <c r="M281" s="17">
        <f t="shared" si="212"/>
        <v>0</v>
      </c>
      <c r="N281" s="17">
        <f>IF('1 - Input'!$B$17=1,MAX(0,L281-D281),0)</f>
        <v>0</v>
      </c>
      <c r="O281" s="17">
        <f>IF('1 - Input'!$B$17=1,MAX(0,D281-L281),0)</f>
        <v>3933.3901658250547</v>
      </c>
      <c r="P281" s="17">
        <f t="shared" si="213"/>
        <v>0</v>
      </c>
      <c r="Q281" s="17">
        <f>IF(AND(O281&gt;0,I281&gt;0),O281/(1-'1 - Input'!$B$22*P281),0)</f>
        <v>0</v>
      </c>
      <c r="R281" s="17">
        <f t="shared" si="214"/>
        <v>0</v>
      </c>
      <c r="S281" s="17">
        <f>'1 - Input'!$B$22*P281*R281</f>
        <v>0</v>
      </c>
      <c r="T281" s="17">
        <f t="shared" si="215"/>
        <v>0</v>
      </c>
      <c r="U281" s="17">
        <f t="shared" si="216"/>
        <v>3933.3901658250547</v>
      </c>
      <c r="V281" s="17">
        <f t="shared" si="217"/>
        <v>0</v>
      </c>
      <c r="W281" s="17">
        <f t="shared" si="218"/>
        <v>0</v>
      </c>
      <c r="X281" s="17">
        <f t="shared" si="219"/>
        <v>0</v>
      </c>
      <c r="Y281" s="17">
        <f>IF(MOD(A281,12)=0,W281*'1 - Input'!$B$23,0)</f>
        <v>0</v>
      </c>
      <c r="Z281" s="17">
        <f t="shared" si="220"/>
        <v>0</v>
      </c>
      <c r="AA281" s="17">
        <f>IF(MOD(A281,12)=0,X281*(1-'1 - Input'!$B$23),X281)</f>
        <v>0</v>
      </c>
      <c r="AB281" s="17">
        <f>IF('1 - Input'!$B$17=1,MIN(L281,D281)+T281,L281)</f>
        <v>0</v>
      </c>
      <c r="AC281" s="17">
        <f t="shared" si="254"/>
        <v>590482.93849429931</v>
      </c>
      <c r="AD281" s="17">
        <f t="shared" si="255"/>
        <v>101441.90180685223</v>
      </c>
      <c r="AE281" s="17">
        <f t="shared" si="256"/>
        <v>0</v>
      </c>
      <c r="AF281" s="17">
        <f t="shared" si="257"/>
        <v>174289.24056370757</v>
      </c>
      <c r="AG281" s="17">
        <f t="shared" si="258"/>
        <v>8123.5662772395826</v>
      </c>
      <c r="AH281" s="17">
        <f t="shared" si="259"/>
        <v>188885.06265898416</v>
      </c>
      <c r="AI281" s="15">
        <f t="shared" si="221"/>
        <v>1</v>
      </c>
      <c r="AK281" s="14">
        <v>238</v>
      </c>
      <c r="AL281" s="15">
        <f t="shared" si="222"/>
        <v>20</v>
      </c>
      <c r="AM281" s="16">
        <f>(1+INDEX('1 - Input'!$B$34:$E$63,AL281,'1 - Input'!$B$16))^(1/12)-1</f>
        <v>4.1219243192651689E-3</v>
      </c>
      <c r="AN281" s="17">
        <f>'1 - Input'!$B$7*(1+'1 - Input'!$B$12)^(AL281-1)</f>
        <v>3933.3901658250547</v>
      </c>
      <c r="AO281" s="17">
        <f t="shared" si="260"/>
        <v>0</v>
      </c>
      <c r="AP281" s="17">
        <f t="shared" si="261"/>
        <v>0</v>
      </c>
      <c r="AQ281" s="17">
        <f t="shared" si="223"/>
        <v>0</v>
      </c>
      <c r="AR281" s="17">
        <f>IF(AQ281&gt;0,'1 - Input'!$B$8/12*AQ281,0)</f>
        <v>0</v>
      </c>
      <c r="AS281" s="17">
        <f t="shared" si="224"/>
        <v>0</v>
      </c>
      <c r="AT281" s="17">
        <f t="shared" si="225"/>
        <v>0</v>
      </c>
      <c r="AU281" s="17">
        <f>'1 - Input'!$B$22*(AR281-AT281)</f>
        <v>0</v>
      </c>
      <c r="AV281" s="17">
        <f t="shared" si="226"/>
        <v>0</v>
      </c>
      <c r="AW281" s="17">
        <f t="shared" si="227"/>
        <v>0</v>
      </c>
      <c r="AX281" s="17">
        <f>IF('1 - Input'!$B$17=1,MAX(0,AV281-AN281),0)</f>
        <v>0</v>
      </c>
      <c r="AY281" s="17">
        <f>IF('1 - Input'!$B$17=1,MAX(0,AN281-AV281),0)</f>
        <v>3933.3901658250547</v>
      </c>
      <c r="AZ281" s="17">
        <f t="shared" si="228"/>
        <v>0</v>
      </c>
      <c r="BA281" s="17">
        <f>IF(AND(AY281&gt;0,AS281&gt;0),AY281/(1-'1 - Input'!$B$22*AZ281),0)</f>
        <v>0</v>
      </c>
      <c r="BB281" s="17">
        <f t="shared" si="229"/>
        <v>0</v>
      </c>
      <c r="BC281" s="17">
        <f>'1 - Input'!$B$22*AZ281*BB281</f>
        <v>0</v>
      </c>
      <c r="BD281" s="17">
        <f t="shared" si="230"/>
        <v>0</v>
      </c>
      <c r="BE281" s="17">
        <f t="shared" si="231"/>
        <v>3933.3901658250547</v>
      </c>
      <c r="BF281" s="17">
        <f t="shared" si="232"/>
        <v>0</v>
      </c>
      <c r="BG281" s="17">
        <f t="shared" si="233"/>
        <v>0</v>
      </c>
      <c r="BH281" s="17">
        <f t="shared" si="234"/>
        <v>0</v>
      </c>
      <c r="BI281" s="17">
        <f>IF(MOD(AK281,12)=0,BG281*'1 - Input'!$B$23,0)</f>
        <v>0</v>
      </c>
      <c r="BJ281" s="17">
        <f t="shared" si="235"/>
        <v>0</v>
      </c>
      <c r="BK281" s="17">
        <f>IF(MOD(AK281,12)=0,BH281*(1-'1 - Input'!$B$23),BH281)</f>
        <v>0</v>
      </c>
      <c r="BL281" s="17">
        <f>IF('1 - Input'!$B$17=1,MIN(AV281,AN281)+BD281,AV281)</f>
        <v>0</v>
      </c>
      <c r="BM281" s="17">
        <f t="shared" si="262"/>
        <v>590482.93849429931</v>
      </c>
      <c r="BN281" s="17">
        <f t="shared" si="263"/>
        <v>101441.90180685223</v>
      </c>
      <c r="BO281" s="17">
        <f t="shared" si="264"/>
        <v>0</v>
      </c>
      <c r="BP281" s="17">
        <f t="shared" si="265"/>
        <v>174289.24056370757</v>
      </c>
      <c r="BQ281" s="17">
        <f t="shared" si="266"/>
        <v>8123.5662772395826</v>
      </c>
      <c r="BR281" s="17">
        <f t="shared" si="267"/>
        <v>188885.06265898416</v>
      </c>
      <c r="BS281" s="15">
        <f t="shared" si="236"/>
        <v>1</v>
      </c>
      <c r="BU281" s="14">
        <v>238</v>
      </c>
      <c r="BV281" s="15">
        <f t="shared" si="237"/>
        <v>20</v>
      </c>
      <c r="BW281" s="16">
        <f>(1+INDEX('1 - Input'!$B$34:$E$63,BV281,'1 - Input'!$B$16))^(1/12)-1</f>
        <v>4.1219243192651689E-3</v>
      </c>
      <c r="BX281" s="17">
        <f>'1 - Input'!$B$7*(1+'1 - Input'!$B$12)^(BV281-1)</f>
        <v>3933.3901658250547</v>
      </c>
      <c r="BY281" s="17">
        <f t="shared" si="268"/>
        <v>0</v>
      </c>
      <c r="BZ281" s="17">
        <f t="shared" si="269"/>
        <v>0</v>
      </c>
      <c r="CA281" s="17">
        <f t="shared" si="238"/>
        <v>0</v>
      </c>
      <c r="CB281" s="17">
        <f>IF(CA281&gt;0,'1 - Input'!$B$8/12*CA281,0)</f>
        <v>0</v>
      </c>
      <c r="CC281" s="17">
        <f t="shared" si="239"/>
        <v>0</v>
      </c>
      <c r="CD281" s="17">
        <f t="shared" si="240"/>
        <v>0</v>
      </c>
      <c r="CE281" s="17">
        <f>'1 - Input'!$B$22*(CB281-CD281)</f>
        <v>0</v>
      </c>
      <c r="CF281" s="17">
        <f t="shared" si="241"/>
        <v>0</v>
      </c>
      <c r="CG281" s="17">
        <f t="shared" si="242"/>
        <v>0</v>
      </c>
      <c r="CH281" s="17">
        <f>IF('1 - Input'!$B$17=1,MAX(0,CF281-BX281),0)</f>
        <v>0</v>
      </c>
      <c r="CI281" s="17">
        <f>IF('1 - Input'!$B$17=1,MAX(0,BX281-CF281),0)</f>
        <v>3933.3901658250547</v>
      </c>
      <c r="CJ281" s="17">
        <f t="shared" si="243"/>
        <v>0</v>
      </c>
      <c r="CK281" s="17">
        <f>IF(AND(CI281&gt;0,CC281&gt;0),CI281/(1-'1 - Input'!$B$22*CJ281),0)</f>
        <v>0</v>
      </c>
      <c r="CL281" s="17">
        <f t="shared" si="244"/>
        <v>0</v>
      </c>
      <c r="CM281" s="17">
        <f>'1 - Input'!$B$22*CJ281*CL281</f>
        <v>0</v>
      </c>
      <c r="CN281" s="17">
        <f t="shared" si="245"/>
        <v>0</v>
      </c>
      <c r="CO281" s="17">
        <f t="shared" si="246"/>
        <v>3933.3901658250547</v>
      </c>
      <c r="CP281" s="17">
        <f t="shared" si="247"/>
        <v>0</v>
      </c>
      <c r="CQ281" s="17">
        <f t="shared" si="248"/>
        <v>0</v>
      </c>
      <c r="CR281" s="17">
        <f t="shared" si="249"/>
        <v>0</v>
      </c>
      <c r="CS281" s="17">
        <f>IF(MOD(BU281,12)=0,CQ281*'1 - Input'!$B$23,0)</f>
        <v>0</v>
      </c>
      <c r="CT281" s="17">
        <f t="shared" si="250"/>
        <v>0</v>
      </c>
      <c r="CU281" s="17">
        <f>IF(MOD(BU281,12)=0,CR281*(1-'1 - Input'!$B$23),CR281)</f>
        <v>0</v>
      </c>
      <c r="CV281" s="17">
        <f>IF('1 - Input'!$B$17=1,MIN(CF281,BX281)+CN281,CF281)</f>
        <v>0</v>
      </c>
      <c r="CW281" s="17">
        <f t="shared" si="270"/>
        <v>686605.50041273201</v>
      </c>
      <c r="CX281" s="17">
        <f t="shared" si="271"/>
        <v>6018.3402768167462</v>
      </c>
      <c r="CY281" s="17">
        <f t="shared" si="272"/>
        <v>66518.776160328038</v>
      </c>
      <c r="CZ281" s="17">
        <f t="shared" si="273"/>
        <v>0</v>
      </c>
      <c r="DA281" s="17">
        <f t="shared" si="274"/>
        <v>10954.114452440983</v>
      </c>
      <c r="DB281" s="17">
        <f t="shared" si="275"/>
        <v>92762.500740552307</v>
      </c>
      <c r="DC281" s="15">
        <f t="shared" si="251"/>
        <v>1</v>
      </c>
    </row>
    <row r="282" spans="1:107">
      <c r="A282" s="14">
        <v>239</v>
      </c>
      <c r="B282" s="15">
        <f t="shared" si="207"/>
        <v>20</v>
      </c>
      <c r="C282" s="16">
        <f>(1+INDEX('1 - Input'!$B$34:$E$63,B282,'1 - Input'!$B$16))^(1/12)-1</f>
        <v>4.1219243192651689E-3</v>
      </c>
      <c r="D282" s="17">
        <f>'1 - Input'!$B$7*(1+'1 - Input'!$B$12)^(B282-1)</f>
        <v>3933.3901658250547</v>
      </c>
      <c r="E282" s="17">
        <f t="shared" si="252"/>
        <v>0</v>
      </c>
      <c r="F282" s="17">
        <f t="shared" si="253"/>
        <v>0</v>
      </c>
      <c r="G282" s="17">
        <f t="shared" si="208"/>
        <v>0</v>
      </c>
      <c r="H282" s="17">
        <f>IF(G282&gt;0,'1 - Input'!$B$8/12*G282,0)</f>
        <v>0</v>
      </c>
      <c r="I282" s="17">
        <f t="shared" si="209"/>
        <v>0</v>
      </c>
      <c r="J282" s="17">
        <f t="shared" si="210"/>
        <v>0</v>
      </c>
      <c r="K282" s="17">
        <f>'1 - Input'!$B$22*(H282-J282)</f>
        <v>0</v>
      </c>
      <c r="L282" s="17">
        <f t="shared" si="211"/>
        <v>0</v>
      </c>
      <c r="M282" s="17">
        <f t="shared" si="212"/>
        <v>0</v>
      </c>
      <c r="N282" s="17">
        <f>IF('1 - Input'!$B$17=1,MAX(0,L282-D282),0)</f>
        <v>0</v>
      </c>
      <c r="O282" s="17">
        <f>IF('1 - Input'!$B$17=1,MAX(0,D282-L282),0)</f>
        <v>3933.3901658250547</v>
      </c>
      <c r="P282" s="17">
        <f t="shared" si="213"/>
        <v>0</v>
      </c>
      <c r="Q282" s="17">
        <f>IF(AND(O282&gt;0,I282&gt;0),O282/(1-'1 - Input'!$B$22*P282),0)</f>
        <v>0</v>
      </c>
      <c r="R282" s="17">
        <f t="shared" si="214"/>
        <v>0</v>
      </c>
      <c r="S282" s="17">
        <f>'1 - Input'!$B$22*P282*R282</f>
        <v>0</v>
      </c>
      <c r="T282" s="17">
        <f t="shared" si="215"/>
        <v>0</v>
      </c>
      <c r="U282" s="17">
        <f t="shared" si="216"/>
        <v>3933.3901658250547</v>
      </c>
      <c r="V282" s="17">
        <f t="shared" si="217"/>
        <v>0</v>
      </c>
      <c r="W282" s="17">
        <f t="shared" si="218"/>
        <v>0</v>
      </c>
      <c r="X282" s="17">
        <f t="shared" si="219"/>
        <v>0</v>
      </c>
      <c r="Y282" s="17">
        <f>IF(MOD(A282,12)=0,W282*'1 - Input'!$B$23,0)</f>
        <v>0</v>
      </c>
      <c r="Z282" s="17">
        <f t="shared" si="220"/>
        <v>0</v>
      </c>
      <c r="AA282" s="17">
        <f>IF(MOD(A282,12)=0,X282*(1-'1 - Input'!$B$23),X282)</f>
        <v>0</v>
      </c>
      <c r="AB282" s="17">
        <f>IF('1 - Input'!$B$17=1,MIN(L282,D282)+T282,L282)</f>
        <v>0</v>
      </c>
      <c r="AC282" s="17">
        <f t="shared" si="254"/>
        <v>590482.93849429931</v>
      </c>
      <c r="AD282" s="17">
        <f t="shared" si="255"/>
        <v>101441.90180685223</v>
      </c>
      <c r="AE282" s="17">
        <f t="shared" si="256"/>
        <v>0</v>
      </c>
      <c r="AF282" s="17">
        <f t="shared" si="257"/>
        <v>174289.24056370757</v>
      </c>
      <c r="AG282" s="17">
        <f t="shared" si="258"/>
        <v>8123.5662772395826</v>
      </c>
      <c r="AH282" s="17">
        <f t="shared" si="259"/>
        <v>192818.45282480921</v>
      </c>
      <c r="AI282" s="15">
        <f t="shared" si="221"/>
        <v>1</v>
      </c>
      <c r="AK282" s="14">
        <v>239</v>
      </c>
      <c r="AL282" s="15">
        <f t="shared" si="222"/>
        <v>20</v>
      </c>
      <c r="AM282" s="16">
        <f>(1+INDEX('1 - Input'!$B$34:$E$63,AL282,'1 - Input'!$B$16))^(1/12)-1</f>
        <v>4.1219243192651689E-3</v>
      </c>
      <c r="AN282" s="17">
        <f>'1 - Input'!$B$7*(1+'1 - Input'!$B$12)^(AL282-1)</f>
        <v>3933.3901658250547</v>
      </c>
      <c r="AO282" s="17">
        <f t="shared" si="260"/>
        <v>0</v>
      </c>
      <c r="AP282" s="17">
        <f t="shared" si="261"/>
        <v>0</v>
      </c>
      <c r="AQ282" s="17">
        <f t="shared" si="223"/>
        <v>0</v>
      </c>
      <c r="AR282" s="17">
        <f>IF(AQ282&gt;0,'1 - Input'!$B$8/12*AQ282,0)</f>
        <v>0</v>
      </c>
      <c r="AS282" s="17">
        <f t="shared" si="224"/>
        <v>0</v>
      </c>
      <c r="AT282" s="17">
        <f t="shared" si="225"/>
        <v>0</v>
      </c>
      <c r="AU282" s="17">
        <f>'1 - Input'!$B$22*(AR282-AT282)</f>
        <v>0</v>
      </c>
      <c r="AV282" s="17">
        <f t="shared" si="226"/>
        <v>0</v>
      </c>
      <c r="AW282" s="17">
        <f t="shared" si="227"/>
        <v>0</v>
      </c>
      <c r="AX282" s="17">
        <f>IF('1 - Input'!$B$17=1,MAX(0,AV282-AN282),0)</f>
        <v>0</v>
      </c>
      <c r="AY282" s="17">
        <f>IF('1 - Input'!$B$17=1,MAX(0,AN282-AV282),0)</f>
        <v>3933.3901658250547</v>
      </c>
      <c r="AZ282" s="17">
        <f t="shared" si="228"/>
        <v>0</v>
      </c>
      <c r="BA282" s="17">
        <f>IF(AND(AY282&gt;0,AS282&gt;0),AY282/(1-'1 - Input'!$B$22*AZ282),0)</f>
        <v>0</v>
      </c>
      <c r="BB282" s="17">
        <f t="shared" si="229"/>
        <v>0</v>
      </c>
      <c r="BC282" s="17">
        <f>'1 - Input'!$B$22*AZ282*BB282</f>
        <v>0</v>
      </c>
      <c r="BD282" s="17">
        <f t="shared" si="230"/>
        <v>0</v>
      </c>
      <c r="BE282" s="17">
        <f t="shared" si="231"/>
        <v>3933.3901658250547</v>
      </c>
      <c r="BF282" s="17">
        <f t="shared" si="232"/>
        <v>0</v>
      </c>
      <c r="BG282" s="17">
        <f t="shared" si="233"/>
        <v>0</v>
      </c>
      <c r="BH282" s="17">
        <f t="shared" si="234"/>
        <v>0</v>
      </c>
      <c r="BI282" s="17">
        <f>IF(MOD(AK282,12)=0,BG282*'1 - Input'!$B$23,0)</f>
        <v>0</v>
      </c>
      <c r="BJ282" s="17">
        <f t="shared" si="235"/>
        <v>0</v>
      </c>
      <c r="BK282" s="17">
        <f>IF(MOD(AK282,12)=0,BH282*(1-'1 - Input'!$B$23),BH282)</f>
        <v>0</v>
      </c>
      <c r="BL282" s="17">
        <f>IF('1 - Input'!$B$17=1,MIN(AV282,AN282)+BD282,AV282)</f>
        <v>0</v>
      </c>
      <c r="BM282" s="17">
        <f t="shared" si="262"/>
        <v>590482.93849429931</v>
      </c>
      <c r="BN282" s="17">
        <f t="shared" si="263"/>
        <v>101441.90180685223</v>
      </c>
      <c r="BO282" s="17">
        <f t="shared" si="264"/>
        <v>0</v>
      </c>
      <c r="BP282" s="17">
        <f t="shared" si="265"/>
        <v>174289.24056370757</v>
      </c>
      <c r="BQ282" s="17">
        <f t="shared" si="266"/>
        <v>8123.5662772395826</v>
      </c>
      <c r="BR282" s="17">
        <f t="shared" si="267"/>
        <v>192818.45282480921</v>
      </c>
      <c r="BS282" s="15">
        <f t="shared" si="236"/>
        <v>1</v>
      </c>
      <c r="BU282" s="14">
        <v>239</v>
      </c>
      <c r="BV282" s="15">
        <f t="shared" si="237"/>
        <v>20</v>
      </c>
      <c r="BW282" s="16">
        <f>(1+INDEX('1 - Input'!$B$34:$E$63,BV282,'1 - Input'!$B$16))^(1/12)-1</f>
        <v>4.1219243192651689E-3</v>
      </c>
      <c r="BX282" s="17">
        <f>'1 - Input'!$B$7*(1+'1 - Input'!$B$12)^(BV282-1)</f>
        <v>3933.3901658250547</v>
      </c>
      <c r="BY282" s="17">
        <f t="shared" si="268"/>
        <v>0</v>
      </c>
      <c r="BZ282" s="17">
        <f t="shared" si="269"/>
        <v>0</v>
      </c>
      <c r="CA282" s="17">
        <f t="shared" si="238"/>
        <v>0</v>
      </c>
      <c r="CB282" s="17">
        <f>IF(CA282&gt;0,'1 - Input'!$B$8/12*CA282,0)</f>
        <v>0</v>
      </c>
      <c r="CC282" s="17">
        <f t="shared" si="239"/>
        <v>0</v>
      </c>
      <c r="CD282" s="17">
        <f t="shared" si="240"/>
        <v>0</v>
      </c>
      <c r="CE282" s="17">
        <f>'1 - Input'!$B$22*(CB282-CD282)</f>
        <v>0</v>
      </c>
      <c r="CF282" s="17">
        <f t="shared" si="241"/>
        <v>0</v>
      </c>
      <c r="CG282" s="17">
        <f t="shared" si="242"/>
        <v>0</v>
      </c>
      <c r="CH282" s="17">
        <f>IF('1 - Input'!$B$17=1,MAX(0,CF282-BX282),0)</f>
        <v>0</v>
      </c>
      <c r="CI282" s="17">
        <f>IF('1 - Input'!$B$17=1,MAX(0,BX282-CF282),0)</f>
        <v>3933.3901658250547</v>
      </c>
      <c r="CJ282" s="17">
        <f t="shared" si="243"/>
        <v>0</v>
      </c>
      <c r="CK282" s="17">
        <f>IF(AND(CI282&gt;0,CC282&gt;0),CI282/(1-'1 - Input'!$B$22*CJ282),0)</f>
        <v>0</v>
      </c>
      <c r="CL282" s="17">
        <f t="shared" si="244"/>
        <v>0</v>
      </c>
      <c r="CM282" s="17">
        <f>'1 - Input'!$B$22*CJ282*CL282</f>
        <v>0</v>
      </c>
      <c r="CN282" s="17">
        <f t="shared" si="245"/>
        <v>0</v>
      </c>
      <c r="CO282" s="17">
        <f t="shared" si="246"/>
        <v>3933.3901658250547</v>
      </c>
      <c r="CP282" s="17">
        <f t="shared" si="247"/>
        <v>0</v>
      </c>
      <c r="CQ282" s="17">
        <f t="shared" si="248"/>
        <v>0</v>
      </c>
      <c r="CR282" s="17">
        <f t="shared" si="249"/>
        <v>0</v>
      </c>
      <c r="CS282" s="17">
        <f>IF(MOD(BU282,12)=0,CQ282*'1 - Input'!$B$23,0)</f>
        <v>0</v>
      </c>
      <c r="CT282" s="17">
        <f t="shared" si="250"/>
        <v>0</v>
      </c>
      <c r="CU282" s="17">
        <f>IF(MOD(BU282,12)=0,CR282*(1-'1 - Input'!$B$23),CR282)</f>
        <v>0</v>
      </c>
      <c r="CV282" s="17">
        <f>IF('1 - Input'!$B$17=1,MIN(CF282,BX282)+CN282,CF282)</f>
        <v>0</v>
      </c>
      <c r="CW282" s="17">
        <f t="shared" si="270"/>
        <v>686605.50041273201</v>
      </c>
      <c r="CX282" s="17">
        <f t="shared" si="271"/>
        <v>6018.3402768167462</v>
      </c>
      <c r="CY282" s="17">
        <f t="shared" si="272"/>
        <v>66518.776160328038</v>
      </c>
      <c r="CZ282" s="17">
        <f t="shared" si="273"/>
        <v>0</v>
      </c>
      <c r="DA282" s="17">
        <f t="shared" si="274"/>
        <v>10954.114452440983</v>
      </c>
      <c r="DB282" s="17">
        <f t="shared" si="275"/>
        <v>96695.890906377361</v>
      </c>
      <c r="DC282" s="15">
        <f t="shared" si="251"/>
        <v>1</v>
      </c>
    </row>
    <row r="283" spans="1:107">
      <c r="A283" s="14">
        <v>240</v>
      </c>
      <c r="B283" s="15">
        <f t="shared" si="207"/>
        <v>20</v>
      </c>
      <c r="C283" s="16">
        <f>(1+INDEX('1 - Input'!$B$34:$E$63,B283,'1 - Input'!$B$16))^(1/12)-1</f>
        <v>4.1219243192651689E-3</v>
      </c>
      <c r="D283" s="17">
        <f>'1 - Input'!$B$7*(1+'1 - Input'!$B$12)^(B283-1)</f>
        <v>3933.3901658250547</v>
      </c>
      <c r="E283" s="17">
        <f t="shared" si="252"/>
        <v>0</v>
      </c>
      <c r="F283" s="17">
        <f t="shared" si="253"/>
        <v>0</v>
      </c>
      <c r="G283" s="17">
        <f t="shared" si="208"/>
        <v>0</v>
      </c>
      <c r="H283" s="17">
        <f>IF(G283&gt;0,'1 - Input'!$B$8/12*G283,0)</f>
        <v>0</v>
      </c>
      <c r="I283" s="17">
        <f t="shared" si="209"/>
        <v>0</v>
      </c>
      <c r="J283" s="17">
        <f t="shared" si="210"/>
        <v>0</v>
      </c>
      <c r="K283" s="17">
        <f>'1 - Input'!$B$22*(H283-J283)</f>
        <v>0</v>
      </c>
      <c r="L283" s="17">
        <f t="shared" si="211"/>
        <v>0</v>
      </c>
      <c r="M283" s="17">
        <f t="shared" si="212"/>
        <v>0</v>
      </c>
      <c r="N283" s="17">
        <f>IF('1 - Input'!$B$17=1,MAX(0,L283-D283),0)</f>
        <v>0</v>
      </c>
      <c r="O283" s="17">
        <f>IF('1 - Input'!$B$17=1,MAX(0,D283-L283),0)</f>
        <v>3933.3901658250547</v>
      </c>
      <c r="P283" s="17">
        <f t="shared" si="213"/>
        <v>0</v>
      </c>
      <c r="Q283" s="17">
        <f>IF(AND(O283&gt;0,I283&gt;0),O283/(1-'1 - Input'!$B$22*P283),0)</f>
        <v>0</v>
      </c>
      <c r="R283" s="17">
        <f t="shared" si="214"/>
        <v>0</v>
      </c>
      <c r="S283" s="17">
        <f>'1 - Input'!$B$22*P283*R283</f>
        <v>0</v>
      </c>
      <c r="T283" s="17">
        <f t="shared" si="215"/>
        <v>0</v>
      </c>
      <c r="U283" s="17">
        <f t="shared" si="216"/>
        <v>3933.3901658250547</v>
      </c>
      <c r="V283" s="17">
        <f t="shared" si="217"/>
        <v>0</v>
      </c>
      <c r="W283" s="17">
        <f t="shared" si="218"/>
        <v>0</v>
      </c>
      <c r="X283" s="17">
        <f t="shared" si="219"/>
        <v>0</v>
      </c>
      <c r="Y283" s="17">
        <f>IF(MOD(A283,12)=0,W283*'1 - Input'!$B$23,0)</f>
        <v>0</v>
      </c>
      <c r="Z283" s="17">
        <f t="shared" si="220"/>
        <v>0</v>
      </c>
      <c r="AA283" s="17">
        <f>IF(MOD(A283,12)=0,X283*(1-'1 - Input'!$B$23),X283)</f>
        <v>0</v>
      </c>
      <c r="AB283" s="17">
        <f>IF('1 - Input'!$B$17=1,MIN(L283,D283)+T283,L283)</f>
        <v>0</v>
      </c>
      <c r="AC283" s="17">
        <f t="shared" si="254"/>
        <v>590482.93849429931</v>
      </c>
      <c r="AD283" s="17">
        <f t="shared" si="255"/>
        <v>101441.90180685223</v>
      </c>
      <c r="AE283" s="17">
        <f t="shared" si="256"/>
        <v>0</v>
      </c>
      <c r="AF283" s="17">
        <f t="shared" si="257"/>
        <v>174289.24056370757</v>
      </c>
      <c r="AG283" s="17">
        <f t="shared" si="258"/>
        <v>8123.5662772395826</v>
      </c>
      <c r="AH283" s="17">
        <f t="shared" si="259"/>
        <v>196751.84299063426</v>
      </c>
      <c r="AI283" s="15">
        <f t="shared" si="221"/>
        <v>1</v>
      </c>
      <c r="AK283" s="14">
        <v>240</v>
      </c>
      <c r="AL283" s="15">
        <f t="shared" si="222"/>
        <v>20</v>
      </c>
      <c r="AM283" s="16">
        <f>(1+INDEX('1 - Input'!$B$34:$E$63,AL283,'1 - Input'!$B$16))^(1/12)-1</f>
        <v>4.1219243192651689E-3</v>
      </c>
      <c r="AN283" s="17">
        <f>'1 - Input'!$B$7*(1+'1 - Input'!$B$12)^(AL283-1)</f>
        <v>3933.3901658250547</v>
      </c>
      <c r="AO283" s="17">
        <f t="shared" si="260"/>
        <v>0</v>
      </c>
      <c r="AP283" s="17">
        <f t="shared" si="261"/>
        <v>0</v>
      </c>
      <c r="AQ283" s="17">
        <f t="shared" si="223"/>
        <v>0</v>
      </c>
      <c r="AR283" s="17">
        <f>IF(AQ283&gt;0,'1 - Input'!$B$8/12*AQ283,0)</f>
        <v>0</v>
      </c>
      <c r="AS283" s="17">
        <f t="shared" si="224"/>
        <v>0</v>
      </c>
      <c r="AT283" s="17">
        <f t="shared" si="225"/>
        <v>0</v>
      </c>
      <c r="AU283" s="17">
        <f>'1 - Input'!$B$22*(AR283-AT283)</f>
        <v>0</v>
      </c>
      <c r="AV283" s="17">
        <f t="shared" si="226"/>
        <v>0</v>
      </c>
      <c r="AW283" s="17">
        <f t="shared" si="227"/>
        <v>0</v>
      </c>
      <c r="AX283" s="17">
        <f>IF('1 - Input'!$B$17=1,MAX(0,AV283-AN283),0)</f>
        <v>0</v>
      </c>
      <c r="AY283" s="17">
        <f>IF('1 - Input'!$B$17=1,MAX(0,AN283-AV283),0)</f>
        <v>3933.3901658250547</v>
      </c>
      <c r="AZ283" s="17">
        <f t="shared" si="228"/>
        <v>0</v>
      </c>
      <c r="BA283" s="17">
        <f>IF(AND(AY283&gt;0,AS283&gt;0),AY283/(1-'1 - Input'!$B$22*AZ283),0)</f>
        <v>0</v>
      </c>
      <c r="BB283" s="17">
        <f t="shared" si="229"/>
        <v>0</v>
      </c>
      <c r="BC283" s="17">
        <f>'1 - Input'!$B$22*AZ283*BB283</f>
        <v>0</v>
      </c>
      <c r="BD283" s="17">
        <f t="shared" si="230"/>
        <v>0</v>
      </c>
      <c r="BE283" s="17">
        <f t="shared" si="231"/>
        <v>3933.3901658250547</v>
      </c>
      <c r="BF283" s="17">
        <f t="shared" si="232"/>
        <v>0</v>
      </c>
      <c r="BG283" s="17">
        <f t="shared" si="233"/>
        <v>0</v>
      </c>
      <c r="BH283" s="17">
        <f t="shared" si="234"/>
        <v>0</v>
      </c>
      <c r="BI283" s="17">
        <f>IF(MOD(AK283,12)=0,BG283*'1 - Input'!$B$23,0)</f>
        <v>0</v>
      </c>
      <c r="BJ283" s="17">
        <f t="shared" si="235"/>
        <v>0</v>
      </c>
      <c r="BK283" s="17">
        <f>IF(MOD(AK283,12)=0,BH283*(1-'1 - Input'!$B$23),BH283)</f>
        <v>0</v>
      </c>
      <c r="BL283" s="17">
        <f>IF('1 - Input'!$B$17=1,MIN(AV283,AN283)+BD283,AV283)</f>
        <v>0</v>
      </c>
      <c r="BM283" s="17">
        <f t="shared" si="262"/>
        <v>590482.93849429931</v>
      </c>
      <c r="BN283" s="17">
        <f t="shared" si="263"/>
        <v>101441.90180685223</v>
      </c>
      <c r="BO283" s="17">
        <f t="shared" si="264"/>
        <v>0</v>
      </c>
      <c r="BP283" s="17">
        <f t="shared" si="265"/>
        <v>174289.24056370757</v>
      </c>
      <c r="BQ283" s="17">
        <f t="shared" si="266"/>
        <v>8123.5662772395826</v>
      </c>
      <c r="BR283" s="17">
        <f t="shared" si="267"/>
        <v>196751.84299063426</v>
      </c>
      <c r="BS283" s="15">
        <f t="shared" si="236"/>
        <v>1</v>
      </c>
      <c r="BU283" s="14">
        <v>240</v>
      </c>
      <c r="BV283" s="15">
        <f t="shared" si="237"/>
        <v>20</v>
      </c>
      <c r="BW283" s="16">
        <f>(1+INDEX('1 - Input'!$B$34:$E$63,BV283,'1 - Input'!$B$16))^(1/12)-1</f>
        <v>4.1219243192651689E-3</v>
      </c>
      <c r="BX283" s="17">
        <f>'1 - Input'!$B$7*(1+'1 - Input'!$B$12)^(BV283-1)</f>
        <v>3933.3901658250547</v>
      </c>
      <c r="BY283" s="17">
        <f t="shared" si="268"/>
        <v>0</v>
      </c>
      <c r="BZ283" s="17">
        <f t="shared" si="269"/>
        <v>0</v>
      </c>
      <c r="CA283" s="17">
        <f t="shared" si="238"/>
        <v>0</v>
      </c>
      <c r="CB283" s="17">
        <f>IF(CA283&gt;0,'1 - Input'!$B$8/12*CA283,0)</f>
        <v>0</v>
      </c>
      <c r="CC283" s="17">
        <f t="shared" si="239"/>
        <v>0</v>
      </c>
      <c r="CD283" s="17">
        <f t="shared" si="240"/>
        <v>0</v>
      </c>
      <c r="CE283" s="17">
        <f>'1 - Input'!$B$22*(CB283-CD283)</f>
        <v>0</v>
      </c>
      <c r="CF283" s="17">
        <f t="shared" si="241"/>
        <v>0</v>
      </c>
      <c r="CG283" s="17">
        <f t="shared" si="242"/>
        <v>0</v>
      </c>
      <c r="CH283" s="17">
        <f>IF('1 - Input'!$B$17=1,MAX(0,CF283-BX283),0)</f>
        <v>0</v>
      </c>
      <c r="CI283" s="17">
        <f>IF('1 - Input'!$B$17=1,MAX(0,BX283-CF283),0)</f>
        <v>3933.3901658250547</v>
      </c>
      <c r="CJ283" s="17">
        <f t="shared" si="243"/>
        <v>0</v>
      </c>
      <c r="CK283" s="17">
        <f>IF(AND(CI283&gt;0,CC283&gt;0),CI283/(1-'1 - Input'!$B$22*CJ283),0)</f>
        <v>0</v>
      </c>
      <c r="CL283" s="17">
        <f t="shared" si="244"/>
        <v>0</v>
      </c>
      <c r="CM283" s="17">
        <f>'1 - Input'!$B$22*CJ283*CL283</f>
        <v>0</v>
      </c>
      <c r="CN283" s="17">
        <f t="shared" si="245"/>
        <v>0</v>
      </c>
      <c r="CO283" s="17">
        <f t="shared" si="246"/>
        <v>3933.3901658250547</v>
      </c>
      <c r="CP283" s="17">
        <f t="shared" si="247"/>
        <v>0</v>
      </c>
      <c r="CQ283" s="17">
        <f t="shared" si="248"/>
        <v>0</v>
      </c>
      <c r="CR283" s="17">
        <f t="shared" si="249"/>
        <v>0</v>
      </c>
      <c r="CS283" s="17">
        <f>IF(MOD(BU283,12)=0,CQ283*'1 - Input'!$B$23,0)</f>
        <v>0</v>
      </c>
      <c r="CT283" s="17">
        <f t="shared" si="250"/>
        <v>0</v>
      </c>
      <c r="CU283" s="17">
        <f>IF(MOD(BU283,12)=0,CR283*(1-'1 - Input'!$B$23),CR283)</f>
        <v>0</v>
      </c>
      <c r="CV283" s="17">
        <f>IF('1 - Input'!$B$17=1,MIN(CF283,BX283)+CN283,CF283)</f>
        <v>0</v>
      </c>
      <c r="CW283" s="17">
        <f t="shared" si="270"/>
        <v>686605.50041273201</v>
      </c>
      <c r="CX283" s="17">
        <f t="shared" si="271"/>
        <v>6018.3402768167462</v>
      </c>
      <c r="CY283" s="17">
        <f t="shared" si="272"/>
        <v>66518.776160328038</v>
      </c>
      <c r="CZ283" s="17">
        <f t="shared" si="273"/>
        <v>0</v>
      </c>
      <c r="DA283" s="17">
        <f t="shared" si="274"/>
        <v>10954.114452440983</v>
      </c>
      <c r="DB283" s="17">
        <f t="shared" si="275"/>
        <v>100629.28107220242</v>
      </c>
      <c r="DC283" s="15">
        <f t="shared" si="251"/>
        <v>1</v>
      </c>
    </row>
    <row r="284" spans="1:107">
      <c r="A284" s="14">
        <v>241</v>
      </c>
      <c r="B284" s="15">
        <f t="shared" si="207"/>
        <v>21</v>
      </c>
      <c r="C284" s="16">
        <f>(1+INDEX('1 - Input'!$B$34:$E$63,B284,'1 - Input'!$B$16))^(1/12)-1</f>
        <v>4.1219243192651689E-3</v>
      </c>
      <c r="D284" s="17">
        <f>'1 - Input'!$B$7*(1+'1 - Input'!$B$12)^(B284-1)</f>
        <v>4012.0579691415564</v>
      </c>
      <c r="E284" s="17">
        <f t="shared" si="252"/>
        <v>0</v>
      </c>
      <c r="F284" s="17">
        <f t="shared" si="253"/>
        <v>0</v>
      </c>
      <c r="G284" s="17">
        <f t="shared" si="208"/>
        <v>0</v>
      </c>
      <c r="H284" s="17">
        <f>IF(G284&gt;0,'1 - Input'!$B$8/12*G284,0)</f>
        <v>0</v>
      </c>
      <c r="I284" s="17">
        <f t="shared" si="209"/>
        <v>0</v>
      </c>
      <c r="J284" s="17">
        <f t="shared" si="210"/>
        <v>0</v>
      </c>
      <c r="K284" s="17">
        <f>'1 - Input'!$B$22*(H284-J284)</f>
        <v>0</v>
      </c>
      <c r="L284" s="17">
        <f t="shared" si="211"/>
        <v>0</v>
      </c>
      <c r="M284" s="17">
        <f t="shared" si="212"/>
        <v>0</v>
      </c>
      <c r="N284" s="17">
        <f>IF('1 - Input'!$B$17=1,MAX(0,L284-D284),0)</f>
        <v>0</v>
      </c>
      <c r="O284" s="17">
        <f>IF('1 - Input'!$B$17=1,MAX(0,D284-L284),0)</f>
        <v>4012.0579691415564</v>
      </c>
      <c r="P284" s="17">
        <f t="shared" si="213"/>
        <v>0</v>
      </c>
      <c r="Q284" s="17">
        <f>IF(AND(O284&gt;0,I284&gt;0),O284/(1-'1 - Input'!$B$22*P284),0)</f>
        <v>0</v>
      </c>
      <c r="R284" s="17">
        <f t="shared" si="214"/>
        <v>0</v>
      </c>
      <c r="S284" s="17">
        <f>'1 - Input'!$B$22*P284*R284</f>
        <v>0</v>
      </c>
      <c r="T284" s="17">
        <f t="shared" si="215"/>
        <v>0</v>
      </c>
      <c r="U284" s="17">
        <f t="shared" si="216"/>
        <v>4012.0579691415564</v>
      </c>
      <c r="V284" s="17">
        <f t="shared" si="217"/>
        <v>0</v>
      </c>
      <c r="W284" s="17">
        <f t="shared" si="218"/>
        <v>0</v>
      </c>
      <c r="X284" s="17">
        <f t="shared" si="219"/>
        <v>0</v>
      </c>
      <c r="Y284" s="17">
        <f>IF(MOD(A284,12)=0,W284*'1 - Input'!$B$23,0)</f>
        <v>0</v>
      </c>
      <c r="Z284" s="17">
        <f t="shared" si="220"/>
        <v>0</v>
      </c>
      <c r="AA284" s="17">
        <f>IF(MOD(A284,12)=0,X284*(1-'1 - Input'!$B$23),X284)</f>
        <v>0</v>
      </c>
      <c r="AB284" s="17">
        <f>IF('1 - Input'!$B$17=1,MIN(L284,D284)+T284,L284)</f>
        <v>0</v>
      </c>
      <c r="AC284" s="17">
        <f t="shared" si="254"/>
        <v>590482.93849429931</v>
      </c>
      <c r="AD284" s="17">
        <f t="shared" si="255"/>
        <v>101441.90180685223</v>
      </c>
      <c r="AE284" s="17">
        <f t="shared" si="256"/>
        <v>0</v>
      </c>
      <c r="AF284" s="17">
        <f t="shared" si="257"/>
        <v>174289.24056370757</v>
      </c>
      <c r="AG284" s="17">
        <f t="shared" si="258"/>
        <v>8123.5662772395826</v>
      </c>
      <c r="AH284" s="17">
        <f t="shared" si="259"/>
        <v>200763.90095977581</v>
      </c>
      <c r="AI284" s="15">
        <f t="shared" si="221"/>
        <v>1</v>
      </c>
      <c r="AK284" s="14">
        <v>241</v>
      </c>
      <c r="AL284" s="15">
        <f t="shared" si="222"/>
        <v>21</v>
      </c>
      <c r="AM284" s="16">
        <f>(1+INDEX('1 - Input'!$B$34:$E$63,AL284,'1 - Input'!$B$16))^(1/12)-1</f>
        <v>4.1219243192651689E-3</v>
      </c>
      <c r="AN284" s="17">
        <f>'1 - Input'!$B$7*(1+'1 - Input'!$B$12)^(AL284-1)</f>
        <v>4012.0579691415564</v>
      </c>
      <c r="AO284" s="17">
        <f t="shared" si="260"/>
        <v>0</v>
      </c>
      <c r="AP284" s="17">
        <f t="shared" si="261"/>
        <v>0</v>
      </c>
      <c r="AQ284" s="17">
        <f t="shared" si="223"/>
        <v>0</v>
      </c>
      <c r="AR284" s="17">
        <f>IF(AQ284&gt;0,'1 - Input'!$B$8/12*AQ284,0)</f>
        <v>0</v>
      </c>
      <c r="AS284" s="17">
        <f t="shared" si="224"/>
        <v>0</v>
      </c>
      <c r="AT284" s="17">
        <f t="shared" si="225"/>
        <v>0</v>
      </c>
      <c r="AU284" s="17">
        <f>'1 - Input'!$B$22*(AR284-AT284)</f>
        <v>0</v>
      </c>
      <c r="AV284" s="17">
        <f t="shared" si="226"/>
        <v>0</v>
      </c>
      <c r="AW284" s="17">
        <f t="shared" si="227"/>
        <v>0</v>
      </c>
      <c r="AX284" s="17">
        <f>IF('1 - Input'!$B$17=1,MAX(0,AV284-AN284),0)</f>
        <v>0</v>
      </c>
      <c r="AY284" s="17">
        <f>IF('1 - Input'!$B$17=1,MAX(0,AN284-AV284),0)</f>
        <v>4012.0579691415564</v>
      </c>
      <c r="AZ284" s="17">
        <f t="shared" si="228"/>
        <v>0</v>
      </c>
      <c r="BA284" s="17">
        <f>IF(AND(AY284&gt;0,AS284&gt;0),AY284/(1-'1 - Input'!$B$22*AZ284),0)</f>
        <v>0</v>
      </c>
      <c r="BB284" s="17">
        <f t="shared" si="229"/>
        <v>0</v>
      </c>
      <c r="BC284" s="17">
        <f>'1 - Input'!$B$22*AZ284*BB284</f>
        <v>0</v>
      </c>
      <c r="BD284" s="17">
        <f t="shared" si="230"/>
        <v>0</v>
      </c>
      <c r="BE284" s="17">
        <f t="shared" si="231"/>
        <v>4012.0579691415564</v>
      </c>
      <c r="BF284" s="17">
        <f t="shared" si="232"/>
        <v>0</v>
      </c>
      <c r="BG284" s="17">
        <f t="shared" si="233"/>
        <v>0</v>
      </c>
      <c r="BH284" s="17">
        <f t="shared" si="234"/>
        <v>0</v>
      </c>
      <c r="BI284" s="17">
        <f>IF(MOD(AK284,12)=0,BG284*'1 - Input'!$B$23,0)</f>
        <v>0</v>
      </c>
      <c r="BJ284" s="17">
        <f t="shared" si="235"/>
        <v>0</v>
      </c>
      <c r="BK284" s="17">
        <f>IF(MOD(AK284,12)=0,BH284*(1-'1 - Input'!$B$23),BH284)</f>
        <v>0</v>
      </c>
      <c r="BL284" s="17">
        <f>IF('1 - Input'!$B$17=1,MIN(AV284,AN284)+BD284,AV284)</f>
        <v>0</v>
      </c>
      <c r="BM284" s="17">
        <f t="shared" si="262"/>
        <v>590482.93849429931</v>
      </c>
      <c r="BN284" s="17">
        <f t="shared" si="263"/>
        <v>101441.90180685223</v>
      </c>
      <c r="BO284" s="17">
        <f t="shared" si="264"/>
        <v>0</v>
      </c>
      <c r="BP284" s="17">
        <f t="shared" si="265"/>
        <v>174289.24056370757</v>
      </c>
      <c r="BQ284" s="17">
        <f t="shared" si="266"/>
        <v>8123.5662772395826</v>
      </c>
      <c r="BR284" s="17">
        <f t="shared" si="267"/>
        <v>200763.90095977581</v>
      </c>
      <c r="BS284" s="15">
        <f t="shared" si="236"/>
        <v>1</v>
      </c>
      <c r="BU284" s="14">
        <v>241</v>
      </c>
      <c r="BV284" s="15">
        <f t="shared" si="237"/>
        <v>21</v>
      </c>
      <c r="BW284" s="16">
        <f>(1+INDEX('1 - Input'!$B$34:$E$63,BV284,'1 - Input'!$B$16))^(1/12)-1</f>
        <v>4.1219243192651689E-3</v>
      </c>
      <c r="BX284" s="17">
        <f>'1 - Input'!$B$7*(1+'1 - Input'!$B$12)^(BV284-1)</f>
        <v>4012.0579691415564</v>
      </c>
      <c r="BY284" s="17">
        <f t="shared" si="268"/>
        <v>0</v>
      </c>
      <c r="BZ284" s="17">
        <f t="shared" si="269"/>
        <v>0</v>
      </c>
      <c r="CA284" s="17">
        <f t="shared" si="238"/>
        <v>0</v>
      </c>
      <c r="CB284" s="17">
        <f>IF(CA284&gt;0,'1 - Input'!$B$8/12*CA284,0)</f>
        <v>0</v>
      </c>
      <c r="CC284" s="17">
        <f t="shared" si="239"/>
        <v>0</v>
      </c>
      <c r="CD284" s="17">
        <f t="shared" si="240"/>
        <v>0</v>
      </c>
      <c r="CE284" s="17">
        <f>'1 - Input'!$B$22*(CB284-CD284)</f>
        <v>0</v>
      </c>
      <c r="CF284" s="17">
        <f t="shared" si="241"/>
        <v>0</v>
      </c>
      <c r="CG284" s="17">
        <f t="shared" si="242"/>
        <v>0</v>
      </c>
      <c r="CH284" s="17">
        <f>IF('1 - Input'!$B$17=1,MAX(0,CF284-BX284),0)</f>
        <v>0</v>
      </c>
      <c r="CI284" s="17">
        <f>IF('1 - Input'!$B$17=1,MAX(0,BX284-CF284),0)</f>
        <v>4012.0579691415564</v>
      </c>
      <c r="CJ284" s="17">
        <f t="shared" si="243"/>
        <v>0</v>
      </c>
      <c r="CK284" s="17">
        <f>IF(AND(CI284&gt;0,CC284&gt;0),CI284/(1-'1 - Input'!$B$22*CJ284),0)</f>
        <v>0</v>
      </c>
      <c r="CL284" s="17">
        <f t="shared" si="244"/>
        <v>0</v>
      </c>
      <c r="CM284" s="17">
        <f>'1 - Input'!$B$22*CJ284*CL284</f>
        <v>0</v>
      </c>
      <c r="CN284" s="17">
        <f t="shared" si="245"/>
        <v>0</v>
      </c>
      <c r="CO284" s="17">
        <f t="shared" si="246"/>
        <v>4012.0579691415564</v>
      </c>
      <c r="CP284" s="17">
        <f t="shared" si="247"/>
        <v>0</v>
      </c>
      <c r="CQ284" s="17">
        <f t="shared" si="248"/>
        <v>0</v>
      </c>
      <c r="CR284" s="17">
        <f t="shared" si="249"/>
        <v>0</v>
      </c>
      <c r="CS284" s="17">
        <f>IF(MOD(BU284,12)=0,CQ284*'1 - Input'!$B$23,0)</f>
        <v>0</v>
      </c>
      <c r="CT284" s="17">
        <f t="shared" si="250"/>
        <v>0</v>
      </c>
      <c r="CU284" s="17">
        <f>IF(MOD(BU284,12)=0,CR284*(1-'1 - Input'!$B$23),CR284)</f>
        <v>0</v>
      </c>
      <c r="CV284" s="17">
        <f>IF('1 - Input'!$B$17=1,MIN(CF284,BX284)+CN284,CF284)</f>
        <v>0</v>
      </c>
      <c r="CW284" s="17">
        <f t="shared" si="270"/>
        <v>686605.50041273201</v>
      </c>
      <c r="CX284" s="17">
        <f t="shared" si="271"/>
        <v>6018.3402768167462</v>
      </c>
      <c r="CY284" s="17">
        <f t="shared" si="272"/>
        <v>66518.776160328038</v>
      </c>
      <c r="CZ284" s="17">
        <f t="shared" si="273"/>
        <v>0</v>
      </c>
      <c r="DA284" s="17">
        <f t="shared" si="274"/>
        <v>10954.114452440983</v>
      </c>
      <c r="DB284" s="17">
        <f t="shared" si="275"/>
        <v>104641.33904134398</v>
      </c>
      <c r="DC284" s="15">
        <f t="shared" si="251"/>
        <v>1</v>
      </c>
    </row>
    <row r="285" spans="1:107">
      <c r="A285" s="14">
        <v>242</v>
      </c>
      <c r="B285" s="15">
        <f t="shared" si="207"/>
        <v>21</v>
      </c>
      <c r="C285" s="16">
        <f>(1+INDEX('1 - Input'!$B$34:$E$63,B285,'1 - Input'!$B$16))^(1/12)-1</f>
        <v>4.1219243192651689E-3</v>
      </c>
      <c r="D285" s="17">
        <f>'1 - Input'!$B$7*(1+'1 - Input'!$B$12)^(B285-1)</f>
        <v>4012.0579691415564</v>
      </c>
      <c r="E285" s="17">
        <f t="shared" si="252"/>
        <v>0</v>
      </c>
      <c r="F285" s="17">
        <f t="shared" si="253"/>
        <v>0</v>
      </c>
      <c r="G285" s="17">
        <f t="shared" si="208"/>
        <v>0</v>
      </c>
      <c r="H285" s="17">
        <f>IF(G285&gt;0,'1 - Input'!$B$8/12*G285,0)</f>
        <v>0</v>
      </c>
      <c r="I285" s="17">
        <f t="shared" si="209"/>
        <v>0</v>
      </c>
      <c r="J285" s="17">
        <f t="shared" si="210"/>
        <v>0</v>
      </c>
      <c r="K285" s="17">
        <f>'1 - Input'!$B$22*(H285-J285)</f>
        <v>0</v>
      </c>
      <c r="L285" s="17">
        <f t="shared" si="211"/>
        <v>0</v>
      </c>
      <c r="M285" s="17">
        <f t="shared" si="212"/>
        <v>0</v>
      </c>
      <c r="N285" s="17">
        <f>IF('1 - Input'!$B$17=1,MAX(0,L285-D285),0)</f>
        <v>0</v>
      </c>
      <c r="O285" s="17">
        <f>IF('1 - Input'!$B$17=1,MAX(0,D285-L285),0)</f>
        <v>4012.0579691415564</v>
      </c>
      <c r="P285" s="17">
        <f t="shared" si="213"/>
        <v>0</v>
      </c>
      <c r="Q285" s="17">
        <f>IF(AND(O285&gt;0,I285&gt;0),O285/(1-'1 - Input'!$B$22*P285),0)</f>
        <v>0</v>
      </c>
      <c r="R285" s="17">
        <f t="shared" si="214"/>
        <v>0</v>
      </c>
      <c r="S285" s="17">
        <f>'1 - Input'!$B$22*P285*R285</f>
        <v>0</v>
      </c>
      <c r="T285" s="17">
        <f t="shared" si="215"/>
        <v>0</v>
      </c>
      <c r="U285" s="17">
        <f t="shared" si="216"/>
        <v>4012.0579691415564</v>
      </c>
      <c r="V285" s="17">
        <f t="shared" si="217"/>
        <v>0</v>
      </c>
      <c r="W285" s="17">
        <f t="shared" si="218"/>
        <v>0</v>
      </c>
      <c r="X285" s="17">
        <f t="shared" si="219"/>
        <v>0</v>
      </c>
      <c r="Y285" s="17">
        <f>IF(MOD(A285,12)=0,W285*'1 - Input'!$B$23,0)</f>
        <v>0</v>
      </c>
      <c r="Z285" s="17">
        <f t="shared" si="220"/>
        <v>0</v>
      </c>
      <c r="AA285" s="17">
        <f>IF(MOD(A285,12)=0,X285*(1-'1 - Input'!$B$23),X285)</f>
        <v>0</v>
      </c>
      <c r="AB285" s="17">
        <f>IF('1 - Input'!$B$17=1,MIN(L285,D285)+T285,L285)</f>
        <v>0</v>
      </c>
      <c r="AC285" s="17">
        <f t="shared" si="254"/>
        <v>590482.93849429931</v>
      </c>
      <c r="AD285" s="17">
        <f t="shared" si="255"/>
        <v>101441.90180685223</v>
      </c>
      <c r="AE285" s="17">
        <f t="shared" si="256"/>
        <v>0</v>
      </c>
      <c r="AF285" s="17">
        <f t="shared" si="257"/>
        <v>174289.24056370757</v>
      </c>
      <c r="AG285" s="17">
        <f t="shared" si="258"/>
        <v>8123.5662772395826</v>
      </c>
      <c r="AH285" s="17">
        <f t="shared" si="259"/>
        <v>204775.95892891736</v>
      </c>
      <c r="AI285" s="15">
        <f t="shared" si="221"/>
        <v>1</v>
      </c>
      <c r="AK285" s="14">
        <v>242</v>
      </c>
      <c r="AL285" s="15">
        <f t="shared" si="222"/>
        <v>21</v>
      </c>
      <c r="AM285" s="16">
        <f>(1+INDEX('1 - Input'!$B$34:$E$63,AL285,'1 - Input'!$B$16))^(1/12)-1</f>
        <v>4.1219243192651689E-3</v>
      </c>
      <c r="AN285" s="17">
        <f>'1 - Input'!$B$7*(1+'1 - Input'!$B$12)^(AL285-1)</f>
        <v>4012.0579691415564</v>
      </c>
      <c r="AO285" s="17">
        <f t="shared" si="260"/>
        <v>0</v>
      </c>
      <c r="AP285" s="17">
        <f t="shared" si="261"/>
        <v>0</v>
      </c>
      <c r="AQ285" s="17">
        <f t="shared" si="223"/>
        <v>0</v>
      </c>
      <c r="AR285" s="17">
        <f>IF(AQ285&gt;0,'1 - Input'!$B$8/12*AQ285,0)</f>
        <v>0</v>
      </c>
      <c r="AS285" s="17">
        <f t="shared" si="224"/>
        <v>0</v>
      </c>
      <c r="AT285" s="17">
        <f t="shared" si="225"/>
        <v>0</v>
      </c>
      <c r="AU285" s="17">
        <f>'1 - Input'!$B$22*(AR285-AT285)</f>
        <v>0</v>
      </c>
      <c r="AV285" s="17">
        <f t="shared" si="226"/>
        <v>0</v>
      </c>
      <c r="AW285" s="17">
        <f t="shared" si="227"/>
        <v>0</v>
      </c>
      <c r="AX285" s="17">
        <f>IF('1 - Input'!$B$17=1,MAX(0,AV285-AN285),0)</f>
        <v>0</v>
      </c>
      <c r="AY285" s="17">
        <f>IF('1 - Input'!$B$17=1,MAX(0,AN285-AV285),0)</f>
        <v>4012.0579691415564</v>
      </c>
      <c r="AZ285" s="17">
        <f t="shared" si="228"/>
        <v>0</v>
      </c>
      <c r="BA285" s="17">
        <f>IF(AND(AY285&gt;0,AS285&gt;0),AY285/(1-'1 - Input'!$B$22*AZ285),0)</f>
        <v>0</v>
      </c>
      <c r="BB285" s="17">
        <f t="shared" si="229"/>
        <v>0</v>
      </c>
      <c r="BC285" s="17">
        <f>'1 - Input'!$B$22*AZ285*BB285</f>
        <v>0</v>
      </c>
      <c r="BD285" s="17">
        <f t="shared" si="230"/>
        <v>0</v>
      </c>
      <c r="BE285" s="17">
        <f t="shared" si="231"/>
        <v>4012.0579691415564</v>
      </c>
      <c r="BF285" s="17">
        <f t="shared" si="232"/>
        <v>0</v>
      </c>
      <c r="BG285" s="17">
        <f t="shared" si="233"/>
        <v>0</v>
      </c>
      <c r="BH285" s="17">
        <f t="shared" si="234"/>
        <v>0</v>
      </c>
      <c r="BI285" s="17">
        <f>IF(MOD(AK285,12)=0,BG285*'1 - Input'!$B$23,0)</f>
        <v>0</v>
      </c>
      <c r="BJ285" s="17">
        <f t="shared" si="235"/>
        <v>0</v>
      </c>
      <c r="BK285" s="17">
        <f>IF(MOD(AK285,12)=0,BH285*(1-'1 - Input'!$B$23),BH285)</f>
        <v>0</v>
      </c>
      <c r="BL285" s="17">
        <f>IF('1 - Input'!$B$17=1,MIN(AV285,AN285)+BD285,AV285)</f>
        <v>0</v>
      </c>
      <c r="BM285" s="17">
        <f t="shared" si="262"/>
        <v>590482.93849429931</v>
      </c>
      <c r="BN285" s="17">
        <f t="shared" si="263"/>
        <v>101441.90180685223</v>
      </c>
      <c r="BO285" s="17">
        <f t="shared" si="264"/>
        <v>0</v>
      </c>
      <c r="BP285" s="17">
        <f t="shared" si="265"/>
        <v>174289.24056370757</v>
      </c>
      <c r="BQ285" s="17">
        <f t="shared" si="266"/>
        <v>8123.5662772395826</v>
      </c>
      <c r="BR285" s="17">
        <f t="shared" si="267"/>
        <v>204775.95892891736</v>
      </c>
      <c r="BS285" s="15">
        <f t="shared" si="236"/>
        <v>1</v>
      </c>
      <c r="BU285" s="14">
        <v>242</v>
      </c>
      <c r="BV285" s="15">
        <f t="shared" si="237"/>
        <v>21</v>
      </c>
      <c r="BW285" s="16">
        <f>(1+INDEX('1 - Input'!$B$34:$E$63,BV285,'1 - Input'!$B$16))^(1/12)-1</f>
        <v>4.1219243192651689E-3</v>
      </c>
      <c r="BX285" s="17">
        <f>'1 - Input'!$B$7*(1+'1 - Input'!$B$12)^(BV285-1)</f>
        <v>4012.0579691415564</v>
      </c>
      <c r="BY285" s="17">
        <f t="shared" si="268"/>
        <v>0</v>
      </c>
      <c r="BZ285" s="17">
        <f t="shared" si="269"/>
        <v>0</v>
      </c>
      <c r="CA285" s="17">
        <f t="shared" si="238"/>
        <v>0</v>
      </c>
      <c r="CB285" s="17">
        <f>IF(CA285&gt;0,'1 - Input'!$B$8/12*CA285,0)</f>
        <v>0</v>
      </c>
      <c r="CC285" s="17">
        <f t="shared" si="239"/>
        <v>0</v>
      </c>
      <c r="CD285" s="17">
        <f t="shared" si="240"/>
        <v>0</v>
      </c>
      <c r="CE285" s="17">
        <f>'1 - Input'!$B$22*(CB285-CD285)</f>
        <v>0</v>
      </c>
      <c r="CF285" s="17">
        <f t="shared" si="241"/>
        <v>0</v>
      </c>
      <c r="CG285" s="17">
        <f t="shared" si="242"/>
        <v>0</v>
      </c>
      <c r="CH285" s="17">
        <f>IF('1 - Input'!$B$17=1,MAX(0,CF285-BX285),0)</f>
        <v>0</v>
      </c>
      <c r="CI285" s="17">
        <f>IF('1 - Input'!$B$17=1,MAX(0,BX285-CF285),0)</f>
        <v>4012.0579691415564</v>
      </c>
      <c r="CJ285" s="17">
        <f t="shared" si="243"/>
        <v>0</v>
      </c>
      <c r="CK285" s="17">
        <f>IF(AND(CI285&gt;0,CC285&gt;0),CI285/(1-'1 - Input'!$B$22*CJ285),0)</f>
        <v>0</v>
      </c>
      <c r="CL285" s="17">
        <f t="shared" si="244"/>
        <v>0</v>
      </c>
      <c r="CM285" s="17">
        <f>'1 - Input'!$B$22*CJ285*CL285</f>
        <v>0</v>
      </c>
      <c r="CN285" s="17">
        <f t="shared" si="245"/>
        <v>0</v>
      </c>
      <c r="CO285" s="17">
        <f t="shared" si="246"/>
        <v>4012.0579691415564</v>
      </c>
      <c r="CP285" s="17">
        <f t="shared" si="247"/>
        <v>0</v>
      </c>
      <c r="CQ285" s="17">
        <f t="shared" si="248"/>
        <v>0</v>
      </c>
      <c r="CR285" s="17">
        <f t="shared" si="249"/>
        <v>0</v>
      </c>
      <c r="CS285" s="17">
        <f>IF(MOD(BU285,12)=0,CQ285*'1 - Input'!$B$23,0)</f>
        <v>0</v>
      </c>
      <c r="CT285" s="17">
        <f t="shared" si="250"/>
        <v>0</v>
      </c>
      <c r="CU285" s="17">
        <f>IF(MOD(BU285,12)=0,CR285*(1-'1 - Input'!$B$23),CR285)</f>
        <v>0</v>
      </c>
      <c r="CV285" s="17">
        <f>IF('1 - Input'!$B$17=1,MIN(CF285,BX285)+CN285,CF285)</f>
        <v>0</v>
      </c>
      <c r="CW285" s="17">
        <f t="shared" si="270"/>
        <v>686605.50041273201</v>
      </c>
      <c r="CX285" s="17">
        <f t="shared" si="271"/>
        <v>6018.3402768167462</v>
      </c>
      <c r="CY285" s="17">
        <f t="shared" si="272"/>
        <v>66518.776160328038</v>
      </c>
      <c r="CZ285" s="17">
        <f t="shared" si="273"/>
        <v>0</v>
      </c>
      <c r="DA285" s="17">
        <f t="shared" si="274"/>
        <v>10954.114452440983</v>
      </c>
      <c r="DB285" s="17">
        <f t="shared" si="275"/>
        <v>108653.39701048554</v>
      </c>
      <c r="DC285" s="15">
        <f t="shared" si="251"/>
        <v>1</v>
      </c>
    </row>
    <row r="286" spans="1:107">
      <c r="A286" s="14">
        <v>243</v>
      </c>
      <c r="B286" s="15">
        <f t="shared" si="207"/>
        <v>21</v>
      </c>
      <c r="C286" s="16">
        <f>(1+INDEX('1 - Input'!$B$34:$E$63,B286,'1 - Input'!$B$16))^(1/12)-1</f>
        <v>4.1219243192651689E-3</v>
      </c>
      <c r="D286" s="17">
        <f>'1 - Input'!$B$7*(1+'1 - Input'!$B$12)^(B286-1)</f>
        <v>4012.0579691415564</v>
      </c>
      <c r="E286" s="17">
        <f t="shared" si="252"/>
        <v>0</v>
      </c>
      <c r="F286" s="17">
        <f t="shared" si="253"/>
        <v>0</v>
      </c>
      <c r="G286" s="17">
        <f t="shared" si="208"/>
        <v>0</v>
      </c>
      <c r="H286" s="17">
        <f>IF(G286&gt;0,'1 - Input'!$B$8/12*G286,0)</f>
        <v>0</v>
      </c>
      <c r="I286" s="17">
        <f t="shared" si="209"/>
        <v>0</v>
      </c>
      <c r="J286" s="17">
        <f t="shared" si="210"/>
        <v>0</v>
      </c>
      <c r="K286" s="17">
        <f>'1 - Input'!$B$22*(H286-J286)</f>
        <v>0</v>
      </c>
      <c r="L286" s="17">
        <f t="shared" si="211"/>
        <v>0</v>
      </c>
      <c r="M286" s="17">
        <f t="shared" si="212"/>
        <v>0</v>
      </c>
      <c r="N286" s="17">
        <f>IF('1 - Input'!$B$17=1,MAX(0,L286-D286),0)</f>
        <v>0</v>
      </c>
      <c r="O286" s="17">
        <f>IF('1 - Input'!$B$17=1,MAX(0,D286-L286),0)</f>
        <v>4012.0579691415564</v>
      </c>
      <c r="P286" s="17">
        <f t="shared" si="213"/>
        <v>0</v>
      </c>
      <c r="Q286" s="17">
        <f>IF(AND(O286&gt;0,I286&gt;0),O286/(1-'1 - Input'!$B$22*P286),0)</f>
        <v>0</v>
      </c>
      <c r="R286" s="17">
        <f t="shared" si="214"/>
        <v>0</v>
      </c>
      <c r="S286" s="17">
        <f>'1 - Input'!$B$22*P286*R286</f>
        <v>0</v>
      </c>
      <c r="T286" s="17">
        <f t="shared" si="215"/>
        <v>0</v>
      </c>
      <c r="U286" s="17">
        <f t="shared" si="216"/>
        <v>4012.0579691415564</v>
      </c>
      <c r="V286" s="17">
        <f t="shared" si="217"/>
        <v>0</v>
      </c>
      <c r="W286" s="17">
        <f t="shared" si="218"/>
        <v>0</v>
      </c>
      <c r="X286" s="17">
        <f t="shared" si="219"/>
        <v>0</v>
      </c>
      <c r="Y286" s="17">
        <f>IF(MOD(A286,12)=0,W286*'1 - Input'!$B$23,0)</f>
        <v>0</v>
      </c>
      <c r="Z286" s="17">
        <f t="shared" si="220"/>
        <v>0</v>
      </c>
      <c r="AA286" s="17">
        <f>IF(MOD(A286,12)=0,X286*(1-'1 - Input'!$B$23),X286)</f>
        <v>0</v>
      </c>
      <c r="AB286" s="17">
        <f>IF('1 - Input'!$B$17=1,MIN(L286,D286)+T286,L286)</f>
        <v>0</v>
      </c>
      <c r="AC286" s="17">
        <f t="shared" si="254"/>
        <v>590482.93849429931</v>
      </c>
      <c r="AD286" s="17">
        <f t="shared" si="255"/>
        <v>101441.90180685223</v>
      </c>
      <c r="AE286" s="17">
        <f t="shared" si="256"/>
        <v>0</v>
      </c>
      <c r="AF286" s="17">
        <f t="shared" si="257"/>
        <v>174289.24056370757</v>
      </c>
      <c r="AG286" s="17">
        <f t="shared" si="258"/>
        <v>8123.5662772395826</v>
      </c>
      <c r="AH286" s="17">
        <f t="shared" si="259"/>
        <v>208788.01689805891</v>
      </c>
      <c r="AI286" s="15">
        <f t="shared" si="221"/>
        <v>1</v>
      </c>
      <c r="AK286" s="14">
        <v>243</v>
      </c>
      <c r="AL286" s="15">
        <f t="shared" si="222"/>
        <v>21</v>
      </c>
      <c r="AM286" s="16">
        <f>(1+INDEX('1 - Input'!$B$34:$E$63,AL286,'1 - Input'!$B$16))^(1/12)-1</f>
        <v>4.1219243192651689E-3</v>
      </c>
      <c r="AN286" s="17">
        <f>'1 - Input'!$B$7*(1+'1 - Input'!$B$12)^(AL286-1)</f>
        <v>4012.0579691415564</v>
      </c>
      <c r="AO286" s="17">
        <f t="shared" si="260"/>
        <v>0</v>
      </c>
      <c r="AP286" s="17">
        <f t="shared" si="261"/>
        <v>0</v>
      </c>
      <c r="AQ286" s="17">
        <f t="shared" si="223"/>
        <v>0</v>
      </c>
      <c r="AR286" s="17">
        <f>IF(AQ286&gt;0,'1 - Input'!$B$8/12*AQ286,0)</f>
        <v>0</v>
      </c>
      <c r="AS286" s="17">
        <f t="shared" si="224"/>
        <v>0</v>
      </c>
      <c r="AT286" s="17">
        <f t="shared" si="225"/>
        <v>0</v>
      </c>
      <c r="AU286" s="17">
        <f>'1 - Input'!$B$22*(AR286-AT286)</f>
        <v>0</v>
      </c>
      <c r="AV286" s="17">
        <f t="shared" si="226"/>
        <v>0</v>
      </c>
      <c r="AW286" s="17">
        <f t="shared" si="227"/>
        <v>0</v>
      </c>
      <c r="AX286" s="17">
        <f>IF('1 - Input'!$B$17=1,MAX(0,AV286-AN286),0)</f>
        <v>0</v>
      </c>
      <c r="AY286" s="17">
        <f>IF('1 - Input'!$B$17=1,MAX(0,AN286-AV286),0)</f>
        <v>4012.0579691415564</v>
      </c>
      <c r="AZ286" s="17">
        <f t="shared" si="228"/>
        <v>0</v>
      </c>
      <c r="BA286" s="17">
        <f>IF(AND(AY286&gt;0,AS286&gt;0),AY286/(1-'1 - Input'!$B$22*AZ286),0)</f>
        <v>0</v>
      </c>
      <c r="BB286" s="17">
        <f t="shared" si="229"/>
        <v>0</v>
      </c>
      <c r="BC286" s="17">
        <f>'1 - Input'!$B$22*AZ286*BB286</f>
        <v>0</v>
      </c>
      <c r="BD286" s="17">
        <f t="shared" si="230"/>
        <v>0</v>
      </c>
      <c r="BE286" s="17">
        <f t="shared" si="231"/>
        <v>4012.0579691415564</v>
      </c>
      <c r="BF286" s="17">
        <f t="shared" si="232"/>
        <v>0</v>
      </c>
      <c r="BG286" s="17">
        <f t="shared" si="233"/>
        <v>0</v>
      </c>
      <c r="BH286" s="17">
        <f t="shared" si="234"/>
        <v>0</v>
      </c>
      <c r="BI286" s="17">
        <f>IF(MOD(AK286,12)=0,BG286*'1 - Input'!$B$23,0)</f>
        <v>0</v>
      </c>
      <c r="BJ286" s="17">
        <f t="shared" si="235"/>
        <v>0</v>
      </c>
      <c r="BK286" s="17">
        <f>IF(MOD(AK286,12)=0,BH286*(1-'1 - Input'!$B$23),BH286)</f>
        <v>0</v>
      </c>
      <c r="BL286" s="17">
        <f>IF('1 - Input'!$B$17=1,MIN(AV286,AN286)+BD286,AV286)</f>
        <v>0</v>
      </c>
      <c r="BM286" s="17">
        <f t="shared" si="262"/>
        <v>590482.93849429931</v>
      </c>
      <c r="BN286" s="17">
        <f t="shared" si="263"/>
        <v>101441.90180685223</v>
      </c>
      <c r="BO286" s="17">
        <f t="shared" si="264"/>
        <v>0</v>
      </c>
      <c r="BP286" s="17">
        <f t="shared" si="265"/>
        <v>174289.24056370757</v>
      </c>
      <c r="BQ286" s="17">
        <f t="shared" si="266"/>
        <v>8123.5662772395826</v>
      </c>
      <c r="BR286" s="17">
        <f t="shared" si="267"/>
        <v>208788.01689805891</v>
      </c>
      <c r="BS286" s="15">
        <f t="shared" si="236"/>
        <v>1</v>
      </c>
      <c r="BU286" s="14">
        <v>243</v>
      </c>
      <c r="BV286" s="15">
        <f t="shared" si="237"/>
        <v>21</v>
      </c>
      <c r="BW286" s="16">
        <f>(1+INDEX('1 - Input'!$B$34:$E$63,BV286,'1 - Input'!$B$16))^(1/12)-1</f>
        <v>4.1219243192651689E-3</v>
      </c>
      <c r="BX286" s="17">
        <f>'1 - Input'!$B$7*(1+'1 - Input'!$B$12)^(BV286-1)</f>
        <v>4012.0579691415564</v>
      </c>
      <c r="BY286" s="17">
        <f t="shared" si="268"/>
        <v>0</v>
      </c>
      <c r="BZ286" s="17">
        <f t="shared" si="269"/>
        <v>0</v>
      </c>
      <c r="CA286" s="17">
        <f t="shared" si="238"/>
        <v>0</v>
      </c>
      <c r="CB286" s="17">
        <f>IF(CA286&gt;0,'1 - Input'!$B$8/12*CA286,0)</f>
        <v>0</v>
      </c>
      <c r="CC286" s="17">
        <f t="shared" si="239"/>
        <v>0</v>
      </c>
      <c r="CD286" s="17">
        <f t="shared" si="240"/>
        <v>0</v>
      </c>
      <c r="CE286" s="17">
        <f>'1 - Input'!$B$22*(CB286-CD286)</f>
        <v>0</v>
      </c>
      <c r="CF286" s="17">
        <f t="shared" si="241"/>
        <v>0</v>
      </c>
      <c r="CG286" s="17">
        <f t="shared" si="242"/>
        <v>0</v>
      </c>
      <c r="CH286" s="17">
        <f>IF('1 - Input'!$B$17=1,MAX(0,CF286-BX286),0)</f>
        <v>0</v>
      </c>
      <c r="CI286" s="17">
        <f>IF('1 - Input'!$B$17=1,MAX(0,BX286-CF286),0)</f>
        <v>4012.0579691415564</v>
      </c>
      <c r="CJ286" s="17">
        <f t="shared" si="243"/>
        <v>0</v>
      </c>
      <c r="CK286" s="17">
        <f>IF(AND(CI286&gt;0,CC286&gt;0),CI286/(1-'1 - Input'!$B$22*CJ286),0)</f>
        <v>0</v>
      </c>
      <c r="CL286" s="17">
        <f t="shared" si="244"/>
        <v>0</v>
      </c>
      <c r="CM286" s="17">
        <f>'1 - Input'!$B$22*CJ286*CL286</f>
        <v>0</v>
      </c>
      <c r="CN286" s="17">
        <f t="shared" si="245"/>
        <v>0</v>
      </c>
      <c r="CO286" s="17">
        <f t="shared" si="246"/>
        <v>4012.0579691415564</v>
      </c>
      <c r="CP286" s="17">
        <f t="shared" si="247"/>
        <v>0</v>
      </c>
      <c r="CQ286" s="17">
        <f t="shared" si="248"/>
        <v>0</v>
      </c>
      <c r="CR286" s="17">
        <f t="shared" si="249"/>
        <v>0</v>
      </c>
      <c r="CS286" s="17">
        <f>IF(MOD(BU286,12)=0,CQ286*'1 - Input'!$B$23,0)</f>
        <v>0</v>
      </c>
      <c r="CT286" s="17">
        <f t="shared" si="250"/>
        <v>0</v>
      </c>
      <c r="CU286" s="17">
        <f>IF(MOD(BU286,12)=0,CR286*(1-'1 - Input'!$B$23),CR286)</f>
        <v>0</v>
      </c>
      <c r="CV286" s="17">
        <f>IF('1 - Input'!$B$17=1,MIN(CF286,BX286)+CN286,CF286)</f>
        <v>0</v>
      </c>
      <c r="CW286" s="17">
        <f t="shared" si="270"/>
        <v>686605.50041273201</v>
      </c>
      <c r="CX286" s="17">
        <f t="shared" si="271"/>
        <v>6018.3402768167462</v>
      </c>
      <c r="CY286" s="17">
        <f t="shared" si="272"/>
        <v>66518.776160328038</v>
      </c>
      <c r="CZ286" s="17">
        <f t="shared" si="273"/>
        <v>0</v>
      </c>
      <c r="DA286" s="17">
        <f t="shared" si="274"/>
        <v>10954.114452440983</v>
      </c>
      <c r="DB286" s="17">
        <f t="shared" si="275"/>
        <v>112665.4549796271</v>
      </c>
      <c r="DC286" s="15">
        <f t="shared" si="251"/>
        <v>1</v>
      </c>
    </row>
    <row r="287" spans="1:107">
      <c r="A287" s="14">
        <v>244</v>
      </c>
      <c r="B287" s="15">
        <f t="shared" si="207"/>
        <v>21</v>
      </c>
      <c r="C287" s="16">
        <f>(1+INDEX('1 - Input'!$B$34:$E$63,B287,'1 - Input'!$B$16))^(1/12)-1</f>
        <v>4.1219243192651689E-3</v>
      </c>
      <c r="D287" s="17">
        <f>'1 - Input'!$B$7*(1+'1 - Input'!$B$12)^(B287-1)</f>
        <v>4012.0579691415564</v>
      </c>
      <c r="E287" s="17">
        <f t="shared" si="252"/>
        <v>0</v>
      </c>
      <c r="F287" s="17">
        <f t="shared" si="253"/>
        <v>0</v>
      </c>
      <c r="G287" s="17">
        <f t="shared" si="208"/>
        <v>0</v>
      </c>
      <c r="H287" s="17">
        <f>IF(G287&gt;0,'1 - Input'!$B$8/12*G287,0)</f>
        <v>0</v>
      </c>
      <c r="I287" s="17">
        <f t="shared" si="209"/>
        <v>0</v>
      </c>
      <c r="J287" s="17">
        <f t="shared" si="210"/>
        <v>0</v>
      </c>
      <c r="K287" s="17">
        <f>'1 - Input'!$B$22*(H287-J287)</f>
        <v>0</v>
      </c>
      <c r="L287" s="17">
        <f t="shared" si="211"/>
        <v>0</v>
      </c>
      <c r="M287" s="17">
        <f t="shared" si="212"/>
        <v>0</v>
      </c>
      <c r="N287" s="17">
        <f>IF('1 - Input'!$B$17=1,MAX(0,L287-D287),0)</f>
        <v>0</v>
      </c>
      <c r="O287" s="17">
        <f>IF('1 - Input'!$B$17=1,MAX(0,D287-L287),0)</f>
        <v>4012.0579691415564</v>
      </c>
      <c r="P287" s="17">
        <f t="shared" si="213"/>
        <v>0</v>
      </c>
      <c r="Q287" s="17">
        <f>IF(AND(O287&gt;0,I287&gt;0),O287/(1-'1 - Input'!$B$22*P287),0)</f>
        <v>0</v>
      </c>
      <c r="R287" s="17">
        <f t="shared" si="214"/>
        <v>0</v>
      </c>
      <c r="S287" s="17">
        <f>'1 - Input'!$B$22*P287*R287</f>
        <v>0</v>
      </c>
      <c r="T287" s="17">
        <f t="shared" si="215"/>
        <v>0</v>
      </c>
      <c r="U287" s="17">
        <f t="shared" si="216"/>
        <v>4012.0579691415564</v>
      </c>
      <c r="V287" s="17">
        <f t="shared" si="217"/>
        <v>0</v>
      </c>
      <c r="W287" s="17">
        <f t="shared" si="218"/>
        <v>0</v>
      </c>
      <c r="X287" s="17">
        <f t="shared" si="219"/>
        <v>0</v>
      </c>
      <c r="Y287" s="17">
        <f>IF(MOD(A287,12)=0,W287*'1 - Input'!$B$23,0)</f>
        <v>0</v>
      </c>
      <c r="Z287" s="17">
        <f t="shared" si="220"/>
        <v>0</v>
      </c>
      <c r="AA287" s="17">
        <f>IF(MOD(A287,12)=0,X287*(1-'1 - Input'!$B$23),X287)</f>
        <v>0</v>
      </c>
      <c r="AB287" s="17">
        <f>IF('1 - Input'!$B$17=1,MIN(L287,D287)+T287,L287)</f>
        <v>0</v>
      </c>
      <c r="AC287" s="17">
        <f t="shared" si="254"/>
        <v>590482.93849429931</v>
      </c>
      <c r="AD287" s="17">
        <f t="shared" si="255"/>
        <v>101441.90180685223</v>
      </c>
      <c r="AE287" s="17">
        <f t="shared" si="256"/>
        <v>0</v>
      </c>
      <c r="AF287" s="17">
        <f t="shared" si="257"/>
        <v>174289.24056370757</v>
      </c>
      <c r="AG287" s="17">
        <f t="shared" si="258"/>
        <v>8123.5662772395826</v>
      </c>
      <c r="AH287" s="17">
        <f t="shared" si="259"/>
        <v>212800.07486720046</v>
      </c>
      <c r="AI287" s="15">
        <f t="shared" si="221"/>
        <v>1</v>
      </c>
      <c r="AK287" s="14">
        <v>244</v>
      </c>
      <c r="AL287" s="15">
        <f t="shared" si="222"/>
        <v>21</v>
      </c>
      <c r="AM287" s="16">
        <f>(1+INDEX('1 - Input'!$B$34:$E$63,AL287,'1 - Input'!$B$16))^(1/12)-1</f>
        <v>4.1219243192651689E-3</v>
      </c>
      <c r="AN287" s="17">
        <f>'1 - Input'!$B$7*(1+'1 - Input'!$B$12)^(AL287-1)</f>
        <v>4012.0579691415564</v>
      </c>
      <c r="AO287" s="17">
        <f t="shared" si="260"/>
        <v>0</v>
      </c>
      <c r="AP287" s="17">
        <f t="shared" si="261"/>
        <v>0</v>
      </c>
      <c r="AQ287" s="17">
        <f t="shared" si="223"/>
        <v>0</v>
      </c>
      <c r="AR287" s="17">
        <f>IF(AQ287&gt;0,'1 - Input'!$B$8/12*AQ287,0)</f>
        <v>0</v>
      </c>
      <c r="AS287" s="17">
        <f t="shared" si="224"/>
        <v>0</v>
      </c>
      <c r="AT287" s="17">
        <f t="shared" si="225"/>
        <v>0</v>
      </c>
      <c r="AU287" s="17">
        <f>'1 - Input'!$B$22*(AR287-AT287)</f>
        <v>0</v>
      </c>
      <c r="AV287" s="17">
        <f t="shared" si="226"/>
        <v>0</v>
      </c>
      <c r="AW287" s="17">
        <f t="shared" si="227"/>
        <v>0</v>
      </c>
      <c r="AX287" s="17">
        <f>IF('1 - Input'!$B$17=1,MAX(0,AV287-AN287),0)</f>
        <v>0</v>
      </c>
      <c r="AY287" s="17">
        <f>IF('1 - Input'!$B$17=1,MAX(0,AN287-AV287),0)</f>
        <v>4012.0579691415564</v>
      </c>
      <c r="AZ287" s="17">
        <f t="shared" si="228"/>
        <v>0</v>
      </c>
      <c r="BA287" s="17">
        <f>IF(AND(AY287&gt;0,AS287&gt;0),AY287/(1-'1 - Input'!$B$22*AZ287),0)</f>
        <v>0</v>
      </c>
      <c r="BB287" s="17">
        <f t="shared" si="229"/>
        <v>0</v>
      </c>
      <c r="BC287" s="17">
        <f>'1 - Input'!$B$22*AZ287*BB287</f>
        <v>0</v>
      </c>
      <c r="BD287" s="17">
        <f t="shared" si="230"/>
        <v>0</v>
      </c>
      <c r="BE287" s="17">
        <f t="shared" si="231"/>
        <v>4012.0579691415564</v>
      </c>
      <c r="BF287" s="17">
        <f t="shared" si="232"/>
        <v>0</v>
      </c>
      <c r="BG287" s="17">
        <f t="shared" si="233"/>
        <v>0</v>
      </c>
      <c r="BH287" s="17">
        <f t="shared" si="234"/>
        <v>0</v>
      </c>
      <c r="BI287" s="17">
        <f>IF(MOD(AK287,12)=0,BG287*'1 - Input'!$B$23,0)</f>
        <v>0</v>
      </c>
      <c r="BJ287" s="17">
        <f t="shared" si="235"/>
        <v>0</v>
      </c>
      <c r="BK287" s="17">
        <f>IF(MOD(AK287,12)=0,BH287*(1-'1 - Input'!$B$23),BH287)</f>
        <v>0</v>
      </c>
      <c r="BL287" s="17">
        <f>IF('1 - Input'!$B$17=1,MIN(AV287,AN287)+BD287,AV287)</f>
        <v>0</v>
      </c>
      <c r="BM287" s="17">
        <f t="shared" si="262"/>
        <v>590482.93849429931</v>
      </c>
      <c r="BN287" s="17">
        <f t="shared" si="263"/>
        <v>101441.90180685223</v>
      </c>
      <c r="BO287" s="17">
        <f t="shared" si="264"/>
        <v>0</v>
      </c>
      <c r="BP287" s="17">
        <f t="shared" si="265"/>
        <v>174289.24056370757</v>
      </c>
      <c r="BQ287" s="17">
        <f t="shared" si="266"/>
        <v>8123.5662772395826</v>
      </c>
      <c r="BR287" s="17">
        <f t="shared" si="267"/>
        <v>212800.07486720046</v>
      </c>
      <c r="BS287" s="15">
        <f t="shared" si="236"/>
        <v>1</v>
      </c>
      <c r="BU287" s="14">
        <v>244</v>
      </c>
      <c r="BV287" s="15">
        <f t="shared" si="237"/>
        <v>21</v>
      </c>
      <c r="BW287" s="16">
        <f>(1+INDEX('1 - Input'!$B$34:$E$63,BV287,'1 - Input'!$B$16))^(1/12)-1</f>
        <v>4.1219243192651689E-3</v>
      </c>
      <c r="BX287" s="17">
        <f>'1 - Input'!$B$7*(1+'1 - Input'!$B$12)^(BV287-1)</f>
        <v>4012.0579691415564</v>
      </c>
      <c r="BY287" s="17">
        <f t="shared" si="268"/>
        <v>0</v>
      </c>
      <c r="BZ287" s="17">
        <f t="shared" si="269"/>
        <v>0</v>
      </c>
      <c r="CA287" s="17">
        <f t="shared" si="238"/>
        <v>0</v>
      </c>
      <c r="CB287" s="17">
        <f>IF(CA287&gt;0,'1 - Input'!$B$8/12*CA287,0)</f>
        <v>0</v>
      </c>
      <c r="CC287" s="17">
        <f t="shared" si="239"/>
        <v>0</v>
      </c>
      <c r="CD287" s="17">
        <f t="shared" si="240"/>
        <v>0</v>
      </c>
      <c r="CE287" s="17">
        <f>'1 - Input'!$B$22*(CB287-CD287)</f>
        <v>0</v>
      </c>
      <c r="CF287" s="17">
        <f t="shared" si="241"/>
        <v>0</v>
      </c>
      <c r="CG287" s="17">
        <f t="shared" si="242"/>
        <v>0</v>
      </c>
      <c r="CH287" s="17">
        <f>IF('1 - Input'!$B$17=1,MAX(0,CF287-BX287),0)</f>
        <v>0</v>
      </c>
      <c r="CI287" s="17">
        <f>IF('1 - Input'!$B$17=1,MAX(0,BX287-CF287),0)</f>
        <v>4012.0579691415564</v>
      </c>
      <c r="CJ287" s="17">
        <f t="shared" si="243"/>
        <v>0</v>
      </c>
      <c r="CK287" s="17">
        <f>IF(AND(CI287&gt;0,CC287&gt;0),CI287/(1-'1 - Input'!$B$22*CJ287),0)</f>
        <v>0</v>
      </c>
      <c r="CL287" s="17">
        <f t="shared" si="244"/>
        <v>0</v>
      </c>
      <c r="CM287" s="17">
        <f>'1 - Input'!$B$22*CJ287*CL287</f>
        <v>0</v>
      </c>
      <c r="CN287" s="17">
        <f t="shared" si="245"/>
        <v>0</v>
      </c>
      <c r="CO287" s="17">
        <f t="shared" si="246"/>
        <v>4012.0579691415564</v>
      </c>
      <c r="CP287" s="17">
        <f t="shared" si="247"/>
        <v>0</v>
      </c>
      <c r="CQ287" s="17">
        <f t="shared" si="248"/>
        <v>0</v>
      </c>
      <c r="CR287" s="17">
        <f t="shared" si="249"/>
        <v>0</v>
      </c>
      <c r="CS287" s="17">
        <f>IF(MOD(BU287,12)=0,CQ287*'1 - Input'!$B$23,0)</f>
        <v>0</v>
      </c>
      <c r="CT287" s="17">
        <f t="shared" si="250"/>
        <v>0</v>
      </c>
      <c r="CU287" s="17">
        <f>IF(MOD(BU287,12)=0,CR287*(1-'1 - Input'!$B$23),CR287)</f>
        <v>0</v>
      </c>
      <c r="CV287" s="17">
        <f>IF('1 - Input'!$B$17=1,MIN(CF287,BX287)+CN287,CF287)</f>
        <v>0</v>
      </c>
      <c r="CW287" s="17">
        <f t="shared" si="270"/>
        <v>686605.50041273201</v>
      </c>
      <c r="CX287" s="17">
        <f t="shared" si="271"/>
        <v>6018.3402768167462</v>
      </c>
      <c r="CY287" s="17">
        <f t="shared" si="272"/>
        <v>66518.776160328038</v>
      </c>
      <c r="CZ287" s="17">
        <f t="shared" si="273"/>
        <v>0</v>
      </c>
      <c r="DA287" s="17">
        <f t="shared" si="274"/>
        <v>10954.114452440983</v>
      </c>
      <c r="DB287" s="17">
        <f t="shared" si="275"/>
        <v>116677.51294876866</v>
      </c>
      <c r="DC287" s="15">
        <f t="shared" si="251"/>
        <v>1</v>
      </c>
    </row>
    <row r="288" spans="1:107">
      <c r="A288" s="14">
        <v>245</v>
      </c>
      <c r="B288" s="15">
        <f t="shared" si="207"/>
        <v>21</v>
      </c>
      <c r="C288" s="16">
        <f>(1+INDEX('1 - Input'!$B$34:$E$63,B288,'1 - Input'!$B$16))^(1/12)-1</f>
        <v>4.1219243192651689E-3</v>
      </c>
      <c r="D288" s="17">
        <f>'1 - Input'!$B$7*(1+'1 - Input'!$B$12)^(B288-1)</f>
        <v>4012.0579691415564</v>
      </c>
      <c r="E288" s="17">
        <f t="shared" si="252"/>
        <v>0</v>
      </c>
      <c r="F288" s="17">
        <f t="shared" si="253"/>
        <v>0</v>
      </c>
      <c r="G288" s="17">
        <f t="shared" si="208"/>
        <v>0</v>
      </c>
      <c r="H288" s="17">
        <f>IF(G288&gt;0,'1 - Input'!$B$8/12*G288,0)</f>
        <v>0</v>
      </c>
      <c r="I288" s="17">
        <f t="shared" si="209"/>
        <v>0</v>
      </c>
      <c r="J288" s="17">
        <f t="shared" si="210"/>
        <v>0</v>
      </c>
      <c r="K288" s="17">
        <f>'1 - Input'!$B$22*(H288-J288)</f>
        <v>0</v>
      </c>
      <c r="L288" s="17">
        <f t="shared" si="211"/>
        <v>0</v>
      </c>
      <c r="M288" s="17">
        <f t="shared" si="212"/>
        <v>0</v>
      </c>
      <c r="N288" s="17">
        <f>IF('1 - Input'!$B$17=1,MAX(0,L288-D288),0)</f>
        <v>0</v>
      </c>
      <c r="O288" s="17">
        <f>IF('1 - Input'!$B$17=1,MAX(0,D288-L288),0)</f>
        <v>4012.0579691415564</v>
      </c>
      <c r="P288" s="17">
        <f t="shared" si="213"/>
        <v>0</v>
      </c>
      <c r="Q288" s="17">
        <f>IF(AND(O288&gt;0,I288&gt;0),O288/(1-'1 - Input'!$B$22*P288),0)</f>
        <v>0</v>
      </c>
      <c r="R288" s="17">
        <f t="shared" si="214"/>
        <v>0</v>
      </c>
      <c r="S288" s="17">
        <f>'1 - Input'!$B$22*P288*R288</f>
        <v>0</v>
      </c>
      <c r="T288" s="17">
        <f t="shared" si="215"/>
        <v>0</v>
      </c>
      <c r="U288" s="17">
        <f t="shared" si="216"/>
        <v>4012.0579691415564</v>
      </c>
      <c r="V288" s="17">
        <f t="shared" si="217"/>
        <v>0</v>
      </c>
      <c r="W288" s="17">
        <f t="shared" si="218"/>
        <v>0</v>
      </c>
      <c r="X288" s="17">
        <f t="shared" si="219"/>
        <v>0</v>
      </c>
      <c r="Y288" s="17">
        <f>IF(MOD(A288,12)=0,W288*'1 - Input'!$B$23,0)</f>
        <v>0</v>
      </c>
      <c r="Z288" s="17">
        <f t="shared" si="220"/>
        <v>0</v>
      </c>
      <c r="AA288" s="17">
        <f>IF(MOD(A288,12)=0,X288*(1-'1 - Input'!$B$23),X288)</f>
        <v>0</v>
      </c>
      <c r="AB288" s="17">
        <f>IF('1 - Input'!$B$17=1,MIN(L288,D288)+T288,L288)</f>
        <v>0</v>
      </c>
      <c r="AC288" s="17">
        <f t="shared" si="254"/>
        <v>590482.93849429931</v>
      </c>
      <c r="AD288" s="17">
        <f t="shared" si="255"/>
        <v>101441.90180685223</v>
      </c>
      <c r="AE288" s="17">
        <f t="shared" si="256"/>
        <v>0</v>
      </c>
      <c r="AF288" s="17">
        <f t="shared" si="257"/>
        <v>174289.24056370757</v>
      </c>
      <c r="AG288" s="17">
        <f t="shared" si="258"/>
        <v>8123.5662772395826</v>
      </c>
      <c r="AH288" s="17">
        <f t="shared" si="259"/>
        <v>216812.132836342</v>
      </c>
      <c r="AI288" s="15">
        <f t="shared" si="221"/>
        <v>1</v>
      </c>
      <c r="AK288" s="14">
        <v>245</v>
      </c>
      <c r="AL288" s="15">
        <f t="shared" si="222"/>
        <v>21</v>
      </c>
      <c r="AM288" s="16">
        <f>(1+INDEX('1 - Input'!$B$34:$E$63,AL288,'1 - Input'!$B$16))^(1/12)-1</f>
        <v>4.1219243192651689E-3</v>
      </c>
      <c r="AN288" s="17">
        <f>'1 - Input'!$B$7*(1+'1 - Input'!$B$12)^(AL288-1)</f>
        <v>4012.0579691415564</v>
      </c>
      <c r="AO288" s="17">
        <f t="shared" si="260"/>
        <v>0</v>
      </c>
      <c r="AP288" s="17">
        <f t="shared" si="261"/>
        <v>0</v>
      </c>
      <c r="AQ288" s="17">
        <f t="shared" si="223"/>
        <v>0</v>
      </c>
      <c r="AR288" s="17">
        <f>IF(AQ288&gt;0,'1 - Input'!$B$8/12*AQ288,0)</f>
        <v>0</v>
      </c>
      <c r="AS288" s="17">
        <f t="shared" si="224"/>
        <v>0</v>
      </c>
      <c r="AT288" s="17">
        <f t="shared" si="225"/>
        <v>0</v>
      </c>
      <c r="AU288" s="17">
        <f>'1 - Input'!$B$22*(AR288-AT288)</f>
        <v>0</v>
      </c>
      <c r="AV288" s="17">
        <f t="shared" si="226"/>
        <v>0</v>
      </c>
      <c r="AW288" s="17">
        <f t="shared" si="227"/>
        <v>0</v>
      </c>
      <c r="AX288" s="17">
        <f>IF('1 - Input'!$B$17=1,MAX(0,AV288-AN288),0)</f>
        <v>0</v>
      </c>
      <c r="AY288" s="17">
        <f>IF('1 - Input'!$B$17=1,MAX(0,AN288-AV288),0)</f>
        <v>4012.0579691415564</v>
      </c>
      <c r="AZ288" s="17">
        <f t="shared" si="228"/>
        <v>0</v>
      </c>
      <c r="BA288" s="17">
        <f>IF(AND(AY288&gt;0,AS288&gt;0),AY288/(1-'1 - Input'!$B$22*AZ288),0)</f>
        <v>0</v>
      </c>
      <c r="BB288" s="17">
        <f t="shared" si="229"/>
        <v>0</v>
      </c>
      <c r="BC288" s="17">
        <f>'1 - Input'!$B$22*AZ288*BB288</f>
        <v>0</v>
      </c>
      <c r="BD288" s="17">
        <f t="shared" si="230"/>
        <v>0</v>
      </c>
      <c r="BE288" s="17">
        <f t="shared" si="231"/>
        <v>4012.0579691415564</v>
      </c>
      <c r="BF288" s="17">
        <f t="shared" si="232"/>
        <v>0</v>
      </c>
      <c r="BG288" s="17">
        <f t="shared" si="233"/>
        <v>0</v>
      </c>
      <c r="BH288" s="17">
        <f t="shared" si="234"/>
        <v>0</v>
      </c>
      <c r="BI288" s="17">
        <f>IF(MOD(AK288,12)=0,BG288*'1 - Input'!$B$23,0)</f>
        <v>0</v>
      </c>
      <c r="BJ288" s="17">
        <f t="shared" si="235"/>
        <v>0</v>
      </c>
      <c r="BK288" s="17">
        <f>IF(MOD(AK288,12)=0,BH288*(1-'1 - Input'!$B$23),BH288)</f>
        <v>0</v>
      </c>
      <c r="BL288" s="17">
        <f>IF('1 - Input'!$B$17=1,MIN(AV288,AN288)+BD288,AV288)</f>
        <v>0</v>
      </c>
      <c r="BM288" s="17">
        <f t="shared" si="262"/>
        <v>590482.93849429931</v>
      </c>
      <c r="BN288" s="17">
        <f t="shared" si="263"/>
        <v>101441.90180685223</v>
      </c>
      <c r="BO288" s="17">
        <f t="shared" si="264"/>
        <v>0</v>
      </c>
      <c r="BP288" s="17">
        <f t="shared" si="265"/>
        <v>174289.24056370757</v>
      </c>
      <c r="BQ288" s="17">
        <f t="shared" si="266"/>
        <v>8123.5662772395826</v>
      </c>
      <c r="BR288" s="17">
        <f t="shared" si="267"/>
        <v>216812.132836342</v>
      </c>
      <c r="BS288" s="15">
        <f t="shared" si="236"/>
        <v>1</v>
      </c>
      <c r="BU288" s="14">
        <v>245</v>
      </c>
      <c r="BV288" s="15">
        <f t="shared" si="237"/>
        <v>21</v>
      </c>
      <c r="BW288" s="16">
        <f>(1+INDEX('1 - Input'!$B$34:$E$63,BV288,'1 - Input'!$B$16))^(1/12)-1</f>
        <v>4.1219243192651689E-3</v>
      </c>
      <c r="BX288" s="17">
        <f>'1 - Input'!$B$7*(1+'1 - Input'!$B$12)^(BV288-1)</f>
        <v>4012.0579691415564</v>
      </c>
      <c r="BY288" s="17">
        <f t="shared" si="268"/>
        <v>0</v>
      </c>
      <c r="BZ288" s="17">
        <f t="shared" si="269"/>
        <v>0</v>
      </c>
      <c r="CA288" s="17">
        <f t="shared" si="238"/>
        <v>0</v>
      </c>
      <c r="CB288" s="17">
        <f>IF(CA288&gt;0,'1 - Input'!$B$8/12*CA288,0)</f>
        <v>0</v>
      </c>
      <c r="CC288" s="17">
        <f t="shared" si="239"/>
        <v>0</v>
      </c>
      <c r="CD288" s="17">
        <f t="shared" si="240"/>
        <v>0</v>
      </c>
      <c r="CE288" s="17">
        <f>'1 - Input'!$B$22*(CB288-CD288)</f>
        <v>0</v>
      </c>
      <c r="CF288" s="17">
        <f t="shared" si="241"/>
        <v>0</v>
      </c>
      <c r="CG288" s="17">
        <f t="shared" si="242"/>
        <v>0</v>
      </c>
      <c r="CH288" s="17">
        <f>IF('1 - Input'!$B$17=1,MAX(0,CF288-BX288),0)</f>
        <v>0</v>
      </c>
      <c r="CI288" s="17">
        <f>IF('1 - Input'!$B$17=1,MAX(0,BX288-CF288),0)</f>
        <v>4012.0579691415564</v>
      </c>
      <c r="CJ288" s="17">
        <f t="shared" si="243"/>
        <v>0</v>
      </c>
      <c r="CK288" s="17">
        <f>IF(AND(CI288&gt;0,CC288&gt;0),CI288/(1-'1 - Input'!$B$22*CJ288),0)</f>
        <v>0</v>
      </c>
      <c r="CL288" s="17">
        <f t="shared" si="244"/>
        <v>0</v>
      </c>
      <c r="CM288" s="17">
        <f>'1 - Input'!$B$22*CJ288*CL288</f>
        <v>0</v>
      </c>
      <c r="CN288" s="17">
        <f t="shared" si="245"/>
        <v>0</v>
      </c>
      <c r="CO288" s="17">
        <f t="shared" si="246"/>
        <v>4012.0579691415564</v>
      </c>
      <c r="CP288" s="17">
        <f t="shared" si="247"/>
        <v>0</v>
      </c>
      <c r="CQ288" s="17">
        <f t="shared" si="248"/>
        <v>0</v>
      </c>
      <c r="CR288" s="17">
        <f t="shared" si="249"/>
        <v>0</v>
      </c>
      <c r="CS288" s="17">
        <f>IF(MOD(BU288,12)=0,CQ288*'1 - Input'!$B$23,0)</f>
        <v>0</v>
      </c>
      <c r="CT288" s="17">
        <f t="shared" si="250"/>
        <v>0</v>
      </c>
      <c r="CU288" s="17">
        <f>IF(MOD(BU288,12)=0,CR288*(1-'1 - Input'!$B$23),CR288)</f>
        <v>0</v>
      </c>
      <c r="CV288" s="17">
        <f>IF('1 - Input'!$B$17=1,MIN(CF288,BX288)+CN288,CF288)</f>
        <v>0</v>
      </c>
      <c r="CW288" s="17">
        <f t="shared" si="270"/>
        <v>686605.50041273201</v>
      </c>
      <c r="CX288" s="17">
        <f t="shared" si="271"/>
        <v>6018.3402768167462</v>
      </c>
      <c r="CY288" s="17">
        <f t="shared" si="272"/>
        <v>66518.776160328038</v>
      </c>
      <c r="CZ288" s="17">
        <f t="shared" si="273"/>
        <v>0</v>
      </c>
      <c r="DA288" s="17">
        <f t="shared" si="274"/>
        <v>10954.114452440983</v>
      </c>
      <c r="DB288" s="17">
        <f t="shared" si="275"/>
        <v>120689.57091791023</v>
      </c>
      <c r="DC288" s="15">
        <f t="shared" si="251"/>
        <v>1</v>
      </c>
    </row>
    <row r="289" spans="1:107">
      <c r="A289" s="14">
        <v>246</v>
      </c>
      <c r="B289" s="15">
        <f t="shared" si="207"/>
        <v>21</v>
      </c>
      <c r="C289" s="16">
        <f>(1+INDEX('1 - Input'!$B$34:$E$63,B289,'1 - Input'!$B$16))^(1/12)-1</f>
        <v>4.1219243192651689E-3</v>
      </c>
      <c r="D289" s="17">
        <f>'1 - Input'!$B$7*(1+'1 - Input'!$B$12)^(B289-1)</f>
        <v>4012.0579691415564</v>
      </c>
      <c r="E289" s="17">
        <f t="shared" si="252"/>
        <v>0</v>
      </c>
      <c r="F289" s="17">
        <f t="shared" si="253"/>
        <v>0</v>
      </c>
      <c r="G289" s="17">
        <f t="shared" si="208"/>
        <v>0</v>
      </c>
      <c r="H289" s="17">
        <f>IF(G289&gt;0,'1 - Input'!$B$8/12*G289,0)</f>
        <v>0</v>
      </c>
      <c r="I289" s="17">
        <f t="shared" si="209"/>
        <v>0</v>
      </c>
      <c r="J289" s="17">
        <f t="shared" si="210"/>
        <v>0</v>
      </c>
      <c r="K289" s="17">
        <f>'1 - Input'!$B$22*(H289-J289)</f>
        <v>0</v>
      </c>
      <c r="L289" s="17">
        <f t="shared" si="211"/>
        <v>0</v>
      </c>
      <c r="M289" s="17">
        <f t="shared" si="212"/>
        <v>0</v>
      </c>
      <c r="N289" s="17">
        <f>IF('1 - Input'!$B$17=1,MAX(0,L289-D289),0)</f>
        <v>0</v>
      </c>
      <c r="O289" s="17">
        <f>IF('1 - Input'!$B$17=1,MAX(0,D289-L289),0)</f>
        <v>4012.0579691415564</v>
      </c>
      <c r="P289" s="17">
        <f t="shared" si="213"/>
        <v>0</v>
      </c>
      <c r="Q289" s="17">
        <f>IF(AND(O289&gt;0,I289&gt;0),O289/(1-'1 - Input'!$B$22*P289),0)</f>
        <v>0</v>
      </c>
      <c r="R289" s="17">
        <f t="shared" si="214"/>
        <v>0</v>
      </c>
      <c r="S289" s="17">
        <f>'1 - Input'!$B$22*P289*R289</f>
        <v>0</v>
      </c>
      <c r="T289" s="17">
        <f t="shared" si="215"/>
        <v>0</v>
      </c>
      <c r="U289" s="17">
        <f t="shared" si="216"/>
        <v>4012.0579691415564</v>
      </c>
      <c r="V289" s="17">
        <f t="shared" si="217"/>
        <v>0</v>
      </c>
      <c r="W289" s="17">
        <f t="shared" si="218"/>
        <v>0</v>
      </c>
      <c r="X289" s="17">
        <f t="shared" si="219"/>
        <v>0</v>
      </c>
      <c r="Y289" s="17">
        <f>IF(MOD(A289,12)=0,W289*'1 - Input'!$B$23,0)</f>
        <v>0</v>
      </c>
      <c r="Z289" s="17">
        <f t="shared" si="220"/>
        <v>0</v>
      </c>
      <c r="AA289" s="17">
        <f>IF(MOD(A289,12)=0,X289*(1-'1 - Input'!$B$23),X289)</f>
        <v>0</v>
      </c>
      <c r="AB289" s="17">
        <f>IF('1 - Input'!$B$17=1,MIN(L289,D289)+T289,L289)</f>
        <v>0</v>
      </c>
      <c r="AC289" s="17">
        <f t="shared" si="254"/>
        <v>590482.93849429931</v>
      </c>
      <c r="AD289" s="17">
        <f t="shared" si="255"/>
        <v>101441.90180685223</v>
      </c>
      <c r="AE289" s="17">
        <f t="shared" si="256"/>
        <v>0</v>
      </c>
      <c r="AF289" s="17">
        <f t="shared" si="257"/>
        <v>174289.24056370757</v>
      </c>
      <c r="AG289" s="17">
        <f t="shared" si="258"/>
        <v>8123.5662772395826</v>
      </c>
      <c r="AH289" s="17">
        <f t="shared" si="259"/>
        <v>220824.19080548355</v>
      </c>
      <c r="AI289" s="15">
        <f t="shared" si="221"/>
        <v>1</v>
      </c>
      <c r="AK289" s="14">
        <v>246</v>
      </c>
      <c r="AL289" s="15">
        <f t="shared" si="222"/>
        <v>21</v>
      </c>
      <c r="AM289" s="16">
        <f>(1+INDEX('1 - Input'!$B$34:$E$63,AL289,'1 - Input'!$B$16))^(1/12)-1</f>
        <v>4.1219243192651689E-3</v>
      </c>
      <c r="AN289" s="17">
        <f>'1 - Input'!$B$7*(1+'1 - Input'!$B$12)^(AL289-1)</f>
        <v>4012.0579691415564</v>
      </c>
      <c r="AO289" s="17">
        <f t="shared" si="260"/>
        <v>0</v>
      </c>
      <c r="AP289" s="17">
        <f t="shared" si="261"/>
        <v>0</v>
      </c>
      <c r="AQ289" s="17">
        <f t="shared" si="223"/>
        <v>0</v>
      </c>
      <c r="AR289" s="17">
        <f>IF(AQ289&gt;0,'1 - Input'!$B$8/12*AQ289,0)</f>
        <v>0</v>
      </c>
      <c r="AS289" s="17">
        <f t="shared" si="224"/>
        <v>0</v>
      </c>
      <c r="AT289" s="17">
        <f t="shared" si="225"/>
        <v>0</v>
      </c>
      <c r="AU289" s="17">
        <f>'1 - Input'!$B$22*(AR289-AT289)</f>
        <v>0</v>
      </c>
      <c r="AV289" s="17">
        <f t="shared" si="226"/>
        <v>0</v>
      </c>
      <c r="AW289" s="17">
        <f t="shared" si="227"/>
        <v>0</v>
      </c>
      <c r="AX289" s="17">
        <f>IF('1 - Input'!$B$17=1,MAX(0,AV289-AN289),0)</f>
        <v>0</v>
      </c>
      <c r="AY289" s="17">
        <f>IF('1 - Input'!$B$17=1,MAX(0,AN289-AV289),0)</f>
        <v>4012.0579691415564</v>
      </c>
      <c r="AZ289" s="17">
        <f t="shared" si="228"/>
        <v>0</v>
      </c>
      <c r="BA289" s="17">
        <f>IF(AND(AY289&gt;0,AS289&gt;0),AY289/(1-'1 - Input'!$B$22*AZ289),0)</f>
        <v>0</v>
      </c>
      <c r="BB289" s="17">
        <f t="shared" si="229"/>
        <v>0</v>
      </c>
      <c r="BC289" s="17">
        <f>'1 - Input'!$B$22*AZ289*BB289</f>
        <v>0</v>
      </c>
      <c r="BD289" s="17">
        <f t="shared" si="230"/>
        <v>0</v>
      </c>
      <c r="BE289" s="17">
        <f t="shared" si="231"/>
        <v>4012.0579691415564</v>
      </c>
      <c r="BF289" s="17">
        <f t="shared" si="232"/>
        <v>0</v>
      </c>
      <c r="BG289" s="17">
        <f t="shared" si="233"/>
        <v>0</v>
      </c>
      <c r="BH289" s="17">
        <f t="shared" si="234"/>
        <v>0</v>
      </c>
      <c r="BI289" s="17">
        <f>IF(MOD(AK289,12)=0,BG289*'1 - Input'!$B$23,0)</f>
        <v>0</v>
      </c>
      <c r="BJ289" s="17">
        <f t="shared" si="235"/>
        <v>0</v>
      </c>
      <c r="BK289" s="17">
        <f>IF(MOD(AK289,12)=0,BH289*(1-'1 - Input'!$B$23),BH289)</f>
        <v>0</v>
      </c>
      <c r="BL289" s="17">
        <f>IF('1 - Input'!$B$17=1,MIN(AV289,AN289)+BD289,AV289)</f>
        <v>0</v>
      </c>
      <c r="BM289" s="17">
        <f t="shared" si="262"/>
        <v>590482.93849429931</v>
      </c>
      <c r="BN289" s="17">
        <f t="shared" si="263"/>
        <v>101441.90180685223</v>
      </c>
      <c r="BO289" s="17">
        <f t="shared" si="264"/>
        <v>0</v>
      </c>
      <c r="BP289" s="17">
        <f t="shared" si="265"/>
        <v>174289.24056370757</v>
      </c>
      <c r="BQ289" s="17">
        <f t="shared" si="266"/>
        <v>8123.5662772395826</v>
      </c>
      <c r="BR289" s="17">
        <f t="shared" si="267"/>
        <v>220824.19080548355</v>
      </c>
      <c r="BS289" s="15">
        <f t="shared" si="236"/>
        <v>1</v>
      </c>
      <c r="BU289" s="14">
        <v>246</v>
      </c>
      <c r="BV289" s="15">
        <f t="shared" si="237"/>
        <v>21</v>
      </c>
      <c r="BW289" s="16">
        <f>(1+INDEX('1 - Input'!$B$34:$E$63,BV289,'1 - Input'!$B$16))^(1/12)-1</f>
        <v>4.1219243192651689E-3</v>
      </c>
      <c r="BX289" s="17">
        <f>'1 - Input'!$B$7*(1+'1 - Input'!$B$12)^(BV289-1)</f>
        <v>4012.0579691415564</v>
      </c>
      <c r="BY289" s="17">
        <f t="shared" si="268"/>
        <v>0</v>
      </c>
      <c r="BZ289" s="17">
        <f t="shared" si="269"/>
        <v>0</v>
      </c>
      <c r="CA289" s="17">
        <f t="shared" si="238"/>
        <v>0</v>
      </c>
      <c r="CB289" s="17">
        <f>IF(CA289&gt;0,'1 - Input'!$B$8/12*CA289,0)</f>
        <v>0</v>
      </c>
      <c r="CC289" s="17">
        <f t="shared" si="239"/>
        <v>0</v>
      </c>
      <c r="CD289" s="17">
        <f t="shared" si="240"/>
        <v>0</v>
      </c>
      <c r="CE289" s="17">
        <f>'1 - Input'!$B$22*(CB289-CD289)</f>
        <v>0</v>
      </c>
      <c r="CF289" s="17">
        <f t="shared" si="241"/>
        <v>0</v>
      </c>
      <c r="CG289" s="17">
        <f t="shared" si="242"/>
        <v>0</v>
      </c>
      <c r="CH289" s="17">
        <f>IF('1 - Input'!$B$17=1,MAX(0,CF289-BX289),0)</f>
        <v>0</v>
      </c>
      <c r="CI289" s="17">
        <f>IF('1 - Input'!$B$17=1,MAX(0,BX289-CF289),0)</f>
        <v>4012.0579691415564</v>
      </c>
      <c r="CJ289" s="17">
        <f t="shared" si="243"/>
        <v>0</v>
      </c>
      <c r="CK289" s="17">
        <f>IF(AND(CI289&gt;0,CC289&gt;0),CI289/(1-'1 - Input'!$B$22*CJ289),0)</f>
        <v>0</v>
      </c>
      <c r="CL289" s="17">
        <f t="shared" si="244"/>
        <v>0</v>
      </c>
      <c r="CM289" s="17">
        <f>'1 - Input'!$B$22*CJ289*CL289</f>
        <v>0</v>
      </c>
      <c r="CN289" s="17">
        <f t="shared" si="245"/>
        <v>0</v>
      </c>
      <c r="CO289" s="17">
        <f t="shared" si="246"/>
        <v>4012.0579691415564</v>
      </c>
      <c r="CP289" s="17">
        <f t="shared" si="247"/>
        <v>0</v>
      </c>
      <c r="CQ289" s="17">
        <f t="shared" si="248"/>
        <v>0</v>
      </c>
      <c r="CR289" s="17">
        <f t="shared" si="249"/>
        <v>0</v>
      </c>
      <c r="CS289" s="17">
        <f>IF(MOD(BU289,12)=0,CQ289*'1 - Input'!$B$23,0)</f>
        <v>0</v>
      </c>
      <c r="CT289" s="17">
        <f t="shared" si="250"/>
        <v>0</v>
      </c>
      <c r="CU289" s="17">
        <f>IF(MOD(BU289,12)=0,CR289*(1-'1 - Input'!$B$23),CR289)</f>
        <v>0</v>
      </c>
      <c r="CV289" s="17">
        <f>IF('1 - Input'!$B$17=1,MIN(CF289,BX289)+CN289,CF289)</f>
        <v>0</v>
      </c>
      <c r="CW289" s="17">
        <f t="shared" si="270"/>
        <v>686605.50041273201</v>
      </c>
      <c r="CX289" s="17">
        <f t="shared" si="271"/>
        <v>6018.3402768167462</v>
      </c>
      <c r="CY289" s="17">
        <f t="shared" si="272"/>
        <v>66518.776160328038</v>
      </c>
      <c r="CZ289" s="17">
        <f t="shared" si="273"/>
        <v>0</v>
      </c>
      <c r="DA289" s="17">
        <f t="shared" si="274"/>
        <v>10954.114452440983</v>
      </c>
      <c r="DB289" s="17">
        <f t="shared" si="275"/>
        <v>124701.62888705179</v>
      </c>
      <c r="DC289" s="15">
        <f t="shared" si="251"/>
        <v>1</v>
      </c>
    </row>
    <row r="290" spans="1:107">
      <c r="A290" s="14">
        <v>247</v>
      </c>
      <c r="B290" s="15">
        <f t="shared" si="207"/>
        <v>21</v>
      </c>
      <c r="C290" s="16">
        <f>(1+INDEX('1 - Input'!$B$34:$E$63,B290,'1 - Input'!$B$16))^(1/12)-1</f>
        <v>4.1219243192651689E-3</v>
      </c>
      <c r="D290" s="17">
        <f>'1 - Input'!$B$7*(1+'1 - Input'!$B$12)^(B290-1)</f>
        <v>4012.0579691415564</v>
      </c>
      <c r="E290" s="17">
        <f t="shared" si="252"/>
        <v>0</v>
      </c>
      <c r="F290" s="17">
        <f t="shared" si="253"/>
        <v>0</v>
      </c>
      <c r="G290" s="17">
        <f t="shared" si="208"/>
        <v>0</v>
      </c>
      <c r="H290" s="17">
        <f>IF(G290&gt;0,'1 - Input'!$B$8/12*G290,0)</f>
        <v>0</v>
      </c>
      <c r="I290" s="17">
        <f t="shared" si="209"/>
        <v>0</v>
      </c>
      <c r="J290" s="17">
        <f t="shared" si="210"/>
        <v>0</v>
      </c>
      <c r="K290" s="17">
        <f>'1 - Input'!$B$22*(H290-J290)</f>
        <v>0</v>
      </c>
      <c r="L290" s="17">
        <f t="shared" si="211"/>
        <v>0</v>
      </c>
      <c r="M290" s="17">
        <f t="shared" si="212"/>
        <v>0</v>
      </c>
      <c r="N290" s="17">
        <f>IF('1 - Input'!$B$17=1,MAX(0,L290-D290),0)</f>
        <v>0</v>
      </c>
      <c r="O290" s="17">
        <f>IF('1 - Input'!$B$17=1,MAX(0,D290-L290),0)</f>
        <v>4012.0579691415564</v>
      </c>
      <c r="P290" s="17">
        <f t="shared" si="213"/>
        <v>0</v>
      </c>
      <c r="Q290" s="17">
        <f>IF(AND(O290&gt;0,I290&gt;0),O290/(1-'1 - Input'!$B$22*P290),0)</f>
        <v>0</v>
      </c>
      <c r="R290" s="17">
        <f t="shared" si="214"/>
        <v>0</v>
      </c>
      <c r="S290" s="17">
        <f>'1 - Input'!$B$22*P290*R290</f>
        <v>0</v>
      </c>
      <c r="T290" s="17">
        <f t="shared" si="215"/>
        <v>0</v>
      </c>
      <c r="U290" s="17">
        <f t="shared" si="216"/>
        <v>4012.0579691415564</v>
      </c>
      <c r="V290" s="17">
        <f t="shared" si="217"/>
        <v>0</v>
      </c>
      <c r="W290" s="17">
        <f t="shared" si="218"/>
        <v>0</v>
      </c>
      <c r="X290" s="17">
        <f t="shared" si="219"/>
        <v>0</v>
      </c>
      <c r="Y290" s="17">
        <f>IF(MOD(A290,12)=0,W290*'1 - Input'!$B$23,0)</f>
        <v>0</v>
      </c>
      <c r="Z290" s="17">
        <f t="shared" si="220"/>
        <v>0</v>
      </c>
      <c r="AA290" s="17">
        <f>IF(MOD(A290,12)=0,X290*(1-'1 - Input'!$B$23),X290)</f>
        <v>0</v>
      </c>
      <c r="AB290" s="17">
        <f>IF('1 - Input'!$B$17=1,MIN(L290,D290)+T290,L290)</f>
        <v>0</v>
      </c>
      <c r="AC290" s="17">
        <f t="shared" si="254"/>
        <v>590482.93849429931</v>
      </c>
      <c r="AD290" s="17">
        <f t="shared" si="255"/>
        <v>101441.90180685223</v>
      </c>
      <c r="AE290" s="17">
        <f t="shared" si="256"/>
        <v>0</v>
      </c>
      <c r="AF290" s="17">
        <f t="shared" si="257"/>
        <v>174289.24056370757</v>
      </c>
      <c r="AG290" s="17">
        <f t="shared" si="258"/>
        <v>8123.5662772395826</v>
      </c>
      <c r="AH290" s="17">
        <f t="shared" si="259"/>
        <v>224836.2487746251</v>
      </c>
      <c r="AI290" s="15">
        <f t="shared" si="221"/>
        <v>1</v>
      </c>
      <c r="AK290" s="14">
        <v>247</v>
      </c>
      <c r="AL290" s="15">
        <f t="shared" si="222"/>
        <v>21</v>
      </c>
      <c r="AM290" s="16">
        <f>(1+INDEX('1 - Input'!$B$34:$E$63,AL290,'1 - Input'!$B$16))^(1/12)-1</f>
        <v>4.1219243192651689E-3</v>
      </c>
      <c r="AN290" s="17">
        <f>'1 - Input'!$B$7*(1+'1 - Input'!$B$12)^(AL290-1)</f>
        <v>4012.0579691415564</v>
      </c>
      <c r="AO290" s="17">
        <f t="shared" si="260"/>
        <v>0</v>
      </c>
      <c r="AP290" s="17">
        <f t="shared" si="261"/>
        <v>0</v>
      </c>
      <c r="AQ290" s="17">
        <f t="shared" si="223"/>
        <v>0</v>
      </c>
      <c r="AR290" s="17">
        <f>IF(AQ290&gt;0,'1 - Input'!$B$8/12*AQ290,0)</f>
        <v>0</v>
      </c>
      <c r="AS290" s="17">
        <f t="shared" si="224"/>
        <v>0</v>
      </c>
      <c r="AT290" s="17">
        <f t="shared" si="225"/>
        <v>0</v>
      </c>
      <c r="AU290" s="17">
        <f>'1 - Input'!$B$22*(AR290-AT290)</f>
        <v>0</v>
      </c>
      <c r="AV290" s="17">
        <f t="shared" si="226"/>
        <v>0</v>
      </c>
      <c r="AW290" s="17">
        <f t="shared" si="227"/>
        <v>0</v>
      </c>
      <c r="AX290" s="17">
        <f>IF('1 - Input'!$B$17=1,MAX(0,AV290-AN290),0)</f>
        <v>0</v>
      </c>
      <c r="AY290" s="17">
        <f>IF('1 - Input'!$B$17=1,MAX(0,AN290-AV290),0)</f>
        <v>4012.0579691415564</v>
      </c>
      <c r="AZ290" s="17">
        <f t="shared" si="228"/>
        <v>0</v>
      </c>
      <c r="BA290" s="17">
        <f>IF(AND(AY290&gt;0,AS290&gt;0),AY290/(1-'1 - Input'!$B$22*AZ290),0)</f>
        <v>0</v>
      </c>
      <c r="BB290" s="17">
        <f t="shared" si="229"/>
        <v>0</v>
      </c>
      <c r="BC290" s="17">
        <f>'1 - Input'!$B$22*AZ290*BB290</f>
        <v>0</v>
      </c>
      <c r="BD290" s="17">
        <f t="shared" si="230"/>
        <v>0</v>
      </c>
      <c r="BE290" s="17">
        <f t="shared" si="231"/>
        <v>4012.0579691415564</v>
      </c>
      <c r="BF290" s="17">
        <f t="shared" si="232"/>
        <v>0</v>
      </c>
      <c r="BG290" s="17">
        <f t="shared" si="233"/>
        <v>0</v>
      </c>
      <c r="BH290" s="17">
        <f t="shared" si="234"/>
        <v>0</v>
      </c>
      <c r="BI290" s="17">
        <f>IF(MOD(AK290,12)=0,BG290*'1 - Input'!$B$23,0)</f>
        <v>0</v>
      </c>
      <c r="BJ290" s="17">
        <f t="shared" si="235"/>
        <v>0</v>
      </c>
      <c r="BK290" s="17">
        <f>IF(MOD(AK290,12)=0,BH290*(1-'1 - Input'!$B$23),BH290)</f>
        <v>0</v>
      </c>
      <c r="BL290" s="17">
        <f>IF('1 - Input'!$B$17=1,MIN(AV290,AN290)+BD290,AV290)</f>
        <v>0</v>
      </c>
      <c r="BM290" s="17">
        <f t="shared" si="262"/>
        <v>590482.93849429931</v>
      </c>
      <c r="BN290" s="17">
        <f t="shared" si="263"/>
        <v>101441.90180685223</v>
      </c>
      <c r="BO290" s="17">
        <f t="shared" si="264"/>
        <v>0</v>
      </c>
      <c r="BP290" s="17">
        <f t="shared" si="265"/>
        <v>174289.24056370757</v>
      </c>
      <c r="BQ290" s="17">
        <f t="shared" si="266"/>
        <v>8123.5662772395826</v>
      </c>
      <c r="BR290" s="17">
        <f t="shared" si="267"/>
        <v>224836.2487746251</v>
      </c>
      <c r="BS290" s="15">
        <f t="shared" si="236"/>
        <v>1</v>
      </c>
      <c r="BU290" s="14">
        <v>247</v>
      </c>
      <c r="BV290" s="15">
        <f t="shared" si="237"/>
        <v>21</v>
      </c>
      <c r="BW290" s="16">
        <f>(1+INDEX('1 - Input'!$B$34:$E$63,BV290,'1 - Input'!$B$16))^(1/12)-1</f>
        <v>4.1219243192651689E-3</v>
      </c>
      <c r="BX290" s="17">
        <f>'1 - Input'!$B$7*(1+'1 - Input'!$B$12)^(BV290-1)</f>
        <v>4012.0579691415564</v>
      </c>
      <c r="BY290" s="17">
        <f t="shared" si="268"/>
        <v>0</v>
      </c>
      <c r="BZ290" s="17">
        <f t="shared" si="269"/>
        <v>0</v>
      </c>
      <c r="CA290" s="17">
        <f t="shared" si="238"/>
        <v>0</v>
      </c>
      <c r="CB290" s="17">
        <f>IF(CA290&gt;0,'1 - Input'!$B$8/12*CA290,0)</f>
        <v>0</v>
      </c>
      <c r="CC290" s="17">
        <f t="shared" si="239"/>
        <v>0</v>
      </c>
      <c r="CD290" s="17">
        <f t="shared" si="240"/>
        <v>0</v>
      </c>
      <c r="CE290" s="17">
        <f>'1 - Input'!$B$22*(CB290-CD290)</f>
        <v>0</v>
      </c>
      <c r="CF290" s="17">
        <f t="shared" si="241"/>
        <v>0</v>
      </c>
      <c r="CG290" s="17">
        <f t="shared" si="242"/>
        <v>0</v>
      </c>
      <c r="CH290" s="17">
        <f>IF('1 - Input'!$B$17=1,MAX(0,CF290-BX290),0)</f>
        <v>0</v>
      </c>
      <c r="CI290" s="17">
        <f>IF('1 - Input'!$B$17=1,MAX(0,BX290-CF290),0)</f>
        <v>4012.0579691415564</v>
      </c>
      <c r="CJ290" s="17">
        <f t="shared" si="243"/>
        <v>0</v>
      </c>
      <c r="CK290" s="17">
        <f>IF(AND(CI290&gt;0,CC290&gt;0),CI290/(1-'1 - Input'!$B$22*CJ290),0)</f>
        <v>0</v>
      </c>
      <c r="CL290" s="17">
        <f t="shared" si="244"/>
        <v>0</v>
      </c>
      <c r="CM290" s="17">
        <f>'1 - Input'!$B$22*CJ290*CL290</f>
        <v>0</v>
      </c>
      <c r="CN290" s="17">
        <f t="shared" si="245"/>
        <v>0</v>
      </c>
      <c r="CO290" s="17">
        <f t="shared" si="246"/>
        <v>4012.0579691415564</v>
      </c>
      <c r="CP290" s="17">
        <f t="shared" si="247"/>
        <v>0</v>
      </c>
      <c r="CQ290" s="17">
        <f t="shared" si="248"/>
        <v>0</v>
      </c>
      <c r="CR290" s="17">
        <f t="shared" si="249"/>
        <v>0</v>
      </c>
      <c r="CS290" s="17">
        <f>IF(MOD(BU290,12)=0,CQ290*'1 - Input'!$B$23,0)</f>
        <v>0</v>
      </c>
      <c r="CT290" s="17">
        <f t="shared" si="250"/>
        <v>0</v>
      </c>
      <c r="CU290" s="17">
        <f>IF(MOD(BU290,12)=0,CR290*(1-'1 - Input'!$B$23),CR290)</f>
        <v>0</v>
      </c>
      <c r="CV290" s="17">
        <f>IF('1 - Input'!$B$17=1,MIN(CF290,BX290)+CN290,CF290)</f>
        <v>0</v>
      </c>
      <c r="CW290" s="17">
        <f t="shared" si="270"/>
        <v>686605.50041273201</v>
      </c>
      <c r="CX290" s="17">
        <f t="shared" si="271"/>
        <v>6018.3402768167462</v>
      </c>
      <c r="CY290" s="17">
        <f t="shared" si="272"/>
        <v>66518.776160328038</v>
      </c>
      <c r="CZ290" s="17">
        <f t="shared" si="273"/>
        <v>0</v>
      </c>
      <c r="DA290" s="17">
        <f t="shared" si="274"/>
        <v>10954.114452440983</v>
      </c>
      <c r="DB290" s="17">
        <f t="shared" si="275"/>
        <v>128713.68685619335</v>
      </c>
      <c r="DC290" s="15">
        <f t="shared" si="251"/>
        <v>1</v>
      </c>
    </row>
    <row r="291" spans="1:107">
      <c r="A291" s="14">
        <v>248</v>
      </c>
      <c r="B291" s="15">
        <f t="shared" si="207"/>
        <v>21</v>
      </c>
      <c r="C291" s="16">
        <f>(1+INDEX('1 - Input'!$B$34:$E$63,B291,'1 - Input'!$B$16))^(1/12)-1</f>
        <v>4.1219243192651689E-3</v>
      </c>
      <c r="D291" s="17">
        <f>'1 - Input'!$B$7*(1+'1 - Input'!$B$12)^(B291-1)</f>
        <v>4012.0579691415564</v>
      </c>
      <c r="E291" s="17">
        <f t="shared" si="252"/>
        <v>0</v>
      </c>
      <c r="F291" s="17">
        <f t="shared" si="253"/>
        <v>0</v>
      </c>
      <c r="G291" s="17">
        <f t="shared" si="208"/>
        <v>0</v>
      </c>
      <c r="H291" s="17">
        <f>IF(G291&gt;0,'1 - Input'!$B$8/12*G291,0)</f>
        <v>0</v>
      </c>
      <c r="I291" s="17">
        <f t="shared" si="209"/>
        <v>0</v>
      </c>
      <c r="J291" s="17">
        <f t="shared" si="210"/>
        <v>0</v>
      </c>
      <c r="K291" s="17">
        <f>'1 - Input'!$B$22*(H291-J291)</f>
        <v>0</v>
      </c>
      <c r="L291" s="17">
        <f t="shared" si="211"/>
        <v>0</v>
      </c>
      <c r="M291" s="17">
        <f t="shared" si="212"/>
        <v>0</v>
      </c>
      <c r="N291" s="17">
        <f>IF('1 - Input'!$B$17=1,MAX(0,L291-D291),0)</f>
        <v>0</v>
      </c>
      <c r="O291" s="17">
        <f>IF('1 - Input'!$B$17=1,MAX(0,D291-L291),0)</f>
        <v>4012.0579691415564</v>
      </c>
      <c r="P291" s="17">
        <f t="shared" si="213"/>
        <v>0</v>
      </c>
      <c r="Q291" s="17">
        <f>IF(AND(O291&gt;0,I291&gt;0),O291/(1-'1 - Input'!$B$22*P291),0)</f>
        <v>0</v>
      </c>
      <c r="R291" s="17">
        <f t="shared" si="214"/>
        <v>0</v>
      </c>
      <c r="S291" s="17">
        <f>'1 - Input'!$B$22*P291*R291</f>
        <v>0</v>
      </c>
      <c r="T291" s="17">
        <f t="shared" si="215"/>
        <v>0</v>
      </c>
      <c r="U291" s="17">
        <f t="shared" si="216"/>
        <v>4012.0579691415564</v>
      </c>
      <c r="V291" s="17">
        <f t="shared" si="217"/>
        <v>0</v>
      </c>
      <c r="W291" s="17">
        <f t="shared" si="218"/>
        <v>0</v>
      </c>
      <c r="X291" s="17">
        <f t="shared" si="219"/>
        <v>0</v>
      </c>
      <c r="Y291" s="17">
        <f>IF(MOD(A291,12)=0,W291*'1 - Input'!$B$23,0)</f>
        <v>0</v>
      </c>
      <c r="Z291" s="17">
        <f t="shared" si="220"/>
        <v>0</v>
      </c>
      <c r="AA291" s="17">
        <f>IF(MOD(A291,12)=0,X291*(1-'1 - Input'!$B$23),X291)</f>
        <v>0</v>
      </c>
      <c r="AB291" s="17">
        <f>IF('1 - Input'!$B$17=1,MIN(L291,D291)+T291,L291)</f>
        <v>0</v>
      </c>
      <c r="AC291" s="17">
        <f t="shared" si="254"/>
        <v>590482.93849429931</v>
      </c>
      <c r="AD291" s="17">
        <f t="shared" si="255"/>
        <v>101441.90180685223</v>
      </c>
      <c r="AE291" s="17">
        <f t="shared" si="256"/>
        <v>0</v>
      </c>
      <c r="AF291" s="17">
        <f t="shared" si="257"/>
        <v>174289.24056370757</v>
      </c>
      <c r="AG291" s="17">
        <f t="shared" si="258"/>
        <v>8123.5662772395826</v>
      </c>
      <c r="AH291" s="17">
        <f t="shared" si="259"/>
        <v>228848.30674376665</v>
      </c>
      <c r="AI291" s="15">
        <f t="shared" si="221"/>
        <v>1</v>
      </c>
      <c r="AK291" s="14">
        <v>248</v>
      </c>
      <c r="AL291" s="15">
        <f t="shared" si="222"/>
        <v>21</v>
      </c>
      <c r="AM291" s="16">
        <f>(1+INDEX('1 - Input'!$B$34:$E$63,AL291,'1 - Input'!$B$16))^(1/12)-1</f>
        <v>4.1219243192651689E-3</v>
      </c>
      <c r="AN291" s="17">
        <f>'1 - Input'!$B$7*(1+'1 - Input'!$B$12)^(AL291-1)</f>
        <v>4012.0579691415564</v>
      </c>
      <c r="AO291" s="17">
        <f t="shared" si="260"/>
        <v>0</v>
      </c>
      <c r="AP291" s="17">
        <f t="shared" si="261"/>
        <v>0</v>
      </c>
      <c r="AQ291" s="17">
        <f t="shared" si="223"/>
        <v>0</v>
      </c>
      <c r="AR291" s="17">
        <f>IF(AQ291&gt;0,'1 - Input'!$B$8/12*AQ291,0)</f>
        <v>0</v>
      </c>
      <c r="AS291" s="17">
        <f t="shared" si="224"/>
        <v>0</v>
      </c>
      <c r="AT291" s="17">
        <f t="shared" si="225"/>
        <v>0</v>
      </c>
      <c r="AU291" s="17">
        <f>'1 - Input'!$B$22*(AR291-AT291)</f>
        <v>0</v>
      </c>
      <c r="AV291" s="17">
        <f t="shared" si="226"/>
        <v>0</v>
      </c>
      <c r="AW291" s="17">
        <f t="shared" si="227"/>
        <v>0</v>
      </c>
      <c r="AX291" s="17">
        <f>IF('1 - Input'!$B$17=1,MAX(0,AV291-AN291),0)</f>
        <v>0</v>
      </c>
      <c r="AY291" s="17">
        <f>IF('1 - Input'!$B$17=1,MAX(0,AN291-AV291),0)</f>
        <v>4012.0579691415564</v>
      </c>
      <c r="AZ291" s="17">
        <f t="shared" si="228"/>
        <v>0</v>
      </c>
      <c r="BA291" s="17">
        <f>IF(AND(AY291&gt;0,AS291&gt;0),AY291/(1-'1 - Input'!$B$22*AZ291),0)</f>
        <v>0</v>
      </c>
      <c r="BB291" s="17">
        <f t="shared" si="229"/>
        <v>0</v>
      </c>
      <c r="BC291" s="17">
        <f>'1 - Input'!$B$22*AZ291*BB291</f>
        <v>0</v>
      </c>
      <c r="BD291" s="17">
        <f t="shared" si="230"/>
        <v>0</v>
      </c>
      <c r="BE291" s="17">
        <f t="shared" si="231"/>
        <v>4012.0579691415564</v>
      </c>
      <c r="BF291" s="17">
        <f t="shared" si="232"/>
        <v>0</v>
      </c>
      <c r="BG291" s="17">
        <f t="shared" si="233"/>
        <v>0</v>
      </c>
      <c r="BH291" s="17">
        <f t="shared" si="234"/>
        <v>0</v>
      </c>
      <c r="BI291" s="17">
        <f>IF(MOD(AK291,12)=0,BG291*'1 - Input'!$B$23,0)</f>
        <v>0</v>
      </c>
      <c r="BJ291" s="17">
        <f t="shared" si="235"/>
        <v>0</v>
      </c>
      <c r="BK291" s="17">
        <f>IF(MOD(AK291,12)=0,BH291*(1-'1 - Input'!$B$23),BH291)</f>
        <v>0</v>
      </c>
      <c r="BL291" s="17">
        <f>IF('1 - Input'!$B$17=1,MIN(AV291,AN291)+BD291,AV291)</f>
        <v>0</v>
      </c>
      <c r="BM291" s="17">
        <f t="shared" si="262"/>
        <v>590482.93849429931</v>
      </c>
      <c r="BN291" s="17">
        <f t="shared" si="263"/>
        <v>101441.90180685223</v>
      </c>
      <c r="BO291" s="17">
        <f t="shared" si="264"/>
        <v>0</v>
      </c>
      <c r="BP291" s="17">
        <f t="shared" si="265"/>
        <v>174289.24056370757</v>
      </c>
      <c r="BQ291" s="17">
        <f t="shared" si="266"/>
        <v>8123.5662772395826</v>
      </c>
      <c r="BR291" s="17">
        <f t="shared" si="267"/>
        <v>228848.30674376665</v>
      </c>
      <c r="BS291" s="15">
        <f t="shared" si="236"/>
        <v>1</v>
      </c>
      <c r="BU291" s="14">
        <v>248</v>
      </c>
      <c r="BV291" s="15">
        <f t="shared" si="237"/>
        <v>21</v>
      </c>
      <c r="BW291" s="16">
        <f>(1+INDEX('1 - Input'!$B$34:$E$63,BV291,'1 - Input'!$B$16))^(1/12)-1</f>
        <v>4.1219243192651689E-3</v>
      </c>
      <c r="BX291" s="17">
        <f>'1 - Input'!$B$7*(1+'1 - Input'!$B$12)^(BV291-1)</f>
        <v>4012.0579691415564</v>
      </c>
      <c r="BY291" s="17">
        <f t="shared" si="268"/>
        <v>0</v>
      </c>
      <c r="BZ291" s="17">
        <f t="shared" si="269"/>
        <v>0</v>
      </c>
      <c r="CA291" s="17">
        <f t="shared" si="238"/>
        <v>0</v>
      </c>
      <c r="CB291" s="17">
        <f>IF(CA291&gt;0,'1 - Input'!$B$8/12*CA291,0)</f>
        <v>0</v>
      </c>
      <c r="CC291" s="17">
        <f t="shared" si="239"/>
        <v>0</v>
      </c>
      <c r="CD291" s="17">
        <f t="shared" si="240"/>
        <v>0</v>
      </c>
      <c r="CE291" s="17">
        <f>'1 - Input'!$B$22*(CB291-CD291)</f>
        <v>0</v>
      </c>
      <c r="CF291" s="17">
        <f t="shared" si="241"/>
        <v>0</v>
      </c>
      <c r="CG291" s="17">
        <f t="shared" si="242"/>
        <v>0</v>
      </c>
      <c r="CH291" s="17">
        <f>IF('1 - Input'!$B$17=1,MAX(0,CF291-BX291),0)</f>
        <v>0</v>
      </c>
      <c r="CI291" s="17">
        <f>IF('1 - Input'!$B$17=1,MAX(0,BX291-CF291),0)</f>
        <v>4012.0579691415564</v>
      </c>
      <c r="CJ291" s="17">
        <f t="shared" si="243"/>
        <v>0</v>
      </c>
      <c r="CK291" s="17">
        <f>IF(AND(CI291&gt;0,CC291&gt;0),CI291/(1-'1 - Input'!$B$22*CJ291),0)</f>
        <v>0</v>
      </c>
      <c r="CL291" s="17">
        <f t="shared" si="244"/>
        <v>0</v>
      </c>
      <c r="CM291" s="17">
        <f>'1 - Input'!$B$22*CJ291*CL291</f>
        <v>0</v>
      </c>
      <c r="CN291" s="17">
        <f t="shared" si="245"/>
        <v>0</v>
      </c>
      <c r="CO291" s="17">
        <f t="shared" si="246"/>
        <v>4012.0579691415564</v>
      </c>
      <c r="CP291" s="17">
        <f t="shared" si="247"/>
        <v>0</v>
      </c>
      <c r="CQ291" s="17">
        <f t="shared" si="248"/>
        <v>0</v>
      </c>
      <c r="CR291" s="17">
        <f t="shared" si="249"/>
        <v>0</v>
      </c>
      <c r="CS291" s="17">
        <f>IF(MOD(BU291,12)=0,CQ291*'1 - Input'!$B$23,0)</f>
        <v>0</v>
      </c>
      <c r="CT291" s="17">
        <f t="shared" si="250"/>
        <v>0</v>
      </c>
      <c r="CU291" s="17">
        <f>IF(MOD(BU291,12)=0,CR291*(1-'1 - Input'!$B$23),CR291)</f>
        <v>0</v>
      </c>
      <c r="CV291" s="17">
        <f>IF('1 - Input'!$B$17=1,MIN(CF291,BX291)+CN291,CF291)</f>
        <v>0</v>
      </c>
      <c r="CW291" s="17">
        <f t="shared" si="270"/>
        <v>686605.50041273201</v>
      </c>
      <c r="CX291" s="17">
        <f t="shared" si="271"/>
        <v>6018.3402768167462</v>
      </c>
      <c r="CY291" s="17">
        <f t="shared" si="272"/>
        <v>66518.776160328038</v>
      </c>
      <c r="CZ291" s="17">
        <f t="shared" si="273"/>
        <v>0</v>
      </c>
      <c r="DA291" s="17">
        <f t="shared" si="274"/>
        <v>10954.114452440983</v>
      </c>
      <c r="DB291" s="17">
        <f t="shared" si="275"/>
        <v>132725.7448253349</v>
      </c>
      <c r="DC291" s="15">
        <f t="shared" si="251"/>
        <v>1</v>
      </c>
    </row>
    <row r="292" spans="1:107">
      <c r="A292" s="14">
        <v>249</v>
      </c>
      <c r="B292" s="15">
        <f t="shared" si="207"/>
        <v>21</v>
      </c>
      <c r="C292" s="16">
        <f>(1+INDEX('1 - Input'!$B$34:$E$63,B292,'1 - Input'!$B$16))^(1/12)-1</f>
        <v>4.1219243192651689E-3</v>
      </c>
      <c r="D292" s="17">
        <f>'1 - Input'!$B$7*(1+'1 - Input'!$B$12)^(B292-1)</f>
        <v>4012.0579691415564</v>
      </c>
      <c r="E292" s="17">
        <f t="shared" si="252"/>
        <v>0</v>
      </c>
      <c r="F292" s="17">
        <f t="shared" si="253"/>
        <v>0</v>
      </c>
      <c r="G292" s="17">
        <f t="shared" si="208"/>
        <v>0</v>
      </c>
      <c r="H292" s="17">
        <f>IF(G292&gt;0,'1 - Input'!$B$8/12*G292,0)</f>
        <v>0</v>
      </c>
      <c r="I292" s="17">
        <f t="shared" si="209"/>
        <v>0</v>
      </c>
      <c r="J292" s="17">
        <f t="shared" si="210"/>
        <v>0</v>
      </c>
      <c r="K292" s="17">
        <f>'1 - Input'!$B$22*(H292-J292)</f>
        <v>0</v>
      </c>
      <c r="L292" s="17">
        <f t="shared" si="211"/>
        <v>0</v>
      </c>
      <c r="M292" s="17">
        <f t="shared" si="212"/>
        <v>0</v>
      </c>
      <c r="N292" s="17">
        <f>IF('1 - Input'!$B$17=1,MAX(0,L292-D292),0)</f>
        <v>0</v>
      </c>
      <c r="O292" s="17">
        <f>IF('1 - Input'!$B$17=1,MAX(0,D292-L292),0)</f>
        <v>4012.0579691415564</v>
      </c>
      <c r="P292" s="17">
        <f t="shared" si="213"/>
        <v>0</v>
      </c>
      <c r="Q292" s="17">
        <f>IF(AND(O292&gt;0,I292&gt;0),O292/(1-'1 - Input'!$B$22*P292),0)</f>
        <v>0</v>
      </c>
      <c r="R292" s="17">
        <f t="shared" si="214"/>
        <v>0</v>
      </c>
      <c r="S292" s="17">
        <f>'1 - Input'!$B$22*P292*R292</f>
        <v>0</v>
      </c>
      <c r="T292" s="17">
        <f t="shared" si="215"/>
        <v>0</v>
      </c>
      <c r="U292" s="17">
        <f t="shared" si="216"/>
        <v>4012.0579691415564</v>
      </c>
      <c r="V292" s="17">
        <f t="shared" si="217"/>
        <v>0</v>
      </c>
      <c r="W292" s="17">
        <f t="shared" si="218"/>
        <v>0</v>
      </c>
      <c r="X292" s="17">
        <f t="shared" si="219"/>
        <v>0</v>
      </c>
      <c r="Y292" s="17">
        <f>IF(MOD(A292,12)=0,W292*'1 - Input'!$B$23,0)</f>
        <v>0</v>
      </c>
      <c r="Z292" s="17">
        <f t="shared" si="220"/>
        <v>0</v>
      </c>
      <c r="AA292" s="17">
        <f>IF(MOD(A292,12)=0,X292*(1-'1 - Input'!$B$23),X292)</f>
        <v>0</v>
      </c>
      <c r="AB292" s="17">
        <f>IF('1 - Input'!$B$17=1,MIN(L292,D292)+T292,L292)</f>
        <v>0</v>
      </c>
      <c r="AC292" s="17">
        <f t="shared" si="254"/>
        <v>590482.93849429931</v>
      </c>
      <c r="AD292" s="17">
        <f t="shared" si="255"/>
        <v>101441.90180685223</v>
      </c>
      <c r="AE292" s="17">
        <f t="shared" si="256"/>
        <v>0</v>
      </c>
      <c r="AF292" s="17">
        <f t="shared" si="257"/>
        <v>174289.24056370757</v>
      </c>
      <c r="AG292" s="17">
        <f t="shared" si="258"/>
        <v>8123.5662772395826</v>
      </c>
      <c r="AH292" s="17">
        <f t="shared" si="259"/>
        <v>232860.36471290819</v>
      </c>
      <c r="AI292" s="15">
        <f t="shared" si="221"/>
        <v>1</v>
      </c>
      <c r="AK292" s="14">
        <v>249</v>
      </c>
      <c r="AL292" s="15">
        <f t="shared" si="222"/>
        <v>21</v>
      </c>
      <c r="AM292" s="16">
        <f>(1+INDEX('1 - Input'!$B$34:$E$63,AL292,'1 - Input'!$B$16))^(1/12)-1</f>
        <v>4.1219243192651689E-3</v>
      </c>
      <c r="AN292" s="17">
        <f>'1 - Input'!$B$7*(1+'1 - Input'!$B$12)^(AL292-1)</f>
        <v>4012.0579691415564</v>
      </c>
      <c r="AO292" s="17">
        <f t="shared" si="260"/>
        <v>0</v>
      </c>
      <c r="AP292" s="17">
        <f t="shared" si="261"/>
        <v>0</v>
      </c>
      <c r="AQ292" s="17">
        <f t="shared" si="223"/>
        <v>0</v>
      </c>
      <c r="AR292" s="17">
        <f>IF(AQ292&gt;0,'1 - Input'!$B$8/12*AQ292,0)</f>
        <v>0</v>
      </c>
      <c r="AS292" s="17">
        <f t="shared" si="224"/>
        <v>0</v>
      </c>
      <c r="AT292" s="17">
        <f t="shared" si="225"/>
        <v>0</v>
      </c>
      <c r="AU292" s="17">
        <f>'1 - Input'!$B$22*(AR292-AT292)</f>
        <v>0</v>
      </c>
      <c r="AV292" s="17">
        <f t="shared" si="226"/>
        <v>0</v>
      </c>
      <c r="AW292" s="17">
        <f t="shared" si="227"/>
        <v>0</v>
      </c>
      <c r="AX292" s="17">
        <f>IF('1 - Input'!$B$17=1,MAX(0,AV292-AN292),0)</f>
        <v>0</v>
      </c>
      <c r="AY292" s="17">
        <f>IF('1 - Input'!$B$17=1,MAX(0,AN292-AV292),0)</f>
        <v>4012.0579691415564</v>
      </c>
      <c r="AZ292" s="17">
        <f t="shared" si="228"/>
        <v>0</v>
      </c>
      <c r="BA292" s="17">
        <f>IF(AND(AY292&gt;0,AS292&gt;0),AY292/(1-'1 - Input'!$B$22*AZ292),0)</f>
        <v>0</v>
      </c>
      <c r="BB292" s="17">
        <f t="shared" si="229"/>
        <v>0</v>
      </c>
      <c r="BC292" s="17">
        <f>'1 - Input'!$B$22*AZ292*BB292</f>
        <v>0</v>
      </c>
      <c r="BD292" s="17">
        <f t="shared" si="230"/>
        <v>0</v>
      </c>
      <c r="BE292" s="17">
        <f t="shared" si="231"/>
        <v>4012.0579691415564</v>
      </c>
      <c r="BF292" s="17">
        <f t="shared" si="232"/>
        <v>0</v>
      </c>
      <c r="BG292" s="17">
        <f t="shared" si="233"/>
        <v>0</v>
      </c>
      <c r="BH292" s="17">
        <f t="shared" si="234"/>
        <v>0</v>
      </c>
      <c r="BI292" s="17">
        <f>IF(MOD(AK292,12)=0,BG292*'1 - Input'!$B$23,0)</f>
        <v>0</v>
      </c>
      <c r="BJ292" s="17">
        <f t="shared" si="235"/>
        <v>0</v>
      </c>
      <c r="BK292" s="17">
        <f>IF(MOD(AK292,12)=0,BH292*(1-'1 - Input'!$B$23),BH292)</f>
        <v>0</v>
      </c>
      <c r="BL292" s="17">
        <f>IF('1 - Input'!$B$17=1,MIN(AV292,AN292)+BD292,AV292)</f>
        <v>0</v>
      </c>
      <c r="BM292" s="17">
        <f t="shared" si="262"/>
        <v>590482.93849429931</v>
      </c>
      <c r="BN292" s="17">
        <f t="shared" si="263"/>
        <v>101441.90180685223</v>
      </c>
      <c r="BO292" s="17">
        <f t="shared" si="264"/>
        <v>0</v>
      </c>
      <c r="BP292" s="17">
        <f t="shared" si="265"/>
        <v>174289.24056370757</v>
      </c>
      <c r="BQ292" s="17">
        <f t="shared" si="266"/>
        <v>8123.5662772395826</v>
      </c>
      <c r="BR292" s="17">
        <f t="shared" si="267"/>
        <v>232860.36471290819</v>
      </c>
      <c r="BS292" s="15">
        <f t="shared" si="236"/>
        <v>1</v>
      </c>
      <c r="BU292" s="14">
        <v>249</v>
      </c>
      <c r="BV292" s="15">
        <f t="shared" si="237"/>
        <v>21</v>
      </c>
      <c r="BW292" s="16">
        <f>(1+INDEX('1 - Input'!$B$34:$E$63,BV292,'1 - Input'!$B$16))^(1/12)-1</f>
        <v>4.1219243192651689E-3</v>
      </c>
      <c r="BX292" s="17">
        <f>'1 - Input'!$B$7*(1+'1 - Input'!$B$12)^(BV292-1)</f>
        <v>4012.0579691415564</v>
      </c>
      <c r="BY292" s="17">
        <f t="shared" si="268"/>
        <v>0</v>
      </c>
      <c r="BZ292" s="17">
        <f t="shared" si="269"/>
        <v>0</v>
      </c>
      <c r="CA292" s="17">
        <f t="shared" si="238"/>
        <v>0</v>
      </c>
      <c r="CB292" s="17">
        <f>IF(CA292&gt;0,'1 - Input'!$B$8/12*CA292,0)</f>
        <v>0</v>
      </c>
      <c r="CC292" s="17">
        <f t="shared" si="239"/>
        <v>0</v>
      </c>
      <c r="CD292" s="17">
        <f t="shared" si="240"/>
        <v>0</v>
      </c>
      <c r="CE292" s="17">
        <f>'1 - Input'!$B$22*(CB292-CD292)</f>
        <v>0</v>
      </c>
      <c r="CF292" s="17">
        <f t="shared" si="241"/>
        <v>0</v>
      </c>
      <c r="CG292" s="17">
        <f t="shared" si="242"/>
        <v>0</v>
      </c>
      <c r="CH292" s="17">
        <f>IF('1 - Input'!$B$17=1,MAX(0,CF292-BX292),0)</f>
        <v>0</v>
      </c>
      <c r="CI292" s="17">
        <f>IF('1 - Input'!$B$17=1,MAX(0,BX292-CF292),0)</f>
        <v>4012.0579691415564</v>
      </c>
      <c r="CJ292" s="17">
        <f t="shared" si="243"/>
        <v>0</v>
      </c>
      <c r="CK292" s="17">
        <f>IF(AND(CI292&gt;0,CC292&gt;0),CI292/(1-'1 - Input'!$B$22*CJ292),0)</f>
        <v>0</v>
      </c>
      <c r="CL292" s="17">
        <f t="shared" si="244"/>
        <v>0</v>
      </c>
      <c r="CM292" s="17">
        <f>'1 - Input'!$B$22*CJ292*CL292</f>
        <v>0</v>
      </c>
      <c r="CN292" s="17">
        <f t="shared" si="245"/>
        <v>0</v>
      </c>
      <c r="CO292" s="17">
        <f t="shared" si="246"/>
        <v>4012.0579691415564</v>
      </c>
      <c r="CP292" s="17">
        <f t="shared" si="247"/>
        <v>0</v>
      </c>
      <c r="CQ292" s="17">
        <f t="shared" si="248"/>
        <v>0</v>
      </c>
      <c r="CR292" s="17">
        <f t="shared" si="249"/>
        <v>0</v>
      </c>
      <c r="CS292" s="17">
        <f>IF(MOD(BU292,12)=0,CQ292*'1 - Input'!$B$23,0)</f>
        <v>0</v>
      </c>
      <c r="CT292" s="17">
        <f t="shared" si="250"/>
        <v>0</v>
      </c>
      <c r="CU292" s="17">
        <f>IF(MOD(BU292,12)=0,CR292*(1-'1 - Input'!$B$23),CR292)</f>
        <v>0</v>
      </c>
      <c r="CV292" s="17">
        <f>IF('1 - Input'!$B$17=1,MIN(CF292,BX292)+CN292,CF292)</f>
        <v>0</v>
      </c>
      <c r="CW292" s="17">
        <f t="shared" si="270"/>
        <v>686605.50041273201</v>
      </c>
      <c r="CX292" s="17">
        <f t="shared" si="271"/>
        <v>6018.3402768167462</v>
      </c>
      <c r="CY292" s="17">
        <f t="shared" si="272"/>
        <v>66518.776160328038</v>
      </c>
      <c r="CZ292" s="17">
        <f t="shared" si="273"/>
        <v>0</v>
      </c>
      <c r="DA292" s="17">
        <f t="shared" si="274"/>
        <v>10954.114452440983</v>
      </c>
      <c r="DB292" s="17">
        <f t="shared" si="275"/>
        <v>136737.80279447645</v>
      </c>
      <c r="DC292" s="15">
        <f t="shared" si="251"/>
        <v>1</v>
      </c>
    </row>
    <row r="293" spans="1:107">
      <c r="A293" s="14">
        <v>250</v>
      </c>
      <c r="B293" s="15">
        <f t="shared" si="207"/>
        <v>21</v>
      </c>
      <c r="C293" s="16">
        <f>(1+INDEX('1 - Input'!$B$34:$E$63,B293,'1 - Input'!$B$16))^(1/12)-1</f>
        <v>4.1219243192651689E-3</v>
      </c>
      <c r="D293" s="17">
        <f>'1 - Input'!$B$7*(1+'1 - Input'!$B$12)^(B293-1)</f>
        <v>4012.0579691415564</v>
      </c>
      <c r="E293" s="17">
        <f t="shared" si="252"/>
        <v>0</v>
      </c>
      <c r="F293" s="17">
        <f t="shared" si="253"/>
        <v>0</v>
      </c>
      <c r="G293" s="17">
        <f t="shared" si="208"/>
        <v>0</v>
      </c>
      <c r="H293" s="17">
        <f>IF(G293&gt;0,'1 - Input'!$B$8/12*G293,0)</f>
        <v>0</v>
      </c>
      <c r="I293" s="17">
        <f t="shared" si="209"/>
        <v>0</v>
      </c>
      <c r="J293" s="17">
        <f t="shared" si="210"/>
        <v>0</v>
      </c>
      <c r="K293" s="17">
        <f>'1 - Input'!$B$22*(H293-J293)</f>
        <v>0</v>
      </c>
      <c r="L293" s="17">
        <f t="shared" si="211"/>
        <v>0</v>
      </c>
      <c r="M293" s="17">
        <f t="shared" si="212"/>
        <v>0</v>
      </c>
      <c r="N293" s="17">
        <f>IF('1 - Input'!$B$17=1,MAX(0,L293-D293),0)</f>
        <v>0</v>
      </c>
      <c r="O293" s="17">
        <f>IF('1 - Input'!$B$17=1,MAX(0,D293-L293),0)</f>
        <v>4012.0579691415564</v>
      </c>
      <c r="P293" s="17">
        <f t="shared" si="213"/>
        <v>0</v>
      </c>
      <c r="Q293" s="17">
        <f>IF(AND(O293&gt;0,I293&gt;0),O293/(1-'1 - Input'!$B$22*P293),0)</f>
        <v>0</v>
      </c>
      <c r="R293" s="17">
        <f t="shared" si="214"/>
        <v>0</v>
      </c>
      <c r="S293" s="17">
        <f>'1 - Input'!$B$22*P293*R293</f>
        <v>0</v>
      </c>
      <c r="T293" s="17">
        <f t="shared" si="215"/>
        <v>0</v>
      </c>
      <c r="U293" s="17">
        <f t="shared" si="216"/>
        <v>4012.0579691415564</v>
      </c>
      <c r="V293" s="17">
        <f t="shared" si="217"/>
        <v>0</v>
      </c>
      <c r="W293" s="17">
        <f t="shared" si="218"/>
        <v>0</v>
      </c>
      <c r="X293" s="17">
        <f t="shared" si="219"/>
        <v>0</v>
      </c>
      <c r="Y293" s="17">
        <f>IF(MOD(A293,12)=0,W293*'1 - Input'!$B$23,0)</f>
        <v>0</v>
      </c>
      <c r="Z293" s="17">
        <f t="shared" si="220"/>
        <v>0</v>
      </c>
      <c r="AA293" s="17">
        <f>IF(MOD(A293,12)=0,X293*(1-'1 - Input'!$B$23),X293)</f>
        <v>0</v>
      </c>
      <c r="AB293" s="17">
        <f>IF('1 - Input'!$B$17=1,MIN(L293,D293)+T293,L293)</f>
        <v>0</v>
      </c>
      <c r="AC293" s="17">
        <f t="shared" si="254"/>
        <v>590482.93849429931</v>
      </c>
      <c r="AD293" s="17">
        <f t="shared" si="255"/>
        <v>101441.90180685223</v>
      </c>
      <c r="AE293" s="17">
        <f t="shared" si="256"/>
        <v>0</v>
      </c>
      <c r="AF293" s="17">
        <f t="shared" si="257"/>
        <v>174289.24056370757</v>
      </c>
      <c r="AG293" s="17">
        <f t="shared" si="258"/>
        <v>8123.5662772395826</v>
      </c>
      <c r="AH293" s="17">
        <f t="shared" si="259"/>
        <v>236872.42268204974</v>
      </c>
      <c r="AI293" s="15">
        <f t="shared" si="221"/>
        <v>1</v>
      </c>
      <c r="AK293" s="14">
        <v>250</v>
      </c>
      <c r="AL293" s="15">
        <f t="shared" si="222"/>
        <v>21</v>
      </c>
      <c r="AM293" s="16">
        <f>(1+INDEX('1 - Input'!$B$34:$E$63,AL293,'1 - Input'!$B$16))^(1/12)-1</f>
        <v>4.1219243192651689E-3</v>
      </c>
      <c r="AN293" s="17">
        <f>'1 - Input'!$B$7*(1+'1 - Input'!$B$12)^(AL293-1)</f>
        <v>4012.0579691415564</v>
      </c>
      <c r="AO293" s="17">
        <f t="shared" si="260"/>
        <v>0</v>
      </c>
      <c r="AP293" s="17">
        <f t="shared" si="261"/>
        <v>0</v>
      </c>
      <c r="AQ293" s="17">
        <f t="shared" si="223"/>
        <v>0</v>
      </c>
      <c r="AR293" s="17">
        <f>IF(AQ293&gt;0,'1 - Input'!$B$8/12*AQ293,0)</f>
        <v>0</v>
      </c>
      <c r="AS293" s="17">
        <f t="shared" si="224"/>
        <v>0</v>
      </c>
      <c r="AT293" s="17">
        <f t="shared" si="225"/>
        <v>0</v>
      </c>
      <c r="AU293" s="17">
        <f>'1 - Input'!$B$22*(AR293-AT293)</f>
        <v>0</v>
      </c>
      <c r="AV293" s="17">
        <f t="shared" si="226"/>
        <v>0</v>
      </c>
      <c r="AW293" s="17">
        <f t="shared" si="227"/>
        <v>0</v>
      </c>
      <c r="AX293" s="17">
        <f>IF('1 - Input'!$B$17=1,MAX(0,AV293-AN293),0)</f>
        <v>0</v>
      </c>
      <c r="AY293" s="17">
        <f>IF('1 - Input'!$B$17=1,MAX(0,AN293-AV293),0)</f>
        <v>4012.0579691415564</v>
      </c>
      <c r="AZ293" s="17">
        <f t="shared" si="228"/>
        <v>0</v>
      </c>
      <c r="BA293" s="17">
        <f>IF(AND(AY293&gt;0,AS293&gt;0),AY293/(1-'1 - Input'!$B$22*AZ293),0)</f>
        <v>0</v>
      </c>
      <c r="BB293" s="17">
        <f t="shared" si="229"/>
        <v>0</v>
      </c>
      <c r="BC293" s="17">
        <f>'1 - Input'!$B$22*AZ293*BB293</f>
        <v>0</v>
      </c>
      <c r="BD293" s="17">
        <f t="shared" si="230"/>
        <v>0</v>
      </c>
      <c r="BE293" s="17">
        <f t="shared" si="231"/>
        <v>4012.0579691415564</v>
      </c>
      <c r="BF293" s="17">
        <f t="shared" si="232"/>
        <v>0</v>
      </c>
      <c r="BG293" s="17">
        <f t="shared" si="233"/>
        <v>0</v>
      </c>
      <c r="BH293" s="17">
        <f t="shared" si="234"/>
        <v>0</v>
      </c>
      <c r="BI293" s="17">
        <f>IF(MOD(AK293,12)=0,BG293*'1 - Input'!$B$23,0)</f>
        <v>0</v>
      </c>
      <c r="BJ293" s="17">
        <f t="shared" si="235"/>
        <v>0</v>
      </c>
      <c r="BK293" s="17">
        <f>IF(MOD(AK293,12)=0,BH293*(1-'1 - Input'!$B$23),BH293)</f>
        <v>0</v>
      </c>
      <c r="BL293" s="17">
        <f>IF('1 - Input'!$B$17=1,MIN(AV293,AN293)+BD293,AV293)</f>
        <v>0</v>
      </c>
      <c r="BM293" s="17">
        <f t="shared" si="262"/>
        <v>590482.93849429931</v>
      </c>
      <c r="BN293" s="17">
        <f t="shared" si="263"/>
        <v>101441.90180685223</v>
      </c>
      <c r="BO293" s="17">
        <f t="shared" si="264"/>
        <v>0</v>
      </c>
      <c r="BP293" s="17">
        <f t="shared" si="265"/>
        <v>174289.24056370757</v>
      </c>
      <c r="BQ293" s="17">
        <f t="shared" si="266"/>
        <v>8123.5662772395826</v>
      </c>
      <c r="BR293" s="17">
        <f t="shared" si="267"/>
        <v>236872.42268204974</v>
      </c>
      <c r="BS293" s="15">
        <f t="shared" si="236"/>
        <v>1</v>
      </c>
      <c r="BU293" s="14">
        <v>250</v>
      </c>
      <c r="BV293" s="15">
        <f t="shared" si="237"/>
        <v>21</v>
      </c>
      <c r="BW293" s="16">
        <f>(1+INDEX('1 - Input'!$B$34:$E$63,BV293,'1 - Input'!$B$16))^(1/12)-1</f>
        <v>4.1219243192651689E-3</v>
      </c>
      <c r="BX293" s="17">
        <f>'1 - Input'!$B$7*(1+'1 - Input'!$B$12)^(BV293-1)</f>
        <v>4012.0579691415564</v>
      </c>
      <c r="BY293" s="17">
        <f t="shared" si="268"/>
        <v>0</v>
      </c>
      <c r="BZ293" s="17">
        <f t="shared" si="269"/>
        <v>0</v>
      </c>
      <c r="CA293" s="17">
        <f t="shared" si="238"/>
        <v>0</v>
      </c>
      <c r="CB293" s="17">
        <f>IF(CA293&gt;0,'1 - Input'!$B$8/12*CA293,0)</f>
        <v>0</v>
      </c>
      <c r="CC293" s="17">
        <f t="shared" si="239"/>
        <v>0</v>
      </c>
      <c r="CD293" s="17">
        <f t="shared" si="240"/>
        <v>0</v>
      </c>
      <c r="CE293" s="17">
        <f>'1 - Input'!$B$22*(CB293-CD293)</f>
        <v>0</v>
      </c>
      <c r="CF293" s="17">
        <f t="shared" si="241"/>
        <v>0</v>
      </c>
      <c r="CG293" s="17">
        <f t="shared" si="242"/>
        <v>0</v>
      </c>
      <c r="CH293" s="17">
        <f>IF('1 - Input'!$B$17=1,MAX(0,CF293-BX293),0)</f>
        <v>0</v>
      </c>
      <c r="CI293" s="17">
        <f>IF('1 - Input'!$B$17=1,MAX(0,BX293-CF293),0)</f>
        <v>4012.0579691415564</v>
      </c>
      <c r="CJ293" s="17">
        <f t="shared" si="243"/>
        <v>0</v>
      </c>
      <c r="CK293" s="17">
        <f>IF(AND(CI293&gt;0,CC293&gt;0),CI293/(1-'1 - Input'!$B$22*CJ293),0)</f>
        <v>0</v>
      </c>
      <c r="CL293" s="17">
        <f t="shared" si="244"/>
        <v>0</v>
      </c>
      <c r="CM293" s="17">
        <f>'1 - Input'!$B$22*CJ293*CL293</f>
        <v>0</v>
      </c>
      <c r="CN293" s="17">
        <f t="shared" si="245"/>
        <v>0</v>
      </c>
      <c r="CO293" s="17">
        <f t="shared" si="246"/>
        <v>4012.0579691415564</v>
      </c>
      <c r="CP293" s="17">
        <f t="shared" si="247"/>
        <v>0</v>
      </c>
      <c r="CQ293" s="17">
        <f t="shared" si="248"/>
        <v>0</v>
      </c>
      <c r="CR293" s="17">
        <f t="shared" si="249"/>
        <v>0</v>
      </c>
      <c r="CS293" s="17">
        <f>IF(MOD(BU293,12)=0,CQ293*'1 - Input'!$B$23,0)</f>
        <v>0</v>
      </c>
      <c r="CT293" s="17">
        <f t="shared" si="250"/>
        <v>0</v>
      </c>
      <c r="CU293" s="17">
        <f>IF(MOD(BU293,12)=0,CR293*(1-'1 - Input'!$B$23),CR293)</f>
        <v>0</v>
      </c>
      <c r="CV293" s="17">
        <f>IF('1 - Input'!$B$17=1,MIN(CF293,BX293)+CN293,CF293)</f>
        <v>0</v>
      </c>
      <c r="CW293" s="17">
        <f t="shared" si="270"/>
        <v>686605.50041273201</v>
      </c>
      <c r="CX293" s="17">
        <f t="shared" si="271"/>
        <v>6018.3402768167462</v>
      </c>
      <c r="CY293" s="17">
        <f t="shared" si="272"/>
        <v>66518.776160328038</v>
      </c>
      <c r="CZ293" s="17">
        <f t="shared" si="273"/>
        <v>0</v>
      </c>
      <c r="DA293" s="17">
        <f t="shared" si="274"/>
        <v>10954.114452440983</v>
      </c>
      <c r="DB293" s="17">
        <f t="shared" si="275"/>
        <v>140749.86076361799</v>
      </c>
      <c r="DC293" s="15">
        <f t="shared" si="251"/>
        <v>1</v>
      </c>
    </row>
    <row r="294" spans="1:107">
      <c r="A294" s="14">
        <v>251</v>
      </c>
      <c r="B294" s="15">
        <f t="shared" si="207"/>
        <v>21</v>
      </c>
      <c r="C294" s="16">
        <f>(1+INDEX('1 - Input'!$B$34:$E$63,B294,'1 - Input'!$B$16))^(1/12)-1</f>
        <v>4.1219243192651689E-3</v>
      </c>
      <c r="D294" s="17">
        <f>'1 - Input'!$B$7*(1+'1 - Input'!$B$12)^(B294-1)</f>
        <v>4012.0579691415564</v>
      </c>
      <c r="E294" s="17">
        <f t="shared" si="252"/>
        <v>0</v>
      </c>
      <c r="F294" s="17">
        <f t="shared" si="253"/>
        <v>0</v>
      </c>
      <c r="G294" s="17">
        <f t="shared" si="208"/>
        <v>0</v>
      </c>
      <c r="H294" s="17">
        <f>IF(G294&gt;0,'1 - Input'!$B$8/12*G294,0)</f>
        <v>0</v>
      </c>
      <c r="I294" s="17">
        <f t="shared" si="209"/>
        <v>0</v>
      </c>
      <c r="J294" s="17">
        <f t="shared" si="210"/>
        <v>0</v>
      </c>
      <c r="K294" s="17">
        <f>'1 - Input'!$B$22*(H294-J294)</f>
        <v>0</v>
      </c>
      <c r="L294" s="17">
        <f t="shared" si="211"/>
        <v>0</v>
      </c>
      <c r="M294" s="17">
        <f t="shared" si="212"/>
        <v>0</v>
      </c>
      <c r="N294" s="17">
        <f>IF('1 - Input'!$B$17=1,MAX(0,L294-D294),0)</f>
        <v>0</v>
      </c>
      <c r="O294" s="17">
        <f>IF('1 - Input'!$B$17=1,MAX(0,D294-L294),0)</f>
        <v>4012.0579691415564</v>
      </c>
      <c r="P294" s="17">
        <f t="shared" si="213"/>
        <v>0</v>
      </c>
      <c r="Q294" s="17">
        <f>IF(AND(O294&gt;0,I294&gt;0),O294/(1-'1 - Input'!$B$22*P294),0)</f>
        <v>0</v>
      </c>
      <c r="R294" s="17">
        <f t="shared" si="214"/>
        <v>0</v>
      </c>
      <c r="S294" s="17">
        <f>'1 - Input'!$B$22*P294*R294</f>
        <v>0</v>
      </c>
      <c r="T294" s="17">
        <f t="shared" si="215"/>
        <v>0</v>
      </c>
      <c r="U294" s="17">
        <f t="shared" si="216"/>
        <v>4012.0579691415564</v>
      </c>
      <c r="V294" s="17">
        <f t="shared" si="217"/>
        <v>0</v>
      </c>
      <c r="W294" s="17">
        <f t="shared" si="218"/>
        <v>0</v>
      </c>
      <c r="X294" s="17">
        <f t="shared" si="219"/>
        <v>0</v>
      </c>
      <c r="Y294" s="17">
        <f>IF(MOD(A294,12)=0,W294*'1 - Input'!$B$23,0)</f>
        <v>0</v>
      </c>
      <c r="Z294" s="17">
        <f t="shared" si="220"/>
        <v>0</v>
      </c>
      <c r="AA294" s="17">
        <f>IF(MOD(A294,12)=0,X294*(1-'1 - Input'!$B$23),X294)</f>
        <v>0</v>
      </c>
      <c r="AB294" s="17">
        <f>IF('1 - Input'!$B$17=1,MIN(L294,D294)+T294,L294)</f>
        <v>0</v>
      </c>
      <c r="AC294" s="17">
        <f t="shared" si="254"/>
        <v>590482.93849429931</v>
      </c>
      <c r="AD294" s="17">
        <f t="shared" si="255"/>
        <v>101441.90180685223</v>
      </c>
      <c r="AE294" s="17">
        <f t="shared" si="256"/>
        <v>0</v>
      </c>
      <c r="AF294" s="17">
        <f t="shared" si="257"/>
        <v>174289.24056370757</v>
      </c>
      <c r="AG294" s="17">
        <f t="shared" si="258"/>
        <v>8123.5662772395826</v>
      </c>
      <c r="AH294" s="17">
        <f t="shared" si="259"/>
        <v>240884.48065119129</v>
      </c>
      <c r="AI294" s="15">
        <f t="shared" si="221"/>
        <v>1</v>
      </c>
      <c r="AK294" s="14">
        <v>251</v>
      </c>
      <c r="AL294" s="15">
        <f t="shared" si="222"/>
        <v>21</v>
      </c>
      <c r="AM294" s="16">
        <f>(1+INDEX('1 - Input'!$B$34:$E$63,AL294,'1 - Input'!$B$16))^(1/12)-1</f>
        <v>4.1219243192651689E-3</v>
      </c>
      <c r="AN294" s="17">
        <f>'1 - Input'!$B$7*(1+'1 - Input'!$B$12)^(AL294-1)</f>
        <v>4012.0579691415564</v>
      </c>
      <c r="AO294" s="17">
        <f t="shared" si="260"/>
        <v>0</v>
      </c>
      <c r="AP294" s="17">
        <f t="shared" si="261"/>
        <v>0</v>
      </c>
      <c r="AQ294" s="17">
        <f t="shared" si="223"/>
        <v>0</v>
      </c>
      <c r="AR294" s="17">
        <f>IF(AQ294&gt;0,'1 - Input'!$B$8/12*AQ294,0)</f>
        <v>0</v>
      </c>
      <c r="AS294" s="17">
        <f t="shared" si="224"/>
        <v>0</v>
      </c>
      <c r="AT294" s="17">
        <f t="shared" si="225"/>
        <v>0</v>
      </c>
      <c r="AU294" s="17">
        <f>'1 - Input'!$B$22*(AR294-AT294)</f>
        <v>0</v>
      </c>
      <c r="AV294" s="17">
        <f t="shared" si="226"/>
        <v>0</v>
      </c>
      <c r="AW294" s="17">
        <f t="shared" si="227"/>
        <v>0</v>
      </c>
      <c r="AX294" s="17">
        <f>IF('1 - Input'!$B$17=1,MAX(0,AV294-AN294),0)</f>
        <v>0</v>
      </c>
      <c r="AY294" s="17">
        <f>IF('1 - Input'!$B$17=1,MAX(0,AN294-AV294),0)</f>
        <v>4012.0579691415564</v>
      </c>
      <c r="AZ294" s="17">
        <f t="shared" si="228"/>
        <v>0</v>
      </c>
      <c r="BA294" s="17">
        <f>IF(AND(AY294&gt;0,AS294&gt;0),AY294/(1-'1 - Input'!$B$22*AZ294),0)</f>
        <v>0</v>
      </c>
      <c r="BB294" s="17">
        <f t="shared" si="229"/>
        <v>0</v>
      </c>
      <c r="BC294" s="17">
        <f>'1 - Input'!$B$22*AZ294*BB294</f>
        <v>0</v>
      </c>
      <c r="BD294" s="17">
        <f t="shared" si="230"/>
        <v>0</v>
      </c>
      <c r="BE294" s="17">
        <f t="shared" si="231"/>
        <v>4012.0579691415564</v>
      </c>
      <c r="BF294" s="17">
        <f t="shared" si="232"/>
        <v>0</v>
      </c>
      <c r="BG294" s="17">
        <f t="shared" si="233"/>
        <v>0</v>
      </c>
      <c r="BH294" s="17">
        <f t="shared" si="234"/>
        <v>0</v>
      </c>
      <c r="BI294" s="17">
        <f>IF(MOD(AK294,12)=0,BG294*'1 - Input'!$B$23,0)</f>
        <v>0</v>
      </c>
      <c r="BJ294" s="17">
        <f t="shared" si="235"/>
        <v>0</v>
      </c>
      <c r="BK294" s="17">
        <f>IF(MOD(AK294,12)=0,BH294*(1-'1 - Input'!$B$23),BH294)</f>
        <v>0</v>
      </c>
      <c r="BL294" s="17">
        <f>IF('1 - Input'!$B$17=1,MIN(AV294,AN294)+BD294,AV294)</f>
        <v>0</v>
      </c>
      <c r="BM294" s="17">
        <f t="shared" si="262"/>
        <v>590482.93849429931</v>
      </c>
      <c r="BN294" s="17">
        <f t="shared" si="263"/>
        <v>101441.90180685223</v>
      </c>
      <c r="BO294" s="17">
        <f t="shared" si="264"/>
        <v>0</v>
      </c>
      <c r="BP294" s="17">
        <f t="shared" si="265"/>
        <v>174289.24056370757</v>
      </c>
      <c r="BQ294" s="17">
        <f t="shared" si="266"/>
        <v>8123.5662772395826</v>
      </c>
      <c r="BR294" s="17">
        <f t="shared" si="267"/>
        <v>240884.48065119129</v>
      </c>
      <c r="BS294" s="15">
        <f t="shared" si="236"/>
        <v>1</v>
      </c>
      <c r="BU294" s="14">
        <v>251</v>
      </c>
      <c r="BV294" s="15">
        <f t="shared" si="237"/>
        <v>21</v>
      </c>
      <c r="BW294" s="16">
        <f>(1+INDEX('1 - Input'!$B$34:$E$63,BV294,'1 - Input'!$B$16))^(1/12)-1</f>
        <v>4.1219243192651689E-3</v>
      </c>
      <c r="BX294" s="17">
        <f>'1 - Input'!$B$7*(1+'1 - Input'!$B$12)^(BV294-1)</f>
        <v>4012.0579691415564</v>
      </c>
      <c r="BY294" s="17">
        <f t="shared" si="268"/>
        <v>0</v>
      </c>
      <c r="BZ294" s="17">
        <f t="shared" si="269"/>
        <v>0</v>
      </c>
      <c r="CA294" s="17">
        <f t="shared" si="238"/>
        <v>0</v>
      </c>
      <c r="CB294" s="17">
        <f>IF(CA294&gt;0,'1 - Input'!$B$8/12*CA294,0)</f>
        <v>0</v>
      </c>
      <c r="CC294" s="17">
        <f t="shared" si="239"/>
        <v>0</v>
      </c>
      <c r="CD294" s="17">
        <f t="shared" si="240"/>
        <v>0</v>
      </c>
      <c r="CE294" s="17">
        <f>'1 - Input'!$B$22*(CB294-CD294)</f>
        <v>0</v>
      </c>
      <c r="CF294" s="17">
        <f t="shared" si="241"/>
        <v>0</v>
      </c>
      <c r="CG294" s="17">
        <f t="shared" si="242"/>
        <v>0</v>
      </c>
      <c r="CH294" s="17">
        <f>IF('1 - Input'!$B$17=1,MAX(0,CF294-BX294),0)</f>
        <v>0</v>
      </c>
      <c r="CI294" s="17">
        <f>IF('1 - Input'!$B$17=1,MAX(0,BX294-CF294),0)</f>
        <v>4012.0579691415564</v>
      </c>
      <c r="CJ294" s="17">
        <f t="shared" si="243"/>
        <v>0</v>
      </c>
      <c r="CK294" s="17">
        <f>IF(AND(CI294&gt;0,CC294&gt;0),CI294/(1-'1 - Input'!$B$22*CJ294),0)</f>
        <v>0</v>
      </c>
      <c r="CL294" s="17">
        <f t="shared" si="244"/>
        <v>0</v>
      </c>
      <c r="CM294" s="17">
        <f>'1 - Input'!$B$22*CJ294*CL294</f>
        <v>0</v>
      </c>
      <c r="CN294" s="17">
        <f t="shared" si="245"/>
        <v>0</v>
      </c>
      <c r="CO294" s="17">
        <f t="shared" si="246"/>
        <v>4012.0579691415564</v>
      </c>
      <c r="CP294" s="17">
        <f t="shared" si="247"/>
        <v>0</v>
      </c>
      <c r="CQ294" s="17">
        <f t="shared" si="248"/>
        <v>0</v>
      </c>
      <c r="CR294" s="17">
        <f t="shared" si="249"/>
        <v>0</v>
      </c>
      <c r="CS294" s="17">
        <f>IF(MOD(BU294,12)=0,CQ294*'1 - Input'!$B$23,0)</f>
        <v>0</v>
      </c>
      <c r="CT294" s="17">
        <f t="shared" si="250"/>
        <v>0</v>
      </c>
      <c r="CU294" s="17">
        <f>IF(MOD(BU294,12)=0,CR294*(1-'1 - Input'!$B$23),CR294)</f>
        <v>0</v>
      </c>
      <c r="CV294" s="17">
        <f>IF('1 - Input'!$B$17=1,MIN(CF294,BX294)+CN294,CF294)</f>
        <v>0</v>
      </c>
      <c r="CW294" s="17">
        <f t="shared" si="270"/>
        <v>686605.50041273201</v>
      </c>
      <c r="CX294" s="17">
        <f t="shared" si="271"/>
        <v>6018.3402768167462</v>
      </c>
      <c r="CY294" s="17">
        <f t="shared" si="272"/>
        <v>66518.776160328038</v>
      </c>
      <c r="CZ294" s="17">
        <f t="shared" si="273"/>
        <v>0</v>
      </c>
      <c r="DA294" s="17">
        <f t="shared" si="274"/>
        <v>10954.114452440983</v>
      </c>
      <c r="DB294" s="17">
        <f t="shared" si="275"/>
        <v>144761.91873275954</v>
      </c>
      <c r="DC294" s="15">
        <f t="shared" si="251"/>
        <v>1</v>
      </c>
    </row>
    <row r="295" spans="1:107">
      <c r="A295" s="14">
        <v>252</v>
      </c>
      <c r="B295" s="15">
        <f t="shared" si="207"/>
        <v>21</v>
      </c>
      <c r="C295" s="16">
        <f>(1+INDEX('1 - Input'!$B$34:$E$63,B295,'1 - Input'!$B$16))^(1/12)-1</f>
        <v>4.1219243192651689E-3</v>
      </c>
      <c r="D295" s="17">
        <f>'1 - Input'!$B$7*(1+'1 - Input'!$B$12)^(B295-1)</f>
        <v>4012.0579691415564</v>
      </c>
      <c r="E295" s="17">
        <f t="shared" si="252"/>
        <v>0</v>
      </c>
      <c r="F295" s="17">
        <f t="shared" si="253"/>
        <v>0</v>
      </c>
      <c r="G295" s="17">
        <f t="shared" si="208"/>
        <v>0</v>
      </c>
      <c r="H295" s="17">
        <f>IF(G295&gt;0,'1 - Input'!$B$8/12*G295,0)</f>
        <v>0</v>
      </c>
      <c r="I295" s="17">
        <f t="shared" si="209"/>
        <v>0</v>
      </c>
      <c r="J295" s="17">
        <f t="shared" si="210"/>
        <v>0</v>
      </c>
      <c r="K295" s="17">
        <f>'1 - Input'!$B$22*(H295-J295)</f>
        <v>0</v>
      </c>
      <c r="L295" s="17">
        <f t="shared" si="211"/>
        <v>0</v>
      </c>
      <c r="M295" s="17">
        <f t="shared" si="212"/>
        <v>0</v>
      </c>
      <c r="N295" s="17">
        <f>IF('1 - Input'!$B$17=1,MAX(0,L295-D295),0)</f>
        <v>0</v>
      </c>
      <c r="O295" s="17">
        <f>IF('1 - Input'!$B$17=1,MAX(0,D295-L295),0)</f>
        <v>4012.0579691415564</v>
      </c>
      <c r="P295" s="17">
        <f t="shared" si="213"/>
        <v>0</v>
      </c>
      <c r="Q295" s="17">
        <f>IF(AND(O295&gt;0,I295&gt;0),O295/(1-'1 - Input'!$B$22*P295),0)</f>
        <v>0</v>
      </c>
      <c r="R295" s="17">
        <f t="shared" si="214"/>
        <v>0</v>
      </c>
      <c r="S295" s="17">
        <f>'1 - Input'!$B$22*P295*R295</f>
        <v>0</v>
      </c>
      <c r="T295" s="17">
        <f t="shared" si="215"/>
        <v>0</v>
      </c>
      <c r="U295" s="17">
        <f t="shared" si="216"/>
        <v>4012.0579691415564</v>
      </c>
      <c r="V295" s="17">
        <f t="shared" si="217"/>
        <v>0</v>
      </c>
      <c r="W295" s="17">
        <f t="shared" si="218"/>
        <v>0</v>
      </c>
      <c r="X295" s="17">
        <f t="shared" si="219"/>
        <v>0</v>
      </c>
      <c r="Y295" s="17">
        <f>IF(MOD(A295,12)=0,W295*'1 - Input'!$B$23,0)</f>
        <v>0</v>
      </c>
      <c r="Z295" s="17">
        <f t="shared" si="220"/>
        <v>0</v>
      </c>
      <c r="AA295" s="17">
        <f>IF(MOD(A295,12)=0,X295*(1-'1 - Input'!$B$23),X295)</f>
        <v>0</v>
      </c>
      <c r="AB295" s="17">
        <f>IF('1 - Input'!$B$17=1,MIN(L295,D295)+T295,L295)</f>
        <v>0</v>
      </c>
      <c r="AC295" s="17">
        <f t="shared" si="254"/>
        <v>590482.93849429931</v>
      </c>
      <c r="AD295" s="17">
        <f t="shared" si="255"/>
        <v>101441.90180685223</v>
      </c>
      <c r="AE295" s="17">
        <f t="shared" si="256"/>
        <v>0</v>
      </c>
      <c r="AF295" s="17">
        <f t="shared" si="257"/>
        <v>174289.24056370757</v>
      </c>
      <c r="AG295" s="17">
        <f t="shared" si="258"/>
        <v>8123.5662772395826</v>
      </c>
      <c r="AH295" s="17">
        <f t="shared" si="259"/>
        <v>244896.53862033284</v>
      </c>
      <c r="AI295" s="15">
        <f t="shared" si="221"/>
        <v>1</v>
      </c>
      <c r="AK295" s="14">
        <v>252</v>
      </c>
      <c r="AL295" s="15">
        <f t="shared" si="222"/>
        <v>21</v>
      </c>
      <c r="AM295" s="16">
        <f>(1+INDEX('1 - Input'!$B$34:$E$63,AL295,'1 - Input'!$B$16))^(1/12)-1</f>
        <v>4.1219243192651689E-3</v>
      </c>
      <c r="AN295" s="17">
        <f>'1 - Input'!$B$7*(1+'1 - Input'!$B$12)^(AL295-1)</f>
        <v>4012.0579691415564</v>
      </c>
      <c r="AO295" s="17">
        <f t="shared" si="260"/>
        <v>0</v>
      </c>
      <c r="AP295" s="17">
        <f t="shared" si="261"/>
        <v>0</v>
      </c>
      <c r="AQ295" s="17">
        <f t="shared" si="223"/>
        <v>0</v>
      </c>
      <c r="AR295" s="17">
        <f>IF(AQ295&gt;0,'1 - Input'!$B$8/12*AQ295,0)</f>
        <v>0</v>
      </c>
      <c r="AS295" s="17">
        <f t="shared" si="224"/>
        <v>0</v>
      </c>
      <c r="AT295" s="17">
        <f t="shared" si="225"/>
        <v>0</v>
      </c>
      <c r="AU295" s="17">
        <f>'1 - Input'!$B$22*(AR295-AT295)</f>
        <v>0</v>
      </c>
      <c r="AV295" s="17">
        <f t="shared" si="226"/>
        <v>0</v>
      </c>
      <c r="AW295" s="17">
        <f t="shared" si="227"/>
        <v>0</v>
      </c>
      <c r="AX295" s="17">
        <f>IF('1 - Input'!$B$17=1,MAX(0,AV295-AN295),0)</f>
        <v>0</v>
      </c>
      <c r="AY295" s="17">
        <f>IF('1 - Input'!$B$17=1,MAX(0,AN295-AV295),0)</f>
        <v>4012.0579691415564</v>
      </c>
      <c r="AZ295" s="17">
        <f t="shared" si="228"/>
        <v>0</v>
      </c>
      <c r="BA295" s="17">
        <f>IF(AND(AY295&gt;0,AS295&gt;0),AY295/(1-'1 - Input'!$B$22*AZ295),0)</f>
        <v>0</v>
      </c>
      <c r="BB295" s="17">
        <f t="shared" si="229"/>
        <v>0</v>
      </c>
      <c r="BC295" s="17">
        <f>'1 - Input'!$B$22*AZ295*BB295</f>
        <v>0</v>
      </c>
      <c r="BD295" s="17">
        <f t="shared" si="230"/>
        <v>0</v>
      </c>
      <c r="BE295" s="17">
        <f t="shared" si="231"/>
        <v>4012.0579691415564</v>
      </c>
      <c r="BF295" s="17">
        <f t="shared" si="232"/>
        <v>0</v>
      </c>
      <c r="BG295" s="17">
        <f t="shared" si="233"/>
        <v>0</v>
      </c>
      <c r="BH295" s="17">
        <f t="shared" si="234"/>
        <v>0</v>
      </c>
      <c r="BI295" s="17">
        <f>IF(MOD(AK295,12)=0,BG295*'1 - Input'!$B$23,0)</f>
        <v>0</v>
      </c>
      <c r="BJ295" s="17">
        <f t="shared" si="235"/>
        <v>0</v>
      </c>
      <c r="BK295" s="17">
        <f>IF(MOD(AK295,12)=0,BH295*(1-'1 - Input'!$B$23),BH295)</f>
        <v>0</v>
      </c>
      <c r="BL295" s="17">
        <f>IF('1 - Input'!$B$17=1,MIN(AV295,AN295)+BD295,AV295)</f>
        <v>0</v>
      </c>
      <c r="BM295" s="17">
        <f t="shared" si="262"/>
        <v>590482.93849429931</v>
      </c>
      <c r="BN295" s="17">
        <f t="shared" si="263"/>
        <v>101441.90180685223</v>
      </c>
      <c r="BO295" s="17">
        <f t="shared" si="264"/>
        <v>0</v>
      </c>
      <c r="BP295" s="17">
        <f t="shared" si="265"/>
        <v>174289.24056370757</v>
      </c>
      <c r="BQ295" s="17">
        <f t="shared" si="266"/>
        <v>8123.5662772395826</v>
      </c>
      <c r="BR295" s="17">
        <f t="shared" si="267"/>
        <v>244896.53862033284</v>
      </c>
      <c r="BS295" s="15">
        <f t="shared" si="236"/>
        <v>1</v>
      </c>
      <c r="BU295" s="14">
        <v>252</v>
      </c>
      <c r="BV295" s="15">
        <f t="shared" si="237"/>
        <v>21</v>
      </c>
      <c r="BW295" s="16">
        <f>(1+INDEX('1 - Input'!$B$34:$E$63,BV295,'1 - Input'!$B$16))^(1/12)-1</f>
        <v>4.1219243192651689E-3</v>
      </c>
      <c r="BX295" s="17">
        <f>'1 - Input'!$B$7*(1+'1 - Input'!$B$12)^(BV295-1)</f>
        <v>4012.0579691415564</v>
      </c>
      <c r="BY295" s="17">
        <f t="shared" si="268"/>
        <v>0</v>
      </c>
      <c r="BZ295" s="17">
        <f t="shared" si="269"/>
        <v>0</v>
      </c>
      <c r="CA295" s="17">
        <f t="shared" si="238"/>
        <v>0</v>
      </c>
      <c r="CB295" s="17">
        <f>IF(CA295&gt;0,'1 - Input'!$B$8/12*CA295,0)</f>
        <v>0</v>
      </c>
      <c r="CC295" s="17">
        <f t="shared" si="239"/>
        <v>0</v>
      </c>
      <c r="CD295" s="17">
        <f t="shared" si="240"/>
        <v>0</v>
      </c>
      <c r="CE295" s="17">
        <f>'1 - Input'!$B$22*(CB295-CD295)</f>
        <v>0</v>
      </c>
      <c r="CF295" s="17">
        <f t="shared" si="241"/>
        <v>0</v>
      </c>
      <c r="CG295" s="17">
        <f t="shared" si="242"/>
        <v>0</v>
      </c>
      <c r="CH295" s="17">
        <f>IF('1 - Input'!$B$17=1,MAX(0,CF295-BX295),0)</f>
        <v>0</v>
      </c>
      <c r="CI295" s="17">
        <f>IF('1 - Input'!$B$17=1,MAX(0,BX295-CF295),0)</f>
        <v>4012.0579691415564</v>
      </c>
      <c r="CJ295" s="17">
        <f t="shared" si="243"/>
        <v>0</v>
      </c>
      <c r="CK295" s="17">
        <f>IF(AND(CI295&gt;0,CC295&gt;0),CI295/(1-'1 - Input'!$B$22*CJ295),0)</f>
        <v>0</v>
      </c>
      <c r="CL295" s="17">
        <f t="shared" si="244"/>
        <v>0</v>
      </c>
      <c r="CM295" s="17">
        <f>'1 - Input'!$B$22*CJ295*CL295</f>
        <v>0</v>
      </c>
      <c r="CN295" s="17">
        <f t="shared" si="245"/>
        <v>0</v>
      </c>
      <c r="CO295" s="17">
        <f t="shared" si="246"/>
        <v>4012.0579691415564</v>
      </c>
      <c r="CP295" s="17">
        <f t="shared" si="247"/>
        <v>0</v>
      </c>
      <c r="CQ295" s="17">
        <f t="shared" si="248"/>
        <v>0</v>
      </c>
      <c r="CR295" s="17">
        <f t="shared" si="249"/>
        <v>0</v>
      </c>
      <c r="CS295" s="17">
        <f>IF(MOD(BU295,12)=0,CQ295*'1 - Input'!$B$23,0)</f>
        <v>0</v>
      </c>
      <c r="CT295" s="17">
        <f t="shared" si="250"/>
        <v>0</v>
      </c>
      <c r="CU295" s="17">
        <f>IF(MOD(BU295,12)=0,CR295*(1-'1 - Input'!$B$23),CR295)</f>
        <v>0</v>
      </c>
      <c r="CV295" s="17">
        <f>IF('1 - Input'!$B$17=1,MIN(CF295,BX295)+CN295,CF295)</f>
        <v>0</v>
      </c>
      <c r="CW295" s="17">
        <f t="shared" si="270"/>
        <v>686605.50041273201</v>
      </c>
      <c r="CX295" s="17">
        <f t="shared" si="271"/>
        <v>6018.3402768167462</v>
      </c>
      <c r="CY295" s="17">
        <f t="shared" si="272"/>
        <v>66518.776160328038</v>
      </c>
      <c r="CZ295" s="17">
        <f t="shared" si="273"/>
        <v>0</v>
      </c>
      <c r="DA295" s="17">
        <f t="shared" si="274"/>
        <v>10954.114452440983</v>
      </c>
      <c r="DB295" s="17">
        <f t="shared" si="275"/>
        <v>148773.97670190109</v>
      </c>
      <c r="DC295" s="15">
        <f t="shared" si="251"/>
        <v>1</v>
      </c>
    </row>
    <row r="296" spans="1:107">
      <c r="A296" s="14">
        <v>253</v>
      </c>
      <c r="B296" s="15">
        <f t="shared" si="207"/>
        <v>22</v>
      </c>
      <c r="C296" s="16">
        <f>(1+INDEX('1 - Input'!$B$34:$E$63,B296,'1 - Input'!$B$16))^(1/12)-1</f>
        <v>4.1219243192651689E-3</v>
      </c>
      <c r="D296" s="17">
        <f>'1 - Input'!$B$7*(1+'1 - Input'!$B$12)^(B296-1)</f>
        <v>4092.2991285243875</v>
      </c>
      <c r="E296" s="17">
        <f t="shared" si="252"/>
        <v>0</v>
      </c>
      <c r="F296" s="17">
        <f t="shared" si="253"/>
        <v>0</v>
      </c>
      <c r="G296" s="17">
        <f t="shared" si="208"/>
        <v>0</v>
      </c>
      <c r="H296" s="17">
        <f>IF(G296&gt;0,'1 - Input'!$B$8/12*G296,0)</f>
        <v>0</v>
      </c>
      <c r="I296" s="17">
        <f t="shared" si="209"/>
        <v>0</v>
      </c>
      <c r="J296" s="17">
        <f t="shared" si="210"/>
        <v>0</v>
      </c>
      <c r="K296" s="17">
        <f>'1 - Input'!$B$22*(H296-J296)</f>
        <v>0</v>
      </c>
      <c r="L296" s="17">
        <f t="shared" si="211"/>
        <v>0</v>
      </c>
      <c r="M296" s="17">
        <f t="shared" si="212"/>
        <v>0</v>
      </c>
      <c r="N296" s="17">
        <f>IF('1 - Input'!$B$17=1,MAX(0,L296-D296),0)</f>
        <v>0</v>
      </c>
      <c r="O296" s="17">
        <f>IF('1 - Input'!$B$17=1,MAX(0,D296-L296),0)</f>
        <v>4092.2991285243875</v>
      </c>
      <c r="P296" s="17">
        <f t="shared" si="213"/>
        <v>0</v>
      </c>
      <c r="Q296" s="17">
        <f>IF(AND(O296&gt;0,I296&gt;0),O296/(1-'1 - Input'!$B$22*P296),0)</f>
        <v>0</v>
      </c>
      <c r="R296" s="17">
        <f t="shared" si="214"/>
        <v>0</v>
      </c>
      <c r="S296" s="17">
        <f>'1 - Input'!$B$22*P296*R296</f>
        <v>0</v>
      </c>
      <c r="T296" s="17">
        <f t="shared" si="215"/>
        <v>0</v>
      </c>
      <c r="U296" s="17">
        <f t="shared" si="216"/>
        <v>4092.2991285243875</v>
      </c>
      <c r="V296" s="17">
        <f t="shared" si="217"/>
        <v>0</v>
      </c>
      <c r="W296" s="17">
        <f t="shared" si="218"/>
        <v>0</v>
      </c>
      <c r="X296" s="17">
        <f t="shared" si="219"/>
        <v>0</v>
      </c>
      <c r="Y296" s="17">
        <f>IF(MOD(A296,12)=0,W296*'1 - Input'!$B$23,0)</f>
        <v>0</v>
      </c>
      <c r="Z296" s="17">
        <f t="shared" si="220"/>
        <v>0</v>
      </c>
      <c r="AA296" s="17">
        <f>IF(MOD(A296,12)=0,X296*(1-'1 - Input'!$B$23),X296)</f>
        <v>0</v>
      </c>
      <c r="AB296" s="17">
        <f>IF('1 - Input'!$B$17=1,MIN(L296,D296)+T296,L296)</f>
        <v>0</v>
      </c>
      <c r="AC296" s="17">
        <f t="shared" si="254"/>
        <v>590482.93849429931</v>
      </c>
      <c r="AD296" s="17">
        <f t="shared" si="255"/>
        <v>101441.90180685223</v>
      </c>
      <c r="AE296" s="17">
        <f t="shared" si="256"/>
        <v>0</v>
      </c>
      <c r="AF296" s="17">
        <f t="shared" si="257"/>
        <v>174289.24056370757</v>
      </c>
      <c r="AG296" s="17">
        <f t="shared" si="258"/>
        <v>8123.5662772395826</v>
      </c>
      <c r="AH296" s="17">
        <f t="shared" si="259"/>
        <v>248988.83774885722</v>
      </c>
      <c r="AI296" s="15">
        <f t="shared" si="221"/>
        <v>1</v>
      </c>
      <c r="AK296" s="14">
        <v>253</v>
      </c>
      <c r="AL296" s="15">
        <f t="shared" si="222"/>
        <v>22</v>
      </c>
      <c r="AM296" s="16">
        <f>(1+INDEX('1 - Input'!$B$34:$E$63,AL296,'1 - Input'!$B$16))^(1/12)-1</f>
        <v>4.1219243192651689E-3</v>
      </c>
      <c r="AN296" s="17">
        <f>'1 - Input'!$B$7*(1+'1 - Input'!$B$12)^(AL296-1)</f>
        <v>4092.2991285243875</v>
      </c>
      <c r="AO296" s="17">
        <f t="shared" si="260"/>
        <v>0</v>
      </c>
      <c r="AP296" s="17">
        <f t="shared" si="261"/>
        <v>0</v>
      </c>
      <c r="AQ296" s="17">
        <f t="shared" si="223"/>
        <v>0</v>
      </c>
      <c r="AR296" s="17">
        <f>IF(AQ296&gt;0,'1 - Input'!$B$8/12*AQ296,0)</f>
        <v>0</v>
      </c>
      <c r="AS296" s="17">
        <f t="shared" si="224"/>
        <v>0</v>
      </c>
      <c r="AT296" s="17">
        <f t="shared" si="225"/>
        <v>0</v>
      </c>
      <c r="AU296" s="17">
        <f>'1 - Input'!$B$22*(AR296-AT296)</f>
        <v>0</v>
      </c>
      <c r="AV296" s="17">
        <f t="shared" si="226"/>
        <v>0</v>
      </c>
      <c r="AW296" s="17">
        <f t="shared" si="227"/>
        <v>0</v>
      </c>
      <c r="AX296" s="17">
        <f>IF('1 - Input'!$B$17=1,MAX(0,AV296-AN296),0)</f>
        <v>0</v>
      </c>
      <c r="AY296" s="17">
        <f>IF('1 - Input'!$B$17=1,MAX(0,AN296-AV296),0)</f>
        <v>4092.2991285243875</v>
      </c>
      <c r="AZ296" s="17">
        <f t="shared" si="228"/>
        <v>0</v>
      </c>
      <c r="BA296" s="17">
        <f>IF(AND(AY296&gt;0,AS296&gt;0),AY296/(1-'1 - Input'!$B$22*AZ296),0)</f>
        <v>0</v>
      </c>
      <c r="BB296" s="17">
        <f t="shared" si="229"/>
        <v>0</v>
      </c>
      <c r="BC296" s="17">
        <f>'1 - Input'!$B$22*AZ296*BB296</f>
        <v>0</v>
      </c>
      <c r="BD296" s="17">
        <f t="shared" si="230"/>
        <v>0</v>
      </c>
      <c r="BE296" s="17">
        <f t="shared" si="231"/>
        <v>4092.2991285243875</v>
      </c>
      <c r="BF296" s="17">
        <f t="shared" si="232"/>
        <v>0</v>
      </c>
      <c r="BG296" s="17">
        <f t="shared" si="233"/>
        <v>0</v>
      </c>
      <c r="BH296" s="17">
        <f t="shared" si="234"/>
        <v>0</v>
      </c>
      <c r="BI296" s="17">
        <f>IF(MOD(AK296,12)=0,BG296*'1 - Input'!$B$23,0)</f>
        <v>0</v>
      </c>
      <c r="BJ296" s="17">
        <f t="shared" si="235"/>
        <v>0</v>
      </c>
      <c r="BK296" s="17">
        <f>IF(MOD(AK296,12)=0,BH296*(1-'1 - Input'!$B$23),BH296)</f>
        <v>0</v>
      </c>
      <c r="BL296" s="17">
        <f>IF('1 - Input'!$B$17=1,MIN(AV296,AN296)+BD296,AV296)</f>
        <v>0</v>
      </c>
      <c r="BM296" s="17">
        <f t="shared" si="262"/>
        <v>590482.93849429931</v>
      </c>
      <c r="BN296" s="17">
        <f t="shared" si="263"/>
        <v>101441.90180685223</v>
      </c>
      <c r="BO296" s="17">
        <f t="shared" si="264"/>
        <v>0</v>
      </c>
      <c r="BP296" s="17">
        <f t="shared" si="265"/>
        <v>174289.24056370757</v>
      </c>
      <c r="BQ296" s="17">
        <f t="shared" si="266"/>
        <v>8123.5662772395826</v>
      </c>
      <c r="BR296" s="17">
        <f t="shared" si="267"/>
        <v>248988.83774885722</v>
      </c>
      <c r="BS296" s="15">
        <f t="shared" si="236"/>
        <v>1</v>
      </c>
      <c r="BU296" s="14">
        <v>253</v>
      </c>
      <c r="BV296" s="15">
        <f t="shared" si="237"/>
        <v>22</v>
      </c>
      <c r="BW296" s="16">
        <f>(1+INDEX('1 - Input'!$B$34:$E$63,BV296,'1 - Input'!$B$16))^(1/12)-1</f>
        <v>4.1219243192651689E-3</v>
      </c>
      <c r="BX296" s="17">
        <f>'1 - Input'!$B$7*(1+'1 - Input'!$B$12)^(BV296-1)</f>
        <v>4092.2991285243875</v>
      </c>
      <c r="BY296" s="17">
        <f t="shared" si="268"/>
        <v>0</v>
      </c>
      <c r="BZ296" s="17">
        <f t="shared" si="269"/>
        <v>0</v>
      </c>
      <c r="CA296" s="17">
        <f t="shared" si="238"/>
        <v>0</v>
      </c>
      <c r="CB296" s="17">
        <f>IF(CA296&gt;0,'1 - Input'!$B$8/12*CA296,0)</f>
        <v>0</v>
      </c>
      <c r="CC296" s="17">
        <f t="shared" si="239"/>
        <v>0</v>
      </c>
      <c r="CD296" s="17">
        <f t="shared" si="240"/>
        <v>0</v>
      </c>
      <c r="CE296" s="17">
        <f>'1 - Input'!$B$22*(CB296-CD296)</f>
        <v>0</v>
      </c>
      <c r="CF296" s="17">
        <f t="shared" si="241"/>
        <v>0</v>
      </c>
      <c r="CG296" s="17">
        <f t="shared" si="242"/>
        <v>0</v>
      </c>
      <c r="CH296" s="17">
        <f>IF('1 - Input'!$B$17=1,MAX(0,CF296-BX296),0)</f>
        <v>0</v>
      </c>
      <c r="CI296" s="17">
        <f>IF('1 - Input'!$B$17=1,MAX(0,BX296-CF296),0)</f>
        <v>4092.2991285243875</v>
      </c>
      <c r="CJ296" s="17">
        <f t="shared" si="243"/>
        <v>0</v>
      </c>
      <c r="CK296" s="17">
        <f>IF(AND(CI296&gt;0,CC296&gt;0),CI296/(1-'1 - Input'!$B$22*CJ296),0)</f>
        <v>0</v>
      </c>
      <c r="CL296" s="17">
        <f t="shared" si="244"/>
        <v>0</v>
      </c>
      <c r="CM296" s="17">
        <f>'1 - Input'!$B$22*CJ296*CL296</f>
        <v>0</v>
      </c>
      <c r="CN296" s="17">
        <f t="shared" si="245"/>
        <v>0</v>
      </c>
      <c r="CO296" s="17">
        <f t="shared" si="246"/>
        <v>4092.2991285243875</v>
      </c>
      <c r="CP296" s="17">
        <f t="shared" si="247"/>
        <v>0</v>
      </c>
      <c r="CQ296" s="17">
        <f t="shared" si="248"/>
        <v>0</v>
      </c>
      <c r="CR296" s="17">
        <f t="shared" si="249"/>
        <v>0</v>
      </c>
      <c r="CS296" s="17">
        <f>IF(MOD(BU296,12)=0,CQ296*'1 - Input'!$B$23,0)</f>
        <v>0</v>
      </c>
      <c r="CT296" s="17">
        <f t="shared" si="250"/>
        <v>0</v>
      </c>
      <c r="CU296" s="17">
        <f>IF(MOD(BU296,12)=0,CR296*(1-'1 - Input'!$B$23),CR296)</f>
        <v>0</v>
      </c>
      <c r="CV296" s="17">
        <f>IF('1 - Input'!$B$17=1,MIN(CF296,BX296)+CN296,CF296)</f>
        <v>0</v>
      </c>
      <c r="CW296" s="17">
        <f t="shared" si="270"/>
        <v>686605.50041273201</v>
      </c>
      <c r="CX296" s="17">
        <f t="shared" si="271"/>
        <v>6018.3402768167462</v>
      </c>
      <c r="CY296" s="17">
        <f t="shared" si="272"/>
        <v>66518.776160328038</v>
      </c>
      <c r="CZ296" s="17">
        <f t="shared" si="273"/>
        <v>0</v>
      </c>
      <c r="DA296" s="17">
        <f t="shared" si="274"/>
        <v>10954.114452440983</v>
      </c>
      <c r="DB296" s="17">
        <f t="shared" si="275"/>
        <v>152866.27583042547</v>
      </c>
      <c r="DC296" s="15">
        <f t="shared" si="251"/>
        <v>1</v>
      </c>
    </row>
    <row r="297" spans="1:107">
      <c r="A297" s="14">
        <v>254</v>
      </c>
      <c r="B297" s="15">
        <f t="shared" si="207"/>
        <v>22</v>
      </c>
      <c r="C297" s="16">
        <f>(1+INDEX('1 - Input'!$B$34:$E$63,B297,'1 - Input'!$B$16))^(1/12)-1</f>
        <v>4.1219243192651689E-3</v>
      </c>
      <c r="D297" s="17">
        <f>'1 - Input'!$B$7*(1+'1 - Input'!$B$12)^(B297-1)</f>
        <v>4092.2991285243875</v>
      </c>
      <c r="E297" s="17">
        <f t="shared" si="252"/>
        <v>0</v>
      </c>
      <c r="F297" s="17">
        <f t="shared" si="253"/>
        <v>0</v>
      </c>
      <c r="G297" s="17">
        <f t="shared" si="208"/>
        <v>0</v>
      </c>
      <c r="H297" s="17">
        <f>IF(G297&gt;0,'1 - Input'!$B$8/12*G297,0)</f>
        <v>0</v>
      </c>
      <c r="I297" s="17">
        <f t="shared" si="209"/>
        <v>0</v>
      </c>
      <c r="J297" s="17">
        <f t="shared" si="210"/>
        <v>0</v>
      </c>
      <c r="K297" s="17">
        <f>'1 - Input'!$B$22*(H297-J297)</f>
        <v>0</v>
      </c>
      <c r="L297" s="17">
        <f t="shared" si="211"/>
        <v>0</v>
      </c>
      <c r="M297" s="17">
        <f t="shared" si="212"/>
        <v>0</v>
      </c>
      <c r="N297" s="17">
        <f>IF('1 - Input'!$B$17=1,MAX(0,L297-D297),0)</f>
        <v>0</v>
      </c>
      <c r="O297" s="17">
        <f>IF('1 - Input'!$B$17=1,MAX(0,D297-L297),0)</f>
        <v>4092.2991285243875</v>
      </c>
      <c r="P297" s="17">
        <f t="shared" si="213"/>
        <v>0</v>
      </c>
      <c r="Q297" s="17">
        <f>IF(AND(O297&gt;0,I297&gt;0),O297/(1-'1 - Input'!$B$22*P297),0)</f>
        <v>0</v>
      </c>
      <c r="R297" s="17">
        <f t="shared" si="214"/>
        <v>0</v>
      </c>
      <c r="S297" s="17">
        <f>'1 - Input'!$B$22*P297*R297</f>
        <v>0</v>
      </c>
      <c r="T297" s="17">
        <f t="shared" si="215"/>
        <v>0</v>
      </c>
      <c r="U297" s="17">
        <f t="shared" si="216"/>
        <v>4092.2991285243875</v>
      </c>
      <c r="V297" s="17">
        <f t="shared" si="217"/>
        <v>0</v>
      </c>
      <c r="W297" s="17">
        <f t="shared" si="218"/>
        <v>0</v>
      </c>
      <c r="X297" s="17">
        <f t="shared" si="219"/>
        <v>0</v>
      </c>
      <c r="Y297" s="17">
        <f>IF(MOD(A297,12)=0,W297*'1 - Input'!$B$23,0)</f>
        <v>0</v>
      </c>
      <c r="Z297" s="17">
        <f t="shared" si="220"/>
        <v>0</v>
      </c>
      <c r="AA297" s="17">
        <f>IF(MOD(A297,12)=0,X297*(1-'1 - Input'!$B$23),X297)</f>
        <v>0</v>
      </c>
      <c r="AB297" s="17">
        <f>IF('1 - Input'!$B$17=1,MIN(L297,D297)+T297,L297)</f>
        <v>0</v>
      </c>
      <c r="AC297" s="17">
        <f t="shared" si="254"/>
        <v>590482.93849429931</v>
      </c>
      <c r="AD297" s="17">
        <f t="shared" si="255"/>
        <v>101441.90180685223</v>
      </c>
      <c r="AE297" s="17">
        <f t="shared" si="256"/>
        <v>0</v>
      </c>
      <c r="AF297" s="17">
        <f t="shared" si="257"/>
        <v>174289.24056370757</v>
      </c>
      <c r="AG297" s="17">
        <f t="shared" si="258"/>
        <v>8123.5662772395826</v>
      </c>
      <c r="AH297" s="17">
        <f t="shared" si="259"/>
        <v>253081.13687738159</v>
      </c>
      <c r="AI297" s="15">
        <f t="shared" si="221"/>
        <v>1</v>
      </c>
      <c r="AK297" s="14">
        <v>254</v>
      </c>
      <c r="AL297" s="15">
        <f t="shared" si="222"/>
        <v>22</v>
      </c>
      <c r="AM297" s="16">
        <f>(1+INDEX('1 - Input'!$B$34:$E$63,AL297,'1 - Input'!$B$16))^(1/12)-1</f>
        <v>4.1219243192651689E-3</v>
      </c>
      <c r="AN297" s="17">
        <f>'1 - Input'!$B$7*(1+'1 - Input'!$B$12)^(AL297-1)</f>
        <v>4092.2991285243875</v>
      </c>
      <c r="AO297" s="17">
        <f t="shared" si="260"/>
        <v>0</v>
      </c>
      <c r="AP297" s="17">
        <f t="shared" si="261"/>
        <v>0</v>
      </c>
      <c r="AQ297" s="17">
        <f t="shared" si="223"/>
        <v>0</v>
      </c>
      <c r="AR297" s="17">
        <f>IF(AQ297&gt;0,'1 - Input'!$B$8/12*AQ297,0)</f>
        <v>0</v>
      </c>
      <c r="AS297" s="17">
        <f t="shared" si="224"/>
        <v>0</v>
      </c>
      <c r="AT297" s="17">
        <f t="shared" si="225"/>
        <v>0</v>
      </c>
      <c r="AU297" s="17">
        <f>'1 - Input'!$B$22*(AR297-AT297)</f>
        <v>0</v>
      </c>
      <c r="AV297" s="17">
        <f t="shared" si="226"/>
        <v>0</v>
      </c>
      <c r="AW297" s="17">
        <f t="shared" si="227"/>
        <v>0</v>
      </c>
      <c r="AX297" s="17">
        <f>IF('1 - Input'!$B$17=1,MAX(0,AV297-AN297),0)</f>
        <v>0</v>
      </c>
      <c r="AY297" s="17">
        <f>IF('1 - Input'!$B$17=1,MAX(0,AN297-AV297),0)</f>
        <v>4092.2991285243875</v>
      </c>
      <c r="AZ297" s="17">
        <f t="shared" si="228"/>
        <v>0</v>
      </c>
      <c r="BA297" s="17">
        <f>IF(AND(AY297&gt;0,AS297&gt;0),AY297/(1-'1 - Input'!$B$22*AZ297),0)</f>
        <v>0</v>
      </c>
      <c r="BB297" s="17">
        <f t="shared" si="229"/>
        <v>0</v>
      </c>
      <c r="BC297" s="17">
        <f>'1 - Input'!$B$22*AZ297*BB297</f>
        <v>0</v>
      </c>
      <c r="BD297" s="17">
        <f t="shared" si="230"/>
        <v>0</v>
      </c>
      <c r="BE297" s="17">
        <f t="shared" si="231"/>
        <v>4092.2991285243875</v>
      </c>
      <c r="BF297" s="17">
        <f t="shared" si="232"/>
        <v>0</v>
      </c>
      <c r="BG297" s="17">
        <f t="shared" si="233"/>
        <v>0</v>
      </c>
      <c r="BH297" s="17">
        <f t="shared" si="234"/>
        <v>0</v>
      </c>
      <c r="BI297" s="17">
        <f>IF(MOD(AK297,12)=0,BG297*'1 - Input'!$B$23,0)</f>
        <v>0</v>
      </c>
      <c r="BJ297" s="17">
        <f t="shared" si="235"/>
        <v>0</v>
      </c>
      <c r="BK297" s="17">
        <f>IF(MOD(AK297,12)=0,BH297*(1-'1 - Input'!$B$23),BH297)</f>
        <v>0</v>
      </c>
      <c r="BL297" s="17">
        <f>IF('1 - Input'!$B$17=1,MIN(AV297,AN297)+BD297,AV297)</f>
        <v>0</v>
      </c>
      <c r="BM297" s="17">
        <f t="shared" si="262"/>
        <v>590482.93849429931</v>
      </c>
      <c r="BN297" s="17">
        <f t="shared" si="263"/>
        <v>101441.90180685223</v>
      </c>
      <c r="BO297" s="17">
        <f t="shared" si="264"/>
        <v>0</v>
      </c>
      <c r="BP297" s="17">
        <f t="shared" si="265"/>
        <v>174289.24056370757</v>
      </c>
      <c r="BQ297" s="17">
        <f t="shared" si="266"/>
        <v>8123.5662772395826</v>
      </c>
      <c r="BR297" s="17">
        <f t="shared" si="267"/>
        <v>253081.13687738159</v>
      </c>
      <c r="BS297" s="15">
        <f t="shared" si="236"/>
        <v>1</v>
      </c>
      <c r="BU297" s="14">
        <v>254</v>
      </c>
      <c r="BV297" s="15">
        <f t="shared" si="237"/>
        <v>22</v>
      </c>
      <c r="BW297" s="16">
        <f>(1+INDEX('1 - Input'!$B$34:$E$63,BV297,'1 - Input'!$B$16))^(1/12)-1</f>
        <v>4.1219243192651689E-3</v>
      </c>
      <c r="BX297" s="17">
        <f>'1 - Input'!$B$7*(1+'1 - Input'!$B$12)^(BV297-1)</f>
        <v>4092.2991285243875</v>
      </c>
      <c r="BY297" s="17">
        <f t="shared" si="268"/>
        <v>0</v>
      </c>
      <c r="BZ297" s="17">
        <f t="shared" si="269"/>
        <v>0</v>
      </c>
      <c r="CA297" s="17">
        <f t="shared" si="238"/>
        <v>0</v>
      </c>
      <c r="CB297" s="17">
        <f>IF(CA297&gt;0,'1 - Input'!$B$8/12*CA297,0)</f>
        <v>0</v>
      </c>
      <c r="CC297" s="17">
        <f t="shared" si="239"/>
        <v>0</v>
      </c>
      <c r="CD297" s="17">
        <f t="shared" si="240"/>
        <v>0</v>
      </c>
      <c r="CE297" s="17">
        <f>'1 - Input'!$B$22*(CB297-CD297)</f>
        <v>0</v>
      </c>
      <c r="CF297" s="17">
        <f t="shared" si="241"/>
        <v>0</v>
      </c>
      <c r="CG297" s="17">
        <f t="shared" si="242"/>
        <v>0</v>
      </c>
      <c r="CH297" s="17">
        <f>IF('1 - Input'!$B$17=1,MAX(0,CF297-BX297),0)</f>
        <v>0</v>
      </c>
      <c r="CI297" s="17">
        <f>IF('1 - Input'!$B$17=1,MAX(0,BX297-CF297),0)</f>
        <v>4092.2991285243875</v>
      </c>
      <c r="CJ297" s="17">
        <f t="shared" si="243"/>
        <v>0</v>
      </c>
      <c r="CK297" s="17">
        <f>IF(AND(CI297&gt;0,CC297&gt;0),CI297/(1-'1 - Input'!$B$22*CJ297),0)</f>
        <v>0</v>
      </c>
      <c r="CL297" s="17">
        <f t="shared" si="244"/>
        <v>0</v>
      </c>
      <c r="CM297" s="17">
        <f>'1 - Input'!$B$22*CJ297*CL297</f>
        <v>0</v>
      </c>
      <c r="CN297" s="17">
        <f t="shared" si="245"/>
        <v>0</v>
      </c>
      <c r="CO297" s="17">
        <f t="shared" si="246"/>
        <v>4092.2991285243875</v>
      </c>
      <c r="CP297" s="17">
        <f t="shared" si="247"/>
        <v>0</v>
      </c>
      <c r="CQ297" s="17">
        <f t="shared" si="248"/>
        <v>0</v>
      </c>
      <c r="CR297" s="17">
        <f t="shared" si="249"/>
        <v>0</v>
      </c>
      <c r="CS297" s="17">
        <f>IF(MOD(BU297,12)=0,CQ297*'1 - Input'!$B$23,0)</f>
        <v>0</v>
      </c>
      <c r="CT297" s="17">
        <f t="shared" si="250"/>
        <v>0</v>
      </c>
      <c r="CU297" s="17">
        <f>IF(MOD(BU297,12)=0,CR297*(1-'1 - Input'!$B$23),CR297)</f>
        <v>0</v>
      </c>
      <c r="CV297" s="17">
        <f>IF('1 - Input'!$B$17=1,MIN(CF297,BX297)+CN297,CF297)</f>
        <v>0</v>
      </c>
      <c r="CW297" s="17">
        <f t="shared" si="270"/>
        <v>686605.50041273201</v>
      </c>
      <c r="CX297" s="17">
        <f t="shared" si="271"/>
        <v>6018.3402768167462</v>
      </c>
      <c r="CY297" s="17">
        <f t="shared" si="272"/>
        <v>66518.776160328038</v>
      </c>
      <c r="CZ297" s="17">
        <f t="shared" si="273"/>
        <v>0</v>
      </c>
      <c r="DA297" s="17">
        <f t="shared" si="274"/>
        <v>10954.114452440983</v>
      </c>
      <c r="DB297" s="17">
        <f t="shared" si="275"/>
        <v>156958.57495894984</v>
      </c>
      <c r="DC297" s="15">
        <f t="shared" si="251"/>
        <v>1</v>
      </c>
    </row>
    <row r="298" spans="1:107">
      <c r="A298" s="14">
        <v>255</v>
      </c>
      <c r="B298" s="15">
        <f t="shared" si="207"/>
        <v>22</v>
      </c>
      <c r="C298" s="16">
        <f>(1+INDEX('1 - Input'!$B$34:$E$63,B298,'1 - Input'!$B$16))^(1/12)-1</f>
        <v>4.1219243192651689E-3</v>
      </c>
      <c r="D298" s="17">
        <f>'1 - Input'!$B$7*(1+'1 - Input'!$B$12)^(B298-1)</f>
        <v>4092.2991285243875</v>
      </c>
      <c r="E298" s="17">
        <f t="shared" si="252"/>
        <v>0</v>
      </c>
      <c r="F298" s="17">
        <f t="shared" si="253"/>
        <v>0</v>
      </c>
      <c r="G298" s="17">
        <f t="shared" si="208"/>
        <v>0</v>
      </c>
      <c r="H298" s="17">
        <f>IF(G298&gt;0,'1 - Input'!$B$8/12*G298,0)</f>
        <v>0</v>
      </c>
      <c r="I298" s="17">
        <f t="shared" si="209"/>
        <v>0</v>
      </c>
      <c r="J298" s="17">
        <f t="shared" si="210"/>
        <v>0</v>
      </c>
      <c r="K298" s="17">
        <f>'1 - Input'!$B$22*(H298-J298)</f>
        <v>0</v>
      </c>
      <c r="L298" s="17">
        <f t="shared" si="211"/>
        <v>0</v>
      </c>
      <c r="M298" s="17">
        <f t="shared" si="212"/>
        <v>0</v>
      </c>
      <c r="N298" s="17">
        <f>IF('1 - Input'!$B$17=1,MAX(0,L298-D298),0)</f>
        <v>0</v>
      </c>
      <c r="O298" s="17">
        <f>IF('1 - Input'!$B$17=1,MAX(0,D298-L298),0)</f>
        <v>4092.2991285243875</v>
      </c>
      <c r="P298" s="17">
        <f t="shared" si="213"/>
        <v>0</v>
      </c>
      <c r="Q298" s="17">
        <f>IF(AND(O298&gt;0,I298&gt;0),O298/(1-'1 - Input'!$B$22*P298),0)</f>
        <v>0</v>
      </c>
      <c r="R298" s="17">
        <f t="shared" si="214"/>
        <v>0</v>
      </c>
      <c r="S298" s="17">
        <f>'1 - Input'!$B$22*P298*R298</f>
        <v>0</v>
      </c>
      <c r="T298" s="17">
        <f t="shared" si="215"/>
        <v>0</v>
      </c>
      <c r="U298" s="17">
        <f t="shared" si="216"/>
        <v>4092.2991285243875</v>
      </c>
      <c r="V298" s="17">
        <f t="shared" si="217"/>
        <v>0</v>
      </c>
      <c r="W298" s="17">
        <f t="shared" si="218"/>
        <v>0</v>
      </c>
      <c r="X298" s="17">
        <f t="shared" si="219"/>
        <v>0</v>
      </c>
      <c r="Y298" s="17">
        <f>IF(MOD(A298,12)=0,W298*'1 - Input'!$B$23,0)</f>
        <v>0</v>
      </c>
      <c r="Z298" s="17">
        <f t="shared" si="220"/>
        <v>0</v>
      </c>
      <c r="AA298" s="17">
        <f>IF(MOD(A298,12)=0,X298*(1-'1 - Input'!$B$23),X298)</f>
        <v>0</v>
      </c>
      <c r="AB298" s="17">
        <f>IF('1 - Input'!$B$17=1,MIN(L298,D298)+T298,L298)</f>
        <v>0</v>
      </c>
      <c r="AC298" s="17">
        <f t="shared" si="254"/>
        <v>590482.93849429931</v>
      </c>
      <c r="AD298" s="17">
        <f t="shared" si="255"/>
        <v>101441.90180685223</v>
      </c>
      <c r="AE298" s="17">
        <f t="shared" si="256"/>
        <v>0</v>
      </c>
      <c r="AF298" s="17">
        <f t="shared" si="257"/>
        <v>174289.24056370757</v>
      </c>
      <c r="AG298" s="17">
        <f t="shared" si="258"/>
        <v>8123.5662772395826</v>
      </c>
      <c r="AH298" s="17">
        <f t="shared" si="259"/>
        <v>257173.43600590597</v>
      </c>
      <c r="AI298" s="15">
        <f t="shared" si="221"/>
        <v>1</v>
      </c>
      <c r="AK298" s="14">
        <v>255</v>
      </c>
      <c r="AL298" s="15">
        <f t="shared" si="222"/>
        <v>22</v>
      </c>
      <c r="AM298" s="16">
        <f>(1+INDEX('1 - Input'!$B$34:$E$63,AL298,'1 - Input'!$B$16))^(1/12)-1</f>
        <v>4.1219243192651689E-3</v>
      </c>
      <c r="AN298" s="17">
        <f>'1 - Input'!$B$7*(1+'1 - Input'!$B$12)^(AL298-1)</f>
        <v>4092.2991285243875</v>
      </c>
      <c r="AO298" s="17">
        <f t="shared" si="260"/>
        <v>0</v>
      </c>
      <c r="AP298" s="17">
        <f t="shared" si="261"/>
        <v>0</v>
      </c>
      <c r="AQ298" s="17">
        <f t="shared" si="223"/>
        <v>0</v>
      </c>
      <c r="AR298" s="17">
        <f>IF(AQ298&gt;0,'1 - Input'!$B$8/12*AQ298,0)</f>
        <v>0</v>
      </c>
      <c r="AS298" s="17">
        <f t="shared" si="224"/>
        <v>0</v>
      </c>
      <c r="AT298" s="17">
        <f t="shared" si="225"/>
        <v>0</v>
      </c>
      <c r="AU298" s="17">
        <f>'1 - Input'!$B$22*(AR298-AT298)</f>
        <v>0</v>
      </c>
      <c r="AV298" s="17">
        <f t="shared" si="226"/>
        <v>0</v>
      </c>
      <c r="AW298" s="17">
        <f t="shared" si="227"/>
        <v>0</v>
      </c>
      <c r="AX298" s="17">
        <f>IF('1 - Input'!$B$17=1,MAX(0,AV298-AN298),0)</f>
        <v>0</v>
      </c>
      <c r="AY298" s="17">
        <f>IF('1 - Input'!$B$17=1,MAX(0,AN298-AV298),0)</f>
        <v>4092.2991285243875</v>
      </c>
      <c r="AZ298" s="17">
        <f t="shared" si="228"/>
        <v>0</v>
      </c>
      <c r="BA298" s="17">
        <f>IF(AND(AY298&gt;0,AS298&gt;0),AY298/(1-'1 - Input'!$B$22*AZ298),0)</f>
        <v>0</v>
      </c>
      <c r="BB298" s="17">
        <f t="shared" si="229"/>
        <v>0</v>
      </c>
      <c r="BC298" s="17">
        <f>'1 - Input'!$B$22*AZ298*BB298</f>
        <v>0</v>
      </c>
      <c r="BD298" s="17">
        <f t="shared" si="230"/>
        <v>0</v>
      </c>
      <c r="BE298" s="17">
        <f t="shared" si="231"/>
        <v>4092.2991285243875</v>
      </c>
      <c r="BF298" s="17">
        <f t="shared" si="232"/>
        <v>0</v>
      </c>
      <c r="BG298" s="17">
        <f t="shared" si="233"/>
        <v>0</v>
      </c>
      <c r="BH298" s="17">
        <f t="shared" si="234"/>
        <v>0</v>
      </c>
      <c r="BI298" s="17">
        <f>IF(MOD(AK298,12)=0,BG298*'1 - Input'!$B$23,0)</f>
        <v>0</v>
      </c>
      <c r="BJ298" s="17">
        <f t="shared" si="235"/>
        <v>0</v>
      </c>
      <c r="BK298" s="17">
        <f>IF(MOD(AK298,12)=0,BH298*(1-'1 - Input'!$B$23),BH298)</f>
        <v>0</v>
      </c>
      <c r="BL298" s="17">
        <f>IF('1 - Input'!$B$17=1,MIN(AV298,AN298)+BD298,AV298)</f>
        <v>0</v>
      </c>
      <c r="BM298" s="17">
        <f t="shared" si="262"/>
        <v>590482.93849429931</v>
      </c>
      <c r="BN298" s="17">
        <f t="shared" si="263"/>
        <v>101441.90180685223</v>
      </c>
      <c r="BO298" s="17">
        <f t="shared" si="264"/>
        <v>0</v>
      </c>
      <c r="BP298" s="17">
        <f t="shared" si="265"/>
        <v>174289.24056370757</v>
      </c>
      <c r="BQ298" s="17">
        <f t="shared" si="266"/>
        <v>8123.5662772395826</v>
      </c>
      <c r="BR298" s="17">
        <f t="shared" si="267"/>
        <v>257173.43600590597</v>
      </c>
      <c r="BS298" s="15">
        <f t="shared" si="236"/>
        <v>1</v>
      </c>
      <c r="BU298" s="14">
        <v>255</v>
      </c>
      <c r="BV298" s="15">
        <f t="shared" si="237"/>
        <v>22</v>
      </c>
      <c r="BW298" s="16">
        <f>(1+INDEX('1 - Input'!$B$34:$E$63,BV298,'1 - Input'!$B$16))^(1/12)-1</f>
        <v>4.1219243192651689E-3</v>
      </c>
      <c r="BX298" s="17">
        <f>'1 - Input'!$B$7*(1+'1 - Input'!$B$12)^(BV298-1)</f>
        <v>4092.2991285243875</v>
      </c>
      <c r="BY298" s="17">
        <f t="shared" si="268"/>
        <v>0</v>
      </c>
      <c r="BZ298" s="17">
        <f t="shared" si="269"/>
        <v>0</v>
      </c>
      <c r="CA298" s="17">
        <f t="shared" si="238"/>
        <v>0</v>
      </c>
      <c r="CB298" s="17">
        <f>IF(CA298&gt;0,'1 - Input'!$B$8/12*CA298,0)</f>
        <v>0</v>
      </c>
      <c r="CC298" s="17">
        <f t="shared" si="239"/>
        <v>0</v>
      </c>
      <c r="CD298" s="17">
        <f t="shared" si="240"/>
        <v>0</v>
      </c>
      <c r="CE298" s="17">
        <f>'1 - Input'!$B$22*(CB298-CD298)</f>
        <v>0</v>
      </c>
      <c r="CF298" s="17">
        <f t="shared" si="241"/>
        <v>0</v>
      </c>
      <c r="CG298" s="17">
        <f t="shared" si="242"/>
        <v>0</v>
      </c>
      <c r="CH298" s="17">
        <f>IF('1 - Input'!$B$17=1,MAX(0,CF298-BX298),0)</f>
        <v>0</v>
      </c>
      <c r="CI298" s="17">
        <f>IF('1 - Input'!$B$17=1,MAX(0,BX298-CF298),0)</f>
        <v>4092.2991285243875</v>
      </c>
      <c r="CJ298" s="17">
        <f t="shared" si="243"/>
        <v>0</v>
      </c>
      <c r="CK298" s="17">
        <f>IF(AND(CI298&gt;0,CC298&gt;0),CI298/(1-'1 - Input'!$B$22*CJ298),0)</f>
        <v>0</v>
      </c>
      <c r="CL298" s="17">
        <f t="shared" si="244"/>
        <v>0</v>
      </c>
      <c r="CM298" s="17">
        <f>'1 - Input'!$B$22*CJ298*CL298</f>
        <v>0</v>
      </c>
      <c r="CN298" s="17">
        <f t="shared" si="245"/>
        <v>0</v>
      </c>
      <c r="CO298" s="17">
        <f t="shared" si="246"/>
        <v>4092.2991285243875</v>
      </c>
      <c r="CP298" s="17">
        <f t="shared" si="247"/>
        <v>0</v>
      </c>
      <c r="CQ298" s="17">
        <f t="shared" si="248"/>
        <v>0</v>
      </c>
      <c r="CR298" s="17">
        <f t="shared" si="249"/>
        <v>0</v>
      </c>
      <c r="CS298" s="17">
        <f>IF(MOD(BU298,12)=0,CQ298*'1 - Input'!$B$23,0)</f>
        <v>0</v>
      </c>
      <c r="CT298" s="17">
        <f t="shared" si="250"/>
        <v>0</v>
      </c>
      <c r="CU298" s="17">
        <f>IF(MOD(BU298,12)=0,CR298*(1-'1 - Input'!$B$23),CR298)</f>
        <v>0</v>
      </c>
      <c r="CV298" s="17">
        <f>IF('1 - Input'!$B$17=1,MIN(CF298,BX298)+CN298,CF298)</f>
        <v>0</v>
      </c>
      <c r="CW298" s="17">
        <f t="shared" si="270"/>
        <v>686605.50041273201</v>
      </c>
      <c r="CX298" s="17">
        <f t="shared" si="271"/>
        <v>6018.3402768167462</v>
      </c>
      <c r="CY298" s="17">
        <f t="shared" si="272"/>
        <v>66518.776160328038</v>
      </c>
      <c r="CZ298" s="17">
        <f t="shared" si="273"/>
        <v>0</v>
      </c>
      <c r="DA298" s="17">
        <f t="shared" si="274"/>
        <v>10954.114452440983</v>
      </c>
      <c r="DB298" s="17">
        <f t="shared" si="275"/>
        <v>161050.87408747422</v>
      </c>
      <c r="DC298" s="15">
        <f t="shared" si="251"/>
        <v>1</v>
      </c>
    </row>
    <row r="299" spans="1:107">
      <c r="A299" s="14">
        <v>256</v>
      </c>
      <c r="B299" s="15">
        <f t="shared" si="207"/>
        <v>22</v>
      </c>
      <c r="C299" s="16">
        <f>(1+INDEX('1 - Input'!$B$34:$E$63,B299,'1 - Input'!$B$16))^(1/12)-1</f>
        <v>4.1219243192651689E-3</v>
      </c>
      <c r="D299" s="17">
        <f>'1 - Input'!$B$7*(1+'1 - Input'!$B$12)^(B299-1)</f>
        <v>4092.2991285243875</v>
      </c>
      <c r="E299" s="17">
        <f t="shared" si="252"/>
        <v>0</v>
      </c>
      <c r="F299" s="17">
        <f t="shared" si="253"/>
        <v>0</v>
      </c>
      <c r="G299" s="17">
        <f t="shared" si="208"/>
        <v>0</v>
      </c>
      <c r="H299" s="17">
        <f>IF(G299&gt;0,'1 - Input'!$B$8/12*G299,0)</f>
        <v>0</v>
      </c>
      <c r="I299" s="17">
        <f t="shared" si="209"/>
        <v>0</v>
      </c>
      <c r="J299" s="17">
        <f t="shared" si="210"/>
        <v>0</v>
      </c>
      <c r="K299" s="17">
        <f>'1 - Input'!$B$22*(H299-J299)</f>
        <v>0</v>
      </c>
      <c r="L299" s="17">
        <f t="shared" si="211"/>
        <v>0</v>
      </c>
      <c r="M299" s="17">
        <f t="shared" si="212"/>
        <v>0</v>
      </c>
      <c r="N299" s="17">
        <f>IF('1 - Input'!$B$17=1,MAX(0,L299-D299),0)</f>
        <v>0</v>
      </c>
      <c r="O299" s="17">
        <f>IF('1 - Input'!$B$17=1,MAX(0,D299-L299),0)</f>
        <v>4092.2991285243875</v>
      </c>
      <c r="P299" s="17">
        <f t="shared" si="213"/>
        <v>0</v>
      </c>
      <c r="Q299" s="17">
        <f>IF(AND(O299&gt;0,I299&gt;0),O299/(1-'1 - Input'!$B$22*P299),0)</f>
        <v>0</v>
      </c>
      <c r="R299" s="17">
        <f t="shared" si="214"/>
        <v>0</v>
      </c>
      <c r="S299" s="17">
        <f>'1 - Input'!$B$22*P299*R299</f>
        <v>0</v>
      </c>
      <c r="T299" s="17">
        <f t="shared" si="215"/>
        <v>0</v>
      </c>
      <c r="U299" s="17">
        <f t="shared" si="216"/>
        <v>4092.2991285243875</v>
      </c>
      <c r="V299" s="17">
        <f t="shared" si="217"/>
        <v>0</v>
      </c>
      <c r="W299" s="17">
        <f t="shared" si="218"/>
        <v>0</v>
      </c>
      <c r="X299" s="17">
        <f t="shared" si="219"/>
        <v>0</v>
      </c>
      <c r="Y299" s="17">
        <f>IF(MOD(A299,12)=0,W299*'1 - Input'!$B$23,0)</f>
        <v>0</v>
      </c>
      <c r="Z299" s="17">
        <f t="shared" si="220"/>
        <v>0</v>
      </c>
      <c r="AA299" s="17">
        <f>IF(MOD(A299,12)=0,X299*(1-'1 - Input'!$B$23),X299)</f>
        <v>0</v>
      </c>
      <c r="AB299" s="17">
        <f>IF('1 - Input'!$B$17=1,MIN(L299,D299)+T299,L299)</f>
        <v>0</v>
      </c>
      <c r="AC299" s="17">
        <f t="shared" si="254"/>
        <v>590482.93849429931</v>
      </c>
      <c r="AD299" s="17">
        <f t="shared" si="255"/>
        <v>101441.90180685223</v>
      </c>
      <c r="AE299" s="17">
        <f t="shared" si="256"/>
        <v>0</v>
      </c>
      <c r="AF299" s="17">
        <f t="shared" si="257"/>
        <v>174289.24056370757</v>
      </c>
      <c r="AG299" s="17">
        <f t="shared" si="258"/>
        <v>8123.5662772395826</v>
      </c>
      <c r="AH299" s="17">
        <f t="shared" si="259"/>
        <v>261265.73513443035</v>
      </c>
      <c r="AI299" s="15">
        <f t="shared" si="221"/>
        <v>1</v>
      </c>
      <c r="AK299" s="14">
        <v>256</v>
      </c>
      <c r="AL299" s="15">
        <f t="shared" si="222"/>
        <v>22</v>
      </c>
      <c r="AM299" s="16">
        <f>(1+INDEX('1 - Input'!$B$34:$E$63,AL299,'1 - Input'!$B$16))^(1/12)-1</f>
        <v>4.1219243192651689E-3</v>
      </c>
      <c r="AN299" s="17">
        <f>'1 - Input'!$B$7*(1+'1 - Input'!$B$12)^(AL299-1)</f>
        <v>4092.2991285243875</v>
      </c>
      <c r="AO299" s="17">
        <f t="shared" si="260"/>
        <v>0</v>
      </c>
      <c r="AP299" s="17">
        <f t="shared" si="261"/>
        <v>0</v>
      </c>
      <c r="AQ299" s="17">
        <f t="shared" si="223"/>
        <v>0</v>
      </c>
      <c r="AR299" s="17">
        <f>IF(AQ299&gt;0,'1 - Input'!$B$8/12*AQ299,0)</f>
        <v>0</v>
      </c>
      <c r="AS299" s="17">
        <f t="shared" si="224"/>
        <v>0</v>
      </c>
      <c r="AT299" s="17">
        <f t="shared" si="225"/>
        <v>0</v>
      </c>
      <c r="AU299" s="17">
        <f>'1 - Input'!$B$22*(AR299-AT299)</f>
        <v>0</v>
      </c>
      <c r="AV299" s="17">
        <f t="shared" si="226"/>
        <v>0</v>
      </c>
      <c r="AW299" s="17">
        <f t="shared" si="227"/>
        <v>0</v>
      </c>
      <c r="AX299" s="17">
        <f>IF('1 - Input'!$B$17=1,MAX(0,AV299-AN299),0)</f>
        <v>0</v>
      </c>
      <c r="AY299" s="17">
        <f>IF('1 - Input'!$B$17=1,MAX(0,AN299-AV299),0)</f>
        <v>4092.2991285243875</v>
      </c>
      <c r="AZ299" s="17">
        <f t="shared" si="228"/>
        <v>0</v>
      </c>
      <c r="BA299" s="17">
        <f>IF(AND(AY299&gt;0,AS299&gt;0),AY299/(1-'1 - Input'!$B$22*AZ299),0)</f>
        <v>0</v>
      </c>
      <c r="BB299" s="17">
        <f t="shared" si="229"/>
        <v>0</v>
      </c>
      <c r="BC299" s="17">
        <f>'1 - Input'!$B$22*AZ299*BB299</f>
        <v>0</v>
      </c>
      <c r="BD299" s="17">
        <f t="shared" si="230"/>
        <v>0</v>
      </c>
      <c r="BE299" s="17">
        <f t="shared" si="231"/>
        <v>4092.2991285243875</v>
      </c>
      <c r="BF299" s="17">
        <f t="shared" si="232"/>
        <v>0</v>
      </c>
      <c r="BG299" s="17">
        <f t="shared" si="233"/>
        <v>0</v>
      </c>
      <c r="BH299" s="17">
        <f t="shared" si="234"/>
        <v>0</v>
      </c>
      <c r="BI299" s="17">
        <f>IF(MOD(AK299,12)=0,BG299*'1 - Input'!$B$23,0)</f>
        <v>0</v>
      </c>
      <c r="BJ299" s="17">
        <f t="shared" si="235"/>
        <v>0</v>
      </c>
      <c r="BK299" s="17">
        <f>IF(MOD(AK299,12)=0,BH299*(1-'1 - Input'!$B$23),BH299)</f>
        <v>0</v>
      </c>
      <c r="BL299" s="17">
        <f>IF('1 - Input'!$B$17=1,MIN(AV299,AN299)+BD299,AV299)</f>
        <v>0</v>
      </c>
      <c r="BM299" s="17">
        <f t="shared" si="262"/>
        <v>590482.93849429931</v>
      </c>
      <c r="BN299" s="17">
        <f t="shared" si="263"/>
        <v>101441.90180685223</v>
      </c>
      <c r="BO299" s="17">
        <f t="shared" si="264"/>
        <v>0</v>
      </c>
      <c r="BP299" s="17">
        <f t="shared" si="265"/>
        <v>174289.24056370757</v>
      </c>
      <c r="BQ299" s="17">
        <f t="shared" si="266"/>
        <v>8123.5662772395826</v>
      </c>
      <c r="BR299" s="17">
        <f t="shared" si="267"/>
        <v>261265.73513443035</v>
      </c>
      <c r="BS299" s="15">
        <f t="shared" si="236"/>
        <v>1</v>
      </c>
      <c r="BU299" s="14">
        <v>256</v>
      </c>
      <c r="BV299" s="15">
        <f t="shared" si="237"/>
        <v>22</v>
      </c>
      <c r="BW299" s="16">
        <f>(1+INDEX('1 - Input'!$B$34:$E$63,BV299,'1 - Input'!$B$16))^(1/12)-1</f>
        <v>4.1219243192651689E-3</v>
      </c>
      <c r="BX299" s="17">
        <f>'1 - Input'!$B$7*(1+'1 - Input'!$B$12)^(BV299-1)</f>
        <v>4092.2991285243875</v>
      </c>
      <c r="BY299" s="17">
        <f t="shared" si="268"/>
        <v>0</v>
      </c>
      <c r="BZ299" s="17">
        <f t="shared" si="269"/>
        <v>0</v>
      </c>
      <c r="CA299" s="17">
        <f t="shared" si="238"/>
        <v>0</v>
      </c>
      <c r="CB299" s="17">
        <f>IF(CA299&gt;0,'1 - Input'!$B$8/12*CA299,0)</f>
        <v>0</v>
      </c>
      <c r="CC299" s="17">
        <f t="shared" si="239"/>
        <v>0</v>
      </c>
      <c r="CD299" s="17">
        <f t="shared" si="240"/>
        <v>0</v>
      </c>
      <c r="CE299" s="17">
        <f>'1 - Input'!$B$22*(CB299-CD299)</f>
        <v>0</v>
      </c>
      <c r="CF299" s="17">
        <f t="shared" si="241"/>
        <v>0</v>
      </c>
      <c r="CG299" s="17">
        <f t="shared" si="242"/>
        <v>0</v>
      </c>
      <c r="CH299" s="17">
        <f>IF('1 - Input'!$B$17=1,MAX(0,CF299-BX299),0)</f>
        <v>0</v>
      </c>
      <c r="CI299" s="17">
        <f>IF('1 - Input'!$B$17=1,MAX(0,BX299-CF299),0)</f>
        <v>4092.2991285243875</v>
      </c>
      <c r="CJ299" s="17">
        <f t="shared" si="243"/>
        <v>0</v>
      </c>
      <c r="CK299" s="17">
        <f>IF(AND(CI299&gt;0,CC299&gt;0),CI299/(1-'1 - Input'!$B$22*CJ299),0)</f>
        <v>0</v>
      </c>
      <c r="CL299" s="17">
        <f t="shared" si="244"/>
        <v>0</v>
      </c>
      <c r="CM299" s="17">
        <f>'1 - Input'!$B$22*CJ299*CL299</f>
        <v>0</v>
      </c>
      <c r="CN299" s="17">
        <f t="shared" si="245"/>
        <v>0</v>
      </c>
      <c r="CO299" s="17">
        <f t="shared" si="246"/>
        <v>4092.2991285243875</v>
      </c>
      <c r="CP299" s="17">
        <f t="shared" si="247"/>
        <v>0</v>
      </c>
      <c r="CQ299" s="17">
        <f t="shared" si="248"/>
        <v>0</v>
      </c>
      <c r="CR299" s="17">
        <f t="shared" si="249"/>
        <v>0</v>
      </c>
      <c r="CS299" s="17">
        <f>IF(MOD(BU299,12)=0,CQ299*'1 - Input'!$B$23,0)</f>
        <v>0</v>
      </c>
      <c r="CT299" s="17">
        <f t="shared" si="250"/>
        <v>0</v>
      </c>
      <c r="CU299" s="17">
        <f>IF(MOD(BU299,12)=0,CR299*(1-'1 - Input'!$B$23),CR299)</f>
        <v>0</v>
      </c>
      <c r="CV299" s="17">
        <f>IF('1 - Input'!$B$17=1,MIN(CF299,BX299)+CN299,CF299)</f>
        <v>0</v>
      </c>
      <c r="CW299" s="17">
        <f t="shared" si="270"/>
        <v>686605.50041273201</v>
      </c>
      <c r="CX299" s="17">
        <f t="shared" si="271"/>
        <v>6018.3402768167462</v>
      </c>
      <c r="CY299" s="17">
        <f t="shared" si="272"/>
        <v>66518.776160328038</v>
      </c>
      <c r="CZ299" s="17">
        <f t="shared" si="273"/>
        <v>0</v>
      </c>
      <c r="DA299" s="17">
        <f t="shared" si="274"/>
        <v>10954.114452440983</v>
      </c>
      <c r="DB299" s="17">
        <f t="shared" si="275"/>
        <v>165143.1732159986</v>
      </c>
      <c r="DC299" s="15">
        <f t="shared" si="251"/>
        <v>1</v>
      </c>
    </row>
    <row r="300" spans="1:107">
      <c r="A300" s="14">
        <v>257</v>
      </c>
      <c r="B300" s="15">
        <f t="shared" ref="B300:B363" si="276">ROUNDUP(A300/12,0)</f>
        <v>22</v>
      </c>
      <c r="C300" s="16">
        <f>(1+INDEX('1 - Input'!$B$34:$E$63,B300,'1 - Input'!$B$16))^(1/12)-1</f>
        <v>4.1219243192651689E-3</v>
      </c>
      <c r="D300" s="17">
        <f>'1 - Input'!$B$7*(1+'1 - Input'!$B$12)^(B300-1)</f>
        <v>4092.2991285243875</v>
      </c>
      <c r="E300" s="17">
        <f t="shared" si="252"/>
        <v>0</v>
      </c>
      <c r="F300" s="17">
        <f t="shared" si="253"/>
        <v>0</v>
      </c>
      <c r="G300" s="17">
        <f t="shared" ref="G300:G363" si="277">E300*(1+C300)</f>
        <v>0</v>
      </c>
      <c r="H300" s="17">
        <f>IF(G300&gt;0,'1 - Input'!$B$8/12*G300,0)</f>
        <v>0</v>
      </c>
      <c r="I300" s="17">
        <f t="shared" ref="I300:I363" si="278">G300-H300</f>
        <v>0</v>
      </c>
      <c r="J300" s="17">
        <f t="shared" ref="J300:J363" si="279">MIN($B$41*H300,F300)</f>
        <v>0</v>
      </c>
      <c r="K300" s="17">
        <f>'1 - Input'!$B$22*(H300-J300)</f>
        <v>0</v>
      </c>
      <c r="L300" s="17">
        <f t="shared" ref="L300:L363" si="280">H300-K300</f>
        <v>0</v>
      </c>
      <c r="M300" s="17">
        <f t="shared" ref="M300:M363" si="281">F300-J300</f>
        <v>0</v>
      </c>
      <c r="N300" s="17">
        <f>IF('1 - Input'!$B$17=1,MAX(0,L300-D300),0)</f>
        <v>0</v>
      </c>
      <c r="O300" s="17">
        <f>IF('1 - Input'!$B$17=1,MAX(0,D300-L300),0)</f>
        <v>4092.2991285243875</v>
      </c>
      <c r="P300" s="17">
        <f t="shared" ref="P300:P363" si="282">IF(I300&gt;0,MAX(0,1-M300/I300),0)</f>
        <v>0</v>
      </c>
      <c r="Q300" s="17">
        <f>IF(AND(O300&gt;0,I300&gt;0),O300/(1-'1 - Input'!$B$22*P300),0)</f>
        <v>0</v>
      </c>
      <c r="R300" s="17">
        <f t="shared" ref="R300:R363" si="283">MIN(Q300,I300)</f>
        <v>0</v>
      </c>
      <c r="S300" s="17">
        <f>'1 - Input'!$B$22*P300*R300</f>
        <v>0</v>
      </c>
      <c r="T300" s="17">
        <f t="shared" ref="T300:T363" si="284">R300-S300</f>
        <v>0</v>
      </c>
      <c r="U300" s="17">
        <f t="shared" ref="U300:U363" si="285">O300-T300</f>
        <v>4092.2991285243875</v>
      </c>
      <c r="V300" s="17">
        <f t="shared" ref="V300:V363" si="286">IF(I300&gt;0,R300*MAX(0,M300/I300-1),0)</f>
        <v>0</v>
      </c>
      <c r="W300" s="17">
        <f t="shared" ref="W300:W363" si="287">I300-R300+N300</f>
        <v>0</v>
      </c>
      <c r="X300" s="17">
        <f t="shared" ref="X300:X363" si="288">IF(R300&gt;0,M300*(1-R300/I300),M300)+N300</f>
        <v>0</v>
      </c>
      <c r="Y300" s="17">
        <f>IF(MOD(A300,12)=0,W300*'1 - Input'!$B$23,0)</f>
        <v>0</v>
      </c>
      <c r="Z300" s="17">
        <f t="shared" ref="Z300:Z363" si="289">W300-Y300</f>
        <v>0</v>
      </c>
      <c r="AA300" s="17">
        <f>IF(MOD(A300,12)=0,X300*(1-'1 - Input'!$B$23),X300)</f>
        <v>0</v>
      </c>
      <c r="AB300" s="17">
        <f>IF('1 - Input'!$B$17=1,MIN(L300,D300)+T300,L300)</f>
        <v>0</v>
      </c>
      <c r="AC300" s="17">
        <f t="shared" si="254"/>
        <v>590482.93849429931</v>
      </c>
      <c r="AD300" s="17">
        <f t="shared" si="255"/>
        <v>101441.90180685223</v>
      </c>
      <c r="AE300" s="17">
        <f t="shared" si="256"/>
        <v>0</v>
      </c>
      <c r="AF300" s="17">
        <f t="shared" si="257"/>
        <v>174289.24056370757</v>
      </c>
      <c r="AG300" s="17">
        <f t="shared" si="258"/>
        <v>8123.5662772395826</v>
      </c>
      <c r="AH300" s="17">
        <f t="shared" si="259"/>
        <v>265358.03426295472</v>
      </c>
      <c r="AI300" s="15">
        <f t="shared" ref="AI300:AI363" si="290">IF(W300&lt;=0.000001,1,0)</f>
        <v>1</v>
      </c>
      <c r="AK300" s="14">
        <v>257</v>
      </c>
      <c r="AL300" s="15">
        <f t="shared" ref="AL300:AL363" si="291">ROUNDUP(AK300/12,0)</f>
        <v>22</v>
      </c>
      <c r="AM300" s="16">
        <f>(1+INDEX('1 - Input'!$B$34:$E$63,AL300,'1 - Input'!$B$16))^(1/12)-1</f>
        <v>4.1219243192651689E-3</v>
      </c>
      <c r="AN300" s="17">
        <f>'1 - Input'!$B$7*(1+'1 - Input'!$B$12)^(AL300-1)</f>
        <v>4092.2991285243875</v>
      </c>
      <c r="AO300" s="17">
        <f t="shared" si="260"/>
        <v>0</v>
      </c>
      <c r="AP300" s="17">
        <f t="shared" si="261"/>
        <v>0</v>
      </c>
      <c r="AQ300" s="17">
        <f t="shared" ref="AQ300:AQ363" si="292">AO300*(1+AM300)</f>
        <v>0</v>
      </c>
      <c r="AR300" s="17">
        <f>IF(AQ300&gt;0,'1 - Input'!$B$8/12*AQ300,0)</f>
        <v>0</v>
      </c>
      <c r="AS300" s="17">
        <f t="shared" ref="AS300:AS363" si="293">AQ300-AR300</f>
        <v>0</v>
      </c>
      <c r="AT300" s="17">
        <f t="shared" ref="AT300:AT363" si="294">MIN($AL$41*AR300,AP300)</f>
        <v>0</v>
      </c>
      <c r="AU300" s="17">
        <f>'1 - Input'!$B$22*(AR300-AT300)</f>
        <v>0</v>
      </c>
      <c r="AV300" s="17">
        <f t="shared" ref="AV300:AV363" si="295">AR300-AU300</f>
        <v>0</v>
      </c>
      <c r="AW300" s="17">
        <f t="shared" ref="AW300:AW363" si="296">AP300-AT300</f>
        <v>0</v>
      </c>
      <c r="AX300" s="17">
        <f>IF('1 - Input'!$B$17=1,MAX(0,AV300-AN300),0)</f>
        <v>0</v>
      </c>
      <c r="AY300" s="17">
        <f>IF('1 - Input'!$B$17=1,MAX(0,AN300-AV300),0)</f>
        <v>4092.2991285243875</v>
      </c>
      <c r="AZ300" s="17">
        <f t="shared" ref="AZ300:AZ363" si="297">IF(AS300&gt;0,MAX(0,1-AW300/AS300),0)</f>
        <v>0</v>
      </c>
      <c r="BA300" s="17">
        <f>IF(AND(AY300&gt;0,AS300&gt;0),AY300/(1-'1 - Input'!$B$22*AZ300),0)</f>
        <v>0</v>
      </c>
      <c r="BB300" s="17">
        <f t="shared" ref="BB300:BB363" si="298">MIN(BA300,AS300)</f>
        <v>0</v>
      </c>
      <c r="BC300" s="17">
        <f>'1 - Input'!$B$22*AZ300*BB300</f>
        <v>0</v>
      </c>
      <c r="BD300" s="17">
        <f t="shared" ref="BD300:BD363" si="299">BB300-BC300</f>
        <v>0</v>
      </c>
      <c r="BE300" s="17">
        <f t="shared" ref="BE300:BE363" si="300">AY300-BD300</f>
        <v>4092.2991285243875</v>
      </c>
      <c r="BF300" s="17">
        <f t="shared" ref="BF300:BF363" si="301">IF(AS300&gt;0,BB300*MAX(0,AW300/AS300-1),0)</f>
        <v>0</v>
      </c>
      <c r="BG300" s="17">
        <f t="shared" ref="BG300:BG363" si="302">AS300-BB300+AX300</f>
        <v>0</v>
      </c>
      <c r="BH300" s="17">
        <f t="shared" ref="BH300:BH363" si="303">IF(BB300&gt;0,AW300*(1-BB300/AS300),AW300)+AX300</f>
        <v>0</v>
      </c>
      <c r="BI300" s="17">
        <f>IF(MOD(AK300,12)=0,BG300*'1 - Input'!$B$23,0)</f>
        <v>0</v>
      </c>
      <c r="BJ300" s="17">
        <f t="shared" ref="BJ300:BJ363" si="304">BG300-BI300</f>
        <v>0</v>
      </c>
      <c r="BK300" s="17">
        <f>IF(MOD(AK300,12)=0,BH300*(1-'1 - Input'!$B$23),BH300)</f>
        <v>0</v>
      </c>
      <c r="BL300" s="17">
        <f>IF('1 - Input'!$B$17=1,MIN(AV300,AN300)+BD300,AV300)</f>
        <v>0</v>
      </c>
      <c r="BM300" s="17">
        <f t="shared" si="262"/>
        <v>590482.93849429931</v>
      </c>
      <c r="BN300" s="17">
        <f t="shared" si="263"/>
        <v>101441.90180685223</v>
      </c>
      <c r="BO300" s="17">
        <f t="shared" si="264"/>
        <v>0</v>
      </c>
      <c r="BP300" s="17">
        <f t="shared" si="265"/>
        <v>174289.24056370757</v>
      </c>
      <c r="BQ300" s="17">
        <f t="shared" si="266"/>
        <v>8123.5662772395826</v>
      </c>
      <c r="BR300" s="17">
        <f t="shared" si="267"/>
        <v>265358.03426295472</v>
      </c>
      <c r="BS300" s="15">
        <f t="shared" ref="BS300:BS363" si="305">IF(BG300&lt;=0.000001,1,0)</f>
        <v>1</v>
      </c>
      <c r="BU300" s="14">
        <v>257</v>
      </c>
      <c r="BV300" s="15">
        <f t="shared" ref="BV300:BV363" si="306">ROUNDUP(BU300/12,0)</f>
        <v>22</v>
      </c>
      <c r="BW300" s="16">
        <f>(1+INDEX('1 - Input'!$B$34:$E$63,BV300,'1 - Input'!$B$16))^(1/12)-1</f>
        <v>4.1219243192651689E-3</v>
      </c>
      <c r="BX300" s="17">
        <f>'1 - Input'!$B$7*(1+'1 - Input'!$B$12)^(BV300-1)</f>
        <v>4092.2991285243875</v>
      </c>
      <c r="BY300" s="17">
        <f t="shared" si="268"/>
        <v>0</v>
      </c>
      <c r="BZ300" s="17">
        <f t="shared" si="269"/>
        <v>0</v>
      </c>
      <c r="CA300" s="17">
        <f t="shared" ref="CA300:CA363" si="307">BY300*(1+BW300)</f>
        <v>0</v>
      </c>
      <c r="CB300" s="17">
        <f>IF(CA300&gt;0,'1 - Input'!$B$8/12*CA300,0)</f>
        <v>0</v>
      </c>
      <c r="CC300" s="17">
        <f t="shared" ref="CC300:CC363" si="308">CA300-CB300</f>
        <v>0</v>
      </c>
      <c r="CD300" s="17">
        <f t="shared" ref="CD300:CD363" si="309">MIN($BV$41*CB300,BZ300)</f>
        <v>0</v>
      </c>
      <c r="CE300" s="17">
        <f>'1 - Input'!$B$22*(CB300-CD300)</f>
        <v>0</v>
      </c>
      <c r="CF300" s="17">
        <f t="shared" ref="CF300:CF363" si="310">CB300-CE300</f>
        <v>0</v>
      </c>
      <c r="CG300" s="17">
        <f t="shared" ref="CG300:CG363" si="311">BZ300-CD300</f>
        <v>0</v>
      </c>
      <c r="CH300" s="17">
        <f>IF('1 - Input'!$B$17=1,MAX(0,CF300-BX300),0)</f>
        <v>0</v>
      </c>
      <c r="CI300" s="17">
        <f>IF('1 - Input'!$B$17=1,MAX(0,BX300-CF300),0)</f>
        <v>4092.2991285243875</v>
      </c>
      <c r="CJ300" s="17">
        <f t="shared" ref="CJ300:CJ363" si="312">IF(CC300&gt;0,MAX(0,1-CG300/CC300),0)</f>
        <v>0</v>
      </c>
      <c r="CK300" s="17">
        <f>IF(AND(CI300&gt;0,CC300&gt;0),CI300/(1-'1 - Input'!$B$22*CJ300),0)</f>
        <v>0</v>
      </c>
      <c r="CL300" s="17">
        <f t="shared" ref="CL300:CL363" si="313">MIN(CK300,CC300)</f>
        <v>0</v>
      </c>
      <c r="CM300" s="17">
        <f>'1 - Input'!$B$22*CJ300*CL300</f>
        <v>0</v>
      </c>
      <c r="CN300" s="17">
        <f t="shared" ref="CN300:CN363" si="314">CL300-CM300</f>
        <v>0</v>
      </c>
      <c r="CO300" s="17">
        <f t="shared" ref="CO300:CO363" si="315">CI300-CN300</f>
        <v>4092.2991285243875</v>
      </c>
      <c r="CP300" s="17">
        <f t="shared" ref="CP300:CP363" si="316">IF(CC300&gt;0,CL300*MAX(0,CG300/CC300-1),0)</f>
        <v>0</v>
      </c>
      <c r="CQ300" s="17">
        <f t="shared" ref="CQ300:CQ363" si="317">CC300-CL300+CH300</f>
        <v>0</v>
      </c>
      <c r="CR300" s="17">
        <f t="shared" ref="CR300:CR363" si="318">IF(CL300&gt;0,CG300*(1-CL300/CC300),CG300)+CH300</f>
        <v>0</v>
      </c>
      <c r="CS300" s="17">
        <f>IF(MOD(BU300,12)=0,CQ300*'1 - Input'!$B$23,0)</f>
        <v>0</v>
      </c>
      <c r="CT300" s="17">
        <f t="shared" ref="CT300:CT363" si="319">CQ300-CS300</f>
        <v>0</v>
      </c>
      <c r="CU300" s="17">
        <f>IF(MOD(BU300,12)=0,CR300*(1-'1 - Input'!$B$23),CR300)</f>
        <v>0</v>
      </c>
      <c r="CV300" s="17">
        <f>IF('1 - Input'!$B$17=1,MIN(CF300,BX300)+CN300,CF300)</f>
        <v>0</v>
      </c>
      <c r="CW300" s="17">
        <f t="shared" si="270"/>
        <v>686605.50041273201</v>
      </c>
      <c r="CX300" s="17">
        <f t="shared" si="271"/>
        <v>6018.3402768167462</v>
      </c>
      <c r="CY300" s="17">
        <f t="shared" si="272"/>
        <v>66518.776160328038</v>
      </c>
      <c r="CZ300" s="17">
        <f t="shared" si="273"/>
        <v>0</v>
      </c>
      <c r="DA300" s="17">
        <f t="shared" si="274"/>
        <v>10954.114452440983</v>
      </c>
      <c r="DB300" s="17">
        <f t="shared" si="275"/>
        <v>169235.47234452298</v>
      </c>
      <c r="DC300" s="15">
        <f t="shared" ref="DC300:DC363" si="320">IF(CQ300&lt;=0.000001,1,0)</f>
        <v>1</v>
      </c>
    </row>
    <row r="301" spans="1:107">
      <c r="A301" s="14">
        <v>258</v>
      </c>
      <c r="B301" s="15">
        <f t="shared" si="276"/>
        <v>22</v>
      </c>
      <c r="C301" s="16">
        <f>(1+INDEX('1 - Input'!$B$34:$E$63,B301,'1 - Input'!$B$16))^(1/12)-1</f>
        <v>4.1219243192651689E-3</v>
      </c>
      <c r="D301" s="17">
        <f>'1 - Input'!$B$7*(1+'1 - Input'!$B$12)^(B301-1)</f>
        <v>4092.2991285243875</v>
      </c>
      <c r="E301" s="17">
        <f t="shared" ref="E301:E364" si="321">Z300</f>
        <v>0</v>
      </c>
      <c r="F301" s="17">
        <f t="shared" ref="F301:F364" si="322">AA300</f>
        <v>0</v>
      </c>
      <c r="G301" s="17">
        <f t="shared" si="277"/>
        <v>0</v>
      </c>
      <c r="H301" s="17">
        <f>IF(G301&gt;0,'1 - Input'!$B$8/12*G301,0)</f>
        <v>0</v>
      </c>
      <c r="I301" s="17">
        <f t="shared" si="278"/>
        <v>0</v>
      </c>
      <c r="J301" s="17">
        <f t="shared" si="279"/>
        <v>0</v>
      </c>
      <c r="K301" s="17">
        <f>'1 - Input'!$B$22*(H301-J301)</f>
        <v>0</v>
      </c>
      <c r="L301" s="17">
        <f t="shared" si="280"/>
        <v>0</v>
      </c>
      <c r="M301" s="17">
        <f t="shared" si="281"/>
        <v>0</v>
      </c>
      <c r="N301" s="17">
        <f>IF('1 - Input'!$B$17=1,MAX(0,L301-D301),0)</f>
        <v>0</v>
      </c>
      <c r="O301" s="17">
        <f>IF('1 - Input'!$B$17=1,MAX(0,D301-L301),0)</f>
        <v>4092.2991285243875</v>
      </c>
      <c r="P301" s="17">
        <f t="shared" si="282"/>
        <v>0</v>
      </c>
      <c r="Q301" s="17">
        <f>IF(AND(O301&gt;0,I301&gt;0),O301/(1-'1 - Input'!$B$22*P301),0)</f>
        <v>0</v>
      </c>
      <c r="R301" s="17">
        <f t="shared" si="283"/>
        <v>0</v>
      </c>
      <c r="S301" s="17">
        <f>'1 - Input'!$B$22*P301*R301</f>
        <v>0</v>
      </c>
      <c r="T301" s="17">
        <f t="shared" si="284"/>
        <v>0</v>
      </c>
      <c r="U301" s="17">
        <f t="shared" si="285"/>
        <v>4092.2991285243875</v>
      </c>
      <c r="V301" s="17">
        <f t="shared" si="286"/>
        <v>0</v>
      </c>
      <c r="W301" s="17">
        <f t="shared" si="287"/>
        <v>0</v>
      </c>
      <c r="X301" s="17">
        <f t="shared" si="288"/>
        <v>0</v>
      </c>
      <c r="Y301" s="17">
        <f>IF(MOD(A301,12)=0,W301*'1 - Input'!$B$23,0)</f>
        <v>0</v>
      </c>
      <c r="Z301" s="17">
        <f t="shared" si="289"/>
        <v>0</v>
      </c>
      <c r="AA301" s="17">
        <f>IF(MOD(A301,12)=0,X301*(1-'1 - Input'!$B$23),X301)</f>
        <v>0</v>
      </c>
      <c r="AB301" s="17">
        <f>IF('1 - Input'!$B$17=1,MIN(L301,D301)+T301,L301)</f>
        <v>0</v>
      </c>
      <c r="AC301" s="17">
        <f t="shared" ref="AC301:AC364" si="323">AC300+AB301</f>
        <v>590482.93849429931</v>
      </c>
      <c r="AD301" s="17">
        <f t="shared" ref="AD301:AD364" si="324">AD300+K301</f>
        <v>101441.90180685223</v>
      </c>
      <c r="AE301" s="17">
        <f t="shared" ref="AE301:AE364" si="325">AE300+S301</f>
        <v>0</v>
      </c>
      <c r="AF301" s="17">
        <f t="shared" ref="AF301:AF364" si="326">AF300+V301</f>
        <v>174289.24056370757</v>
      </c>
      <c r="AG301" s="17">
        <f t="shared" ref="AG301:AG364" si="327">AG300+Y301</f>
        <v>8123.5662772395826</v>
      </c>
      <c r="AH301" s="17">
        <f t="shared" ref="AH301:AH364" si="328">AH300+U301</f>
        <v>269450.3333914791</v>
      </c>
      <c r="AI301" s="15">
        <f t="shared" si="290"/>
        <v>1</v>
      </c>
      <c r="AK301" s="14">
        <v>258</v>
      </c>
      <c r="AL301" s="15">
        <f t="shared" si="291"/>
        <v>22</v>
      </c>
      <c r="AM301" s="16">
        <f>(1+INDEX('1 - Input'!$B$34:$E$63,AL301,'1 - Input'!$B$16))^(1/12)-1</f>
        <v>4.1219243192651689E-3</v>
      </c>
      <c r="AN301" s="17">
        <f>'1 - Input'!$B$7*(1+'1 - Input'!$B$12)^(AL301-1)</f>
        <v>4092.2991285243875</v>
      </c>
      <c r="AO301" s="17">
        <f t="shared" ref="AO301:AO364" si="329">BJ300</f>
        <v>0</v>
      </c>
      <c r="AP301" s="17">
        <f t="shared" ref="AP301:AP364" si="330">BK300</f>
        <v>0</v>
      </c>
      <c r="AQ301" s="17">
        <f t="shared" si="292"/>
        <v>0</v>
      </c>
      <c r="AR301" s="17">
        <f>IF(AQ301&gt;0,'1 - Input'!$B$8/12*AQ301,0)</f>
        <v>0</v>
      </c>
      <c r="AS301" s="17">
        <f t="shared" si="293"/>
        <v>0</v>
      </c>
      <c r="AT301" s="17">
        <f t="shared" si="294"/>
        <v>0</v>
      </c>
      <c r="AU301" s="17">
        <f>'1 - Input'!$B$22*(AR301-AT301)</f>
        <v>0</v>
      </c>
      <c r="AV301" s="17">
        <f t="shared" si="295"/>
        <v>0</v>
      </c>
      <c r="AW301" s="17">
        <f t="shared" si="296"/>
        <v>0</v>
      </c>
      <c r="AX301" s="17">
        <f>IF('1 - Input'!$B$17=1,MAX(0,AV301-AN301),0)</f>
        <v>0</v>
      </c>
      <c r="AY301" s="17">
        <f>IF('1 - Input'!$B$17=1,MAX(0,AN301-AV301),0)</f>
        <v>4092.2991285243875</v>
      </c>
      <c r="AZ301" s="17">
        <f t="shared" si="297"/>
        <v>0</v>
      </c>
      <c r="BA301" s="17">
        <f>IF(AND(AY301&gt;0,AS301&gt;0),AY301/(1-'1 - Input'!$B$22*AZ301),0)</f>
        <v>0</v>
      </c>
      <c r="BB301" s="17">
        <f t="shared" si="298"/>
        <v>0</v>
      </c>
      <c r="BC301" s="17">
        <f>'1 - Input'!$B$22*AZ301*BB301</f>
        <v>0</v>
      </c>
      <c r="BD301" s="17">
        <f t="shared" si="299"/>
        <v>0</v>
      </c>
      <c r="BE301" s="17">
        <f t="shared" si="300"/>
        <v>4092.2991285243875</v>
      </c>
      <c r="BF301" s="17">
        <f t="shared" si="301"/>
        <v>0</v>
      </c>
      <c r="BG301" s="17">
        <f t="shared" si="302"/>
        <v>0</v>
      </c>
      <c r="BH301" s="17">
        <f t="shared" si="303"/>
        <v>0</v>
      </c>
      <c r="BI301" s="17">
        <f>IF(MOD(AK301,12)=0,BG301*'1 - Input'!$B$23,0)</f>
        <v>0</v>
      </c>
      <c r="BJ301" s="17">
        <f t="shared" si="304"/>
        <v>0</v>
      </c>
      <c r="BK301" s="17">
        <f>IF(MOD(AK301,12)=0,BH301*(1-'1 - Input'!$B$23),BH301)</f>
        <v>0</v>
      </c>
      <c r="BL301" s="17">
        <f>IF('1 - Input'!$B$17=1,MIN(AV301,AN301)+BD301,AV301)</f>
        <v>0</v>
      </c>
      <c r="BM301" s="17">
        <f t="shared" ref="BM301:BM364" si="331">BM300+BL301</f>
        <v>590482.93849429931</v>
      </c>
      <c r="BN301" s="17">
        <f t="shared" ref="BN301:BN364" si="332">BN300+AU301</f>
        <v>101441.90180685223</v>
      </c>
      <c r="BO301" s="17">
        <f t="shared" ref="BO301:BO364" si="333">BO300+BC301</f>
        <v>0</v>
      </c>
      <c r="BP301" s="17">
        <f t="shared" ref="BP301:BP364" si="334">BP300+BF301</f>
        <v>174289.24056370757</v>
      </c>
      <c r="BQ301" s="17">
        <f t="shared" ref="BQ301:BQ364" si="335">BQ300+BI301</f>
        <v>8123.5662772395826</v>
      </c>
      <c r="BR301" s="17">
        <f t="shared" ref="BR301:BR364" si="336">BR300+BE301</f>
        <v>269450.3333914791</v>
      </c>
      <c r="BS301" s="15">
        <f t="shared" si="305"/>
        <v>1</v>
      </c>
      <c r="BU301" s="14">
        <v>258</v>
      </c>
      <c r="BV301" s="15">
        <f t="shared" si="306"/>
        <v>22</v>
      </c>
      <c r="BW301" s="16">
        <f>(1+INDEX('1 - Input'!$B$34:$E$63,BV301,'1 - Input'!$B$16))^(1/12)-1</f>
        <v>4.1219243192651689E-3</v>
      </c>
      <c r="BX301" s="17">
        <f>'1 - Input'!$B$7*(1+'1 - Input'!$B$12)^(BV301-1)</f>
        <v>4092.2991285243875</v>
      </c>
      <c r="BY301" s="17">
        <f t="shared" ref="BY301:BY364" si="337">CT300</f>
        <v>0</v>
      </c>
      <c r="BZ301" s="17">
        <f t="shared" ref="BZ301:BZ364" si="338">CU300</f>
        <v>0</v>
      </c>
      <c r="CA301" s="17">
        <f t="shared" si="307"/>
        <v>0</v>
      </c>
      <c r="CB301" s="17">
        <f>IF(CA301&gt;0,'1 - Input'!$B$8/12*CA301,0)</f>
        <v>0</v>
      </c>
      <c r="CC301" s="17">
        <f t="shared" si="308"/>
        <v>0</v>
      </c>
      <c r="CD301" s="17">
        <f t="shared" si="309"/>
        <v>0</v>
      </c>
      <c r="CE301" s="17">
        <f>'1 - Input'!$B$22*(CB301-CD301)</f>
        <v>0</v>
      </c>
      <c r="CF301" s="17">
        <f t="shared" si="310"/>
        <v>0</v>
      </c>
      <c r="CG301" s="17">
        <f t="shared" si="311"/>
        <v>0</v>
      </c>
      <c r="CH301" s="17">
        <f>IF('1 - Input'!$B$17=1,MAX(0,CF301-BX301),0)</f>
        <v>0</v>
      </c>
      <c r="CI301" s="17">
        <f>IF('1 - Input'!$B$17=1,MAX(0,BX301-CF301),0)</f>
        <v>4092.2991285243875</v>
      </c>
      <c r="CJ301" s="17">
        <f t="shared" si="312"/>
        <v>0</v>
      </c>
      <c r="CK301" s="17">
        <f>IF(AND(CI301&gt;0,CC301&gt;0),CI301/(1-'1 - Input'!$B$22*CJ301),0)</f>
        <v>0</v>
      </c>
      <c r="CL301" s="17">
        <f t="shared" si="313"/>
        <v>0</v>
      </c>
      <c r="CM301" s="17">
        <f>'1 - Input'!$B$22*CJ301*CL301</f>
        <v>0</v>
      </c>
      <c r="CN301" s="17">
        <f t="shared" si="314"/>
        <v>0</v>
      </c>
      <c r="CO301" s="17">
        <f t="shared" si="315"/>
        <v>4092.2991285243875</v>
      </c>
      <c r="CP301" s="17">
        <f t="shared" si="316"/>
        <v>0</v>
      </c>
      <c r="CQ301" s="17">
        <f t="shared" si="317"/>
        <v>0</v>
      </c>
      <c r="CR301" s="17">
        <f t="shared" si="318"/>
        <v>0</v>
      </c>
      <c r="CS301" s="17">
        <f>IF(MOD(BU301,12)=0,CQ301*'1 - Input'!$B$23,0)</f>
        <v>0</v>
      </c>
      <c r="CT301" s="17">
        <f t="shared" si="319"/>
        <v>0</v>
      </c>
      <c r="CU301" s="17">
        <f>IF(MOD(BU301,12)=0,CR301*(1-'1 - Input'!$B$23),CR301)</f>
        <v>0</v>
      </c>
      <c r="CV301" s="17">
        <f>IF('1 - Input'!$B$17=1,MIN(CF301,BX301)+CN301,CF301)</f>
        <v>0</v>
      </c>
      <c r="CW301" s="17">
        <f t="shared" ref="CW301:CW364" si="339">CW300+CV301</f>
        <v>686605.50041273201</v>
      </c>
      <c r="CX301" s="17">
        <f t="shared" ref="CX301:CX364" si="340">CX300+CE301</f>
        <v>6018.3402768167462</v>
      </c>
      <c r="CY301" s="17">
        <f t="shared" ref="CY301:CY364" si="341">CY300+CM301</f>
        <v>66518.776160328038</v>
      </c>
      <c r="CZ301" s="17">
        <f t="shared" ref="CZ301:CZ364" si="342">CZ300+CP301</f>
        <v>0</v>
      </c>
      <c r="DA301" s="17">
        <f t="shared" ref="DA301:DA364" si="343">DA300+CS301</f>
        <v>10954.114452440983</v>
      </c>
      <c r="DB301" s="17">
        <f t="shared" ref="DB301:DB364" si="344">DB300+CO301</f>
        <v>173327.77147304735</v>
      </c>
      <c r="DC301" s="15">
        <f t="shared" si="320"/>
        <v>1</v>
      </c>
    </row>
    <row r="302" spans="1:107">
      <c r="A302" s="14">
        <v>259</v>
      </c>
      <c r="B302" s="15">
        <f t="shared" si="276"/>
        <v>22</v>
      </c>
      <c r="C302" s="16">
        <f>(1+INDEX('1 - Input'!$B$34:$E$63,B302,'1 - Input'!$B$16))^(1/12)-1</f>
        <v>4.1219243192651689E-3</v>
      </c>
      <c r="D302" s="17">
        <f>'1 - Input'!$B$7*(1+'1 - Input'!$B$12)^(B302-1)</f>
        <v>4092.2991285243875</v>
      </c>
      <c r="E302" s="17">
        <f t="shared" si="321"/>
        <v>0</v>
      </c>
      <c r="F302" s="17">
        <f t="shared" si="322"/>
        <v>0</v>
      </c>
      <c r="G302" s="17">
        <f t="shared" si="277"/>
        <v>0</v>
      </c>
      <c r="H302" s="17">
        <f>IF(G302&gt;0,'1 - Input'!$B$8/12*G302,0)</f>
        <v>0</v>
      </c>
      <c r="I302" s="17">
        <f t="shared" si="278"/>
        <v>0</v>
      </c>
      <c r="J302" s="17">
        <f t="shared" si="279"/>
        <v>0</v>
      </c>
      <c r="K302" s="17">
        <f>'1 - Input'!$B$22*(H302-J302)</f>
        <v>0</v>
      </c>
      <c r="L302" s="17">
        <f t="shared" si="280"/>
        <v>0</v>
      </c>
      <c r="M302" s="17">
        <f t="shared" si="281"/>
        <v>0</v>
      </c>
      <c r="N302" s="17">
        <f>IF('1 - Input'!$B$17=1,MAX(0,L302-D302),0)</f>
        <v>0</v>
      </c>
      <c r="O302" s="17">
        <f>IF('1 - Input'!$B$17=1,MAX(0,D302-L302),0)</f>
        <v>4092.2991285243875</v>
      </c>
      <c r="P302" s="17">
        <f t="shared" si="282"/>
        <v>0</v>
      </c>
      <c r="Q302" s="17">
        <f>IF(AND(O302&gt;0,I302&gt;0),O302/(1-'1 - Input'!$B$22*P302),0)</f>
        <v>0</v>
      </c>
      <c r="R302" s="17">
        <f t="shared" si="283"/>
        <v>0</v>
      </c>
      <c r="S302" s="17">
        <f>'1 - Input'!$B$22*P302*R302</f>
        <v>0</v>
      </c>
      <c r="T302" s="17">
        <f t="shared" si="284"/>
        <v>0</v>
      </c>
      <c r="U302" s="17">
        <f t="shared" si="285"/>
        <v>4092.2991285243875</v>
      </c>
      <c r="V302" s="17">
        <f t="shared" si="286"/>
        <v>0</v>
      </c>
      <c r="W302" s="17">
        <f t="shared" si="287"/>
        <v>0</v>
      </c>
      <c r="X302" s="17">
        <f t="shared" si="288"/>
        <v>0</v>
      </c>
      <c r="Y302" s="17">
        <f>IF(MOD(A302,12)=0,W302*'1 - Input'!$B$23,0)</f>
        <v>0</v>
      </c>
      <c r="Z302" s="17">
        <f t="shared" si="289"/>
        <v>0</v>
      </c>
      <c r="AA302" s="17">
        <f>IF(MOD(A302,12)=0,X302*(1-'1 - Input'!$B$23),X302)</f>
        <v>0</v>
      </c>
      <c r="AB302" s="17">
        <f>IF('1 - Input'!$B$17=1,MIN(L302,D302)+T302,L302)</f>
        <v>0</v>
      </c>
      <c r="AC302" s="17">
        <f t="shared" si="323"/>
        <v>590482.93849429931</v>
      </c>
      <c r="AD302" s="17">
        <f t="shared" si="324"/>
        <v>101441.90180685223</v>
      </c>
      <c r="AE302" s="17">
        <f t="shared" si="325"/>
        <v>0</v>
      </c>
      <c r="AF302" s="17">
        <f t="shared" si="326"/>
        <v>174289.24056370757</v>
      </c>
      <c r="AG302" s="17">
        <f t="shared" si="327"/>
        <v>8123.5662772395826</v>
      </c>
      <c r="AH302" s="17">
        <f t="shared" si="328"/>
        <v>273542.63252000348</v>
      </c>
      <c r="AI302" s="15">
        <f t="shared" si="290"/>
        <v>1</v>
      </c>
      <c r="AK302" s="14">
        <v>259</v>
      </c>
      <c r="AL302" s="15">
        <f t="shared" si="291"/>
        <v>22</v>
      </c>
      <c r="AM302" s="16">
        <f>(1+INDEX('1 - Input'!$B$34:$E$63,AL302,'1 - Input'!$B$16))^(1/12)-1</f>
        <v>4.1219243192651689E-3</v>
      </c>
      <c r="AN302" s="17">
        <f>'1 - Input'!$B$7*(1+'1 - Input'!$B$12)^(AL302-1)</f>
        <v>4092.2991285243875</v>
      </c>
      <c r="AO302" s="17">
        <f t="shared" si="329"/>
        <v>0</v>
      </c>
      <c r="AP302" s="17">
        <f t="shared" si="330"/>
        <v>0</v>
      </c>
      <c r="AQ302" s="17">
        <f t="shared" si="292"/>
        <v>0</v>
      </c>
      <c r="AR302" s="17">
        <f>IF(AQ302&gt;0,'1 - Input'!$B$8/12*AQ302,0)</f>
        <v>0</v>
      </c>
      <c r="AS302" s="17">
        <f t="shared" si="293"/>
        <v>0</v>
      </c>
      <c r="AT302" s="17">
        <f t="shared" si="294"/>
        <v>0</v>
      </c>
      <c r="AU302" s="17">
        <f>'1 - Input'!$B$22*(AR302-AT302)</f>
        <v>0</v>
      </c>
      <c r="AV302" s="17">
        <f t="shared" si="295"/>
        <v>0</v>
      </c>
      <c r="AW302" s="17">
        <f t="shared" si="296"/>
        <v>0</v>
      </c>
      <c r="AX302" s="17">
        <f>IF('1 - Input'!$B$17=1,MAX(0,AV302-AN302),0)</f>
        <v>0</v>
      </c>
      <c r="AY302" s="17">
        <f>IF('1 - Input'!$B$17=1,MAX(0,AN302-AV302),0)</f>
        <v>4092.2991285243875</v>
      </c>
      <c r="AZ302" s="17">
        <f t="shared" si="297"/>
        <v>0</v>
      </c>
      <c r="BA302" s="17">
        <f>IF(AND(AY302&gt;0,AS302&gt;0),AY302/(1-'1 - Input'!$B$22*AZ302),0)</f>
        <v>0</v>
      </c>
      <c r="BB302" s="17">
        <f t="shared" si="298"/>
        <v>0</v>
      </c>
      <c r="BC302" s="17">
        <f>'1 - Input'!$B$22*AZ302*BB302</f>
        <v>0</v>
      </c>
      <c r="BD302" s="17">
        <f t="shared" si="299"/>
        <v>0</v>
      </c>
      <c r="BE302" s="17">
        <f t="shared" si="300"/>
        <v>4092.2991285243875</v>
      </c>
      <c r="BF302" s="17">
        <f t="shared" si="301"/>
        <v>0</v>
      </c>
      <c r="BG302" s="17">
        <f t="shared" si="302"/>
        <v>0</v>
      </c>
      <c r="BH302" s="17">
        <f t="shared" si="303"/>
        <v>0</v>
      </c>
      <c r="BI302" s="17">
        <f>IF(MOD(AK302,12)=0,BG302*'1 - Input'!$B$23,0)</f>
        <v>0</v>
      </c>
      <c r="BJ302" s="17">
        <f t="shared" si="304"/>
        <v>0</v>
      </c>
      <c r="BK302" s="17">
        <f>IF(MOD(AK302,12)=0,BH302*(1-'1 - Input'!$B$23),BH302)</f>
        <v>0</v>
      </c>
      <c r="BL302" s="17">
        <f>IF('1 - Input'!$B$17=1,MIN(AV302,AN302)+BD302,AV302)</f>
        <v>0</v>
      </c>
      <c r="BM302" s="17">
        <f t="shared" si="331"/>
        <v>590482.93849429931</v>
      </c>
      <c r="BN302" s="17">
        <f t="shared" si="332"/>
        <v>101441.90180685223</v>
      </c>
      <c r="BO302" s="17">
        <f t="shared" si="333"/>
        <v>0</v>
      </c>
      <c r="BP302" s="17">
        <f t="shared" si="334"/>
        <v>174289.24056370757</v>
      </c>
      <c r="BQ302" s="17">
        <f t="shared" si="335"/>
        <v>8123.5662772395826</v>
      </c>
      <c r="BR302" s="17">
        <f t="shared" si="336"/>
        <v>273542.63252000348</v>
      </c>
      <c r="BS302" s="15">
        <f t="shared" si="305"/>
        <v>1</v>
      </c>
      <c r="BU302" s="14">
        <v>259</v>
      </c>
      <c r="BV302" s="15">
        <f t="shared" si="306"/>
        <v>22</v>
      </c>
      <c r="BW302" s="16">
        <f>(1+INDEX('1 - Input'!$B$34:$E$63,BV302,'1 - Input'!$B$16))^(1/12)-1</f>
        <v>4.1219243192651689E-3</v>
      </c>
      <c r="BX302" s="17">
        <f>'1 - Input'!$B$7*(1+'1 - Input'!$B$12)^(BV302-1)</f>
        <v>4092.2991285243875</v>
      </c>
      <c r="BY302" s="17">
        <f t="shared" si="337"/>
        <v>0</v>
      </c>
      <c r="BZ302" s="17">
        <f t="shared" si="338"/>
        <v>0</v>
      </c>
      <c r="CA302" s="17">
        <f t="shared" si="307"/>
        <v>0</v>
      </c>
      <c r="CB302" s="17">
        <f>IF(CA302&gt;0,'1 - Input'!$B$8/12*CA302,0)</f>
        <v>0</v>
      </c>
      <c r="CC302" s="17">
        <f t="shared" si="308"/>
        <v>0</v>
      </c>
      <c r="CD302" s="17">
        <f t="shared" si="309"/>
        <v>0</v>
      </c>
      <c r="CE302" s="17">
        <f>'1 - Input'!$B$22*(CB302-CD302)</f>
        <v>0</v>
      </c>
      <c r="CF302" s="17">
        <f t="shared" si="310"/>
        <v>0</v>
      </c>
      <c r="CG302" s="17">
        <f t="shared" si="311"/>
        <v>0</v>
      </c>
      <c r="CH302" s="17">
        <f>IF('1 - Input'!$B$17=1,MAX(0,CF302-BX302),0)</f>
        <v>0</v>
      </c>
      <c r="CI302" s="17">
        <f>IF('1 - Input'!$B$17=1,MAX(0,BX302-CF302),0)</f>
        <v>4092.2991285243875</v>
      </c>
      <c r="CJ302" s="17">
        <f t="shared" si="312"/>
        <v>0</v>
      </c>
      <c r="CK302" s="17">
        <f>IF(AND(CI302&gt;0,CC302&gt;0),CI302/(1-'1 - Input'!$B$22*CJ302),0)</f>
        <v>0</v>
      </c>
      <c r="CL302" s="17">
        <f t="shared" si="313"/>
        <v>0</v>
      </c>
      <c r="CM302" s="17">
        <f>'1 - Input'!$B$22*CJ302*CL302</f>
        <v>0</v>
      </c>
      <c r="CN302" s="17">
        <f t="shared" si="314"/>
        <v>0</v>
      </c>
      <c r="CO302" s="17">
        <f t="shared" si="315"/>
        <v>4092.2991285243875</v>
      </c>
      <c r="CP302" s="17">
        <f t="shared" si="316"/>
        <v>0</v>
      </c>
      <c r="CQ302" s="17">
        <f t="shared" si="317"/>
        <v>0</v>
      </c>
      <c r="CR302" s="17">
        <f t="shared" si="318"/>
        <v>0</v>
      </c>
      <c r="CS302" s="17">
        <f>IF(MOD(BU302,12)=0,CQ302*'1 - Input'!$B$23,0)</f>
        <v>0</v>
      </c>
      <c r="CT302" s="17">
        <f t="shared" si="319"/>
        <v>0</v>
      </c>
      <c r="CU302" s="17">
        <f>IF(MOD(BU302,12)=0,CR302*(1-'1 - Input'!$B$23),CR302)</f>
        <v>0</v>
      </c>
      <c r="CV302" s="17">
        <f>IF('1 - Input'!$B$17=1,MIN(CF302,BX302)+CN302,CF302)</f>
        <v>0</v>
      </c>
      <c r="CW302" s="17">
        <f t="shared" si="339"/>
        <v>686605.50041273201</v>
      </c>
      <c r="CX302" s="17">
        <f t="shared" si="340"/>
        <v>6018.3402768167462</v>
      </c>
      <c r="CY302" s="17">
        <f t="shared" si="341"/>
        <v>66518.776160328038</v>
      </c>
      <c r="CZ302" s="17">
        <f t="shared" si="342"/>
        <v>0</v>
      </c>
      <c r="DA302" s="17">
        <f t="shared" si="343"/>
        <v>10954.114452440983</v>
      </c>
      <c r="DB302" s="17">
        <f t="shared" si="344"/>
        <v>177420.07060157173</v>
      </c>
      <c r="DC302" s="15">
        <f t="shared" si="320"/>
        <v>1</v>
      </c>
    </row>
    <row r="303" spans="1:107">
      <c r="A303" s="14">
        <v>260</v>
      </c>
      <c r="B303" s="15">
        <f t="shared" si="276"/>
        <v>22</v>
      </c>
      <c r="C303" s="16">
        <f>(1+INDEX('1 - Input'!$B$34:$E$63,B303,'1 - Input'!$B$16))^(1/12)-1</f>
        <v>4.1219243192651689E-3</v>
      </c>
      <c r="D303" s="17">
        <f>'1 - Input'!$B$7*(1+'1 - Input'!$B$12)^(B303-1)</f>
        <v>4092.2991285243875</v>
      </c>
      <c r="E303" s="17">
        <f t="shared" si="321"/>
        <v>0</v>
      </c>
      <c r="F303" s="17">
        <f t="shared" si="322"/>
        <v>0</v>
      </c>
      <c r="G303" s="17">
        <f t="shared" si="277"/>
        <v>0</v>
      </c>
      <c r="H303" s="17">
        <f>IF(G303&gt;0,'1 - Input'!$B$8/12*G303,0)</f>
        <v>0</v>
      </c>
      <c r="I303" s="17">
        <f t="shared" si="278"/>
        <v>0</v>
      </c>
      <c r="J303" s="17">
        <f t="shared" si="279"/>
        <v>0</v>
      </c>
      <c r="K303" s="17">
        <f>'1 - Input'!$B$22*(H303-J303)</f>
        <v>0</v>
      </c>
      <c r="L303" s="17">
        <f t="shared" si="280"/>
        <v>0</v>
      </c>
      <c r="M303" s="17">
        <f t="shared" si="281"/>
        <v>0</v>
      </c>
      <c r="N303" s="17">
        <f>IF('1 - Input'!$B$17=1,MAX(0,L303-D303),0)</f>
        <v>0</v>
      </c>
      <c r="O303" s="17">
        <f>IF('1 - Input'!$B$17=1,MAX(0,D303-L303),0)</f>
        <v>4092.2991285243875</v>
      </c>
      <c r="P303" s="17">
        <f t="shared" si="282"/>
        <v>0</v>
      </c>
      <c r="Q303" s="17">
        <f>IF(AND(O303&gt;0,I303&gt;0),O303/(1-'1 - Input'!$B$22*P303),0)</f>
        <v>0</v>
      </c>
      <c r="R303" s="17">
        <f t="shared" si="283"/>
        <v>0</v>
      </c>
      <c r="S303" s="17">
        <f>'1 - Input'!$B$22*P303*R303</f>
        <v>0</v>
      </c>
      <c r="T303" s="17">
        <f t="shared" si="284"/>
        <v>0</v>
      </c>
      <c r="U303" s="17">
        <f t="shared" si="285"/>
        <v>4092.2991285243875</v>
      </c>
      <c r="V303" s="17">
        <f t="shared" si="286"/>
        <v>0</v>
      </c>
      <c r="W303" s="17">
        <f t="shared" si="287"/>
        <v>0</v>
      </c>
      <c r="X303" s="17">
        <f t="shared" si="288"/>
        <v>0</v>
      </c>
      <c r="Y303" s="17">
        <f>IF(MOD(A303,12)=0,W303*'1 - Input'!$B$23,0)</f>
        <v>0</v>
      </c>
      <c r="Z303" s="17">
        <f t="shared" si="289"/>
        <v>0</v>
      </c>
      <c r="AA303" s="17">
        <f>IF(MOD(A303,12)=0,X303*(1-'1 - Input'!$B$23),X303)</f>
        <v>0</v>
      </c>
      <c r="AB303" s="17">
        <f>IF('1 - Input'!$B$17=1,MIN(L303,D303)+T303,L303)</f>
        <v>0</v>
      </c>
      <c r="AC303" s="17">
        <f t="shared" si="323"/>
        <v>590482.93849429931</v>
      </c>
      <c r="AD303" s="17">
        <f t="shared" si="324"/>
        <v>101441.90180685223</v>
      </c>
      <c r="AE303" s="17">
        <f t="shared" si="325"/>
        <v>0</v>
      </c>
      <c r="AF303" s="17">
        <f t="shared" si="326"/>
        <v>174289.24056370757</v>
      </c>
      <c r="AG303" s="17">
        <f t="shared" si="327"/>
        <v>8123.5662772395826</v>
      </c>
      <c r="AH303" s="17">
        <f t="shared" si="328"/>
        <v>277634.93164852785</v>
      </c>
      <c r="AI303" s="15">
        <f t="shared" si="290"/>
        <v>1</v>
      </c>
      <c r="AK303" s="14">
        <v>260</v>
      </c>
      <c r="AL303" s="15">
        <f t="shared" si="291"/>
        <v>22</v>
      </c>
      <c r="AM303" s="16">
        <f>(1+INDEX('1 - Input'!$B$34:$E$63,AL303,'1 - Input'!$B$16))^(1/12)-1</f>
        <v>4.1219243192651689E-3</v>
      </c>
      <c r="AN303" s="17">
        <f>'1 - Input'!$B$7*(1+'1 - Input'!$B$12)^(AL303-1)</f>
        <v>4092.2991285243875</v>
      </c>
      <c r="AO303" s="17">
        <f t="shared" si="329"/>
        <v>0</v>
      </c>
      <c r="AP303" s="17">
        <f t="shared" si="330"/>
        <v>0</v>
      </c>
      <c r="AQ303" s="17">
        <f t="shared" si="292"/>
        <v>0</v>
      </c>
      <c r="AR303" s="17">
        <f>IF(AQ303&gt;0,'1 - Input'!$B$8/12*AQ303,0)</f>
        <v>0</v>
      </c>
      <c r="AS303" s="17">
        <f t="shared" si="293"/>
        <v>0</v>
      </c>
      <c r="AT303" s="17">
        <f t="shared" si="294"/>
        <v>0</v>
      </c>
      <c r="AU303" s="17">
        <f>'1 - Input'!$B$22*(AR303-AT303)</f>
        <v>0</v>
      </c>
      <c r="AV303" s="17">
        <f t="shared" si="295"/>
        <v>0</v>
      </c>
      <c r="AW303" s="17">
        <f t="shared" si="296"/>
        <v>0</v>
      </c>
      <c r="AX303" s="17">
        <f>IF('1 - Input'!$B$17=1,MAX(0,AV303-AN303),0)</f>
        <v>0</v>
      </c>
      <c r="AY303" s="17">
        <f>IF('1 - Input'!$B$17=1,MAX(0,AN303-AV303),0)</f>
        <v>4092.2991285243875</v>
      </c>
      <c r="AZ303" s="17">
        <f t="shared" si="297"/>
        <v>0</v>
      </c>
      <c r="BA303" s="17">
        <f>IF(AND(AY303&gt;0,AS303&gt;0),AY303/(1-'1 - Input'!$B$22*AZ303),0)</f>
        <v>0</v>
      </c>
      <c r="BB303" s="17">
        <f t="shared" si="298"/>
        <v>0</v>
      </c>
      <c r="BC303" s="17">
        <f>'1 - Input'!$B$22*AZ303*BB303</f>
        <v>0</v>
      </c>
      <c r="BD303" s="17">
        <f t="shared" si="299"/>
        <v>0</v>
      </c>
      <c r="BE303" s="17">
        <f t="shared" si="300"/>
        <v>4092.2991285243875</v>
      </c>
      <c r="BF303" s="17">
        <f t="shared" si="301"/>
        <v>0</v>
      </c>
      <c r="BG303" s="17">
        <f t="shared" si="302"/>
        <v>0</v>
      </c>
      <c r="BH303" s="17">
        <f t="shared" si="303"/>
        <v>0</v>
      </c>
      <c r="BI303" s="17">
        <f>IF(MOD(AK303,12)=0,BG303*'1 - Input'!$B$23,0)</f>
        <v>0</v>
      </c>
      <c r="BJ303" s="17">
        <f t="shared" si="304"/>
        <v>0</v>
      </c>
      <c r="BK303" s="17">
        <f>IF(MOD(AK303,12)=0,BH303*(1-'1 - Input'!$B$23),BH303)</f>
        <v>0</v>
      </c>
      <c r="BL303" s="17">
        <f>IF('1 - Input'!$B$17=1,MIN(AV303,AN303)+BD303,AV303)</f>
        <v>0</v>
      </c>
      <c r="BM303" s="17">
        <f t="shared" si="331"/>
        <v>590482.93849429931</v>
      </c>
      <c r="BN303" s="17">
        <f t="shared" si="332"/>
        <v>101441.90180685223</v>
      </c>
      <c r="BO303" s="17">
        <f t="shared" si="333"/>
        <v>0</v>
      </c>
      <c r="BP303" s="17">
        <f t="shared" si="334"/>
        <v>174289.24056370757</v>
      </c>
      <c r="BQ303" s="17">
        <f t="shared" si="335"/>
        <v>8123.5662772395826</v>
      </c>
      <c r="BR303" s="17">
        <f t="shared" si="336"/>
        <v>277634.93164852785</v>
      </c>
      <c r="BS303" s="15">
        <f t="shared" si="305"/>
        <v>1</v>
      </c>
      <c r="BU303" s="14">
        <v>260</v>
      </c>
      <c r="BV303" s="15">
        <f t="shared" si="306"/>
        <v>22</v>
      </c>
      <c r="BW303" s="16">
        <f>(1+INDEX('1 - Input'!$B$34:$E$63,BV303,'1 - Input'!$B$16))^(1/12)-1</f>
        <v>4.1219243192651689E-3</v>
      </c>
      <c r="BX303" s="17">
        <f>'1 - Input'!$B$7*(1+'1 - Input'!$B$12)^(BV303-1)</f>
        <v>4092.2991285243875</v>
      </c>
      <c r="BY303" s="17">
        <f t="shared" si="337"/>
        <v>0</v>
      </c>
      <c r="BZ303" s="17">
        <f t="shared" si="338"/>
        <v>0</v>
      </c>
      <c r="CA303" s="17">
        <f t="shared" si="307"/>
        <v>0</v>
      </c>
      <c r="CB303" s="17">
        <f>IF(CA303&gt;0,'1 - Input'!$B$8/12*CA303,0)</f>
        <v>0</v>
      </c>
      <c r="CC303" s="17">
        <f t="shared" si="308"/>
        <v>0</v>
      </c>
      <c r="CD303" s="17">
        <f t="shared" si="309"/>
        <v>0</v>
      </c>
      <c r="CE303" s="17">
        <f>'1 - Input'!$B$22*(CB303-CD303)</f>
        <v>0</v>
      </c>
      <c r="CF303" s="17">
        <f t="shared" si="310"/>
        <v>0</v>
      </c>
      <c r="CG303" s="17">
        <f t="shared" si="311"/>
        <v>0</v>
      </c>
      <c r="CH303" s="17">
        <f>IF('1 - Input'!$B$17=1,MAX(0,CF303-BX303),0)</f>
        <v>0</v>
      </c>
      <c r="CI303" s="17">
        <f>IF('1 - Input'!$B$17=1,MAX(0,BX303-CF303),0)</f>
        <v>4092.2991285243875</v>
      </c>
      <c r="CJ303" s="17">
        <f t="shared" si="312"/>
        <v>0</v>
      </c>
      <c r="CK303" s="17">
        <f>IF(AND(CI303&gt;0,CC303&gt;0),CI303/(1-'1 - Input'!$B$22*CJ303),0)</f>
        <v>0</v>
      </c>
      <c r="CL303" s="17">
        <f t="shared" si="313"/>
        <v>0</v>
      </c>
      <c r="CM303" s="17">
        <f>'1 - Input'!$B$22*CJ303*CL303</f>
        <v>0</v>
      </c>
      <c r="CN303" s="17">
        <f t="shared" si="314"/>
        <v>0</v>
      </c>
      <c r="CO303" s="17">
        <f t="shared" si="315"/>
        <v>4092.2991285243875</v>
      </c>
      <c r="CP303" s="17">
        <f t="shared" si="316"/>
        <v>0</v>
      </c>
      <c r="CQ303" s="17">
        <f t="shared" si="317"/>
        <v>0</v>
      </c>
      <c r="CR303" s="17">
        <f t="shared" si="318"/>
        <v>0</v>
      </c>
      <c r="CS303" s="17">
        <f>IF(MOD(BU303,12)=0,CQ303*'1 - Input'!$B$23,0)</f>
        <v>0</v>
      </c>
      <c r="CT303" s="17">
        <f t="shared" si="319"/>
        <v>0</v>
      </c>
      <c r="CU303" s="17">
        <f>IF(MOD(BU303,12)=0,CR303*(1-'1 - Input'!$B$23),CR303)</f>
        <v>0</v>
      </c>
      <c r="CV303" s="17">
        <f>IF('1 - Input'!$B$17=1,MIN(CF303,BX303)+CN303,CF303)</f>
        <v>0</v>
      </c>
      <c r="CW303" s="17">
        <f t="shared" si="339"/>
        <v>686605.50041273201</v>
      </c>
      <c r="CX303" s="17">
        <f t="shared" si="340"/>
        <v>6018.3402768167462</v>
      </c>
      <c r="CY303" s="17">
        <f t="shared" si="341"/>
        <v>66518.776160328038</v>
      </c>
      <c r="CZ303" s="17">
        <f t="shared" si="342"/>
        <v>0</v>
      </c>
      <c r="DA303" s="17">
        <f t="shared" si="343"/>
        <v>10954.114452440983</v>
      </c>
      <c r="DB303" s="17">
        <f t="shared" si="344"/>
        <v>181512.36973009611</v>
      </c>
      <c r="DC303" s="15">
        <f t="shared" si="320"/>
        <v>1</v>
      </c>
    </row>
    <row r="304" spans="1:107">
      <c r="A304" s="14">
        <v>261</v>
      </c>
      <c r="B304" s="15">
        <f t="shared" si="276"/>
        <v>22</v>
      </c>
      <c r="C304" s="16">
        <f>(1+INDEX('1 - Input'!$B$34:$E$63,B304,'1 - Input'!$B$16))^(1/12)-1</f>
        <v>4.1219243192651689E-3</v>
      </c>
      <c r="D304" s="17">
        <f>'1 - Input'!$B$7*(1+'1 - Input'!$B$12)^(B304-1)</f>
        <v>4092.2991285243875</v>
      </c>
      <c r="E304" s="17">
        <f t="shared" si="321"/>
        <v>0</v>
      </c>
      <c r="F304" s="17">
        <f t="shared" si="322"/>
        <v>0</v>
      </c>
      <c r="G304" s="17">
        <f t="shared" si="277"/>
        <v>0</v>
      </c>
      <c r="H304" s="17">
        <f>IF(G304&gt;0,'1 - Input'!$B$8/12*G304,0)</f>
        <v>0</v>
      </c>
      <c r="I304" s="17">
        <f t="shared" si="278"/>
        <v>0</v>
      </c>
      <c r="J304" s="17">
        <f t="shared" si="279"/>
        <v>0</v>
      </c>
      <c r="K304" s="17">
        <f>'1 - Input'!$B$22*(H304-J304)</f>
        <v>0</v>
      </c>
      <c r="L304" s="17">
        <f t="shared" si="280"/>
        <v>0</v>
      </c>
      <c r="M304" s="17">
        <f t="shared" si="281"/>
        <v>0</v>
      </c>
      <c r="N304" s="17">
        <f>IF('1 - Input'!$B$17=1,MAX(0,L304-D304),0)</f>
        <v>0</v>
      </c>
      <c r="O304" s="17">
        <f>IF('1 - Input'!$B$17=1,MAX(0,D304-L304),0)</f>
        <v>4092.2991285243875</v>
      </c>
      <c r="P304" s="17">
        <f t="shared" si="282"/>
        <v>0</v>
      </c>
      <c r="Q304" s="17">
        <f>IF(AND(O304&gt;0,I304&gt;0),O304/(1-'1 - Input'!$B$22*P304),0)</f>
        <v>0</v>
      </c>
      <c r="R304" s="17">
        <f t="shared" si="283"/>
        <v>0</v>
      </c>
      <c r="S304" s="17">
        <f>'1 - Input'!$B$22*P304*R304</f>
        <v>0</v>
      </c>
      <c r="T304" s="17">
        <f t="shared" si="284"/>
        <v>0</v>
      </c>
      <c r="U304" s="17">
        <f t="shared" si="285"/>
        <v>4092.2991285243875</v>
      </c>
      <c r="V304" s="17">
        <f t="shared" si="286"/>
        <v>0</v>
      </c>
      <c r="W304" s="17">
        <f t="shared" si="287"/>
        <v>0</v>
      </c>
      <c r="X304" s="17">
        <f t="shared" si="288"/>
        <v>0</v>
      </c>
      <c r="Y304" s="17">
        <f>IF(MOD(A304,12)=0,W304*'1 - Input'!$B$23,0)</f>
        <v>0</v>
      </c>
      <c r="Z304" s="17">
        <f t="shared" si="289"/>
        <v>0</v>
      </c>
      <c r="AA304" s="17">
        <f>IF(MOD(A304,12)=0,X304*(1-'1 - Input'!$B$23),X304)</f>
        <v>0</v>
      </c>
      <c r="AB304" s="17">
        <f>IF('1 - Input'!$B$17=1,MIN(L304,D304)+T304,L304)</f>
        <v>0</v>
      </c>
      <c r="AC304" s="17">
        <f t="shared" si="323"/>
        <v>590482.93849429931</v>
      </c>
      <c r="AD304" s="17">
        <f t="shared" si="324"/>
        <v>101441.90180685223</v>
      </c>
      <c r="AE304" s="17">
        <f t="shared" si="325"/>
        <v>0</v>
      </c>
      <c r="AF304" s="17">
        <f t="shared" si="326"/>
        <v>174289.24056370757</v>
      </c>
      <c r="AG304" s="17">
        <f t="shared" si="327"/>
        <v>8123.5662772395826</v>
      </c>
      <c r="AH304" s="17">
        <f t="shared" si="328"/>
        <v>281727.23077705223</v>
      </c>
      <c r="AI304" s="15">
        <f t="shared" si="290"/>
        <v>1</v>
      </c>
      <c r="AK304" s="14">
        <v>261</v>
      </c>
      <c r="AL304" s="15">
        <f t="shared" si="291"/>
        <v>22</v>
      </c>
      <c r="AM304" s="16">
        <f>(1+INDEX('1 - Input'!$B$34:$E$63,AL304,'1 - Input'!$B$16))^(1/12)-1</f>
        <v>4.1219243192651689E-3</v>
      </c>
      <c r="AN304" s="17">
        <f>'1 - Input'!$B$7*(1+'1 - Input'!$B$12)^(AL304-1)</f>
        <v>4092.2991285243875</v>
      </c>
      <c r="AO304" s="17">
        <f t="shared" si="329"/>
        <v>0</v>
      </c>
      <c r="AP304" s="17">
        <f t="shared" si="330"/>
        <v>0</v>
      </c>
      <c r="AQ304" s="17">
        <f t="shared" si="292"/>
        <v>0</v>
      </c>
      <c r="AR304" s="17">
        <f>IF(AQ304&gt;0,'1 - Input'!$B$8/12*AQ304,0)</f>
        <v>0</v>
      </c>
      <c r="AS304" s="17">
        <f t="shared" si="293"/>
        <v>0</v>
      </c>
      <c r="AT304" s="17">
        <f t="shared" si="294"/>
        <v>0</v>
      </c>
      <c r="AU304" s="17">
        <f>'1 - Input'!$B$22*(AR304-AT304)</f>
        <v>0</v>
      </c>
      <c r="AV304" s="17">
        <f t="shared" si="295"/>
        <v>0</v>
      </c>
      <c r="AW304" s="17">
        <f t="shared" si="296"/>
        <v>0</v>
      </c>
      <c r="AX304" s="17">
        <f>IF('1 - Input'!$B$17=1,MAX(0,AV304-AN304),0)</f>
        <v>0</v>
      </c>
      <c r="AY304" s="17">
        <f>IF('1 - Input'!$B$17=1,MAX(0,AN304-AV304),0)</f>
        <v>4092.2991285243875</v>
      </c>
      <c r="AZ304" s="17">
        <f t="shared" si="297"/>
        <v>0</v>
      </c>
      <c r="BA304" s="17">
        <f>IF(AND(AY304&gt;0,AS304&gt;0),AY304/(1-'1 - Input'!$B$22*AZ304),0)</f>
        <v>0</v>
      </c>
      <c r="BB304" s="17">
        <f t="shared" si="298"/>
        <v>0</v>
      </c>
      <c r="BC304" s="17">
        <f>'1 - Input'!$B$22*AZ304*BB304</f>
        <v>0</v>
      </c>
      <c r="BD304" s="17">
        <f t="shared" si="299"/>
        <v>0</v>
      </c>
      <c r="BE304" s="17">
        <f t="shared" si="300"/>
        <v>4092.2991285243875</v>
      </c>
      <c r="BF304" s="17">
        <f t="shared" si="301"/>
        <v>0</v>
      </c>
      <c r="BG304" s="17">
        <f t="shared" si="302"/>
        <v>0</v>
      </c>
      <c r="BH304" s="17">
        <f t="shared" si="303"/>
        <v>0</v>
      </c>
      <c r="BI304" s="17">
        <f>IF(MOD(AK304,12)=0,BG304*'1 - Input'!$B$23,0)</f>
        <v>0</v>
      </c>
      <c r="BJ304" s="17">
        <f t="shared" si="304"/>
        <v>0</v>
      </c>
      <c r="BK304" s="17">
        <f>IF(MOD(AK304,12)=0,BH304*(1-'1 - Input'!$B$23),BH304)</f>
        <v>0</v>
      </c>
      <c r="BL304" s="17">
        <f>IF('1 - Input'!$B$17=1,MIN(AV304,AN304)+BD304,AV304)</f>
        <v>0</v>
      </c>
      <c r="BM304" s="17">
        <f t="shared" si="331"/>
        <v>590482.93849429931</v>
      </c>
      <c r="BN304" s="17">
        <f t="shared" si="332"/>
        <v>101441.90180685223</v>
      </c>
      <c r="BO304" s="17">
        <f t="shared" si="333"/>
        <v>0</v>
      </c>
      <c r="BP304" s="17">
        <f t="shared" si="334"/>
        <v>174289.24056370757</v>
      </c>
      <c r="BQ304" s="17">
        <f t="shared" si="335"/>
        <v>8123.5662772395826</v>
      </c>
      <c r="BR304" s="17">
        <f t="shared" si="336"/>
        <v>281727.23077705223</v>
      </c>
      <c r="BS304" s="15">
        <f t="shared" si="305"/>
        <v>1</v>
      </c>
      <c r="BU304" s="14">
        <v>261</v>
      </c>
      <c r="BV304" s="15">
        <f t="shared" si="306"/>
        <v>22</v>
      </c>
      <c r="BW304" s="16">
        <f>(1+INDEX('1 - Input'!$B$34:$E$63,BV304,'1 - Input'!$B$16))^(1/12)-1</f>
        <v>4.1219243192651689E-3</v>
      </c>
      <c r="BX304" s="17">
        <f>'1 - Input'!$B$7*(1+'1 - Input'!$B$12)^(BV304-1)</f>
        <v>4092.2991285243875</v>
      </c>
      <c r="BY304" s="17">
        <f t="shared" si="337"/>
        <v>0</v>
      </c>
      <c r="BZ304" s="17">
        <f t="shared" si="338"/>
        <v>0</v>
      </c>
      <c r="CA304" s="17">
        <f t="shared" si="307"/>
        <v>0</v>
      </c>
      <c r="CB304" s="17">
        <f>IF(CA304&gt;0,'1 - Input'!$B$8/12*CA304,0)</f>
        <v>0</v>
      </c>
      <c r="CC304" s="17">
        <f t="shared" si="308"/>
        <v>0</v>
      </c>
      <c r="CD304" s="17">
        <f t="shared" si="309"/>
        <v>0</v>
      </c>
      <c r="CE304" s="17">
        <f>'1 - Input'!$B$22*(CB304-CD304)</f>
        <v>0</v>
      </c>
      <c r="CF304" s="17">
        <f t="shared" si="310"/>
        <v>0</v>
      </c>
      <c r="CG304" s="17">
        <f t="shared" si="311"/>
        <v>0</v>
      </c>
      <c r="CH304" s="17">
        <f>IF('1 - Input'!$B$17=1,MAX(0,CF304-BX304),0)</f>
        <v>0</v>
      </c>
      <c r="CI304" s="17">
        <f>IF('1 - Input'!$B$17=1,MAX(0,BX304-CF304),0)</f>
        <v>4092.2991285243875</v>
      </c>
      <c r="CJ304" s="17">
        <f t="shared" si="312"/>
        <v>0</v>
      </c>
      <c r="CK304" s="17">
        <f>IF(AND(CI304&gt;0,CC304&gt;0),CI304/(1-'1 - Input'!$B$22*CJ304),0)</f>
        <v>0</v>
      </c>
      <c r="CL304" s="17">
        <f t="shared" si="313"/>
        <v>0</v>
      </c>
      <c r="CM304" s="17">
        <f>'1 - Input'!$B$22*CJ304*CL304</f>
        <v>0</v>
      </c>
      <c r="CN304" s="17">
        <f t="shared" si="314"/>
        <v>0</v>
      </c>
      <c r="CO304" s="17">
        <f t="shared" si="315"/>
        <v>4092.2991285243875</v>
      </c>
      <c r="CP304" s="17">
        <f t="shared" si="316"/>
        <v>0</v>
      </c>
      <c r="CQ304" s="17">
        <f t="shared" si="317"/>
        <v>0</v>
      </c>
      <c r="CR304" s="17">
        <f t="shared" si="318"/>
        <v>0</v>
      </c>
      <c r="CS304" s="17">
        <f>IF(MOD(BU304,12)=0,CQ304*'1 - Input'!$B$23,0)</f>
        <v>0</v>
      </c>
      <c r="CT304" s="17">
        <f t="shared" si="319"/>
        <v>0</v>
      </c>
      <c r="CU304" s="17">
        <f>IF(MOD(BU304,12)=0,CR304*(1-'1 - Input'!$B$23),CR304)</f>
        <v>0</v>
      </c>
      <c r="CV304" s="17">
        <f>IF('1 - Input'!$B$17=1,MIN(CF304,BX304)+CN304,CF304)</f>
        <v>0</v>
      </c>
      <c r="CW304" s="17">
        <f t="shared" si="339"/>
        <v>686605.50041273201</v>
      </c>
      <c r="CX304" s="17">
        <f t="shared" si="340"/>
        <v>6018.3402768167462</v>
      </c>
      <c r="CY304" s="17">
        <f t="shared" si="341"/>
        <v>66518.776160328038</v>
      </c>
      <c r="CZ304" s="17">
        <f t="shared" si="342"/>
        <v>0</v>
      </c>
      <c r="DA304" s="17">
        <f t="shared" si="343"/>
        <v>10954.114452440983</v>
      </c>
      <c r="DB304" s="17">
        <f t="shared" si="344"/>
        <v>185604.66885862048</v>
      </c>
      <c r="DC304" s="15">
        <f t="shared" si="320"/>
        <v>1</v>
      </c>
    </row>
    <row r="305" spans="1:107">
      <c r="A305" s="14">
        <v>262</v>
      </c>
      <c r="B305" s="15">
        <f t="shared" si="276"/>
        <v>22</v>
      </c>
      <c r="C305" s="16">
        <f>(1+INDEX('1 - Input'!$B$34:$E$63,B305,'1 - Input'!$B$16))^(1/12)-1</f>
        <v>4.1219243192651689E-3</v>
      </c>
      <c r="D305" s="17">
        <f>'1 - Input'!$B$7*(1+'1 - Input'!$B$12)^(B305-1)</f>
        <v>4092.2991285243875</v>
      </c>
      <c r="E305" s="17">
        <f t="shared" si="321"/>
        <v>0</v>
      </c>
      <c r="F305" s="17">
        <f t="shared" si="322"/>
        <v>0</v>
      </c>
      <c r="G305" s="17">
        <f t="shared" si="277"/>
        <v>0</v>
      </c>
      <c r="H305" s="17">
        <f>IF(G305&gt;0,'1 - Input'!$B$8/12*G305,0)</f>
        <v>0</v>
      </c>
      <c r="I305" s="17">
        <f t="shared" si="278"/>
        <v>0</v>
      </c>
      <c r="J305" s="17">
        <f t="shared" si="279"/>
        <v>0</v>
      </c>
      <c r="K305" s="17">
        <f>'1 - Input'!$B$22*(H305-J305)</f>
        <v>0</v>
      </c>
      <c r="L305" s="17">
        <f t="shared" si="280"/>
        <v>0</v>
      </c>
      <c r="M305" s="17">
        <f t="shared" si="281"/>
        <v>0</v>
      </c>
      <c r="N305" s="17">
        <f>IF('1 - Input'!$B$17=1,MAX(0,L305-D305),0)</f>
        <v>0</v>
      </c>
      <c r="O305" s="17">
        <f>IF('1 - Input'!$B$17=1,MAX(0,D305-L305),0)</f>
        <v>4092.2991285243875</v>
      </c>
      <c r="P305" s="17">
        <f t="shared" si="282"/>
        <v>0</v>
      </c>
      <c r="Q305" s="17">
        <f>IF(AND(O305&gt;0,I305&gt;0),O305/(1-'1 - Input'!$B$22*P305),0)</f>
        <v>0</v>
      </c>
      <c r="R305" s="17">
        <f t="shared" si="283"/>
        <v>0</v>
      </c>
      <c r="S305" s="17">
        <f>'1 - Input'!$B$22*P305*R305</f>
        <v>0</v>
      </c>
      <c r="T305" s="17">
        <f t="shared" si="284"/>
        <v>0</v>
      </c>
      <c r="U305" s="17">
        <f t="shared" si="285"/>
        <v>4092.2991285243875</v>
      </c>
      <c r="V305" s="17">
        <f t="shared" si="286"/>
        <v>0</v>
      </c>
      <c r="W305" s="17">
        <f t="shared" si="287"/>
        <v>0</v>
      </c>
      <c r="X305" s="17">
        <f t="shared" si="288"/>
        <v>0</v>
      </c>
      <c r="Y305" s="17">
        <f>IF(MOD(A305,12)=0,W305*'1 - Input'!$B$23,0)</f>
        <v>0</v>
      </c>
      <c r="Z305" s="17">
        <f t="shared" si="289"/>
        <v>0</v>
      </c>
      <c r="AA305" s="17">
        <f>IF(MOD(A305,12)=0,X305*(1-'1 - Input'!$B$23),X305)</f>
        <v>0</v>
      </c>
      <c r="AB305" s="17">
        <f>IF('1 - Input'!$B$17=1,MIN(L305,D305)+T305,L305)</f>
        <v>0</v>
      </c>
      <c r="AC305" s="17">
        <f t="shared" si="323"/>
        <v>590482.93849429931</v>
      </c>
      <c r="AD305" s="17">
        <f t="shared" si="324"/>
        <v>101441.90180685223</v>
      </c>
      <c r="AE305" s="17">
        <f t="shared" si="325"/>
        <v>0</v>
      </c>
      <c r="AF305" s="17">
        <f t="shared" si="326"/>
        <v>174289.24056370757</v>
      </c>
      <c r="AG305" s="17">
        <f t="shared" si="327"/>
        <v>8123.5662772395826</v>
      </c>
      <c r="AH305" s="17">
        <f t="shared" si="328"/>
        <v>285819.52990557661</v>
      </c>
      <c r="AI305" s="15">
        <f t="shared" si="290"/>
        <v>1</v>
      </c>
      <c r="AK305" s="14">
        <v>262</v>
      </c>
      <c r="AL305" s="15">
        <f t="shared" si="291"/>
        <v>22</v>
      </c>
      <c r="AM305" s="16">
        <f>(1+INDEX('1 - Input'!$B$34:$E$63,AL305,'1 - Input'!$B$16))^(1/12)-1</f>
        <v>4.1219243192651689E-3</v>
      </c>
      <c r="AN305" s="17">
        <f>'1 - Input'!$B$7*(1+'1 - Input'!$B$12)^(AL305-1)</f>
        <v>4092.2991285243875</v>
      </c>
      <c r="AO305" s="17">
        <f t="shared" si="329"/>
        <v>0</v>
      </c>
      <c r="AP305" s="17">
        <f t="shared" si="330"/>
        <v>0</v>
      </c>
      <c r="AQ305" s="17">
        <f t="shared" si="292"/>
        <v>0</v>
      </c>
      <c r="AR305" s="17">
        <f>IF(AQ305&gt;0,'1 - Input'!$B$8/12*AQ305,0)</f>
        <v>0</v>
      </c>
      <c r="AS305" s="17">
        <f t="shared" si="293"/>
        <v>0</v>
      </c>
      <c r="AT305" s="17">
        <f t="shared" si="294"/>
        <v>0</v>
      </c>
      <c r="AU305" s="17">
        <f>'1 - Input'!$B$22*(AR305-AT305)</f>
        <v>0</v>
      </c>
      <c r="AV305" s="17">
        <f t="shared" si="295"/>
        <v>0</v>
      </c>
      <c r="AW305" s="17">
        <f t="shared" si="296"/>
        <v>0</v>
      </c>
      <c r="AX305" s="17">
        <f>IF('1 - Input'!$B$17=1,MAX(0,AV305-AN305),0)</f>
        <v>0</v>
      </c>
      <c r="AY305" s="17">
        <f>IF('1 - Input'!$B$17=1,MAX(0,AN305-AV305),0)</f>
        <v>4092.2991285243875</v>
      </c>
      <c r="AZ305" s="17">
        <f t="shared" si="297"/>
        <v>0</v>
      </c>
      <c r="BA305" s="17">
        <f>IF(AND(AY305&gt;0,AS305&gt;0),AY305/(1-'1 - Input'!$B$22*AZ305),0)</f>
        <v>0</v>
      </c>
      <c r="BB305" s="17">
        <f t="shared" si="298"/>
        <v>0</v>
      </c>
      <c r="BC305" s="17">
        <f>'1 - Input'!$B$22*AZ305*BB305</f>
        <v>0</v>
      </c>
      <c r="BD305" s="17">
        <f t="shared" si="299"/>
        <v>0</v>
      </c>
      <c r="BE305" s="17">
        <f t="shared" si="300"/>
        <v>4092.2991285243875</v>
      </c>
      <c r="BF305" s="17">
        <f t="shared" si="301"/>
        <v>0</v>
      </c>
      <c r="BG305" s="17">
        <f t="shared" si="302"/>
        <v>0</v>
      </c>
      <c r="BH305" s="17">
        <f t="shared" si="303"/>
        <v>0</v>
      </c>
      <c r="BI305" s="17">
        <f>IF(MOD(AK305,12)=0,BG305*'1 - Input'!$B$23,0)</f>
        <v>0</v>
      </c>
      <c r="BJ305" s="17">
        <f t="shared" si="304"/>
        <v>0</v>
      </c>
      <c r="BK305" s="17">
        <f>IF(MOD(AK305,12)=0,BH305*(1-'1 - Input'!$B$23),BH305)</f>
        <v>0</v>
      </c>
      <c r="BL305" s="17">
        <f>IF('1 - Input'!$B$17=1,MIN(AV305,AN305)+BD305,AV305)</f>
        <v>0</v>
      </c>
      <c r="BM305" s="17">
        <f t="shared" si="331"/>
        <v>590482.93849429931</v>
      </c>
      <c r="BN305" s="17">
        <f t="shared" si="332"/>
        <v>101441.90180685223</v>
      </c>
      <c r="BO305" s="17">
        <f t="shared" si="333"/>
        <v>0</v>
      </c>
      <c r="BP305" s="17">
        <f t="shared" si="334"/>
        <v>174289.24056370757</v>
      </c>
      <c r="BQ305" s="17">
        <f t="shared" si="335"/>
        <v>8123.5662772395826</v>
      </c>
      <c r="BR305" s="17">
        <f t="shared" si="336"/>
        <v>285819.52990557661</v>
      </c>
      <c r="BS305" s="15">
        <f t="shared" si="305"/>
        <v>1</v>
      </c>
      <c r="BU305" s="14">
        <v>262</v>
      </c>
      <c r="BV305" s="15">
        <f t="shared" si="306"/>
        <v>22</v>
      </c>
      <c r="BW305" s="16">
        <f>(1+INDEX('1 - Input'!$B$34:$E$63,BV305,'1 - Input'!$B$16))^(1/12)-1</f>
        <v>4.1219243192651689E-3</v>
      </c>
      <c r="BX305" s="17">
        <f>'1 - Input'!$B$7*(1+'1 - Input'!$B$12)^(BV305-1)</f>
        <v>4092.2991285243875</v>
      </c>
      <c r="BY305" s="17">
        <f t="shared" si="337"/>
        <v>0</v>
      </c>
      <c r="BZ305" s="17">
        <f t="shared" si="338"/>
        <v>0</v>
      </c>
      <c r="CA305" s="17">
        <f t="shared" si="307"/>
        <v>0</v>
      </c>
      <c r="CB305" s="17">
        <f>IF(CA305&gt;0,'1 - Input'!$B$8/12*CA305,0)</f>
        <v>0</v>
      </c>
      <c r="CC305" s="17">
        <f t="shared" si="308"/>
        <v>0</v>
      </c>
      <c r="CD305" s="17">
        <f t="shared" si="309"/>
        <v>0</v>
      </c>
      <c r="CE305" s="17">
        <f>'1 - Input'!$B$22*(CB305-CD305)</f>
        <v>0</v>
      </c>
      <c r="CF305" s="17">
        <f t="shared" si="310"/>
        <v>0</v>
      </c>
      <c r="CG305" s="17">
        <f t="shared" si="311"/>
        <v>0</v>
      </c>
      <c r="CH305" s="17">
        <f>IF('1 - Input'!$B$17=1,MAX(0,CF305-BX305),0)</f>
        <v>0</v>
      </c>
      <c r="CI305" s="17">
        <f>IF('1 - Input'!$B$17=1,MAX(0,BX305-CF305),0)</f>
        <v>4092.2991285243875</v>
      </c>
      <c r="CJ305" s="17">
        <f t="shared" si="312"/>
        <v>0</v>
      </c>
      <c r="CK305" s="17">
        <f>IF(AND(CI305&gt;0,CC305&gt;0),CI305/(1-'1 - Input'!$B$22*CJ305),0)</f>
        <v>0</v>
      </c>
      <c r="CL305" s="17">
        <f t="shared" si="313"/>
        <v>0</v>
      </c>
      <c r="CM305" s="17">
        <f>'1 - Input'!$B$22*CJ305*CL305</f>
        <v>0</v>
      </c>
      <c r="CN305" s="17">
        <f t="shared" si="314"/>
        <v>0</v>
      </c>
      <c r="CO305" s="17">
        <f t="shared" si="315"/>
        <v>4092.2991285243875</v>
      </c>
      <c r="CP305" s="17">
        <f t="shared" si="316"/>
        <v>0</v>
      </c>
      <c r="CQ305" s="17">
        <f t="shared" si="317"/>
        <v>0</v>
      </c>
      <c r="CR305" s="17">
        <f t="shared" si="318"/>
        <v>0</v>
      </c>
      <c r="CS305" s="17">
        <f>IF(MOD(BU305,12)=0,CQ305*'1 - Input'!$B$23,0)</f>
        <v>0</v>
      </c>
      <c r="CT305" s="17">
        <f t="shared" si="319"/>
        <v>0</v>
      </c>
      <c r="CU305" s="17">
        <f>IF(MOD(BU305,12)=0,CR305*(1-'1 - Input'!$B$23),CR305)</f>
        <v>0</v>
      </c>
      <c r="CV305" s="17">
        <f>IF('1 - Input'!$B$17=1,MIN(CF305,BX305)+CN305,CF305)</f>
        <v>0</v>
      </c>
      <c r="CW305" s="17">
        <f t="shared" si="339"/>
        <v>686605.50041273201</v>
      </c>
      <c r="CX305" s="17">
        <f t="shared" si="340"/>
        <v>6018.3402768167462</v>
      </c>
      <c r="CY305" s="17">
        <f t="shared" si="341"/>
        <v>66518.776160328038</v>
      </c>
      <c r="CZ305" s="17">
        <f t="shared" si="342"/>
        <v>0</v>
      </c>
      <c r="DA305" s="17">
        <f t="shared" si="343"/>
        <v>10954.114452440983</v>
      </c>
      <c r="DB305" s="17">
        <f t="shared" si="344"/>
        <v>189696.96798714486</v>
      </c>
      <c r="DC305" s="15">
        <f t="shared" si="320"/>
        <v>1</v>
      </c>
    </row>
    <row r="306" spans="1:107">
      <c r="A306" s="14">
        <v>263</v>
      </c>
      <c r="B306" s="15">
        <f t="shared" si="276"/>
        <v>22</v>
      </c>
      <c r="C306" s="16">
        <f>(1+INDEX('1 - Input'!$B$34:$E$63,B306,'1 - Input'!$B$16))^(1/12)-1</f>
        <v>4.1219243192651689E-3</v>
      </c>
      <c r="D306" s="17">
        <f>'1 - Input'!$B$7*(1+'1 - Input'!$B$12)^(B306-1)</f>
        <v>4092.2991285243875</v>
      </c>
      <c r="E306" s="17">
        <f t="shared" si="321"/>
        <v>0</v>
      </c>
      <c r="F306" s="17">
        <f t="shared" si="322"/>
        <v>0</v>
      </c>
      <c r="G306" s="17">
        <f t="shared" si="277"/>
        <v>0</v>
      </c>
      <c r="H306" s="17">
        <f>IF(G306&gt;0,'1 - Input'!$B$8/12*G306,0)</f>
        <v>0</v>
      </c>
      <c r="I306" s="17">
        <f t="shared" si="278"/>
        <v>0</v>
      </c>
      <c r="J306" s="17">
        <f t="shared" si="279"/>
        <v>0</v>
      </c>
      <c r="K306" s="17">
        <f>'1 - Input'!$B$22*(H306-J306)</f>
        <v>0</v>
      </c>
      <c r="L306" s="17">
        <f t="shared" si="280"/>
        <v>0</v>
      </c>
      <c r="M306" s="17">
        <f t="shared" si="281"/>
        <v>0</v>
      </c>
      <c r="N306" s="17">
        <f>IF('1 - Input'!$B$17=1,MAX(0,L306-D306),0)</f>
        <v>0</v>
      </c>
      <c r="O306" s="17">
        <f>IF('1 - Input'!$B$17=1,MAX(0,D306-L306),0)</f>
        <v>4092.2991285243875</v>
      </c>
      <c r="P306" s="17">
        <f t="shared" si="282"/>
        <v>0</v>
      </c>
      <c r="Q306" s="17">
        <f>IF(AND(O306&gt;0,I306&gt;0),O306/(1-'1 - Input'!$B$22*P306),0)</f>
        <v>0</v>
      </c>
      <c r="R306" s="17">
        <f t="shared" si="283"/>
        <v>0</v>
      </c>
      <c r="S306" s="17">
        <f>'1 - Input'!$B$22*P306*R306</f>
        <v>0</v>
      </c>
      <c r="T306" s="17">
        <f t="shared" si="284"/>
        <v>0</v>
      </c>
      <c r="U306" s="17">
        <f t="shared" si="285"/>
        <v>4092.2991285243875</v>
      </c>
      <c r="V306" s="17">
        <f t="shared" si="286"/>
        <v>0</v>
      </c>
      <c r="W306" s="17">
        <f t="shared" si="287"/>
        <v>0</v>
      </c>
      <c r="X306" s="17">
        <f t="shared" si="288"/>
        <v>0</v>
      </c>
      <c r="Y306" s="17">
        <f>IF(MOD(A306,12)=0,W306*'1 - Input'!$B$23,0)</f>
        <v>0</v>
      </c>
      <c r="Z306" s="17">
        <f t="shared" si="289"/>
        <v>0</v>
      </c>
      <c r="AA306" s="17">
        <f>IF(MOD(A306,12)=0,X306*(1-'1 - Input'!$B$23),X306)</f>
        <v>0</v>
      </c>
      <c r="AB306" s="17">
        <f>IF('1 - Input'!$B$17=1,MIN(L306,D306)+T306,L306)</f>
        <v>0</v>
      </c>
      <c r="AC306" s="17">
        <f t="shared" si="323"/>
        <v>590482.93849429931</v>
      </c>
      <c r="AD306" s="17">
        <f t="shared" si="324"/>
        <v>101441.90180685223</v>
      </c>
      <c r="AE306" s="17">
        <f t="shared" si="325"/>
        <v>0</v>
      </c>
      <c r="AF306" s="17">
        <f t="shared" si="326"/>
        <v>174289.24056370757</v>
      </c>
      <c r="AG306" s="17">
        <f t="shared" si="327"/>
        <v>8123.5662772395826</v>
      </c>
      <c r="AH306" s="17">
        <f t="shared" si="328"/>
        <v>289911.82903410099</v>
      </c>
      <c r="AI306" s="15">
        <f t="shared" si="290"/>
        <v>1</v>
      </c>
      <c r="AK306" s="14">
        <v>263</v>
      </c>
      <c r="AL306" s="15">
        <f t="shared" si="291"/>
        <v>22</v>
      </c>
      <c r="AM306" s="16">
        <f>(1+INDEX('1 - Input'!$B$34:$E$63,AL306,'1 - Input'!$B$16))^(1/12)-1</f>
        <v>4.1219243192651689E-3</v>
      </c>
      <c r="AN306" s="17">
        <f>'1 - Input'!$B$7*(1+'1 - Input'!$B$12)^(AL306-1)</f>
        <v>4092.2991285243875</v>
      </c>
      <c r="AO306" s="17">
        <f t="shared" si="329"/>
        <v>0</v>
      </c>
      <c r="AP306" s="17">
        <f t="shared" si="330"/>
        <v>0</v>
      </c>
      <c r="AQ306" s="17">
        <f t="shared" si="292"/>
        <v>0</v>
      </c>
      <c r="AR306" s="17">
        <f>IF(AQ306&gt;0,'1 - Input'!$B$8/12*AQ306,0)</f>
        <v>0</v>
      </c>
      <c r="AS306" s="17">
        <f t="shared" si="293"/>
        <v>0</v>
      </c>
      <c r="AT306" s="17">
        <f t="shared" si="294"/>
        <v>0</v>
      </c>
      <c r="AU306" s="17">
        <f>'1 - Input'!$B$22*(AR306-AT306)</f>
        <v>0</v>
      </c>
      <c r="AV306" s="17">
        <f t="shared" si="295"/>
        <v>0</v>
      </c>
      <c r="AW306" s="17">
        <f t="shared" si="296"/>
        <v>0</v>
      </c>
      <c r="AX306" s="17">
        <f>IF('1 - Input'!$B$17=1,MAX(0,AV306-AN306),0)</f>
        <v>0</v>
      </c>
      <c r="AY306" s="17">
        <f>IF('1 - Input'!$B$17=1,MAX(0,AN306-AV306),0)</f>
        <v>4092.2991285243875</v>
      </c>
      <c r="AZ306" s="17">
        <f t="shared" si="297"/>
        <v>0</v>
      </c>
      <c r="BA306" s="17">
        <f>IF(AND(AY306&gt;0,AS306&gt;0),AY306/(1-'1 - Input'!$B$22*AZ306),0)</f>
        <v>0</v>
      </c>
      <c r="BB306" s="17">
        <f t="shared" si="298"/>
        <v>0</v>
      </c>
      <c r="BC306" s="17">
        <f>'1 - Input'!$B$22*AZ306*BB306</f>
        <v>0</v>
      </c>
      <c r="BD306" s="17">
        <f t="shared" si="299"/>
        <v>0</v>
      </c>
      <c r="BE306" s="17">
        <f t="shared" si="300"/>
        <v>4092.2991285243875</v>
      </c>
      <c r="BF306" s="17">
        <f t="shared" si="301"/>
        <v>0</v>
      </c>
      <c r="BG306" s="17">
        <f t="shared" si="302"/>
        <v>0</v>
      </c>
      <c r="BH306" s="17">
        <f t="shared" si="303"/>
        <v>0</v>
      </c>
      <c r="BI306" s="17">
        <f>IF(MOD(AK306,12)=0,BG306*'1 - Input'!$B$23,0)</f>
        <v>0</v>
      </c>
      <c r="BJ306" s="17">
        <f t="shared" si="304"/>
        <v>0</v>
      </c>
      <c r="BK306" s="17">
        <f>IF(MOD(AK306,12)=0,BH306*(1-'1 - Input'!$B$23),BH306)</f>
        <v>0</v>
      </c>
      <c r="BL306" s="17">
        <f>IF('1 - Input'!$B$17=1,MIN(AV306,AN306)+BD306,AV306)</f>
        <v>0</v>
      </c>
      <c r="BM306" s="17">
        <f t="shared" si="331"/>
        <v>590482.93849429931</v>
      </c>
      <c r="BN306" s="17">
        <f t="shared" si="332"/>
        <v>101441.90180685223</v>
      </c>
      <c r="BO306" s="17">
        <f t="shared" si="333"/>
        <v>0</v>
      </c>
      <c r="BP306" s="17">
        <f t="shared" si="334"/>
        <v>174289.24056370757</v>
      </c>
      <c r="BQ306" s="17">
        <f t="shared" si="335"/>
        <v>8123.5662772395826</v>
      </c>
      <c r="BR306" s="17">
        <f t="shared" si="336"/>
        <v>289911.82903410099</v>
      </c>
      <c r="BS306" s="15">
        <f t="shared" si="305"/>
        <v>1</v>
      </c>
      <c r="BU306" s="14">
        <v>263</v>
      </c>
      <c r="BV306" s="15">
        <f t="shared" si="306"/>
        <v>22</v>
      </c>
      <c r="BW306" s="16">
        <f>(1+INDEX('1 - Input'!$B$34:$E$63,BV306,'1 - Input'!$B$16))^(1/12)-1</f>
        <v>4.1219243192651689E-3</v>
      </c>
      <c r="BX306" s="17">
        <f>'1 - Input'!$B$7*(1+'1 - Input'!$B$12)^(BV306-1)</f>
        <v>4092.2991285243875</v>
      </c>
      <c r="BY306" s="17">
        <f t="shared" si="337"/>
        <v>0</v>
      </c>
      <c r="BZ306" s="17">
        <f t="shared" si="338"/>
        <v>0</v>
      </c>
      <c r="CA306" s="17">
        <f t="shared" si="307"/>
        <v>0</v>
      </c>
      <c r="CB306" s="17">
        <f>IF(CA306&gt;0,'1 - Input'!$B$8/12*CA306,0)</f>
        <v>0</v>
      </c>
      <c r="CC306" s="17">
        <f t="shared" si="308"/>
        <v>0</v>
      </c>
      <c r="CD306" s="17">
        <f t="shared" si="309"/>
        <v>0</v>
      </c>
      <c r="CE306" s="17">
        <f>'1 - Input'!$B$22*(CB306-CD306)</f>
        <v>0</v>
      </c>
      <c r="CF306" s="17">
        <f t="shared" si="310"/>
        <v>0</v>
      </c>
      <c r="CG306" s="17">
        <f t="shared" si="311"/>
        <v>0</v>
      </c>
      <c r="CH306" s="17">
        <f>IF('1 - Input'!$B$17=1,MAX(0,CF306-BX306),0)</f>
        <v>0</v>
      </c>
      <c r="CI306" s="17">
        <f>IF('1 - Input'!$B$17=1,MAX(0,BX306-CF306),0)</f>
        <v>4092.2991285243875</v>
      </c>
      <c r="CJ306" s="17">
        <f t="shared" si="312"/>
        <v>0</v>
      </c>
      <c r="CK306" s="17">
        <f>IF(AND(CI306&gt;0,CC306&gt;0),CI306/(1-'1 - Input'!$B$22*CJ306),0)</f>
        <v>0</v>
      </c>
      <c r="CL306" s="17">
        <f t="shared" si="313"/>
        <v>0</v>
      </c>
      <c r="CM306" s="17">
        <f>'1 - Input'!$B$22*CJ306*CL306</f>
        <v>0</v>
      </c>
      <c r="CN306" s="17">
        <f t="shared" si="314"/>
        <v>0</v>
      </c>
      <c r="CO306" s="17">
        <f t="shared" si="315"/>
        <v>4092.2991285243875</v>
      </c>
      <c r="CP306" s="17">
        <f t="shared" si="316"/>
        <v>0</v>
      </c>
      <c r="CQ306" s="17">
        <f t="shared" si="317"/>
        <v>0</v>
      </c>
      <c r="CR306" s="17">
        <f t="shared" si="318"/>
        <v>0</v>
      </c>
      <c r="CS306" s="17">
        <f>IF(MOD(BU306,12)=0,CQ306*'1 - Input'!$B$23,0)</f>
        <v>0</v>
      </c>
      <c r="CT306" s="17">
        <f t="shared" si="319"/>
        <v>0</v>
      </c>
      <c r="CU306" s="17">
        <f>IF(MOD(BU306,12)=0,CR306*(1-'1 - Input'!$B$23),CR306)</f>
        <v>0</v>
      </c>
      <c r="CV306" s="17">
        <f>IF('1 - Input'!$B$17=1,MIN(CF306,BX306)+CN306,CF306)</f>
        <v>0</v>
      </c>
      <c r="CW306" s="17">
        <f t="shared" si="339"/>
        <v>686605.50041273201</v>
      </c>
      <c r="CX306" s="17">
        <f t="shared" si="340"/>
        <v>6018.3402768167462</v>
      </c>
      <c r="CY306" s="17">
        <f t="shared" si="341"/>
        <v>66518.776160328038</v>
      </c>
      <c r="CZ306" s="17">
        <f t="shared" si="342"/>
        <v>0</v>
      </c>
      <c r="DA306" s="17">
        <f t="shared" si="343"/>
        <v>10954.114452440983</v>
      </c>
      <c r="DB306" s="17">
        <f t="shared" si="344"/>
        <v>193789.26711566924</v>
      </c>
      <c r="DC306" s="15">
        <f t="shared" si="320"/>
        <v>1</v>
      </c>
    </row>
    <row r="307" spans="1:107">
      <c r="A307" s="14">
        <v>264</v>
      </c>
      <c r="B307" s="15">
        <f t="shared" si="276"/>
        <v>22</v>
      </c>
      <c r="C307" s="16">
        <f>(1+INDEX('1 - Input'!$B$34:$E$63,B307,'1 - Input'!$B$16))^(1/12)-1</f>
        <v>4.1219243192651689E-3</v>
      </c>
      <c r="D307" s="17">
        <f>'1 - Input'!$B$7*(1+'1 - Input'!$B$12)^(B307-1)</f>
        <v>4092.2991285243875</v>
      </c>
      <c r="E307" s="17">
        <f t="shared" si="321"/>
        <v>0</v>
      </c>
      <c r="F307" s="17">
        <f t="shared" si="322"/>
        <v>0</v>
      </c>
      <c r="G307" s="17">
        <f t="shared" si="277"/>
        <v>0</v>
      </c>
      <c r="H307" s="17">
        <f>IF(G307&gt;0,'1 - Input'!$B$8/12*G307,0)</f>
        <v>0</v>
      </c>
      <c r="I307" s="17">
        <f t="shared" si="278"/>
        <v>0</v>
      </c>
      <c r="J307" s="17">
        <f t="shared" si="279"/>
        <v>0</v>
      </c>
      <c r="K307" s="17">
        <f>'1 - Input'!$B$22*(H307-J307)</f>
        <v>0</v>
      </c>
      <c r="L307" s="17">
        <f t="shared" si="280"/>
        <v>0</v>
      </c>
      <c r="M307" s="17">
        <f t="shared" si="281"/>
        <v>0</v>
      </c>
      <c r="N307" s="17">
        <f>IF('1 - Input'!$B$17=1,MAX(0,L307-D307),0)</f>
        <v>0</v>
      </c>
      <c r="O307" s="17">
        <f>IF('1 - Input'!$B$17=1,MAX(0,D307-L307),0)</f>
        <v>4092.2991285243875</v>
      </c>
      <c r="P307" s="17">
        <f t="shared" si="282"/>
        <v>0</v>
      </c>
      <c r="Q307" s="17">
        <f>IF(AND(O307&gt;0,I307&gt;0),O307/(1-'1 - Input'!$B$22*P307),0)</f>
        <v>0</v>
      </c>
      <c r="R307" s="17">
        <f t="shared" si="283"/>
        <v>0</v>
      </c>
      <c r="S307" s="17">
        <f>'1 - Input'!$B$22*P307*R307</f>
        <v>0</v>
      </c>
      <c r="T307" s="17">
        <f t="shared" si="284"/>
        <v>0</v>
      </c>
      <c r="U307" s="17">
        <f t="shared" si="285"/>
        <v>4092.2991285243875</v>
      </c>
      <c r="V307" s="17">
        <f t="shared" si="286"/>
        <v>0</v>
      </c>
      <c r="W307" s="17">
        <f t="shared" si="287"/>
        <v>0</v>
      </c>
      <c r="X307" s="17">
        <f t="shared" si="288"/>
        <v>0</v>
      </c>
      <c r="Y307" s="17">
        <f>IF(MOD(A307,12)=0,W307*'1 - Input'!$B$23,0)</f>
        <v>0</v>
      </c>
      <c r="Z307" s="17">
        <f t="shared" si="289"/>
        <v>0</v>
      </c>
      <c r="AA307" s="17">
        <f>IF(MOD(A307,12)=0,X307*(1-'1 - Input'!$B$23),X307)</f>
        <v>0</v>
      </c>
      <c r="AB307" s="17">
        <f>IF('1 - Input'!$B$17=1,MIN(L307,D307)+T307,L307)</f>
        <v>0</v>
      </c>
      <c r="AC307" s="17">
        <f t="shared" si="323"/>
        <v>590482.93849429931</v>
      </c>
      <c r="AD307" s="17">
        <f t="shared" si="324"/>
        <v>101441.90180685223</v>
      </c>
      <c r="AE307" s="17">
        <f t="shared" si="325"/>
        <v>0</v>
      </c>
      <c r="AF307" s="17">
        <f t="shared" si="326"/>
        <v>174289.24056370757</v>
      </c>
      <c r="AG307" s="17">
        <f t="shared" si="327"/>
        <v>8123.5662772395826</v>
      </c>
      <c r="AH307" s="17">
        <f t="shared" si="328"/>
        <v>294004.12816262536</v>
      </c>
      <c r="AI307" s="15">
        <f t="shared" si="290"/>
        <v>1</v>
      </c>
      <c r="AK307" s="14">
        <v>264</v>
      </c>
      <c r="AL307" s="15">
        <f t="shared" si="291"/>
        <v>22</v>
      </c>
      <c r="AM307" s="16">
        <f>(1+INDEX('1 - Input'!$B$34:$E$63,AL307,'1 - Input'!$B$16))^(1/12)-1</f>
        <v>4.1219243192651689E-3</v>
      </c>
      <c r="AN307" s="17">
        <f>'1 - Input'!$B$7*(1+'1 - Input'!$B$12)^(AL307-1)</f>
        <v>4092.2991285243875</v>
      </c>
      <c r="AO307" s="17">
        <f t="shared" si="329"/>
        <v>0</v>
      </c>
      <c r="AP307" s="17">
        <f t="shared" si="330"/>
        <v>0</v>
      </c>
      <c r="AQ307" s="17">
        <f t="shared" si="292"/>
        <v>0</v>
      </c>
      <c r="AR307" s="17">
        <f>IF(AQ307&gt;0,'1 - Input'!$B$8/12*AQ307,0)</f>
        <v>0</v>
      </c>
      <c r="AS307" s="17">
        <f t="shared" si="293"/>
        <v>0</v>
      </c>
      <c r="AT307" s="17">
        <f t="shared" si="294"/>
        <v>0</v>
      </c>
      <c r="AU307" s="17">
        <f>'1 - Input'!$B$22*(AR307-AT307)</f>
        <v>0</v>
      </c>
      <c r="AV307" s="17">
        <f t="shared" si="295"/>
        <v>0</v>
      </c>
      <c r="AW307" s="17">
        <f t="shared" si="296"/>
        <v>0</v>
      </c>
      <c r="AX307" s="17">
        <f>IF('1 - Input'!$B$17=1,MAX(0,AV307-AN307),0)</f>
        <v>0</v>
      </c>
      <c r="AY307" s="17">
        <f>IF('1 - Input'!$B$17=1,MAX(0,AN307-AV307),0)</f>
        <v>4092.2991285243875</v>
      </c>
      <c r="AZ307" s="17">
        <f t="shared" si="297"/>
        <v>0</v>
      </c>
      <c r="BA307" s="17">
        <f>IF(AND(AY307&gt;0,AS307&gt;0),AY307/(1-'1 - Input'!$B$22*AZ307),0)</f>
        <v>0</v>
      </c>
      <c r="BB307" s="17">
        <f t="shared" si="298"/>
        <v>0</v>
      </c>
      <c r="BC307" s="17">
        <f>'1 - Input'!$B$22*AZ307*BB307</f>
        <v>0</v>
      </c>
      <c r="BD307" s="17">
        <f t="shared" si="299"/>
        <v>0</v>
      </c>
      <c r="BE307" s="17">
        <f t="shared" si="300"/>
        <v>4092.2991285243875</v>
      </c>
      <c r="BF307" s="17">
        <f t="shared" si="301"/>
        <v>0</v>
      </c>
      <c r="BG307" s="17">
        <f t="shared" si="302"/>
        <v>0</v>
      </c>
      <c r="BH307" s="17">
        <f t="shared" si="303"/>
        <v>0</v>
      </c>
      <c r="BI307" s="17">
        <f>IF(MOD(AK307,12)=0,BG307*'1 - Input'!$B$23,0)</f>
        <v>0</v>
      </c>
      <c r="BJ307" s="17">
        <f t="shared" si="304"/>
        <v>0</v>
      </c>
      <c r="BK307" s="17">
        <f>IF(MOD(AK307,12)=0,BH307*(1-'1 - Input'!$B$23),BH307)</f>
        <v>0</v>
      </c>
      <c r="BL307" s="17">
        <f>IF('1 - Input'!$B$17=1,MIN(AV307,AN307)+BD307,AV307)</f>
        <v>0</v>
      </c>
      <c r="BM307" s="17">
        <f t="shared" si="331"/>
        <v>590482.93849429931</v>
      </c>
      <c r="BN307" s="17">
        <f t="shared" si="332"/>
        <v>101441.90180685223</v>
      </c>
      <c r="BO307" s="17">
        <f t="shared" si="333"/>
        <v>0</v>
      </c>
      <c r="BP307" s="17">
        <f t="shared" si="334"/>
        <v>174289.24056370757</v>
      </c>
      <c r="BQ307" s="17">
        <f t="shared" si="335"/>
        <v>8123.5662772395826</v>
      </c>
      <c r="BR307" s="17">
        <f t="shared" si="336"/>
        <v>294004.12816262536</v>
      </c>
      <c r="BS307" s="15">
        <f t="shared" si="305"/>
        <v>1</v>
      </c>
      <c r="BU307" s="14">
        <v>264</v>
      </c>
      <c r="BV307" s="15">
        <f t="shared" si="306"/>
        <v>22</v>
      </c>
      <c r="BW307" s="16">
        <f>(1+INDEX('1 - Input'!$B$34:$E$63,BV307,'1 - Input'!$B$16))^(1/12)-1</f>
        <v>4.1219243192651689E-3</v>
      </c>
      <c r="BX307" s="17">
        <f>'1 - Input'!$B$7*(1+'1 - Input'!$B$12)^(BV307-1)</f>
        <v>4092.2991285243875</v>
      </c>
      <c r="BY307" s="17">
        <f t="shared" si="337"/>
        <v>0</v>
      </c>
      <c r="BZ307" s="17">
        <f t="shared" si="338"/>
        <v>0</v>
      </c>
      <c r="CA307" s="17">
        <f t="shared" si="307"/>
        <v>0</v>
      </c>
      <c r="CB307" s="17">
        <f>IF(CA307&gt;0,'1 - Input'!$B$8/12*CA307,0)</f>
        <v>0</v>
      </c>
      <c r="CC307" s="17">
        <f t="shared" si="308"/>
        <v>0</v>
      </c>
      <c r="CD307" s="17">
        <f t="shared" si="309"/>
        <v>0</v>
      </c>
      <c r="CE307" s="17">
        <f>'1 - Input'!$B$22*(CB307-CD307)</f>
        <v>0</v>
      </c>
      <c r="CF307" s="17">
        <f t="shared" si="310"/>
        <v>0</v>
      </c>
      <c r="CG307" s="17">
        <f t="shared" si="311"/>
        <v>0</v>
      </c>
      <c r="CH307" s="17">
        <f>IF('1 - Input'!$B$17=1,MAX(0,CF307-BX307),0)</f>
        <v>0</v>
      </c>
      <c r="CI307" s="17">
        <f>IF('1 - Input'!$B$17=1,MAX(0,BX307-CF307),0)</f>
        <v>4092.2991285243875</v>
      </c>
      <c r="CJ307" s="17">
        <f t="shared" si="312"/>
        <v>0</v>
      </c>
      <c r="CK307" s="17">
        <f>IF(AND(CI307&gt;0,CC307&gt;0),CI307/(1-'1 - Input'!$B$22*CJ307),0)</f>
        <v>0</v>
      </c>
      <c r="CL307" s="17">
        <f t="shared" si="313"/>
        <v>0</v>
      </c>
      <c r="CM307" s="17">
        <f>'1 - Input'!$B$22*CJ307*CL307</f>
        <v>0</v>
      </c>
      <c r="CN307" s="17">
        <f t="shared" si="314"/>
        <v>0</v>
      </c>
      <c r="CO307" s="17">
        <f t="shared" si="315"/>
        <v>4092.2991285243875</v>
      </c>
      <c r="CP307" s="17">
        <f t="shared" si="316"/>
        <v>0</v>
      </c>
      <c r="CQ307" s="17">
        <f t="shared" si="317"/>
        <v>0</v>
      </c>
      <c r="CR307" s="17">
        <f t="shared" si="318"/>
        <v>0</v>
      </c>
      <c r="CS307" s="17">
        <f>IF(MOD(BU307,12)=0,CQ307*'1 - Input'!$B$23,0)</f>
        <v>0</v>
      </c>
      <c r="CT307" s="17">
        <f t="shared" si="319"/>
        <v>0</v>
      </c>
      <c r="CU307" s="17">
        <f>IF(MOD(BU307,12)=0,CR307*(1-'1 - Input'!$B$23),CR307)</f>
        <v>0</v>
      </c>
      <c r="CV307" s="17">
        <f>IF('1 - Input'!$B$17=1,MIN(CF307,BX307)+CN307,CF307)</f>
        <v>0</v>
      </c>
      <c r="CW307" s="17">
        <f t="shared" si="339"/>
        <v>686605.50041273201</v>
      </c>
      <c r="CX307" s="17">
        <f t="shared" si="340"/>
        <v>6018.3402768167462</v>
      </c>
      <c r="CY307" s="17">
        <f t="shared" si="341"/>
        <v>66518.776160328038</v>
      </c>
      <c r="CZ307" s="17">
        <f t="shared" si="342"/>
        <v>0</v>
      </c>
      <c r="DA307" s="17">
        <f t="shared" si="343"/>
        <v>10954.114452440983</v>
      </c>
      <c r="DB307" s="17">
        <f t="shared" si="344"/>
        <v>197881.56624419361</v>
      </c>
      <c r="DC307" s="15">
        <f t="shared" si="320"/>
        <v>1</v>
      </c>
    </row>
    <row r="308" spans="1:107">
      <c r="A308" s="14">
        <v>265</v>
      </c>
      <c r="B308" s="15">
        <f t="shared" si="276"/>
        <v>23</v>
      </c>
      <c r="C308" s="16">
        <f>(1+INDEX('1 - Input'!$B$34:$E$63,B308,'1 - Input'!$B$16))^(1/12)-1</f>
        <v>4.1219243192651689E-3</v>
      </c>
      <c r="D308" s="17">
        <f>'1 - Input'!$B$7*(1+'1 - Input'!$B$12)^(B308-1)</f>
        <v>4174.1451110948756</v>
      </c>
      <c r="E308" s="17">
        <f t="shared" si="321"/>
        <v>0</v>
      </c>
      <c r="F308" s="17">
        <f t="shared" si="322"/>
        <v>0</v>
      </c>
      <c r="G308" s="17">
        <f t="shared" si="277"/>
        <v>0</v>
      </c>
      <c r="H308" s="17">
        <f>IF(G308&gt;0,'1 - Input'!$B$8/12*G308,0)</f>
        <v>0</v>
      </c>
      <c r="I308" s="17">
        <f t="shared" si="278"/>
        <v>0</v>
      </c>
      <c r="J308" s="17">
        <f t="shared" si="279"/>
        <v>0</v>
      </c>
      <c r="K308" s="17">
        <f>'1 - Input'!$B$22*(H308-J308)</f>
        <v>0</v>
      </c>
      <c r="L308" s="17">
        <f t="shared" si="280"/>
        <v>0</v>
      </c>
      <c r="M308" s="17">
        <f t="shared" si="281"/>
        <v>0</v>
      </c>
      <c r="N308" s="17">
        <f>IF('1 - Input'!$B$17=1,MAX(0,L308-D308),0)</f>
        <v>0</v>
      </c>
      <c r="O308" s="17">
        <f>IF('1 - Input'!$B$17=1,MAX(0,D308-L308),0)</f>
        <v>4174.1451110948756</v>
      </c>
      <c r="P308" s="17">
        <f t="shared" si="282"/>
        <v>0</v>
      </c>
      <c r="Q308" s="17">
        <f>IF(AND(O308&gt;0,I308&gt;0),O308/(1-'1 - Input'!$B$22*P308),0)</f>
        <v>0</v>
      </c>
      <c r="R308" s="17">
        <f t="shared" si="283"/>
        <v>0</v>
      </c>
      <c r="S308" s="17">
        <f>'1 - Input'!$B$22*P308*R308</f>
        <v>0</v>
      </c>
      <c r="T308" s="17">
        <f t="shared" si="284"/>
        <v>0</v>
      </c>
      <c r="U308" s="17">
        <f t="shared" si="285"/>
        <v>4174.1451110948756</v>
      </c>
      <c r="V308" s="17">
        <f t="shared" si="286"/>
        <v>0</v>
      </c>
      <c r="W308" s="17">
        <f t="shared" si="287"/>
        <v>0</v>
      </c>
      <c r="X308" s="17">
        <f t="shared" si="288"/>
        <v>0</v>
      </c>
      <c r="Y308" s="17">
        <f>IF(MOD(A308,12)=0,W308*'1 - Input'!$B$23,0)</f>
        <v>0</v>
      </c>
      <c r="Z308" s="17">
        <f t="shared" si="289"/>
        <v>0</v>
      </c>
      <c r="AA308" s="17">
        <f>IF(MOD(A308,12)=0,X308*(1-'1 - Input'!$B$23),X308)</f>
        <v>0</v>
      </c>
      <c r="AB308" s="17">
        <f>IF('1 - Input'!$B$17=1,MIN(L308,D308)+T308,L308)</f>
        <v>0</v>
      </c>
      <c r="AC308" s="17">
        <f t="shared" si="323"/>
        <v>590482.93849429931</v>
      </c>
      <c r="AD308" s="17">
        <f t="shared" si="324"/>
        <v>101441.90180685223</v>
      </c>
      <c r="AE308" s="17">
        <f t="shared" si="325"/>
        <v>0</v>
      </c>
      <c r="AF308" s="17">
        <f t="shared" si="326"/>
        <v>174289.24056370757</v>
      </c>
      <c r="AG308" s="17">
        <f t="shared" si="327"/>
        <v>8123.5662772395826</v>
      </c>
      <c r="AH308" s="17">
        <f t="shared" si="328"/>
        <v>298178.27327372023</v>
      </c>
      <c r="AI308" s="15">
        <f t="shared" si="290"/>
        <v>1</v>
      </c>
      <c r="AK308" s="14">
        <v>265</v>
      </c>
      <c r="AL308" s="15">
        <f t="shared" si="291"/>
        <v>23</v>
      </c>
      <c r="AM308" s="16">
        <f>(1+INDEX('1 - Input'!$B$34:$E$63,AL308,'1 - Input'!$B$16))^(1/12)-1</f>
        <v>4.1219243192651689E-3</v>
      </c>
      <c r="AN308" s="17">
        <f>'1 - Input'!$B$7*(1+'1 - Input'!$B$12)^(AL308-1)</f>
        <v>4174.1451110948756</v>
      </c>
      <c r="AO308" s="17">
        <f t="shared" si="329"/>
        <v>0</v>
      </c>
      <c r="AP308" s="17">
        <f t="shared" si="330"/>
        <v>0</v>
      </c>
      <c r="AQ308" s="17">
        <f t="shared" si="292"/>
        <v>0</v>
      </c>
      <c r="AR308" s="17">
        <f>IF(AQ308&gt;0,'1 - Input'!$B$8/12*AQ308,0)</f>
        <v>0</v>
      </c>
      <c r="AS308" s="17">
        <f t="shared" si="293"/>
        <v>0</v>
      </c>
      <c r="AT308" s="17">
        <f t="shared" si="294"/>
        <v>0</v>
      </c>
      <c r="AU308" s="17">
        <f>'1 - Input'!$B$22*(AR308-AT308)</f>
        <v>0</v>
      </c>
      <c r="AV308" s="17">
        <f t="shared" si="295"/>
        <v>0</v>
      </c>
      <c r="AW308" s="17">
        <f t="shared" si="296"/>
        <v>0</v>
      </c>
      <c r="AX308" s="17">
        <f>IF('1 - Input'!$B$17=1,MAX(0,AV308-AN308),0)</f>
        <v>0</v>
      </c>
      <c r="AY308" s="17">
        <f>IF('1 - Input'!$B$17=1,MAX(0,AN308-AV308),0)</f>
        <v>4174.1451110948756</v>
      </c>
      <c r="AZ308" s="17">
        <f t="shared" si="297"/>
        <v>0</v>
      </c>
      <c r="BA308" s="17">
        <f>IF(AND(AY308&gt;0,AS308&gt;0),AY308/(1-'1 - Input'!$B$22*AZ308),0)</f>
        <v>0</v>
      </c>
      <c r="BB308" s="17">
        <f t="shared" si="298"/>
        <v>0</v>
      </c>
      <c r="BC308" s="17">
        <f>'1 - Input'!$B$22*AZ308*BB308</f>
        <v>0</v>
      </c>
      <c r="BD308" s="17">
        <f t="shared" si="299"/>
        <v>0</v>
      </c>
      <c r="BE308" s="17">
        <f t="shared" si="300"/>
        <v>4174.1451110948756</v>
      </c>
      <c r="BF308" s="17">
        <f t="shared" si="301"/>
        <v>0</v>
      </c>
      <c r="BG308" s="17">
        <f t="shared" si="302"/>
        <v>0</v>
      </c>
      <c r="BH308" s="17">
        <f t="shared" si="303"/>
        <v>0</v>
      </c>
      <c r="BI308" s="17">
        <f>IF(MOD(AK308,12)=0,BG308*'1 - Input'!$B$23,0)</f>
        <v>0</v>
      </c>
      <c r="BJ308" s="17">
        <f t="shared" si="304"/>
        <v>0</v>
      </c>
      <c r="BK308" s="17">
        <f>IF(MOD(AK308,12)=0,BH308*(1-'1 - Input'!$B$23),BH308)</f>
        <v>0</v>
      </c>
      <c r="BL308" s="17">
        <f>IF('1 - Input'!$B$17=1,MIN(AV308,AN308)+BD308,AV308)</f>
        <v>0</v>
      </c>
      <c r="BM308" s="17">
        <f t="shared" si="331"/>
        <v>590482.93849429931</v>
      </c>
      <c r="BN308" s="17">
        <f t="shared" si="332"/>
        <v>101441.90180685223</v>
      </c>
      <c r="BO308" s="17">
        <f t="shared" si="333"/>
        <v>0</v>
      </c>
      <c r="BP308" s="17">
        <f t="shared" si="334"/>
        <v>174289.24056370757</v>
      </c>
      <c r="BQ308" s="17">
        <f t="shared" si="335"/>
        <v>8123.5662772395826</v>
      </c>
      <c r="BR308" s="17">
        <f t="shared" si="336"/>
        <v>298178.27327372023</v>
      </c>
      <c r="BS308" s="15">
        <f t="shared" si="305"/>
        <v>1</v>
      </c>
      <c r="BU308" s="14">
        <v>265</v>
      </c>
      <c r="BV308" s="15">
        <f t="shared" si="306"/>
        <v>23</v>
      </c>
      <c r="BW308" s="16">
        <f>(1+INDEX('1 - Input'!$B$34:$E$63,BV308,'1 - Input'!$B$16))^(1/12)-1</f>
        <v>4.1219243192651689E-3</v>
      </c>
      <c r="BX308" s="17">
        <f>'1 - Input'!$B$7*(1+'1 - Input'!$B$12)^(BV308-1)</f>
        <v>4174.1451110948756</v>
      </c>
      <c r="BY308" s="17">
        <f t="shared" si="337"/>
        <v>0</v>
      </c>
      <c r="BZ308" s="17">
        <f t="shared" si="338"/>
        <v>0</v>
      </c>
      <c r="CA308" s="17">
        <f t="shared" si="307"/>
        <v>0</v>
      </c>
      <c r="CB308" s="17">
        <f>IF(CA308&gt;0,'1 - Input'!$B$8/12*CA308,0)</f>
        <v>0</v>
      </c>
      <c r="CC308" s="17">
        <f t="shared" si="308"/>
        <v>0</v>
      </c>
      <c r="CD308" s="17">
        <f t="shared" si="309"/>
        <v>0</v>
      </c>
      <c r="CE308" s="17">
        <f>'1 - Input'!$B$22*(CB308-CD308)</f>
        <v>0</v>
      </c>
      <c r="CF308" s="17">
        <f t="shared" si="310"/>
        <v>0</v>
      </c>
      <c r="CG308" s="17">
        <f t="shared" si="311"/>
        <v>0</v>
      </c>
      <c r="CH308" s="17">
        <f>IF('1 - Input'!$B$17=1,MAX(0,CF308-BX308),0)</f>
        <v>0</v>
      </c>
      <c r="CI308" s="17">
        <f>IF('1 - Input'!$B$17=1,MAX(0,BX308-CF308),0)</f>
        <v>4174.1451110948756</v>
      </c>
      <c r="CJ308" s="17">
        <f t="shared" si="312"/>
        <v>0</v>
      </c>
      <c r="CK308" s="17">
        <f>IF(AND(CI308&gt;0,CC308&gt;0),CI308/(1-'1 - Input'!$B$22*CJ308),0)</f>
        <v>0</v>
      </c>
      <c r="CL308" s="17">
        <f t="shared" si="313"/>
        <v>0</v>
      </c>
      <c r="CM308" s="17">
        <f>'1 - Input'!$B$22*CJ308*CL308</f>
        <v>0</v>
      </c>
      <c r="CN308" s="17">
        <f t="shared" si="314"/>
        <v>0</v>
      </c>
      <c r="CO308" s="17">
        <f t="shared" si="315"/>
        <v>4174.1451110948756</v>
      </c>
      <c r="CP308" s="17">
        <f t="shared" si="316"/>
        <v>0</v>
      </c>
      <c r="CQ308" s="17">
        <f t="shared" si="317"/>
        <v>0</v>
      </c>
      <c r="CR308" s="17">
        <f t="shared" si="318"/>
        <v>0</v>
      </c>
      <c r="CS308" s="17">
        <f>IF(MOD(BU308,12)=0,CQ308*'1 - Input'!$B$23,0)</f>
        <v>0</v>
      </c>
      <c r="CT308" s="17">
        <f t="shared" si="319"/>
        <v>0</v>
      </c>
      <c r="CU308" s="17">
        <f>IF(MOD(BU308,12)=0,CR308*(1-'1 - Input'!$B$23),CR308)</f>
        <v>0</v>
      </c>
      <c r="CV308" s="17">
        <f>IF('1 - Input'!$B$17=1,MIN(CF308,BX308)+CN308,CF308)</f>
        <v>0</v>
      </c>
      <c r="CW308" s="17">
        <f t="shared" si="339"/>
        <v>686605.50041273201</v>
      </c>
      <c r="CX308" s="17">
        <f t="shared" si="340"/>
        <v>6018.3402768167462</v>
      </c>
      <c r="CY308" s="17">
        <f t="shared" si="341"/>
        <v>66518.776160328038</v>
      </c>
      <c r="CZ308" s="17">
        <f t="shared" si="342"/>
        <v>0</v>
      </c>
      <c r="DA308" s="17">
        <f t="shared" si="343"/>
        <v>10954.114452440983</v>
      </c>
      <c r="DB308" s="17">
        <f t="shared" si="344"/>
        <v>202055.71135528848</v>
      </c>
      <c r="DC308" s="15">
        <f t="shared" si="320"/>
        <v>1</v>
      </c>
    </row>
    <row r="309" spans="1:107">
      <c r="A309" s="14">
        <v>266</v>
      </c>
      <c r="B309" s="15">
        <f t="shared" si="276"/>
        <v>23</v>
      </c>
      <c r="C309" s="16">
        <f>(1+INDEX('1 - Input'!$B$34:$E$63,B309,'1 - Input'!$B$16))^(1/12)-1</f>
        <v>4.1219243192651689E-3</v>
      </c>
      <c r="D309" s="17">
        <f>'1 - Input'!$B$7*(1+'1 - Input'!$B$12)^(B309-1)</f>
        <v>4174.1451110948756</v>
      </c>
      <c r="E309" s="17">
        <f t="shared" si="321"/>
        <v>0</v>
      </c>
      <c r="F309" s="17">
        <f t="shared" si="322"/>
        <v>0</v>
      </c>
      <c r="G309" s="17">
        <f t="shared" si="277"/>
        <v>0</v>
      </c>
      <c r="H309" s="17">
        <f>IF(G309&gt;0,'1 - Input'!$B$8/12*G309,0)</f>
        <v>0</v>
      </c>
      <c r="I309" s="17">
        <f t="shared" si="278"/>
        <v>0</v>
      </c>
      <c r="J309" s="17">
        <f t="shared" si="279"/>
        <v>0</v>
      </c>
      <c r="K309" s="17">
        <f>'1 - Input'!$B$22*(H309-J309)</f>
        <v>0</v>
      </c>
      <c r="L309" s="17">
        <f t="shared" si="280"/>
        <v>0</v>
      </c>
      <c r="M309" s="17">
        <f t="shared" si="281"/>
        <v>0</v>
      </c>
      <c r="N309" s="17">
        <f>IF('1 - Input'!$B$17=1,MAX(0,L309-D309),0)</f>
        <v>0</v>
      </c>
      <c r="O309" s="17">
        <f>IF('1 - Input'!$B$17=1,MAX(0,D309-L309),0)</f>
        <v>4174.1451110948756</v>
      </c>
      <c r="P309" s="17">
        <f t="shared" si="282"/>
        <v>0</v>
      </c>
      <c r="Q309" s="17">
        <f>IF(AND(O309&gt;0,I309&gt;0),O309/(1-'1 - Input'!$B$22*P309),0)</f>
        <v>0</v>
      </c>
      <c r="R309" s="17">
        <f t="shared" si="283"/>
        <v>0</v>
      </c>
      <c r="S309" s="17">
        <f>'1 - Input'!$B$22*P309*R309</f>
        <v>0</v>
      </c>
      <c r="T309" s="17">
        <f t="shared" si="284"/>
        <v>0</v>
      </c>
      <c r="U309" s="17">
        <f t="shared" si="285"/>
        <v>4174.1451110948756</v>
      </c>
      <c r="V309" s="17">
        <f t="shared" si="286"/>
        <v>0</v>
      </c>
      <c r="W309" s="17">
        <f t="shared" si="287"/>
        <v>0</v>
      </c>
      <c r="X309" s="17">
        <f t="shared" si="288"/>
        <v>0</v>
      </c>
      <c r="Y309" s="17">
        <f>IF(MOD(A309,12)=0,W309*'1 - Input'!$B$23,0)</f>
        <v>0</v>
      </c>
      <c r="Z309" s="17">
        <f t="shared" si="289"/>
        <v>0</v>
      </c>
      <c r="AA309" s="17">
        <f>IF(MOD(A309,12)=0,X309*(1-'1 - Input'!$B$23),X309)</f>
        <v>0</v>
      </c>
      <c r="AB309" s="17">
        <f>IF('1 - Input'!$B$17=1,MIN(L309,D309)+T309,L309)</f>
        <v>0</v>
      </c>
      <c r="AC309" s="17">
        <f t="shared" si="323"/>
        <v>590482.93849429931</v>
      </c>
      <c r="AD309" s="17">
        <f t="shared" si="324"/>
        <v>101441.90180685223</v>
      </c>
      <c r="AE309" s="17">
        <f t="shared" si="325"/>
        <v>0</v>
      </c>
      <c r="AF309" s="17">
        <f t="shared" si="326"/>
        <v>174289.24056370757</v>
      </c>
      <c r="AG309" s="17">
        <f t="shared" si="327"/>
        <v>8123.5662772395826</v>
      </c>
      <c r="AH309" s="17">
        <f t="shared" si="328"/>
        <v>302352.4183848151</v>
      </c>
      <c r="AI309" s="15">
        <f t="shared" si="290"/>
        <v>1</v>
      </c>
      <c r="AK309" s="14">
        <v>266</v>
      </c>
      <c r="AL309" s="15">
        <f t="shared" si="291"/>
        <v>23</v>
      </c>
      <c r="AM309" s="16">
        <f>(1+INDEX('1 - Input'!$B$34:$E$63,AL309,'1 - Input'!$B$16))^(1/12)-1</f>
        <v>4.1219243192651689E-3</v>
      </c>
      <c r="AN309" s="17">
        <f>'1 - Input'!$B$7*(1+'1 - Input'!$B$12)^(AL309-1)</f>
        <v>4174.1451110948756</v>
      </c>
      <c r="AO309" s="17">
        <f t="shared" si="329"/>
        <v>0</v>
      </c>
      <c r="AP309" s="17">
        <f t="shared" si="330"/>
        <v>0</v>
      </c>
      <c r="AQ309" s="17">
        <f t="shared" si="292"/>
        <v>0</v>
      </c>
      <c r="AR309" s="17">
        <f>IF(AQ309&gt;0,'1 - Input'!$B$8/12*AQ309,0)</f>
        <v>0</v>
      </c>
      <c r="AS309" s="17">
        <f t="shared" si="293"/>
        <v>0</v>
      </c>
      <c r="AT309" s="17">
        <f t="shared" si="294"/>
        <v>0</v>
      </c>
      <c r="AU309" s="17">
        <f>'1 - Input'!$B$22*(AR309-AT309)</f>
        <v>0</v>
      </c>
      <c r="AV309" s="17">
        <f t="shared" si="295"/>
        <v>0</v>
      </c>
      <c r="AW309" s="17">
        <f t="shared" si="296"/>
        <v>0</v>
      </c>
      <c r="AX309" s="17">
        <f>IF('1 - Input'!$B$17=1,MAX(0,AV309-AN309),0)</f>
        <v>0</v>
      </c>
      <c r="AY309" s="17">
        <f>IF('1 - Input'!$B$17=1,MAX(0,AN309-AV309),0)</f>
        <v>4174.1451110948756</v>
      </c>
      <c r="AZ309" s="17">
        <f t="shared" si="297"/>
        <v>0</v>
      </c>
      <c r="BA309" s="17">
        <f>IF(AND(AY309&gt;0,AS309&gt;0),AY309/(1-'1 - Input'!$B$22*AZ309),0)</f>
        <v>0</v>
      </c>
      <c r="BB309" s="17">
        <f t="shared" si="298"/>
        <v>0</v>
      </c>
      <c r="BC309" s="17">
        <f>'1 - Input'!$B$22*AZ309*BB309</f>
        <v>0</v>
      </c>
      <c r="BD309" s="17">
        <f t="shared" si="299"/>
        <v>0</v>
      </c>
      <c r="BE309" s="17">
        <f t="shared" si="300"/>
        <v>4174.1451110948756</v>
      </c>
      <c r="BF309" s="17">
        <f t="shared" si="301"/>
        <v>0</v>
      </c>
      <c r="BG309" s="17">
        <f t="shared" si="302"/>
        <v>0</v>
      </c>
      <c r="BH309" s="17">
        <f t="shared" si="303"/>
        <v>0</v>
      </c>
      <c r="BI309" s="17">
        <f>IF(MOD(AK309,12)=0,BG309*'1 - Input'!$B$23,0)</f>
        <v>0</v>
      </c>
      <c r="BJ309" s="17">
        <f t="shared" si="304"/>
        <v>0</v>
      </c>
      <c r="BK309" s="17">
        <f>IF(MOD(AK309,12)=0,BH309*(1-'1 - Input'!$B$23),BH309)</f>
        <v>0</v>
      </c>
      <c r="BL309" s="17">
        <f>IF('1 - Input'!$B$17=1,MIN(AV309,AN309)+BD309,AV309)</f>
        <v>0</v>
      </c>
      <c r="BM309" s="17">
        <f t="shared" si="331"/>
        <v>590482.93849429931</v>
      </c>
      <c r="BN309" s="17">
        <f t="shared" si="332"/>
        <v>101441.90180685223</v>
      </c>
      <c r="BO309" s="17">
        <f t="shared" si="333"/>
        <v>0</v>
      </c>
      <c r="BP309" s="17">
        <f t="shared" si="334"/>
        <v>174289.24056370757</v>
      </c>
      <c r="BQ309" s="17">
        <f t="shared" si="335"/>
        <v>8123.5662772395826</v>
      </c>
      <c r="BR309" s="17">
        <f t="shared" si="336"/>
        <v>302352.4183848151</v>
      </c>
      <c r="BS309" s="15">
        <f t="shared" si="305"/>
        <v>1</v>
      </c>
      <c r="BU309" s="14">
        <v>266</v>
      </c>
      <c r="BV309" s="15">
        <f t="shared" si="306"/>
        <v>23</v>
      </c>
      <c r="BW309" s="16">
        <f>(1+INDEX('1 - Input'!$B$34:$E$63,BV309,'1 - Input'!$B$16))^(1/12)-1</f>
        <v>4.1219243192651689E-3</v>
      </c>
      <c r="BX309" s="17">
        <f>'1 - Input'!$B$7*(1+'1 - Input'!$B$12)^(BV309-1)</f>
        <v>4174.1451110948756</v>
      </c>
      <c r="BY309" s="17">
        <f t="shared" si="337"/>
        <v>0</v>
      </c>
      <c r="BZ309" s="17">
        <f t="shared" si="338"/>
        <v>0</v>
      </c>
      <c r="CA309" s="17">
        <f t="shared" si="307"/>
        <v>0</v>
      </c>
      <c r="CB309" s="17">
        <f>IF(CA309&gt;0,'1 - Input'!$B$8/12*CA309,0)</f>
        <v>0</v>
      </c>
      <c r="CC309" s="17">
        <f t="shared" si="308"/>
        <v>0</v>
      </c>
      <c r="CD309" s="17">
        <f t="shared" si="309"/>
        <v>0</v>
      </c>
      <c r="CE309" s="17">
        <f>'1 - Input'!$B$22*(CB309-CD309)</f>
        <v>0</v>
      </c>
      <c r="CF309" s="17">
        <f t="shared" si="310"/>
        <v>0</v>
      </c>
      <c r="CG309" s="17">
        <f t="shared" si="311"/>
        <v>0</v>
      </c>
      <c r="CH309" s="17">
        <f>IF('1 - Input'!$B$17=1,MAX(0,CF309-BX309),0)</f>
        <v>0</v>
      </c>
      <c r="CI309" s="17">
        <f>IF('1 - Input'!$B$17=1,MAX(0,BX309-CF309),0)</f>
        <v>4174.1451110948756</v>
      </c>
      <c r="CJ309" s="17">
        <f t="shared" si="312"/>
        <v>0</v>
      </c>
      <c r="CK309" s="17">
        <f>IF(AND(CI309&gt;0,CC309&gt;0),CI309/(1-'1 - Input'!$B$22*CJ309),0)</f>
        <v>0</v>
      </c>
      <c r="CL309" s="17">
        <f t="shared" si="313"/>
        <v>0</v>
      </c>
      <c r="CM309" s="17">
        <f>'1 - Input'!$B$22*CJ309*CL309</f>
        <v>0</v>
      </c>
      <c r="CN309" s="17">
        <f t="shared" si="314"/>
        <v>0</v>
      </c>
      <c r="CO309" s="17">
        <f t="shared" si="315"/>
        <v>4174.1451110948756</v>
      </c>
      <c r="CP309" s="17">
        <f t="shared" si="316"/>
        <v>0</v>
      </c>
      <c r="CQ309" s="17">
        <f t="shared" si="317"/>
        <v>0</v>
      </c>
      <c r="CR309" s="17">
        <f t="shared" si="318"/>
        <v>0</v>
      </c>
      <c r="CS309" s="17">
        <f>IF(MOD(BU309,12)=0,CQ309*'1 - Input'!$B$23,0)</f>
        <v>0</v>
      </c>
      <c r="CT309" s="17">
        <f t="shared" si="319"/>
        <v>0</v>
      </c>
      <c r="CU309" s="17">
        <f>IF(MOD(BU309,12)=0,CR309*(1-'1 - Input'!$B$23),CR309)</f>
        <v>0</v>
      </c>
      <c r="CV309" s="17">
        <f>IF('1 - Input'!$B$17=1,MIN(CF309,BX309)+CN309,CF309)</f>
        <v>0</v>
      </c>
      <c r="CW309" s="17">
        <f t="shared" si="339"/>
        <v>686605.50041273201</v>
      </c>
      <c r="CX309" s="17">
        <f t="shared" si="340"/>
        <v>6018.3402768167462</v>
      </c>
      <c r="CY309" s="17">
        <f t="shared" si="341"/>
        <v>66518.776160328038</v>
      </c>
      <c r="CZ309" s="17">
        <f t="shared" si="342"/>
        <v>0</v>
      </c>
      <c r="DA309" s="17">
        <f t="shared" si="343"/>
        <v>10954.114452440983</v>
      </c>
      <c r="DB309" s="17">
        <f t="shared" si="344"/>
        <v>206229.85646638335</v>
      </c>
      <c r="DC309" s="15">
        <f t="shared" si="320"/>
        <v>1</v>
      </c>
    </row>
    <row r="310" spans="1:107">
      <c r="A310" s="14">
        <v>267</v>
      </c>
      <c r="B310" s="15">
        <f t="shared" si="276"/>
        <v>23</v>
      </c>
      <c r="C310" s="16">
        <f>(1+INDEX('1 - Input'!$B$34:$E$63,B310,'1 - Input'!$B$16))^(1/12)-1</f>
        <v>4.1219243192651689E-3</v>
      </c>
      <c r="D310" s="17">
        <f>'1 - Input'!$B$7*(1+'1 - Input'!$B$12)^(B310-1)</f>
        <v>4174.1451110948756</v>
      </c>
      <c r="E310" s="17">
        <f t="shared" si="321"/>
        <v>0</v>
      </c>
      <c r="F310" s="17">
        <f t="shared" si="322"/>
        <v>0</v>
      </c>
      <c r="G310" s="17">
        <f t="shared" si="277"/>
        <v>0</v>
      </c>
      <c r="H310" s="17">
        <f>IF(G310&gt;0,'1 - Input'!$B$8/12*G310,0)</f>
        <v>0</v>
      </c>
      <c r="I310" s="17">
        <f t="shared" si="278"/>
        <v>0</v>
      </c>
      <c r="J310" s="17">
        <f t="shared" si="279"/>
        <v>0</v>
      </c>
      <c r="K310" s="17">
        <f>'1 - Input'!$B$22*(H310-J310)</f>
        <v>0</v>
      </c>
      <c r="L310" s="17">
        <f t="shared" si="280"/>
        <v>0</v>
      </c>
      <c r="M310" s="17">
        <f t="shared" si="281"/>
        <v>0</v>
      </c>
      <c r="N310" s="17">
        <f>IF('1 - Input'!$B$17=1,MAX(0,L310-D310),0)</f>
        <v>0</v>
      </c>
      <c r="O310" s="17">
        <f>IF('1 - Input'!$B$17=1,MAX(0,D310-L310),0)</f>
        <v>4174.1451110948756</v>
      </c>
      <c r="P310" s="17">
        <f t="shared" si="282"/>
        <v>0</v>
      </c>
      <c r="Q310" s="17">
        <f>IF(AND(O310&gt;0,I310&gt;0),O310/(1-'1 - Input'!$B$22*P310),0)</f>
        <v>0</v>
      </c>
      <c r="R310" s="17">
        <f t="shared" si="283"/>
        <v>0</v>
      </c>
      <c r="S310" s="17">
        <f>'1 - Input'!$B$22*P310*R310</f>
        <v>0</v>
      </c>
      <c r="T310" s="17">
        <f t="shared" si="284"/>
        <v>0</v>
      </c>
      <c r="U310" s="17">
        <f t="shared" si="285"/>
        <v>4174.1451110948756</v>
      </c>
      <c r="V310" s="17">
        <f t="shared" si="286"/>
        <v>0</v>
      </c>
      <c r="W310" s="17">
        <f t="shared" si="287"/>
        <v>0</v>
      </c>
      <c r="X310" s="17">
        <f t="shared" si="288"/>
        <v>0</v>
      </c>
      <c r="Y310" s="17">
        <f>IF(MOD(A310,12)=0,W310*'1 - Input'!$B$23,0)</f>
        <v>0</v>
      </c>
      <c r="Z310" s="17">
        <f t="shared" si="289"/>
        <v>0</v>
      </c>
      <c r="AA310" s="17">
        <f>IF(MOD(A310,12)=0,X310*(1-'1 - Input'!$B$23),X310)</f>
        <v>0</v>
      </c>
      <c r="AB310" s="17">
        <f>IF('1 - Input'!$B$17=1,MIN(L310,D310)+T310,L310)</f>
        <v>0</v>
      </c>
      <c r="AC310" s="17">
        <f t="shared" si="323"/>
        <v>590482.93849429931</v>
      </c>
      <c r="AD310" s="17">
        <f t="shared" si="324"/>
        <v>101441.90180685223</v>
      </c>
      <c r="AE310" s="17">
        <f t="shared" si="325"/>
        <v>0</v>
      </c>
      <c r="AF310" s="17">
        <f t="shared" si="326"/>
        <v>174289.24056370757</v>
      </c>
      <c r="AG310" s="17">
        <f t="shared" si="327"/>
        <v>8123.5662772395826</v>
      </c>
      <c r="AH310" s="17">
        <f t="shared" si="328"/>
        <v>306526.56349590997</v>
      </c>
      <c r="AI310" s="15">
        <f t="shared" si="290"/>
        <v>1</v>
      </c>
      <c r="AK310" s="14">
        <v>267</v>
      </c>
      <c r="AL310" s="15">
        <f t="shared" si="291"/>
        <v>23</v>
      </c>
      <c r="AM310" s="16">
        <f>(1+INDEX('1 - Input'!$B$34:$E$63,AL310,'1 - Input'!$B$16))^(1/12)-1</f>
        <v>4.1219243192651689E-3</v>
      </c>
      <c r="AN310" s="17">
        <f>'1 - Input'!$B$7*(1+'1 - Input'!$B$12)^(AL310-1)</f>
        <v>4174.1451110948756</v>
      </c>
      <c r="AO310" s="17">
        <f t="shared" si="329"/>
        <v>0</v>
      </c>
      <c r="AP310" s="17">
        <f t="shared" si="330"/>
        <v>0</v>
      </c>
      <c r="AQ310" s="17">
        <f t="shared" si="292"/>
        <v>0</v>
      </c>
      <c r="AR310" s="17">
        <f>IF(AQ310&gt;0,'1 - Input'!$B$8/12*AQ310,0)</f>
        <v>0</v>
      </c>
      <c r="AS310" s="17">
        <f t="shared" si="293"/>
        <v>0</v>
      </c>
      <c r="AT310" s="17">
        <f t="shared" si="294"/>
        <v>0</v>
      </c>
      <c r="AU310" s="17">
        <f>'1 - Input'!$B$22*(AR310-AT310)</f>
        <v>0</v>
      </c>
      <c r="AV310" s="17">
        <f t="shared" si="295"/>
        <v>0</v>
      </c>
      <c r="AW310" s="17">
        <f t="shared" si="296"/>
        <v>0</v>
      </c>
      <c r="AX310" s="17">
        <f>IF('1 - Input'!$B$17=1,MAX(0,AV310-AN310),0)</f>
        <v>0</v>
      </c>
      <c r="AY310" s="17">
        <f>IF('1 - Input'!$B$17=1,MAX(0,AN310-AV310),0)</f>
        <v>4174.1451110948756</v>
      </c>
      <c r="AZ310" s="17">
        <f t="shared" si="297"/>
        <v>0</v>
      </c>
      <c r="BA310" s="17">
        <f>IF(AND(AY310&gt;0,AS310&gt;0),AY310/(1-'1 - Input'!$B$22*AZ310),0)</f>
        <v>0</v>
      </c>
      <c r="BB310" s="17">
        <f t="shared" si="298"/>
        <v>0</v>
      </c>
      <c r="BC310" s="17">
        <f>'1 - Input'!$B$22*AZ310*BB310</f>
        <v>0</v>
      </c>
      <c r="BD310" s="17">
        <f t="shared" si="299"/>
        <v>0</v>
      </c>
      <c r="BE310" s="17">
        <f t="shared" si="300"/>
        <v>4174.1451110948756</v>
      </c>
      <c r="BF310" s="17">
        <f t="shared" si="301"/>
        <v>0</v>
      </c>
      <c r="BG310" s="17">
        <f t="shared" si="302"/>
        <v>0</v>
      </c>
      <c r="BH310" s="17">
        <f t="shared" si="303"/>
        <v>0</v>
      </c>
      <c r="BI310" s="17">
        <f>IF(MOD(AK310,12)=0,BG310*'1 - Input'!$B$23,0)</f>
        <v>0</v>
      </c>
      <c r="BJ310" s="17">
        <f t="shared" si="304"/>
        <v>0</v>
      </c>
      <c r="BK310" s="17">
        <f>IF(MOD(AK310,12)=0,BH310*(1-'1 - Input'!$B$23),BH310)</f>
        <v>0</v>
      </c>
      <c r="BL310" s="17">
        <f>IF('1 - Input'!$B$17=1,MIN(AV310,AN310)+BD310,AV310)</f>
        <v>0</v>
      </c>
      <c r="BM310" s="17">
        <f t="shared" si="331"/>
        <v>590482.93849429931</v>
      </c>
      <c r="BN310" s="17">
        <f t="shared" si="332"/>
        <v>101441.90180685223</v>
      </c>
      <c r="BO310" s="17">
        <f t="shared" si="333"/>
        <v>0</v>
      </c>
      <c r="BP310" s="17">
        <f t="shared" si="334"/>
        <v>174289.24056370757</v>
      </c>
      <c r="BQ310" s="17">
        <f t="shared" si="335"/>
        <v>8123.5662772395826</v>
      </c>
      <c r="BR310" s="17">
        <f t="shared" si="336"/>
        <v>306526.56349590997</v>
      </c>
      <c r="BS310" s="15">
        <f t="shared" si="305"/>
        <v>1</v>
      </c>
      <c r="BU310" s="14">
        <v>267</v>
      </c>
      <c r="BV310" s="15">
        <f t="shared" si="306"/>
        <v>23</v>
      </c>
      <c r="BW310" s="16">
        <f>(1+INDEX('1 - Input'!$B$34:$E$63,BV310,'1 - Input'!$B$16))^(1/12)-1</f>
        <v>4.1219243192651689E-3</v>
      </c>
      <c r="BX310" s="17">
        <f>'1 - Input'!$B$7*(1+'1 - Input'!$B$12)^(BV310-1)</f>
        <v>4174.1451110948756</v>
      </c>
      <c r="BY310" s="17">
        <f t="shared" si="337"/>
        <v>0</v>
      </c>
      <c r="BZ310" s="17">
        <f t="shared" si="338"/>
        <v>0</v>
      </c>
      <c r="CA310" s="17">
        <f t="shared" si="307"/>
        <v>0</v>
      </c>
      <c r="CB310" s="17">
        <f>IF(CA310&gt;0,'1 - Input'!$B$8/12*CA310,0)</f>
        <v>0</v>
      </c>
      <c r="CC310" s="17">
        <f t="shared" si="308"/>
        <v>0</v>
      </c>
      <c r="CD310" s="17">
        <f t="shared" si="309"/>
        <v>0</v>
      </c>
      <c r="CE310" s="17">
        <f>'1 - Input'!$B$22*(CB310-CD310)</f>
        <v>0</v>
      </c>
      <c r="CF310" s="17">
        <f t="shared" si="310"/>
        <v>0</v>
      </c>
      <c r="CG310" s="17">
        <f t="shared" si="311"/>
        <v>0</v>
      </c>
      <c r="CH310" s="17">
        <f>IF('1 - Input'!$B$17=1,MAX(0,CF310-BX310),0)</f>
        <v>0</v>
      </c>
      <c r="CI310" s="17">
        <f>IF('1 - Input'!$B$17=1,MAX(0,BX310-CF310),0)</f>
        <v>4174.1451110948756</v>
      </c>
      <c r="CJ310" s="17">
        <f t="shared" si="312"/>
        <v>0</v>
      </c>
      <c r="CK310" s="17">
        <f>IF(AND(CI310&gt;0,CC310&gt;0),CI310/(1-'1 - Input'!$B$22*CJ310),0)</f>
        <v>0</v>
      </c>
      <c r="CL310" s="17">
        <f t="shared" si="313"/>
        <v>0</v>
      </c>
      <c r="CM310" s="17">
        <f>'1 - Input'!$B$22*CJ310*CL310</f>
        <v>0</v>
      </c>
      <c r="CN310" s="17">
        <f t="shared" si="314"/>
        <v>0</v>
      </c>
      <c r="CO310" s="17">
        <f t="shared" si="315"/>
        <v>4174.1451110948756</v>
      </c>
      <c r="CP310" s="17">
        <f t="shared" si="316"/>
        <v>0</v>
      </c>
      <c r="CQ310" s="17">
        <f t="shared" si="317"/>
        <v>0</v>
      </c>
      <c r="CR310" s="17">
        <f t="shared" si="318"/>
        <v>0</v>
      </c>
      <c r="CS310" s="17">
        <f>IF(MOD(BU310,12)=0,CQ310*'1 - Input'!$B$23,0)</f>
        <v>0</v>
      </c>
      <c r="CT310" s="17">
        <f t="shared" si="319"/>
        <v>0</v>
      </c>
      <c r="CU310" s="17">
        <f>IF(MOD(BU310,12)=0,CR310*(1-'1 - Input'!$B$23),CR310)</f>
        <v>0</v>
      </c>
      <c r="CV310" s="17">
        <f>IF('1 - Input'!$B$17=1,MIN(CF310,BX310)+CN310,CF310)</f>
        <v>0</v>
      </c>
      <c r="CW310" s="17">
        <f t="shared" si="339"/>
        <v>686605.50041273201</v>
      </c>
      <c r="CX310" s="17">
        <f t="shared" si="340"/>
        <v>6018.3402768167462</v>
      </c>
      <c r="CY310" s="17">
        <f t="shared" si="341"/>
        <v>66518.776160328038</v>
      </c>
      <c r="CZ310" s="17">
        <f t="shared" si="342"/>
        <v>0</v>
      </c>
      <c r="DA310" s="17">
        <f t="shared" si="343"/>
        <v>10954.114452440983</v>
      </c>
      <c r="DB310" s="17">
        <f t="shared" si="344"/>
        <v>210404.00157747822</v>
      </c>
      <c r="DC310" s="15">
        <f t="shared" si="320"/>
        <v>1</v>
      </c>
    </row>
    <row r="311" spans="1:107">
      <c r="A311" s="14">
        <v>268</v>
      </c>
      <c r="B311" s="15">
        <f t="shared" si="276"/>
        <v>23</v>
      </c>
      <c r="C311" s="16">
        <f>(1+INDEX('1 - Input'!$B$34:$E$63,B311,'1 - Input'!$B$16))^(1/12)-1</f>
        <v>4.1219243192651689E-3</v>
      </c>
      <c r="D311" s="17">
        <f>'1 - Input'!$B$7*(1+'1 - Input'!$B$12)^(B311-1)</f>
        <v>4174.1451110948756</v>
      </c>
      <c r="E311" s="17">
        <f t="shared" si="321"/>
        <v>0</v>
      </c>
      <c r="F311" s="17">
        <f t="shared" si="322"/>
        <v>0</v>
      </c>
      <c r="G311" s="17">
        <f t="shared" si="277"/>
        <v>0</v>
      </c>
      <c r="H311" s="17">
        <f>IF(G311&gt;0,'1 - Input'!$B$8/12*G311,0)</f>
        <v>0</v>
      </c>
      <c r="I311" s="17">
        <f t="shared" si="278"/>
        <v>0</v>
      </c>
      <c r="J311" s="17">
        <f t="shared" si="279"/>
        <v>0</v>
      </c>
      <c r="K311" s="17">
        <f>'1 - Input'!$B$22*(H311-J311)</f>
        <v>0</v>
      </c>
      <c r="L311" s="17">
        <f t="shared" si="280"/>
        <v>0</v>
      </c>
      <c r="M311" s="17">
        <f t="shared" si="281"/>
        <v>0</v>
      </c>
      <c r="N311" s="17">
        <f>IF('1 - Input'!$B$17=1,MAX(0,L311-D311),0)</f>
        <v>0</v>
      </c>
      <c r="O311" s="17">
        <f>IF('1 - Input'!$B$17=1,MAX(0,D311-L311),0)</f>
        <v>4174.1451110948756</v>
      </c>
      <c r="P311" s="17">
        <f t="shared" si="282"/>
        <v>0</v>
      </c>
      <c r="Q311" s="17">
        <f>IF(AND(O311&gt;0,I311&gt;0),O311/(1-'1 - Input'!$B$22*P311),0)</f>
        <v>0</v>
      </c>
      <c r="R311" s="17">
        <f t="shared" si="283"/>
        <v>0</v>
      </c>
      <c r="S311" s="17">
        <f>'1 - Input'!$B$22*P311*R311</f>
        <v>0</v>
      </c>
      <c r="T311" s="17">
        <f t="shared" si="284"/>
        <v>0</v>
      </c>
      <c r="U311" s="17">
        <f t="shared" si="285"/>
        <v>4174.1451110948756</v>
      </c>
      <c r="V311" s="17">
        <f t="shared" si="286"/>
        <v>0</v>
      </c>
      <c r="W311" s="17">
        <f t="shared" si="287"/>
        <v>0</v>
      </c>
      <c r="X311" s="17">
        <f t="shared" si="288"/>
        <v>0</v>
      </c>
      <c r="Y311" s="17">
        <f>IF(MOD(A311,12)=0,W311*'1 - Input'!$B$23,0)</f>
        <v>0</v>
      </c>
      <c r="Z311" s="17">
        <f t="shared" si="289"/>
        <v>0</v>
      </c>
      <c r="AA311" s="17">
        <f>IF(MOD(A311,12)=0,X311*(1-'1 - Input'!$B$23),X311)</f>
        <v>0</v>
      </c>
      <c r="AB311" s="17">
        <f>IF('1 - Input'!$B$17=1,MIN(L311,D311)+T311,L311)</f>
        <v>0</v>
      </c>
      <c r="AC311" s="17">
        <f t="shared" si="323"/>
        <v>590482.93849429931</v>
      </c>
      <c r="AD311" s="17">
        <f t="shared" si="324"/>
        <v>101441.90180685223</v>
      </c>
      <c r="AE311" s="17">
        <f t="shared" si="325"/>
        <v>0</v>
      </c>
      <c r="AF311" s="17">
        <f t="shared" si="326"/>
        <v>174289.24056370757</v>
      </c>
      <c r="AG311" s="17">
        <f t="shared" si="327"/>
        <v>8123.5662772395826</v>
      </c>
      <c r="AH311" s="17">
        <f t="shared" si="328"/>
        <v>310700.70860700484</v>
      </c>
      <c r="AI311" s="15">
        <f t="shared" si="290"/>
        <v>1</v>
      </c>
      <c r="AK311" s="14">
        <v>268</v>
      </c>
      <c r="AL311" s="15">
        <f t="shared" si="291"/>
        <v>23</v>
      </c>
      <c r="AM311" s="16">
        <f>(1+INDEX('1 - Input'!$B$34:$E$63,AL311,'1 - Input'!$B$16))^(1/12)-1</f>
        <v>4.1219243192651689E-3</v>
      </c>
      <c r="AN311" s="17">
        <f>'1 - Input'!$B$7*(1+'1 - Input'!$B$12)^(AL311-1)</f>
        <v>4174.1451110948756</v>
      </c>
      <c r="AO311" s="17">
        <f t="shared" si="329"/>
        <v>0</v>
      </c>
      <c r="AP311" s="17">
        <f t="shared" si="330"/>
        <v>0</v>
      </c>
      <c r="AQ311" s="17">
        <f t="shared" si="292"/>
        <v>0</v>
      </c>
      <c r="AR311" s="17">
        <f>IF(AQ311&gt;0,'1 - Input'!$B$8/12*AQ311,0)</f>
        <v>0</v>
      </c>
      <c r="AS311" s="17">
        <f t="shared" si="293"/>
        <v>0</v>
      </c>
      <c r="AT311" s="17">
        <f t="shared" si="294"/>
        <v>0</v>
      </c>
      <c r="AU311" s="17">
        <f>'1 - Input'!$B$22*(AR311-AT311)</f>
        <v>0</v>
      </c>
      <c r="AV311" s="17">
        <f t="shared" si="295"/>
        <v>0</v>
      </c>
      <c r="AW311" s="17">
        <f t="shared" si="296"/>
        <v>0</v>
      </c>
      <c r="AX311" s="17">
        <f>IF('1 - Input'!$B$17=1,MAX(0,AV311-AN311),0)</f>
        <v>0</v>
      </c>
      <c r="AY311" s="17">
        <f>IF('1 - Input'!$B$17=1,MAX(0,AN311-AV311),0)</f>
        <v>4174.1451110948756</v>
      </c>
      <c r="AZ311" s="17">
        <f t="shared" si="297"/>
        <v>0</v>
      </c>
      <c r="BA311" s="17">
        <f>IF(AND(AY311&gt;0,AS311&gt;0),AY311/(1-'1 - Input'!$B$22*AZ311),0)</f>
        <v>0</v>
      </c>
      <c r="BB311" s="17">
        <f t="shared" si="298"/>
        <v>0</v>
      </c>
      <c r="BC311" s="17">
        <f>'1 - Input'!$B$22*AZ311*BB311</f>
        <v>0</v>
      </c>
      <c r="BD311" s="17">
        <f t="shared" si="299"/>
        <v>0</v>
      </c>
      <c r="BE311" s="17">
        <f t="shared" si="300"/>
        <v>4174.1451110948756</v>
      </c>
      <c r="BF311" s="17">
        <f t="shared" si="301"/>
        <v>0</v>
      </c>
      <c r="BG311" s="17">
        <f t="shared" si="302"/>
        <v>0</v>
      </c>
      <c r="BH311" s="17">
        <f t="shared" si="303"/>
        <v>0</v>
      </c>
      <c r="BI311" s="17">
        <f>IF(MOD(AK311,12)=0,BG311*'1 - Input'!$B$23,0)</f>
        <v>0</v>
      </c>
      <c r="BJ311" s="17">
        <f t="shared" si="304"/>
        <v>0</v>
      </c>
      <c r="BK311" s="17">
        <f>IF(MOD(AK311,12)=0,BH311*(1-'1 - Input'!$B$23),BH311)</f>
        <v>0</v>
      </c>
      <c r="BL311" s="17">
        <f>IF('1 - Input'!$B$17=1,MIN(AV311,AN311)+BD311,AV311)</f>
        <v>0</v>
      </c>
      <c r="BM311" s="17">
        <f t="shared" si="331"/>
        <v>590482.93849429931</v>
      </c>
      <c r="BN311" s="17">
        <f t="shared" si="332"/>
        <v>101441.90180685223</v>
      </c>
      <c r="BO311" s="17">
        <f t="shared" si="333"/>
        <v>0</v>
      </c>
      <c r="BP311" s="17">
        <f t="shared" si="334"/>
        <v>174289.24056370757</v>
      </c>
      <c r="BQ311" s="17">
        <f t="shared" si="335"/>
        <v>8123.5662772395826</v>
      </c>
      <c r="BR311" s="17">
        <f t="shared" si="336"/>
        <v>310700.70860700484</v>
      </c>
      <c r="BS311" s="15">
        <f t="shared" si="305"/>
        <v>1</v>
      </c>
      <c r="BU311" s="14">
        <v>268</v>
      </c>
      <c r="BV311" s="15">
        <f t="shared" si="306"/>
        <v>23</v>
      </c>
      <c r="BW311" s="16">
        <f>(1+INDEX('1 - Input'!$B$34:$E$63,BV311,'1 - Input'!$B$16))^(1/12)-1</f>
        <v>4.1219243192651689E-3</v>
      </c>
      <c r="BX311" s="17">
        <f>'1 - Input'!$B$7*(1+'1 - Input'!$B$12)^(BV311-1)</f>
        <v>4174.1451110948756</v>
      </c>
      <c r="BY311" s="17">
        <f t="shared" si="337"/>
        <v>0</v>
      </c>
      <c r="BZ311" s="17">
        <f t="shared" si="338"/>
        <v>0</v>
      </c>
      <c r="CA311" s="17">
        <f t="shared" si="307"/>
        <v>0</v>
      </c>
      <c r="CB311" s="17">
        <f>IF(CA311&gt;0,'1 - Input'!$B$8/12*CA311,0)</f>
        <v>0</v>
      </c>
      <c r="CC311" s="17">
        <f t="shared" si="308"/>
        <v>0</v>
      </c>
      <c r="CD311" s="17">
        <f t="shared" si="309"/>
        <v>0</v>
      </c>
      <c r="CE311" s="17">
        <f>'1 - Input'!$B$22*(CB311-CD311)</f>
        <v>0</v>
      </c>
      <c r="CF311" s="17">
        <f t="shared" si="310"/>
        <v>0</v>
      </c>
      <c r="CG311" s="17">
        <f t="shared" si="311"/>
        <v>0</v>
      </c>
      <c r="CH311" s="17">
        <f>IF('1 - Input'!$B$17=1,MAX(0,CF311-BX311),0)</f>
        <v>0</v>
      </c>
      <c r="CI311" s="17">
        <f>IF('1 - Input'!$B$17=1,MAX(0,BX311-CF311),0)</f>
        <v>4174.1451110948756</v>
      </c>
      <c r="CJ311" s="17">
        <f t="shared" si="312"/>
        <v>0</v>
      </c>
      <c r="CK311" s="17">
        <f>IF(AND(CI311&gt;0,CC311&gt;0),CI311/(1-'1 - Input'!$B$22*CJ311),0)</f>
        <v>0</v>
      </c>
      <c r="CL311" s="17">
        <f t="shared" si="313"/>
        <v>0</v>
      </c>
      <c r="CM311" s="17">
        <f>'1 - Input'!$B$22*CJ311*CL311</f>
        <v>0</v>
      </c>
      <c r="CN311" s="17">
        <f t="shared" si="314"/>
        <v>0</v>
      </c>
      <c r="CO311" s="17">
        <f t="shared" si="315"/>
        <v>4174.1451110948756</v>
      </c>
      <c r="CP311" s="17">
        <f t="shared" si="316"/>
        <v>0</v>
      </c>
      <c r="CQ311" s="17">
        <f t="shared" si="317"/>
        <v>0</v>
      </c>
      <c r="CR311" s="17">
        <f t="shared" si="318"/>
        <v>0</v>
      </c>
      <c r="CS311" s="17">
        <f>IF(MOD(BU311,12)=0,CQ311*'1 - Input'!$B$23,0)</f>
        <v>0</v>
      </c>
      <c r="CT311" s="17">
        <f t="shared" si="319"/>
        <v>0</v>
      </c>
      <c r="CU311" s="17">
        <f>IF(MOD(BU311,12)=0,CR311*(1-'1 - Input'!$B$23),CR311)</f>
        <v>0</v>
      </c>
      <c r="CV311" s="17">
        <f>IF('1 - Input'!$B$17=1,MIN(CF311,BX311)+CN311,CF311)</f>
        <v>0</v>
      </c>
      <c r="CW311" s="17">
        <f t="shared" si="339"/>
        <v>686605.50041273201</v>
      </c>
      <c r="CX311" s="17">
        <f t="shared" si="340"/>
        <v>6018.3402768167462</v>
      </c>
      <c r="CY311" s="17">
        <f t="shared" si="341"/>
        <v>66518.776160328038</v>
      </c>
      <c r="CZ311" s="17">
        <f t="shared" si="342"/>
        <v>0</v>
      </c>
      <c r="DA311" s="17">
        <f t="shared" si="343"/>
        <v>10954.114452440983</v>
      </c>
      <c r="DB311" s="17">
        <f t="shared" si="344"/>
        <v>214578.14668857309</v>
      </c>
      <c r="DC311" s="15">
        <f t="shared" si="320"/>
        <v>1</v>
      </c>
    </row>
    <row r="312" spans="1:107">
      <c r="A312" s="14">
        <v>269</v>
      </c>
      <c r="B312" s="15">
        <f t="shared" si="276"/>
        <v>23</v>
      </c>
      <c r="C312" s="16">
        <f>(1+INDEX('1 - Input'!$B$34:$E$63,B312,'1 - Input'!$B$16))^(1/12)-1</f>
        <v>4.1219243192651689E-3</v>
      </c>
      <c r="D312" s="17">
        <f>'1 - Input'!$B$7*(1+'1 - Input'!$B$12)^(B312-1)</f>
        <v>4174.1451110948756</v>
      </c>
      <c r="E312" s="17">
        <f t="shared" si="321"/>
        <v>0</v>
      </c>
      <c r="F312" s="17">
        <f t="shared" si="322"/>
        <v>0</v>
      </c>
      <c r="G312" s="17">
        <f t="shared" si="277"/>
        <v>0</v>
      </c>
      <c r="H312" s="17">
        <f>IF(G312&gt;0,'1 - Input'!$B$8/12*G312,0)</f>
        <v>0</v>
      </c>
      <c r="I312" s="17">
        <f t="shared" si="278"/>
        <v>0</v>
      </c>
      <c r="J312" s="17">
        <f t="shared" si="279"/>
        <v>0</v>
      </c>
      <c r="K312" s="17">
        <f>'1 - Input'!$B$22*(H312-J312)</f>
        <v>0</v>
      </c>
      <c r="L312" s="17">
        <f t="shared" si="280"/>
        <v>0</v>
      </c>
      <c r="M312" s="17">
        <f t="shared" si="281"/>
        <v>0</v>
      </c>
      <c r="N312" s="17">
        <f>IF('1 - Input'!$B$17=1,MAX(0,L312-D312),0)</f>
        <v>0</v>
      </c>
      <c r="O312" s="17">
        <f>IF('1 - Input'!$B$17=1,MAX(0,D312-L312),0)</f>
        <v>4174.1451110948756</v>
      </c>
      <c r="P312" s="17">
        <f t="shared" si="282"/>
        <v>0</v>
      </c>
      <c r="Q312" s="17">
        <f>IF(AND(O312&gt;0,I312&gt;0),O312/(1-'1 - Input'!$B$22*P312),0)</f>
        <v>0</v>
      </c>
      <c r="R312" s="17">
        <f t="shared" si="283"/>
        <v>0</v>
      </c>
      <c r="S312" s="17">
        <f>'1 - Input'!$B$22*P312*R312</f>
        <v>0</v>
      </c>
      <c r="T312" s="17">
        <f t="shared" si="284"/>
        <v>0</v>
      </c>
      <c r="U312" s="17">
        <f t="shared" si="285"/>
        <v>4174.1451110948756</v>
      </c>
      <c r="V312" s="17">
        <f t="shared" si="286"/>
        <v>0</v>
      </c>
      <c r="W312" s="17">
        <f t="shared" si="287"/>
        <v>0</v>
      </c>
      <c r="X312" s="17">
        <f t="shared" si="288"/>
        <v>0</v>
      </c>
      <c r="Y312" s="17">
        <f>IF(MOD(A312,12)=0,W312*'1 - Input'!$B$23,0)</f>
        <v>0</v>
      </c>
      <c r="Z312" s="17">
        <f t="shared" si="289"/>
        <v>0</v>
      </c>
      <c r="AA312" s="17">
        <f>IF(MOD(A312,12)=0,X312*(1-'1 - Input'!$B$23),X312)</f>
        <v>0</v>
      </c>
      <c r="AB312" s="17">
        <f>IF('1 - Input'!$B$17=1,MIN(L312,D312)+T312,L312)</f>
        <v>0</v>
      </c>
      <c r="AC312" s="17">
        <f t="shared" si="323"/>
        <v>590482.93849429931</v>
      </c>
      <c r="AD312" s="17">
        <f t="shared" si="324"/>
        <v>101441.90180685223</v>
      </c>
      <c r="AE312" s="17">
        <f t="shared" si="325"/>
        <v>0</v>
      </c>
      <c r="AF312" s="17">
        <f t="shared" si="326"/>
        <v>174289.24056370757</v>
      </c>
      <c r="AG312" s="17">
        <f t="shared" si="327"/>
        <v>8123.5662772395826</v>
      </c>
      <c r="AH312" s="17">
        <f t="shared" si="328"/>
        <v>314874.85371809971</v>
      </c>
      <c r="AI312" s="15">
        <f t="shared" si="290"/>
        <v>1</v>
      </c>
      <c r="AK312" s="14">
        <v>269</v>
      </c>
      <c r="AL312" s="15">
        <f t="shared" si="291"/>
        <v>23</v>
      </c>
      <c r="AM312" s="16">
        <f>(1+INDEX('1 - Input'!$B$34:$E$63,AL312,'1 - Input'!$B$16))^(1/12)-1</f>
        <v>4.1219243192651689E-3</v>
      </c>
      <c r="AN312" s="17">
        <f>'1 - Input'!$B$7*(1+'1 - Input'!$B$12)^(AL312-1)</f>
        <v>4174.1451110948756</v>
      </c>
      <c r="AO312" s="17">
        <f t="shared" si="329"/>
        <v>0</v>
      </c>
      <c r="AP312" s="17">
        <f t="shared" si="330"/>
        <v>0</v>
      </c>
      <c r="AQ312" s="17">
        <f t="shared" si="292"/>
        <v>0</v>
      </c>
      <c r="AR312" s="17">
        <f>IF(AQ312&gt;0,'1 - Input'!$B$8/12*AQ312,0)</f>
        <v>0</v>
      </c>
      <c r="AS312" s="17">
        <f t="shared" si="293"/>
        <v>0</v>
      </c>
      <c r="AT312" s="17">
        <f t="shared" si="294"/>
        <v>0</v>
      </c>
      <c r="AU312" s="17">
        <f>'1 - Input'!$B$22*(AR312-AT312)</f>
        <v>0</v>
      </c>
      <c r="AV312" s="17">
        <f t="shared" si="295"/>
        <v>0</v>
      </c>
      <c r="AW312" s="17">
        <f t="shared" si="296"/>
        <v>0</v>
      </c>
      <c r="AX312" s="17">
        <f>IF('1 - Input'!$B$17=1,MAX(0,AV312-AN312),0)</f>
        <v>0</v>
      </c>
      <c r="AY312" s="17">
        <f>IF('1 - Input'!$B$17=1,MAX(0,AN312-AV312),0)</f>
        <v>4174.1451110948756</v>
      </c>
      <c r="AZ312" s="17">
        <f t="shared" si="297"/>
        <v>0</v>
      </c>
      <c r="BA312" s="17">
        <f>IF(AND(AY312&gt;0,AS312&gt;0),AY312/(1-'1 - Input'!$B$22*AZ312),0)</f>
        <v>0</v>
      </c>
      <c r="BB312" s="17">
        <f t="shared" si="298"/>
        <v>0</v>
      </c>
      <c r="BC312" s="17">
        <f>'1 - Input'!$B$22*AZ312*BB312</f>
        <v>0</v>
      </c>
      <c r="BD312" s="17">
        <f t="shared" si="299"/>
        <v>0</v>
      </c>
      <c r="BE312" s="17">
        <f t="shared" si="300"/>
        <v>4174.1451110948756</v>
      </c>
      <c r="BF312" s="17">
        <f t="shared" si="301"/>
        <v>0</v>
      </c>
      <c r="BG312" s="17">
        <f t="shared" si="302"/>
        <v>0</v>
      </c>
      <c r="BH312" s="17">
        <f t="shared" si="303"/>
        <v>0</v>
      </c>
      <c r="BI312" s="17">
        <f>IF(MOD(AK312,12)=0,BG312*'1 - Input'!$B$23,0)</f>
        <v>0</v>
      </c>
      <c r="BJ312" s="17">
        <f t="shared" si="304"/>
        <v>0</v>
      </c>
      <c r="BK312" s="17">
        <f>IF(MOD(AK312,12)=0,BH312*(1-'1 - Input'!$B$23),BH312)</f>
        <v>0</v>
      </c>
      <c r="BL312" s="17">
        <f>IF('1 - Input'!$B$17=1,MIN(AV312,AN312)+BD312,AV312)</f>
        <v>0</v>
      </c>
      <c r="BM312" s="17">
        <f t="shared" si="331"/>
        <v>590482.93849429931</v>
      </c>
      <c r="BN312" s="17">
        <f t="shared" si="332"/>
        <v>101441.90180685223</v>
      </c>
      <c r="BO312" s="17">
        <f t="shared" si="333"/>
        <v>0</v>
      </c>
      <c r="BP312" s="17">
        <f t="shared" si="334"/>
        <v>174289.24056370757</v>
      </c>
      <c r="BQ312" s="17">
        <f t="shared" si="335"/>
        <v>8123.5662772395826</v>
      </c>
      <c r="BR312" s="17">
        <f t="shared" si="336"/>
        <v>314874.85371809971</v>
      </c>
      <c r="BS312" s="15">
        <f t="shared" si="305"/>
        <v>1</v>
      </c>
      <c r="BU312" s="14">
        <v>269</v>
      </c>
      <c r="BV312" s="15">
        <f t="shared" si="306"/>
        <v>23</v>
      </c>
      <c r="BW312" s="16">
        <f>(1+INDEX('1 - Input'!$B$34:$E$63,BV312,'1 - Input'!$B$16))^(1/12)-1</f>
        <v>4.1219243192651689E-3</v>
      </c>
      <c r="BX312" s="17">
        <f>'1 - Input'!$B$7*(1+'1 - Input'!$B$12)^(BV312-1)</f>
        <v>4174.1451110948756</v>
      </c>
      <c r="BY312" s="17">
        <f t="shared" si="337"/>
        <v>0</v>
      </c>
      <c r="BZ312" s="17">
        <f t="shared" si="338"/>
        <v>0</v>
      </c>
      <c r="CA312" s="17">
        <f t="shared" si="307"/>
        <v>0</v>
      </c>
      <c r="CB312" s="17">
        <f>IF(CA312&gt;0,'1 - Input'!$B$8/12*CA312,0)</f>
        <v>0</v>
      </c>
      <c r="CC312" s="17">
        <f t="shared" si="308"/>
        <v>0</v>
      </c>
      <c r="CD312" s="17">
        <f t="shared" si="309"/>
        <v>0</v>
      </c>
      <c r="CE312" s="17">
        <f>'1 - Input'!$B$22*(CB312-CD312)</f>
        <v>0</v>
      </c>
      <c r="CF312" s="17">
        <f t="shared" si="310"/>
        <v>0</v>
      </c>
      <c r="CG312" s="17">
        <f t="shared" si="311"/>
        <v>0</v>
      </c>
      <c r="CH312" s="17">
        <f>IF('1 - Input'!$B$17=1,MAX(0,CF312-BX312),0)</f>
        <v>0</v>
      </c>
      <c r="CI312" s="17">
        <f>IF('1 - Input'!$B$17=1,MAX(0,BX312-CF312),0)</f>
        <v>4174.1451110948756</v>
      </c>
      <c r="CJ312" s="17">
        <f t="shared" si="312"/>
        <v>0</v>
      </c>
      <c r="CK312" s="17">
        <f>IF(AND(CI312&gt;0,CC312&gt;0),CI312/(1-'1 - Input'!$B$22*CJ312),0)</f>
        <v>0</v>
      </c>
      <c r="CL312" s="17">
        <f t="shared" si="313"/>
        <v>0</v>
      </c>
      <c r="CM312" s="17">
        <f>'1 - Input'!$B$22*CJ312*CL312</f>
        <v>0</v>
      </c>
      <c r="CN312" s="17">
        <f t="shared" si="314"/>
        <v>0</v>
      </c>
      <c r="CO312" s="17">
        <f t="shared" si="315"/>
        <v>4174.1451110948756</v>
      </c>
      <c r="CP312" s="17">
        <f t="shared" si="316"/>
        <v>0</v>
      </c>
      <c r="CQ312" s="17">
        <f t="shared" si="317"/>
        <v>0</v>
      </c>
      <c r="CR312" s="17">
        <f t="shared" si="318"/>
        <v>0</v>
      </c>
      <c r="CS312" s="17">
        <f>IF(MOD(BU312,12)=0,CQ312*'1 - Input'!$B$23,0)</f>
        <v>0</v>
      </c>
      <c r="CT312" s="17">
        <f t="shared" si="319"/>
        <v>0</v>
      </c>
      <c r="CU312" s="17">
        <f>IF(MOD(BU312,12)=0,CR312*(1-'1 - Input'!$B$23),CR312)</f>
        <v>0</v>
      </c>
      <c r="CV312" s="17">
        <f>IF('1 - Input'!$B$17=1,MIN(CF312,BX312)+CN312,CF312)</f>
        <v>0</v>
      </c>
      <c r="CW312" s="17">
        <f t="shared" si="339"/>
        <v>686605.50041273201</v>
      </c>
      <c r="CX312" s="17">
        <f t="shared" si="340"/>
        <v>6018.3402768167462</v>
      </c>
      <c r="CY312" s="17">
        <f t="shared" si="341"/>
        <v>66518.776160328038</v>
      </c>
      <c r="CZ312" s="17">
        <f t="shared" si="342"/>
        <v>0</v>
      </c>
      <c r="DA312" s="17">
        <f t="shared" si="343"/>
        <v>10954.114452440983</v>
      </c>
      <c r="DB312" s="17">
        <f t="shared" si="344"/>
        <v>218752.29179966796</v>
      </c>
      <c r="DC312" s="15">
        <f t="shared" si="320"/>
        <v>1</v>
      </c>
    </row>
    <row r="313" spans="1:107">
      <c r="A313" s="14">
        <v>270</v>
      </c>
      <c r="B313" s="15">
        <f t="shared" si="276"/>
        <v>23</v>
      </c>
      <c r="C313" s="16">
        <f>(1+INDEX('1 - Input'!$B$34:$E$63,B313,'1 - Input'!$B$16))^(1/12)-1</f>
        <v>4.1219243192651689E-3</v>
      </c>
      <c r="D313" s="17">
        <f>'1 - Input'!$B$7*(1+'1 - Input'!$B$12)^(B313-1)</f>
        <v>4174.1451110948756</v>
      </c>
      <c r="E313" s="17">
        <f t="shared" si="321"/>
        <v>0</v>
      </c>
      <c r="F313" s="17">
        <f t="shared" si="322"/>
        <v>0</v>
      </c>
      <c r="G313" s="17">
        <f t="shared" si="277"/>
        <v>0</v>
      </c>
      <c r="H313" s="17">
        <f>IF(G313&gt;0,'1 - Input'!$B$8/12*G313,0)</f>
        <v>0</v>
      </c>
      <c r="I313" s="17">
        <f t="shared" si="278"/>
        <v>0</v>
      </c>
      <c r="J313" s="17">
        <f t="shared" si="279"/>
        <v>0</v>
      </c>
      <c r="K313" s="17">
        <f>'1 - Input'!$B$22*(H313-J313)</f>
        <v>0</v>
      </c>
      <c r="L313" s="17">
        <f t="shared" si="280"/>
        <v>0</v>
      </c>
      <c r="M313" s="17">
        <f t="shared" si="281"/>
        <v>0</v>
      </c>
      <c r="N313" s="17">
        <f>IF('1 - Input'!$B$17=1,MAX(0,L313-D313),0)</f>
        <v>0</v>
      </c>
      <c r="O313" s="17">
        <f>IF('1 - Input'!$B$17=1,MAX(0,D313-L313),0)</f>
        <v>4174.1451110948756</v>
      </c>
      <c r="P313" s="17">
        <f t="shared" si="282"/>
        <v>0</v>
      </c>
      <c r="Q313" s="17">
        <f>IF(AND(O313&gt;0,I313&gt;0),O313/(1-'1 - Input'!$B$22*P313),0)</f>
        <v>0</v>
      </c>
      <c r="R313" s="17">
        <f t="shared" si="283"/>
        <v>0</v>
      </c>
      <c r="S313" s="17">
        <f>'1 - Input'!$B$22*P313*R313</f>
        <v>0</v>
      </c>
      <c r="T313" s="17">
        <f t="shared" si="284"/>
        <v>0</v>
      </c>
      <c r="U313" s="17">
        <f t="shared" si="285"/>
        <v>4174.1451110948756</v>
      </c>
      <c r="V313" s="17">
        <f t="shared" si="286"/>
        <v>0</v>
      </c>
      <c r="W313" s="17">
        <f t="shared" si="287"/>
        <v>0</v>
      </c>
      <c r="X313" s="17">
        <f t="shared" si="288"/>
        <v>0</v>
      </c>
      <c r="Y313" s="17">
        <f>IF(MOD(A313,12)=0,W313*'1 - Input'!$B$23,0)</f>
        <v>0</v>
      </c>
      <c r="Z313" s="17">
        <f t="shared" si="289"/>
        <v>0</v>
      </c>
      <c r="AA313" s="17">
        <f>IF(MOD(A313,12)=0,X313*(1-'1 - Input'!$B$23),X313)</f>
        <v>0</v>
      </c>
      <c r="AB313" s="17">
        <f>IF('1 - Input'!$B$17=1,MIN(L313,D313)+T313,L313)</f>
        <v>0</v>
      </c>
      <c r="AC313" s="17">
        <f t="shared" si="323"/>
        <v>590482.93849429931</v>
      </c>
      <c r="AD313" s="17">
        <f t="shared" si="324"/>
        <v>101441.90180685223</v>
      </c>
      <c r="AE313" s="17">
        <f t="shared" si="325"/>
        <v>0</v>
      </c>
      <c r="AF313" s="17">
        <f t="shared" si="326"/>
        <v>174289.24056370757</v>
      </c>
      <c r="AG313" s="17">
        <f t="shared" si="327"/>
        <v>8123.5662772395826</v>
      </c>
      <c r="AH313" s="17">
        <f t="shared" si="328"/>
        <v>319048.99882919458</v>
      </c>
      <c r="AI313" s="15">
        <f t="shared" si="290"/>
        <v>1</v>
      </c>
      <c r="AK313" s="14">
        <v>270</v>
      </c>
      <c r="AL313" s="15">
        <f t="shared" si="291"/>
        <v>23</v>
      </c>
      <c r="AM313" s="16">
        <f>(1+INDEX('1 - Input'!$B$34:$E$63,AL313,'1 - Input'!$B$16))^(1/12)-1</f>
        <v>4.1219243192651689E-3</v>
      </c>
      <c r="AN313" s="17">
        <f>'1 - Input'!$B$7*(1+'1 - Input'!$B$12)^(AL313-1)</f>
        <v>4174.1451110948756</v>
      </c>
      <c r="AO313" s="17">
        <f t="shared" si="329"/>
        <v>0</v>
      </c>
      <c r="AP313" s="17">
        <f t="shared" si="330"/>
        <v>0</v>
      </c>
      <c r="AQ313" s="17">
        <f t="shared" si="292"/>
        <v>0</v>
      </c>
      <c r="AR313" s="17">
        <f>IF(AQ313&gt;0,'1 - Input'!$B$8/12*AQ313,0)</f>
        <v>0</v>
      </c>
      <c r="AS313" s="17">
        <f t="shared" si="293"/>
        <v>0</v>
      </c>
      <c r="AT313" s="17">
        <f t="shared" si="294"/>
        <v>0</v>
      </c>
      <c r="AU313" s="17">
        <f>'1 - Input'!$B$22*(AR313-AT313)</f>
        <v>0</v>
      </c>
      <c r="AV313" s="17">
        <f t="shared" si="295"/>
        <v>0</v>
      </c>
      <c r="AW313" s="17">
        <f t="shared" si="296"/>
        <v>0</v>
      </c>
      <c r="AX313" s="17">
        <f>IF('1 - Input'!$B$17=1,MAX(0,AV313-AN313),0)</f>
        <v>0</v>
      </c>
      <c r="AY313" s="17">
        <f>IF('1 - Input'!$B$17=1,MAX(0,AN313-AV313),0)</f>
        <v>4174.1451110948756</v>
      </c>
      <c r="AZ313" s="17">
        <f t="shared" si="297"/>
        <v>0</v>
      </c>
      <c r="BA313" s="17">
        <f>IF(AND(AY313&gt;0,AS313&gt;0),AY313/(1-'1 - Input'!$B$22*AZ313),0)</f>
        <v>0</v>
      </c>
      <c r="BB313" s="17">
        <f t="shared" si="298"/>
        <v>0</v>
      </c>
      <c r="BC313" s="17">
        <f>'1 - Input'!$B$22*AZ313*BB313</f>
        <v>0</v>
      </c>
      <c r="BD313" s="17">
        <f t="shared" si="299"/>
        <v>0</v>
      </c>
      <c r="BE313" s="17">
        <f t="shared" si="300"/>
        <v>4174.1451110948756</v>
      </c>
      <c r="BF313" s="17">
        <f t="shared" si="301"/>
        <v>0</v>
      </c>
      <c r="BG313" s="17">
        <f t="shared" si="302"/>
        <v>0</v>
      </c>
      <c r="BH313" s="17">
        <f t="shared" si="303"/>
        <v>0</v>
      </c>
      <c r="BI313" s="17">
        <f>IF(MOD(AK313,12)=0,BG313*'1 - Input'!$B$23,0)</f>
        <v>0</v>
      </c>
      <c r="BJ313" s="17">
        <f t="shared" si="304"/>
        <v>0</v>
      </c>
      <c r="BK313" s="17">
        <f>IF(MOD(AK313,12)=0,BH313*(1-'1 - Input'!$B$23),BH313)</f>
        <v>0</v>
      </c>
      <c r="BL313" s="17">
        <f>IF('1 - Input'!$B$17=1,MIN(AV313,AN313)+BD313,AV313)</f>
        <v>0</v>
      </c>
      <c r="BM313" s="17">
        <f t="shared" si="331"/>
        <v>590482.93849429931</v>
      </c>
      <c r="BN313" s="17">
        <f t="shared" si="332"/>
        <v>101441.90180685223</v>
      </c>
      <c r="BO313" s="17">
        <f t="shared" si="333"/>
        <v>0</v>
      </c>
      <c r="BP313" s="17">
        <f t="shared" si="334"/>
        <v>174289.24056370757</v>
      </c>
      <c r="BQ313" s="17">
        <f t="shared" si="335"/>
        <v>8123.5662772395826</v>
      </c>
      <c r="BR313" s="17">
        <f t="shared" si="336"/>
        <v>319048.99882919458</v>
      </c>
      <c r="BS313" s="15">
        <f t="shared" si="305"/>
        <v>1</v>
      </c>
      <c r="BU313" s="14">
        <v>270</v>
      </c>
      <c r="BV313" s="15">
        <f t="shared" si="306"/>
        <v>23</v>
      </c>
      <c r="BW313" s="16">
        <f>(1+INDEX('1 - Input'!$B$34:$E$63,BV313,'1 - Input'!$B$16))^(1/12)-1</f>
        <v>4.1219243192651689E-3</v>
      </c>
      <c r="BX313" s="17">
        <f>'1 - Input'!$B$7*(1+'1 - Input'!$B$12)^(BV313-1)</f>
        <v>4174.1451110948756</v>
      </c>
      <c r="BY313" s="17">
        <f t="shared" si="337"/>
        <v>0</v>
      </c>
      <c r="BZ313" s="17">
        <f t="shared" si="338"/>
        <v>0</v>
      </c>
      <c r="CA313" s="17">
        <f t="shared" si="307"/>
        <v>0</v>
      </c>
      <c r="CB313" s="17">
        <f>IF(CA313&gt;0,'1 - Input'!$B$8/12*CA313,0)</f>
        <v>0</v>
      </c>
      <c r="CC313" s="17">
        <f t="shared" si="308"/>
        <v>0</v>
      </c>
      <c r="CD313" s="17">
        <f t="shared" si="309"/>
        <v>0</v>
      </c>
      <c r="CE313" s="17">
        <f>'1 - Input'!$B$22*(CB313-CD313)</f>
        <v>0</v>
      </c>
      <c r="CF313" s="17">
        <f t="shared" si="310"/>
        <v>0</v>
      </c>
      <c r="CG313" s="17">
        <f t="shared" si="311"/>
        <v>0</v>
      </c>
      <c r="CH313" s="17">
        <f>IF('1 - Input'!$B$17=1,MAX(0,CF313-BX313),0)</f>
        <v>0</v>
      </c>
      <c r="CI313" s="17">
        <f>IF('1 - Input'!$B$17=1,MAX(0,BX313-CF313),0)</f>
        <v>4174.1451110948756</v>
      </c>
      <c r="CJ313" s="17">
        <f t="shared" si="312"/>
        <v>0</v>
      </c>
      <c r="CK313" s="17">
        <f>IF(AND(CI313&gt;0,CC313&gt;0),CI313/(1-'1 - Input'!$B$22*CJ313),0)</f>
        <v>0</v>
      </c>
      <c r="CL313" s="17">
        <f t="shared" si="313"/>
        <v>0</v>
      </c>
      <c r="CM313" s="17">
        <f>'1 - Input'!$B$22*CJ313*CL313</f>
        <v>0</v>
      </c>
      <c r="CN313" s="17">
        <f t="shared" si="314"/>
        <v>0</v>
      </c>
      <c r="CO313" s="17">
        <f t="shared" si="315"/>
        <v>4174.1451110948756</v>
      </c>
      <c r="CP313" s="17">
        <f t="shared" si="316"/>
        <v>0</v>
      </c>
      <c r="CQ313" s="17">
        <f t="shared" si="317"/>
        <v>0</v>
      </c>
      <c r="CR313" s="17">
        <f t="shared" si="318"/>
        <v>0</v>
      </c>
      <c r="CS313" s="17">
        <f>IF(MOD(BU313,12)=0,CQ313*'1 - Input'!$B$23,0)</f>
        <v>0</v>
      </c>
      <c r="CT313" s="17">
        <f t="shared" si="319"/>
        <v>0</v>
      </c>
      <c r="CU313" s="17">
        <f>IF(MOD(BU313,12)=0,CR313*(1-'1 - Input'!$B$23),CR313)</f>
        <v>0</v>
      </c>
      <c r="CV313" s="17">
        <f>IF('1 - Input'!$B$17=1,MIN(CF313,BX313)+CN313,CF313)</f>
        <v>0</v>
      </c>
      <c r="CW313" s="17">
        <f t="shared" si="339"/>
        <v>686605.50041273201</v>
      </c>
      <c r="CX313" s="17">
        <f t="shared" si="340"/>
        <v>6018.3402768167462</v>
      </c>
      <c r="CY313" s="17">
        <f t="shared" si="341"/>
        <v>66518.776160328038</v>
      </c>
      <c r="CZ313" s="17">
        <f t="shared" si="342"/>
        <v>0</v>
      </c>
      <c r="DA313" s="17">
        <f t="shared" si="343"/>
        <v>10954.114452440983</v>
      </c>
      <c r="DB313" s="17">
        <f t="shared" si="344"/>
        <v>222926.43691076283</v>
      </c>
      <c r="DC313" s="15">
        <f t="shared" si="320"/>
        <v>1</v>
      </c>
    </row>
    <row r="314" spans="1:107">
      <c r="A314" s="14">
        <v>271</v>
      </c>
      <c r="B314" s="15">
        <f t="shared" si="276"/>
        <v>23</v>
      </c>
      <c r="C314" s="16">
        <f>(1+INDEX('1 - Input'!$B$34:$E$63,B314,'1 - Input'!$B$16))^(1/12)-1</f>
        <v>4.1219243192651689E-3</v>
      </c>
      <c r="D314" s="17">
        <f>'1 - Input'!$B$7*(1+'1 - Input'!$B$12)^(B314-1)</f>
        <v>4174.1451110948756</v>
      </c>
      <c r="E314" s="17">
        <f t="shared" si="321"/>
        <v>0</v>
      </c>
      <c r="F314" s="17">
        <f t="shared" si="322"/>
        <v>0</v>
      </c>
      <c r="G314" s="17">
        <f t="shared" si="277"/>
        <v>0</v>
      </c>
      <c r="H314" s="17">
        <f>IF(G314&gt;0,'1 - Input'!$B$8/12*G314,0)</f>
        <v>0</v>
      </c>
      <c r="I314" s="17">
        <f t="shared" si="278"/>
        <v>0</v>
      </c>
      <c r="J314" s="17">
        <f t="shared" si="279"/>
        <v>0</v>
      </c>
      <c r="K314" s="17">
        <f>'1 - Input'!$B$22*(H314-J314)</f>
        <v>0</v>
      </c>
      <c r="L314" s="17">
        <f t="shared" si="280"/>
        <v>0</v>
      </c>
      <c r="M314" s="17">
        <f t="shared" si="281"/>
        <v>0</v>
      </c>
      <c r="N314" s="17">
        <f>IF('1 - Input'!$B$17=1,MAX(0,L314-D314),0)</f>
        <v>0</v>
      </c>
      <c r="O314" s="17">
        <f>IF('1 - Input'!$B$17=1,MAX(0,D314-L314),0)</f>
        <v>4174.1451110948756</v>
      </c>
      <c r="P314" s="17">
        <f t="shared" si="282"/>
        <v>0</v>
      </c>
      <c r="Q314" s="17">
        <f>IF(AND(O314&gt;0,I314&gt;0),O314/(1-'1 - Input'!$B$22*P314),0)</f>
        <v>0</v>
      </c>
      <c r="R314" s="17">
        <f t="shared" si="283"/>
        <v>0</v>
      </c>
      <c r="S314" s="17">
        <f>'1 - Input'!$B$22*P314*R314</f>
        <v>0</v>
      </c>
      <c r="T314" s="17">
        <f t="shared" si="284"/>
        <v>0</v>
      </c>
      <c r="U314" s="17">
        <f t="shared" si="285"/>
        <v>4174.1451110948756</v>
      </c>
      <c r="V314" s="17">
        <f t="shared" si="286"/>
        <v>0</v>
      </c>
      <c r="W314" s="17">
        <f t="shared" si="287"/>
        <v>0</v>
      </c>
      <c r="X314" s="17">
        <f t="shared" si="288"/>
        <v>0</v>
      </c>
      <c r="Y314" s="17">
        <f>IF(MOD(A314,12)=0,W314*'1 - Input'!$B$23,0)</f>
        <v>0</v>
      </c>
      <c r="Z314" s="17">
        <f t="shared" si="289"/>
        <v>0</v>
      </c>
      <c r="AA314" s="17">
        <f>IF(MOD(A314,12)=0,X314*(1-'1 - Input'!$B$23),X314)</f>
        <v>0</v>
      </c>
      <c r="AB314" s="17">
        <f>IF('1 - Input'!$B$17=1,MIN(L314,D314)+T314,L314)</f>
        <v>0</v>
      </c>
      <c r="AC314" s="17">
        <f t="shared" si="323"/>
        <v>590482.93849429931</v>
      </c>
      <c r="AD314" s="17">
        <f t="shared" si="324"/>
        <v>101441.90180685223</v>
      </c>
      <c r="AE314" s="17">
        <f t="shared" si="325"/>
        <v>0</v>
      </c>
      <c r="AF314" s="17">
        <f t="shared" si="326"/>
        <v>174289.24056370757</v>
      </c>
      <c r="AG314" s="17">
        <f t="shared" si="327"/>
        <v>8123.5662772395826</v>
      </c>
      <c r="AH314" s="17">
        <f t="shared" si="328"/>
        <v>323223.14394028945</v>
      </c>
      <c r="AI314" s="15">
        <f t="shared" si="290"/>
        <v>1</v>
      </c>
      <c r="AK314" s="14">
        <v>271</v>
      </c>
      <c r="AL314" s="15">
        <f t="shared" si="291"/>
        <v>23</v>
      </c>
      <c r="AM314" s="16">
        <f>(1+INDEX('1 - Input'!$B$34:$E$63,AL314,'1 - Input'!$B$16))^(1/12)-1</f>
        <v>4.1219243192651689E-3</v>
      </c>
      <c r="AN314" s="17">
        <f>'1 - Input'!$B$7*(1+'1 - Input'!$B$12)^(AL314-1)</f>
        <v>4174.1451110948756</v>
      </c>
      <c r="AO314" s="17">
        <f t="shared" si="329"/>
        <v>0</v>
      </c>
      <c r="AP314" s="17">
        <f t="shared" si="330"/>
        <v>0</v>
      </c>
      <c r="AQ314" s="17">
        <f t="shared" si="292"/>
        <v>0</v>
      </c>
      <c r="AR314" s="17">
        <f>IF(AQ314&gt;0,'1 - Input'!$B$8/12*AQ314,0)</f>
        <v>0</v>
      </c>
      <c r="AS314" s="17">
        <f t="shared" si="293"/>
        <v>0</v>
      </c>
      <c r="AT314" s="17">
        <f t="shared" si="294"/>
        <v>0</v>
      </c>
      <c r="AU314" s="17">
        <f>'1 - Input'!$B$22*(AR314-AT314)</f>
        <v>0</v>
      </c>
      <c r="AV314" s="17">
        <f t="shared" si="295"/>
        <v>0</v>
      </c>
      <c r="AW314" s="17">
        <f t="shared" si="296"/>
        <v>0</v>
      </c>
      <c r="AX314" s="17">
        <f>IF('1 - Input'!$B$17=1,MAX(0,AV314-AN314),0)</f>
        <v>0</v>
      </c>
      <c r="AY314" s="17">
        <f>IF('1 - Input'!$B$17=1,MAX(0,AN314-AV314),0)</f>
        <v>4174.1451110948756</v>
      </c>
      <c r="AZ314" s="17">
        <f t="shared" si="297"/>
        <v>0</v>
      </c>
      <c r="BA314" s="17">
        <f>IF(AND(AY314&gt;0,AS314&gt;0),AY314/(1-'1 - Input'!$B$22*AZ314),0)</f>
        <v>0</v>
      </c>
      <c r="BB314" s="17">
        <f t="shared" si="298"/>
        <v>0</v>
      </c>
      <c r="BC314" s="17">
        <f>'1 - Input'!$B$22*AZ314*BB314</f>
        <v>0</v>
      </c>
      <c r="BD314" s="17">
        <f t="shared" si="299"/>
        <v>0</v>
      </c>
      <c r="BE314" s="17">
        <f t="shared" si="300"/>
        <v>4174.1451110948756</v>
      </c>
      <c r="BF314" s="17">
        <f t="shared" si="301"/>
        <v>0</v>
      </c>
      <c r="BG314" s="17">
        <f t="shared" si="302"/>
        <v>0</v>
      </c>
      <c r="BH314" s="17">
        <f t="shared" si="303"/>
        <v>0</v>
      </c>
      <c r="BI314" s="17">
        <f>IF(MOD(AK314,12)=0,BG314*'1 - Input'!$B$23,0)</f>
        <v>0</v>
      </c>
      <c r="BJ314" s="17">
        <f t="shared" si="304"/>
        <v>0</v>
      </c>
      <c r="BK314" s="17">
        <f>IF(MOD(AK314,12)=0,BH314*(1-'1 - Input'!$B$23),BH314)</f>
        <v>0</v>
      </c>
      <c r="BL314" s="17">
        <f>IF('1 - Input'!$B$17=1,MIN(AV314,AN314)+BD314,AV314)</f>
        <v>0</v>
      </c>
      <c r="BM314" s="17">
        <f t="shared" si="331"/>
        <v>590482.93849429931</v>
      </c>
      <c r="BN314" s="17">
        <f t="shared" si="332"/>
        <v>101441.90180685223</v>
      </c>
      <c r="BO314" s="17">
        <f t="shared" si="333"/>
        <v>0</v>
      </c>
      <c r="BP314" s="17">
        <f t="shared" si="334"/>
        <v>174289.24056370757</v>
      </c>
      <c r="BQ314" s="17">
        <f t="shared" si="335"/>
        <v>8123.5662772395826</v>
      </c>
      <c r="BR314" s="17">
        <f t="shared" si="336"/>
        <v>323223.14394028945</v>
      </c>
      <c r="BS314" s="15">
        <f t="shared" si="305"/>
        <v>1</v>
      </c>
      <c r="BU314" s="14">
        <v>271</v>
      </c>
      <c r="BV314" s="15">
        <f t="shared" si="306"/>
        <v>23</v>
      </c>
      <c r="BW314" s="16">
        <f>(1+INDEX('1 - Input'!$B$34:$E$63,BV314,'1 - Input'!$B$16))^(1/12)-1</f>
        <v>4.1219243192651689E-3</v>
      </c>
      <c r="BX314" s="17">
        <f>'1 - Input'!$B$7*(1+'1 - Input'!$B$12)^(BV314-1)</f>
        <v>4174.1451110948756</v>
      </c>
      <c r="BY314" s="17">
        <f t="shared" si="337"/>
        <v>0</v>
      </c>
      <c r="BZ314" s="17">
        <f t="shared" si="338"/>
        <v>0</v>
      </c>
      <c r="CA314" s="17">
        <f t="shared" si="307"/>
        <v>0</v>
      </c>
      <c r="CB314" s="17">
        <f>IF(CA314&gt;0,'1 - Input'!$B$8/12*CA314,0)</f>
        <v>0</v>
      </c>
      <c r="CC314" s="17">
        <f t="shared" si="308"/>
        <v>0</v>
      </c>
      <c r="CD314" s="17">
        <f t="shared" si="309"/>
        <v>0</v>
      </c>
      <c r="CE314" s="17">
        <f>'1 - Input'!$B$22*(CB314-CD314)</f>
        <v>0</v>
      </c>
      <c r="CF314" s="17">
        <f t="shared" si="310"/>
        <v>0</v>
      </c>
      <c r="CG314" s="17">
        <f t="shared" si="311"/>
        <v>0</v>
      </c>
      <c r="CH314" s="17">
        <f>IF('1 - Input'!$B$17=1,MAX(0,CF314-BX314),0)</f>
        <v>0</v>
      </c>
      <c r="CI314" s="17">
        <f>IF('1 - Input'!$B$17=1,MAX(0,BX314-CF314),0)</f>
        <v>4174.1451110948756</v>
      </c>
      <c r="CJ314" s="17">
        <f t="shared" si="312"/>
        <v>0</v>
      </c>
      <c r="CK314" s="17">
        <f>IF(AND(CI314&gt;0,CC314&gt;0),CI314/(1-'1 - Input'!$B$22*CJ314),0)</f>
        <v>0</v>
      </c>
      <c r="CL314" s="17">
        <f t="shared" si="313"/>
        <v>0</v>
      </c>
      <c r="CM314" s="17">
        <f>'1 - Input'!$B$22*CJ314*CL314</f>
        <v>0</v>
      </c>
      <c r="CN314" s="17">
        <f t="shared" si="314"/>
        <v>0</v>
      </c>
      <c r="CO314" s="17">
        <f t="shared" si="315"/>
        <v>4174.1451110948756</v>
      </c>
      <c r="CP314" s="17">
        <f t="shared" si="316"/>
        <v>0</v>
      </c>
      <c r="CQ314" s="17">
        <f t="shared" si="317"/>
        <v>0</v>
      </c>
      <c r="CR314" s="17">
        <f t="shared" si="318"/>
        <v>0</v>
      </c>
      <c r="CS314" s="17">
        <f>IF(MOD(BU314,12)=0,CQ314*'1 - Input'!$B$23,0)</f>
        <v>0</v>
      </c>
      <c r="CT314" s="17">
        <f t="shared" si="319"/>
        <v>0</v>
      </c>
      <c r="CU314" s="17">
        <f>IF(MOD(BU314,12)=0,CR314*(1-'1 - Input'!$B$23),CR314)</f>
        <v>0</v>
      </c>
      <c r="CV314" s="17">
        <f>IF('1 - Input'!$B$17=1,MIN(CF314,BX314)+CN314,CF314)</f>
        <v>0</v>
      </c>
      <c r="CW314" s="17">
        <f t="shared" si="339"/>
        <v>686605.50041273201</v>
      </c>
      <c r="CX314" s="17">
        <f t="shared" si="340"/>
        <v>6018.3402768167462</v>
      </c>
      <c r="CY314" s="17">
        <f t="shared" si="341"/>
        <v>66518.776160328038</v>
      </c>
      <c r="CZ314" s="17">
        <f t="shared" si="342"/>
        <v>0</v>
      </c>
      <c r="DA314" s="17">
        <f t="shared" si="343"/>
        <v>10954.114452440983</v>
      </c>
      <c r="DB314" s="17">
        <f t="shared" si="344"/>
        <v>227100.5820218577</v>
      </c>
      <c r="DC314" s="15">
        <f t="shared" si="320"/>
        <v>1</v>
      </c>
    </row>
    <row r="315" spans="1:107">
      <c r="A315" s="14">
        <v>272</v>
      </c>
      <c r="B315" s="15">
        <f t="shared" si="276"/>
        <v>23</v>
      </c>
      <c r="C315" s="16">
        <f>(1+INDEX('1 - Input'!$B$34:$E$63,B315,'1 - Input'!$B$16))^(1/12)-1</f>
        <v>4.1219243192651689E-3</v>
      </c>
      <c r="D315" s="17">
        <f>'1 - Input'!$B$7*(1+'1 - Input'!$B$12)^(B315-1)</f>
        <v>4174.1451110948756</v>
      </c>
      <c r="E315" s="17">
        <f t="shared" si="321"/>
        <v>0</v>
      </c>
      <c r="F315" s="17">
        <f t="shared" si="322"/>
        <v>0</v>
      </c>
      <c r="G315" s="17">
        <f t="shared" si="277"/>
        <v>0</v>
      </c>
      <c r="H315" s="17">
        <f>IF(G315&gt;0,'1 - Input'!$B$8/12*G315,0)</f>
        <v>0</v>
      </c>
      <c r="I315" s="17">
        <f t="shared" si="278"/>
        <v>0</v>
      </c>
      <c r="J315" s="17">
        <f t="shared" si="279"/>
        <v>0</v>
      </c>
      <c r="K315" s="17">
        <f>'1 - Input'!$B$22*(H315-J315)</f>
        <v>0</v>
      </c>
      <c r="L315" s="17">
        <f t="shared" si="280"/>
        <v>0</v>
      </c>
      <c r="M315" s="17">
        <f t="shared" si="281"/>
        <v>0</v>
      </c>
      <c r="N315" s="17">
        <f>IF('1 - Input'!$B$17=1,MAX(0,L315-D315),0)</f>
        <v>0</v>
      </c>
      <c r="O315" s="17">
        <f>IF('1 - Input'!$B$17=1,MAX(0,D315-L315),0)</f>
        <v>4174.1451110948756</v>
      </c>
      <c r="P315" s="17">
        <f t="shared" si="282"/>
        <v>0</v>
      </c>
      <c r="Q315" s="17">
        <f>IF(AND(O315&gt;0,I315&gt;0),O315/(1-'1 - Input'!$B$22*P315),0)</f>
        <v>0</v>
      </c>
      <c r="R315" s="17">
        <f t="shared" si="283"/>
        <v>0</v>
      </c>
      <c r="S315" s="17">
        <f>'1 - Input'!$B$22*P315*R315</f>
        <v>0</v>
      </c>
      <c r="T315" s="17">
        <f t="shared" si="284"/>
        <v>0</v>
      </c>
      <c r="U315" s="17">
        <f t="shared" si="285"/>
        <v>4174.1451110948756</v>
      </c>
      <c r="V315" s="17">
        <f t="shared" si="286"/>
        <v>0</v>
      </c>
      <c r="W315" s="17">
        <f t="shared" si="287"/>
        <v>0</v>
      </c>
      <c r="X315" s="17">
        <f t="shared" si="288"/>
        <v>0</v>
      </c>
      <c r="Y315" s="17">
        <f>IF(MOD(A315,12)=0,W315*'1 - Input'!$B$23,0)</f>
        <v>0</v>
      </c>
      <c r="Z315" s="17">
        <f t="shared" si="289"/>
        <v>0</v>
      </c>
      <c r="AA315" s="17">
        <f>IF(MOD(A315,12)=0,X315*(1-'1 - Input'!$B$23),X315)</f>
        <v>0</v>
      </c>
      <c r="AB315" s="17">
        <f>IF('1 - Input'!$B$17=1,MIN(L315,D315)+T315,L315)</f>
        <v>0</v>
      </c>
      <c r="AC315" s="17">
        <f t="shared" si="323"/>
        <v>590482.93849429931</v>
      </c>
      <c r="AD315" s="17">
        <f t="shared" si="324"/>
        <v>101441.90180685223</v>
      </c>
      <c r="AE315" s="17">
        <f t="shared" si="325"/>
        <v>0</v>
      </c>
      <c r="AF315" s="17">
        <f t="shared" si="326"/>
        <v>174289.24056370757</v>
      </c>
      <c r="AG315" s="17">
        <f t="shared" si="327"/>
        <v>8123.5662772395826</v>
      </c>
      <c r="AH315" s="17">
        <f t="shared" si="328"/>
        <v>327397.28905138432</v>
      </c>
      <c r="AI315" s="15">
        <f t="shared" si="290"/>
        <v>1</v>
      </c>
      <c r="AK315" s="14">
        <v>272</v>
      </c>
      <c r="AL315" s="15">
        <f t="shared" si="291"/>
        <v>23</v>
      </c>
      <c r="AM315" s="16">
        <f>(1+INDEX('1 - Input'!$B$34:$E$63,AL315,'1 - Input'!$B$16))^(1/12)-1</f>
        <v>4.1219243192651689E-3</v>
      </c>
      <c r="AN315" s="17">
        <f>'1 - Input'!$B$7*(1+'1 - Input'!$B$12)^(AL315-1)</f>
        <v>4174.1451110948756</v>
      </c>
      <c r="AO315" s="17">
        <f t="shared" si="329"/>
        <v>0</v>
      </c>
      <c r="AP315" s="17">
        <f t="shared" si="330"/>
        <v>0</v>
      </c>
      <c r="AQ315" s="17">
        <f t="shared" si="292"/>
        <v>0</v>
      </c>
      <c r="AR315" s="17">
        <f>IF(AQ315&gt;0,'1 - Input'!$B$8/12*AQ315,0)</f>
        <v>0</v>
      </c>
      <c r="AS315" s="17">
        <f t="shared" si="293"/>
        <v>0</v>
      </c>
      <c r="AT315" s="17">
        <f t="shared" si="294"/>
        <v>0</v>
      </c>
      <c r="AU315" s="17">
        <f>'1 - Input'!$B$22*(AR315-AT315)</f>
        <v>0</v>
      </c>
      <c r="AV315" s="17">
        <f t="shared" si="295"/>
        <v>0</v>
      </c>
      <c r="AW315" s="17">
        <f t="shared" si="296"/>
        <v>0</v>
      </c>
      <c r="AX315" s="17">
        <f>IF('1 - Input'!$B$17=1,MAX(0,AV315-AN315),0)</f>
        <v>0</v>
      </c>
      <c r="AY315" s="17">
        <f>IF('1 - Input'!$B$17=1,MAX(0,AN315-AV315),0)</f>
        <v>4174.1451110948756</v>
      </c>
      <c r="AZ315" s="17">
        <f t="shared" si="297"/>
        <v>0</v>
      </c>
      <c r="BA315" s="17">
        <f>IF(AND(AY315&gt;0,AS315&gt;0),AY315/(1-'1 - Input'!$B$22*AZ315),0)</f>
        <v>0</v>
      </c>
      <c r="BB315" s="17">
        <f t="shared" si="298"/>
        <v>0</v>
      </c>
      <c r="BC315" s="17">
        <f>'1 - Input'!$B$22*AZ315*BB315</f>
        <v>0</v>
      </c>
      <c r="BD315" s="17">
        <f t="shared" si="299"/>
        <v>0</v>
      </c>
      <c r="BE315" s="17">
        <f t="shared" si="300"/>
        <v>4174.1451110948756</v>
      </c>
      <c r="BF315" s="17">
        <f t="shared" si="301"/>
        <v>0</v>
      </c>
      <c r="BG315" s="17">
        <f t="shared" si="302"/>
        <v>0</v>
      </c>
      <c r="BH315" s="17">
        <f t="shared" si="303"/>
        <v>0</v>
      </c>
      <c r="BI315" s="17">
        <f>IF(MOD(AK315,12)=0,BG315*'1 - Input'!$B$23,0)</f>
        <v>0</v>
      </c>
      <c r="BJ315" s="17">
        <f t="shared" si="304"/>
        <v>0</v>
      </c>
      <c r="BK315" s="17">
        <f>IF(MOD(AK315,12)=0,BH315*(1-'1 - Input'!$B$23),BH315)</f>
        <v>0</v>
      </c>
      <c r="BL315" s="17">
        <f>IF('1 - Input'!$B$17=1,MIN(AV315,AN315)+BD315,AV315)</f>
        <v>0</v>
      </c>
      <c r="BM315" s="17">
        <f t="shared" si="331"/>
        <v>590482.93849429931</v>
      </c>
      <c r="BN315" s="17">
        <f t="shared" si="332"/>
        <v>101441.90180685223</v>
      </c>
      <c r="BO315" s="17">
        <f t="shared" si="333"/>
        <v>0</v>
      </c>
      <c r="BP315" s="17">
        <f t="shared" si="334"/>
        <v>174289.24056370757</v>
      </c>
      <c r="BQ315" s="17">
        <f t="shared" si="335"/>
        <v>8123.5662772395826</v>
      </c>
      <c r="BR315" s="17">
        <f t="shared" si="336"/>
        <v>327397.28905138432</v>
      </c>
      <c r="BS315" s="15">
        <f t="shared" si="305"/>
        <v>1</v>
      </c>
      <c r="BU315" s="14">
        <v>272</v>
      </c>
      <c r="BV315" s="15">
        <f t="shared" si="306"/>
        <v>23</v>
      </c>
      <c r="BW315" s="16">
        <f>(1+INDEX('1 - Input'!$B$34:$E$63,BV315,'1 - Input'!$B$16))^(1/12)-1</f>
        <v>4.1219243192651689E-3</v>
      </c>
      <c r="BX315" s="17">
        <f>'1 - Input'!$B$7*(1+'1 - Input'!$B$12)^(BV315-1)</f>
        <v>4174.1451110948756</v>
      </c>
      <c r="BY315" s="17">
        <f t="shared" si="337"/>
        <v>0</v>
      </c>
      <c r="BZ315" s="17">
        <f t="shared" si="338"/>
        <v>0</v>
      </c>
      <c r="CA315" s="17">
        <f t="shared" si="307"/>
        <v>0</v>
      </c>
      <c r="CB315" s="17">
        <f>IF(CA315&gt;0,'1 - Input'!$B$8/12*CA315,0)</f>
        <v>0</v>
      </c>
      <c r="CC315" s="17">
        <f t="shared" si="308"/>
        <v>0</v>
      </c>
      <c r="CD315" s="17">
        <f t="shared" si="309"/>
        <v>0</v>
      </c>
      <c r="CE315" s="17">
        <f>'1 - Input'!$B$22*(CB315-CD315)</f>
        <v>0</v>
      </c>
      <c r="CF315" s="17">
        <f t="shared" si="310"/>
        <v>0</v>
      </c>
      <c r="CG315" s="17">
        <f t="shared" si="311"/>
        <v>0</v>
      </c>
      <c r="CH315" s="17">
        <f>IF('1 - Input'!$B$17=1,MAX(0,CF315-BX315),0)</f>
        <v>0</v>
      </c>
      <c r="CI315" s="17">
        <f>IF('1 - Input'!$B$17=1,MAX(0,BX315-CF315),0)</f>
        <v>4174.1451110948756</v>
      </c>
      <c r="CJ315" s="17">
        <f t="shared" si="312"/>
        <v>0</v>
      </c>
      <c r="CK315" s="17">
        <f>IF(AND(CI315&gt;0,CC315&gt;0),CI315/(1-'1 - Input'!$B$22*CJ315),0)</f>
        <v>0</v>
      </c>
      <c r="CL315" s="17">
        <f t="shared" si="313"/>
        <v>0</v>
      </c>
      <c r="CM315" s="17">
        <f>'1 - Input'!$B$22*CJ315*CL315</f>
        <v>0</v>
      </c>
      <c r="CN315" s="17">
        <f t="shared" si="314"/>
        <v>0</v>
      </c>
      <c r="CO315" s="17">
        <f t="shared" si="315"/>
        <v>4174.1451110948756</v>
      </c>
      <c r="CP315" s="17">
        <f t="shared" si="316"/>
        <v>0</v>
      </c>
      <c r="CQ315" s="17">
        <f t="shared" si="317"/>
        <v>0</v>
      </c>
      <c r="CR315" s="17">
        <f t="shared" si="318"/>
        <v>0</v>
      </c>
      <c r="CS315" s="17">
        <f>IF(MOD(BU315,12)=0,CQ315*'1 - Input'!$B$23,0)</f>
        <v>0</v>
      </c>
      <c r="CT315" s="17">
        <f t="shared" si="319"/>
        <v>0</v>
      </c>
      <c r="CU315" s="17">
        <f>IF(MOD(BU315,12)=0,CR315*(1-'1 - Input'!$B$23),CR315)</f>
        <v>0</v>
      </c>
      <c r="CV315" s="17">
        <f>IF('1 - Input'!$B$17=1,MIN(CF315,BX315)+CN315,CF315)</f>
        <v>0</v>
      </c>
      <c r="CW315" s="17">
        <f t="shared" si="339"/>
        <v>686605.50041273201</v>
      </c>
      <c r="CX315" s="17">
        <f t="shared" si="340"/>
        <v>6018.3402768167462</v>
      </c>
      <c r="CY315" s="17">
        <f t="shared" si="341"/>
        <v>66518.776160328038</v>
      </c>
      <c r="CZ315" s="17">
        <f t="shared" si="342"/>
        <v>0</v>
      </c>
      <c r="DA315" s="17">
        <f t="shared" si="343"/>
        <v>10954.114452440983</v>
      </c>
      <c r="DB315" s="17">
        <f t="shared" si="344"/>
        <v>231274.72713295257</v>
      </c>
      <c r="DC315" s="15">
        <f t="shared" si="320"/>
        <v>1</v>
      </c>
    </row>
    <row r="316" spans="1:107">
      <c r="A316" s="14">
        <v>273</v>
      </c>
      <c r="B316" s="15">
        <f t="shared" si="276"/>
        <v>23</v>
      </c>
      <c r="C316" s="16">
        <f>(1+INDEX('1 - Input'!$B$34:$E$63,B316,'1 - Input'!$B$16))^(1/12)-1</f>
        <v>4.1219243192651689E-3</v>
      </c>
      <c r="D316" s="17">
        <f>'1 - Input'!$B$7*(1+'1 - Input'!$B$12)^(B316-1)</f>
        <v>4174.1451110948756</v>
      </c>
      <c r="E316" s="17">
        <f t="shared" si="321"/>
        <v>0</v>
      </c>
      <c r="F316" s="17">
        <f t="shared" si="322"/>
        <v>0</v>
      </c>
      <c r="G316" s="17">
        <f t="shared" si="277"/>
        <v>0</v>
      </c>
      <c r="H316" s="17">
        <f>IF(G316&gt;0,'1 - Input'!$B$8/12*G316,0)</f>
        <v>0</v>
      </c>
      <c r="I316" s="17">
        <f t="shared" si="278"/>
        <v>0</v>
      </c>
      <c r="J316" s="17">
        <f t="shared" si="279"/>
        <v>0</v>
      </c>
      <c r="K316" s="17">
        <f>'1 - Input'!$B$22*(H316-J316)</f>
        <v>0</v>
      </c>
      <c r="L316" s="17">
        <f t="shared" si="280"/>
        <v>0</v>
      </c>
      <c r="M316" s="17">
        <f t="shared" si="281"/>
        <v>0</v>
      </c>
      <c r="N316" s="17">
        <f>IF('1 - Input'!$B$17=1,MAX(0,L316-D316),0)</f>
        <v>0</v>
      </c>
      <c r="O316" s="17">
        <f>IF('1 - Input'!$B$17=1,MAX(0,D316-L316),0)</f>
        <v>4174.1451110948756</v>
      </c>
      <c r="P316" s="17">
        <f t="shared" si="282"/>
        <v>0</v>
      </c>
      <c r="Q316" s="17">
        <f>IF(AND(O316&gt;0,I316&gt;0),O316/(1-'1 - Input'!$B$22*P316),0)</f>
        <v>0</v>
      </c>
      <c r="R316" s="17">
        <f t="shared" si="283"/>
        <v>0</v>
      </c>
      <c r="S316" s="17">
        <f>'1 - Input'!$B$22*P316*R316</f>
        <v>0</v>
      </c>
      <c r="T316" s="17">
        <f t="shared" si="284"/>
        <v>0</v>
      </c>
      <c r="U316" s="17">
        <f t="shared" si="285"/>
        <v>4174.1451110948756</v>
      </c>
      <c r="V316" s="17">
        <f t="shared" si="286"/>
        <v>0</v>
      </c>
      <c r="W316" s="17">
        <f t="shared" si="287"/>
        <v>0</v>
      </c>
      <c r="X316" s="17">
        <f t="shared" si="288"/>
        <v>0</v>
      </c>
      <c r="Y316" s="17">
        <f>IF(MOD(A316,12)=0,W316*'1 - Input'!$B$23,0)</f>
        <v>0</v>
      </c>
      <c r="Z316" s="17">
        <f t="shared" si="289"/>
        <v>0</v>
      </c>
      <c r="AA316" s="17">
        <f>IF(MOD(A316,12)=0,X316*(1-'1 - Input'!$B$23),X316)</f>
        <v>0</v>
      </c>
      <c r="AB316" s="17">
        <f>IF('1 - Input'!$B$17=1,MIN(L316,D316)+T316,L316)</f>
        <v>0</v>
      </c>
      <c r="AC316" s="17">
        <f t="shared" si="323"/>
        <v>590482.93849429931</v>
      </c>
      <c r="AD316" s="17">
        <f t="shared" si="324"/>
        <v>101441.90180685223</v>
      </c>
      <c r="AE316" s="17">
        <f t="shared" si="325"/>
        <v>0</v>
      </c>
      <c r="AF316" s="17">
        <f t="shared" si="326"/>
        <v>174289.24056370757</v>
      </c>
      <c r="AG316" s="17">
        <f t="shared" si="327"/>
        <v>8123.5662772395826</v>
      </c>
      <c r="AH316" s="17">
        <f t="shared" si="328"/>
        <v>331571.43416247919</v>
      </c>
      <c r="AI316" s="15">
        <f t="shared" si="290"/>
        <v>1</v>
      </c>
      <c r="AK316" s="14">
        <v>273</v>
      </c>
      <c r="AL316" s="15">
        <f t="shared" si="291"/>
        <v>23</v>
      </c>
      <c r="AM316" s="16">
        <f>(1+INDEX('1 - Input'!$B$34:$E$63,AL316,'1 - Input'!$B$16))^(1/12)-1</f>
        <v>4.1219243192651689E-3</v>
      </c>
      <c r="AN316" s="17">
        <f>'1 - Input'!$B$7*(1+'1 - Input'!$B$12)^(AL316-1)</f>
        <v>4174.1451110948756</v>
      </c>
      <c r="AO316" s="17">
        <f t="shared" si="329"/>
        <v>0</v>
      </c>
      <c r="AP316" s="17">
        <f t="shared" si="330"/>
        <v>0</v>
      </c>
      <c r="AQ316" s="17">
        <f t="shared" si="292"/>
        <v>0</v>
      </c>
      <c r="AR316" s="17">
        <f>IF(AQ316&gt;0,'1 - Input'!$B$8/12*AQ316,0)</f>
        <v>0</v>
      </c>
      <c r="AS316" s="17">
        <f t="shared" si="293"/>
        <v>0</v>
      </c>
      <c r="AT316" s="17">
        <f t="shared" si="294"/>
        <v>0</v>
      </c>
      <c r="AU316" s="17">
        <f>'1 - Input'!$B$22*(AR316-AT316)</f>
        <v>0</v>
      </c>
      <c r="AV316" s="17">
        <f t="shared" si="295"/>
        <v>0</v>
      </c>
      <c r="AW316" s="17">
        <f t="shared" si="296"/>
        <v>0</v>
      </c>
      <c r="AX316" s="17">
        <f>IF('1 - Input'!$B$17=1,MAX(0,AV316-AN316),0)</f>
        <v>0</v>
      </c>
      <c r="AY316" s="17">
        <f>IF('1 - Input'!$B$17=1,MAX(0,AN316-AV316),0)</f>
        <v>4174.1451110948756</v>
      </c>
      <c r="AZ316" s="17">
        <f t="shared" si="297"/>
        <v>0</v>
      </c>
      <c r="BA316" s="17">
        <f>IF(AND(AY316&gt;0,AS316&gt;0),AY316/(1-'1 - Input'!$B$22*AZ316),0)</f>
        <v>0</v>
      </c>
      <c r="BB316" s="17">
        <f t="shared" si="298"/>
        <v>0</v>
      </c>
      <c r="BC316" s="17">
        <f>'1 - Input'!$B$22*AZ316*BB316</f>
        <v>0</v>
      </c>
      <c r="BD316" s="17">
        <f t="shared" si="299"/>
        <v>0</v>
      </c>
      <c r="BE316" s="17">
        <f t="shared" si="300"/>
        <v>4174.1451110948756</v>
      </c>
      <c r="BF316" s="17">
        <f t="shared" si="301"/>
        <v>0</v>
      </c>
      <c r="BG316" s="17">
        <f t="shared" si="302"/>
        <v>0</v>
      </c>
      <c r="BH316" s="17">
        <f t="shared" si="303"/>
        <v>0</v>
      </c>
      <c r="BI316" s="17">
        <f>IF(MOD(AK316,12)=0,BG316*'1 - Input'!$B$23,0)</f>
        <v>0</v>
      </c>
      <c r="BJ316" s="17">
        <f t="shared" si="304"/>
        <v>0</v>
      </c>
      <c r="BK316" s="17">
        <f>IF(MOD(AK316,12)=0,BH316*(1-'1 - Input'!$B$23),BH316)</f>
        <v>0</v>
      </c>
      <c r="BL316" s="17">
        <f>IF('1 - Input'!$B$17=1,MIN(AV316,AN316)+BD316,AV316)</f>
        <v>0</v>
      </c>
      <c r="BM316" s="17">
        <f t="shared" si="331"/>
        <v>590482.93849429931</v>
      </c>
      <c r="BN316" s="17">
        <f t="shared" si="332"/>
        <v>101441.90180685223</v>
      </c>
      <c r="BO316" s="17">
        <f t="shared" si="333"/>
        <v>0</v>
      </c>
      <c r="BP316" s="17">
        <f t="shared" si="334"/>
        <v>174289.24056370757</v>
      </c>
      <c r="BQ316" s="17">
        <f t="shared" si="335"/>
        <v>8123.5662772395826</v>
      </c>
      <c r="BR316" s="17">
        <f t="shared" si="336"/>
        <v>331571.43416247919</v>
      </c>
      <c r="BS316" s="15">
        <f t="shared" si="305"/>
        <v>1</v>
      </c>
      <c r="BU316" s="14">
        <v>273</v>
      </c>
      <c r="BV316" s="15">
        <f t="shared" si="306"/>
        <v>23</v>
      </c>
      <c r="BW316" s="16">
        <f>(1+INDEX('1 - Input'!$B$34:$E$63,BV316,'1 - Input'!$B$16))^(1/12)-1</f>
        <v>4.1219243192651689E-3</v>
      </c>
      <c r="BX316" s="17">
        <f>'1 - Input'!$B$7*(1+'1 - Input'!$B$12)^(BV316-1)</f>
        <v>4174.1451110948756</v>
      </c>
      <c r="BY316" s="17">
        <f t="shared" si="337"/>
        <v>0</v>
      </c>
      <c r="BZ316" s="17">
        <f t="shared" si="338"/>
        <v>0</v>
      </c>
      <c r="CA316" s="17">
        <f t="shared" si="307"/>
        <v>0</v>
      </c>
      <c r="CB316" s="17">
        <f>IF(CA316&gt;0,'1 - Input'!$B$8/12*CA316,0)</f>
        <v>0</v>
      </c>
      <c r="CC316" s="17">
        <f t="shared" si="308"/>
        <v>0</v>
      </c>
      <c r="CD316" s="17">
        <f t="shared" si="309"/>
        <v>0</v>
      </c>
      <c r="CE316" s="17">
        <f>'1 - Input'!$B$22*(CB316-CD316)</f>
        <v>0</v>
      </c>
      <c r="CF316" s="17">
        <f t="shared" si="310"/>
        <v>0</v>
      </c>
      <c r="CG316" s="17">
        <f t="shared" si="311"/>
        <v>0</v>
      </c>
      <c r="CH316" s="17">
        <f>IF('1 - Input'!$B$17=1,MAX(0,CF316-BX316),0)</f>
        <v>0</v>
      </c>
      <c r="CI316" s="17">
        <f>IF('1 - Input'!$B$17=1,MAX(0,BX316-CF316),0)</f>
        <v>4174.1451110948756</v>
      </c>
      <c r="CJ316" s="17">
        <f t="shared" si="312"/>
        <v>0</v>
      </c>
      <c r="CK316" s="17">
        <f>IF(AND(CI316&gt;0,CC316&gt;0),CI316/(1-'1 - Input'!$B$22*CJ316),0)</f>
        <v>0</v>
      </c>
      <c r="CL316" s="17">
        <f t="shared" si="313"/>
        <v>0</v>
      </c>
      <c r="CM316" s="17">
        <f>'1 - Input'!$B$22*CJ316*CL316</f>
        <v>0</v>
      </c>
      <c r="CN316" s="17">
        <f t="shared" si="314"/>
        <v>0</v>
      </c>
      <c r="CO316" s="17">
        <f t="shared" si="315"/>
        <v>4174.1451110948756</v>
      </c>
      <c r="CP316" s="17">
        <f t="shared" si="316"/>
        <v>0</v>
      </c>
      <c r="CQ316" s="17">
        <f t="shared" si="317"/>
        <v>0</v>
      </c>
      <c r="CR316" s="17">
        <f t="shared" si="318"/>
        <v>0</v>
      </c>
      <c r="CS316" s="17">
        <f>IF(MOD(BU316,12)=0,CQ316*'1 - Input'!$B$23,0)</f>
        <v>0</v>
      </c>
      <c r="CT316" s="17">
        <f t="shared" si="319"/>
        <v>0</v>
      </c>
      <c r="CU316" s="17">
        <f>IF(MOD(BU316,12)=0,CR316*(1-'1 - Input'!$B$23),CR316)</f>
        <v>0</v>
      </c>
      <c r="CV316" s="17">
        <f>IF('1 - Input'!$B$17=1,MIN(CF316,BX316)+CN316,CF316)</f>
        <v>0</v>
      </c>
      <c r="CW316" s="17">
        <f t="shared" si="339"/>
        <v>686605.50041273201</v>
      </c>
      <c r="CX316" s="17">
        <f t="shared" si="340"/>
        <v>6018.3402768167462</v>
      </c>
      <c r="CY316" s="17">
        <f t="shared" si="341"/>
        <v>66518.776160328038</v>
      </c>
      <c r="CZ316" s="17">
        <f t="shared" si="342"/>
        <v>0</v>
      </c>
      <c r="DA316" s="17">
        <f t="shared" si="343"/>
        <v>10954.114452440983</v>
      </c>
      <c r="DB316" s="17">
        <f t="shared" si="344"/>
        <v>235448.87224404744</v>
      </c>
      <c r="DC316" s="15">
        <f t="shared" si="320"/>
        <v>1</v>
      </c>
    </row>
    <row r="317" spans="1:107">
      <c r="A317" s="14">
        <v>274</v>
      </c>
      <c r="B317" s="15">
        <f t="shared" si="276"/>
        <v>23</v>
      </c>
      <c r="C317" s="16">
        <f>(1+INDEX('1 - Input'!$B$34:$E$63,B317,'1 - Input'!$B$16))^(1/12)-1</f>
        <v>4.1219243192651689E-3</v>
      </c>
      <c r="D317" s="17">
        <f>'1 - Input'!$B$7*(1+'1 - Input'!$B$12)^(B317-1)</f>
        <v>4174.1451110948756</v>
      </c>
      <c r="E317" s="17">
        <f t="shared" si="321"/>
        <v>0</v>
      </c>
      <c r="F317" s="17">
        <f t="shared" si="322"/>
        <v>0</v>
      </c>
      <c r="G317" s="17">
        <f t="shared" si="277"/>
        <v>0</v>
      </c>
      <c r="H317" s="17">
        <f>IF(G317&gt;0,'1 - Input'!$B$8/12*G317,0)</f>
        <v>0</v>
      </c>
      <c r="I317" s="17">
        <f t="shared" si="278"/>
        <v>0</v>
      </c>
      <c r="J317" s="17">
        <f t="shared" si="279"/>
        <v>0</v>
      </c>
      <c r="K317" s="17">
        <f>'1 - Input'!$B$22*(H317-J317)</f>
        <v>0</v>
      </c>
      <c r="L317" s="17">
        <f t="shared" si="280"/>
        <v>0</v>
      </c>
      <c r="M317" s="17">
        <f t="shared" si="281"/>
        <v>0</v>
      </c>
      <c r="N317" s="17">
        <f>IF('1 - Input'!$B$17=1,MAX(0,L317-D317),0)</f>
        <v>0</v>
      </c>
      <c r="O317" s="17">
        <f>IF('1 - Input'!$B$17=1,MAX(0,D317-L317),0)</f>
        <v>4174.1451110948756</v>
      </c>
      <c r="P317" s="17">
        <f t="shared" si="282"/>
        <v>0</v>
      </c>
      <c r="Q317" s="17">
        <f>IF(AND(O317&gt;0,I317&gt;0),O317/(1-'1 - Input'!$B$22*P317),0)</f>
        <v>0</v>
      </c>
      <c r="R317" s="17">
        <f t="shared" si="283"/>
        <v>0</v>
      </c>
      <c r="S317" s="17">
        <f>'1 - Input'!$B$22*P317*R317</f>
        <v>0</v>
      </c>
      <c r="T317" s="17">
        <f t="shared" si="284"/>
        <v>0</v>
      </c>
      <c r="U317" s="17">
        <f t="shared" si="285"/>
        <v>4174.1451110948756</v>
      </c>
      <c r="V317" s="17">
        <f t="shared" si="286"/>
        <v>0</v>
      </c>
      <c r="W317" s="17">
        <f t="shared" si="287"/>
        <v>0</v>
      </c>
      <c r="X317" s="17">
        <f t="shared" si="288"/>
        <v>0</v>
      </c>
      <c r="Y317" s="17">
        <f>IF(MOD(A317,12)=0,W317*'1 - Input'!$B$23,0)</f>
        <v>0</v>
      </c>
      <c r="Z317" s="17">
        <f t="shared" si="289"/>
        <v>0</v>
      </c>
      <c r="AA317" s="17">
        <f>IF(MOD(A317,12)=0,X317*(1-'1 - Input'!$B$23),X317)</f>
        <v>0</v>
      </c>
      <c r="AB317" s="17">
        <f>IF('1 - Input'!$B$17=1,MIN(L317,D317)+T317,L317)</f>
        <v>0</v>
      </c>
      <c r="AC317" s="17">
        <f t="shared" si="323"/>
        <v>590482.93849429931</v>
      </c>
      <c r="AD317" s="17">
        <f t="shared" si="324"/>
        <v>101441.90180685223</v>
      </c>
      <c r="AE317" s="17">
        <f t="shared" si="325"/>
        <v>0</v>
      </c>
      <c r="AF317" s="17">
        <f t="shared" si="326"/>
        <v>174289.24056370757</v>
      </c>
      <c r="AG317" s="17">
        <f t="shared" si="327"/>
        <v>8123.5662772395826</v>
      </c>
      <c r="AH317" s="17">
        <f t="shared" si="328"/>
        <v>335745.57927357405</v>
      </c>
      <c r="AI317" s="15">
        <f t="shared" si="290"/>
        <v>1</v>
      </c>
      <c r="AK317" s="14">
        <v>274</v>
      </c>
      <c r="AL317" s="15">
        <f t="shared" si="291"/>
        <v>23</v>
      </c>
      <c r="AM317" s="16">
        <f>(1+INDEX('1 - Input'!$B$34:$E$63,AL317,'1 - Input'!$B$16))^(1/12)-1</f>
        <v>4.1219243192651689E-3</v>
      </c>
      <c r="AN317" s="17">
        <f>'1 - Input'!$B$7*(1+'1 - Input'!$B$12)^(AL317-1)</f>
        <v>4174.1451110948756</v>
      </c>
      <c r="AO317" s="17">
        <f t="shared" si="329"/>
        <v>0</v>
      </c>
      <c r="AP317" s="17">
        <f t="shared" si="330"/>
        <v>0</v>
      </c>
      <c r="AQ317" s="17">
        <f t="shared" si="292"/>
        <v>0</v>
      </c>
      <c r="AR317" s="17">
        <f>IF(AQ317&gt;0,'1 - Input'!$B$8/12*AQ317,0)</f>
        <v>0</v>
      </c>
      <c r="AS317" s="17">
        <f t="shared" si="293"/>
        <v>0</v>
      </c>
      <c r="AT317" s="17">
        <f t="shared" si="294"/>
        <v>0</v>
      </c>
      <c r="AU317" s="17">
        <f>'1 - Input'!$B$22*(AR317-AT317)</f>
        <v>0</v>
      </c>
      <c r="AV317" s="17">
        <f t="shared" si="295"/>
        <v>0</v>
      </c>
      <c r="AW317" s="17">
        <f t="shared" si="296"/>
        <v>0</v>
      </c>
      <c r="AX317" s="17">
        <f>IF('1 - Input'!$B$17=1,MAX(0,AV317-AN317),0)</f>
        <v>0</v>
      </c>
      <c r="AY317" s="17">
        <f>IF('1 - Input'!$B$17=1,MAX(0,AN317-AV317),0)</f>
        <v>4174.1451110948756</v>
      </c>
      <c r="AZ317" s="17">
        <f t="shared" si="297"/>
        <v>0</v>
      </c>
      <c r="BA317" s="17">
        <f>IF(AND(AY317&gt;0,AS317&gt;0),AY317/(1-'1 - Input'!$B$22*AZ317),0)</f>
        <v>0</v>
      </c>
      <c r="BB317" s="17">
        <f t="shared" si="298"/>
        <v>0</v>
      </c>
      <c r="BC317" s="17">
        <f>'1 - Input'!$B$22*AZ317*BB317</f>
        <v>0</v>
      </c>
      <c r="BD317" s="17">
        <f t="shared" si="299"/>
        <v>0</v>
      </c>
      <c r="BE317" s="17">
        <f t="shared" si="300"/>
        <v>4174.1451110948756</v>
      </c>
      <c r="BF317" s="17">
        <f t="shared" si="301"/>
        <v>0</v>
      </c>
      <c r="BG317" s="17">
        <f t="shared" si="302"/>
        <v>0</v>
      </c>
      <c r="BH317" s="17">
        <f t="shared" si="303"/>
        <v>0</v>
      </c>
      <c r="BI317" s="17">
        <f>IF(MOD(AK317,12)=0,BG317*'1 - Input'!$B$23,0)</f>
        <v>0</v>
      </c>
      <c r="BJ317" s="17">
        <f t="shared" si="304"/>
        <v>0</v>
      </c>
      <c r="BK317" s="17">
        <f>IF(MOD(AK317,12)=0,BH317*(1-'1 - Input'!$B$23),BH317)</f>
        <v>0</v>
      </c>
      <c r="BL317" s="17">
        <f>IF('1 - Input'!$B$17=1,MIN(AV317,AN317)+BD317,AV317)</f>
        <v>0</v>
      </c>
      <c r="BM317" s="17">
        <f t="shared" si="331"/>
        <v>590482.93849429931</v>
      </c>
      <c r="BN317" s="17">
        <f t="shared" si="332"/>
        <v>101441.90180685223</v>
      </c>
      <c r="BO317" s="17">
        <f t="shared" si="333"/>
        <v>0</v>
      </c>
      <c r="BP317" s="17">
        <f t="shared" si="334"/>
        <v>174289.24056370757</v>
      </c>
      <c r="BQ317" s="17">
        <f t="shared" si="335"/>
        <v>8123.5662772395826</v>
      </c>
      <c r="BR317" s="17">
        <f t="shared" si="336"/>
        <v>335745.57927357405</v>
      </c>
      <c r="BS317" s="15">
        <f t="shared" si="305"/>
        <v>1</v>
      </c>
      <c r="BU317" s="14">
        <v>274</v>
      </c>
      <c r="BV317" s="15">
        <f t="shared" si="306"/>
        <v>23</v>
      </c>
      <c r="BW317" s="16">
        <f>(1+INDEX('1 - Input'!$B$34:$E$63,BV317,'1 - Input'!$B$16))^(1/12)-1</f>
        <v>4.1219243192651689E-3</v>
      </c>
      <c r="BX317" s="17">
        <f>'1 - Input'!$B$7*(1+'1 - Input'!$B$12)^(BV317-1)</f>
        <v>4174.1451110948756</v>
      </c>
      <c r="BY317" s="17">
        <f t="shared" si="337"/>
        <v>0</v>
      </c>
      <c r="BZ317" s="17">
        <f t="shared" si="338"/>
        <v>0</v>
      </c>
      <c r="CA317" s="17">
        <f t="shared" si="307"/>
        <v>0</v>
      </c>
      <c r="CB317" s="17">
        <f>IF(CA317&gt;0,'1 - Input'!$B$8/12*CA317,0)</f>
        <v>0</v>
      </c>
      <c r="CC317" s="17">
        <f t="shared" si="308"/>
        <v>0</v>
      </c>
      <c r="CD317" s="17">
        <f t="shared" si="309"/>
        <v>0</v>
      </c>
      <c r="CE317" s="17">
        <f>'1 - Input'!$B$22*(CB317-CD317)</f>
        <v>0</v>
      </c>
      <c r="CF317" s="17">
        <f t="shared" si="310"/>
        <v>0</v>
      </c>
      <c r="CG317" s="17">
        <f t="shared" si="311"/>
        <v>0</v>
      </c>
      <c r="CH317" s="17">
        <f>IF('1 - Input'!$B$17=1,MAX(0,CF317-BX317),0)</f>
        <v>0</v>
      </c>
      <c r="CI317" s="17">
        <f>IF('1 - Input'!$B$17=1,MAX(0,BX317-CF317),0)</f>
        <v>4174.1451110948756</v>
      </c>
      <c r="CJ317" s="17">
        <f t="shared" si="312"/>
        <v>0</v>
      </c>
      <c r="CK317" s="17">
        <f>IF(AND(CI317&gt;0,CC317&gt;0),CI317/(1-'1 - Input'!$B$22*CJ317),0)</f>
        <v>0</v>
      </c>
      <c r="CL317" s="17">
        <f t="shared" si="313"/>
        <v>0</v>
      </c>
      <c r="CM317" s="17">
        <f>'1 - Input'!$B$22*CJ317*CL317</f>
        <v>0</v>
      </c>
      <c r="CN317" s="17">
        <f t="shared" si="314"/>
        <v>0</v>
      </c>
      <c r="CO317" s="17">
        <f t="shared" si="315"/>
        <v>4174.1451110948756</v>
      </c>
      <c r="CP317" s="17">
        <f t="shared" si="316"/>
        <v>0</v>
      </c>
      <c r="CQ317" s="17">
        <f t="shared" si="317"/>
        <v>0</v>
      </c>
      <c r="CR317" s="17">
        <f t="shared" si="318"/>
        <v>0</v>
      </c>
      <c r="CS317" s="17">
        <f>IF(MOD(BU317,12)=0,CQ317*'1 - Input'!$B$23,0)</f>
        <v>0</v>
      </c>
      <c r="CT317" s="17">
        <f t="shared" si="319"/>
        <v>0</v>
      </c>
      <c r="CU317" s="17">
        <f>IF(MOD(BU317,12)=0,CR317*(1-'1 - Input'!$B$23),CR317)</f>
        <v>0</v>
      </c>
      <c r="CV317" s="17">
        <f>IF('1 - Input'!$B$17=1,MIN(CF317,BX317)+CN317,CF317)</f>
        <v>0</v>
      </c>
      <c r="CW317" s="17">
        <f t="shared" si="339"/>
        <v>686605.50041273201</v>
      </c>
      <c r="CX317" s="17">
        <f t="shared" si="340"/>
        <v>6018.3402768167462</v>
      </c>
      <c r="CY317" s="17">
        <f t="shared" si="341"/>
        <v>66518.776160328038</v>
      </c>
      <c r="CZ317" s="17">
        <f t="shared" si="342"/>
        <v>0</v>
      </c>
      <c r="DA317" s="17">
        <f t="shared" si="343"/>
        <v>10954.114452440983</v>
      </c>
      <c r="DB317" s="17">
        <f t="shared" si="344"/>
        <v>239623.01735514231</v>
      </c>
      <c r="DC317" s="15">
        <f t="shared" si="320"/>
        <v>1</v>
      </c>
    </row>
    <row r="318" spans="1:107">
      <c r="A318" s="14">
        <v>275</v>
      </c>
      <c r="B318" s="15">
        <f t="shared" si="276"/>
        <v>23</v>
      </c>
      <c r="C318" s="16">
        <f>(1+INDEX('1 - Input'!$B$34:$E$63,B318,'1 - Input'!$B$16))^(1/12)-1</f>
        <v>4.1219243192651689E-3</v>
      </c>
      <c r="D318" s="17">
        <f>'1 - Input'!$B$7*(1+'1 - Input'!$B$12)^(B318-1)</f>
        <v>4174.1451110948756</v>
      </c>
      <c r="E318" s="17">
        <f t="shared" si="321"/>
        <v>0</v>
      </c>
      <c r="F318" s="17">
        <f t="shared" si="322"/>
        <v>0</v>
      </c>
      <c r="G318" s="17">
        <f t="shared" si="277"/>
        <v>0</v>
      </c>
      <c r="H318" s="17">
        <f>IF(G318&gt;0,'1 - Input'!$B$8/12*G318,0)</f>
        <v>0</v>
      </c>
      <c r="I318" s="17">
        <f t="shared" si="278"/>
        <v>0</v>
      </c>
      <c r="J318" s="17">
        <f t="shared" si="279"/>
        <v>0</v>
      </c>
      <c r="K318" s="17">
        <f>'1 - Input'!$B$22*(H318-J318)</f>
        <v>0</v>
      </c>
      <c r="L318" s="17">
        <f t="shared" si="280"/>
        <v>0</v>
      </c>
      <c r="M318" s="17">
        <f t="shared" si="281"/>
        <v>0</v>
      </c>
      <c r="N318" s="17">
        <f>IF('1 - Input'!$B$17=1,MAX(0,L318-D318),0)</f>
        <v>0</v>
      </c>
      <c r="O318" s="17">
        <f>IF('1 - Input'!$B$17=1,MAX(0,D318-L318),0)</f>
        <v>4174.1451110948756</v>
      </c>
      <c r="P318" s="17">
        <f t="shared" si="282"/>
        <v>0</v>
      </c>
      <c r="Q318" s="17">
        <f>IF(AND(O318&gt;0,I318&gt;0),O318/(1-'1 - Input'!$B$22*P318),0)</f>
        <v>0</v>
      </c>
      <c r="R318" s="17">
        <f t="shared" si="283"/>
        <v>0</v>
      </c>
      <c r="S318" s="17">
        <f>'1 - Input'!$B$22*P318*R318</f>
        <v>0</v>
      </c>
      <c r="T318" s="17">
        <f t="shared" si="284"/>
        <v>0</v>
      </c>
      <c r="U318" s="17">
        <f t="shared" si="285"/>
        <v>4174.1451110948756</v>
      </c>
      <c r="V318" s="17">
        <f t="shared" si="286"/>
        <v>0</v>
      </c>
      <c r="W318" s="17">
        <f t="shared" si="287"/>
        <v>0</v>
      </c>
      <c r="X318" s="17">
        <f t="shared" si="288"/>
        <v>0</v>
      </c>
      <c r="Y318" s="17">
        <f>IF(MOD(A318,12)=0,W318*'1 - Input'!$B$23,0)</f>
        <v>0</v>
      </c>
      <c r="Z318" s="17">
        <f t="shared" si="289"/>
        <v>0</v>
      </c>
      <c r="AA318" s="17">
        <f>IF(MOD(A318,12)=0,X318*(1-'1 - Input'!$B$23),X318)</f>
        <v>0</v>
      </c>
      <c r="AB318" s="17">
        <f>IF('1 - Input'!$B$17=1,MIN(L318,D318)+T318,L318)</f>
        <v>0</v>
      </c>
      <c r="AC318" s="17">
        <f t="shared" si="323"/>
        <v>590482.93849429931</v>
      </c>
      <c r="AD318" s="17">
        <f t="shared" si="324"/>
        <v>101441.90180685223</v>
      </c>
      <c r="AE318" s="17">
        <f t="shared" si="325"/>
        <v>0</v>
      </c>
      <c r="AF318" s="17">
        <f t="shared" si="326"/>
        <v>174289.24056370757</v>
      </c>
      <c r="AG318" s="17">
        <f t="shared" si="327"/>
        <v>8123.5662772395826</v>
      </c>
      <c r="AH318" s="17">
        <f t="shared" si="328"/>
        <v>339919.72438466892</v>
      </c>
      <c r="AI318" s="15">
        <f t="shared" si="290"/>
        <v>1</v>
      </c>
      <c r="AK318" s="14">
        <v>275</v>
      </c>
      <c r="AL318" s="15">
        <f t="shared" si="291"/>
        <v>23</v>
      </c>
      <c r="AM318" s="16">
        <f>(1+INDEX('1 - Input'!$B$34:$E$63,AL318,'1 - Input'!$B$16))^(1/12)-1</f>
        <v>4.1219243192651689E-3</v>
      </c>
      <c r="AN318" s="17">
        <f>'1 - Input'!$B$7*(1+'1 - Input'!$B$12)^(AL318-1)</f>
        <v>4174.1451110948756</v>
      </c>
      <c r="AO318" s="17">
        <f t="shared" si="329"/>
        <v>0</v>
      </c>
      <c r="AP318" s="17">
        <f t="shared" si="330"/>
        <v>0</v>
      </c>
      <c r="AQ318" s="17">
        <f t="shared" si="292"/>
        <v>0</v>
      </c>
      <c r="AR318" s="17">
        <f>IF(AQ318&gt;0,'1 - Input'!$B$8/12*AQ318,0)</f>
        <v>0</v>
      </c>
      <c r="AS318" s="17">
        <f t="shared" si="293"/>
        <v>0</v>
      </c>
      <c r="AT318" s="17">
        <f t="shared" si="294"/>
        <v>0</v>
      </c>
      <c r="AU318" s="17">
        <f>'1 - Input'!$B$22*(AR318-AT318)</f>
        <v>0</v>
      </c>
      <c r="AV318" s="17">
        <f t="shared" si="295"/>
        <v>0</v>
      </c>
      <c r="AW318" s="17">
        <f t="shared" si="296"/>
        <v>0</v>
      </c>
      <c r="AX318" s="17">
        <f>IF('1 - Input'!$B$17=1,MAX(0,AV318-AN318),0)</f>
        <v>0</v>
      </c>
      <c r="AY318" s="17">
        <f>IF('1 - Input'!$B$17=1,MAX(0,AN318-AV318),0)</f>
        <v>4174.1451110948756</v>
      </c>
      <c r="AZ318" s="17">
        <f t="shared" si="297"/>
        <v>0</v>
      </c>
      <c r="BA318" s="17">
        <f>IF(AND(AY318&gt;0,AS318&gt;0),AY318/(1-'1 - Input'!$B$22*AZ318),0)</f>
        <v>0</v>
      </c>
      <c r="BB318" s="17">
        <f t="shared" si="298"/>
        <v>0</v>
      </c>
      <c r="BC318" s="17">
        <f>'1 - Input'!$B$22*AZ318*BB318</f>
        <v>0</v>
      </c>
      <c r="BD318" s="17">
        <f t="shared" si="299"/>
        <v>0</v>
      </c>
      <c r="BE318" s="17">
        <f t="shared" si="300"/>
        <v>4174.1451110948756</v>
      </c>
      <c r="BF318" s="17">
        <f t="shared" si="301"/>
        <v>0</v>
      </c>
      <c r="BG318" s="17">
        <f t="shared" si="302"/>
        <v>0</v>
      </c>
      <c r="BH318" s="17">
        <f t="shared" si="303"/>
        <v>0</v>
      </c>
      <c r="BI318" s="17">
        <f>IF(MOD(AK318,12)=0,BG318*'1 - Input'!$B$23,0)</f>
        <v>0</v>
      </c>
      <c r="BJ318" s="17">
        <f t="shared" si="304"/>
        <v>0</v>
      </c>
      <c r="BK318" s="17">
        <f>IF(MOD(AK318,12)=0,BH318*(1-'1 - Input'!$B$23),BH318)</f>
        <v>0</v>
      </c>
      <c r="BL318" s="17">
        <f>IF('1 - Input'!$B$17=1,MIN(AV318,AN318)+BD318,AV318)</f>
        <v>0</v>
      </c>
      <c r="BM318" s="17">
        <f t="shared" si="331"/>
        <v>590482.93849429931</v>
      </c>
      <c r="BN318" s="17">
        <f t="shared" si="332"/>
        <v>101441.90180685223</v>
      </c>
      <c r="BO318" s="17">
        <f t="shared" si="333"/>
        <v>0</v>
      </c>
      <c r="BP318" s="17">
        <f t="shared" si="334"/>
        <v>174289.24056370757</v>
      </c>
      <c r="BQ318" s="17">
        <f t="shared" si="335"/>
        <v>8123.5662772395826</v>
      </c>
      <c r="BR318" s="17">
        <f t="shared" si="336"/>
        <v>339919.72438466892</v>
      </c>
      <c r="BS318" s="15">
        <f t="shared" si="305"/>
        <v>1</v>
      </c>
      <c r="BU318" s="14">
        <v>275</v>
      </c>
      <c r="BV318" s="15">
        <f t="shared" si="306"/>
        <v>23</v>
      </c>
      <c r="BW318" s="16">
        <f>(1+INDEX('1 - Input'!$B$34:$E$63,BV318,'1 - Input'!$B$16))^(1/12)-1</f>
        <v>4.1219243192651689E-3</v>
      </c>
      <c r="BX318" s="17">
        <f>'1 - Input'!$B$7*(1+'1 - Input'!$B$12)^(BV318-1)</f>
        <v>4174.1451110948756</v>
      </c>
      <c r="BY318" s="17">
        <f t="shared" si="337"/>
        <v>0</v>
      </c>
      <c r="BZ318" s="17">
        <f t="shared" si="338"/>
        <v>0</v>
      </c>
      <c r="CA318" s="17">
        <f t="shared" si="307"/>
        <v>0</v>
      </c>
      <c r="CB318" s="17">
        <f>IF(CA318&gt;0,'1 - Input'!$B$8/12*CA318,0)</f>
        <v>0</v>
      </c>
      <c r="CC318" s="17">
        <f t="shared" si="308"/>
        <v>0</v>
      </c>
      <c r="CD318" s="17">
        <f t="shared" si="309"/>
        <v>0</v>
      </c>
      <c r="CE318" s="17">
        <f>'1 - Input'!$B$22*(CB318-CD318)</f>
        <v>0</v>
      </c>
      <c r="CF318" s="17">
        <f t="shared" si="310"/>
        <v>0</v>
      </c>
      <c r="CG318" s="17">
        <f t="shared" si="311"/>
        <v>0</v>
      </c>
      <c r="CH318" s="17">
        <f>IF('1 - Input'!$B$17=1,MAX(0,CF318-BX318),0)</f>
        <v>0</v>
      </c>
      <c r="CI318" s="17">
        <f>IF('1 - Input'!$B$17=1,MAX(0,BX318-CF318),0)</f>
        <v>4174.1451110948756</v>
      </c>
      <c r="CJ318" s="17">
        <f t="shared" si="312"/>
        <v>0</v>
      </c>
      <c r="CK318" s="17">
        <f>IF(AND(CI318&gt;0,CC318&gt;0),CI318/(1-'1 - Input'!$B$22*CJ318),0)</f>
        <v>0</v>
      </c>
      <c r="CL318" s="17">
        <f t="shared" si="313"/>
        <v>0</v>
      </c>
      <c r="CM318" s="17">
        <f>'1 - Input'!$B$22*CJ318*CL318</f>
        <v>0</v>
      </c>
      <c r="CN318" s="17">
        <f t="shared" si="314"/>
        <v>0</v>
      </c>
      <c r="CO318" s="17">
        <f t="shared" si="315"/>
        <v>4174.1451110948756</v>
      </c>
      <c r="CP318" s="17">
        <f t="shared" si="316"/>
        <v>0</v>
      </c>
      <c r="CQ318" s="17">
        <f t="shared" si="317"/>
        <v>0</v>
      </c>
      <c r="CR318" s="17">
        <f t="shared" si="318"/>
        <v>0</v>
      </c>
      <c r="CS318" s="17">
        <f>IF(MOD(BU318,12)=0,CQ318*'1 - Input'!$B$23,0)</f>
        <v>0</v>
      </c>
      <c r="CT318" s="17">
        <f t="shared" si="319"/>
        <v>0</v>
      </c>
      <c r="CU318" s="17">
        <f>IF(MOD(BU318,12)=0,CR318*(1-'1 - Input'!$B$23),CR318)</f>
        <v>0</v>
      </c>
      <c r="CV318" s="17">
        <f>IF('1 - Input'!$B$17=1,MIN(CF318,BX318)+CN318,CF318)</f>
        <v>0</v>
      </c>
      <c r="CW318" s="17">
        <f t="shared" si="339"/>
        <v>686605.50041273201</v>
      </c>
      <c r="CX318" s="17">
        <f t="shared" si="340"/>
        <v>6018.3402768167462</v>
      </c>
      <c r="CY318" s="17">
        <f t="shared" si="341"/>
        <v>66518.776160328038</v>
      </c>
      <c r="CZ318" s="17">
        <f t="shared" si="342"/>
        <v>0</v>
      </c>
      <c r="DA318" s="17">
        <f t="shared" si="343"/>
        <v>10954.114452440983</v>
      </c>
      <c r="DB318" s="17">
        <f t="shared" si="344"/>
        <v>243797.16246623718</v>
      </c>
      <c r="DC318" s="15">
        <f t="shared" si="320"/>
        <v>1</v>
      </c>
    </row>
    <row r="319" spans="1:107">
      <c r="A319" s="14">
        <v>276</v>
      </c>
      <c r="B319" s="15">
        <f t="shared" si="276"/>
        <v>23</v>
      </c>
      <c r="C319" s="16">
        <f>(1+INDEX('1 - Input'!$B$34:$E$63,B319,'1 - Input'!$B$16))^(1/12)-1</f>
        <v>4.1219243192651689E-3</v>
      </c>
      <c r="D319" s="17">
        <f>'1 - Input'!$B$7*(1+'1 - Input'!$B$12)^(B319-1)</f>
        <v>4174.1451110948756</v>
      </c>
      <c r="E319" s="17">
        <f t="shared" si="321"/>
        <v>0</v>
      </c>
      <c r="F319" s="17">
        <f t="shared" si="322"/>
        <v>0</v>
      </c>
      <c r="G319" s="17">
        <f t="shared" si="277"/>
        <v>0</v>
      </c>
      <c r="H319" s="17">
        <f>IF(G319&gt;0,'1 - Input'!$B$8/12*G319,0)</f>
        <v>0</v>
      </c>
      <c r="I319" s="17">
        <f t="shared" si="278"/>
        <v>0</v>
      </c>
      <c r="J319" s="17">
        <f t="shared" si="279"/>
        <v>0</v>
      </c>
      <c r="K319" s="17">
        <f>'1 - Input'!$B$22*(H319-J319)</f>
        <v>0</v>
      </c>
      <c r="L319" s="17">
        <f t="shared" si="280"/>
        <v>0</v>
      </c>
      <c r="M319" s="17">
        <f t="shared" si="281"/>
        <v>0</v>
      </c>
      <c r="N319" s="17">
        <f>IF('1 - Input'!$B$17=1,MAX(0,L319-D319),0)</f>
        <v>0</v>
      </c>
      <c r="O319" s="17">
        <f>IF('1 - Input'!$B$17=1,MAX(0,D319-L319),0)</f>
        <v>4174.1451110948756</v>
      </c>
      <c r="P319" s="17">
        <f t="shared" si="282"/>
        <v>0</v>
      </c>
      <c r="Q319" s="17">
        <f>IF(AND(O319&gt;0,I319&gt;0),O319/(1-'1 - Input'!$B$22*P319),0)</f>
        <v>0</v>
      </c>
      <c r="R319" s="17">
        <f t="shared" si="283"/>
        <v>0</v>
      </c>
      <c r="S319" s="17">
        <f>'1 - Input'!$B$22*P319*R319</f>
        <v>0</v>
      </c>
      <c r="T319" s="17">
        <f t="shared" si="284"/>
        <v>0</v>
      </c>
      <c r="U319" s="17">
        <f t="shared" si="285"/>
        <v>4174.1451110948756</v>
      </c>
      <c r="V319" s="17">
        <f t="shared" si="286"/>
        <v>0</v>
      </c>
      <c r="W319" s="17">
        <f t="shared" si="287"/>
        <v>0</v>
      </c>
      <c r="X319" s="17">
        <f t="shared" si="288"/>
        <v>0</v>
      </c>
      <c r="Y319" s="17">
        <f>IF(MOD(A319,12)=0,W319*'1 - Input'!$B$23,0)</f>
        <v>0</v>
      </c>
      <c r="Z319" s="17">
        <f t="shared" si="289"/>
        <v>0</v>
      </c>
      <c r="AA319" s="17">
        <f>IF(MOD(A319,12)=0,X319*(1-'1 - Input'!$B$23),X319)</f>
        <v>0</v>
      </c>
      <c r="AB319" s="17">
        <f>IF('1 - Input'!$B$17=1,MIN(L319,D319)+T319,L319)</f>
        <v>0</v>
      </c>
      <c r="AC319" s="17">
        <f t="shared" si="323"/>
        <v>590482.93849429931</v>
      </c>
      <c r="AD319" s="17">
        <f t="shared" si="324"/>
        <v>101441.90180685223</v>
      </c>
      <c r="AE319" s="17">
        <f t="shared" si="325"/>
        <v>0</v>
      </c>
      <c r="AF319" s="17">
        <f t="shared" si="326"/>
        <v>174289.24056370757</v>
      </c>
      <c r="AG319" s="17">
        <f t="shared" si="327"/>
        <v>8123.5662772395826</v>
      </c>
      <c r="AH319" s="17">
        <f t="shared" si="328"/>
        <v>344093.86949576379</v>
      </c>
      <c r="AI319" s="15">
        <f t="shared" si="290"/>
        <v>1</v>
      </c>
      <c r="AK319" s="14">
        <v>276</v>
      </c>
      <c r="AL319" s="15">
        <f t="shared" si="291"/>
        <v>23</v>
      </c>
      <c r="AM319" s="16">
        <f>(1+INDEX('1 - Input'!$B$34:$E$63,AL319,'1 - Input'!$B$16))^(1/12)-1</f>
        <v>4.1219243192651689E-3</v>
      </c>
      <c r="AN319" s="17">
        <f>'1 - Input'!$B$7*(1+'1 - Input'!$B$12)^(AL319-1)</f>
        <v>4174.1451110948756</v>
      </c>
      <c r="AO319" s="17">
        <f t="shared" si="329"/>
        <v>0</v>
      </c>
      <c r="AP319" s="17">
        <f t="shared" si="330"/>
        <v>0</v>
      </c>
      <c r="AQ319" s="17">
        <f t="shared" si="292"/>
        <v>0</v>
      </c>
      <c r="AR319" s="17">
        <f>IF(AQ319&gt;0,'1 - Input'!$B$8/12*AQ319,0)</f>
        <v>0</v>
      </c>
      <c r="AS319" s="17">
        <f t="shared" si="293"/>
        <v>0</v>
      </c>
      <c r="AT319" s="17">
        <f t="shared" si="294"/>
        <v>0</v>
      </c>
      <c r="AU319" s="17">
        <f>'1 - Input'!$B$22*(AR319-AT319)</f>
        <v>0</v>
      </c>
      <c r="AV319" s="17">
        <f t="shared" si="295"/>
        <v>0</v>
      </c>
      <c r="AW319" s="17">
        <f t="shared" si="296"/>
        <v>0</v>
      </c>
      <c r="AX319" s="17">
        <f>IF('1 - Input'!$B$17=1,MAX(0,AV319-AN319),0)</f>
        <v>0</v>
      </c>
      <c r="AY319" s="17">
        <f>IF('1 - Input'!$B$17=1,MAX(0,AN319-AV319),0)</f>
        <v>4174.1451110948756</v>
      </c>
      <c r="AZ319" s="17">
        <f t="shared" si="297"/>
        <v>0</v>
      </c>
      <c r="BA319" s="17">
        <f>IF(AND(AY319&gt;0,AS319&gt;0),AY319/(1-'1 - Input'!$B$22*AZ319),0)</f>
        <v>0</v>
      </c>
      <c r="BB319" s="17">
        <f t="shared" si="298"/>
        <v>0</v>
      </c>
      <c r="BC319" s="17">
        <f>'1 - Input'!$B$22*AZ319*BB319</f>
        <v>0</v>
      </c>
      <c r="BD319" s="17">
        <f t="shared" si="299"/>
        <v>0</v>
      </c>
      <c r="BE319" s="17">
        <f t="shared" si="300"/>
        <v>4174.1451110948756</v>
      </c>
      <c r="BF319" s="17">
        <f t="shared" si="301"/>
        <v>0</v>
      </c>
      <c r="BG319" s="17">
        <f t="shared" si="302"/>
        <v>0</v>
      </c>
      <c r="BH319" s="17">
        <f t="shared" si="303"/>
        <v>0</v>
      </c>
      <c r="BI319" s="17">
        <f>IF(MOD(AK319,12)=0,BG319*'1 - Input'!$B$23,0)</f>
        <v>0</v>
      </c>
      <c r="BJ319" s="17">
        <f t="shared" si="304"/>
        <v>0</v>
      </c>
      <c r="BK319" s="17">
        <f>IF(MOD(AK319,12)=0,BH319*(1-'1 - Input'!$B$23),BH319)</f>
        <v>0</v>
      </c>
      <c r="BL319" s="17">
        <f>IF('1 - Input'!$B$17=1,MIN(AV319,AN319)+BD319,AV319)</f>
        <v>0</v>
      </c>
      <c r="BM319" s="17">
        <f t="shared" si="331"/>
        <v>590482.93849429931</v>
      </c>
      <c r="BN319" s="17">
        <f t="shared" si="332"/>
        <v>101441.90180685223</v>
      </c>
      <c r="BO319" s="17">
        <f t="shared" si="333"/>
        <v>0</v>
      </c>
      <c r="BP319" s="17">
        <f t="shared" si="334"/>
        <v>174289.24056370757</v>
      </c>
      <c r="BQ319" s="17">
        <f t="shared" si="335"/>
        <v>8123.5662772395826</v>
      </c>
      <c r="BR319" s="17">
        <f t="shared" si="336"/>
        <v>344093.86949576379</v>
      </c>
      <c r="BS319" s="15">
        <f t="shared" si="305"/>
        <v>1</v>
      </c>
      <c r="BU319" s="14">
        <v>276</v>
      </c>
      <c r="BV319" s="15">
        <f t="shared" si="306"/>
        <v>23</v>
      </c>
      <c r="BW319" s="16">
        <f>(1+INDEX('1 - Input'!$B$34:$E$63,BV319,'1 - Input'!$B$16))^(1/12)-1</f>
        <v>4.1219243192651689E-3</v>
      </c>
      <c r="BX319" s="17">
        <f>'1 - Input'!$B$7*(1+'1 - Input'!$B$12)^(BV319-1)</f>
        <v>4174.1451110948756</v>
      </c>
      <c r="BY319" s="17">
        <f t="shared" si="337"/>
        <v>0</v>
      </c>
      <c r="BZ319" s="17">
        <f t="shared" si="338"/>
        <v>0</v>
      </c>
      <c r="CA319" s="17">
        <f t="shared" si="307"/>
        <v>0</v>
      </c>
      <c r="CB319" s="17">
        <f>IF(CA319&gt;0,'1 - Input'!$B$8/12*CA319,0)</f>
        <v>0</v>
      </c>
      <c r="CC319" s="17">
        <f t="shared" si="308"/>
        <v>0</v>
      </c>
      <c r="CD319" s="17">
        <f t="shared" si="309"/>
        <v>0</v>
      </c>
      <c r="CE319" s="17">
        <f>'1 - Input'!$B$22*(CB319-CD319)</f>
        <v>0</v>
      </c>
      <c r="CF319" s="17">
        <f t="shared" si="310"/>
        <v>0</v>
      </c>
      <c r="CG319" s="17">
        <f t="shared" si="311"/>
        <v>0</v>
      </c>
      <c r="CH319" s="17">
        <f>IF('1 - Input'!$B$17=1,MAX(0,CF319-BX319),0)</f>
        <v>0</v>
      </c>
      <c r="CI319" s="17">
        <f>IF('1 - Input'!$B$17=1,MAX(0,BX319-CF319),0)</f>
        <v>4174.1451110948756</v>
      </c>
      <c r="CJ319" s="17">
        <f t="shared" si="312"/>
        <v>0</v>
      </c>
      <c r="CK319" s="17">
        <f>IF(AND(CI319&gt;0,CC319&gt;0),CI319/(1-'1 - Input'!$B$22*CJ319),0)</f>
        <v>0</v>
      </c>
      <c r="CL319" s="17">
        <f t="shared" si="313"/>
        <v>0</v>
      </c>
      <c r="CM319" s="17">
        <f>'1 - Input'!$B$22*CJ319*CL319</f>
        <v>0</v>
      </c>
      <c r="CN319" s="17">
        <f t="shared" si="314"/>
        <v>0</v>
      </c>
      <c r="CO319" s="17">
        <f t="shared" si="315"/>
        <v>4174.1451110948756</v>
      </c>
      <c r="CP319" s="17">
        <f t="shared" si="316"/>
        <v>0</v>
      </c>
      <c r="CQ319" s="17">
        <f t="shared" si="317"/>
        <v>0</v>
      </c>
      <c r="CR319" s="17">
        <f t="shared" si="318"/>
        <v>0</v>
      </c>
      <c r="CS319" s="17">
        <f>IF(MOD(BU319,12)=0,CQ319*'1 - Input'!$B$23,0)</f>
        <v>0</v>
      </c>
      <c r="CT319" s="17">
        <f t="shared" si="319"/>
        <v>0</v>
      </c>
      <c r="CU319" s="17">
        <f>IF(MOD(BU319,12)=0,CR319*(1-'1 - Input'!$B$23),CR319)</f>
        <v>0</v>
      </c>
      <c r="CV319" s="17">
        <f>IF('1 - Input'!$B$17=1,MIN(CF319,BX319)+CN319,CF319)</f>
        <v>0</v>
      </c>
      <c r="CW319" s="17">
        <f t="shared" si="339"/>
        <v>686605.50041273201</v>
      </c>
      <c r="CX319" s="17">
        <f t="shared" si="340"/>
        <v>6018.3402768167462</v>
      </c>
      <c r="CY319" s="17">
        <f t="shared" si="341"/>
        <v>66518.776160328038</v>
      </c>
      <c r="CZ319" s="17">
        <f t="shared" si="342"/>
        <v>0</v>
      </c>
      <c r="DA319" s="17">
        <f t="shared" si="343"/>
        <v>10954.114452440983</v>
      </c>
      <c r="DB319" s="17">
        <f t="shared" si="344"/>
        <v>247971.30757733205</v>
      </c>
      <c r="DC319" s="15">
        <f t="shared" si="320"/>
        <v>1</v>
      </c>
    </row>
    <row r="320" spans="1:107">
      <c r="A320" s="14">
        <v>277</v>
      </c>
      <c r="B320" s="15">
        <f t="shared" si="276"/>
        <v>24</v>
      </c>
      <c r="C320" s="16">
        <f>(1+INDEX('1 - Input'!$B$34:$E$63,B320,'1 - Input'!$B$16))^(1/12)-1</f>
        <v>4.1219243192651689E-3</v>
      </c>
      <c r="D320" s="17">
        <f>'1 - Input'!$B$7*(1+'1 - Input'!$B$12)^(B320-1)</f>
        <v>4257.628013316772</v>
      </c>
      <c r="E320" s="17">
        <f t="shared" si="321"/>
        <v>0</v>
      </c>
      <c r="F320" s="17">
        <f t="shared" si="322"/>
        <v>0</v>
      </c>
      <c r="G320" s="17">
        <f t="shared" si="277"/>
        <v>0</v>
      </c>
      <c r="H320" s="17">
        <f>IF(G320&gt;0,'1 - Input'!$B$8/12*G320,0)</f>
        <v>0</v>
      </c>
      <c r="I320" s="17">
        <f t="shared" si="278"/>
        <v>0</v>
      </c>
      <c r="J320" s="17">
        <f t="shared" si="279"/>
        <v>0</v>
      </c>
      <c r="K320" s="17">
        <f>'1 - Input'!$B$22*(H320-J320)</f>
        <v>0</v>
      </c>
      <c r="L320" s="17">
        <f t="shared" si="280"/>
        <v>0</v>
      </c>
      <c r="M320" s="17">
        <f t="shared" si="281"/>
        <v>0</v>
      </c>
      <c r="N320" s="17">
        <f>IF('1 - Input'!$B$17=1,MAX(0,L320-D320),0)</f>
        <v>0</v>
      </c>
      <c r="O320" s="17">
        <f>IF('1 - Input'!$B$17=1,MAX(0,D320-L320),0)</f>
        <v>4257.628013316772</v>
      </c>
      <c r="P320" s="17">
        <f t="shared" si="282"/>
        <v>0</v>
      </c>
      <c r="Q320" s="17">
        <f>IF(AND(O320&gt;0,I320&gt;0),O320/(1-'1 - Input'!$B$22*P320),0)</f>
        <v>0</v>
      </c>
      <c r="R320" s="17">
        <f t="shared" si="283"/>
        <v>0</v>
      </c>
      <c r="S320" s="17">
        <f>'1 - Input'!$B$22*P320*R320</f>
        <v>0</v>
      </c>
      <c r="T320" s="17">
        <f t="shared" si="284"/>
        <v>0</v>
      </c>
      <c r="U320" s="17">
        <f t="shared" si="285"/>
        <v>4257.628013316772</v>
      </c>
      <c r="V320" s="17">
        <f t="shared" si="286"/>
        <v>0</v>
      </c>
      <c r="W320" s="17">
        <f t="shared" si="287"/>
        <v>0</v>
      </c>
      <c r="X320" s="17">
        <f t="shared" si="288"/>
        <v>0</v>
      </c>
      <c r="Y320" s="17">
        <f>IF(MOD(A320,12)=0,W320*'1 - Input'!$B$23,0)</f>
        <v>0</v>
      </c>
      <c r="Z320" s="17">
        <f t="shared" si="289"/>
        <v>0</v>
      </c>
      <c r="AA320" s="17">
        <f>IF(MOD(A320,12)=0,X320*(1-'1 - Input'!$B$23),X320)</f>
        <v>0</v>
      </c>
      <c r="AB320" s="17">
        <f>IF('1 - Input'!$B$17=1,MIN(L320,D320)+T320,L320)</f>
        <v>0</v>
      </c>
      <c r="AC320" s="17">
        <f t="shared" si="323"/>
        <v>590482.93849429931</v>
      </c>
      <c r="AD320" s="17">
        <f t="shared" si="324"/>
        <v>101441.90180685223</v>
      </c>
      <c r="AE320" s="17">
        <f t="shared" si="325"/>
        <v>0</v>
      </c>
      <c r="AF320" s="17">
        <f t="shared" si="326"/>
        <v>174289.24056370757</v>
      </c>
      <c r="AG320" s="17">
        <f t="shared" si="327"/>
        <v>8123.5662772395826</v>
      </c>
      <c r="AH320" s="17">
        <f t="shared" si="328"/>
        <v>348351.49750908057</v>
      </c>
      <c r="AI320" s="15">
        <f t="shared" si="290"/>
        <v>1</v>
      </c>
      <c r="AK320" s="14">
        <v>277</v>
      </c>
      <c r="AL320" s="15">
        <f t="shared" si="291"/>
        <v>24</v>
      </c>
      <c r="AM320" s="16">
        <f>(1+INDEX('1 - Input'!$B$34:$E$63,AL320,'1 - Input'!$B$16))^(1/12)-1</f>
        <v>4.1219243192651689E-3</v>
      </c>
      <c r="AN320" s="17">
        <f>'1 - Input'!$B$7*(1+'1 - Input'!$B$12)^(AL320-1)</f>
        <v>4257.628013316772</v>
      </c>
      <c r="AO320" s="17">
        <f t="shared" si="329"/>
        <v>0</v>
      </c>
      <c r="AP320" s="17">
        <f t="shared" si="330"/>
        <v>0</v>
      </c>
      <c r="AQ320" s="17">
        <f t="shared" si="292"/>
        <v>0</v>
      </c>
      <c r="AR320" s="17">
        <f>IF(AQ320&gt;0,'1 - Input'!$B$8/12*AQ320,0)</f>
        <v>0</v>
      </c>
      <c r="AS320" s="17">
        <f t="shared" si="293"/>
        <v>0</v>
      </c>
      <c r="AT320" s="17">
        <f t="shared" si="294"/>
        <v>0</v>
      </c>
      <c r="AU320" s="17">
        <f>'1 - Input'!$B$22*(AR320-AT320)</f>
        <v>0</v>
      </c>
      <c r="AV320" s="17">
        <f t="shared" si="295"/>
        <v>0</v>
      </c>
      <c r="AW320" s="17">
        <f t="shared" si="296"/>
        <v>0</v>
      </c>
      <c r="AX320" s="17">
        <f>IF('1 - Input'!$B$17=1,MAX(0,AV320-AN320),0)</f>
        <v>0</v>
      </c>
      <c r="AY320" s="17">
        <f>IF('1 - Input'!$B$17=1,MAX(0,AN320-AV320),0)</f>
        <v>4257.628013316772</v>
      </c>
      <c r="AZ320" s="17">
        <f t="shared" si="297"/>
        <v>0</v>
      </c>
      <c r="BA320" s="17">
        <f>IF(AND(AY320&gt;0,AS320&gt;0),AY320/(1-'1 - Input'!$B$22*AZ320),0)</f>
        <v>0</v>
      </c>
      <c r="BB320" s="17">
        <f t="shared" si="298"/>
        <v>0</v>
      </c>
      <c r="BC320" s="17">
        <f>'1 - Input'!$B$22*AZ320*BB320</f>
        <v>0</v>
      </c>
      <c r="BD320" s="17">
        <f t="shared" si="299"/>
        <v>0</v>
      </c>
      <c r="BE320" s="17">
        <f t="shared" si="300"/>
        <v>4257.628013316772</v>
      </c>
      <c r="BF320" s="17">
        <f t="shared" si="301"/>
        <v>0</v>
      </c>
      <c r="BG320" s="17">
        <f t="shared" si="302"/>
        <v>0</v>
      </c>
      <c r="BH320" s="17">
        <f t="shared" si="303"/>
        <v>0</v>
      </c>
      <c r="BI320" s="17">
        <f>IF(MOD(AK320,12)=0,BG320*'1 - Input'!$B$23,0)</f>
        <v>0</v>
      </c>
      <c r="BJ320" s="17">
        <f t="shared" si="304"/>
        <v>0</v>
      </c>
      <c r="BK320" s="17">
        <f>IF(MOD(AK320,12)=0,BH320*(1-'1 - Input'!$B$23),BH320)</f>
        <v>0</v>
      </c>
      <c r="BL320" s="17">
        <f>IF('1 - Input'!$B$17=1,MIN(AV320,AN320)+BD320,AV320)</f>
        <v>0</v>
      </c>
      <c r="BM320" s="17">
        <f t="shared" si="331"/>
        <v>590482.93849429931</v>
      </c>
      <c r="BN320" s="17">
        <f t="shared" si="332"/>
        <v>101441.90180685223</v>
      </c>
      <c r="BO320" s="17">
        <f t="shared" si="333"/>
        <v>0</v>
      </c>
      <c r="BP320" s="17">
        <f t="shared" si="334"/>
        <v>174289.24056370757</v>
      </c>
      <c r="BQ320" s="17">
        <f t="shared" si="335"/>
        <v>8123.5662772395826</v>
      </c>
      <c r="BR320" s="17">
        <f t="shared" si="336"/>
        <v>348351.49750908057</v>
      </c>
      <c r="BS320" s="15">
        <f t="shared" si="305"/>
        <v>1</v>
      </c>
      <c r="BU320" s="14">
        <v>277</v>
      </c>
      <c r="BV320" s="15">
        <f t="shared" si="306"/>
        <v>24</v>
      </c>
      <c r="BW320" s="16">
        <f>(1+INDEX('1 - Input'!$B$34:$E$63,BV320,'1 - Input'!$B$16))^(1/12)-1</f>
        <v>4.1219243192651689E-3</v>
      </c>
      <c r="BX320" s="17">
        <f>'1 - Input'!$B$7*(1+'1 - Input'!$B$12)^(BV320-1)</f>
        <v>4257.628013316772</v>
      </c>
      <c r="BY320" s="17">
        <f t="shared" si="337"/>
        <v>0</v>
      </c>
      <c r="BZ320" s="17">
        <f t="shared" si="338"/>
        <v>0</v>
      </c>
      <c r="CA320" s="17">
        <f t="shared" si="307"/>
        <v>0</v>
      </c>
      <c r="CB320" s="17">
        <f>IF(CA320&gt;0,'1 - Input'!$B$8/12*CA320,0)</f>
        <v>0</v>
      </c>
      <c r="CC320" s="17">
        <f t="shared" si="308"/>
        <v>0</v>
      </c>
      <c r="CD320" s="17">
        <f t="shared" si="309"/>
        <v>0</v>
      </c>
      <c r="CE320" s="17">
        <f>'1 - Input'!$B$22*(CB320-CD320)</f>
        <v>0</v>
      </c>
      <c r="CF320" s="17">
        <f t="shared" si="310"/>
        <v>0</v>
      </c>
      <c r="CG320" s="17">
        <f t="shared" si="311"/>
        <v>0</v>
      </c>
      <c r="CH320" s="17">
        <f>IF('1 - Input'!$B$17=1,MAX(0,CF320-BX320),0)</f>
        <v>0</v>
      </c>
      <c r="CI320" s="17">
        <f>IF('1 - Input'!$B$17=1,MAX(0,BX320-CF320),0)</f>
        <v>4257.628013316772</v>
      </c>
      <c r="CJ320" s="17">
        <f t="shared" si="312"/>
        <v>0</v>
      </c>
      <c r="CK320" s="17">
        <f>IF(AND(CI320&gt;0,CC320&gt;0),CI320/(1-'1 - Input'!$B$22*CJ320),0)</f>
        <v>0</v>
      </c>
      <c r="CL320" s="17">
        <f t="shared" si="313"/>
        <v>0</v>
      </c>
      <c r="CM320" s="17">
        <f>'1 - Input'!$B$22*CJ320*CL320</f>
        <v>0</v>
      </c>
      <c r="CN320" s="17">
        <f t="shared" si="314"/>
        <v>0</v>
      </c>
      <c r="CO320" s="17">
        <f t="shared" si="315"/>
        <v>4257.628013316772</v>
      </c>
      <c r="CP320" s="17">
        <f t="shared" si="316"/>
        <v>0</v>
      </c>
      <c r="CQ320" s="17">
        <f t="shared" si="317"/>
        <v>0</v>
      </c>
      <c r="CR320" s="17">
        <f t="shared" si="318"/>
        <v>0</v>
      </c>
      <c r="CS320" s="17">
        <f>IF(MOD(BU320,12)=0,CQ320*'1 - Input'!$B$23,0)</f>
        <v>0</v>
      </c>
      <c r="CT320" s="17">
        <f t="shared" si="319"/>
        <v>0</v>
      </c>
      <c r="CU320" s="17">
        <f>IF(MOD(BU320,12)=0,CR320*(1-'1 - Input'!$B$23),CR320)</f>
        <v>0</v>
      </c>
      <c r="CV320" s="17">
        <f>IF('1 - Input'!$B$17=1,MIN(CF320,BX320)+CN320,CF320)</f>
        <v>0</v>
      </c>
      <c r="CW320" s="17">
        <f t="shared" si="339"/>
        <v>686605.50041273201</v>
      </c>
      <c r="CX320" s="17">
        <f t="shared" si="340"/>
        <v>6018.3402768167462</v>
      </c>
      <c r="CY320" s="17">
        <f t="shared" si="341"/>
        <v>66518.776160328038</v>
      </c>
      <c r="CZ320" s="17">
        <f t="shared" si="342"/>
        <v>0</v>
      </c>
      <c r="DA320" s="17">
        <f t="shared" si="343"/>
        <v>10954.114452440983</v>
      </c>
      <c r="DB320" s="17">
        <f t="shared" si="344"/>
        <v>252228.93559064882</v>
      </c>
      <c r="DC320" s="15">
        <f t="shared" si="320"/>
        <v>1</v>
      </c>
    </row>
    <row r="321" spans="1:107">
      <c r="A321" s="14">
        <v>278</v>
      </c>
      <c r="B321" s="15">
        <f t="shared" si="276"/>
        <v>24</v>
      </c>
      <c r="C321" s="16">
        <f>(1+INDEX('1 - Input'!$B$34:$E$63,B321,'1 - Input'!$B$16))^(1/12)-1</f>
        <v>4.1219243192651689E-3</v>
      </c>
      <c r="D321" s="17">
        <f>'1 - Input'!$B$7*(1+'1 - Input'!$B$12)^(B321-1)</f>
        <v>4257.628013316772</v>
      </c>
      <c r="E321" s="17">
        <f t="shared" si="321"/>
        <v>0</v>
      </c>
      <c r="F321" s="17">
        <f t="shared" si="322"/>
        <v>0</v>
      </c>
      <c r="G321" s="17">
        <f t="shared" si="277"/>
        <v>0</v>
      </c>
      <c r="H321" s="17">
        <f>IF(G321&gt;0,'1 - Input'!$B$8/12*G321,0)</f>
        <v>0</v>
      </c>
      <c r="I321" s="17">
        <f t="shared" si="278"/>
        <v>0</v>
      </c>
      <c r="J321" s="17">
        <f t="shared" si="279"/>
        <v>0</v>
      </c>
      <c r="K321" s="17">
        <f>'1 - Input'!$B$22*(H321-J321)</f>
        <v>0</v>
      </c>
      <c r="L321" s="17">
        <f t="shared" si="280"/>
        <v>0</v>
      </c>
      <c r="M321" s="17">
        <f t="shared" si="281"/>
        <v>0</v>
      </c>
      <c r="N321" s="17">
        <f>IF('1 - Input'!$B$17=1,MAX(0,L321-D321),0)</f>
        <v>0</v>
      </c>
      <c r="O321" s="17">
        <f>IF('1 - Input'!$B$17=1,MAX(0,D321-L321),0)</f>
        <v>4257.628013316772</v>
      </c>
      <c r="P321" s="17">
        <f t="shared" si="282"/>
        <v>0</v>
      </c>
      <c r="Q321" s="17">
        <f>IF(AND(O321&gt;0,I321&gt;0),O321/(1-'1 - Input'!$B$22*P321),0)</f>
        <v>0</v>
      </c>
      <c r="R321" s="17">
        <f t="shared" si="283"/>
        <v>0</v>
      </c>
      <c r="S321" s="17">
        <f>'1 - Input'!$B$22*P321*R321</f>
        <v>0</v>
      </c>
      <c r="T321" s="17">
        <f t="shared" si="284"/>
        <v>0</v>
      </c>
      <c r="U321" s="17">
        <f t="shared" si="285"/>
        <v>4257.628013316772</v>
      </c>
      <c r="V321" s="17">
        <f t="shared" si="286"/>
        <v>0</v>
      </c>
      <c r="W321" s="17">
        <f t="shared" si="287"/>
        <v>0</v>
      </c>
      <c r="X321" s="17">
        <f t="shared" si="288"/>
        <v>0</v>
      </c>
      <c r="Y321" s="17">
        <f>IF(MOD(A321,12)=0,W321*'1 - Input'!$B$23,0)</f>
        <v>0</v>
      </c>
      <c r="Z321" s="17">
        <f t="shared" si="289"/>
        <v>0</v>
      </c>
      <c r="AA321" s="17">
        <f>IF(MOD(A321,12)=0,X321*(1-'1 - Input'!$B$23),X321)</f>
        <v>0</v>
      </c>
      <c r="AB321" s="17">
        <f>IF('1 - Input'!$B$17=1,MIN(L321,D321)+T321,L321)</f>
        <v>0</v>
      </c>
      <c r="AC321" s="17">
        <f t="shared" si="323"/>
        <v>590482.93849429931</v>
      </c>
      <c r="AD321" s="17">
        <f t="shared" si="324"/>
        <v>101441.90180685223</v>
      </c>
      <c r="AE321" s="17">
        <f t="shared" si="325"/>
        <v>0</v>
      </c>
      <c r="AF321" s="17">
        <f t="shared" si="326"/>
        <v>174289.24056370757</v>
      </c>
      <c r="AG321" s="17">
        <f t="shared" si="327"/>
        <v>8123.5662772395826</v>
      </c>
      <c r="AH321" s="17">
        <f t="shared" si="328"/>
        <v>352609.12552239734</v>
      </c>
      <c r="AI321" s="15">
        <f t="shared" si="290"/>
        <v>1</v>
      </c>
      <c r="AK321" s="14">
        <v>278</v>
      </c>
      <c r="AL321" s="15">
        <f t="shared" si="291"/>
        <v>24</v>
      </c>
      <c r="AM321" s="16">
        <f>(1+INDEX('1 - Input'!$B$34:$E$63,AL321,'1 - Input'!$B$16))^(1/12)-1</f>
        <v>4.1219243192651689E-3</v>
      </c>
      <c r="AN321" s="17">
        <f>'1 - Input'!$B$7*(1+'1 - Input'!$B$12)^(AL321-1)</f>
        <v>4257.628013316772</v>
      </c>
      <c r="AO321" s="17">
        <f t="shared" si="329"/>
        <v>0</v>
      </c>
      <c r="AP321" s="17">
        <f t="shared" si="330"/>
        <v>0</v>
      </c>
      <c r="AQ321" s="17">
        <f t="shared" si="292"/>
        <v>0</v>
      </c>
      <c r="AR321" s="17">
        <f>IF(AQ321&gt;0,'1 - Input'!$B$8/12*AQ321,0)</f>
        <v>0</v>
      </c>
      <c r="AS321" s="17">
        <f t="shared" si="293"/>
        <v>0</v>
      </c>
      <c r="AT321" s="17">
        <f t="shared" si="294"/>
        <v>0</v>
      </c>
      <c r="AU321" s="17">
        <f>'1 - Input'!$B$22*(AR321-AT321)</f>
        <v>0</v>
      </c>
      <c r="AV321" s="17">
        <f t="shared" si="295"/>
        <v>0</v>
      </c>
      <c r="AW321" s="17">
        <f t="shared" si="296"/>
        <v>0</v>
      </c>
      <c r="AX321" s="17">
        <f>IF('1 - Input'!$B$17=1,MAX(0,AV321-AN321),0)</f>
        <v>0</v>
      </c>
      <c r="AY321" s="17">
        <f>IF('1 - Input'!$B$17=1,MAX(0,AN321-AV321),0)</f>
        <v>4257.628013316772</v>
      </c>
      <c r="AZ321" s="17">
        <f t="shared" si="297"/>
        <v>0</v>
      </c>
      <c r="BA321" s="17">
        <f>IF(AND(AY321&gt;0,AS321&gt;0),AY321/(1-'1 - Input'!$B$22*AZ321),0)</f>
        <v>0</v>
      </c>
      <c r="BB321" s="17">
        <f t="shared" si="298"/>
        <v>0</v>
      </c>
      <c r="BC321" s="17">
        <f>'1 - Input'!$B$22*AZ321*BB321</f>
        <v>0</v>
      </c>
      <c r="BD321" s="17">
        <f t="shared" si="299"/>
        <v>0</v>
      </c>
      <c r="BE321" s="17">
        <f t="shared" si="300"/>
        <v>4257.628013316772</v>
      </c>
      <c r="BF321" s="17">
        <f t="shared" si="301"/>
        <v>0</v>
      </c>
      <c r="BG321" s="17">
        <f t="shared" si="302"/>
        <v>0</v>
      </c>
      <c r="BH321" s="17">
        <f t="shared" si="303"/>
        <v>0</v>
      </c>
      <c r="BI321" s="17">
        <f>IF(MOD(AK321,12)=0,BG321*'1 - Input'!$B$23,0)</f>
        <v>0</v>
      </c>
      <c r="BJ321" s="17">
        <f t="shared" si="304"/>
        <v>0</v>
      </c>
      <c r="BK321" s="17">
        <f>IF(MOD(AK321,12)=0,BH321*(1-'1 - Input'!$B$23),BH321)</f>
        <v>0</v>
      </c>
      <c r="BL321" s="17">
        <f>IF('1 - Input'!$B$17=1,MIN(AV321,AN321)+BD321,AV321)</f>
        <v>0</v>
      </c>
      <c r="BM321" s="17">
        <f t="shared" si="331"/>
        <v>590482.93849429931</v>
      </c>
      <c r="BN321" s="17">
        <f t="shared" si="332"/>
        <v>101441.90180685223</v>
      </c>
      <c r="BO321" s="17">
        <f t="shared" si="333"/>
        <v>0</v>
      </c>
      <c r="BP321" s="17">
        <f t="shared" si="334"/>
        <v>174289.24056370757</v>
      </c>
      <c r="BQ321" s="17">
        <f t="shared" si="335"/>
        <v>8123.5662772395826</v>
      </c>
      <c r="BR321" s="17">
        <f t="shared" si="336"/>
        <v>352609.12552239734</v>
      </c>
      <c r="BS321" s="15">
        <f t="shared" si="305"/>
        <v>1</v>
      </c>
      <c r="BU321" s="14">
        <v>278</v>
      </c>
      <c r="BV321" s="15">
        <f t="shared" si="306"/>
        <v>24</v>
      </c>
      <c r="BW321" s="16">
        <f>(1+INDEX('1 - Input'!$B$34:$E$63,BV321,'1 - Input'!$B$16))^(1/12)-1</f>
        <v>4.1219243192651689E-3</v>
      </c>
      <c r="BX321" s="17">
        <f>'1 - Input'!$B$7*(1+'1 - Input'!$B$12)^(BV321-1)</f>
        <v>4257.628013316772</v>
      </c>
      <c r="BY321" s="17">
        <f t="shared" si="337"/>
        <v>0</v>
      </c>
      <c r="BZ321" s="17">
        <f t="shared" si="338"/>
        <v>0</v>
      </c>
      <c r="CA321" s="17">
        <f t="shared" si="307"/>
        <v>0</v>
      </c>
      <c r="CB321" s="17">
        <f>IF(CA321&gt;0,'1 - Input'!$B$8/12*CA321,0)</f>
        <v>0</v>
      </c>
      <c r="CC321" s="17">
        <f t="shared" si="308"/>
        <v>0</v>
      </c>
      <c r="CD321" s="17">
        <f t="shared" si="309"/>
        <v>0</v>
      </c>
      <c r="CE321" s="17">
        <f>'1 - Input'!$B$22*(CB321-CD321)</f>
        <v>0</v>
      </c>
      <c r="CF321" s="17">
        <f t="shared" si="310"/>
        <v>0</v>
      </c>
      <c r="CG321" s="17">
        <f t="shared" si="311"/>
        <v>0</v>
      </c>
      <c r="CH321" s="17">
        <f>IF('1 - Input'!$B$17=1,MAX(0,CF321-BX321),0)</f>
        <v>0</v>
      </c>
      <c r="CI321" s="17">
        <f>IF('1 - Input'!$B$17=1,MAX(0,BX321-CF321),0)</f>
        <v>4257.628013316772</v>
      </c>
      <c r="CJ321" s="17">
        <f t="shared" si="312"/>
        <v>0</v>
      </c>
      <c r="CK321" s="17">
        <f>IF(AND(CI321&gt;0,CC321&gt;0),CI321/(1-'1 - Input'!$B$22*CJ321),0)</f>
        <v>0</v>
      </c>
      <c r="CL321" s="17">
        <f t="shared" si="313"/>
        <v>0</v>
      </c>
      <c r="CM321" s="17">
        <f>'1 - Input'!$B$22*CJ321*CL321</f>
        <v>0</v>
      </c>
      <c r="CN321" s="17">
        <f t="shared" si="314"/>
        <v>0</v>
      </c>
      <c r="CO321" s="17">
        <f t="shared" si="315"/>
        <v>4257.628013316772</v>
      </c>
      <c r="CP321" s="17">
        <f t="shared" si="316"/>
        <v>0</v>
      </c>
      <c r="CQ321" s="17">
        <f t="shared" si="317"/>
        <v>0</v>
      </c>
      <c r="CR321" s="17">
        <f t="shared" si="318"/>
        <v>0</v>
      </c>
      <c r="CS321" s="17">
        <f>IF(MOD(BU321,12)=0,CQ321*'1 - Input'!$B$23,0)</f>
        <v>0</v>
      </c>
      <c r="CT321" s="17">
        <f t="shared" si="319"/>
        <v>0</v>
      </c>
      <c r="CU321" s="17">
        <f>IF(MOD(BU321,12)=0,CR321*(1-'1 - Input'!$B$23),CR321)</f>
        <v>0</v>
      </c>
      <c r="CV321" s="17">
        <f>IF('1 - Input'!$B$17=1,MIN(CF321,BX321)+CN321,CF321)</f>
        <v>0</v>
      </c>
      <c r="CW321" s="17">
        <f t="shared" si="339"/>
        <v>686605.50041273201</v>
      </c>
      <c r="CX321" s="17">
        <f t="shared" si="340"/>
        <v>6018.3402768167462</v>
      </c>
      <c r="CY321" s="17">
        <f t="shared" si="341"/>
        <v>66518.776160328038</v>
      </c>
      <c r="CZ321" s="17">
        <f t="shared" si="342"/>
        <v>0</v>
      </c>
      <c r="DA321" s="17">
        <f t="shared" si="343"/>
        <v>10954.114452440983</v>
      </c>
      <c r="DB321" s="17">
        <f t="shared" si="344"/>
        <v>256486.56360396559</v>
      </c>
      <c r="DC321" s="15">
        <f t="shared" si="320"/>
        <v>1</v>
      </c>
    </row>
    <row r="322" spans="1:107">
      <c r="A322" s="14">
        <v>279</v>
      </c>
      <c r="B322" s="15">
        <f t="shared" si="276"/>
        <v>24</v>
      </c>
      <c r="C322" s="16">
        <f>(1+INDEX('1 - Input'!$B$34:$E$63,B322,'1 - Input'!$B$16))^(1/12)-1</f>
        <v>4.1219243192651689E-3</v>
      </c>
      <c r="D322" s="17">
        <f>'1 - Input'!$B$7*(1+'1 - Input'!$B$12)^(B322-1)</f>
        <v>4257.628013316772</v>
      </c>
      <c r="E322" s="17">
        <f t="shared" si="321"/>
        <v>0</v>
      </c>
      <c r="F322" s="17">
        <f t="shared" si="322"/>
        <v>0</v>
      </c>
      <c r="G322" s="17">
        <f t="shared" si="277"/>
        <v>0</v>
      </c>
      <c r="H322" s="17">
        <f>IF(G322&gt;0,'1 - Input'!$B$8/12*G322,0)</f>
        <v>0</v>
      </c>
      <c r="I322" s="17">
        <f t="shared" si="278"/>
        <v>0</v>
      </c>
      <c r="J322" s="17">
        <f t="shared" si="279"/>
        <v>0</v>
      </c>
      <c r="K322" s="17">
        <f>'1 - Input'!$B$22*(H322-J322)</f>
        <v>0</v>
      </c>
      <c r="L322" s="17">
        <f t="shared" si="280"/>
        <v>0</v>
      </c>
      <c r="M322" s="17">
        <f t="shared" si="281"/>
        <v>0</v>
      </c>
      <c r="N322" s="17">
        <f>IF('1 - Input'!$B$17=1,MAX(0,L322-D322),0)</f>
        <v>0</v>
      </c>
      <c r="O322" s="17">
        <f>IF('1 - Input'!$B$17=1,MAX(0,D322-L322),0)</f>
        <v>4257.628013316772</v>
      </c>
      <c r="P322" s="17">
        <f t="shared" si="282"/>
        <v>0</v>
      </c>
      <c r="Q322" s="17">
        <f>IF(AND(O322&gt;0,I322&gt;0),O322/(1-'1 - Input'!$B$22*P322),0)</f>
        <v>0</v>
      </c>
      <c r="R322" s="17">
        <f t="shared" si="283"/>
        <v>0</v>
      </c>
      <c r="S322" s="17">
        <f>'1 - Input'!$B$22*P322*R322</f>
        <v>0</v>
      </c>
      <c r="T322" s="17">
        <f t="shared" si="284"/>
        <v>0</v>
      </c>
      <c r="U322" s="17">
        <f t="shared" si="285"/>
        <v>4257.628013316772</v>
      </c>
      <c r="V322" s="17">
        <f t="shared" si="286"/>
        <v>0</v>
      </c>
      <c r="W322" s="17">
        <f t="shared" si="287"/>
        <v>0</v>
      </c>
      <c r="X322" s="17">
        <f t="shared" si="288"/>
        <v>0</v>
      </c>
      <c r="Y322" s="17">
        <f>IF(MOD(A322,12)=0,W322*'1 - Input'!$B$23,0)</f>
        <v>0</v>
      </c>
      <c r="Z322" s="17">
        <f t="shared" si="289"/>
        <v>0</v>
      </c>
      <c r="AA322" s="17">
        <f>IF(MOD(A322,12)=0,X322*(1-'1 - Input'!$B$23),X322)</f>
        <v>0</v>
      </c>
      <c r="AB322" s="17">
        <f>IF('1 - Input'!$B$17=1,MIN(L322,D322)+T322,L322)</f>
        <v>0</v>
      </c>
      <c r="AC322" s="17">
        <f t="shared" si="323"/>
        <v>590482.93849429931</v>
      </c>
      <c r="AD322" s="17">
        <f t="shared" si="324"/>
        <v>101441.90180685223</v>
      </c>
      <c r="AE322" s="17">
        <f t="shared" si="325"/>
        <v>0</v>
      </c>
      <c r="AF322" s="17">
        <f t="shared" si="326"/>
        <v>174289.24056370757</v>
      </c>
      <c r="AG322" s="17">
        <f t="shared" si="327"/>
        <v>8123.5662772395826</v>
      </c>
      <c r="AH322" s="17">
        <f t="shared" si="328"/>
        <v>356866.75353571412</v>
      </c>
      <c r="AI322" s="15">
        <f t="shared" si="290"/>
        <v>1</v>
      </c>
      <c r="AK322" s="14">
        <v>279</v>
      </c>
      <c r="AL322" s="15">
        <f t="shared" si="291"/>
        <v>24</v>
      </c>
      <c r="AM322" s="16">
        <f>(1+INDEX('1 - Input'!$B$34:$E$63,AL322,'1 - Input'!$B$16))^(1/12)-1</f>
        <v>4.1219243192651689E-3</v>
      </c>
      <c r="AN322" s="17">
        <f>'1 - Input'!$B$7*(1+'1 - Input'!$B$12)^(AL322-1)</f>
        <v>4257.628013316772</v>
      </c>
      <c r="AO322" s="17">
        <f t="shared" si="329"/>
        <v>0</v>
      </c>
      <c r="AP322" s="17">
        <f t="shared" si="330"/>
        <v>0</v>
      </c>
      <c r="AQ322" s="17">
        <f t="shared" si="292"/>
        <v>0</v>
      </c>
      <c r="AR322" s="17">
        <f>IF(AQ322&gt;0,'1 - Input'!$B$8/12*AQ322,0)</f>
        <v>0</v>
      </c>
      <c r="AS322" s="17">
        <f t="shared" si="293"/>
        <v>0</v>
      </c>
      <c r="AT322" s="17">
        <f t="shared" si="294"/>
        <v>0</v>
      </c>
      <c r="AU322" s="17">
        <f>'1 - Input'!$B$22*(AR322-AT322)</f>
        <v>0</v>
      </c>
      <c r="AV322" s="17">
        <f t="shared" si="295"/>
        <v>0</v>
      </c>
      <c r="AW322" s="17">
        <f t="shared" si="296"/>
        <v>0</v>
      </c>
      <c r="AX322" s="17">
        <f>IF('1 - Input'!$B$17=1,MAX(0,AV322-AN322),0)</f>
        <v>0</v>
      </c>
      <c r="AY322" s="17">
        <f>IF('1 - Input'!$B$17=1,MAX(0,AN322-AV322),0)</f>
        <v>4257.628013316772</v>
      </c>
      <c r="AZ322" s="17">
        <f t="shared" si="297"/>
        <v>0</v>
      </c>
      <c r="BA322" s="17">
        <f>IF(AND(AY322&gt;0,AS322&gt;0),AY322/(1-'1 - Input'!$B$22*AZ322),0)</f>
        <v>0</v>
      </c>
      <c r="BB322" s="17">
        <f t="shared" si="298"/>
        <v>0</v>
      </c>
      <c r="BC322" s="17">
        <f>'1 - Input'!$B$22*AZ322*BB322</f>
        <v>0</v>
      </c>
      <c r="BD322" s="17">
        <f t="shared" si="299"/>
        <v>0</v>
      </c>
      <c r="BE322" s="17">
        <f t="shared" si="300"/>
        <v>4257.628013316772</v>
      </c>
      <c r="BF322" s="17">
        <f t="shared" si="301"/>
        <v>0</v>
      </c>
      <c r="BG322" s="17">
        <f t="shared" si="302"/>
        <v>0</v>
      </c>
      <c r="BH322" s="17">
        <f t="shared" si="303"/>
        <v>0</v>
      </c>
      <c r="BI322" s="17">
        <f>IF(MOD(AK322,12)=0,BG322*'1 - Input'!$B$23,0)</f>
        <v>0</v>
      </c>
      <c r="BJ322" s="17">
        <f t="shared" si="304"/>
        <v>0</v>
      </c>
      <c r="BK322" s="17">
        <f>IF(MOD(AK322,12)=0,BH322*(1-'1 - Input'!$B$23),BH322)</f>
        <v>0</v>
      </c>
      <c r="BL322" s="17">
        <f>IF('1 - Input'!$B$17=1,MIN(AV322,AN322)+BD322,AV322)</f>
        <v>0</v>
      </c>
      <c r="BM322" s="17">
        <f t="shared" si="331"/>
        <v>590482.93849429931</v>
      </c>
      <c r="BN322" s="17">
        <f t="shared" si="332"/>
        <v>101441.90180685223</v>
      </c>
      <c r="BO322" s="17">
        <f t="shared" si="333"/>
        <v>0</v>
      </c>
      <c r="BP322" s="17">
        <f t="shared" si="334"/>
        <v>174289.24056370757</v>
      </c>
      <c r="BQ322" s="17">
        <f t="shared" si="335"/>
        <v>8123.5662772395826</v>
      </c>
      <c r="BR322" s="17">
        <f t="shared" si="336"/>
        <v>356866.75353571412</v>
      </c>
      <c r="BS322" s="15">
        <f t="shared" si="305"/>
        <v>1</v>
      </c>
      <c r="BU322" s="14">
        <v>279</v>
      </c>
      <c r="BV322" s="15">
        <f t="shared" si="306"/>
        <v>24</v>
      </c>
      <c r="BW322" s="16">
        <f>(1+INDEX('1 - Input'!$B$34:$E$63,BV322,'1 - Input'!$B$16))^(1/12)-1</f>
        <v>4.1219243192651689E-3</v>
      </c>
      <c r="BX322" s="17">
        <f>'1 - Input'!$B$7*(1+'1 - Input'!$B$12)^(BV322-1)</f>
        <v>4257.628013316772</v>
      </c>
      <c r="BY322" s="17">
        <f t="shared" si="337"/>
        <v>0</v>
      </c>
      <c r="BZ322" s="17">
        <f t="shared" si="338"/>
        <v>0</v>
      </c>
      <c r="CA322" s="17">
        <f t="shared" si="307"/>
        <v>0</v>
      </c>
      <c r="CB322" s="17">
        <f>IF(CA322&gt;0,'1 - Input'!$B$8/12*CA322,0)</f>
        <v>0</v>
      </c>
      <c r="CC322" s="17">
        <f t="shared" si="308"/>
        <v>0</v>
      </c>
      <c r="CD322" s="17">
        <f t="shared" si="309"/>
        <v>0</v>
      </c>
      <c r="CE322" s="17">
        <f>'1 - Input'!$B$22*(CB322-CD322)</f>
        <v>0</v>
      </c>
      <c r="CF322" s="17">
        <f t="shared" si="310"/>
        <v>0</v>
      </c>
      <c r="CG322" s="17">
        <f t="shared" si="311"/>
        <v>0</v>
      </c>
      <c r="CH322" s="17">
        <f>IF('1 - Input'!$B$17=1,MAX(0,CF322-BX322),0)</f>
        <v>0</v>
      </c>
      <c r="CI322" s="17">
        <f>IF('1 - Input'!$B$17=1,MAX(0,BX322-CF322),0)</f>
        <v>4257.628013316772</v>
      </c>
      <c r="CJ322" s="17">
        <f t="shared" si="312"/>
        <v>0</v>
      </c>
      <c r="CK322" s="17">
        <f>IF(AND(CI322&gt;0,CC322&gt;0),CI322/(1-'1 - Input'!$B$22*CJ322),0)</f>
        <v>0</v>
      </c>
      <c r="CL322" s="17">
        <f t="shared" si="313"/>
        <v>0</v>
      </c>
      <c r="CM322" s="17">
        <f>'1 - Input'!$B$22*CJ322*CL322</f>
        <v>0</v>
      </c>
      <c r="CN322" s="17">
        <f t="shared" si="314"/>
        <v>0</v>
      </c>
      <c r="CO322" s="17">
        <f t="shared" si="315"/>
        <v>4257.628013316772</v>
      </c>
      <c r="CP322" s="17">
        <f t="shared" si="316"/>
        <v>0</v>
      </c>
      <c r="CQ322" s="17">
        <f t="shared" si="317"/>
        <v>0</v>
      </c>
      <c r="CR322" s="17">
        <f t="shared" si="318"/>
        <v>0</v>
      </c>
      <c r="CS322" s="17">
        <f>IF(MOD(BU322,12)=0,CQ322*'1 - Input'!$B$23,0)</f>
        <v>0</v>
      </c>
      <c r="CT322" s="17">
        <f t="shared" si="319"/>
        <v>0</v>
      </c>
      <c r="CU322" s="17">
        <f>IF(MOD(BU322,12)=0,CR322*(1-'1 - Input'!$B$23),CR322)</f>
        <v>0</v>
      </c>
      <c r="CV322" s="17">
        <f>IF('1 - Input'!$B$17=1,MIN(CF322,BX322)+CN322,CF322)</f>
        <v>0</v>
      </c>
      <c r="CW322" s="17">
        <f t="shared" si="339"/>
        <v>686605.50041273201</v>
      </c>
      <c r="CX322" s="17">
        <f t="shared" si="340"/>
        <v>6018.3402768167462</v>
      </c>
      <c r="CY322" s="17">
        <f t="shared" si="341"/>
        <v>66518.776160328038</v>
      </c>
      <c r="CZ322" s="17">
        <f t="shared" si="342"/>
        <v>0</v>
      </c>
      <c r="DA322" s="17">
        <f t="shared" si="343"/>
        <v>10954.114452440983</v>
      </c>
      <c r="DB322" s="17">
        <f t="shared" si="344"/>
        <v>260744.19161728237</v>
      </c>
      <c r="DC322" s="15">
        <f t="shared" si="320"/>
        <v>1</v>
      </c>
    </row>
    <row r="323" spans="1:107">
      <c r="A323" s="14">
        <v>280</v>
      </c>
      <c r="B323" s="15">
        <f t="shared" si="276"/>
        <v>24</v>
      </c>
      <c r="C323" s="16">
        <f>(1+INDEX('1 - Input'!$B$34:$E$63,B323,'1 - Input'!$B$16))^(1/12)-1</f>
        <v>4.1219243192651689E-3</v>
      </c>
      <c r="D323" s="17">
        <f>'1 - Input'!$B$7*(1+'1 - Input'!$B$12)^(B323-1)</f>
        <v>4257.628013316772</v>
      </c>
      <c r="E323" s="17">
        <f t="shared" si="321"/>
        <v>0</v>
      </c>
      <c r="F323" s="17">
        <f t="shared" si="322"/>
        <v>0</v>
      </c>
      <c r="G323" s="17">
        <f t="shared" si="277"/>
        <v>0</v>
      </c>
      <c r="H323" s="17">
        <f>IF(G323&gt;0,'1 - Input'!$B$8/12*G323,0)</f>
        <v>0</v>
      </c>
      <c r="I323" s="17">
        <f t="shared" si="278"/>
        <v>0</v>
      </c>
      <c r="J323" s="17">
        <f t="shared" si="279"/>
        <v>0</v>
      </c>
      <c r="K323" s="17">
        <f>'1 - Input'!$B$22*(H323-J323)</f>
        <v>0</v>
      </c>
      <c r="L323" s="17">
        <f t="shared" si="280"/>
        <v>0</v>
      </c>
      <c r="M323" s="17">
        <f t="shared" si="281"/>
        <v>0</v>
      </c>
      <c r="N323" s="17">
        <f>IF('1 - Input'!$B$17=1,MAX(0,L323-D323),0)</f>
        <v>0</v>
      </c>
      <c r="O323" s="17">
        <f>IF('1 - Input'!$B$17=1,MAX(0,D323-L323),0)</f>
        <v>4257.628013316772</v>
      </c>
      <c r="P323" s="17">
        <f t="shared" si="282"/>
        <v>0</v>
      </c>
      <c r="Q323" s="17">
        <f>IF(AND(O323&gt;0,I323&gt;0),O323/(1-'1 - Input'!$B$22*P323),0)</f>
        <v>0</v>
      </c>
      <c r="R323" s="17">
        <f t="shared" si="283"/>
        <v>0</v>
      </c>
      <c r="S323" s="17">
        <f>'1 - Input'!$B$22*P323*R323</f>
        <v>0</v>
      </c>
      <c r="T323" s="17">
        <f t="shared" si="284"/>
        <v>0</v>
      </c>
      <c r="U323" s="17">
        <f t="shared" si="285"/>
        <v>4257.628013316772</v>
      </c>
      <c r="V323" s="17">
        <f t="shared" si="286"/>
        <v>0</v>
      </c>
      <c r="W323" s="17">
        <f t="shared" si="287"/>
        <v>0</v>
      </c>
      <c r="X323" s="17">
        <f t="shared" si="288"/>
        <v>0</v>
      </c>
      <c r="Y323" s="17">
        <f>IF(MOD(A323,12)=0,W323*'1 - Input'!$B$23,0)</f>
        <v>0</v>
      </c>
      <c r="Z323" s="17">
        <f t="shared" si="289"/>
        <v>0</v>
      </c>
      <c r="AA323" s="17">
        <f>IF(MOD(A323,12)=0,X323*(1-'1 - Input'!$B$23),X323)</f>
        <v>0</v>
      </c>
      <c r="AB323" s="17">
        <f>IF('1 - Input'!$B$17=1,MIN(L323,D323)+T323,L323)</f>
        <v>0</v>
      </c>
      <c r="AC323" s="17">
        <f t="shared" si="323"/>
        <v>590482.93849429931</v>
      </c>
      <c r="AD323" s="17">
        <f t="shared" si="324"/>
        <v>101441.90180685223</v>
      </c>
      <c r="AE323" s="17">
        <f t="shared" si="325"/>
        <v>0</v>
      </c>
      <c r="AF323" s="17">
        <f t="shared" si="326"/>
        <v>174289.24056370757</v>
      </c>
      <c r="AG323" s="17">
        <f t="shared" si="327"/>
        <v>8123.5662772395826</v>
      </c>
      <c r="AH323" s="17">
        <f t="shared" si="328"/>
        <v>361124.38154903089</v>
      </c>
      <c r="AI323" s="15">
        <f t="shared" si="290"/>
        <v>1</v>
      </c>
      <c r="AK323" s="14">
        <v>280</v>
      </c>
      <c r="AL323" s="15">
        <f t="shared" si="291"/>
        <v>24</v>
      </c>
      <c r="AM323" s="16">
        <f>(1+INDEX('1 - Input'!$B$34:$E$63,AL323,'1 - Input'!$B$16))^(1/12)-1</f>
        <v>4.1219243192651689E-3</v>
      </c>
      <c r="AN323" s="17">
        <f>'1 - Input'!$B$7*(1+'1 - Input'!$B$12)^(AL323-1)</f>
        <v>4257.628013316772</v>
      </c>
      <c r="AO323" s="17">
        <f t="shared" si="329"/>
        <v>0</v>
      </c>
      <c r="AP323" s="17">
        <f t="shared" si="330"/>
        <v>0</v>
      </c>
      <c r="AQ323" s="17">
        <f t="shared" si="292"/>
        <v>0</v>
      </c>
      <c r="AR323" s="17">
        <f>IF(AQ323&gt;0,'1 - Input'!$B$8/12*AQ323,0)</f>
        <v>0</v>
      </c>
      <c r="AS323" s="17">
        <f t="shared" si="293"/>
        <v>0</v>
      </c>
      <c r="AT323" s="17">
        <f t="shared" si="294"/>
        <v>0</v>
      </c>
      <c r="AU323" s="17">
        <f>'1 - Input'!$B$22*(AR323-AT323)</f>
        <v>0</v>
      </c>
      <c r="AV323" s="17">
        <f t="shared" si="295"/>
        <v>0</v>
      </c>
      <c r="AW323" s="17">
        <f t="shared" si="296"/>
        <v>0</v>
      </c>
      <c r="AX323" s="17">
        <f>IF('1 - Input'!$B$17=1,MAX(0,AV323-AN323),0)</f>
        <v>0</v>
      </c>
      <c r="AY323" s="17">
        <f>IF('1 - Input'!$B$17=1,MAX(0,AN323-AV323),0)</f>
        <v>4257.628013316772</v>
      </c>
      <c r="AZ323" s="17">
        <f t="shared" si="297"/>
        <v>0</v>
      </c>
      <c r="BA323" s="17">
        <f>IF(AND(AY323&gt;0,AS323&gt;0),AY323/(1-'1 - Input'!$B$22*AZ323),0)</f>
        <v>0</v>
      </c>
      <c r="BB323" s="17">
        <f t="shared" si="298"/>
        <v>0</v>
      </c>
      <c r="BC323" s="17">
        <f>'1 - Input'!$B$22*AZ323*BB323</f>
        <v>0</v>
      </c>
      <c r="BD323" s="17">
        <f t="shared" si="299"/>
        <v>0</v>
      </c>
      <c r="BE323" s="17">
        <f t="shared" si="300"/>
        <v>4257.628013316772</v>
      </c>
      <c r="BF323" s="17">
        <f t="shared" si="301"/>
        <v>0</v>
      </c>
      <c r="BG323" s="17">
        <f t="shared" si="302"/>
        <v>0</v>
      </c>
      <c r="BH323" s="17">
        <f t="shared" si="303"/>
        <v>0</v>
      </c>
      <c r="BI323" s="17">
        <f>IF(MOD(AK323,12)=0,BG323*'1 - Input'!$B$23,0)</f>
        <v>0</v>
      </c>
      <c r="BJ323" s="17">
        <f t="shared" si="304"/>
        <v>0</v>
      </c>
      <c r="BK323" s="17">
        <f>IF(MOD(AK323,12)=0,BH323*(1-'1 - Input'!$B$23),BH323)</f>
        <v>0</v>
      </c>
      <c r="BL323" s="17">
        <f>IF('1 - Input'!$B$17=1,MIN(AV323,AN323)+BD323,AV323)</f>
        <v>0</v>
      </c>
      <c r="BM323" s="17">
        <f t="shared" si="331"/>
        <v>590482.93849429931</v>
      </c>
      <c r="BN323" s="17">
        <f t="shared" si="332"/>
        <v>101441.90180685223</v>
      </c>
      <c r="BO323" s="17">
        <f t="shared" si="333"/>
        <v>0</v>
      </c>
      <c r="BP323" s="17">
        <f t="shared" si="334"/>
        <v>174289.24056370757</v>
      </c>
      <c r="BQ323" s="17">
        <f t="shared" si="335"/>
        <v>8123.5662772395826</v>
      </c>
      <c r="BR323" s="17">
        <f t="shared" si="336"/>
        <v>361124.38154903089</v>
      </c>
      <c r="BS323" s="15">
        <f t="shared" si="305"/>
        <v>1</v>
      </c>
      <c r="BU323" s="14">
        <v>280</v>
      </c>
      <c r="BV323" s="15">
        <f t="shared" si="306"/>
        <v>24</v>
      </c>
      <c r="BW323" s="16">
        <f>(1+INDEX('1 - Input'!$B$34:$E$63,BV323,'1 - Input'!$B$16))^(1/12)-1</f>
        <v>4.1219243192651689E-3</v>
      </c>
      <c r="BX323" s="17">
        <f>'1 - Input'!$B$7*(1+'1 - Input'!$B$12)^(BV323-1)</f>
        <v>4257.628013316772</v>
      </c>
      <c r="BY323" s="17">
        <f t="shared" si="337"/>
        <v>0</v>
      </c>
      <c r="BZ323" s="17">
        <f t="shared" si="338"/>
        <v>0</v>
      </c>
      <c r="CA323" s="17">
        <f t="shared" si="307"/>
        <v>0</v>
      </c>
      <c r="CB323" s="17">
        <f>IF(CA323&gt;0,'1 - Input'!$B$8/12*CA323,0)</f>
        <v>0</v>
      </c>
      <c r="CC323" s="17">
        <f t="shared" si="308"/>
        <v>0</v>
      </c>
      <c r="CD323" s="17">
        <f t="shared" si="309"/>
        <v>0</v>
      </c>
      <c r="CE323" s="17">
        <f>'1 - Input'!$B$22*(CB323-CD323)</f>
        <v>0</v>
      </c>
      <c r="CF323" s="17">
        <f t="shared" si="310"/>
        <v>0</v>
      </c>
      <c r="CG323" s="17">
        <f t="shared" si="311"/>
        <v>0</v>
      </c>
      <c r="CH323" s="17">
        <f>IF('1 - Input'!$B$17=1,MAX(0,CF323-BX323),0)</f>
        <v>0</v>
      </c>
      <c r="CI323" s="17">
        <f>IF('1 - Input'!$B$17=1,MAX(0,BX323-CF323),0)</f>
        <v>4257.628013316772</v>
      </c>
      <c r="CJ323" s="17">
        <f t="shared" si="312"/>
        <v>0</v>
      </c>
      <c r="CK323" s="17">
        <f>IF(AND(CI323&gt;0,CC323&gt;0),CI323/(1-'1 - Input'!$B$22*CJ323),0)</f>
        <v>0</v>
      </c>
      <c r="CL323" s="17">
        <f t="shared" si="313"/>
        <v>0</v>
      </c>
      <c r="CM323" s="17">
        <f>'1 - Input'!$B$22*CJ323*CL323</f>
        <v>0</v>
      </c>
      <c r="CN323" s="17">
        <f t="shared" si="314"/>
        <v>0</v>
      </c>
      <c r="CO323" s="17">
        <f t="shared" si="315"/>
        <v>4257.628013316772</v>
      </c>
      <c r="CP323" s="17">
        <f t="shared" si="316"/>
        <v>0</v>
      </c>
      <c r="CQ323" s="17">
        <f t="shared" si="317"/>
        <v>0</v>
      </c>
      <c r="CR323" s="17">
        <f t="shared" si="318"/>
        <v>0</v>
      </c>
      <c r="CS323" s="17">
        <f>IF(MOD(BU323,12)=0,CQ323*'1 - Input'!$B$23,0)</f>
        <v>0</v>
      </c>
      <c r="CT323" s="17">
        <f t="shared" si="319"/>
        <v>0</v>
      </c>
      <c r="CU323" s="17">
        <f>IF(MOD(BU323,12)=0,CR323*(1-'1 - Input'!$B$23),CR323)</f>
        <v>0</v>
      </c>
      <c r="CV323" s="17">
        <f>IF('1 - Input'!$B$17=1,MIN(CF323,BX323)+CN323,CF323)</f>
        <v>0</v>
      </c>
      <c r="CW323" s="17">
        <f t="shared" si="339"/>
        <v>686605.50041273201</v>
      </c>
      <c r="CX323" s="17">
        <f t="shared" si="340"/>
        <v>6018.3402768167462</v>
      </c>
      <c r="CY323" s="17">
        <f t="shared" si="341"/>
        <v>66518.776160328038</v>
      </c>
      <c r="CZ323" s="17">
        <f t="shared" si="342"/>
        <v>0</v>
      </c>
      <c r="DA323" s="17">
        <f t="shared" si="343"/>
        <v>10954.114452440983</v>
      </c>
      <c r="DB323" s="17">
        <f t="shared" si="344"/>
        <v>265001.81963059912</v>
      </c>
      <c r="DC323" s="15">
        <f t="shared" si="320"/>
        <v>1</v>
      </c>
    </row>
    <row r="324" spans="1:107">
      <c r="A324" s="14">
        <v>281</v>
      </c>
      <c r="B324" s="15">
        <f t="shared" si="276"/>
        <v>24</v>
      </c>
      <c r="C324" s="16">
        <f>(1+INDEX('1 - Input'!$B$34:$E$63,B324,'1 - Input'!$B$16))^(1/12)-1</f>
        <v>4.1219243192651689E-3</v>
      </c>
      <c r="D324" s="17">
        <f>'1 - Input'!$B$7*(1+'1 - Input'!$B$12)^(B324-1)</f>
        <v>4257.628013316772</v>
      </c>
      <c r="E324" s="17">
        <f t="shared" si="321"/>
        <v>0</v>
      </c>
      <c r="F324" s="17">
        <f t="shared" si="322"/>
        <v>0</v>
      </c>
      <c r="G324" s="17">
        <f t="shared" si="277"/>
        <v>0</v>
      </c>
      <c r="H324" s="17">
        <f>IF(G324&gt;0,'1 - Input'!$B$8/12*G324,0)</f>
        <v>0</v>
      </c>
      <c r="I324" s="17">
        <f t="shared" si="278"/>
        <v>0</v>
      </c>
      <c r="J324" s="17">
        <f t="shared" si="279"/>
        <v>0</v>
      </c>
      <c r="K324" s="17">
        <f>'1 - Input'!$B$22*(H324-J324)</f>
        <v>0</v>
      </c>
      <c r="L324" s="17">
        <f t="shared" si="280"/>
        <v>0</v>
      </c>
      <c r="M324" s="17">
        <f t="shared" si="281"/>
        <v>0</v>
      </c>
      <c r="N324" s="17">
        <f>IF('1 - Input'!$B$17=1,MAX(0,L324-D324),0)</f>
        <v>0</v>
      </c>
      <c r="O324" s="17">
        <f>IF('1 - Input'!$B$17=1,MAX(0,D324-L324),0)</f>
        <v>4257.628013316772</v>
      </c>
      <c r="P324" s="17">
        <f t="shared" si="282"/>
        <v>0</v>
      </c>
      <c r="Q324" s="17">
        <f>IF(AND(O324&gt;0,I324&gt;0),O324/(1-'1 - Input'!$B$22*P324),0)</f>
        <v>0</v>
      </c>
      <c r="R324" s="17">
        <f t="shared" si="283"/>
        <v>0</v>
      </c>
      <c r="S324" s="17">
        <f>'1 - Input'!$B$22*P324*R324</f>
        <v>0</v>
      </c>
      <c r="T324" s="17">
        <f t="shared" si="284"/>
        <v>0</v>
      </c>
      <c r="U324" s="17">
        <f t="shared" si="285"/>
        <v>4257.628013316772</v>
      </c>
      <c r="V324" s="17">
        <f t="shared" si="286"/>
        <v>0</v>
      </c>
      <c r="W324" s="17">
        <f t="shared" si="287"/>
        <v>0</v>
      </c>
      <c r="X324" s="17">
        <f t="shared" si="288"/>
        <v>0</v>
      </c>
      <c r="Y324" s="17">
        <f>IF(MOD(A324,12)=0,W324*'1 - Input'!$B$23,0)</f>
        <v>0</v>
      </c>
      <c r="Z324" s="17">
        <f t="shared" si="289"/>
        <v>0</v>
      </c>
      <c r="AA324" s="17">
        <f>IF(MOD(A324,12)=0,X324*(1-'1 - Input'!$B$23),X324)</f>
        <v>0</v>
      </c>
      <c r="AB324" s="17">
        <f>IF('1 - Input'!$B$17=1,MIN(L324,D324)+T324,L324)</f>
        <v>0</v>
      </c>
      <c r="AC324" s="17">
        <f t="shared" si="323"/>
        <v>590482.93849429931</v>
      </c>
      <c r="AD324" s="17">
        <f t="shared" si="324"/>
        <v>101441.90180685223</v>
      </c>
      <c r="AE324" s="17">
        <f t="shared" si="325"/>
        <v>0</v>
      </c>
      <c r="AF324" s="17">
        <f t="shared" si="326"/>
        <v>174289.24056370757</v>
      </c>
      <c r="AG324" s="17">
        <f t="shared" si="327"/>
        <v>8123.5662772395826</v>
      </c>
      <c r="AH324" s="17">
        <f t="shared" si="328"/>
        <v>365382.00956234767</v>
      </c>
      <c r="AI324" s="15">
        <f t="shared" si="290"/>
        <v>1</v>
      </c>
      <c r="AK324" s="14">
        <v>281</v>
      </c>
      <c r="AL324" s="15">
        <f t="shared" si="291"/>
        <v>24</v>
      </c>
      <c r="AM324" s="16">
        <f>(1+INDEX('1 - Input'!$B$34:$E$63,AL324,'1 - Input'!$B$16))^(1/12)-1</f>
        <v>4.1219243192651689E-3</v>
      </c>
      <c r="AN324" s="17">
        <f>'1 - Input'!$B$7*(1+'1 - Input'!$B$12)^(AL324-1)</f>
        <v>4257.628013316772</v>
      </c>
      <c r="AO324" s="17">
        <f t="shared" si="329"/>
        <v>0</v>
      </c>
      <c r="AP324" s="17">
        <f t="shared" si="330"/>
        <v>0</v>
      </c>
      <c r="AQ324" s="17">
        <f t="shared" si="292"/>
        <v>0</v>
      </c>
      <c r="AR324" s="17">
        <f>IF(AQ324&gt;0,'1 - Input'!$B$8/12*AQ324,0)</f>
        <v>0</v>
      </c>
      <c r="AS324" s="17">
        <f t="shared" si="293"/>
        <v>0</v>
      </c>
      <c r="AT324" s="17">
        <f t="shared" si="294"/>
        <v>0</v>
      </c>
      <c r="AU324" s="17">
        <f>'1 - Input'!$B$22*(AR324-AT324)</f>
        <v>0</v>
      </c>
      <c r="AV324" s="17">
        <f t="shared" si="295"/>
        <v>0</v>
      </c>
      <c r="AW324" s="17">
        <f t="shared" si="296"/>
        <v>0</v>
      </c>
      <c r="AX324" s="17">
        <f>IF('1 - Input'!$B$17=1,MAX(0,AV324-AN324),0)</f>
        <v>0</v>
      </c>
      <c r="AY324" s="17">
        <f>IF('1 - Input'!$B$17=1,MAX(0,AN324-AV324),0)</f>
        <v>4257.628013316772</v>
      </c>
      <c r="AZ324" s="17">
        <f t="shared" si="297"/>
        <v>0</v>
      </c>
      <c r="BA324" s="17">
        <f>IF(AND(AY324&gt;0,AS324&gt;0),AY324/(1-'1 - Input'!$B$22*AZ324),0)</f>
        <v>0</v>
      </c>
      <c r="BB324" s="17">
        <f t="shared" si="298"/>
        <v>0</v>
      </c>
      <c r="BC324" s="17">
        <f>'1 - Input'!$B$22*AZ324*BB324</f>
        <v>0</v>
      </c>
      <c r="BD324" s="17">
        <f t="shared" si="299"/>
        <v>0</v>
      </c>
      <c r="BE324" s="17">
        <f t="shared" si="300"/>
        <v>4257.628013316772</v>
      </c>
      <c r="BF324" s="17">
        <f t="shared" si="301"/>
        <v>0</v>
      </c>
      <c r="BG324" s="17">
        <f t="shared" si="302"/>
        <v>0</v>
      </c>
      <c r="BH324" s="17">
        <f t="shared" si="303"/>
        <v>0</v>
      </c>
      <c r="BI324" s="17">
        <f>IF(MOD(AK324,12)=0,BG324*'1 - Input'!$B$23,0)</f>
        <v>0</v>
      </c>
      <c r="BJ324" s="17">
        <f t="shared" si="304"/>
        <v>0</v>
      </c>
      <c r="BK324" s="17">
        <f>IF(MOD(AK324,12)=0,BH324*(1-'1 - Input'!$B$23),BH324)</f>
        <v>0</v>
      </c>
      <c r="BL324" s="17">
        <f>IF('1 - Input'!$B$17=1,MIN(AV324,AN324)+BD324,AV324)</f>
        <v>0</v>
      </c>
      <c r="BM324" s="17">
        <f t="shared" si="331"/>
        <v>590482.93849429931</v>
      </c>
      <c r="BN324" s="17">
        <f t="shared" si="332"/>
        <v>101441.90180685223</v>
      </c>
      <c r="BO324" s="17">
        <f t="shared" si="333"/>
        <v>0</v>
      </c>
      <c r="BP324" s="17">
        <f t="shared" si="334"/>
        <v>174289.24056370757</v>
      </c>
      <c r="BQ324" s="17">
        <f t="shared" si="335"/>
        <v>8123.5662772395826</v>
      </c>
      <c r="BR324" s="17">
        <f t="shared" si="336"/>
        <v>365382.00956234767</v>
      </c>
      <c r="BS324" s="15">
        <f t="shared" si="305"/>
        <v>1</v>
      </c>
      <c r="BU324" s="14">
        <v>281</v>
      </c>
      <c r="BV324" s="15">
        <f t="shared" si="306"/>
        <v>24</v>
      </c>
      <c r="BW324" s="16">
        <f>(1+INDEX('1 - Input'!$B$34:$E$63,BV324,'1 - Input'!$B$16))^(1/12)-1</f>
        <v>4.1219243192651689E-3</v>
      </c>
      <c r="BX324" s="17">
        <f>'1 - Input'!$B$7*(1+'1 - Input'!$B$12)^(BV324-1)</f>
        <v>4257.628013316772</v>
      </c>
      <c r="BY324" s="17">
        <f t="shared" si="337"/>
        <v>0</v>
      </c>
      <c r="BZ324" s="17">
        <f t="shared" si="338"/>
        <v>0</v>
      </c>
      <c r="CA324" s="17">
        <f t="shared" si="307"/>
        <v>0</v>
      </c>
      <c r="CB324" s="17">
        <f>IF(CA324&gt;0,'1 - Input'!$B$8/12*CA324,0)</f>
        <v>0</v>
      </c>
      <c r="CC324" s="17">
        <f t="shared" si="308"/>
        <v>0</v>
      </c>
      <c r="CD324" s="17">
        <f t="shared" si="309"/>
        <v>0</v>
      </c>
      <c r="CE324" s="17">
        <f>'1 - Input'!$B$22*(CB324-CD324)</f>
        <v>0</v>
      </c>
      <c r="CF324" s="17">
        <f t="shared" si="310"/>
        <v>0</v>
      </c>
      <c r="CG324" s="17">
        <f t="shared" si="311"/>
        <v>0</v>
      </c>
      <c r="CH324" s="17">
        <f>IF('1 - Input'!$B$17=1,MAX(0,CF324-BX324),0)</f>
        <v>0</v>
      </c>
      <c r="CI324" s="17">
        <f>IF('1 - Input'!$B$17=1,MAX(0,BX324-CF324),0)</f>
        <v>4257.628013316772</v>
      </c>
      <c r="CJ324" s="17">
        <f t="shared" si="312"/>
        <v>0</v>
      </c>
      <c r="CK324" s="17">
        <f>IF(AND(CI324&gt;0,CC324&gt;0),CI324/(1-'1 - Input'!$B$22*CJ324),0)</f>
        <v>0</v>
      </c>
      <c r="CL324" s="17">
        <f t="shared" si="313"/>
        <v>0</v>
      </c>
      <c r="CM324" s="17">
        <f>'1 - Input'!$B$22*CJ324*CL324</f>
        <v>0</v>
      </c>
      <c r="CN324" s="17">
        <f t="shared" si="314"/>
        <v>0</v>
      </c>
      <c r="CO324" s="17">
        <f t="shared" si="315"/>
        <v>4257.628013316772</v>
      </c>
      <c r="CP324" s="17">
        <f t="shared" si="316"/>
        <v>0</v>
      </c>
      <c r="CQ324" s="17">
        <f t="shared" si="317"/>
        <v>0</v>
      </c>
      <c r="CR324" s="17">
        <f t="shared" si="318"/>
        <v>0</v>
      </c>
      <c r="CS324" s="17">
        <f>IF(MOD(BU324,12)=0,CQ324*'1 - Input'!$B$23,0)</f>
        <v>0</v>
      </c>
      <c r="CT324" s="17">
        <f t="shared" si="319"/>
        <v>0</v>
      </c>
      <c r="CU324" s="17">
        <f>IF(MOD(BU324,12)=0,CR324*(1-'1 - Input'!$B$23),CR324)</f>
        <v>0</v>
      </c>
      <c r="CV324" s="17">
        <f>IF('1 - Input'!$B$17=1,MIN(CF324,BX324)+CN324,CF324)</f>
        <v>0</v>
      </c>
      <c r="CW324" s="17">
        <f t="shared" si="339"/>
        <v>686605.50041273201</v>
      </c>
      <c r="CX324" s="17">
        <f t="shared" si="340"/>
        <v>6018.3402768167462</v>
      </c>
      <c r="CY324" s="17">
        <f t="shared" si="341"/>
        <v>66518.776160328038</v>
      </c>
      <c r="CZ324" s="17">
        <f t="shared" si="342"/>
        <v>0</v>
      </c>
      <c r="DA324" s="17">
        <f t="shared" si="343"/>
        <v>10954.114452440983</v>
      </c>
      <c r="DB324" s="17">
        <f t="shared" si="344"/>
        <v>269259.44764391589</v>
      </c>
      <c r="DC324" s="15">
        <f t="shared" si="320"/>
        <v>1</v>
      </c>
    </row>
    <row r="325" spans="1:107">
      <c r="A325" s="14">
        <v>282</v>
      </c>
      <c r="B325" s="15">
        <f t="shared" si="276"/>
        <v>24</v>
      </c>
      <c r="C325" s="16">
        <f>(1+INDEX('1 - Input'!$B$34:$E$63,B325,'1 - Input'!$B$16))^(1/12)-1</f>
        <v>4.1219243192651689E-3</v>
      </c>
      <c r="D325" s="17">
        <f>'1 - Input'!$B$7*(1+'1 - Input'!$B$12)^(B325-1)</f>
        <v>4257.628013316772</v>
      </c>
      <c r="E325" s="17">
        <f t="shared" si="321"/>
        <v>0</v>
      </c>
      <c r="F325" s="17">
        <f t="shared" si="322"/>
        <v>0</v>
      </c>
      <c r="G325" s="17">
        <f t="shared" si="277"/>
        <v>0</v>
      </c>
      <c r="H325" s="17">
        <f>IF(G325&gt;0,'1 - Input'!$B$8/12*G325,0)</f>
        <v>0</v>
      </c>
      <c r="I325" s="17">
        <f t="shared" si="278"/>
        <v>0</v>
      </c>
      <c r="J325" s="17">
        <f t="shared" si="279"/>
        <v>0</v>
      </c>
      <c r="K325" s="17">
        <f>'1 - Input'!$B$22*(H325-J325)</f>
        <v>0</v>
      </c>
      <c r="L325" s="17">
        <f t="shared" si="280"/>
        <v>0</v>
      </c>
      <c r="M325" s="17">
        <f t="shared" si="281"/>
        <v>0</v>
      </c>
      <c r="N325" s="17">
        <f>IF('1 - Input'!$B$17=1,MAX(0,L325-D325),0)</f>
        <v>0</v>
      </c>
      <c r="O325" s="17">
        <f>IF('1 - Input'!$B$17=1,MAX(0,D325-L325),0)</f>
        <v>4257.628013316772</v>
      </c>
      <c r="P325" s="17">
        <f t="shared" si="282"/>
        <v>0</v>
      </c>
      <c r="Q325" s="17">
        <f>IF(AND(O325&gt;0,I325&gt;0),O325/(1-'1 - Input'!$B$22*P325),0)</f>
        <v>0</v>
      </c>
      <c r="R325" s="17">
        <f t="shared" si="283"/>
        <v>0</v>
      </c>
      <c r="S325" s="17">
        <f>'1 - Input'!$B$22*P325*R325</f>
        <v>0</v>
      </c>
      <c r="T325" s="17">
        <f t="shared" si="284"/>
        <v>0</v>
      </c>
      <c r="U325" s="17">
        <f t="shared" si="285"/>
        <v>4257.628013316772</v>
      </c>
      <c r="V325" s="17">
        <f t="shared" si="286"/>
        <v>0</v>
      </c>
      <c r="W325" s="17">
        <f t="shared" si="287"/>
        <v>0</v>
      </c>
      <c r="X325" s="17">
        <f t="shared" si="288"/>
        <v>0</v>
      </c>
      <c r="Y325" s="17">
        <f>IF(MOD(A325,12)=0,W325*'1 - Input'!$B$23,0)</f>
        <v>0</v>
      </c>
      <c r="Z325" s="17">
        <f t="shared" si="289"/>
        <v>0</v>
      </c>
      <c r="AA325" s="17">
        <f>IF(MOD(A325,12)=0,X325*(1-'1 - Input'!$B$23),X325)</f>
        <v>0</v>
      </c>
      <c r="AB325" s="17">
        <f>IF('1 - Input'!$B$17=1,MIN(L325,D325)+T325,L325)</f>
        <v>0</v>
      </c>
      <c r="AC325" s="17">
        <f t="shared" si="323"/>
        <v>590482.93849429931</v>
      </c>
      <c r="AD325" s="17">
        <f t="shared" si="324"/>
        <v>101441.90180685223</v>
      </c>
      <c r="AE325" s="17">
        <f t="shared" si="325"/>
        <v>0</v>
      </c>
      <c r="AF325" s="17">
        <f t="shared" si="326"/>
        <v>174289.24056370757</v>
      </c>
      <c r="AG325" s="17">
        <f t="shared" si="327"/>
        <v>8123.5662772395826</v>
      </c>
      <c r="AH325" s="17">
        <f t="shared" si="328"/>
        <v>369639.63757566444</v>
      </c>
      <c r="AI325" s="15">
        <f t="shared" si="290"/>
        <v>1</v>
      </c>
      <c r="AK325" s="14">
        <v>282</v>
      </c>
      <c r="AL325" s="15">
        <f t="shared" si="291"/>
        <v>24</v>
      </c>
      <c r="AM325" s="16">
        <f>(1+INDEX('1 - Input'!$B$34:$E$63,AL325,'1 - Input'!$B$16))^(1/12)-1</f>
        <v>4.1219243192651689E-3</v>
      </c>
      <c r="AN325" s="17">
        <f>'1 - Input'!$B$7*(1+'1 - Input'!$B$12)^(AL325-1)</f>
        <v>4257.628013316772</v>
      </c>
      <c r="AO325" s="17">
        <f t="shared" si="329"/>
        <v>0</v>
      </c>
      <c r="AP325" s="17">
        <f t="shared" si="330"/>
        <v>0</v>
      </c>
      <c r="AQ325" s="17">
        <f t="shared" si="292"/>
        <v>0</v>
      </c>
      <c r="AR325" s="17">
        <f>IF(AQ325&gt;0,'1 - Input'!$B$8/12*AQ325,0)</f>
        <v>0</v>
      </c>
      <c r="AS325" s="17">
        <f t="shared" si="293"/>
        <v>0</v>
      </c>
      <c r="AT325" s="17">
        <f t="shared" si="294"/>
        <v>0</v>
      </c>
      <c r="AU325" s="17">
        <f>'1 - Input'!$B$22*(AR325-AT325)</f>
        <v>0</v>
      </c>
      <c r="AV325" s="17">
        <f t="shared" si="295"/>
        <v>0</v>
      </c>
      <c r="AW325" s="17">
        <f t="shared" si="296"/>
        <v>0</v>
      </c>
      <c r="AX325" s="17">
        <f>IF('1 - Input'!$B$17=1,MAX(0,AV325-AN325),0)</f>
        <v>0</v>
      </c>
      <c r="AY325" s="17">
        <f>IF('1 - Input'!$B$17=1,MAX(0,AN325-AV325),0)</f>
        <v>4257.628013316772</v>
      </c>
      <c r="AZ325" s="17">
        <f t="shared" si="297"/>
        <v>0</v>
      </c>
      <c r="BA325" s="17">
        <f>IF(AND(AY325&gt;0,AS325&gt;0),AY325/(1-'1 - Input'!$B$22*AZ325),0)</f>
        <v>0</v>
      </c>
      <c r="BB325" s="17">
        <f t="shared" si="298"/>
        <v>0</v>
      </c>
      <c r="BC325" s="17">
        <f>'1 - Input'!$B$22*AZ325*BB325</f>
        <v>0</v>
      </c>
      <c r="BD325" s="17">
        <f t="shared" si="299"/>
        <v>0</v>
      </c>
      <c r="BE325" s="17">
        <f t="shared" si="300"/>
        <v>4257.628013316772</v>
      </c>
      <c r="BF325" s="17">
        <f t="shared" si="301"/>
        <v>0</v>
      </c>
      <c r="BG325" s="17">
        <f t="shared" si="302"/>
        <v>0</v>
      </c>
      <c r="BH325" s="17">
        <f t="shared" si="303"/>
        <v>0</v>
      </c>
      <c r="BI325" s="17">
        <f>IF(MOD(AK325,12)=0,BG325*'1 - Input'!$B$23,0)</f>
        <v>0</v>
      </c>
      <c r="BJ325" s="17">
        <f t="shared" si="304"/>
        <v>0</v>
      </c>
      <c r="BK325" s="17">
        <f>IF(MOD(AK325,12)=0,BH325*(1-'1 - Input'!$B$23),BH325)</f>
        <v>0</v>
      </c>
      <c r="BL325" s="17">
        <f>IF('1 - Input'!$B$17=1,MIN(AV325,AN325)+BD325,AV325)</f>
        <v>0</v>
      </c>
      <c r="BM325" s="17">
        <f t="shared" si="331"/>
        <v>590482.93849429931</v>
      </c>
      <c r="BN325" s="17">
        <f t="shared" si="332"/>
        <v>101441.90180685223</v>
      </c>
      <c r="BO325" s="17">
        <f t="shared" si="333"/>
        <v>0</v>
      </c>
      <c r="BP325" s="17">
        <f t="shared" si="334"/>
        <v>174289.24056370757</v>
      </c>
      <c r="BQ325" s="17">
        <f t="shared" si="335"/>
        <v>8123.5662772395826</v>
      </c>
      <c r="BR325" s="17">
        <f t="shared" si="336"/>
        <v>369639.63757566444</v>
      </c>
      <c r="BS325" s="15">
        <f t="shared" si="305"/>
        <v>1</v>
      </c>
      <c r="BU325" s="14">
        <v>282</v>
      </c>
      <c r="BV325" s="15">
        <f t="shared" si="306"/>
        <v>24</v>
      </c>
      <c r="BW325" s="16">
        <f>(1+INDEX('1 - Input'!$B$34:$E$63,BV325,'1 - Input'!$B$16))^(1/12)-1</f>
        <v>4.1219243192651689E-3</v>
      </c>
      <c r="BX325" s="17">
        <f>'1 - Input'!$B$7*(1+'1 - Input'!$B$12)^(BV325-1)</f>
        <v>4257.628013316772</v>
      </c>
      <c r="BY325" s="17">
        <f t="shared" si="337"/>
        <v>0</v>
      </c>
      <c r="BZ325" s="17">
        <f t="shared" si="338"/>
        <v>0</v>
      </c>
      <c r="CA325" s="17">
        <f t="shared" si="307"/>
        <v>0</v>
      </c>
      <c r="CB325" s="17">
        <f>IF(CA325&gt;0,'1 - Input'!$B$8/12*CA325,0)</f>
        <v>0</v>
      </c>
      <c r="CC325" s="17">
        <f t="shared" si="308"/>
        <v>0</v>
      </c>
      <c r="CD325" s="17">
        <f t="shared" si="309"/>
        <v>0</v>
      </c>
      <c r="CE325" s="17">
        <f>'1 - Input'!$B$22*(CB325-CD325)</f>
        <v>0</v>
      </c>
      <c r="CF325" s="17">
        <f t="shared" si="310"/>
        <v>0</v>
      </c>
      <c r="CG325" s="17">
        <f t="shared" si="311"/>
        <v>0</v>
      </c>
      <c r="CH325" s="17">
        <f>IF('1 - Input'!$B$17=1,MAX(0,CF325-BX325),0)</f>
        <v>0</v>
      </c>
      <c r="CI325" s="17">
        <f>IF('1 - Input'!$B$17=1,MAX(0,BX325-CF325),0)</f>
        <v>4257.628013316772</v>
      </c>
      <c r="CJ325" s="17">
        <f t="shared" si="312"/>
        <v>0</v>
      </c>
      <c r="CK325" s="17">
        <f>IF(AND(CI325&gt;0,CC325&gt;0),CI325/(1-'1 - Input'!$B$22*CJ325),0)</f>
        <v>0</v>
      </c>
      <c r="CL325" s="17">
        <f t="shared" si="313"/>
        <v>0</v>
      </c>
      <c r="CM325" s="17">
        <f>'1 - Input'!$B$22*CJ325*CL325</f>
        <v>0</v>
      </c>
      <c r="CN325" s="17">
        <f t="shared" si="314"/>
        <v>0</v>
      </c>
      <c r="CO325" s="17">
        <f t="shared" si="315"/>
        <v>4257.628013316772</v>
      </c>
      <c r="CP325" s="17">
        <f t="shared" si="316"/>
        <v>0</v>
      </c>
      <c r="CQ325" s="17">
        <f t="shared" si="317"/>
        <v>0</v>
      </c>
      <c r="CR325" s="17">
        <f t="shared" si="318"/>
        <v>0</v>
      </c>
      <c r="CS325" s="17">
        <f>IF(MOD(BU325,12)=0,CQ325*'1 - Input'!$B$23,0)</f>
        <v>0</v>
      </c>
      <c r="CT325" s="17">
        <f t="shared" si="319"/>
        <v>0</v>
      </c>
      <c r="CU325" s="17">
        <f>IF(MOD(BU325,12)=0,CR325*(1-'1 - Input'!$B$23),CR325)</f>
        <v>0</v>
      </c>
      <c r="CV325" s="17">
        <f>IF('1 - Input'!$B$17=1,MIN(CF325,BX325)+CN325,CF325)</f>
        <v>0</v>
      </c>
      <c r="CW325" s="17">
        <f t="shared" si="339"/>
        <v>686605.50041273201</v>
      </c>
      <c r="CX325" s="17">
        <f t="shared" si="340"/>
        <v>6018.3402768167462</v>
      </c>
      <c r="CY325" s="17">
        <f t="shared" si="341"/>
        <v>66518.776160328038</v>
      </c>
      <c r="CZ325" s="17">
        <f t="shared" si="342"/>
        <v>0</v>
      </c>
      <c r="DA325" s="17">
        <f t="shared" si="343"/>
        <v>10954.114452440983</v>
      </c>
      <c r="DB325" s="17">
        <f t="shared" si="344"/>
        <v>273517.07565723266</v>
      </c>
      <c r="DC325" s="15">
        <f t="shared" si="320"/>
        <v>1</v>
      </c>
    </row>
    <row r="326" spans="1:107">
      <c r="A326" s="14">
        <v>283</v>
      </c>
      <c r="B326" s="15">
        <f t="shared" si="276"/>
        <v>24</v>
      </c>
      <c r="C326" s="16">
        <f>(1+INDEX('1 - Input'!$B$34:$E$63,B326,'1 - Input'!$B$16))^(1/12)-1</f>
        <v>4.1219243192651689E-3</v>
      </c>
      <c r="D326" s="17">
        <f>'1 - Input'!$B$7*(1+'1 - Input'!$B$12)^(B326-1)</f>
        <v>4257.628013316772</v>
      </c>
      <c r="E326" s="17">
        <f t="shared" si="321"/>
        <v>0</v>
      </c>
      <c r="F326" s="17">
        <f t="shared" si="322"/>
        <v>0</v>
      </c>
      <c r="G326" s="17">
        <f t="shared" si="277"/>
        <v>0</v>
      </c>
      <c r="H326" s="17">
        <f>IF(G326&gt;0,'1 - Input'!$B$8/12*G326,0)</f>
        <v>0</v>
      </c>
      <c r="I326" s="17">
        <f t="shared" si="278"/>
        <v>0</v>
      </c>
      <c r="J326" s="17">
        <f t="shared" si="279"/>
        <v>0</v>
      </c>
      <c r="K326" s="17">
        <f>'1 - Input'!$B$22*(H326-J326)</f>
        <v>0</v>
      </c>
      <c r="L326" s="17">
        <f t="shared" si="280"/>
        <v>0</v>
      </c>
      <c r="M326" s="17">
        <f t="shared" si="281"/>
        <v>0</v>
      </c>
      <c r="N326" s="17">
        <f>IF('1 - Input'!$B$17=1,MAX(0,L326-D326),0)</f>
        <v>0</v>
      </c>
      <c r="O326" s="17">
        <f>IF('1 - Input'!$B$17=1,MAX(0,D326-L326),0)</f>
        <v>4257.628013316772</v>
      </c>
      <c r="P326" s="17">
        <f t="shared" si="282"/>
        <v>0</v>
      </c>
      <c r="Q326" s="17">
        <f>IF(AND(O326&gt;0,I326&gt;0),O326/(1-'1 - Input'!$B$22*P326),0)</f>
        <v>0</v>
      </c>
      <c r="R326" s="17">
        <f t="shared" si="283"/>
        <v>0</v>
      </c>
      <c r="S326" s="17">
        <f>'1 - Input'!$B$22*P326*R326</f>
        <v>0</v>
      </c>
      <c r="T326" s="17">
        <f t="shared" si="284"/>
        <v>0</v>
      </c>
      <c r="U326" s="17">
        <f t="shared" si="285"/>
        <v>4257.628013316772</v>
      </c>
      <c r="V326" s="17">
        <f t="shared" si="286"/>
        <v>0</v>
      </c>
      <c r="W326" s="17">
        <f t="shared" si="287"/>
        <v>0</v>
      </c>
      <c r="X326" s="17">
        <f t="shared" si="288"/>
        <v>0</v>
      </c>
      <c r="Y326" s="17">
        <f>IF(MOD(A326,12)=0,W326*'1 - Input'!$B$23,0)</f>
        <v>0</v>
      </c>
      <c r="Z326" s="17">
        <f t="shared" si="289"/>
        <v>0</v>
      </c>
      <c r="AA326" s="17">
        <f>IF(MOD(A326,12)=0,X326*(1-'1 - Input'!$B$23),X326)</f>
        <v>0</v>
      </c>
      <c r="AB326" s="17">
        <f>IF('1 - Input'!$B$17=1,MIN(L326,D326)+T326,L326)</f>
        <v>0</v>
      </c>
      <c r="AC326" s="17">
        <f t="shared" si="323"/>
        <v>590482.93849429931</v>
      </c>
      <c r="AD326" s="17">
        <f t="shared" si="324"/>
        <v>101441.90180685223</v>
      </c>
      <c r="AE326" s="17">
        <f t="shared" si="325"/>
        <v>0</v>
      </c>
      <c r="AF326" s="17">
        <f t="shared" si="326"/>
        <v>174289.24056370757</v>
      </c>
      <c r="AG326" s="17">
        <f t="shared" si="327"/>
        <v>8123.5662772395826</v>
      </c>
      <c r="AH326" s="17">
        <f t="shared" si="328"/>
        <v>373897.26558898122</v>
      </c>
      <c r="AI326" s="15">
        <f t="shared" si="290"/>
        <v>1</v>
      </c>
      <c r="AK326" s="14">
        <v>283</v>
      </c>
      <c r="AL326" s="15">
        <f t="shared" si="291"/>
        <v>24</v>
      </c>
      <c r="AM326" s="16">
        <f>(1+INDEX('1 - Input'!$B$34:$E$63,AL326,'1 - Input'!$B$16))^(1/12)-1</f>
        <v>4.1219243192651689E-3</v>
      </c>
      <c r="AN326" s="17">
        <f>'1 - Input'!$B$7*(1+'1 - Input'!$B$12)^(AL326-1)</f>
        <v>4257.628013316772</v>
      </c>
      <c r="AO326" s="17">
        <f t="shared" si="329"/>
        <v>0</v>
      </c>
      <c r="AP326" s="17">
        <f t="shared" si="330"/>
        <v>0</v>
      </c>
      <c r="AQ326" s="17">
        <f t="shared" si="292"/>
        <v>0</v>
      </c>
      <c r="AR326" s="17">
        <f>IF(AQ326&gt;0,'1 - Input'!$B$8/12*AQ326,0)</f>
        <v>0</v>
      </c>
      <c r="AS326" s="17">
        <f t="shared" si="293"/>
        <v>0</v>
      </c>
      <c r="AT326" s="17">
        <f t="shared" si="294"/>
        <v>0</v>
      </c>
      <c r="AU326" s="17">
        <f>'1 - Input'!$B$22*(AR326-AT326)</f>
        <v>0</v>
      </c>
      <c r="AV326" s="17">
        <f t="shared" si="295"/>
        <v>0</v>
      </c>
      <c r="AW326" s="17">
        <f t="shared" si="296"/>
        <v>0</v>
      </c>
      <c r="AX326" s="17">
        <f>IF('1 - Input'!$B$17=1,MAX(0,AV326-AN326),0)</f>
        <v>0</v>
      </c>
      <c r="AY326" s="17">
        <f>IF('1 - Input'!$B$17=1,MAX(0,AN326-AV326),0)</f>
        <v>4257.628013316772</v>
      </c>
      <c r="AZ326" s="17">
        <f t="shared" si="297"/>
        <v>0</v>
      </c>
      <c r="BA326" s="17">
        <f>IF(AND(AY326&gt;0,AS326&gt;0),AY326/(1-'1 - Input'!$B$22*AZ326),0)</f>
        <v>0</v>
      </c>
      <c r="BB326" s="17">
        <f t="shared" si="298"/>
        <v>0</v>
      </c>
      <c r="BC326" s="17">
        <f>'1 - Input'!$B$22*AZ326*BB326</f>
        <v>0</v>
      </c>
      <c r="BD326" s="17">
        <f t="shared" si="299"/>
        <v>0</v>
      </c>
      <c r="BE326" s="17">
        <f t="shared" si="300"/>
        <v>4257.628013316772</v>
      </c>
      <c r="BF326" s="17">
        <f t="shared" si="301"/>
        <v>0</v>
      </c>
      <c r="BG326" s="17">
        <f t="shared" si="302"/>
        <v>0</v>
      </c>
      <c r="BH326" s="17">
        <f t="shared" si="303"/>
        <v>0</v>
      </c>
      <c r="BI326" s="17">
        <f>IF(MOD(AK326,12)=0,BG326*'1 - Input'!$B$23,0)</f>
        <v>0</v>
      </c>
      <c r="BJ326" s="17">
        <f t="shared" si="304"/>
        <v>0</v>
      </c>
      <c r="BK326" s="17">
        <f>IF(MOD(AK326,12)=0,BH326*(1-'1 - Input'!$B$23),BH326)</f>
        <v>0</v>
      </c>
      <c r="BL326" s="17">
        <f>IF('1 - Input'!$B$17=1,MIN(AV326,AN326)+BD326,AV326)</f>
        <v>0</v>
      </c>
      <c r="BM326" s="17">
        <f t="shared" si="331"/>
        <v>590482.93849429931</v>
      </c>
      <c r="BN326" s="17">
        <f t="shared" si="332"/>
        <v>101441.90180685223</v>
      </c>
      <c r="BO326" s="17">
        <f t="shared" si="333"/>
        <v>0</v>
      </c>
      <c r="BP326" s="17">
        <f t="shared" si="334"/>
        <v>174289.24056370757</v>
      </c>
      <c r="BQ326" s="17">
        <f t="shared" si="335"/>
        <v>8123.5662772395826</v>
      </c>
      <c r="BR326" s="17">
        <f t="shared" si="336"/>
        <v>373897.26558898122</v>
      </c>
      <c r="BS326" s="15">
        <f t="shared" si="305"/>
        <v>1</v>
      </c>
      <c r="BU326" s="14">
        <v>283</v>
      </c>
      <c r="BV326" s="15">
        <f t="shared" si="306"/>
        <v>24</v>
      </c>
      <c r="BW326" s="16">
        <f>(1+INDEX('1 - Input'!$B$34:$E$63,BV326,'1 - Input'!$B$16))^(1/12)-1</f>
        <v>4.1219243192651689E-3</v>
      </c>
      <c r="BX326" s="17">
        <f>'1 - Input'!$B$7*(1+'1 - Input'!$B$12)^(BV326-1)</f>
        <v>4257.628013316772</v>
      </c>
      <c r="BY326" s="17">
        <f t="shared" si="337"/>
        <v>0</v>
      </c>
      <c r="BZ326" s="17">
        <f t="shared" si="338"/>
        <v>0</v>
      </c>
      <c r="CA326" s="17">
        <f t="shared" si="307"/>
        <v>0</v>
      </c>
      <c r="CB326" s="17">
        <f>IF(CA326&gt;0,'1 - Input'!$B$8/12*CA326,0)</f>
        <v>0</v>
      </c>
      <c r="CC326" s="17">
        <f t="shared" si="308"/>
        <v>0</v>
      </c>
      <c r="CD326" s="17">
        <f t="shared" si="309"/>
        <v>0</v>
      </c>
      <c r="CE326" s="17">
        <f>'1 - Input'!$B$22*(CB326-CD326)</f>
        <v>0</v>
      </c>
      <c r="CF326" s="17">
        <f t="shared" si="310"/>
        <v>0</v>
      </c>
      <c r="CG326" s="17">
        <f t="shared" si="311"/>
        <v>0</v>
      </c>
      <c r="CH326" s="17">
        <f>IF('1 - Input'!$B$17=1,MAX(0,CF326-BX326),0)</f>
        <v>0</v>
      </c>
      <c r="CI326" s="17">
        <f>IF('1 - Input'!$B$17=1,MAX(0,BX326-CF326),0)</f>
        <v>4257.628013316772</v>
      </c>
      <c r="CJ326" s="17">
        <f t="shared" si="312"/>
        <v>0</v>
      </c>
      <c r="CK326" s="17">
        <f>IF(AND(CI326&gt;0,CC326&gt;0),CI326/(1-'1 - Input'!$B$22*CJ326),0)</f>
        <v>0</v>
      </c>
      <c r="CL326" s="17">
        <f t="shared" si="313"/>
        <v>0</v>
      </c>
      <c r="CM326" s="17">
        <f>'1 - Input'!$B$22*CJ326*CL326</f>
        <v>0</v>
      </c>
      <c r="CN326" s="17">
        <f t="shared" si="314"/>
        <v>0</v>
      </c>
      <c r="CO326" s="17">
        <f t="shared" si="315"/>
        <v>4257.628013316772</v>
      </c>
      <c r="CP326" s="17">
        <f t="shared" si="316"/>
        <v>0</v>
      </c>
      <c r="CQ326" s="17">
        <f t="shared" si="317"/>
        <v>0</v>
      </c>
      <c r="CR326" s="17">
        <f t="shared" si="318"/>
        <v>0</v>
      </c>
      <c r="CS326" s="17">
        <f>IF(MOD(BU326,12)=0,CQ326*'1 - Input'!$B$23,0)</f>
        <v>0</v>
      </c>
      <c r="CT326" s="17">
        <f t="shared" si="319"/>
        <v>0</v>
      </c>
      <c r="CU326" s="17">
        <f>IF(MOD(BU326,12)=0,CR326*(1-'1 - Input'!$B$23),CR326)</f>
        <v>0</v>
      </c>
      <c r="CV326" s="17">
        <f>IF('1 - Input'!$B$17=1,MIN(CF326,BX326)+CN326,CF326)</f>
        <v>0</v>
      </c>
      <c r="CW326" s="17">
        <f t="shared" si="339"/>
        <v>686605.50041273201</v>
      </c>
      <c r="CX326" s="17">
        <f t="shared" si="340"/>
        <v>6018.3402768167462</v>
      </c>
      <c r="CY326" s="17">
        <f t="shared" si="341"/>
        <v>66518.776160328038</v>
      </c>
      <c r="CZ326" s="17">
        <f t="shared" si="342"/>
        <v>0</v>
      </c>
      <c r="DA326" s="17">
        <f t="shared" si="343"/>
        <v>10954.114452440983</v>
      </c>
      <c r="DB326" s="17">
        <f t="shared" si="344"/>
        <v>277774.70367054944</v>
      </c>
      <c r="DC326" s="15">
        <f t="shared" si="320"/>
        <v>1</v>
      </c>
    </row>
    <row r="327" spans="1:107">
      <c r="A327" s="14">
        <v>284</v>
      </c>
      <c r="B327" s="15">
        <f t="shared" si="276"/>
        <v>24</v>
      </c>
      <c r="C327" s="16">
        <f>(1+INDEX('1 - Input'!$B$34:$E$63,B327,'1 - Input'!$B$16))^(1/12)-1</f>
        <v>4.1219243192651689E-3</v>
      </c>
      <c r="D327" s="17">
        <f>'1 - Input'!$B$7*(1+'1 - Input'!$B$12)^(B327-1)</f>
        <v>4257.628013316772</v>
      </c>
      <c r="E327" s="17">
        <f t="shared" si="321"/>
        <v>0</v>
      </c>
      <c r="F327" s="17">
        <f t="shared" si="322"/>
        <v>0</v>
      </c>
      <c r="G327" s="17">
        <f t="shared" si="277"/>
        <v>0</v>
      </c>
      <c r="H327" s="17">
        <f>IF(G327&gt;0,'1 - Input'!$B$8/12*G327,0)</f>
        <v>0</v>
      </c>
      <c r="I327" s="17">
        <f t="shared" si="278"/>
        <v>0</v>
      </c>
      <c r="J327" s="17">
        <f t="shared" si="279"/>
        <v>0</v>
      </c>
      <c r="K327" s="17">
        <f>'1 - Input'!$B$22*(H327-J327)</f>
        <v>0</v>
      </c>
      <c r="L327" s="17">
        <f t="shared" si="280"/>
        <v>0</v>
      </c>
      <c r="M327" s="17">
        <f t="shared" si="281"/>
        <v>0</v>
      </c>
      <c r="N327" s="17">
        <f>IF('1 - Input'!$B$17=1,MAX(0,L327-D327),0)</f>
        <v>0</v>
      </c>
      <c r="O327" s="17">
        <f>IF('1 - Input'!$B$17=1,MAX(0,D327-L327),0)</f>
        <v>4257.628013316772</v>
      </c>
      <c r="P327" s="17">
        <f t="shared" si="282"/>
        <v>0</v>
      </c>
      <c r="Q327" s="17">
        <f>IF(AND(O327&gt;0,I327&gt;0),O327/(1-'1 - Input'!$B$22*P327),0)</f>
        <v>0</v>
      </c>
      <c r="R327" s="17">
        <f t="shared" si="283"/>
        <v>0</v>
      </c>
      <c r="S327" s="17">
        <f>'1 - Input'!$B$22*P327*R327</f>
        <v>0</v>
      </c>
      <c r="T327" s="17">
        <f t="shared" si="284"/>
        <v>0</v>
      </c>
      <c r="U327" s="17">
        <f t="shared" si="285"/>
        <v>4257.628013316772</v>
      </c>
      <c r="V327" s="17">
        <f t="shared" si="286"/>
        <v>0</v>
      </c>
      <c r="W327" s="17">
        <f t="shared" si="287"/>
        <v>0</v>
      </c>
      <c r="X327" s="17">
        <f t="shared" si="288"/>
        <v>0</v>
      </c>
      <c r="Y327" s="17">
        <f>IF(MOD(A327,12)=0,W327*'1 - Input'!$B$23,0)</f>
        <v>0</v>
      </c>
      <c r="Z327" s="17">
        <f t="shared" si="289"/>
        <v>0</v>
      </c>
      <c r="AA327" s="17">
        <f>IF(MOD(A327,12)=0,X327*(1-'1 - Input'!$B$23),X327)</f>
        <v>0</v>
      </c>
      <c r="AB327" s="17">
        <f>IF('1 - Input'!$B$17=1,MIN(L327,D327)+T327,L327)</f>
        <v>0</v>
      </c>
      <c r="AC327" s="17">
        <f t="shared" si="323"/>
        <v>590482.93849429931</v>
      </c>
      <c r="AD327" s="17">
        <f t="shared" si="324"/>
        <v>101441.90180685223</v>
      </c>
      <c r="AE327" s="17">
        <f t="shared" si="325"/>
        <v>0</v>
      </c>
      <c r="AF327" s="17">
        <f t="shared" si="326"/>
        <v>174289.24056370757</v>
      </c>
      <c r="AG327" s="17">
        <f t="shared" si="327"/>
        <v>8123.5662772395826</v>
      </c>
      <c r="AH327" s="17">
        <f t="shared" si="328"/>
        <v>378154.89360229799</v>
      </c>
      <c r="AI327" s="15">
        <f t="shared" si="290"/>
        <v>1</v>
      </c>
      <c r="AK327" s="14">
        <v>284</v>
      </c>
      <c r="AL327" s="15">
        <f t="shared" si="291"/>
        <v>24</v>
      </c>
      <c r="AM327" s="16">
        <f>(1+INDEX('1 - Input'!$B$34:$E$63,AL327,'1 - Input'!$B$16))^(1/12)-1</f>
        <v>4.1219243192651689E-3</v>
      </c>
      <c r="AN327" s="17">
        <f>'1 - Input'!$B$7*(1+'1 - Input'!$B$12)^(AL327-1)</f>
        <v>4257.628013316772</v>
      </c>
      <c r="AO327" s="17">
        <f t="shared" si="329"/>
        <v>0</v>
      </c>
      <c r="AP327" s="17">
        <f t="shared" si="330"/>
        <v>0</v>
      </c>
      <c r="AQ327" s="17">
        <f t="shared" si="292"/>
        <v>0</v>
      </c>
      <c r="AR327" s="17">
        <f>IF(AQ327&gt;0,'1 - Input'!$B$8/12*AQ327,0)</f>
        <v>0</v>
      </c>
      <c r="AS327" s="17">
        <f t="shared" si="293"/>
        <v>0</v>
      </c>
      <c r="AT327" s="17">
        <f t="shared" si="294"/>
        <v>0</v>
      </c>
      <c r="AU327" s="17">
        <f>'1 - Input'!$B$22*(AR327-AT327)</f>
        <v>0</v>
      </c>
      <c r="AV327" s="17">
        <f t="shared" si="295"/>
        <v>0</v>
      </c>
      <c r="AW327" s="17">
        <f t="shared" si="296"/>
        <v>0</v>
      </c>
      <c r="AX327" s="17">
        <f>IF('1 - Input'!$B$17=1,MAX(0,AV327-AN327),0)</f>
        <v>0</v>
      </c>
      <c r="AY327" s="17">
        <f>IF('1 - Input'!$B$17=1,MAX(0,AN327-AV327),0)</f>
        <v>4257.628013316772</v>
      </c>
      <c r="AZ327" s="17">
        <f t="shared" si="297"/>
        <v>0</v>
      </c>
      <c r="BA327" s="17">
        <f>IF(AND(AY327&gt;0,AS327&gt;0),AY327/(1-'1 - Input'!$B$22*AZ327),0)</f>
        <v>0</v>
      </c>
      <c r="BB327" s="17">
        <f t="shared" si="298"/>
        <v>0</v>
      </c>
      <c r="BC327" s="17">
        <f>'1 - Input'!$B$22*AZ327*BB327</f>
        <v>0</v>
      </c>
      <c r="BD327" s="17">
        <f t="shared" si="299"/>
        <v>0</v>
      </c>
      <c r="BE327" s="17">
        <f t="shared" si="300"/>
        <v>4257.628013316772</v>
      </c>
      <c r="BF327" s="17">
        <f t="shared" si="301"/>
        <v>0</v>
      </c>
      <c r="BG327" s="17">
        <f t="shared" si="302"/>
        <v>0</v>
      </c>
      <c r="BH327" s="17">
        <f t="shared" si="303"/>
        <v>0</v>
      </c>
      <c r="BI327" s="17">
        <f>IF(MOD(AK327,12)=0,BG327*'1 - Input'!$B$23,0)</f>
        <v>0</v>
      </c>
      <c r="BJ327" s="17">
        <f t="shared" si="304"/>
        <v>0</v>
      </c>
      <c r="BK327" s="17">
        <f>IF(MOD(AK327,12)=0,BH327*(1-'1 - Input'!$B$23),BH327)</f>
        <v>0</v>
      </c>
      <c r="BL327" s="17">
        <f>IF('1 - Input'!$B$17=1,MIN(AV327,AN327)+BD327,AV327)</f>
        <v>0</v>
      </c>
      <c r="BM327" s="17">
        <f t="shared" si="331"/>
        <v>590482.93849429931</v>
      </c>
      <c r="BN327" s="17">
        <f t="shared" si="332"/>
        <v>101441.90180685223</v>
      </c>
      <c r="BO327" s="17">
        <f t="shared" si="333"/>
        <v>0</v>
      </c>
      <c r="BP327" s="17">
        <f t="shared" si="334"/>
        <v>174289.24056370757</v>
      </c>
      <c r="BQ327" s="17">
        <f t="shared" si="335"/>
        <v>8123.5662772395826</v>
      </c>
      <c r="BR327" s="17">
        <f t="shared" si="336"/>
        <v>378154.89360229799</v>
      </c>
      <c r="BS327" s="15">
        <f t="shared" si="305"/>
        <v>1</v>
      </c>
      <c r="BU327" s="14">
        <v>284</v>
      </c>
      <c r="BV327" s="15">
        <f t="shared" si="306"/>
        <v>24</v>
      </c>
      <c r="BW327" s="16">
        <f>(1+INDEX('1 - Input'!$B$34:$E$63,BV327,'1 - Input'!$B$16))^(1/12)-1</f>
        <v>4.1219243192651689E-3</v>
      </c>
      <c r="BX327" s="17">
        <f>'1 - Input'!$B$7*(1+'1 - Input'!$B$12)^(BV327-1)</f>
        <v>4257.628013316772</v>
      </c>
      <c r="BY327" s="17">
        <f t="shared" si="337"/>
        <v>0</v>
      </c>
      <c r="BZ327" s="17">
        <f t="shared" si="338"/>
        <v>0</v>
      </c>
      <c r="CA327" s="17">
        <f t="shared" si="307"/>
        <v>0</v>
      </c>
      <c r="CB327" s="17">
        <f>IF(CA327&gt;0,'1 - Input'!$B$8/12*CA327,0)</f>
        <v>0</v>
      </c>
      <c r="CC327" s="17">
        <f t="shared" si="308"/>
        <v>0</v>
      </c>
      <c r="CD327" s="17">
        <f t="shared" si="309"/>
        <v>0</v>
      </c>
      <c r="CE327" s="17">
        <f>'1 - Input'!$B$22*(CB327-CD327)</f>
        <v>0</v>
      </c>
      <c r="CF327" s="17">
        <f t="shared" si="310"/>
        <v>0</v>
      </c>
      <c r="CG327" s="17">
        <f t="shared" si="311"/>
        <v>0</v>
      </c>
      <c r="CH327" s="17">
        <f>IF('1 - Input'!$B$17=1,MAX(0,CF327-BX327),0)</f>
        <v>0</v>
      </c>
      <c r="CI327" s="17">
        <f>IF('1 - Input'!$B$17=1,MAX(0,BX327-CF327),0)</f>
        <v>4257.628013316772</v>
      </c>
      <c r="CJ327" s="17">
        <f t="shared" si="312"/>
        <v>0</v>
      </c>
      <c r="CK327" s="17">
        <f>IF(AND(CI327&gt;0,CC327&gt;0),CI327/(1-'1 - Input'!$B$22*CJ327),0)</f>
        <v>0</v>
      </c>
      <c r="CL327" s="17">
        <f t="shared" si="313"/>
        <v>0</v>
      </c>
      <c r="CM327" s="17">
        <f>'1 - Input'!$B$22*CJ327*CL327</f>
        <v>0</v>
      </c>
      <c r="CN327" s="17">
        <f t="shared" si="314"/>
        <v>0</v>
      </c>
      <c r="CO327" s="17">
        <f t="shared" si="315"/>
        <v>4257.628013316772</v>
      </c>
      <c r="CP327" s="17">
        <f t="shared" si="316"/>
        <v>0</v>
      </c>
      <c r="CQ327" s="17">
        <f t="shared" si="317"/>
        <v>0</v>
      </c>
      <c r="CR327" s="17">
        <f t="shared" si="318"/>
        <v>0</v>
      </c>
      <c r="CS327" s="17">
        <f>IF(MOD(BU327,12)=0,CQ327*'1 - Input'!$B$23,0)</f>
        <v>0</v>
      </c>
      <c r="CT327" s="17">
        <f t="shared" si="319"/>
        <v>0</v>
      </c>
      <c r="CU327" s="17">
        <f>IF(MOD(BU327,12)=0,CR327*(1-'1 - Input'!$B$23),CR327)</f>
        <v>0</v>
      </c>
      <c r="CV327" s="17">
        <f>IF('1 - Input'!$B$17=1,MIN(CF327,BX327)+CN327,CF327)</f>
        <v>0</v>
      </c>
      <c r="CW327" s="17">
        <f t="shared" si="339"/>
        <v>686605.50041273201</v>
      </c>
      <c r="CX327" s="17">
        <f t="shared" si="340"/>
        <v>6018.3402768167462</v>
      </c>
      <c r="CY327" s="17">
        <f t="shared" si="341"/>
        <v>66518.776160328038</v>
      </c>
      <c r="CZ327" s="17">
        <f t="shared" si="342"/>
        <v>0</v>
      </c>
      <c r="DA327" s="17">
        <f t="shared" si="343"/>
        <v>10954.114452440983</v>
      </c>
      <c r="DB327" s="17">
        <f t="shared" si="344"/>
        <v>282032.33168386621</v>
      </c>
      <c r="DC327" s="15">
        <f t="shared" si="320"/>
        <v>1</v>
      </c>
    </row>
    <row r="328" spans="1:107">
      <c r="A328" s="14">
        <v>285</v>
      </c>
      <c r="B328" s="15">
        <f t="shared" si="276"/>
        <v>24</v>
      </c>
      <c r="C328" s="16">
        <f>(1+INDEX('1 - Input'!$B$34:$E$63,B328,'1 - Input'!$B$16))^(1/12)-1</f>
        <v>4.1219243192651689E-3</v>
      </c>
      <c r="D328" s="17">
        <f>'1 - Input'!$B$7*(1+'1 - Input'!$B$12)^(B328-1)</f>
        <v>4257.628013316772</v>
      </c>
      <c r="E328" s="17">
        <f t="shared" si="321"/>
        <v>0</v>
      </c>
      <c r="F328" s="17">
        <f t="shared" si="322"/>
        <v>0</v>
      </c>
      <c r="G328" s="17">
        <f t="shared" si="277"/>
        <v>0</v>
      </c>
      <c r="H328" s="17">
        <f>IF(G328&gt;0,'1 - Input'!$B$8/12*G328,0)</f>
        <v>0</v>
      </c>
      <c r="I328" s="17">
        <f t="shared" si="278"/>
        <v>0</v>
      </c>
      <c r="J328" s="17">
        <f t="shared" si="279"/>
        <v>0</v>
      </c>
      <c r="K328" s="17">
        <f>'1 - Input'!$B$22*(H328-J328)</f>
        <v>0</v>
      </c>
      <c r="L328" s="17">
        <f t="shared" si="280"/>
        <v>0</v>
      </c>
      <c r="M328" s="17">
        <f t="shared" si="281"/>
        <v>0</v>
      </c>
      <c r="N328" s="17">
        <f>IF('1 - Input'!$B$17=1,MAX(0,L328-D328),0)</f>
        <v>0</v>
      </c>
      <c r="O328" s="17">
        <f>IF('1 - Input'!$B$17=1,MAX(0,D328-L328),0)</f>
        <v>4257.628013316772</v>
      </c>
      <c r="P328" s="17">
        <f t="shared" si="282"/>
        <v>0</v>
      </c>
      <c r="Q328" s="17">
        <f>IF(AND(O328&gt;0,I328&gt;0),O328/(1-'1 - Input'!$B$22*P328),0)</f>
        <v>0</v>
      </c>
      <c r="R328" s="17">
        <f t="shared" si="283"/>
        <v>0</v>
      </c>
      <c r="S328" s="17">
        <f>'1 - Input'!$B$22*P328*R328</f>
        <v>0</v>
      </c>
      <c r="T328" s="17">
        <f t="shared" si="284"/>
        <v>0</v>
      </c>
      <c r="U328" s="17">
        <f t="shared" si="285"/>
        <v>4257.628013316772</v>
      </c>
      <c r="V328" s="17">
        <f t="shared" si="286"/>
        <v>0</v>
      </c>
      <c r="W328" s="17">
        <f t="shared" si="287"/>
        <v>0</v>
      </c>
      <c r="X328" s="17">
        <f t="shared" si="288"/>
        <v>0</v>
      </c>
      <c r="Y328" s="17">
        <f>IF(MOD(A328,12)=0,W328*'1 - Input'!$B$23,0)</f>
        <v>0</v>
      </c>
      <c r="Z328" s="17">
        <f t="shared" si="289"/>
        <v>0</v>
      </c>
      <c r="AA328" s="17">
        <f>IF(MOD(A328,12)=0,X328*(1-'1 - Input'!$B$23),X328)</f>
        <v>0</v>
      </c>
      <c r="AB328" s="17">
        <f>IF('1 - Input'!$B$17=1,MIN(L328,D328)+T328,L328)</f>
        <v>0</v>
      </c>
      <c r="AC328" s="17">
        <f t="shared" si="323"/>
        <v>590482.93849429931</v>
      </c>
      <c r="AD328" s="17">
        <f t="shared" si="324"/>
        <v>101441.90180685223</v>
      </c>
      <c r="AE328" s="17">
        <f t="shared" si="325"/>
        <v>0</v>
      </c>
      <c r="AF328" s="17">
        <f t="shared" si="326"/>
        <v>174289.24056370757</v>
      </c>
      <c r="AG328" s="17">
        <f t="shared" si="327"/>
        <v>8123.5662772395826</v>
      </c>
      <c r="AH328" s="17">
        <f t="shared" si="328"/>
        <v>382412.52161561477</v>
      </c>
      <c r="AI328" s="15">
        <f t="shared" si="290"/>
        <v>1</v>
      </c>
      <c r="AK328" s="14">
        <v>285</v>
      </c>
      <c r="AL328" s="15">
        <f t="shared" si="291"/>
        <v>24</v>
      </c>
      <c r="AM328" s="16">
        <f>(1+INDEX('1 - Input'!$B$34:$E$63,AL328,'1 - Input'!$B$16))^(1/12)-1</f>
        <v>4.1219243192651689E-3</v>
      </c>
      <c r="AN328" s="17">
        <f>'1 - Input'!$B$7*(1+'1 - Input'!$B$12)^(AL328-1)</f>
        <v>4257.628013316772</v>
      </c>
      <c r="AO328" s="17">
        <f t="shared" si="329"/>
        <v>0</v>
      </c>
      <c r="AP328" s="17">
        <f t="shared" si="330"/>
        <v>0</v>
      </c>
      <c r="AQ328" s="17">
        <f t="shared" si="292"/>
        <v>0</v>
      </c>
      <c r="AR328" s="17">
        <f>IF(AQ328&gt;0,'1 - Input'!$B$8/12*AQ328,0)</f>
        <v>0</v>
      </c>
      <c r="AS328" s="17">
        <f t="shared" si="293"/>
        <v>0</v>
      </c>
      <c r="AT328" s="17">
        <f t="shared" si="294"/>
        <v>0</v>
      </c>
      <c r="AU328" s="17">
        <f>'1 - Input'!$B$22*(AR328-AT328)</f>
        <v>0</v>
      </c>
      <c r="AV328" s="17">
        <f t="shared" si="295"/>
        <v>0</v>
      </c>
      <c r="AW328" s="17">
        <f t="shared" si="296"/>
        <v>0</v>
      </c>
      <c r="AX328" s="17">
        <f>IF('1 - Input'!$B$17=1,MAX(0,AV328-AN328),0)</f>
        <v>0</v>
      </c>
      <c r="AY328" s="17">
        <f>IF('1 - Input'!$B$17=1,MAX(0,AN328-AV328),0)</f>
        <v>4257.628013316772</v>
      </c>
      <c r="AZ328" s="17">
        <f t="shared" si="297"/>
        <v>0</v>
      </c>
      <c r="BA328" s="17">
        <f>IF(AND(AY328&gt;0,AS328&gt;0),AY328/(1-'1 - Input'!$B$22*AZ328),0)</f>
        <v>0</v>
      </c>
      <c r="BB328" s="17">
        <f t="shared" si="298"/>
        <v>0</v>
      </c>
      <c r="BC328" s="17">
        <f>'1 - Input'!$B$22*AZ328*BB328</f>
        <v>0</v>
      </c>
      <c r="BD328" s="17">
        <f t="shared" si="299"/>
        <v>0</v>
      </c>
      <c r="BE328" s="17">
        <f t="shared" si="300"/>
        <v>4257.628013316772</v>
      </c>
      <c r="BF328" s="17">
        <f t="shared" si="301"/>
        <v>0</v>
      </c>
      <c r="BG328" s="17">
        <f t="shared" si="302"/>
        <v>0</v>
      </c>
      <c r="BH328" s="17">
        <f t="shared" si="303"/>
        <v>0</v>
      </c>
      <c r="BI328" s="17">
        <f>IF(MOD(AK328,12)=0,BG328*'1 - Input'!$B$23,0)</f>
        <v>0</v>
      </c>
      <c r="BJ328" s="17">
        <f t="shared" si="304"/>
        <v>0</v>
      </c>
      <c r="BK328" s="17">
        <f>IF(MOD(AK328,12)=0,BH328*(1-'1 - Input'!$B$23),BH328)</f>
        <v>0</v>
      </c>
      <c r="BL328" s="17">
        <f>IF('1 - Input'!$B$17=1,MIN(AV328,AN328)+BD328,AV328)</f>
        <v>0</v>
      </c>
      <c r="BM328" s="17">
        <f t="shared" si="331"/>
        <v>590482.93849429931</v>
      </c>
      <c r="BN328" s="17">
        <f t="shared" si="332"/>
        <v>101441.90180685223</v>
      </c>
      <c r="BO328" s="17">
        <f t="shared" si="333"/>
        <v>0</v>
      </c>
      <c r="BP328" s="17">
        <f t="shared" si="334"/>
        <v>174289.24056370757</v>
      </c>
      <c r="BQ328" s="17">
        <f t="shared" si="335"/>
        <v>8123.5662772395826</v>
      </c>
      <c r="BR328" s="17">
        <f t="shared" si="336"/>
        <v>382412.52161561477</v>
      </c>
      <c r="BS328" s="15">
        <f t="shared" si="305"/>
        <v>1</v>
      </c>
      <c r="BU328" s="14">
        <v>285</v>
      </c>
      <c r="BV328" s="15">
        <f t="shared" si="306"/>
        <v>24</v>
      </c>
      <c r="BW328" s="16">
        <f>(1+INDEX('1 - Input'!$B$34:$E$63,BV328,'1 - Input'!$B$16))^(1/12)-1</f>
        <v>4.1219243192651689E-3</v>
      </c>
      <c r="BX328" s="17">
        <f>'1 - Input'!$B$7*(1+'1 - Input'!$B$12)^(BV328-1)</f>
        <v>4257.628013316772</v>
      </c>
      <c r="BY328" s="17">
        <f t="shared" si="337"/>
        <v>0</v>
      </c>
      <c r="BZ328" s="17">
        <f t="shared" si="338"/>
        <v>0</v>
      </c>
      <c r="CA328" s="17">
        <f t="shared" si="307"/>
        <v>0</v>
      </c>
      <c r="CB328" s="17">
        <f>IF(CA328&gt;0,'1 - Input'!$B$8/12*CA328,0)</f>
        <v>0</v>
      </c>
      <c r="CC328" s="17">
        <f t="shared" si="308"/>
        <v>0</v>
      </c>
      <c r="CD328" s="17">
        <f t="shared" si="309"/>
        <v>0</v>
      </c>
      <c r="CE328" s="17">
        <f>'1 - Input'!$B$22*(CB328-CD328)</f>
        <v>0</v>
      </c>
      <c r="CF328" s="17">
        <f t="shared" si="310"/>
        <v>0</v>
      </c>
      <c r="CG328" s="17">
        <f t="shared" si="311"/>
        <v>0</v>
      </c>
      <c r="CH328" s="17">
        <f>IF('1 - Input'!$B$17=1,MAX(0,CF328-BX328),0)</f>
        <v>0</v>
      </c>
      <c r="CI328" s="17">
        <f>IF('1 - Input'!$B$17=1,MAX(0,BX328-CF328),0)</f>
        <v>4257.628013316772</v>
      </c>
      <c r="CJ328" s="17">
        <f t="shared" si="312"/>
        <v>0</v>
      </c>
      <c r="CK328" s="17">
        <f>IF(AND(CI328&gt;0,CC328&gt;0),CI328/(1-'1 - Input'!$B$22*CJ328),0)</f>
        <v>0</v>
      </c>
      <c r="CL328" s="17">
        <f t="shared" si="313"/>
        <v>0</v>
      </c>
      <c r="CM328" s="17">
        <f>'1 - Input'!$B$22*CJ328*CL328</f>
        <v>0</v>
      </c>
      <c r="CN328" s="17">
        <f t="shared" si="314"/>
        <v>0</v>
      </c>
      <c r="CO328" s="17">
        <f t="shared" si="315"/>
        <v>4257.628013316772</v>
      </c>
      <c r="CP328" s="17">
        <f t="shared" si="316"/>
        <v>0</v>
      </c>
      <c r="CQ328" s="17">
        <f t="shared" si="317"/>
        <v>0</v>
      </c>
      <c r="CR328" s="17">
        <f t="shared" si="318"/>
        <v>0</v>
      </c>
      <c r="CS328" s="17">
        <f>IF(MOD(BU328,12)=0,CQ328*'1 - Input'!$B$23,0)</f>
        <v>0</v>
      </c>
      <c r="CT328" s="17">
        <f t="shared" si="319"/>
        <v>0</v>
      </c>
      <c r="CU328" s="17">
        <f>IF(MOD(BU328,12)=0,CR328*(1-'1 - Input'!$B$23),CR328)</f>
        <v>0</v>
      </c>
      <c r="CV328" s="17">
        <f>IF('1 - Input'!$B$17=1,MIN(CF328,BX328)+CN328,CF328)</f>
        <v>0</v>
      </c>
      <c r="CW328" s="17">
        <f t="shared" si="339"/>
        <v>686605.50041273201</v>
      </c>
      <c r="CX328" s="17">
        <f t="shared" si="340"/>
        <v>6018.3402768167462</v>
      </c>
      <c r="CY328" s="17">
        <f t="shared" si="341"/>
        <v>66518.776160328038</v>
      </c>
      <c r="CZ328" s="17">
        <f t="shared" si="342"/>
        <v>0</v>
      </c>
      <c r="DA328" s="17">
        <f t="shared" si="343"/>
        <v>10954.114452440983</v>
      </c>
      <c r="DB328" s="17">
        <f t="shared" si="344"/>
        <v>286289.95969718299</v>
      </c>
      <c r="DC328" s="15">
        <f t="shared" si="320"/>
        <v>1</v>
      </c>
    </row>
    <row r="329" spans="1:107">
      <c r="A329" s="14">
        <v>286</v>
      </c>
      <c r="B329" s="15">
        <f t="shared" si="276"/>
        <v>24</v>
      </c>
      <c r="C329" s="16">
        <f>(1+INDEX('1 - Input'!$B$34:$E$63,B329,'1 - Input'!$B$16))^(1/12)-1</f>
        <v>4.1219243192651689E-3</v>
      </c>
      <c r="D329" s="17">
        <f>'1 - Input'!$B$7*(1+'1 - Input'!$B$12)^(B329-1)</f>
        <v>4257.628013316772</v>
      </c>
      <c r="E329" s="17">
        <f t="shared" si="321"/>
        <v>0</v>
      </c>
      <c r="F329" s="17">
        <f t="shared" si="322"/>
        <v>0</v>
      </c>
      <c r="G329" s="17">
        <f t="shared" si="277"/>
        <v>0</v>
      </c>
      <c r="H329" s="17">
        <f>IF(G329&gt;0,'1 - Input'!$B$8/12*G329,0)</f>
        <v>0</v>
      </c>
      <c r="I329" s="17">
        <f t="shared" si="278"/>
        <v>0</v>
      </c>
      <c r="J329" s="17">
        <f t="shared" si="279"/>
        <v>0</v>
      </c>
      <c r="K329" s="17">
        <f>'1 - Input'!$B$22*(H329-J329)</f>
        <v>0</v>
      </c>
      <c r="L329" s="17">
        <f t="shared" si="280"/>
        <v>0</v>
      </c>
      <c r="M329" s="17">
        <f t="shared" si="281"/>
        <v>0</v>
      </c>
      <c r="N329" s="17">
        <f>IF('1 - Input'!$B$17=1,MAX(0,L329-D329),0)</f>
        <v>0</v>
      </c>
      <c r="O329" s="17">
        <f>IF('1 - Input'!$B$17=1,MAX(0,D329-L329),0)</f>
        <v>4257.628013316772</v>
      </c>
      <c r="P329" s="17">
        <f t="shared" si="282"/>
        <v>0</v>
      </c>
      <c r="Q329" s="17">
        <f>IF(AND(O329&gt;0,I329&gt;0),O329/(1-'1 - Input'!$B$22*P329),0)</f>
        <v>0</v>
      </c>
      <c r="R329" s="17">
        <f t="shared" si="283"/>
        <v>0</v>
      </c>
      <c r="S329" s="17">
        <f>'1 - Input'!$B$22*P329*R329</f>
        <v>0</v>
      </c>
      <c r="T329" s="17">
        <f t="shared" si="284"/>
        <v>0</v>
      </c>
      <c r="U329" s="17">
        <f t="shared" si="285"/>
        <v>4257.628013316772</v>
      </c>
      <c r="V329" s="17">
        <f t="shared" si="286"/>
        <v>0</v>
      </c>
      <c r="W329" s="17">
        <f t="shared" si="287"/>
        <v>0</v>
      </c>
      <c r="X329" s="17">
        <f t="shared" si="288"/>
        <v>0</v>
      </c>
      <c r="Y329" s="17">
        <f>IF(MOD(A329,12)=0,W329*'1 - Input'!$B$23,0)</f>
        <v>0</v>
      </c>
      <c r="Z329" s="17">
        <f t="shared" si="289"/>
        <v>0</v>
      </c>
      <c r="AA329" s="17">
        <f>IF(MOD(A329,12)=0,X329*(1-'1 - Input'!$B$23),X329)</f>
        <v>0</v>
      </c>
      <c r="AB329" s="17">
        <f>IF('1 - Input'!$B$17=1,MIN(L329,D329)+T329,L329)</f>
        <v>0</v>
      </c>
      <c r="AC329" s="17">
        <f t="shared" si="323"/>
        <v>590482.93849429931</v>
      </c>
      <c r="AD329" s="17">
        <f t="shared" si="324"/>
        <v>101441.90180685223</v>
      </c>
      <c r="AE329" s="17">
        <f t="shared" si="325"/>
        <v>0</v>
      </c>
      <c r="AF329" s="17">
        <f t="shared" si="326"/>
        <v>174289.24056370757</v>
      </c>
      <c r="AG329" s="17">
        <f t="shared" si="327"/>
        <v>8123.5662772395826</v>
      </c>
      <c r="AH329" s="17">
        <f t="shared" si="328"/>
        <v>386670.14962893154</v>
      </c>
      <c r="AI329" s="15">
        <f t="shared" si="290"/>
        <v>1</v>
      </c>
      <c r="AK329" s="14">
        <v>286</v>
      </c>
      <c r="AL329" s="15">
        <f t="shared" si="291"/>
        <v>24</v>
      </c>
      <c r="AM329" s="16">
        <f>(1+INDEX('1 - Input'!$B$34:$E$63,AL329,'1 - Input'!$B$16))^(1/12)-1</f>
        <v>4.1219243192651689E-3</v>
      </c>
      <c r="AN329" s="17">
        <f>'1 - Input'!$B$7*(1+'1 - Input'!$B$12)^(AL329-1)</f>
        <v>4257.628013316772</v>
      </c>
      <c r="AO329" s="17">
        <f t="shared" si="329"/>
        <v>0</v>
      </c>
      <c r="AP329" s="17">
        <f t="shared" si="330"/>
        <v>0</v>
      </c>
      <c r="AQ329" s="17">
        <f t="shared" si="292"/>
        <v>0</v>
      </c>
      <c r="AR329" s="17">
        <f>IF(AQ329&gt;0,'1 - Input'!$B$8/12*AQ329,0)</f>
        <v>0</v>
      </c>
      <c r="AS329" s="17">
        <f t="shared" si="293"/>
        <v>0</v>
      </c>
      <c r="AT329" s="17">
        <f t="shared" si="294"/>
        <v>0</v>
      </c>
      <c r="AU329" s="17">
        <f>'1 - Input'!$B$22*(AR329-AT329)</f>
        <v>0</v>
      </c>
      <c r="AV329" s="17">
        <f t="shared" si="295"/>
        <v>0</v>
      </c>
      <c r="AW329" s="17">
        <f t="shared" si="296"/>
        <v>0</v>
      </c>
      <c r="AX329" s="17">
        <f>IF('1 - Input'!$B$17=1,MAX(0,AV329-AN329),0)</f>
        <v>0</v>
      </c>
      <c r="AY329" s="17">
        <f>IF('1 - Input'!$B$17=1,MAX(0,AN329-AV329),0)</f>
        <v>4257.628013316772</v>
      </c>
      <c r="AZ329" s="17">
        <f t="shared" si="297"/>
        <v>0</v>
      </c>
      <c r="BA329" s="17">
        <f>IF(AND(AY329&gt;0,AS329&gt;0),AY329/(1-'1 - Input'!$B$22*AZ329),0)</f>
        <v>0</v>
      </c>
      <c r="BB329" s="17">
        <f t="shared" si="298"/>
        <v>0</v>
      </c>
      <c r="BC329" s="17">
        <f>'1 - Input'!$B$22*AZ329*BB329</f>
        <v>0</v>
      </c>
      <c r="BD329" s="17">
        <f t="shared" si="299"/>
        <v>0</v>
      </c>
      <c r="BE329" s="17">
        <f t="shared" si="300"/>
        <v>4257.628013316772</v>
      </c>
      <c r="BF329" s="17">
        <f t="shared" si="301"/>
        <v>0</v>
      </c>
      <c r="BG329" s="17">
        <f t="shared" si="302"/>
        <v>0</v>
      </c>
      <c r="BH329" s="17">
        <f t="shared" si="303"/>
        <v>0</v>
      </c>
      <c r="BI329" s="17">
        <f>IF(MOD(AK329,12)=0,BG329*'1 - Input'!$B$23,0)</f>
        <v>0</v>
      </c>
      <c r="BJ329" s="17">
        <f t="shared" si="304"/>
        <v>0</v>
      </c>
      <c r="BK329" s="17">
        <f>IF(MOD(AK329,12)=0,BH329*(1-'1 - Input'!$B$23),BH329)</f>
        <v>0</v>
      </c>
      <c r="BL329" s="17">
        <f>IF('1 - Input'!$B$17=1,MIN(AV329,AN329)+BD329,AV329)</f>
        <v>0</v>
      </c>
      <c r="BM329" s="17">
        <f t="shared" si="331"/>
        <v>590482.93849429931</v>
      </c>
      <c r="BN329" s="17">
        <f t="shared" si="332"/>
        <v>101441.90180685223</v>
      </c>
      <c r="BO329" s="17">
        <f t="shared" si="333"/>
        <v>0</v>
      </c>
      <c r="BP329" s="17">
        <f t="shared" si="334"/>
        <v>174289.24056370757</v>
      </c>
      <c r="BQ329" s="17">
        <f t="shared" si="335"/>
        <v>8123.5662772395826</v>
      </c>
      <c r="BR329" s="17">
        <f t="shared" si="336"/>
        <v>386670.14962893154</v>
      </c>
      <c r="BS329" s="15">
        <f t="shared" si="305"/>
        <v>1</v>
      </c>
      <c r="BU329" s="14">
        <v>286</v>
      </c>
      <c r="BV329" s="15">
        <f t="shared" si="306"/>
        <v>24</v>
      </c>
      <c r="BW329" s="16">
        <f>(1+INDEX('1 - Input'!$B$34:$E$63,BV329,'1 - Input'!$B$16))^(1/12)-1</f>
        <v>4.1219243192651689E-3</v>
      </c>
      <c r="BX329" s="17">
        <f>'1 - Input'!$B$7*(1+'1 - Input'!$B$12)^(BV329-1)</f>
        <v>4257.628013316772</v>
      </c>
      <c r="BY329" s="17">
        <f t="shared" si="337"/>
        <v>0</v>
      </c>
      <c r="BZ329" s="17">
        <f t="shared" si="338"/>
        <v>0</v>
      </c>
      <c r="CA329" s="17">
        <f t="shared" si="307"/>
        <v>0</v>
      </c>
      <c r="CB329" s="17">
        <f>IF(CA329&gt;0,'1 - Input'!$B$8/12*CA329,0)</f>
        <v>0</v>
      </c>
      <c r="CC329" s="17">
        <f t="shared" si="308"/>
        <v>0</v>
      </c>
      <c r="CD329" s="17">
        <f t="shared" si="309"/>
        <v>0</v>
      </c>
      <c r="CE329" s="17">
        <f>'1 - Input'!$B$22*(CB329-CD329)</f>
        <v>0</v>
      </c>
      <c r="CF329" s="17">
        <f t="shared" si="310"/>
        <v>0</v>
      </c>
      <c r="CG329" s="17">
        <f t="shared" si="311"/>
        <v>0</v>
      </c>
      <c r="CH329" s="17">
        <f>IF('1 - Input'!$B$17=1,MAX(0,CF329-BX329),0)</f>
        <v>0</v>
      </c>
      <c r="CI329" s="17">
        <f>IF('1 - Input'!$B$17=1,MAX(0,BX329-CF329),0)</f>
        <v>4257.628013316772</v>
      </c>
      <c r="CJ329" s="17">
        <f t="shared" si="312"/>
        <v>0</v>
      </c>
      <c r="CK329" s="17">
        <f>IF(AND(CI329&gt;0,CC329&gt;0),CI329/(1-'1 - Input'!$B$22*CJ329),0)</f>
        <v>0</v>
      </c>
      <c r="CL329" s="17">
        <f t="shared" si="313"/>
        <v>0</v>
      </c>
      <c r="CM329" s="17">
        <f>'1 - Input'!$B$22*CJ329*CL329</f>
        <v>0</v>
      </c>
      <c r="CN329" s="17">
        <f t="shared" si="314"/>
        <v>0</v>
      </c>
      <c r="CO329" s="17">
        <f t="shared" si="315"/>
        <v>4257.628013316772</v>
      </c>
      <c r="CP329" s="17">
        <f t="shared" si="316"/>
        <v>0</v>
      </c>
      <c r="CQ329" s="17">
        <f t="shared" si="317"/>
        <v>0</v>
      </c>
      <c r="CR329" s="17">
        <f t="shared" si="318"/>
        <v>0</v>
      </c>
      <c r="CS329" s="17">
        <f>IF(MOD(BU329,12)=0,CQ329*'1 - Input'!$B$23,0)</f>
        <v>0</v>
      </c>
      <c r="CT329" s="17">
        <f t="shared" si="319"/>
        <v>0</v>
      </c>
      <c r="CU329" s="17">
        <f>IF(MOD(BU329,12)=0,CR329*(1-'1 - Input'!$B$23),CR329)</f>
        <v>0</v>
      </c>
      <c r="CV329" s="17">
        <f>IF('1 - Input'!$B$17=1,MIN(CF329,BX329)+CN329,CF329)</f>
        <v>0</v>
      </c>
      <c r="CW329" s="17">
        <f t="shared" si="339"/>
        <v>686605.50041273201</v>
      </c>
      <c r="CX329" s="17">
        <f t="shared" si="340"/>
        <v>6018.3402768167462</v>
      </c>
      <c r="CY329" s="17">
        <f t="shared" si="341"/>
        <v>66518.776160328038</v>
      </c>
      <c r="CZ329" s="17">
        <f t="shared" si="342"/>
        <v>0</v>
      </c>
      <c r="DA329" s="17">
        <f t="shared" si="343"/>
        <v>10954.114452440983</v>
      </c>
      <c r="DB329" s="17">
        <f t="shared" si="344"/>
        <v>290547.58771049976</v>
      </c>
      <c r="DC329" s="15">
        <f t="shared" si="320"/>
        <v>1</v>
      </c>
    </row>
    <row r="330" spans="1:107">
      <c r="A330" s="14">
        <v>287</v>
      </c>
      <c r="B330" s="15">
        <f t="shared" si="276"/>
        <v>24</v>
      </c>
      <c r="C330" s="16">
        <f>(1+INDEX('1 - Input'!$B$34:$E$63,B330,'1 - Input'!$B$16))^(1/12)-1</f>
        <v>4.1219243192651689E-3</v>
      </c>
      <c r="D330" s="17">
        <f>'1 - Input'!$B$7*(1+'1 - Input'!$B$12)^(B330-1)</f>
        <v>4257.628013316772</v>
      </c>
      <c r="E330" s="17">
        <f t="shared" si="321"/>
        <v>0</v>
      </c>
      <c r="F330" s="17">
        <f t="shared" si="322"/>
        <v>0</v>
      </c>
      <c r="G330" s="17">
        <f t="shared" si="277"/>
        <v>0</v>
      </c>
      <c r="H330" s="17">
        <f>IF(G330&gt;0,'1 - Input'!$B$8/12*G330,0)</f>
        <v>0</v>
      </c>
      <c r="I330" s="17">
        <f t="shared" si="278"/>
        <v>0</v>
      </c>
      <c r="J330" s="17">
        <f t="shared" si="279"/>
        <v>0</v>
      </c>
      <c r="K330" s="17">
        <f>'1 - Input'!$B$22*(H330-J330)</f>
        <v>0</v>
      </c>
      <c r="L330" s="17">
        <f t="shared" si="280"/>
        <v>0</v>
      </c>
      <c r="M330" s="17">
        <f t="shared" si="281"/>
        <v>0</v>
      </c>
      <c r="N330" s="17">
        <f>IF('1 - Input'!$B$17=1,MAX(0,L330-D330),0)</f>
        <v>0</v>
      </c>
      <c r="O330" s="17">
        <f>IF('1 - Input'!$B$17=1,MAX(0,D330-L330),0)</f>
        <v>4257.628013316772</v>
      </c>
      <c r="P330" s="17">
        <f t="shared" si="282"/>
        <v>0</v>
      </c>
      <c r="Q330" s="17">
        <f>IF(AND(O330&gt;0,I330&gt;0),O330/(1-'1 - Input'!$B$22*P330),0)</f>
        <v>0</v>
      </c>
      <c r="R330" s="17">
        <f t="shared" si="283"/>
        <v>0</v>
      </c>
      <c r="S330" s="17">
        <f>'1 - Input'!$B$22*P330*R330</f>
        <v>0</v>
      </c>
      <c r="T330" s="17">
        <f t="shared" si="284"/>
        <v>0</v>
      </c>
      <c r="U330" s="17">
        <f t="shared" si="285"/>
        <v>4257.628013316772</v>
      </c>
      <c r="V330" s="17">
        <f t="shared" si="286"/>
        <v>0</v>
      </c>
      <c r="W330" s="17">
        <f t="shared" si="287"/>
        <v>0</v>
      </c>
      <c r="X330" s="17">
        <f t="shared" si="288"/>
        <v>0</v>
      </c>
      <c r="Y330" s="17">
        <f>IF(MOD(A330,12)=0,W330*'1 - Input'!$B$23,0)</f>
        <v>0</v>
      </c>
      <c r="Z330" s="17">
        <f t="shared" si="289"/>
        <v>0</v>
      </c>
      <c r="AA330" s="17">
        <f>IF(MOD(A330,12)=0,X330*(1-'1 - Input'!$B$23),X330)</f>
        <v>0</v>
      </c>
      <c r="AB330" s="17">
        <f>IF('1 - Input'!$B$17=1,MIN(L330,D330)+T330,L330)</f>
        <v>0</v>
      </c>
      <c r="AC330" s="17">
        <f t="shared" si="323"/>
        <v>590482.93849429931</v>
      </c>
      <c r="AD330" s="17">
        <f t="shared" si="324"/>
        <v>101441.90180685223</v>
      </c>
      <c r="AE330" s="17">
        <f t="shared" si="325"/>
        <v>0</v>
      </c>
      <c r="AF330" s="17">
        <f t="shared" si="326"/>
        <v>174289.24056370757</v>
      </c>
      <c r="AG330" s="17">
        <f t="shared" si="327"/>
        <v>8123.5662772395826</v>
      </c>
      <c r="AH330" s="17">
        <f t="shared" si="328"/>
        <v>390927.77764224831</v>
      </c>
      <c r="AI330" s="15">
        <f t="shared" si="290"/>
        <v>1</v>
      </c>
      <c r="AK330" s="14">
        <v>287</v>
      </c>
      <c r="AL330" s="15">
        <f t="shared" si="291"/>
        <v>24</v>
      </c>
      <c r="AM330" s="16">
        <f>(1+INDEX('1 - Input'!$B$34:$E$63,AL330,'1 - Input'!$B$16))^(1/12)-1</f>
        <v>4.1219243192651689E-3</v>
      </c>
      <c r="AN330" s="17">
        <f>'1 - Input'!$B$7*(1+'1 - Input'!$B$12)^(AL330-1)</f>
        <v>4257.628013316772</v>
      </c>
      <c r="AO330" s="17">
        <f t="shared" si="329"/>
        <v>0</v>
      </c>
      <c r="AP330" s="17">
        <f t="shared" si="330"/>
        <v>0</v>
      </c>
      <c r="AQ330" s="17">
        <f t="shared" si="292"/>
        <v>0</v>
      </c>
      <c r="AR330" s="17">
        <f>IF(AQ330&gt;0,'1 - Input'!$B$8/12*AQ330,0)</f>
        <v>0</v>
      </c>
      <c r="AS330" s="17">
        <f t="shared" si="293"/>
        <v>0</v>
      </c>
      <c r="AT330" s="17">
        <f t="shared" si="294"/>
        <v>0</v>
      </c>
      <c r="AU330" s="17">
        <f>'1 - Input'!$B$22*(AR330-AT330)</f>
        <v>0</v>
      </c>
      <c r="AV330" s="17">
        <f t="shared" si="295"/>
        <v>0</v>
      </c>
      <c r="AW330" s="17">
        <f t="shared" si="296"/>
        <v>0</v>
      </c>
      <c r="AX330" s="17">
        <f>IF('1 - Input'!$B$17=1,MAX(0,AV330-AN330),0)</f>
        <v>0</v>
      </c>
      <c r="AY330" s="17">
        <f>IF('1 - Input'!$B$17=1,MAX(0,AN330-AV330),0)</f>
        <v>4257.628013316772</v>
      </c>
      <c r="AZ330" s="17">
        <f t="shared" si="297"/>
        <v>0</v>
      </c>
      <c r="BA330" s="17">
        <f>IF(AND(AY330&gt;0,AS330&gt;0),AY330/(1-'1 - Input'!$B$22*AZ330),0)</f>
        <v>0</v>
      </c>
      <c r="BB330" s="17">
        <f t="shared" si="298"/>
        <v>0</v>
      </c>
      <c r="BC330" s="17">
        <f>'1 - Input'!$B$22*AZ330*BB330</f>
        <v>0</v>
      </c>
      <c r="BD330" s="17">
        <f t="shared" si="299"/>
        <v>0</v>
      </c>
      <c r="BE330" s="17">
        <f t="shared" si="300"/>
        <v>4257.628013316772</v>
      </c>
      <c r="BF330" s="17">
        <f t="shared" si="301"/>
        <v>0</v>
      </c>
      <c r="BG330" s="17">
        <f t="shared" si="302"/>
        <v>0</v>
      </c>
      <c r="BH330" s="17">
        <f t="shared" si="303"/>
        <v>0</v>
      </c>
      <c r="BI330" s="17">
        <f>IF(MOD(AK330,12)=0,BG330*'1 - Input'!$B$23,0)</f>
        <v>0</v>
      </c>
      <c r="BJ330" s="17">
        <f t="shared" si="304"/>
        <v>0</v>
      </c>
      <c r="BK330" s="17">
        <f>IF(MOD(AK330,12)=0,BH330*(1-'1 - Input'!$B$23),BH330)</f>
        <v>0</v>
      </c>
      <c r="BL330" s="17">
        <f>IF('1 - Input'!$B$17=1,MIN(AV330,AN330)+BD330,AV330)</f>
        <v>0</v>
      </c>
      <c r="BM330" s="17">
        <f t="shared" si="331"/>
        <v>590482.93849429931</v>
      </c>
      <c r="BN330" s="17">
        <f t="shared" si="332"/>
        <v>101441.90180685223</v>
      </c>
      <c r="BO330" s="17">
        <f t="shared" si="333"/>
        <v>0</v>
      </c>
      <c r="BP330" s="17">
        <f t="shared" si="334"/>
        <v>174289.24056370757</v>
      </c>
      <c r="BQ330" s="17">
        <f t="shared" si="335"/>
        <v>8123.5662772395826</v>
      </c>
      <c r="BR330" s="17">
        <f t="shared" si="336"/>
        <v>390927.77764224831</v>
      </c>
      <c r="BS330" s="15">
        <f t="shared" si="305"/>
        <v>1</v>
      </c>
      <c r="BU330" s="14">
        <v>287</v>
      </c>
      <c r="BV330" s="15">
        <f t="shared" si="306"/>
        <v>24</v>
      </c>
      <c r="BW330" s="16">
        <f>(1+INDEX('1 - Input'!$B$34:$E$63,BV330,'1 - Input'!$B$16))^(1/12)-1</f>
        <v>4.1219243192651689E-3</v>
      </c>
      <c r="BX330" s="17">
        <f>'1 - Input'!$B$7*(1+'1 - Input'!$B$12)^(BV330-1)</f>
        <v>4257.628013316772</v>
      </c>
      <c r="BY330" s="17">
        <f t="shared" si="337"/>
        <v>0</v>
      </c>
      <c r="BZ330" s="17">
        <f t="shared" si="338"/>
        <v>0</v>
      </c>
      <c r="CA330" s="17">
        <f t="shared" si="307"/>
        <v>0</v>
      </c>
      <c r="CB330" s="17">
        <f>IF(CA330&gt;0,'1 - Input'!$B$8/12*CA330,0)</f>
        <v>0</v>
      </c>
      <c r="CC330" s="17">
        <f t="shared" si="308"/>
        <v>0</v>
      </c>
      <c r="CD330" s="17">
        <f t="shared" si="309"/>
        <v>0</v>
      </c>
      <c r="CE330" s="17">
        <f>'1 - Input'!$B$22*(CB330-CD330)</f>
        <v>0</v>
      </c>
      <c r="CF330" s="17">
        <f t="shared" si="310"/>
        <v>0</v>
      </c>
      <c r="CG330" s="17">
        <f t="shared" si="311"/>
        <v>0</v>
      </c>
      <c r="CH330" s="17">
        <f>IF('1 - Input'!$B$17=1,MAX(0,CF330-BX330),0)</f>
        <v>0</v>
      </c>
      <c r="CI330" s="17">
        <f>IF('1 - Input'!$B$17=1,MAX(0,BX330-CF330),0)</f>
        <v>4257.628013316772</v>
      </c>
      <c r="CJ330" s="17">
        <f t="shared" si="312"/>
        <v>0</v>
      </c>
      <c r="CK330" s="17">
        <f>IF(AND(CI330&gt;0,CC330&gt;0),CI330/(1-'1 - Input'!$B$22*CJ330),0)</f>
        <v>0</v>
      </c>
      <c r="CL330" s="17">
        <f t="shared" si="313"/>
        <v>0</v>
      </c>
      <c r="CM330" s="17">
        <f>'1 - Input'!$B$22*CJ330*CL330</f>
        <v>0</v>
      </c>
      <c r="CN330" s="17">
        <f t="shared" si="314"/>
        <v>0</v>
      </c>
      <c r="CO330" s="17">
        <f t="shared" si="315"/>
        <v>4257.628013316772</v>
      </c>
      <c r="CP330" s="17">
        <f t="shared" si="316"/>
        <v>0</v>
      </c>
      <c r="CQ330" s="17">
        <f t="shared" si="317"/>
        <v>0</v>
      </c>
      <c r="CR330" s="17">
        <f t="shared" si="318"/>
        <v>0</v>
      </c>
      <c r="CS330" s="17">
        <f>IF(MOD(BU330,12)=0,CQ330*'1 - Input'!$B$23,0)</f>
        <v>0</v>
      </c>
      <c r="CT330" s="17">
        <f t="shared" si="319"/>
        <v>0</v>
      </c>
      <c r="CU330" s="17">
        <f>IF(MOD(BU330,12)=0,CR330*(1-'1 - Input'!$B$23),CR330)</f>
        <v>0</v>
      </c>
      <c r="CV330" s="17">
        <f>IF('1 - Input'!$B$17=1,MIN(CF330,BX330)+CN330,CF330)</f>
        <v>0</v>
      </c>
      <c r="CW330" s="17">
        <f t="shared" si="339"/>
        <v>686605.50041273201</v>
      </c>
      <c r="CX330" s="17">
        <f t="shared" si="340"/>
        <v>6018.3402768167462</v>
      </c>
      <c r="CY330" s="17">
        <f t="shared" si="341"/>
        <v>66518.776160328038</v>
      </c>
      <c r="CZ330" s="17">
        <f t="shared" si="342"/>
        <v>0</v>
      </c>
      <c r="DA330" s="17">
        <f t="shared" si="343"/>
        <v>10954.114452440983</v>
      </c>
      <c r="DB330" s="17">
        <f t="shared" si="344"/>
        <v>294805.21572381654</v>
      </c>
      <c r="DC330" s="15">
        <f t="shared" si="320"/>
        <v>1</v>
      </c>
    </row>
    <row r="331" spans="1:107">
      <c r="A331" s="14">
        <v>288</v>
      </c>
      <c r="B331" s="15">
        <f t="shared" si="276"/>
        <v>24</v>
      </c>
      <c r="C331" s="16">
        <f>(1+INDEX('1 - Input'!$B$34:$E$63,B331,'1 - Input'!$B$16))^(1/12)-1</f>
        <v>4.1219243192651689E-3</v>
      </c>
      <c r="D331" s="17">
        <f>'1 - Input'!$B$7*(1+'1 - Input'!$B$12)^(B331-1)</f>
        <v>4257.628013316772</v>
      </c>
      <c r="E331" s="17">
        <f t="shared" si="321"/>
        <v>0</v>
      </c>
      <c r="F331" s="17">
        <f t="shared" si="322"/>
        <v>0</v>
      </c>
      <c r="G331" s="17">
        <f t="shared" si="277"/>
        <v>0</v>
      </c>
      <c r="H331" s="17">
        <f>IF(G331&gt;0,'1 - Input'!$B$8/12*G331,0)</f>
        <v>0</v>
      </c>
      <c r="I331" s="17">
        <f t="shared" si="278"/>
        <v>0</v>
      </c>
      <c r="J331" s="17">
        <f t="shared" si="279"/>
        <v>0</v>
      </c>
      <c r="K331" s="17">
        <f>'1 - Input'!$B$22*(H331-J331)</f>
        <v>0</v>
      </c>
      <c r="L331" s="17">
        <f t="shared" si="280"/>
        <v>0</v>
      </c>
      <c r="M331" s="17">
        <f t="shared" si="281"/>
        <v>0</v>
      </c>
      <c r="N331" s="17">
        <f>IF('1 - Input'!$B$17=1,MAX(0,L331-D331),0)</f>
        <v>0</v>
      </c>
      <c r="O331" s="17">
        <f>IF('1 - Input'!$B$17=1,MAX(0,D331-L331),0)</f>
        <v>4257.628013316772</v>
      </c>
      <c r="P331" s="17">
        <f t="shared" si="282"/>
        <v>0</v>
      </c>
      <c r="Q331" s="17">
        <f>IF(AND(O331&gt;0,I331&gt;0),O331/(1-'1 - Input'!$B$22*P331),0)</f>
        <v>0</v>
      </c>
      <c r="R331" s="17">
        <f t="shared" si="283"/>
        <v>0</v>
      </c>
      <c r="S331" s="17">
        <f>'1 - Input'!$B$22*P331*R331</f>
        <v>0</v>
      </c>
      <c r="T331" s="17">
        <f t="shared" si="284"/>
        <v>0</v>
      </c>
      <c r="U331" s="17">
        <f t="shared" si="285"/>
        <v>4257.628013316772</v>
      </c>
      <c r="V331" s="17">
        <f t="shared" si="286"/>
        <v>0</v>
      </c>
      <c r="W331" s="17">
        <f t="shared" si="287"/>
        <v>0</v>
      </c>
      <c r="X331" s="17">
        <f t="shared" si="288"/>
        <v>0</v>
      </c>
      <c r="Y331" s="17">
        <f>IF(MOD(A331,12)=0,W331*'1 - Input'!$B$23,0)</f>
        <v>0</v>
      </c>
      <c r="Z331" s="17">
        <f t="shared" si="289"/>
        <v>0</v>
      </c>
      <c r="AA331" s="17">
        <f>IF(MOD(A331,12)=0,X331*(1-'1 - Input'!$B$23),X331)</f>
        <v>0</v>
      </c>
      <c r="AB331" s="17">
        <f>IF('1 - Input'!$B$17=1,MIN(L331,D331)+T331,L331)</f>
        <v>0</v>
      </c>
      <c r="AC331" s="17">
        <f t="shared" si="323"/>
        <v>590482.93849429931</v>
      </c>
      <c r="AD331" s="17">
        <f t="shared" si="324"/>
        <v>101441.90180685223</v>
      </c>
      <c r="AE331" s="17">
        <f t="shared" si="325"/>
        <v>0</v>
      </c>
      <c r="AF331" s="17">
        <f t="shared" si="326"/>
        <v>174289.24056370757</v>
      </c>
      <c r="AG331" s="17">
        <f t="shared" si="327"/>
        <v>8123.5662772395826</v>
      </c>
      <c r="AH331" s="17">
        <f t="shared" si="328"/>
        <v>395185.40565556509</v>
      </c>
      <c r="AI331" s="15">
        <f t="shared" si="290"/>
        <v>1</v>
      </c>
      <c r="AK331" s="14">
        <v>288</v>
      </c>
      <c r="AL331" s="15">
        <f t="shared" si="291"/>
        <v>24</v>
      </c>
      <c r="AM331" s="16">
        <f>(1+INDEX('1 - Input'!$B$34:$E$63,AL331,'1 - Input'!$B$16))^(1/12)-1</f>
        <v>4.1219243192651689E-3</v>
      </c>
      <c r="AN331" s="17">
        <f>'1 - Input'!$B$7*(1+'1 - Input'!$B$12)^(AL331-1)</f>
        <v>4257.628013316772</v>
      </c>
      <c r="AO331" s="17">
        <f t="shared" si="329"/>
        <v>0</v>
      </c>
      <c r="AP331" s="17">
        <f t="shared" si="330"/>
        <v>0</v>
      </c>
      <c r="AQ331" s="17">
        <f t="shared" si="292"/>
        <v>0</v>
      </c>
      <c r="AR331" s="17">
        <f>IF(AQ331&gt;0,'1 - Input'!$B$8/12*AQ331,0)</f>
        <v>0</v>
      </c>
      <c r="AS331" s="17">
        <f t="shared" si="293"/>
        <v>0</v>
      </c>
      <c r="AT331" s="17">
        <f t="shared" si="294"/>
        <v>0</v>
      </c>
      <c r="AU331" s="17">
        <f>'1 - Input'!$B$22*(AR331-AT331)</f>
        <v>0</v>
      </c>
      <c r="AV331" s="17">
        <f t="shared" si="295"/>
        <v>0</v>
      </c>
      <c r="AW331" s="17">
        <f t="shared" si="296"/>
        <v>0</v>
      </c>
      <c r="AX331" s="17">
        <f>IF('1 - Input'!$B$17=1,MAX(0,AV331-AN331),0)</f>
        <v>0</v>
      </c>
      <c r="AY331" s="17">
        <f>IF('1 - Input'!$B$17=1,MAX(0,AN331-AV331),0)</f>
        <v>4257.628013316772</v>
      </c>
      <c r="AZ331" s="17">
        <f t="shared" si="297"/>
        <v>0</v>
      </c>
      <c r="BA331" s="17">
        <f>IF(AND(AY331&gt;0,AS331&gt;0),AY331/(1-'1 - Input'!$B$22*AZ331),0)</f>
        <v>0</v>
      </c>
      <c r="BB331" s="17">
        <f t="shared" si="298"/>
        <v>0</v>
      </c>
      <c r="BC331" s="17">
        <f>'1 - Input'!$B$22*AZ331*BB331</f>
        <v>0</v>
      </c>
      <c r="BD331" s="17">
        <f t="shared" si="299"/>
        <v>0</v>
      </c>
      <c r="BE331" s="17">
        <f t="shared" si="300"/>
        <v>4257.628013316772</v>
      </c>
      <c r="BF331" s="17">
        <f t="shared" si="301"/>
        <v>0</v>
      </c>
      <c r="BG331" s="17">
        <f t="shared" si="302"/>
        <v>0</v>
      </c>
      <c r="BH331" s="17">
        <f t="shared" si="303"/>
        <v>0</v>
      </c>
      <c r="BI331" s="17">
        <f>IF(MOD(AK331,12)=0,BG331*'1 - Input'!$B$23,0)</f>
        <v>0</v>
      </c>
      <c r="BJ331" s="17">
        <f t="shared" si="304"/>
        <v>0</v>
      </c>
      <c r="BK331" s="17">
        <f>IF(MOD(AK331,12)=0,BH331*(1-'1 - Input'!$B$23),BH331)</f>
        <v>0</v>
      </c>
      <c r="BL331" s="17">
        <f>IF('1 - Input'!$B$17=1,MIN(AV331,AN331)+BD331,AV331)</f>
        <v>0</v>
      </c>
      <c r="BM331" s="17">
        <f t="shared" si="331"/>
        <v>590482.93849429931</v>
      </c>
      <c r="BN331" s="17">
        <f t="shared" si="332"/>
        <v>101441.90180685223</v>
      </c>
      <c r="BO331" s="17">
        <f t="shared" si="333"/>
        <v>0</v>
      </c>
      <c r="BP331" s="17">
        <f t="shared" si="334"/>
        <v>174289.24056370757</v>
      </c>
      <c r="BQ331" s="17">
        <f t="shared" si="335"/>
        <v>8123.5662772395826</v>
      </c>
      <c r="BR331" s="17">
        <f t="shared" si="336"/>
        <v>395185.40565556509</v>
      </c>
      <c r="BS331" s="15">
        <f t="shared" si="305"/>
        <v>1</v>
      </c>
      <c r="BU331" s="14">
        <v>288</v>
      </c>
      <c r="BV331" s="15">
        <f t="shared" si="306"/>
        <v>24</v>
      </c>
      <c r="BW331" s="16">
        <f>(1+INDEX('1 - Input'!$B$34:$E$63,BV331,'1 - Input'!$B$16))^(1/12)-1</f>
        <v>4.1219243192651689E-3</v>
      </c>
      <c r="BX331" s="17">
        <f>'1 - Input'!$B$7*(1+'1 - Input'!$B$12)^(BV331-1)</f>
        <v>4257.628013316772</v>
      </c>
      <c r="BY331" s="17">
        <f t="shared" si="337"/>
        <v>0</v>
      </c>
      <c r="BZ331" s="17">
        <f t="shared" si="338"/>
        <v>0</v>
      </c>
      <c r="CA331" s="17">
        <f t="shared" si="307"/>
        <v>0</v>
      </c>
      <c r="CB331" s="17">
        <f>IF(CA331&gt;0,'1 - Input'!$B$8/12*CA331,0)</f>
        <v>0</v>
      </c>
      <c r="CC331" s="17">
        <f t="shared" si="308"/>
        <v>0</v>
      </c>
      <c r="CD331" s="17">
        <f t="shared" si="309"/>
        <v>0</v>
      </c>
      <c r="CE331" s="17">
        <f>'1 - Input'!$B$22*(CB331-CD331)</f>
        <v>0</v>
      </c>
      <c r="CF331" s="17">
        <f t="shared" si="310"/>
        <v>0</v>
      </c>
      <c r="CG331" s="17">
        <f t="shared" si="311"/>
        <v>0</v>
      </c>
      <c r="CH331" s="17">
        <f>IF('1 - Input'!$B$17=1,MAX(0,CF331-BX331),0)</f>
        <v>0</v>
      </c>
      <c r="CI331" s="17">
        <f>IF('1 - Input'!$B$17=1,MAX(0,BX331-CF331),0)</f>
        <v>4257.628013316772</v>
      </c>
      <c r="CJ331" s="17">
        <f t="shared" si="312"/>
        <v>0</v>
      </c>
      <c r="CK331" s="17">
        <f>IF(AND(CI331&gt;0,CC331&gt;0),CI331/(1-'1 - Input'!$B$22*CJ331),0)</f>
        <v>0</v>
      </c>
      <c r="CL331" s="17">
        <f t="shared" si="313"/>
        <v>0</v>
      </c>
      <c r="CM331" s="17">
        <f>'1 - Input'!$B$22*CJ331*CL331</f>
        <v>0</v>
      </c>
      <c r="CN331" s="17">
        <f t="shared" si="314"/>
        <v>0</v>
      </c>
      <c r="CO331" s="17">
        <f t="shared" si="315"/>
        <v>4257.628013316772</v>
      </c>
      <c r="CP331" s="17">
        <f t="shared" si="316"/>
        <v>0</v>
      </c>
      <c r="CQ331" s="17">
        <f t="shared" si="317"/>
        <v>0</v>
      </c>
      <c r="CR331" s="17">
        <f t="shared" si="318"/>
        <v>0</v>
      </c>
      <c r="CS331" s="17">
        <f>IF(MOD(BU331,12)=0,CQ331*'1 - Input'!$B$23,0)</f>
        <v>0</v>
      </c>
      <c r="CT331" s="17">
        <f t="shared" si="319"/>
        <v>0</v>
      </c>
      <c r="CU331" s="17">
        <f>IF(MOD(BU331,12)=0,CR331*(1-'1 - Input'!$B$23),CR331)</f>
        <v>0</v>
      </c>
      <c r="CV331" s="17">
        <f>IF('1 - Input'!$B$17=1,MIN(CF331,BX331)+CN331,CF331)</f>
        <v>0</v>
      </c>
      <c r="CW331" s="17">
        <f t="shared" si="339"/>
        <v>686605.50041273201</v>
      </c>
      <c r="CX331" s="17">
        <f t="shared" si="340"/>
        <v>6018.3402768167462</v>
      </c>
      <c r="CY331" s="17">
        <f t="shared" si="341"/>
        <v>66518.776160328038</v>
      </c>
      <c r="CZ331" s="17">
        <f t="shared" si="342"/>
        <v>0</v>
      </c>
      <c r="DA331" s="17">
        <f t="shared" si="343"/>
        <v>10954.114452440983</v>
      </c>
      <c r="DB331" s="17">
        <f t="shared" si="344"/>
        <v>299062.84373713331</v>
      </c>
      <c r="DC331" s="15">
        <f t="shared" si="320"/>
        <v>1</v>
      </c>
    </row>
    <row r="332" spans="1:107">
      <c r="A332" s="14">
        <v>289</v>
      </c>
      <c r="B332" s="15">
        <f t="shared" si="276"/>
        <v>25</v>
      </c>
      <c r="C332" s="16">
        <f>(1+INDEX('1 - Input'!$B$34:$E$63,B332,'1 - Input'!$B$16))^(1/12)-1</f>
        <v>4.1219243192651689E-3</v>
      </c>
      <c r="D332" s="17">
        <f>'1 - Input'!$B$7*(1+'1 - Input'!$B$12)^(B332-1)</f>
        <v>4342.780573583108</v>
      </c>
      <c r="E332" s="17">
        <f t="shared" si="321"/>
        <v>0</v>
      </c>
      <c r="F332" s="17">
        <f t="shared" si="322"/>
        <v>0</v>
      </c>
      <c r="G332" s="17">
        <f t="shared" si="277"/>
        <v>0</v>
      </c>
      <c r="H332" s="17">
        <f>IF(G332&gt;0,'1 - Input'!$B$8/12*G332,0)</f>
        <v>0</v>
      </c>
      <c r="I332" s="17">
        <f t="shared" si="278"/>
        <v>0</v>
      </c>
      <c r="J332" s="17">
        <f t="shared" si="279"/>
        <v>0</v>
      </c>
      <c r="K332" s="17">
        <f>'1 - Input'!$B$22*(H332-J332)</f>
        <v>0</v>
      </c>
      <c r="L332" s="17">
        <f t="shared" si="280"/>
        <v>0</v>
      </c>
      <c r="M332" s="17">
        <f t="shared" si="281"/>
        <v>0</v>
      </c>
      <c r="N332" s="17">
        <f>IF('1 - Input'!$B$17=1,MAX(0,L332-D332),0)</f>
        <v>0</v>
      </c>
      <c r="O332" s="17">
        <f>IF('1 - Input'!$B$17=1,MAX(0,D332-L332),0)</f>
        <v>4342.780573583108</v>
      </c>
      <c r="P332" s="17">
        <f t="shared" si="282"/>
        <v>0</v>
      </c>
      <c r="Q332" s="17">
        <f>IF(AND(O332&gt;0,I332&gt;0),O332/(1-'1 - Input'!$B$22*P332),0)</f>
        <v>0</v>
      </c>
      <c r="R332" s="17">
        <f t="shared" si="283"/>
        <v>0</v>
      </c>
      <c r="S332" s="17">
        <f>'1 - Input'!$B$22*P332*R332</f>
        <v>0</v>
      </c>
      <c r="T332" s="17">
        <f t="shared" si="284"/>
        <v>0</v>
      </c>
      <c r="U332" s="17">
        <f t="shared" si="285"/>
        <v>4342.780573583108</v>
      </c>
      <c r="V332" s="17">
        <f t="shared" si="286"/>
        <v>0</v>
      </c>
      <c r="W332" s="17">
        <f t="shared" si="287"/>
        <v>0</v>
      </c>
      <c r="X332" s="17">
        <f t="shared" si="288"/>
        <v>0</v>
      </c>
      <c r="Y332" s="17">
        <f>IF(MOD(A332,12)=0,W332*'1 - Input'!$B$23,0)</f>
        <v>0</v>
      </c>
      <c r="Z332" s="17">
        <f t="shared" si="289"/>
        <v>0</v>
      </c>
      <c r="AA332" s="17">
        <f>IF(MOD(A332,12)=0,X332*(1-'1 - Input'!$B$23),X332)</f>
        <v>0</v>
      </c>
      <c r="AB332" s="17">
        <f>IF('1 - Input'!$B$17=1,MIN(L332,D332)+T332,L332)</f>
        <v>0</v>
      </c>
      <c r="AC332" s="17">
        <f t="shared" si="323"/>
        <v>590482.93849429931</v>
      </c>
      <c r="AD332" s="17">
        <f t="shared" si="324"/>
        <v>101441.90180685223</v>
      </c>
      <c r="AE332" s="17">
        <f t="shared" si="325"/>
        <v>0</v>
      </c>
      <c r="AF332" s="17">
        <f t="shared" si="326"/>
        <v>174289.24056370757</v>
      </c>
      <c r="AG332" s="17">
        <f t="shared" si="327"/>
        <v>8123.5662772395826</v>
      </c>
      <c r="AH332" s="17">
        <f t="shared" si="328"/>
        <v>399528.18622914818</v>
      </c>
      <c r="AI332" s="15">
        <f t="shared" si="290"/>
        <v>1</v>
      </c>
      <c r="AK332" s="14">
        <v>289</v>
      </c>
      <c r="AL332" s="15">
        <f t="shared" si="291"/>
        <v>25</v>
      </c>
      <c r="AM332" s="16">
        <f>(1+INDEX('1 - Input'!$B$34:$E$63,AL332,'1 - Input'!$B$16))^(1/12)-1</f>
        <v>4.1219243192651689E-3</v>
      </c>
      <c r="AN332" s="17">
        <f>'1 - Input'!$B$7*(1+'1 - Input'!$B$12)^(AL332-1)</f>
        <v>4342.780573583108</v>
      </c>
      <c r="AO332" s="17">
        <f t="shared" si="329"/>
        <v>0</v>
      </c>
      <c r="AP332" s="17">
        <f t="shared" si="330"/>
        <v>0</v>
      </c>
      <c r="AQ332" s="17">
        <f t="shared" si="292"/>
        <v>0</v>
      </c>
      <c r="AR332" s="17">
        <f>IF(AQ332&gt;0,'1 - Input'!$B$8/12*AQ332,0)</f>
        <v>0</v>
      </c>
      <c r="AS332" s="17">
        <f t="shared" si="293"/>
        <v>0</v>
      </c>
      <c r="AT332" s="17">
        <f t="shared" si="294"/>
        <v>0</v>
      </c>
      <c r="AU332" s="17">
        <f>'1 - Input'!$B$22*(AR332-AT332)</f>
        <v>0</v>
      </c>
      <c r="AV332" s="17">
        <f t="shared" si="295"/>
        <v>0</v>
      </c>
      <c r="AW332" s="17">
        <f t="shared" si="296"/>
        <v>0</v>
      </c>
      <c r="AX332" s="17">
        <f>IF('1 - Input'!$B$17=1,MAX(0,AV332-AN332),0)</f>
        <v>0</v>
      </c>
      <c r="AY332" s="17">
        <f>IF('1 - Input'!$B$17=1,MAX(0,AN332-AV332),0)</f>
        <v>4342.780573583108</v>
      </c>
      <c r="AZ332" s="17">
        <f t="shared" si="297"/>
        <v>0</v>
      </c>
      <c r="BA332" s="17">
        <f>IF(AND(AY332&gt;0,AS332&gt;0),AY332/(1-'1 - Input'!$B$22*AZ332),0)</f>
        <v>0</v>
      </c>
      <c r="BB332" s="17">
        <f t="shared" si="298"/>
        <v>0</v>
      </c>
      <c r="BC332" s="17">
        <f>'1 - Input'!$B$22*AZ332*BB332</f>
        <v>0</v>
      </c>
      <c r="BD332" s="17">
        <f t="shared" si="299"/>
        <v>0</v>
      </c>
      <c r="BE332" s="17">
        <f t="shared" si="300"/>
        <v>4342.780573583108</v>
      </c>
      <c r="BF332" s="17">
        <f t="shared" si="301"/>
        <v>0</v>
      </c>
      <c r="BG332" s="17">
        <f t="shared" si="302"/>
        <v>0</v>
      </c>
      <c r="BH332" s="17">
        <f t="shared" si="303"/>
        <v>0</v>
      </c>
      <c r="BI332" s="17">
        <f>IF(MOD(AK332,12)=0,BG332*'1 - Input'!$B$23,0)</f>
        <v>0</v>
      </c>
      <c r="BJ332" s="17">
        <f t="shared" si="304"/>
        <v>0</v>
      </c>
      <c r="BK332" s="17">
        <f>IF(MOD(AK332,12)=0,BH332*(1-'1 - Input'!$B$23),BH332)</f>
        <v>0</v>
      </c>
      <c r="BL332" s="17">
        <f>IF('1 - Input'!$B$17=1,MIN(AV332,AN332)+BD332,AV332)</f>
        <v>0</v>
      </c>
      <c r="BM332" s="17">
        <f t="shared" si="331"/>
        <v>590482.93849429931</v>
      </c>
      <c r="BN332" s="17">
        <f t="shared" si="332"/>
        <v>101441.90180685223</v>
      </c>
      <c r="BO332" s="17">
        <f t="shared" si="333"/>
        <v>0</v>
      </c>
      <c r="BP332" s="17">
        <f t="shared" si="334"/>
        <v>174289.24056370757</v>
      </c>
      <c r="BQ332" s="17">
        <f t="shared" si="335"/>
        <v>8123.5662772395826</v>
      </c>
      <c r="BR332" s="17">
        <f t="shared" si="336"/>
        <v>399528.18622914818</v>
      </c>
      <c r="BS332" s="15">
        <f t="shared" si="305"/>
        <v>1</v>
      </c>
      <c r="BU332" s="14">
        <v>289</v>
      </c>
      <c r="BV332" s="15">
        <f t="shared" si="306"/>
        <v>25</v>
      </c>
      <c r="BW332" s="16">
        <f>(1+INDEX('1 - Input'!$B$34:$E$63,BV332,'1 - Input'!$B$16))^(1/12)-1</f>
        <v>4.1219243192651689E-3</v>
      </c>
      <c r="BX332" s="17">
        <f>'1 - Input'!$B$7*(1+'1 - Input'!$B$12)^(BV332-1)</f>
        <v>4342.780573583108</v>
      </c>
      <c r="BY332" s="17">
        <f t="shared" si="337"/>
        <v>0</v>
      </c>
      <c r="BZ332" s="17">
        <f t="shared" si="338"/>
        <v>0</v>
      </c>
      <c r="CA332" s="17">
        <f t="shared" si="307"/>
        <v>0</v>
      </c>
      <c r="CB332" s="17">
        <f>IF(CA332&gt;0,'1 - Input'!$B$8/12*CA332,0)</f>
        <v>0</v>
      </c>
      <c r="CC332" s="17">
        <f t="shared" si="308"/>
        <v>0</v>
      </c>
      <c r="CD332" s="17">
        <f t="shared" si="309"/>
        <v>0</v>
      </c>
      <c r="CE332" s="17">
        <f>'1 - Input'!$B$22*(CB332-CD332)</f>
        <v>0</v>
      </c>
      <c r="CF332" s="17">
        <f t="shared" si="310"/>
        <v>0</v>
      </c>
      <c r="CG332" s="17">
        <f t="shared" si="311"/>
        <v>0</v>
      </c>
      <c r="CH332" s="17">
        <f>IF('1 - Input'!$B$17=1,MAX(0,CF332-BX332),0)</f>
        <v>0</v>
      </c>
      <c r="CI332" s="17">
        <f>IF('1 - Input'!$B$17=1,MAX(0,BX332-CF332),0)</f>
        <v>4342.780573583108</v>
      </c>
      <c r="CJ332" s="17">
        <f t="shared" si="312"/>
        <v>0</v>
      </c>
      <c r="CK332" s="17">
        <f>IF(AND(CI332&gt;0,CC332&gt;0),CI332/(1-'1 - Input'!$B$22*CJ332),0)</f>
        <v>0</v>
      </c>
      <c r="CL332" s="17">
        <f t="shared" si="313"/>
        <v>0</v>
      </c>
      <c r="CM332" s="17">
        <f>'1 - Input'!$B$22*CJ332*CL332</f>
        <v>0</v>
      </c>
      <c r="CN332" s="17">
        <f t="shared" si="314"/>
        <v>0</v>
      </c>
      <c r="CO332" s="17">
        <f t="shared" si="315"/>
        <v>4342.780573583108</v>
      </c>
      <c r="CP332" s="17">
        <f t="shared" si="316"/>
        <v>0</v>
      </c>
      <c r="CQ332" s="17">
        <f t="shared" si="317"/>
        <v>0</v>
      </c>
      <c r="CR332" s="17">
        <f t="shared" si="318"/>
        <v>0</v>
      </c>
      <c r="CS332" s="17">
        <f>IF(MOD(BU332,12)=0,CQ332*'1 - Input'!$B$23,0)</f>
        <v>0</v>
      </c>
      <c r="CT332" s="17">
        <f t="shared" si="319"/>
        <v>0</v>
      </c>
      <c r="CU332" s="17">
        <f>IF(MOD(BU332,12)=0,CR332*(1-'1 - Input'!$B$23),CR332)</f>
        <v>0</v>
      </c>
      <c r="CV332" s="17">
        <f>IF('1 - Input'!$B$17=1,MIN(CF332,BX332)+CN332,CF332)</f>
        <v>0</v>
      </c>
      <c r="CW332" s="17">
        <f t="shared" si="339"/>
        <v>686605.50041273201</v>
      </c>
      <c r="CX332" s="17">
        <f t="shared" si="340"/>
        <v>6018.3402768167462</v>
      </c>
      <c r="CY332" s="17">
        <f t="shared" si="341"/>
        <v>66518.776160328038</v>
      </c>
      <c r="CZ332" s="17">
        <f t="shared" si="342"/>
        <v>0</v>
      </c>
      <c r="DA332" s="17">
        <f t="shared" si="343"/>
        <v>10954.114452440983</v>
      </c>
      <c r="DB332" s="17">
        <f t="shared" si="344"/>
        <v>303405.6243107164</v>
      </c>
      <c r="DC332" s="15">
        <f t="shared" si="320"/>
        <v>1</v>
      </c>
    </row>
    <row r="333" spans="1:107">
      <c r="A333" s="14">
        <v>290</v>
      </c>
      <c r="B333" s="15">
        <f t="shared" si="276"/>
        <v>25</v>
      </c>
      <c r="C333" s="16">
        <f>(1+INDEX('1 - Input'!$B$34:$E$63,B333,'1 - Input'!$B$16))^(1/12)-1</f>
        <v>4.1219243192651689E-3</v>
      </c>
      <c r="D333" s="17">
        <f>'1 - Input'!$B$7*(1+'1 - Input'!$B$12)^(B333-1)</f>
        <v>4342.780573583108</v>
      </c>
      <c r="E333" s="17">
        <f t="shared" si="321"/>
        <v>0</v>
      </c>
      <c r="F333" s="17">
        <f t="shared" si="322"/>
        <v>0</v>
      </c>
      <c r="G333" s="17">
        <f t="shared" si="277"/>
        <v>0</v>
      </c>
      <c r="H333" s="17">
        <f>IF(G333&gt;0,'1 - Input'!$B$8/12*G333,0)</f>
        <v>0</v>
      </c>
      <c r="I333" s="17">
        <f t="shared" si="278"/>
        <v>0</v>
      </c>
      <c r="J333" s="17">
        <f t="shared" si="279"/>
        <v>0</v>
      </c>
      <c r="K333" s="17">
        <f>'1 - Input'!$B$22*(H333-J333)</f>
        <v>0</v>
      </c>
      <c r="L333" s="17">
        <f t="shared" si="280"/>
        <v>0</v>
      </c>
      <c r="M333" s="17">
        <f t="shared" si="281"/>
        <v>0</v>
      </c>
      <c r="N333" s="17">
        <f>IF('1 - Input'!$B$17=1,MAX(0,L333-D333),0)</f>
        <v>0</v>
      </c>
      <c r="O333" s="17">
        <f>IF('1 - Input'!$B$17=1,MAX(0,D333-L333),0)</f>
        <v>4342.780573583108</v>
      </c>
      <c r="P333" s="17">
        <f t="shared" si="282"/>
        <v>0</v>
      </c>
      <c r="Q333" s="17">
        <f>IF(AND(O333&gt;0,I333&gt;0),O333/(1-'1 - Input'!$B$22*P333),0)</f>
        <v>0</v>
      </c>
      <c r="R333" s="17">
        <f t="shared" si="283"/>
        <v>0</v>
      </c>
      <c r="S333" s="17">
        <f>'1 - Input'!$B$22*P333*R333</f>
        <v>0</v>
      </c>
      <c r="T333" s="17">
        <f t="shared" si="284"/>
        <v>0</v>
      </c>
      <c r="U333" s="17">
        <f t="shared" si="285"/>
        <v>4342.780573583108</v>
      </c>
      <c r="V333" s="17">
        <f t="shared" si="286"/>
        <v>0</v>
      </c>
      <c r="W333" s="17">
        <f t="shared" si="287"/>
        <v>0</v>
      </c>
      <c r="X333" s="17">
        <f t="shared" si="288"/>
        <v>0</v>
      </c>
      <c r="Y333" s="17">
        <f>IF(MOD(A333,12)=0,W333*'1 - Input'!$B$23,0)</f>
        <v>0</v>
      </c>
      <c r="Z333" s="17">
        <f t="shared" si="289"/>
        <v>0</v>
      </c>
      <c r="AA333" s="17">
        <f>IF(MOD(A333,12)=0,X333*(1-'1 - Input'!$B$23),X333)</f>
        <v>0</v>
      </c>
      <c r="AB333" s="17">
        <f>IF('1 - Input'!$B$17=1,MIN(L333,D333)+T333,L333)</f>
        <v>0</v>
      </c>
      <c r="AC333" s="17">
        <f t="shared" si="323"/>
        <v>590482.93849429931</v>
      </c>
      <c r="AD333" s="17">
        <f t="shared" si="324"/>
        <v>101441.90180685223</v>
      </c>
      <c r="AE333" s="17">
        <f t="shared" si="325"/>
        <v>0</v>
      </c>
      <c r="AF333" s="17">
        <f t="shared" si="326"/>
        <v>174289.24056370757</v>
      </c>
      <c r="AG333" s="17">
        <f t="shared" si="327"/>
        <v>8123.5662772395826</v>
      </c>
      <c r="AH333" s="17">
        <f t="shared" si="328"/>
        <v>403870.96680273127</v>
      </c>
      <c r="AI333" s="15">
        <f t="shared" si="290"/>
        <v>1</v>
      </c>
      <c r="AK333" s="14">
        <v>290</v>
      </c>
      <c r="AL333" s="15">
        <f t="shared" si="291"/>
        <v>25</v>
      </c>
      <c r="AM333" s="16">
        <f>(1+INDEX('1 - Input'!$B$34:$E$63,AL333,'1 - Input'!$B$16))^(1/12)-1</f>
        <v>4.1219243192651689E-3</v>
      </c>
      <c r="AN333" s="17">
        <f>'1 - Input'!$B$7*(1+'1 - Input'!$B$12)^(AL333-1)</f>
        <v>4342.780573583108</v>
      </c>
      <c r="AO333" s="17">
        <f t="shared" si="329"/>
        <v>0</v>
      </c>
      <c r="AP333" s="17">
        <f t="shared" si="330"/>
        <v>0</v>
      </c>
      <c r="AQ333" s="17">
        <f t="shared" si="292"/>
        <v>0</v>
      </c>
      <c r="AR333" s="17">
        <f>IF(AQ333&gt;0,'1 - Input'!$B$8/12*AQ333,0)</f>
        <v>0</v>
      </c>
      <c r="AS333" s="17">
        <f t="shared" si="293"/>
        <v>0</v>
      </c>
      <c r="AT333" s="17">
        <f t="shared" si="294"/>
        <v>0</v>
      </c>
      <c r="AU333" s="17">
        <f>'1 - Input'!$B$22*(AR333-AT333)</f>
        <v>0</v>
      </c>
      <c r="AV333" s="17">
        <f t="shared" si="295"/>
        <v>0</v>
      </c>
      <c r="AW333" s="17">
        <f t="shared" si="296"/>
        <v>0</v>
      </c>
      <c r="AX333" s="17">
        <f>IF('1 - Input'!$B$17=1,MAX(0,AV333-AN333),0)</f>
        <v>0</v>
      </c>
      <c r="AY333" s="17">
        <f>IF('1 - Input'!$B$17=1,MAX(0,AN333-AV333),0)</f>
        <v>4342.780573583108</v>
      </c>
      <c r="AZ333" s="17">
        <f t="shared" si="297"/>
        <v>0</v>
      </c>
      <c r="BA333" s="17">
        <f>IF(AND(AY333&gt;0,AS333&gt;0),AY333/(1-'1 - Input'!$B$22*AZ333),0)</f>
        <v>0</v>
      </c>
      <c r="BB333" s="17">
        <f t="shared" si="298"/>
        <v>0</v>
      </c>
      <c r="BC333" s="17">
        <f>'1 - Input'!$B$22*AZ333*BB333</f>
        <v>0</v>
      </c>
      <c r="BD333" s="17">
        <f t="shared" si="299"/>
        <v>0</v>
      </c>
      <c r="BE333" s="17">
        <f t="shared" si="300"/>
        <v>4342.780573583108</v>
      </c>
      <c r="BF333" s="17">
        <f t="shared" si="301"/>
        <v>0</v>
      </c>
      <c r="BG333" s="17">
        <f t="shared" si="302"/>
        <v>0</v>
      </c>
      <c r="BH333" s="17">
        <f t="shared" si="303"/>
        <v>0</v>
      </c>
      <c r="BI333" s="17">
        <f>IF(MOD(AK333,12)=0,BG333*'1 - Input'!$B$23,0)</f>
        <v>0</v>
      </c>
      <c r="BJ333" s="17">
        <f t="shared" si="304"/>
        <v>0</v>
      </c>
      <c r="BK333" s="17">
        <f>IF(MOD(AK333,12)=0,BH333*(1-'1 - Input'!$B$23),BH333)</f>
        <v>0</v>
      </c>
      <c r="BL333" s="17">
        <f>IF('1 - Input'!$B$17=1,MIN(AV333,AN333)+BD333,AV333)</f>
        <v>0</v>
      </c>
      <c r="BM333" s="17">
        <f t="shared" si="331"/>
        <v>590482.93849429931</v>
      </c>
      <c r="BN333" s="17">
        <f t="shared" si="332"/>
        <v>101441.90180685223</v>
      </c>
      <c r="BO333" s="17">
        <f t="shared" si="333"/>
        <v>0</v>
      </c>
      <c r="BP333" s="17">
        <f t="shared" si="334"/>
        <v>174289.24056370757</v>
      </c>
      <c r="BQ333" s="17">
        <f t="shared" si="335"/>
        <v>8123.5662772395826</v>
      </c>
      <c r="BR333" s="17">
        <f t="shared" si="336"/>
        <v>403870.96680273127</v>
      </c>
      <c r="BS333" s="15">
        <f t="shared" si="305"/>
        <v>1</v>
      </c>
      <c r="BU333" s="14">
        <v>290</v>
      </c>
      <c r="BV333" s="15">
        <f t="shared" si="306"/>
        <v>25</v>
      </c>
      <c r="BW333" s="16">
        <f>(1+INDEX('1 - Input'!$B$34:$E$63,BV333,'1 - Input'!$B$16))^(1/12)-1</f>
        <v>4.1219243192651689E-3</v>
      </c>
      <c r="BX333" s="17">
        <f>'1 - Input'!$B$7*(1+'1 - Input'!$B$12)^(BV333-1)</f>
        <v>4342.780573583108</v>
      </c>
      <c r="BY333" s="17">
        <f t="shared" si="337"/>
        <v>0</v>
      </c>
      <c r="BZ333" s="17">
        <f t="shared" si="338"/>
        <v>0</v>
      </c>
      <c r="CA333" s="17">
        <f t="shared" si="307"/>
        <v>0</v>
      </c>
      <c r="CB333" s="17">
        <f>IF(CA333&gt;0,'1 - Input'!$B$8/12*CA333,0)</f>
        <v>0</v>
      </c>
      <c r="CC333" s="17">
        <f t="shared" si="308"/>
        <v>0</v>
      </c>
      <c r="CD333" s="17">
        <f t="shared" si="309"/>
        <v>0</v>
      </c>
      <c r="CE333" s="17">
        <f>'1 - Input'!$B$22*(CB333-CD333)</f>
        <v>0</v>
      </c>
      <c r="CF333" s="17">
        <f t="shared" si="310"/>
        <v>0</v>
      </c>
      <c r="CG333" s="17">
        <f t="shared" si="311"/>
        <v>0</v>
      </c>
      <c r="CH333" s="17">
        <f>IF('1 - Input'!$B$17=1,MAX(0,CF333-BX333),0)</f>
        <v>0</v>
      </c>
      <c r="CI333" s="17">
        <f>IF('1 - Input'!$B$17=1,MAX(0,BX333-CF333),0)</f>
        <v>4342.780573583108</v>
      </c>
      <c r="CJ333" s="17">
        <f t="shared" si="312"/>
        <v>0</v>
      </c>
      <c r="CK333" s="17">
        <f>IF(AND(CI333&gt;0,CC333&gt;0),CI333/(1-'1 - Input'!$B$22*CJ333),0)</f>
        <v>0</v>
      </c>
      <c r="CL333" s="17">
        <f t="shared" si="313"/>
        <v>0</v>
      </c>
      <c r="CM333" s="17">
        <f>'1 - Input'!$B$22*CJ333*CL333</f>
        <v>0</v>
      </c>
      <c r="CN333" s="17">
        <f t="shared" si="314"/>
        <v>0</v>
      </c>
      <c r="CO333" s="17">
        <f t="shared" si="315"/>
        <v>4342.780573583108</v>
      </c>
      <c r="CP333" s="17">
        <f t="shared" si="316"/>
        <v>0</v>
      </c>
      <c r="CQ333" s="17">
        <f t="shared" si="317"/>
        <v>0</v>
      </c>
      <c r="CR333" s="17">
        <f t="shared" si="318"/>
        <v>0</v>
      </c>
      <c r="CS333" s="17">
        <f>IF(MOD(BU333,12)=0,CQ333*'1 - Input'!$B$23,0)</f>
        <v>0</v>
      </c>
      <c r="CT333" s="17">
        <f t="shared" si="319"/>
        <v>0</v>
      </c>
      <c r="CU333" s="17">
        <f>IF(MOD(BU333,12)=0,CR333*(1-'1 - Input'!$B$23),CR333)</f>
        <v>0</v>
      </c>
      <c r="CV333" s="17">
        <f>IF('1 - Input'!$B$17=1,MIN(CF333,BX333)+CN333,CF333)</f>
        <v>0</v>
      </c>
      <c r="CW333" s="17">
        <f t="shared" si="339"/>
        <v>686605.50041273201</v>
      </c>
      <c r="CX333" s="17">
        <f t="shared" si="340"/>
        <v>6018.3402768167462</v>
      </c>
      <c r="CY333" s="17">
        <f t="shared" si="341"/>
        <v>66518.776160328038</v>
      </c>
      <c r="CZ333" s="17">
        <f t="shared" si="342"/>
        <v>0</v>
      </c>
      <c r="DA333" s="17">
        <f t="shared" si="343"/>
        <v>10954.114452440983</v>
      </c>
      <c r="DB333" s="17">
        <f t="shared" si="344"/>
        <v>307748.4048842995</v>
      </c>
      <c r="DC333" s="15">
        <f t="shared" si="320"/>
        <v>1</v>
      </c>
    </row>
    <row r="334" spans="1:107">
      <c r="A334" s="14">
        <v>291</v>
      </c>
      <c r="B334" s="15">
        <f t="shared" si="276"/>
        <v>25</v>
      </c>
      <c r="C334" s="16">
        <f>(1+INDEX('1 - Input'!$B$34:$E$63,B334,'1 - Input'!$B$16))^(1/12)-1</f>
        <v>4.1219243192651689E-3</v>
      </c>
      <c r="D334" s="17">
        <f>'1 - Input'!$B$7*(1+'1 - Input'!$B$12)^(B334-1)</f>
        <v>4342.780573583108</v>
      </c>
      <c r="E334" s="17">
        <f t="shared" si="321"/>
        <v>0</v>
      </c>
      <c r="F334" s="17">
        <f t="shared" si="322"/>
        <v>0</v>
      </c>
      <c r="G334" s="17">
        <f t="shared" si="277"/>
        <v>0</v>
      </c>
      <c r="H334" s="17">
        <f>IF(G334&gt;0,'1 - Input'!$B$8/12*G334,0)</f>
        <v>0</v>
      </c>
      <c r="I334" s="17">
        <f t="shared" si="278"/>
        <v>0</v>
      </c>
      <c r="J334" s="17">
        <f t="shared" si="279"/>
        <v>0</v>
      </c>
      <c r="K334" s="17">
        <f>'1 - Input'!$B$22*(H334-J334)</f>
        <v>0</v>
      </c>
      <c r="L334" s="17">
        <f t="shared" si="280"/>
        <v>0</v>
      </c>
      <c r="M334" s="17">
        <f t="shared" si="281"/>
        <v>0</v>
      </c>
      <c r="N334" s="17">
        <f>IF('1 - Input'!$B$17=1,MAX(0,L334-D334),0)</f>
        <v>0</v>
      </c>
      <c r="O334" s="17">
        <f>IF('1 - Input'!$B$17=1,MAX(0,D334-L334),0)</f>
        <v>4342.780573583108</v>
      </c>
      <c r="P334" s="17">
        <f t="shared" si="282"/>
        <v>0</v>
      </c>
      <c r="Q334" s="17">
        <f>IF(AND(O334&gt;0,I334&gt;0),O334/(1-'1 - Input'!$B$22*P334),0)</f>
        <v>0</v>
      </c>
      <c r="R334" s="17">
        <f t="shared" si="283"/>
        <v>0</v>
      </c>
      <c r="S334" s="17">
        <f>'1 - Input'!$B$22*P334*R334</f>
        <v>0</v>
      </c>
      <c r="T334" s="17">
        <f t="shared" si="284"/>
        <v>0</v>
      </c>
      <c r="U334" s="17">
        <f t="shared" si="285"/>
        <v>4342.780573583108</v>
      </c>
      <c r="V334" s="17">
        <f t="shared" si="286"/>
        <v>0</v>
      </c>
      <c r="W334" s="17">
        <f t="shared" si="287"/>
        <v>0</v>
      </c>
      <c r="X334" s="17">
        <f t="shared" si="288"/>
        <v>0</v>
      </c>
      <c r="Y334" s="17">
        <f>IF(MOD(A334,12)=0,W334*'1 - Input'!$B$23,0)</f>
        <v>0</v>
      </c>
      <c r="Z334" s="17">
        <f t="shared" si="289"/>
        <v>0</v>
      </c>
      <c r="AA334" s="17">
        <f>IF(MOD(A334,12)=0,X334*(1-'1 - Input'!$B$23),X334)</f>
        <v>0</v>
      </c>
      <c r="AB334" s="17">
        <f>IF('1 - Input'!$B$17=1,MIN(L334,D334)+T334,L334)</f>
        <v>0</v>
      </c>
      <c r="AC334" s="17">
        <f t="shared" si="323"/>
        <v>590482.93849429931</v>
      </c>
      <c r="AD334" s="17">
        <f t="shared" si="324"/>
        <v>101441.90180685223</v>
      </c>
      <c r="AE334" s="17">
        <f t="shared" si="325"/>
        <v>0</v>
      </c>
      <c r="AF334" s="17">
        <f t="shared" si="326"/>
        <v>174289.24056370757</v>
      </c>
      <c r="AG334" s="17">
        <f t="shared" si="327"/>
        <v>8123.5662772395826</v>
      </c>
      <c r="AH334" s="17">
        <f t="shared" si="328"/>
        <v>408213.74737631436</v>
      </c>
      <c r="AI334" s="15">
        <f t="shared" si="290"/>
        <v>1</v>
      </c>
      <c r="AK334" s="14">
        <v>291</v>
      </c>
      <c r="AL334" s="15">
        <f t="shared" si="291"/>
        <v>25</v>
      </c>
      <c r="AM334" s="16">
        <f>(1+INDEX('1 - Input'!$B$34:$E$63,AL334,'1 - Input'!$B$16))^(1/12)-1</f>
        <v>4.1219243192651689E-3</v>
      </c>
      <c r="AN334" s="17">
        <f>'1 - Input'!$B$7*(1+'1 - Input'!$B$12)^(AL334-1)</f>
        <v>4342.780573583108</v>
      </c>
      <c r="AO334" s="17">
        <f t="shared" si="329"/>
        <v>0</v>
      </c>
      <c r="AP334" s="17">
        <f t="shared" si="330"/>
        <v>0</v>
      </c>
      <c r="AQ334" s="17">
        <f t="shared" si="292"/>
        <v>0</v>
      </c>
      <c r="AR334" s="17">
        <f>IF(AQ334&gt;0,'1 - Input'!$B$8/12*AQ334,0)</f>
        <v>0</v>
      </c>
      <c r="AS334" s="17">
        <f t="shared" si="293"/>
        <v>0</v>
      </c>
      <c r="AT334" s="17">
        <f t="shared" si="294"/>
        <v>0</v>
      </c>
      <c r="AU334" s="17">
        <f>'1 - Input'!$B$22*(AR334-AT334)</f>
        <v>0</v>
      </c>
      <c r="AV334" s="17">
        <f t="shared" si="295"/>
        <v>0</v>
      </c>
      <c r="AW334" s="17">
        <f t="shared" si="296"/>
        <v>0</v>
      </c>
      <c r="AX334" s="17">
        <f>IF('1 - Input'!$B$17=1,MAX(0,AV334-AN334),0)</f>
        <v>0</v>
      </c>
      <c r="AY334" s="17">
        <f>IF('1 - Input'!$B$17=1,MAX(0,AN334-AV334),0)</f>
        <v>4342.780573583108</v>
      </c>
      <c r="AZ334" s="17">
        <f t="shared" si="297"/>
        <v>0</v>
      </c>
      <c r="BA334" s="17">
        <f>IF(AND(AY334&gt;0,AS334&gt;0),AY334/(1-'1 - Input'!$B$22*AZ334),0)</f>
        <v>0</v>
      </c>
      <c r="BB334" s="17">
        <f t="shared" si="298"/>
        <v>0</v>
      </c>
      <c r="BC334" s="17">
        <f>'1 - Input'!$B$22*AZ334*BB334</f>
        <v>0</v>
      </c>
      <c r="BD334" s="17">
        <f t="shared" si="299"/>
        <v>0</v>
      </c>
      <c r="BE334" s="17">
        <f t="shared" si="300"/>
        <v>4342.780573583108</v>
      </c>
      <c r="BF334" s="17">
        <f t="shared" si="301"/>
        <v>0</v>
      </c>
      <c r="BG334" s="17">
        <f t="shared" si="302"/>
        <v>0</v>
      </c>
      <c r="BH334" s="17">
        <f t="shared" si="303"/>
        <v>0</v>
      </c>
      <c r="BI334" s="17">
        <f>IF(MOD(AK334,12)=0,BG334*'1 - Input'!$B$23,0)</f>
        <v>0</v>
      </c>
      <c r="BJ334" s="17">
        <f t="shared" si="304"/>
        <v>0</v>
      </c>
      <c r="BK334" s="17">
        <f>IF(MOD(AK334,12)=0,BH334*(1-'1 - Input'!$B$23),BH334)</f>
        <v>0</v>
      </c>
      <c r="BL334" s="17">
        <f>IF('1 - Input'!$B$17=1,MIN(AV334,AN334)+BD334,AV334)</f>
        <v>0</v>
      </c>
      <c r="BM334" s="17">
        <f t="shared" si="331"/>
        <v>590482.93849429931</v>
      </c>
      <c r="BN334" s="17">
        <f t="shared" si="332"/>
        <v>101441.90180685223</v>
      </c>
      <c r="BO334" s="17">
        <f t="shared" si="333"/>
        <v>0</v>
      </c>
      <c r="BP334" s="17">
        <f t="shared" si="334"/>
        <v>174289.24056370757</v>
      </c>
      <c r="BQ334" s="17">
        <f t="shared" si="335"/>
        <v>8123.5662772395826</v>
      </c>
      <c r="BR334" s="17">
        <f t="shared" si="336"/>
        <v>408213.74737631436</v>
      </c>
      <c r="BS334" s="15">
        <f t="shared" si="305"/>
        <v>1</v>
      </c>
      <c r="BU334" s="14">
        <v>291</v>
      </c>
      <c r="BV334" s="15">
        <f t="shared" si="306"/>
        <v>25</v>
      </c>
      <c r="BW334" s="16">
        <f>(1+INDEX('1 - Input'!$B$34:$E$63,BV334,'1 - Input'!$B$16))^(1/12)-1</f>
        <v>4.1219243192651689E-3</v>
      </c>
      <c r="BX334" s="17">
        <f>'1 - Input'!$B$7*(1+'1 - Input'!$B$12)^(BV334-1)</f>
        <v>4342.780573583108</v>
      </c>
      <c r="BY334" s="17">
        <f t="shared" si="337"/>
        <v>0</v>
      </c>
      <c r="BZ334" s="17">
        <f t="shared" si="338"/>
        <v>0</v>
      </c>
      <c r="CA334" s="17">
        <f t="shared" si="307"/>
        <v>0</v>
      </c>
      <c r="CB334" s="17">
        <f>IF(CA334&gt;0,'1 - Input'!$B$8/12*CA334,0)</f>
        <v>0</v>
      </c>
      <c r="CC334" s="17">
        <f t="shared" si="308"/>
        <v>0</v>
      </c>
      <c r="CD334" s="17">
        <f t="shared" si="309"/>
        <v>0</v>
      </c>
      <c r="CE334" s="17">
        <f>'1 - Input'!$B$22*(CB334-CD334)</f>
        <v>0</v>
      </c>
      <c r="CF334" s="17">
        <f t="shared" si="310"/>
        <v>0</v>
      </c>
      <c r="CG334" s="17">
        <f t="shared" si="311"/>
        <v>0</v>
      </c>
      <c r="CH334" s="17">
        <f>IF('1 - Input'!$B$17=1,MAX(0,CF334-BX334),0)</f>
        <v>0</v>
      </c>
      <c r="CI334" s="17">
        <f>IF('1 - Input'!$B$17=1,MAX(0,BX334-CF334),0)</f>
        <v>4342.780573583108</v>
      </c>
      <c r="CJ334" s="17">
        <f t="shared" si="312"/>
        <v>0</v>
      </c>
      <c r="CK334" s="17">
        <f>IF(AND(CI334&gt;0,CC334&gt;0),CI334/(1-'1 - Input'!$B$22*CJ334),0)</f>
        <v>0</v>
      </c>
      <c r="CL334" s="17">
        <f t="shared" si="313"/>
        <v>0</v>
      </c>
      <c r="CM334" s="17">
        <f>'1 - Input'!$B$22*CJ334*CL334</f>
        <v>0</v>
      </c>
      <c r="CN334" s="17">
        <f t="shared" si="314"/>
        <v>0</v>
      </c>
      <c r="CO334" s="17">
        <f t="shared" si="315"/>
        <v>4342.780573583108</v>
      </c>
      <c r="CP334" s="17">
        <f t="shared" si="316"/>
        <v>0</v>
      </c>
      <c r="CQ334" s="17">
        <f t="shared" si="317"/>
        <v>0</v>
      </c>
      <c r="CR334" s="17">
        <f t="shared" si="318"/>
        <v>0</v>
      </c>
      <c r="CS334" s="17">
        <f>IF(MOD(BU334,12)=0,CQ334*'1 - Input'!$B$23,0)</f>
        <v>0</v>
      </c>
      <c r="CT334" s="17">
        <f t="shared" si="319"/>
        <v>0</v>
      </c>
      <c r="CU334" s="17">
        <f>IF(MOD(BU334,12)=0,CR334*(1-'1 - Input'!$B$23),CR334)</f>
        <v>0</v>
      </c>
      <c r="CV334" s="17">
        <f>IF('1 - Input'!$B$17=1,MIN(CF334,BX334)+CN334,CF334)</f>
        <v>0</v>
      </c>
      <c r="CW334" s="17">
        <f t="shared" si="339"/>
        <v>686605.50041273201</v>
      </c>
      <c r="CX334" s="17">
        <f t="shared" si="340"/>
        <v>6018.3402768167462</v>
      </c>
      <c r="CY334" s="17">
        <f t="shared" si="341"/>
        <v>66518.776160328038</v>
      </c>
      <c r="CZ334" s="17">
        <f t="shared" si="342"/>
        <v>0</v>
      </c>
      <c r="DA334" s="17">
        <f t="shared" si="343"/>
        <v>10954.114452440983</v>
      </c>
      <c r="DB334" s="17">
        <f t="shared" si="344"/>
        <v>312091.18545788259</v>
      </c>
      <c r="DC334" s="15">
        <f t="shared" si="320"/>
        <v>1</v>
      </c>
    </row>
    <row r="335" spans="1:107">
      <c r="A335" s="14">
        <v>292</v>
      </c>
      <c r="B335" s="15">
        <f t="shared" si="276"/>
        <v>25</v>
      </c>
      <c r="C335" s="16">
        <f>(1+INDEX('1 - Input'!$B$34:$E$63,B335,'1 - Input'!$B$16))^(1/12)-1</f>
        <v>4.1219243192651689E-3</v>
      </c>
      <c r="D335" s="17">
        <f>'1 - Input'!$B$7*(1+'1 - Input'!$B$12)^(B335-1)</f>
        <v>4342.780573583108</v>
      </c>
      <c r="E335" s="17">
        <f t="shared" si="321"/>
        <v>0</v>
      </c>
      <c r="F335" s="17">
        <f t="shared" si="322"/>
        <v>0</v>
      </c>
      <c r="G335" s="17">
        <f t="shared" si="277"/>
        <v>0</v>
      </c>
      <c r="H335" s="17">
        <f>IF(G335&gt;0,'1 - Input'!$B$8/12*G335,0)</f>
        <v>0</v>
      </c>
      <c r="I335" s="17">
        <f t="shared" si="278"/>
        <v>0</v>
      </c>
      <c r="J335" s="17">
        <f t="shared" si="279"/>
        <v>0</v>
      </c>
      <c r="K335" s="17">
        <f>'1 - Input'!$B$22*(H335-J335)</f>
        <v>0</v>
      </c>
      <c r="L335" s="17">
        <f t="shared" si="280"/>
        <v>0</v>
      </c>
      <c r="M335" s="17">
        <f t="shared" si="281"/>
        <v>0</v>
      </c>
      <c r="N335" s="17">
        <f>IF('1 - Input'!$B$17=1,MAX(0,L335-D335),0)</f>
        <v>0</v>
      </c>
      <c r="O335" s="17">
        <f>IF('1 - Input'!$B$17=1,MAX(0,D335-L335),0)</f>
        <v>4342.780573583108</v>
      </c>
      <c r="P335" s="17">
        <f t="shared" si="282"/>
        <v>0</v>
      </c>
      <c r="Q335" s="17">
        <f>IF(AND(O335&gt;0,I335&gt;0),O335/(1-'1 - Input'!$B$22*P335),0)</f>
        <v>0</v>
      </c>
      <c r="R335" s="17">
        <f t="shared" si="283"/>
        <v>0</v>
      </c>
      <c r="S335" s="17">
        <f>'1 - Input'!$B$22*P335*R335</f>
        <v>0</v>
      </c>
      <c r="T335" s="17">
        <f t="shared" si="284"/>
        <v>0</v>
      </c>
      <c r="U335" s="17">
        <f t="shared" si="285"/>
        <v>4342.780573583108</v>
      </c>
      <c r="V335" s="17">
        <f t="shared" si="286"/>
        <v>0</v>
      </c>
      <c r="W335" s="17">
        <f t="shared" si="287"/>
        <v>0</v>
      </c>
      <c r="X335" s="17">
        <f t="shared" si="288"/>
        <v>0</v>
      </c>
      <c r="Y335" s="17">
        <f>IF(MOD(A335,12)=0,W335*'1 - Input'!$B$23,0)</f>
        <v>0</v>
      </c>
      <c r="Z335" s="17">
        <f t="shared" si="289"/>
        <v>0</v>
      </c>
      <c r="AA335" s="17">
        <f>IF(MOD(A335,12)=0,X335*(1-'1 - Input'!$B$23),X335)</f>
        <v>0</v>
      </c>
      <c r="AB335" s="17">
        <f>IF('1 - Input'!$B$17=1,MIN(L335,D335)+T335,L335)</f>
        <v>0</v>
      </c>
      <c r="AC335" s="17">
        <f t="shared" si="323"/>
        <v>590482.93849429931</v>
      </c>
      <c r="AD335" s="17">
        <f t="shared" si="324"/>
        <v>101441.90180685223</v>
      </c>
      <c r="AE335" s="17">
        <f t="shared" si="325"/>
        <v>0</v>
      </c>
      <c r="AF335" s="17">
        <f t="shared" si="326"/>
        <v>174289.24056370757</v>
      </c>
      <c r="AG335" s="17">
        <f t="shared" si="327"/>
        <v>8123.5662772395826</v>
      </c>
      <c r="AH335" s="17">
        <f t="shared" si="328"/>
        <v>412556.52794989746</v>
      </c>
      <c r="AI335" s="15">
        <f t="shared" si="290"/>
        <v>1</v>
      </c>
      <c r="AK335" s="14">
        <v>292</v>
      </c>
      <c r="AL335" s="15">
        <f t="shared" si="291"/>
        <v>25</v>
      </c>
      <c r="AM335" s="16">
        <f>(1+INDEX('1 - Input'!$B$34:$E$63,AL335,'1 - Input'!$B$16))^(1/12)-1</f>
        <v>4.1219243192651689E-3</v>
      </c>
      <c r="AN335" s="17">
        <f>'1 - Input'!$B$7*(1+'1 - Input'!$B$12)^(AL335-1)</f>
        <v>4342.780573583108</v>
      </c>
      <c r="AO335" s="17">
        <f t="shared" si="329"/>
        <v>0</v>
      </c>
      <c r="AP335" s="17">
        <f t="shared" si="330"/>
        <v>0</v>
      </c>
      <c r="AQ335" s="17">
        <f t="shared" si="292"/>
        <v>0</v>
      </c>
      <c r="AR335" s="17">
        <f>IF(AQ335&gt;0,'1 - Input'!$B$8/12*AQ335,0)</f>
        <v>0</v>
      </c>
      <c r="AS335" s="17">
        <f t="shared" si="293"/>
        <v>0</v>
      </c>
      <c r="AT335" s="17">
        <f t="shared" si="294"/>
        <v>0</v>
      </c>
      <c r="AU335" s="17">
        <f>'1 - Input'!$B$22*(AR335-AT335)</f>
        <v>0</v>
      </c>
      <c r="AV335" s="17">
        <f t="shared" si="295"/>
        <v>0</v>
      </c>
      <c r="AW335" s="17">
        <f t="shared" si="296"/>
        <v>0</v>
      </c>
      <c r="AX335" s="17">
        <f>IF('1 - Input'!$B$17=1,MAX(0,AV335-AN335),0)</f>
        <v>0</v>
      </c>
      <c r="AY335" s="17">
        <f>IF('1 - Input'!$B$17=1,MAX(0,AN335-AV335),0)</f>
        <v>4342.780573583108</v>
      </c>
      <c r="AZ335" s="17">
        <f t="shared" si="297"/>
        <v>0</v>
      </c>
      <c r="BA335" s="17">
        <f>IF(AND(AY335&gt;0,AS335&gt;0),AY335/(1-'1 - Input'!$B$22*AZ335),0)</f>
        <v>0</v>
      </c>
      <c r="BB335" s="17">
        <f t="shared" si="298"/>
        <v>0</v>
      </c>
      <c r="BC335" s="17">
        <f>'1 - Input'!$B$22*AZ335*BB335</f>
        <v>0</v>
      </c>
      <c r="BD335" s="17">
        <f t="shared" si="299"/>
        <v>0</v>
      </c>
      <c r="BE335" s="17">
        <f t="shared" si="300"/>
        <v>4342.780573583108</v>
      </c>
      <c r="BF335" s="17">
        <f t="shared" si="301"/>
        <v>0</v>
      </c>
      <c r="BG335" s="17">
        <f t="shared" si="302"/>
        <v>0</v>
      </c>
      <c r="BH335" s="17">
        <f t="shared" si="303"/>
        <v>0</v>
      </c>
      <c r="BI335" s="17">
        <f>IF(MOD(AK335,12)=0,BG335*'1 - Input'!$B$23,0)</f>
        <v>0</v>
      </c>
      <c r="BJ335" s="17">
        <f t="shared" si="304"/>
        <v>0</v>
      </c>
      <c r="BK335" s="17">
        <f>IF(MOD(AK335,12)=0,BH335*(1-'1 - Input'!$B$23),BH335)</f>
        <v>0</v>
      </c>
      <c r="BL335" s="17">
        <f>IF('1 - Input'!$B$17=1,MIN(AV335,AN335)+BD335,AV335)</f>
        <v>0</v>
      </c>
      <c r="BM335" s="17">
        <f t="shared" si="331"/>
        <v>590482.93849429931</v>
      </c>
      <c r="BN335" s="17">
        <f t="shared" si="332"/>
        <v>101441.90180685223</v>
      </c>
      <c r="BO335" s="17">
        <f t="shared" si="333"/>
        <v>0</v>
      </c>
      <c r="BP335" s="17">
        <f t="shared" si="334"/>
        <v>174289.24056370757</v>
      </c>
      <c r="BQ335" s="17">
        <f t="shared" si="335"/>
        <v>8123.5662772395826</v>
      </c>
      <c r="BR335" s="17">
        <f t="shared" si="336"/>
        <v>412556.52794989746</v>
      </c>
      <c r="BS335" s="15">
        <f t="shared" si="305"/>
        <v>1</v>
      </c>
      <c r="BU335" s="14">
        <v>292</v>
      </c>
      <c r="BV335" s="15">
        <f t="shared" si="306"/>
        <v>25</v>
      </c>
      <c r="BW335" s="16">
        <f>(1+INDEX('1 - Input'!$B$34:$E$63,BV335,'1 - Input'!$B$16))^(1/12)-1</f>
        <v>4.1219243192651689E-3</v>
      </c>
      <c r="BX335" s="17">
        <f>'1 - Input'!$B$7*(1+'1 - Input'!$B$12)^(BV335-1)</f>
        <v>4342.780573583108</v>
      </c>
      <c r="BY335" s="17">
        <f t="shared" si="337"/>
        <v>0</v>
      </c>
      <c r="BZ335" s="17">
        <f t="shared" si="338"/>
        <v>0</v>
      </c>
      <c r="CA335" s="17">
        <f t="shared" si="307"/>
        <v>0</v>
      </c>
      <c r="CB335" s="17">
        <f>IF(CA335&gt;0,'1 - Input'!$B$8/12*CA335,0)</f>
        <v>0</v>
      </c>
      <c r="CC335" s="17">
        <f t="shared" si="308"/>
        <v>0</v>
      </c>
      <c r="CD335" s="17">
        <f t="shared" si="309"/>
        <v>0</v>
      </c>
      <c r="CE335" s="17">
        <f>'1 - Input'!$B$22*(CB335-CD335)</f>
        <v>0</v>
      </c>
      <c r="CF335" s="17">
        <f t="shared" si="310"/>
        <v>0</v>
      </c>
      <c r="CG335" s="17">
        <f t="shared" si="311"/>
        <v>0</v>
      </c>
      <c r="CH335" s="17">
        <f>IF('1 - Input'!$B$17=1,MAX(0,CF335-BX335),0)</f>
        <v>0</v>
      </c>
      <c r="CI335" s="17">
        <f>IF('1 - Input'!$B$17=1,MAX(0,BX335-CF335),0)</f>
        <v>4342.780573583108</v>
      </c>
      <c r="CJ335" s="17">
        <f t="shared" si="312"/>
        <v>0</v>
      </c>
      <c r="CK335" s="17">
        <f>IF(AND(CI335&gt;0,CC335&gt;0),CI335/(1-'1 - Input'!$B$22*CJ335),0)</f>
        <v>0</v>
      </c>
      <c r="CL335" s="17">
        <f t="shared" si="313"/>
        <v>0</v>
      </c>
      <c r="CM335" s="17">
        <f>'1 - Input'!$B$22*CJ335*CL335</f>
        <v>0</v>
      </c>
      <c r="CN335" s="17">
        <f t="shared" si="314"/>
        <v>0</v>
      </c>
      <c r="CO335" s="17">
        <f t="shared" si="315"/>
        <v>4342.780573583108</v>
      </c>
      <c r="CP335" s="17">
        <f t="shared" si="316"/>
        <v>0</v>
      </c>
      <c r="CQ335" s="17">
        <f t="shared" si="317"/>
        <v>0</v>
      </c>
      <c r="CR335" s="17">
        <f t="shared" si="318"/>
        <v>0</v>
      </c>
      <c r="CS335" s="17">
        <f>IF(MOD(BU335,12)=0,CQ335*'1 - Input'!$B$23,0)</f>
        <v>0</v>
      </c>
      <c r="CT335" s="17">
        <f t="shared" si="319"/>
        <v>0</v>
      </c>
      <c r="CU335" s="17">
        <f>IF(MOD(BU335,12)=0,CR335*(1-'1 - Input'!$B$23),CR335)</f>
        <v>0</v>
      </c>
      <c r="CV335" s="17">
        <f>IF('1 - Input'!$B$17=1,MIN(CF335,BX335)+CN335,CF335)</f>
        <v>0</v>
      </c>
      <c r="CW335" s="17">
        <f t="shared" si="339"/>
        <v>686605.50041273201</v>
      </c>
      <c r="CX335" s="17">
        <f t="shared" si="340"/>
        <v>6018.3402768167462</v>
      </c>
      <c r="CY335" s="17">
        <f t="shared" si="341"/>
        <v>66518.776160328038</v>
      </c>
      <c r="CZ335" s="17">
        <f t="shared" si="342"/>
        <v>0</v>
      </c>
      <c r="DA335" s="17">
        <f t="shared" si="343"/>
        <v>10954.114452440983</v>
      </c>
      <c r="DB335" s="17">
        <f t="shared" si="344"/>
        <v>316433.96603146568</v>
      </c>
      <c r="DC335" s="15">
        <f t="shared" si="320"/>
        <v>1</v>
      </c>
    </row>
    <row r="336" spans="1:107">
      <c r="A336" s="14">
        <v>293</v>
      </c>
      <c r="B336" s="15">
        <f t="shared" si="276"/>
        <v>25</v>
      </c>
      <c r="C336" s="16">
        <f>(1+INDEX('1 - Input'!$B$34:$E$63,B336,'1 - Input'!$B$16))^(1/12)-1</f>
        <v>4.1219243192651689E-3</v>
      </c>
      <c r="D336" s="17">
        <f>'1 - Input'!$B$7*(1+'1 - Input'!$B$12)^(B336-1)</f>
        <v>4342.780573583108</v>
      </c>
      <c r="E336" s="17">
        <f t="shared" si="321"/>
        <v>0</v>
      </c>
      <c r="F336" s="17">
        <f t="shared" si="322"/>
        <v>0</v>
      </c>
      <c r="G336" s="17">
        <f t="shared" si="277"/>
        <v>0</v>
      </c>
      <c r="H336" s="17">
        <f>IF(G336&gt;0,'1 - Input'!$B$8/12*G336,0)</f>
        <v>0</v>
      </c>
      <c r="I336" s="17">
        <f t="shared" si="278"/>
        <v>0</v>
      </c>
      <c r="J336" s="17">
        <f t="shared" si="279"/>
        <v>0</v>
      </c>
      <c r="K336" s="17">
        <f>'1 - Input'!$B$22*(H336-J336)</f>
        <v>0</v>
      </c>
      <c r="L336" s="17">
        <f t="shared" si="280"/>
        <v>0</v>
      </c>
      <c r="M336" s="17">
        <f t="shared" si="281"/>
        <v>0</v>
      </c>
      <c r="N336" s="17">
        <f>IF('1 - Input'!$B$17=1,MAX(0,L336-D336),0)</f>
        <v>0</v>
      </c>
      <c r="O336" s="17">
        <f>IF('1 - Input'!$B$17=1,MAX(0,D336-L336),0)</f>
        <v>4342.780573583108</v>
      </c>
      <c r="P336" s="17">
        <f t="shared" si="282"/>
        <v>0</v>
      </c>
      <c r="Q336" s="17">
        <f>IF(AND(O336&gt;0,I336&gt;0),O336/(1-'1 - Input'!$B$22*P336),0)</f>
        <v>0</v>
      </c>
      <c r="R336" s="17">
        <f t="shared" si="283"/>
        <v>0</v>
      </c>
      <c r="S336" s="17">
        <f>'1 - Input'!$B$22*P336*R336</f>
        <v>0</v>
      </c>
      <c r="T336" s="17">
        <f t="shared" si="284"/>
        <v>0</v>
      </c>
      <c r="U336" s="17">
        <f t="shared" si="285"/>
        <v>4342.780573583108</v>
      </c>
      <c r="V336" s="17">
        <f t="shared" si="286"/>
        <v>0</v>
      </c>
      <c r="W336" s="17">
        <f t="shared" si="287"/>
        <v>0</v>
      </c>
      <c r="X336" s="17">
        <f t="shared" si="288"/>
        <v>0</v>
      </c>
      <c r="Y336" s="17">
        <f>IF(MOD(A336,12)=0,W336*'1 - Input'!$B$23,0)</f>
        <v>0</v>
      </c>
      <c r="Z336" s="17">
        <f t="shared" si="289"/>
        <v>0</v>
      </c>
      <c r="AA336" s="17">
        <f>IF(MOD(A336,12)=0,X336*(1-'1 - Input'!$B$23),X336)</f>
        <v>0</v>
      </c>
      <c r="AB336" s="17">
        <f>IF('1 - Input'!$B$17=1,MIN(L336,D336)+T336,L336)</f>
        <v>0</v>
      </c>
      <c r="AC336" s="17">
        <f t="shared" si="323"/>
        <v>590482.93849429931</v>
      </c>
      <c r="AD336" s="17">
        <f t="shared" si="324"/>
        <v>101441.90180685223</v>
      </c>
      <c r="AE336" s="17">
        <f t="shared" si="325"/>
        <v>0</v>
      </c>
      <c r="AF336" s="17">
        <f t="shared" si="326"/>
        <v>174289.24056370757</v>
      </c>
      <c r="AG336" s="17">
        <f t="shared" si="327"/>
        <v>8123.5662772395826</v>
      </c>
      <c r="AH336" s="17">
        <f t="shared" si="328"/>
        <v>416899.30852348055</v>
      </c>
      <c r="AI336" s="15">
        <f t="shared" si="290"/>
        <v>1</v>
      </c>
      <c r="AK336" s="14">
        <v>293</v>
      </c>
      <c r="AL336" s="15">
        <f t="shared" si="291"/>
        <v>25</v>
      </c>
      <c r="AM336" s="16">
        <f>(1+INDEX('1 - Input'!$B$34:$E$63,AL336,'1 - Input'!$B$16))^(1/12)-1</f>
        <v>4.1219243192651689E-3</v>
      </c>
      <c r="AN336" s="17">
        <f>'1 - Input'!$B$7*(1+'1 - Input'!$B$12)^(AL336-1)</f>
        <v>4342.780573583108</v>
      </c>
      <c r="AO336" s="17">
        <f t="shared" si="329"/>
        <v>0</v>
      </c>
      <c r="AP336" s="17">
        <f t="shared" si="330"/>
        <v>0</v>
      </c>
      <c r="AQ336" s="17">
        <f t="shared" si="292"/>
        <v>0</v>
      </c>
      <c r="AR336" s="17">
        <f>IF(AQ336&gt;0,'1 - Input'!$B$8/12*AQ336,0)</f>
        <v>0</v>
      </c>
      <c r="AS336" s="17">
        <f t="shared" si="293"/>
        <v>0</v>
      </c>
      <c r="AT336" s="17">
        <f t="shared" si="294"/>
        <v>0</v>
      </c>
      <c r="AU336" s="17">
        <f>'1 - Input'!$B$22*(AR336-AT336)</f>
        <v>0</v>
      </c>
      <c r="AV336" s="17">
        <f t="shared" si="295"/>
        <v>0</v>
      </c>
      <c r="AW336" s="17">
        <f t="shared" si="296"/>
        <v>0</v>
      </c>
      <c r="AX336" s="17">
        <f>IF('1 - Input'!$B$17=1,MAX(0,AV336-AN336),0)</f>
        <v>0</v>
      </c>
      <c r="AY336" s="17">
        <f>IF('1 - Input'!$B$17=1,MAX(0,AN336-AV336),0)</f>
        <v>4342.780573583108</v>
      </c>
      <c r="AZ336" s="17">
        <f t="shared" si="297"/>
        <v>0</v>
      </c>
      <c r="BA336" s="17">
        <f>IF(AND(AY336&gt;0,AS336&gt;0),AY336/(1-'1 - Input'!$B$22*AZ336),0)</f>
        <v>0</v>
      </c>
      <c r="BB336" s="17">
        <f t="shared" si="298"/>
        <v>0</v>
      </c>
      <c r="BC336" s="17">
        <f>'1 - Input'!$B$22*AZ336*BB336</f>
        <v>0</v>
      </c>
      <c r="BD336" s="17">
        <f t="shared" si="299"/>
        <v>0</v>
      </c>
      <c r="BE336" s="17">
        <f t="shared" si="300"/>
        <v>4342.780573583108</v>
      </c>
      <c r="BF336" s="17">
        <f t="shared" si="301"/>
        <v>0</v>
      </c>
      <c r="BG336" s="17">
        <f t="shared" si="302"/>
        <v>0</v>
      </c>
      <c r="BH336" s="17">
        <f t="shared" si="303"/>
        <v>0</v>
      </c>
      <c r="BI336" s="17">
        <f>IF(MOD(AK336,12)=0,BG336*'1 - Input'!$B$23,0)</f>
        <v>0</v>
      </c>
      <c r="BJ336" s="17">
        <f t="shared" si="304"/>
        <v>0</v>
      </c>
      <c r="BK336" s="17">
        <f>IF(MOD(AK336,12)=0,BH336*(1-'1 - Input'!$B$23),BH336)</f>
        <v>0</v>
      </c>
      <c r="BL336" s="17">
        <f>IF('1 - Input'!$B$17=1,MIN(AV336,AN336)+BD336,AV336)</f>
        <v>0</v>
      </c>
      <c r="BM336" s="17">
        <f t="shared" si="331"/>
        <v>590482.93849429931</v>
      </c>
      <c r="BN336" s="17">
        <f t="shared" si="332"/>
        <v>101441.90180685223</v>
      </c>
      <c r="BO336" s="17">
        <f t="shared" si="333"/>
        <v>0</v>
      </c>
      <c r="BP336" s="17">
        <f t="shared" si="334"/>
        <v>174289.24056370757</v>
      </c>
      <c r="BQ336" s="17">
        <f t="shared" si="335"/>
        <v>8123.5662772395826</v>
      </c>
      <c r="BR336" s="17">
        <f t="shared" si="336"/>
        <v>416899.30852348055</v>
      </c>
      <c r="BS336" s="15">
        <f t="shared" si="305"/>
        <v>1</v>
      </c>
      <c r="BU336" s="14">
        <v>293</v>
      </c>
      <c r="BV336" s="15">
        <f t="shared" si="306"/>
        <v>25</v>
      </c>
      <c r="BW336" s="16">
        <f>(1+INDEX('1 - Input'!$B$34:$E$63,BV336,'1 - Input'!$B$16))^(1/12)-1</f>
        <v>4.1219243192651689E-3</v>
      </c>
      <c r="BX336" s="17">
        <f>'1 - Input'!$B$7*(1+'1 - Input'!$B$12)^(BV336-1)</f>
        <v>4342.780573583108</v>
      </c>
      <c r="BY336" s="17">
        <f t="shared" si="337"/>
        <v>0</v>
      </c>
      <c r="BZ336" s="17">
        <f t="shared" si="338"/>
        <v>0</v>
      </c>
      <c r="CA336" s="17">
        <f t="shared" si="307"/>
        <v>0</v>
      </c>
      <c r="CB336" s="17">
        <f>IF(CA336&gt;0,'1 - Input'!$B$8/12*CA336,0)</f>
        <v>0</v>
      </c>
      <c r="CC336" s="17">
        <f t="shared" si="308"/>
        <v>0</v>
      </c>
      <c r="CD336" s="17">
        <f t="shared" si="309"/>
        <v>0</v>
      </c>
      <c r="CE336" s="17">
        <f>'1 - Input'!$B$22*(CB336-CD336)</f>
        <v>0</v>
      </c>
      <c r="CF336" s="17">
        <f t="shared" si="310"/>
        <v>0</v>
      </c>
      <c r="CG336" s="17">
        <f t="shared" si="311"/>
        <v>0</v>
      </c>
      <c r="CH336" s="17">
        <f>IF('1 - Input'!$B$17=1,MAX(0,CF336-BX336),0)</f>
        <v>0</v>
      </c>
      <c r="CI336" s="17">
        <f>IF('1 - Input'!$B$17=1,MAX(0,BX336-CF336),0)</f>
        <v>4342.780573583108</v>
      </c>
      <c r="CJ336" s="17">
        <f t="shared" si="312"/>
        <v>0</v>
      </c>
      <c r="CK336" s="17">
        <f>IF(AND(CI336&gt;0,CC336&gt;0),CI336/(1-'1 - Input'!$B$22*CJ336),0)</f>
        <v>0</v>
      </c>
      <c r="CL336" s="17">
        <f t="shared" si="313"/>
        <v>0</v>
      </c>
      <c r="CM336" s="17">
        <f>'1 - Input'!$B$22*CJ336*CL336</f>
        <v>0</v>
      </c>
      <c r="CN336" s="17">
        <f t="shared" si="314"/>
        <v>0</v>
      </c>
      <c r="CO336" s="17">
        <f t="shared" si="315"/>
        <v>4342.780573583108</v>
      </c>
      <c r="CP336" s="17">
        <f t="shared" si="316"/>
        <v>0</v>
      </c>
      <c r="CQ336" s="17">
        <f t="shared" si="317"/>
        <v>0</v>
      </c>
      <c r="CR336" s="17">
        <f t="shared" si="318"/>
        <v>0</v>
      </c>
      <c r="CS336" s="17">
        <f>IF(MOD(BU336,12)=0,CQ336*'1 - Input'!$B$23,0)</f>
        <v>0</v>
      </c>
      <c r="CT336" s="17">
        <f t="shared" si="319"/>
        <v>0</v>
      </c>
      <c r="CU336" s="17">
        <f>IF(MOD(BU336,12)=0,CR336*(1-'1 - Input'!$B$23),CR336)</f>
        <v>0</v>
      </c>
      <c r="CV336" s="17">
        <f>IF('1 - Input'!$B$17=1,MIN(CF336,BX336)+CN336,CF336)</f>
        <v>0</v>
      </c>
      <c r="CW336" s="17">
        <f t="shared" si="339"/>
        <v>686605.50041273201</v>
      </c>
      <c r="CX336" s="17">
        <f t="shared" si="340"/>
        <v>6018.3402768167462</v>
      </c>
      <c r="CY336" s="17">
        <f t="shared" si="341"/>
        <v>66518.776160328038</v>
      </c>
      <c r="CZ336" s="17">
        <f t="shared" si="342"/>
        <v>0</v>
      </c>
      <c r="DA336" s="17">
        <f t="shared" si="343"/>
        <v>10954.114452440983</v>
      </c>
      <c r="DB336" s="17">
        <f t="shared" si="344"/>
        <v>320776.74660504877</v>
      </c>
      <c r="DC336" s="15">
        <f t="shared" si="320"/>
        <v>1</v>
      </c>
    </row>
    <row r="337" spans="1:107">
      <c r="A337" s="14">
        <v>294</v>
      </c>
      <c r="B337" s="15">
        <f t="shared" si="276"/>
        <v>25</v>
      </c>
      <c r="C337" s="16">
        <f>(1+INDEX('1 - Input'!$B$34:$E$63,B337,'1 - Input'!$B$16))^(1/12)-1</f>
        <v>4.1219243192651689E-3</v>
      </c>
      <c r="D337" s="17">
        <f>'1 - Input'!$B$7*(1+'1 - Input'!$B$12)^(B337-1)</f>
        <v>4342.780573583108</v>
      </c>
      <c r="E337" s="17">
        <f t="shared" si="321"/>
        <v>0</v>
      </c>
      <c r="F337" s="17">
        <f t="shared" si="322"/>
        <v>0</v>
      </c>
      <c r="G337" s="17">
        <f t="shared" si="277"/>
        <v>0</v>
      </c>
      <c r="H337" s="17">
        <f>IF(G337&gt;0,'1 - Input'!$B$8/12*G337,0)</f>
        <v>0</v>
      </c>
      <c r="I337" s="17">
        <f t="shared" si="278"/>
        <v>0</v>
      </c>
      <c r="J337" s="17">
        <f t="shared" si="279"/>
        <v>0</v>
      </c>
      <c r="K337" s="17">
        <f>'1 - Input'!$B$22*(H337-J337)</f>
        <v>0</v>
      </c>
      <c r="L337" s="17">
        <f t="shared" si="280"/>
        <v>0</v>
      </c>
      <c r="M337" s="17">
        <f t="shared" si="281"/>
        <v>0</v>
      </c>
      <c r="N337" s="17">
        <f>IF('1 - Input'!$B$17=1,MAX(0,L337-D337),0)</f>
        <v>0</v>
      </c>
      <c r="O337" s="17">
        <f>IF('1 - Input'!$B$17=1,MAX(0,D337-L337),0)</f>
        <v>4342.780573583108</v>
      </c>
      <c r="P337" s="17">
        <f t="shared" si="282"/>
        <v>0</v>
      </c>
      <c r="Q337" s="17">
        <f>IF(AND(O337&gt;0,I337&gt;0),O337/(1-'1 - Input'!$B$22*P337),0)</f>
        <v>0</v>
      </c>
      <c r="R337" s="17">
        <f t="shared" si="283"/>
        <v>0</v>
      </c>
      <c r="S337" s="17">
        <f>'1 - Input'!$B$22*P337*R337</f>
        <v>0</v>
      </c>
      <c r="T337" s="17">
        <f t="shared" si="284"/>
        <v>0</v>
      </c>
      <c r="U337" s="17">
        <f t="shared" si="285"/>
        <v>4342.780573583108</v>
      </c>
      <c r="V337" s="17">
        <f t="shared" si="286"/>
        <v>0</v>
      </c>
      <c r="W337" s="17">
        <f t="shared" si="287"/>
        <v>0</v>
      </c>
      <c r="X337" s="17">
        <f t="shared" si="288"/>
        <v>0</v>
      </c>
      <c r="Y337" s="17">
        <f>IF(MOD(A337,12)=0,W337*'1 - Input'!$B$23,0)</f>
        <v>0</v>
      </c>
      <c r="Z337" s="17">
        <f t="shared" si="289"/>
        <v>0</v>
      </c>
      <c r="AA337" s="17">
        <f>IF(MOD(A337,12)=0,X337*(1-'1 - Input'!$B$23),X337)</f>
        <v>0</v>
      </c>
      <c r="AB337" s="17">
        <f>IF('1 - Input'!$B$17=1,MIN(L337,D337)+T337,L337)</f>
        <v>0</v>
      </c>
      <c r="AC337" s="17">
        <f t="shared" si="323"/>
        <v>590482.93849429931</v>
      </c>
      <c r="AD337" s="17">
        <f t="shared" si="324"/>
        <v>101441.90180685223</v>
      </c>
      <c r="AE337" s="17">
        <f t="shared" si="325"/>
        <v>0</v>
      </c>
      <c r="AF337" s="17">
        <f t="shared" si="326"/>
        <v>174289.24056370757</v>
      </c>
      <c r="AG337" s="17">
        <f t="shared" si="327"/>
        <v>8123.5662772395826</v>
      </c>
      <c r="AH337" s="17">
        <f t="shared" si="328"/>
        <v>421242.08909706364</v>
      </c>
      <c r="AI337" s="15">
        <f t="shared" si="290"/>
        <v>1</v>
      </c>
      <c r="AK337" s="14">
        <v>294</v>
      </c>
      <c r="AL337" s="15">
        <f t="shared" si="291"/>
        <v>25</v>
      </c>
      <c r="AM337" s="16">
        <f>(1+INDEX('1 - Input'!$B$34:$E$63,AL337,'1 - Input'!$B$16))^(1/12)-1</f>
        <v>4.1219243192651689E-3</v>
      </c>
      <c r="AN337" s="17">
        <f>'1 - Input'!$B$7*(1+'1 - Input'!$B$12)^(AL337-1)</f>
        <v>4342.780573583108</v>
      </c>
      <c r="AO337" s="17">
        <f t="shared" si="329"/>
        <v>0</v>
      </c>
      <c r="AP337" s="17">
        <f t="shared" si="330"/>
        <v>0</v>
      </c>
      <c r="AQ337" s="17">
        <f t="shared" si="292"/>
        <v>0</v>
      </c>
      <c r="AR337" s="17">
        <f>IF(AQ337&gt;0,'1 - Input'!$B$8/12*AQ337,0)</f>
        <v>0</v>
      </c>
      <c r="AS337" s="17">
        <f t="shared" si="293"/>
        <v>0</v>
      </c>
      <c r="AT337" s="17">
        <f t="shared" si="294"/>
        <v>0</v>
      </c>
      <c r="AU337" s="17">
        <f>'1 - Input'!$B$22*(AR337-AT337)</f>
        <v>0</v>
      </c>
      <c r="AV337" s="17">
        <f t="shared" si="295"/>
        <v>0</v>
      </c>
      <c r="AW337" s="17">
        <f t="shared" si="296"/>
        <v>0</v>
      </c>
      <c r="AX337" s="17">
        <f>IF('1 - Input'!$B$17=1,MAX(0,AV337-AN337),0)</f>
        <v>0</v>
      </c>
      <c r="AY337" s="17">
        <f>IF('1 - Input'!$B$17=1,MAX(0,AN337-AV337),0)</f>
        <v>4342.780573583108</v>
      </c>
      <c r="AZ337" s="17">
        <f t="shared" si="297"/>
        <v>0</v>
      </c>
      <c r="BA337" s="17">
        <f>IF(AND(AY337&gt;0,AS337&gt;0),AY337/(1-'1 - Input'!$B$22*AZ337),0)</f>
        <v>0</v>
      </c>
      <c r="BB337" s="17">
        <f t="shared" si="298"/>
        <v>0</v>
      </c>
      <c r="BC337" s="17">
        <f>'1 - Input'!$B$22*AZ337*BB337</f>
        <v>0</v>
      </c>
      <c r="BD337" s="17">
        <f t="shared" si="299"/>
        <v>0</v>
      </c>
      <c r="BE337" s="17">
        <f t="shared" si="300"/>
        <v>4342.780573583108</v>
      </c>
      <c r="BF337" s="17">
        <f t="shared" si="301"/>
        <v>0</v>
      </c>
      <c r="BG337" s="17">
        <f t="shared" si="302"/>
        <v>0</v>
      </c>
      <c r="BH337" s="17">
        <f t="shared" si="303"/>
        <v>0</v>
      </c>
      <c r="BI337" s="17">
        <f>IF(MOD(AK337,12)=0,BG337*'1 - Input'!$B$23,0)</f>
        <v>0</v>
      </c>
      <c r="BJ337" s="17">
        <f t="shared" si="304"/>
        <v>0</v>
      </c>
      <c r="BK337" s="17">
        <f>IF(MOD(AK337,12)=0,BH337*(1-'1 - Input'!$B$23),BH337)</f>
        <v>0</v>
      </c>
      <c r="BL337" s="17">
        <f>IF('1 - Input'!$B$17=1,MIN(AV337,AN337)+BD337,AV337)</f>
        <v>0</v>
      </c>
      <c r="BM337" s="17">
        <f t="shared" si="331"/>
        <v>590482.93849429931</v>
      </c>
      <c r="BN337" s="17">
        <f t="shared" si="332"/>
        <v>101441.90180685223</v>
      </c>
      <c r="BO337" s="17">
        <f t="shared" si="333"/>
        <v>0</v>
      </c>
      <c r="BP337" s="17">
        <f t="shared" si="334"/>
        <v>174289.24056370757</v>
      </c>
      <c r="BQ337" s="17">
        <f t="shared" si="335"/>
        <v>8123.5662772395826</v>
      </c>
      <c r="BR337" s="17">
        <f t="shared" si="336"/>
        <v>421242.08909706364</v>
      </c>
      <c r="BS337" s="15">
        <f t="shared" si="305"/>
        <v>1</v>
      </c>
      <c r="BU337" s="14">
        <v>294</v>
      </c>
      <c r="BV337" s="15">
        <f t="shared" si="306"/>
        <v>25</v>
      </c>
      <c r="BW337" s="16">
        <f>(1+INDEX('1 - Input'!$B$34:$E$63,BV337,'1 - Input'!$B$16))^(1/12)-1</f>
        <v>4.1219243192651689E-3</v>
      </c>
      <c r="BX337" s="17">
        <f>'1 - Input'!$B$7*(1+'1 - Input'!$B$12)^(BV337-1)</f>
        <v>4342.780573583108</v>
      </c>
      <c r="BY337" s="17">
        <f t="shared" si="337"/>
        <v>0</v>
      </c>
      <c r="BZ337" s="17">
        <f t="shared" si="338"/>
        <v>0</v>
      </c>
      <c r="CA337" s="17">
        <f t="shared" si="307"/>
        <v>0</v>
      </c>
      <c r="CB337" s="17">
        <f>IF(CA337&gt;0,'1 - Input'!$B$8/12*CA337,0)</f>
        <v>0</v>
      </c>
      <c r="CC337" s="17">
        <f t="shared" si="308"/>
        <v>0</v>
      </c>
      <c r="CD337" s="17">
        <f t="shared" si="309"/>
        <v>0</v>
      </c>
      <c r="CE337" s="17">
        <f>'1 - Input'!$B$22*(CB337-CD337)</f>
        <v>0</v>
      </c>
      <c r="CF337" s="17">
        <f t="shared" si="310"/>
        <v>0</v>
      </c>
      <c r="CG337" s="17">
        <f t="shared" si="311"/>
        <v>0</v>
      </c>
      <c r="CH337" s="17">
        <f>IF('1 - Input'!$B$17=1,MAX(0,CF337-BX337),0)</f>
        <v>0</v>
      </c>
      <c r="CI337" s="17">
        <f>IF('1 - Input'!$B$17=1,MAX(0,BX337-CF337),0)</f>
        <v>4342.780573583108</v>
      </c>
      <c r="CJ337" s="17">
        <f t="shared" si="312"/>
        <v>0</v>
      </c>
      <c r="CK337" s="17">
        <f>IF(AND(CI337&gt;0,CC337&gt;0),CI337/(1-'1 - Input'!$B$22*CJ337),0)</f>
        <v>0</v>
      </c>
      <c r="CL337" s="17">
        <f t="shared" si="313"/>
        <v>0</v>
      </c>
      <c r="CM337" s="17">
        <f>'1 - Input'!$B$22*CJ337*CL337</f>
        <v>0</v>
      </c>
      <c r="CN337" s="17">
        <f t="shared" si="314"/>
        <v>0</v>
      </c>
      <c r="CO337" s="17">
        <f t="shared" si="315"/>
        <v>4342.780573583108</v>
      </c>
      <c r="CP337" s="17">
        <f t="shared" si="316"/>
        <v>0</v>
      </c>
      <c r="CQ337" s="17">
        <f t="shared" si="317"/>
        <v>0</v>
      </c>
      <c r="CR337" s="17">
        <f t="shared" si="318"/>
        <v>0</v>
      </c>
      <c r="CS337" s="17">
        <f>IF(MOD(BU337,12)=0,CQ337*'1 - Input'!$B$23,0)</f>
        <v>0</v>
      </c>
      <c r="CT337" s="17">
        <f t="shared" si="319"/>
        <v>0</v>
      </c>
      <c r="CU337" s="17">
        <f>IF(MOD(BU337,12)=0,CR337*(1-'1 - Input'!$B$23),CR337)</f>
        <v>0</v>
      </c>
      <c r="CV337" s="17">
        <f>IF('1 - Input'!$B$17=1,MIN(CF337,BX337)+CN337,CF337)</f>
        <v>0</v>
      </c>
      <c r="CW337" s="17">
        <f t="shared" si="339"/>
        <v>686605.50041273201</v>
      </c>
      <c r="CX337" s="17">
        <f t="shared" si="340"/>
        <v>6018.3402768167462</v>
      </c>
      <c r="CY337" s="17">
        <f t="shared" si="341"/>
        <v>66518.776160328038</v>
      </c>
      <c r="CZ337" s="17">
        <f t="shared" si="342"/>
        <v>0</v>
      </c>
      <c r="DA337" s="17">
        <f t="shared" si="343"/>
        <v>10954.114452440983</v>
      </c>
      <c r="DB337" s="17">
        <f t="shared" si="344"/>
        <v>325119.52717863186</v>
      </c>
      <c r="DC337" s="15">
        <f t="shared" si="320"/>
        <v>1</v>
      </c>
    </row>
    <row r="338" spans="1:107">
      <c r="A338" s="14">
        <v>295</v>
      </c>
      <c r="B338" s="15">
        <f t="shared" si="276"/>
        <v>25</v>
      </c>
      <c r="C338" s="16">
        <f>(1+INDEX('1 - Input'!$B$34:$E$63,B338,'1 - Input'!$B$16))^(1/12)-1</f>
        <v>4.1219243192651689E-3</v>
      </c>
      <c r="D338" s="17">
        <f>'1 - Input'!$B$7*(1+'1 - Input'!$B$12)^(B338-1)</f>
        <v>4342.780573583108</v>
      </c>
      <c r="E338" s="17">
        <f t="shared" si="321"/>
        <v>0</v>
      </c>
      <c r="F338" s="17">
        <f t="shared" si="322"/>
        <v>0</v>
      </c>
      <c r="G338" s="17">
        <f t="shared" si="277"/>
        <v>0</v>
      </c>
      <c r="H338" s="17">
        <f>IF(G338&gt;0,'1 - Input'!$B$8/12*G338,0)</f>
        <v>0</v>
      </c>
      <c r="I338" s="17">
        <f t="shared" si="278"/>
        <v>0</v>
      </c>
      <c r="J338" s="17">
        <f t="shared" si="279"/>
        <v>0</v>
      </c>
      <c r="K338" s="17">
        <f>'1 - Input'!$B$22*(H338-J338)</f>
        <v>0</v>
      </c>
      <c r="L338" s="17">
        <f t="shared" si="280"/>
        <v>0</v>
      </c>
      <c r="M338" s="17">
        <f t="shared" si="281"/>
        <v>0</v>
      </c>
      <c r="N338" s="17">
        <f>IF('1 - Input'!$B$17=1,MAX(0,L338-D338),0)</f>
        <v>0</v>
      </c>
      <c r="O338" s="17">
        <f>IF('1 - Input'!$B$17=1,MAX(0,D338-L338),0)</f>
        <v>4342.780573583108</v>
      </c>
      <c r="P338" s="17">
        <f t="shared" si="282"/>
        <v>0</v>
      </c>
      <c r="Q338" s="17">
        <f>IF(AND(O338&gt;0,I338&gt;0),O338/(1-'1 - Input'!$B$22*P338),0)</f>
        <v>0</v>
      </c>
      <c r="R338" s="17">
        <f t="shared" si="283"/>
        <v>0</v>
      </c>
      <c r="S338" s="17">
        <f>'1 - Input'!$B$22*P338*R338</f>
        <v>0</v>
      </c>
      <c r="T338" s="17">
        <f t="shared" si="284"/>
        <v>0</v>
      </c>
      <c r="U338" s="17">
        <f t="shared" si="285"/>
        <v>4342.780573583108</v>
      </c>
      <c r="V338" s="17">
        <f t="shared" si="286"/>
        <v>0</v>
      </c>
      <c r="W338" s="17">
        <f t="shared" si="287"/>
        <v>0</v>
      </c>
      <c r="X338" s="17">
        <f t="shared" si="288"/>
        <v>0</v>
      </c>
      <c r="Y338" s="17">
        <f>IF(MOD(A338,12)=0,W338*'1 - Input'!$B$23,0)</f>
        <v>0</v>
      </c>
      <c r="Z338" s="17">
        <f t="shared" si="289"/>
        <v>0</v>
      </c>
      <c r="AA338" s="17">
        <f>IF(MOD(A338,12)=0,X338*(1-'1 - Input'!$B$23),X338)</f>
        <v>0</v>
      </c>
      <c r="AB338" s="17">
        <f>IF('1 - Input'!$B$17=1,MIN(L338,D338)+T338,L338)</f>
        <v>0</v>
      </c>
      <c r="AC338" s="17">
        <f t="shared" si="323"/>
        <v>590482.93849429931</v>
      </c>
      <c r="AD338" s="17">
        <f t="shared" si="324"/>
        <v>101441.90180685223</v>
      </c>
      <c r="AE338" s="17">
        <f t="shared" si="325"/>
        <v>0</v>
      </c>
      <c r="AF338" s="17">
        <f t="shared" si="326"/>
        <v>174289.24056370757</v>
      </c>
      <c r="AG338" s="17">
        <f t="shared" si="327"/>
        <v>8123.5662772395826</v>
      </c>
      <c r="AH338" s="17">
        <f t="shared" si="328"/>
        <v>425584.86967064673</v>
      </c>
      <c r="AI338" s="15">
        <f t="shared" si="290"/>
        <v>1</v>
      </c>
      <c r="AK338" s="14">
        <v>295</v>
      </c>
      <c r="AL338" s="15">
        <f t="shared" si="291"/>
        <v>25</v>
      </c>
      <c r="AM338" s="16">
        <f>(1+INDEX('1 - Input'!$B$34:$E$63,AL338,'1 - Input'!$B$16))^(1/12)-1</f>
        <v>4.1219243192651689E-3</v>
      </c>
      <c r="AN338" s="17">
        <f>'1 - Input'!$B$7*(1+'1 - Input'!$B$12)^(AL338-1)</f>
        <v>4342.780573583108</v>
      </c>
      <c r="AO338" s="17">
        <f t="shared" si="329"/>
        <v>0</v>
      </c>
      <c r="AP338" s="17">
        <f t="shared" si="330"/>
        <v>0</v>
      </c>
      <c r="AQ338" s="17">
        <f t="shared" si="292"/>
        <v>0</v>
      </c>
      <c r="AR338" s="17">
        <f>IF(AQ338&gt;0,'1 - Input'!$B$8/12*AQ338,0)</f>
        <v>0</v>
      </c>
      <c r="AS338" s="17">
        <f t="shared" si="293"/>
        <v>0</v>
      </c>
      <c r="AT338" s="17">
        <f t="shared" si="294"/>
        <v>0</v>
      </c>
      <c r="AU338" s="17">
        <f>'1 - Input'!$B$22*(AR338-AT338)</f>
        <v>0</v>
      </c>
      <c r="AV338" s="17">
        <f t="shared" si="295"/>
        <v>0</v>
      </c>
      <c r="AW338" s="17">
        <f t="shared" si="296"/>
        <v>0</v>
      </c>
      <c r="AX338" s="17">
        <f>IF('1 - Input'!$B$17=1,MAX(0,AV338-AN338),0)</f>
        <v>0</v>
      </c>
      <c r="AY338" s="17">
        <f>IF('1 - Input'!$B$17=1,MAX(0,AN338-AV338),0)</f>
        <v>4342.780573583108</v>
      </c>
      <c r="AZ338" s="17">
        <f t="shared" si="297"/>
        <v>0</v>
      </c>
      <c r="BA338" s="17">
        <f>IF(AND(AY338&gt;0,AS338&gt;0),AY338/(1-'1 - Input'!$B$22*AZ338),0)</f>
        <v>0</v>
      </c>
      <c r="BB338" s="17">
        <f t="shared" si="298"/>
        <v>0</v>
      </c>
      <c r="BC338" s="17">
        <f>'1 - Input'!$B$22*AZ338*BB338</f>
        <v>0</v>
      </c>
      <c r="BD338" s="17">
        <f t="shared" si="299"/>
        <v>0</v>
      </c>
      <c r="BE338" s="17">
        <f t="shared" si="300"/>
        <v>4342.780573583108</v>
      </c>
      <c r="BF338" s="17">
        <f t="shared" si="301"/>
        <v>0</v>
      </c>
      <c r="BG338" s="17">
        <f t="shared" si="302"/>
        <v>0</v>
      </c>
      <c r="BH338" s="17">
        <f t="shared" si="303"/>
        <v>0</v>
      </c>
      <c r="BI338" s="17">
        <f>IF(MOD(AK338,12)=0,BG338*'1 - Input'!$B$23,0)</f>
        <v>0</v>
      </c>
      <c r="BJ338" s="17">
        <f t="shared" si="304"/>
        <v>0</v>
      </c>
      <c r="BK338" s="17">
        <f>IF(MOD(AK338,12)=0,BH338*(1-'1 - Input'!$B$23),BH338)</f>
        <v>0</v>
      </c>
      <c r="BL338" s="17">
        <f>IF('1 - Input'!$B$17=1,MIN(AV338,AN338)+BD338,AV338)</f>
        <v>0</v>
      </c>
      <c r="BM338" s="17">
        <f t="shared" si="331"/>
        <v>590482.93849429931</v>
      </c>
      <c r="BN338" s="17">
        <f t="shared" si="332"/>
        <v>101441.90180685223</v>
      </c>
      <c r="BO338" s="17">
        <f t="shared" si="333"/>
        <v>0</v>
      </c>
      <c r="BP338" s="17">
        <f t="shared" si="334"/>
        <v>174289.24056370757</v>
      </c>
      <c r="BQ338" s="17">
        <f t="shared" si="335"/>
        <v>8123.5662772395826</v>
      </c>
      <c r="BR338" s="17">
        <f t="shared" si="336"/>
        <v>425584.86967064673</v>
      </c>
      <c r="BS338" s="15">
        <f t="shared" si="305"/>
        <v>1</v>
      </c>
      <c r="BU338" s="14">
        <v>295</v>
      </c>
      <c r="BV338" s="15">
        <f t="shared" si="306"/>
        <v>25</v>
      </c>
      <c r="BW338" s="16">
        <f>(1+INDEX('1 - Input'!$B$34:$E$63,BV338,'1 - Input'!$B$16))^(1/12)-1</f>
        <v>4.1219243192651689E-3</v>
      </c>
      <c r="BX338" s="17">
        <f>'1 - Input'!$B$7*(1+'1 - Input'!$B$12)^(BV338-1)</f>
        <v>4342.780573583108</v>
      </c>
      <c r="BY338" s="17">
        <f t="shared" si="337"/>
        <v>0</v>
      </c>
      <c r="BZ338" s="17">
        <f t="shared" si="338"/>
        <v>0</v>
      </c>
      <c r="CA338" s="17">
        <f t="shared" si="307"/>
        <v>0</v>
      </c>
      <c r="CB338" s="17">
        <f>IF(CA338&gt;0,'1 - Input'!$B$8/12*CA338,0)</f>
        <v>0</v>
      </c>
      <c r="CC338" s="17">
        <f t="shared" si="308"/>
        <v>0</v>
      </c>
      <c r="CD338" s="17">
        <f t="shared" si="309"/>
        <v>0</v>
      </c>
      <c r="CE338" s="17">
        <f>'1 - Input'!$B$22*(CB338-CD338)</f>
        <v>0</v>
      </c>
      <c r="CF338" s="17">
        <f t="shared" si="310"/>
        <v>0</v>
      </c>
      <c r="CG338" s="17">
        <f t="shared" si="311"/>
        <v>0</v>
      </c>
      <c r="CH338" s="17">
        <f>IF('1 - Input'!$B$17=1,MAX(0,CF338-BX338),0)</f>
        <v>0</v>
      </c>
      <c r="CI338" s="17">
        <f>IF('1 - Input'!$B$17=1,MAX(0,BX338-CF338),0)</f>
        <v>4342.780573583108</v>
      </c>
      <c r="CJ338" s="17">
        <f t="shared" si="312"/>
        <v>0</v>
      </c>
      <c r="CK338" s="17">
        <f>IF(AND(CI338&gt;0,CC338&gt;0),CI338/(1-'1 - Input'!$B$22*CJ338),0)</f>
        <v>0</v>
      </c>
      <c r="CL338" s="17">
        <f t="shared" si="313"/>
        <v>0</v>
      </c>
      <c r="CM338" s="17">
        <f>'1 - Input'!$B$22*CJ338*CL338</f>
        <v>0</v>
      </c>
      <c r="CN338" s="17">
        <f t="shared" si="314"/>
        <v>0</v>
      </c>
      <c r="CO338" s="17">
        <f t="shared" si="315"/>
        <v>4342.780573583108</v>
      </c>
      <c r="CP338" s="17">
        <f t="shared" si="316"/>
        <v>0</v>
      </c>
      <c r="CQ338" s="17">
        <f t="shared" si="317"/>
        <v>0</v>
      </c>
      <c r="CR338" s="17">
        <f t="shared" si="318"/>
        <v>0</v>
      </c>
      <c r="CS338" s="17">
        <f>IF(MOD(BU338,12)=0,CQ338*'1 - Input'!$B$23,0)</f>
        <v>0</v>
      </c>
      <c r="CT338" s="17">
        <f t="shared" si="319"/>
        <v>0</v>
      </c>
      <c r="CU338" s="17">
        <f>IF(MOD(BU338,12)=0,CR338*(1-'1 - Input'!$B$23),CR338)</f>
        <v>0</v>
      </c>
      <c r="CV338" s="17">
        <f>IF('1 - Input'!$B$17=1,MIN(CF338,BX338)+CN338,CF338)</f>
        <v>0</v>
      </c>
      <c r="CW338" s="17">
        <f t="shared" si="339"/>
        <v>686605.50041273201</v>
      </c>
      <c r="CX338" s="17">
        <f t="shared" si="340"/>
        <v>6018.3402768167462</v>
      </c>
      <c r="CY338" s="17">
        <f t="shared" si="341"/>
        <v>66518.776160328038</v>
      </c>
      <c r="CZ338" s="17">
        <f t="shared" si="342"/>
        <v>0</v>
      </c>
      <c r="DA338" s="17">
        <f t="shared" si="343"/>
        <v>10954.114452440983</v>
      </c>
      <c r="DB338" s="17">
        <f t="shared" si="344"/>
        <v>329462.30775221495</v>
      </c>
      <c r="DC338" s="15">
        <f t="shared" si="320"/>
        <v>1</v>
      </c>
    </row>
    <row r="339" spans="1:107">
      <c r="A339" s="14">
        <v>296</v>
      </c>
      <c r="B339" s="15">
        <f t="shared" si="276"/>
        <v>25</v>
      </c>
      <c r="C339" s="16">
        <f>(1+INDEX('1 - Input'!$B$34:$E$63,B339,'1 - Input'!$B$16))^(1/12)-1</f>
        <v>4.1219243192651689E-3</v>
      </c>
      <c r="D339" s="17">
        <f>'1 - Input'!$B$7*(1+'1 - Input'!$B$12)^(B339-1)</f>
        <v>4342.780573583108</v>
      </c>
      <c r="E339" s="17">
        <f t="shared" si="321"/>
        <v>0</v>
      </c>
      <c r="F339" s="17">
        <f t="shared" si="322"/>
        <v>0</v>
      </c>
      <c r="G339" s="17">
        <f t="shared" si="277"/>
        <v>0</v>
      </c>
      <c r="H339" s="17">
        <f>IF(G339&gt;0,'1 - Input'!$B$8/12*G339,0)</f>
        <v>0</v>
      </c>
      <c r="I339" s="17">
        <f t="shared" si="278"/>
        <v>0</v>
      </c>
      <c r="J339" s="17">
        <f t="shared" si="279"/>
        <v>0</v>
      </c>
      <c r="K339" s="17">
        <f>'1 - Input'!$B$22*(H339-J339)</f>
        <v>0</v>
      </c>
      <c r="L339" s="17">
        <f t="shared" si="280"/>
        <v>0</v>
      </c>
      <c r="M339" s="17">
        <f t="shared" si="281"/>
        <v>0</v>
      </c>
      <c r="N339" s="17">
        <f>IF('1 - Input'!$B$17=1,MAX(0,L339-D339),0)</f>
        <v>0</v>
      </c>
      <c r="O339" s="17">
        <f>IF('1 - Input'!$B$17=1,MAX(0,D339-L339),0)</f>
        <v>4342.780573583108</v>
      </c>
      <c r="P339" s="17">
        <f t="shared" si="282"/>
        <v>0</v>
      </c>
      <c r="Q339" s="17">
        <f>IF(AND(O339&gt;0,I339&gt;0),O339/(1-'1 - Input'!$B$22*P339),0)</f>
        <v>0</v>
      </c>
      <c r="R339" s="17">
        <f t="shared" si="283"/>
        <v>0</v>
      </c>
      <c r="S339" s="17">
        <f>'1 - Input'!$B$22*P339*R339</f>
        <v>0</v>
      </c>
      <c r="T339" s="17">
        <f t="shared" si="284"/>
        <v>0</v>
      </c>
      <c r="U339" s="17">
        <f t="shared" si="285"/>
        <v>4342.780573583108</v>
      </c>
      <c r="V339" s="17">
        <f t="shared" si="286"/>
        <v>0</v>
      </c>
      <c r="W339" s="17">
        <f t="shared" si="287"/>
        <v>0</v>
      </c>
      <c r="X339" s="17">
        <f t="shared" si="288"/>
        <v>0</v>
      </c>
      <c r="Y339" s="17">
        <f>IF(MOD(A339,12)=0,W339*'1 - Input'!$B$23,0)</f>
        <v>0</v>
      </c>
      <c r="Z339" s="17">
        <f t="shared" si="289"/>
        <v>0</v>
      </c>
      <c r="AA339" s="17">
        <f>IF(MOD(A339,12)=0,X339*(1-'1 - Input'!$B$23),X339)</f>
        <v>0</v>
      </c>
      <c r="AB339" s="17">
        <f>IF('1 - Input'!$B$17=1,MIN(L339,D339)+T339,L339)</f>
        <v>0</v>
      </c>
      <c r="AC339" s="17">
        <f t="shared" si="323"/>
        <v>590482.93849429931</v>
      </c>
      <c r="AD339" s="17">
        <f t="shared" si="324"/>
        <v>101441.90180685223</v>
      </c>
      <c r="AE339" s="17">
        <f t="shared" si="325"/>
        <v>0</v>
      </c>
      <c r="AF339" s="17">
        <f t="shared" si="326"/>
        <v>174289.24056370757</v>
      </c>
      <c r="AG339" s="17">
        <f t="shared" si="327"/>
        <v>8123.5662772395826</v>
      </c>
      <c r="AH339" s="17">
        <f t="shared" si="328"/>
        <v>429927.65024422982</v>
      </c>
      <c r="AI339" s="15">
        <f t="shared" si="290"/>
        <v>1</v>
      </c>
      <c r="AK339" s="14">
        <v>296</v>
      </c>
      <c r="AL339" s="15">
        <f t="shared" si="291"/>
        <v>25</v>
      </c>
      <c r="AM339" s="16">
        <f>(1+INDEX('1 - Input'!$B$34:$E$63,AL339,'1 - Input'!$B$16))^(1/12)-1</f>
        <v>4.1219243192651689E-3</v>
      </c>
      <c r="AN339" s="17">
        <f>'1 - Input'!$B$7*(1+'1 - Input'!$B$12)^(AL339-1)</f>
        <v>4342.780573583108</v>
      </c>
      <c r="AO339" s="17">
        <f t="shared" si="329"/>
        <v>0</v>
      </c>
      <c r="AP339" s="17">
        <f t="shared" si="330"/>
        <v>0</v>
      </c>
      <c r="AQ339" s="17">
        <f t="shared" si="292"/>
        <v>0</v>
      </c>
      <c r="AR339" s="17">
        <f>IF(AQ339&gt;0,'1 - Input'!$B$8/12*AQ339,0)</f>
        <v>0</v>
      </c>
      <c r="AS339" s="17">
        <f t="shared" si="293"/>
        <v>0</v>
      </c>
      <c r="AT339" s="17">
        <f t="shared" si="294"/>
        <v>0</v>
      </c>
      <c r="AU339" s="17">
        <f>'1 - Input'!$B$22*(AR339-AT339)</f>
        <v>0</v>
      </c>
      <c r="AV339" s="17">
        <f t="shared" si="295"/>
        <v>0</v>
      </c>
      <c r="AW339" s="17">
        <f t="shared" si="296"/>
        <v>0</v>
      </c>
      <c r="AX339" s="17">
        <f>IF('1 - Input'!$B$17=1,MAX(0,AV339-AN339),0)</f>
        <v>0</v>
      </c>
      <c r="AY339" s="17">
        <f>IF('1 - Input'!$B$17=1,MAX(0,AN339-AV339),0)</f>
        <v>4342.780573583108</v>
      </c>
      <c r="AZ339" s="17">
        <f t="shared" si="297"/>
        <v>0</v>
      </c>
      <c r="BA339" s="17">
        <f>IF(AND(AY339&gt;0,AS339&gt;0),AY339/(1-'1 - Input'!$B$22*AZ339),0)</f>
        <v>0</v>
      </c>
      <c r="BB339" s="17">
        <f t="shared" si="298"/>
        <v>0</v>
      </c>
      <c r="BC339" s="17">
        <f>'1 - Input'!$B$22*AZ339*BB339</f>
        <v>0</v>
      </c>
      <c r="BD339" s="17">
        <f t="shared" si="299"/>
        <v>0</v>
      </c>
      <c r="BE339" s="17">
        <f t="shared" si="300"/>
        <v>4342.780573583108</v>
      </c>
      <c r="BF339" s="17">
        <f t="shared" si="301"/>
        <v>0</v>
      </c>
      <c r="BG339" s="17">
        <f t="shared" si="302"/>
        <v>0</v>
      </c>
      <c r="BH339" s="17">
        <f t="shared" si="303"/>
        <v>0</v>
      </c>
      <c r="BI339" s="17">
        <f>IF(MOD(AK339,12)=0,BG339*'1 - Input'!$B$23,0)</f>
        <v>0</v>
      </c>
      <c r="BJ339" s="17">
        <f t="shared" si="304"/>
        <v>0</v>
      </c>
      <c r="BK339" s="17">
        <f>IF(MOD(AK339,12)=0,BH339*(1-'1 - Input'!$B$23),BH339)</f>
        <v>0</v>
      </c>
      <c r="BL339" s="17">
        <f>IF('1 - Input'!$B$17=1,MIN(AV339,AN339)+BD339,AV339)</f>
        <v>0</v>
      </c>
      <c r="BM339" s="17">
        <f t="shared" si="331"/>
        <v>590482.93849429931</v>
      </c>
      <c r="BN339" s="17">
        <f t="shared" si="332"/>
        <v>101441.90180685223</v>
      </c>
      <c r="BO339" s="17">
        <f t="shared" si="333"/>
        <v>0</v>
      </c>
      <c r="BP339" s="17">
        <f t="shared" si="334"/>
        <v>174289.24056370757</v>
      </c>
      <c r="BQ339" s="17">
        <f t="shared" si="335"/>
        <v>8123.5662772395826</v>
      </c>
      <c r="BR339" s="17">
        <f t="shared" si="336"/>
        <v>429927.65024422982</v>
      </c>
      <c r="BS339" s="15">
        <f t="shared" si="305"/>
        <v>1</v>
      </c>
      <c r="BU339" s="14">
        <v>296</v>
      </c>
      <c r="BV339" s="15">
        <f t="shared" si="306"/>
        <v>25</v>
      </c>
      <c r="BW339" s="16">
        <f>(1+INDEX('1 - Input'!$B$34:$E$63,BV339,'1 - Input'!$B$16))^(1/12)-1</f>
        <v>4.1219243192651689E-3</v>
      </c>
      <c r="BX339" s="17">
        <f>'1 - Input'!$B$7*(1+'1 - Input'!$B$12)^(BV339-1)</f>
        <v>4342.780573583108</v>
      </c>
      <c r="BY339" s="17">
        <f t="shared" si="337"/>
        <v>0</v>
      </c>
      <c r="BZ339" s="17">
        <f t="shared" si="338"/>
        <v>0</v>
      </c>
      <c r="CA339" s="17">
        <f t="shared" si="307"/>
        <v>0</v>
      </c>
      <c r="CB339" s="17">
        <f>IF(CA339&gt;0,'1 - Input'!$B$8/12*CA339,0)</f>
        <v>0</v>
      </c>
      <c r="CC339" s="17">
        <f t="shared" si="308"/>
        <v>0</v>
      </c>
      <c r="CD339" s="17">
        <f t="shared" si="309"/>
        <v>0</v>
      </c>
      <c r="CE339" s="17">
        <f>'1 - Input'!$B$22*(CB339-CD339)</f>
        <v>0</v>
      </c>
      <c r="CF339" s="17">
        <f t="shared" si="310"/>
        <v>0</v>
      </c>
      <c r="CG339" s="17">
        <f t="shared" si="311"/>
        <v>0</v>
      </c>
      <c r="CH339" s="17">
        <f>IF('1 - Input'!$B$17=1,MAX(0,CF339-BX339),0)</f>
        <v>0</v>
      </c>
      <c r="CI339" s="17">
        <f>IF('1 - Input'!$B$17=1,MAX(0,BX339-CF339),0)</f>
        <v>4342.780573583108</v>
      </c>
      <c r="CJ339" s="17">
        <f t="shared" si="312"/>
        <v>0</v>
      </c>
      <c r="CK339" s="17">
        <f>IF(AND(CI339&gt;0,CC339&gt;0),CI339/(1-'1 - Input'!$B$22*CJ339),0)</f>
        <v>0</v>
      </c>
      <c r="CL339" s="17">
        <f t="shared" si="313"/>
        <v>0</v>
      </c>
      <c r="CM339" s="17">
        <f>'1 - Input'!$B$22*CJ339*CL339</f>
        <v>0</v>
      </c>
      <c r="CN339" s="17">
        <f t="shared" si="314"/>
        <v>0</v>
      </c>
      <c r="CO339" s="17">
        <f t="shared" si="315"/>
        <v>4342.780573583108</v>
      </c>
      <c r="CP339" s="17">
        <f t="shared" si="316"/>
        <v>0</v>
      </c>
      <c r="CQ339" s="17">
        <f t="shared" si="317"/>
        <v>0</v>
      </c>
      <c r="CR339" s="17">
        <f t="shared" si="318"/>
        <v>0</v>
      </c>
      <c r="CS339" s="17">
        <f>IF(MOD(BU339,12)=0,CQ339*'1 - Input'!$B$23,0)</f>
        <v>0</v>
      </c>
      <c r="CT339" s="17">
        <f t="shared" si="319"/>
        <v>0</v>
      </c>
      <c r="CU339" s="17">
        <f>IF(MOD(BU339,12)=0,CR339*(1-'1 - Input'!$B$23),CR339)</f>
        <v>0</v>
      </c>
      <c r="CV339" s="17">
        <f>IF('1 - Input'!$B$17=1,MIN(CF339,BX339)+CN339,CF339)</f>
        <v>0</v>
      </c>
      <c r="CW339" s="17">
        <f t="shared" si="339"/>
        <v>686605.50041273201</v>
      </c>
      <c r="CX339" s="17">
        <f t="shared" si="340"/>
        <v>6018.3402768167462</v>
      </c>
      <c r="CY339" s="17">
        <f t="shared" si="341"/>
        <v>66518.776160328038</v>
      </c>
      <c r="CZ339" s="17">
        <f t="shared" si="342"/>
        <v>0</v>
      </c>
      <c r="DA339" s="17">
        <f t="shared" si="343"/>
        <v>10954.114452440983</v>
      </c>
      <c r="DB339" s="17">
        <f t="shared" si="344"/>
        <v>333805.08832579805</v>
      </c>
      <c r="DC339" s="15">
        <f t="shared" si="320"/>
        <v>1</v>
      </c>
    </row>
    <row r="340" spans="1:107">
      <c r="A340" s="14">
        <v>297</v>
      </c>
      <c r="B340" s="15">
        <f t="shared" si="276"/>
        <v>25</v>
      </c>
      <c r="C340" s="16">
        <f>(1+INDEX('1 - Input'!$B$34:$E$63,B340,'1 - Input'!$B$16))^(1/12)-1</f>
        <v>4.1219243192651689E-3</v>
      </c>
      <c r="D340" s="17">
        <f>'1 - Input'!$B$7*(1+'1 - Input'!$B$12)^(B340-1)</f>
        <v>4342.780573583108</v>
      </c>
      <c r="E340" s="17">
        <f t="shared" si="321"/>
        <v>0</v>
      </c>
      <c r="F340" s="17">
        <f t="shared" si="322"/>
        <v>0</v>
      </c>
      <c r="G340" s="17">
        <f t="shared" si="277"/>
        <v>0</v>
      </c>
      <c r="H340" s="17">
        <f>IF(G340&gt;0,'1 - Input'!$B$8/12*G340,0)</f>
        <v>0</v>
      </c>
      <c r="I340" s="17">
        <f t="shared" si="278"/>
        <v>0</v>
      </c>
      <c r="J340" s="17">
        <f t="shared" si="279"/>
        <v>0</v>
      </c>
      <c r="K340" s="17">
        <f>'1 - Input'!$B$22*(H340-J340)</f>
        <v>0</v>
      </c>
      <c r="L340" s="17">
        <f t="shared" si="280"/>
        <v>0</v>
      </c>
      <c r="M340" s="17">
        <f t="shared" si="281"/>
        <v>0</v>
      </c>
      <c r="N340" s="17">
        <f>IF('1 - Input'!$B$17=1,MAX(0,L340-D340),0)</f>
        <v>0</v>
      </c>
      <c r="O340" s="17">
        <f>IF('1 - Input'!$B$17=1,MAX(0,D340-L340),0)</f>
        <v>4342.780573583108</v>
      </c>
      <c r="P340" s="17">
        <f t="shared" si="282"/>
        <v>0</v>
      </c>
      <c r="Q340" s="17">
        <f>IF(AND(O340&gt;0,I340&gt;0),O340/(1-'1 - Input'!$B$22*P340),0)</f>
        <v>0</v>
      </c>
      <c r="R340" s="17">
        <f t="shared" si="283"/>
        <v>0</v>
      </c>
      <c r="S340" s="17">
        <f>'1 - Input'!$B$22*P340*R340</f>
        <v>0</v>
      </c>
      <c r="T340" s="17">
        <f t="shared" si="284"/>
        <v>0</v>
      </c>
      <c r="U340" s="17">
        <f t="shared" si="285"/>
        <v>4342.780573583108</v>
      </c>
      <c r="V340" s="17">
        <f t="shared" si="286"/>
        <v>0</v>
      </c>
      <c r="W340" s="17">
        <f t="shared" si="287"/>
        <v>0</v>
      </c>
      <c r="X340" s="17">
        <f t="shared" si="288"/>
        <v>0</v>
      </c>
      <c r="Y340" s="17">
        <f>IF(MOD(A340,12)=0,W340*'1 - Input'!$B$23,0)</f>
        <v>0</v>
      </c>
      <c r="Z340" s="17">
        <f t="shared" si="289"/>
        <v>0</v>
      </c>
      <c r="AA340" s="17">
        <f>IF(MOD(A340,12)=0,X340*(1-'1 - Input'!$B$23),X340)</f>
        <v>0</v>
      </c>
      <c r="AB340" s="17">
        <f>IF('1 - Input'!$B$17=1,MIN(L340,D340)+T340,L340)</f>
        <v>0</v>
      </c>
      <c r="AC340" s="17">
        <f t="shared" si="323"/>
        <v>590482.93849429931</v>
      </c>
      <c r="AD340" s="17">
        <f t="shared" si="324"/>
        <v>101441.90180685223</v>
      </c>
      <c r="AE340" s="17">
        <f t="shared" si="325"/>
        <v>0</v>
      </c>
      <c r="AF340" s="17">
        <f t="shared" si="326"/>
        <v>174289.24056370757</v>
      </c>
      <c r="AG340" s="17">
        <f t="shared" si="327"/>
        <v>8123.5662772395826</v>
      </c>
      <c r="AH340" s="17">
        <f t="shared" si="328"/>
        <v>434270.43081781291</v>
      </c>
      <c r="AI340" s="15">
        <f t="shared" si="290"/>
        <v>1</v>
      </c>
      <c r="AK340" s="14">
        <v>297</v>
      </c>
      <c r="AL340" s="15">
        <f t="shared" si="291"/>
        <v>25</v>
      </c>
      <c r="AM340" s="16">
        <f>(1+INDEX('1 - Input'!$B$34:$E$63,AL340,'1 - Input'!$B$16))^(1/12)-1</f>
        <v>4.1219243192651689E-3</v>
      </c>
      <c r="AN340" s="17">
        <f>'1 - Input'!$B$7*(1+'1 - Input'!$B$12)^(AL340-1)</f>
        <v>4342.780573583108</v>
      </c>
      <c r="AO340" s="17">
        <f t="shared" si="329"/>
        <v>0</v>
      </c>
      <c r="AP340" s="17">
        <f t="shared" si="330"/>
        <v>0</v>
      </c>
      <c r="AQ340" s="17">
        <f t="shared" si="292"/>
        <v>0</v>
      </c>
      <c r="AR340" s="17">
        <f>IF(AQ340&gt;0,'1 - Input'!$B$8/12*AQ340,0)</f>
        <v>0</v>
      </c>
      <c r="AS340" s="17">
        <f t="shared" si="293"/>
        <v>0</v>
      </c>
      <c r="AT340" s="17">
        <f t="shared" si="294"/>
        <v>0</v>
      </c>
      <c r="AU340" s="17">
        <f>'1 - Input'!$B$22*(AR340-AT340)</f>
        <v>0</v>
      </c>
      <c r="AV340" s="17">
        <f t="shared" si="295"/>
        <v>0</v>
      </c>
      <c r="AW340" s="17">
        <f t="shared" si="296"/>
        <v>0</v>
      </c>
      <c r="AX340" s="17">
        <f>IF('1 - Input'!$B$17=1,MAX(0,AV340-AN340),0)</f>
        <v>0</v>
      </c>
      <c r="AY340" s="17">
        <f>IF('1 - Input'!$B$17=1,MAX(0,AN340-AV340),0)</f>
        <v>4342.780573583108</v>
      </c>
      <c r="AZ340" s="17">
        <f t="shared" si="297"/>
        <v>0</v>
      </c>
      <c r="BA340" s="17">
        <f>IF(AND(AY340&gt;0,AS340&gt;0),AY340/(1-'1 - Input'!$B$22*AZ340),0)</f>
        <v>0</v>
      </c>
      <c r="BB340" s="17">
        <f t="shared" si="298"/>
        <v>0</v>
      </c>
      <c r="BC340" s="17">
        <f>'1 - Input'!$B$22*AZ340*BB340</f>
        <v>0</v>
      </c>
      <c r="BD340" s="17">
        <f t="shared" si="299"/>
        <v>0</v>
      </c>
      <c r="BE340" s="17">
        <f t="shared" si="300"/>
        <v>4342.780573583108</v>
      </c>
      <c r="BF340" s="17">
        <f t="shared" si="301"/>
        <v>0</v>
      </c>
      <c r="BG340" s="17">
        <f t="shared" si="302"/>
        <v>0</v>
      </c>
      <c r="BH340" s="17">
        <f t="shared" si="303"/>
        <v>0</v>
      </c>
      <c r="BI340" s="17">
        <f>IF(MOD(AK340,12)=0,BG340*'1 - Input'!$B$23,0)</f>
        <v>0</v>
      </c>
      <c r="BJ340" s="17">
        <f t="shared" si="304"/>
        <v>0</v>
      </c>
      <c r="BK340" s="17">
        <f>IF(MOD(AK340,12)=0,BH340*(1-'1 - Input'!$B$23),BH340)</f>
        <v>0</v>
      </c>
      <c r="BL340" s="17">
        <f>IF('1 - Input'!$B$17=1,MIN(AV340,AN340)+BD340,AV340)</f>
        <v>0</v>
      </c>
      <c r="BM340" s="17">
        <f t="shared" si="331"/>
        <v>590482.93849429931</v>
      </c>
      <c r="BN340" s="17">
        <f t="shared" si="332"/>
        <v>101441.90180685223</v>
      </c>
      <c r="BO340" s="17">
        <f t="shared" si="333"/>
        <v>0</v>
      </c>
      <c r="BP340" s="17">
        <f t="shared" si="334"/>
        <v>174289.24056370757</v>
      </c>
      <c r="BQ340" s="17">
        <f t="shared" si="335"/>
        <v>8123.5662772395826</v>
      </c>
      <c r="BR340" s="17">
        <f t="shared" si="336"/>
        <v>434270.43081781291</v>
      </c>
      <c r="BS340" s="15">
        <f t="shared" si="305"/>
        <v>1</v>
      </c>
      <c r="BU340" s="14">
        <v>297</v>
      </c>
      <c r="BV340" s="15">
        <f t="shared" si="306"/>
        <v>25</v>
      </c>
      <c r="BW340" s="16">
        <f>(1+INDEX('1 - Input'!$B$34:$E$63,BV340,'1 - Input'!$B$16))^(1/12)-1</f>
        <v>4.1219243192651689E-3</v>
      </c>
      <c r="BX340" s="17">
        <f>'1 - Input'!$B$7*(1+'1 - Input'!$B$12)^(BV340-1)</f>
        <v>4342.780573583108</v>
      </c>
      <c r="BY340" s="17">
        <f t="shared" si="337"/>
        <v>0</v>
      </c>
      <c r="BZ340" s="17">
        <f t="shared" si="338"/>
        <v>0</v>
      </c>
      <c r="CA340" s="17">
        <f t="shared" si="307"/>
        <v>0</v>
      </c>
      <c r="CB340" s="17">
        <f>IF(CA340&gt;0,'1 - Input'!$B$8/12*CA340,0)</f>
        <v>0</v>
      </c>
      <c r="CC340" s="17">
        <f t="shared" si="308"/>
        <v>0</v>
      </c>
      <c r="CD340" s="17">
        <f t="shared" si="309"/>
        <v>0</v>
      </c>
      <c r="CE340" s="17">
        <f>'1 - Input'!$B$22*(CB340-CD340)</f>
        <v>0</v>
      </c>
      <c r="CF340" s="17">
        <f t="shared" si="310"/>
        <v>0</v>
      </c>
      <c r="CG340" s="17">
        <f t="shared" si="311"/>
        <v>0</v>
      </c>
      <c r="CH340" s="17">
        <f>IF('1 - Input'!$B$17=1,MAX(0,CF340-BX340),0)</f>
        <v>0</v>
      </c>
      <c r="CI340" s="17">
        <f>IF('1 - Input'!$B$17=1,MAX(0,BX340-CF340),0)</f>
        <v>4342.780573583108</v>
      </c>
      <c r="CJ340" s="17">
        <f t="shared" si="312"/>
        <v>0</v>
      </c>
      <c r="CK340" s="17">
        <f>IF(AND(CI340&gt;0,CC340&gt;0),CI340/(1-'1 - Input'!$B$22*CJ340),0)</f>
        <v>0</v>
      </c>
      <c r="CL340" s="17">
        <f t="shared" si="313"/>
        <v>0</v>
      </c>
      <c r="CM340" s="17">
        <f>'1 - Input'!$B$22*CJ340*CL340</f>
        <v>0</v>
      </c>
      <c r="CN340" s="17">
        <f t="shared" si="314"/>
        <v>0</v>
      </c>
      <c r="CO340" s="17">
        <f t="shared" si="315"/>
        <v>4342.780573583108</v>
      </c>
      <c r="CP340" s="17">
        <f t="shared" si="316"/>
        <v>0</v>
      </c>
      <c r="CQ340" s="17">
        <f t="shared" si="317"/>
        <v>0</v>
      </c>
      <c r="CR340" s="17">
        <f t="shared" si="318"/>
        <v>0</v>
      </c>
      <c r="CS340" s="17">
        <f>IF(MOD(BU340,12)=0,CQ340*'1 - Input'!$B$23,0)</f>
        <v>0</v>
      </c>
      <c r="CT340" s="17">
        <f t="shared" si="319"/>
        <v>0</v>
      </c>
      <c r="CU340" s="17">
        <f>IF(MOD(BU340,12)=0,CR340*(1-'1 - Input'!$B$23),CR340)</f>
        <v>0</v>
      </c>
      <c r="CV340" s="17">
        <f>IF('1 - Input'!$B$17=1,MIN(CF340,BX340)+CN340,CF340)</f>
        <v>0</v>
      </c>
      <c r="CW340" s="17">
        <f t="shared" si="339"/>
        <v>686605.50041273201</v>
      </c>
      <c r="CX340" s="17">
        <f t="shared" si="340"/>
        <v>6018.3402768167462</v>
      </c>
      <c r="CY340" s="17">
        <f t="shared" si="341"/>
        <v>66518.776160328038</v>
      </c>
      <c r="CZ340" s="17">
        <f t="shared" si="342"/>
        <v>0</v>
      </c>
      <c r="DA340" s="17">
        <f t="shared" si="343"/>
        <v>10954.114452440983</v>
      </c>
      <c r="DB340" s="17">
        <f t="shared" si="344"/>
        <v>338147.86889938114</v>
      </c>
      <c r="DC340" s="15">
        <f t="shared" si="320"/>
        <v>1</v>
      </c>
    </row>
    <row r="341" spans="1:107">
      <c r="A341" s="14">
        <v>298</v>
      </c>
      <c r="B341" s="15">
        <f t="shared" si="276"/>
        <v>25</v>
      </c>
      <c r="C341" s="16">
        <f>(1+INDEX('1 - Input'!$B$34:$E$63,B341,'1 - Input'!$B$16))^(1/12)-1</f>
        <v>4.1219243192651689E-3</v>
      </c>
      <c r="D341" s="17">
        <f>'1 - Input'!$B$7*(1+'1 - Input'!$B$12)^(B341-1)</f>
        <v>4342.780573583108</v>
      </c>
      <c r="E341" s="17">
        <f t="shared" si="321"/>
        <v>0</v>
      </c>
      <c r="F341" s="17">
        <f t="shared" si="322"/>
        <v>0</v>
      </c>
      <c r="G341" s="17">
        <f t="shared" si="277"/>
        <v>0</v>
      </c>
      <c r="H341" s="17">
        <f>IF(G341&gt;0,'1 - Input'!$B$8/12*G341,0)</f>
        <v>0</v>
      </c>
      <c r="I341" s="17">
        <f t="shared" si="278"/>
        <v>0</v>
      </c>
      <c r="J341" s="17">
        <f t="shared" si="279"/>
        <v>0</v>
      </c>
      <c r="K341" s="17">
        <f>'1 - Input'!$B$22*(H341-J341)</f>
        <v>0</v>
      </c>
      <c r="L341" s="17">
        <f t="shared" si="280"/>
        <v>0</v>
      </c>
      <c r="M341" s="17">
        <f t="shared" si="281"/>
        <v>0</v>
      </c>
      <c r="N341" s="17">
        <f>IF('1 - Input'!$B$17=1,MAX(0,L341-D341),0)</f>
        <v>0</v>
      </c>
      <c r="O341" s="17">
        <f>IF('1 - Input'!$B$17=1,MAX(0,D341-L341),0)</f>
        <v>4342.780573583108</v>
      </c>
      <c r="P341" s="17">
        <f t="shared" si="282"/>
        <v>0</v>
      </c>
      <c r="Q341" s="17">
        <f>IF(AND(O341&gt;0,I341&gt;0),O341/(1-'1 - Input'!$B$22*P341),0)</f>
        <v>0</v>
      </c>
      <c r="R341" s="17">
        <f t="shared" si="283"/>
        <v>0</v>
      </c>
      <c r="S341" s="17">
        <f>'1 - Input'!$B$22*P341*R341</f>
        <v>0</v>
      </c>
      <c r="T341" s="17">
        <f t="shared" si="284"/>
        <v>0</v>
      </c>
      <c r="U341" s="17">
        <f t="shared" si="285"/>
        <v>4342.780573583108</v>
      </c>
      <c r="V341" s="17">
        <f t="shared" si="286"/>
        <v>0</v>
      </c>
      <c r="W341" s="17">
        <f t="shared" si="287"/>
        <v>0</v>
      </c>
      <c r="X341" s="17">
        <f t="shared" si="288"/>
        <v>0</v>
      </c>
      <c r="Y341" s="17">
        <f>IF(MOD(A341,12)=0,W341*'1 - Input'!$B$23,0)</f>
        <v>0</v>
      </c>
      <c r="Z341" s="17">
        <f t="shared" si="289"/>
        <v>0</v>
      </c>
      <c r="AA341" s="17">
        <f>IF(MOD(A341,12)=0,X341*(1-'1 - Input'!$B$23),X341)</f>
        <v>0</v>
      </c>
      <c r="AB341" s="17">
        <f>IF('1 - Input'!$B$17=1,MIN(L341,D341)+T341,L341)</f>
        <v>0</v>
      </c>
      <c r="AC341" s="17">
        <f t="shared" si="323"/>
        <v>590482.93849429931</v>
      </c>
      <c r="AD341" s="17">
        <f t="shared" si="324"/>
        <v>101441.90180685223</v>
      </c>
      <c r="AE341" s="17">
        <f t="shared" si="325"/>
        <v>0</v>
      </c>
      <c r="AF341" s="17">
        <f t="shared" si="326"/>
        <v>174289.24056370757</v>
      </c>
      <c r="AG341" s="17">
        <f t="shared" si="327"/>
        <v>8123.5662772395826</v>
      </c>
      <c r="AH341" s="17">
        <f t="shared" si="328"/>
        <v>438613.21139139601</v>
      </c>
      <c r="AI341" s="15">
        <f t="shared" si="290"/>
        <v>1</v>
      </c>
      <c r="AK341" s="14">
        <v>298</v>
      </c>
      <c r="AL341" s="15">
        <f t="shared" si="291"/>
        <v>25</v>
      </c>
      <c r="AM341" s="16">
        <f>(1+INDEX('1 - Input'!$B$34:$E$63,AL341,'1 - Input'!$B$16))^(1/12)-1</f>
        <v>4.1219243192651689E-3</v>
      </c>
      <c r="AN341" s="17">
        <f>'1 - Input'!$B$7*(1+'1 - Input'!$B$12)^(AL341-1)</f>
        <v>4342.780573583108</v>
      </c>
      <c r="AO341" s="17">
        <f t="shared" si="329"/>
        <v>0</v>
      </c>
      <c r="AP341" s="17">
        <f t="shared" si="330"/>
        <v>0</v>
      </c>
      <c r="AQ341" s="17">
        <f t="shared" si="292"/>
        <v>0</v>
      </c>
      <c r="AR341" s="17">
        <f>IF(AQ341&gt;0,'1 - Input'!$B$8/12*AQ341,0)</f>
        <v>0</v>
      </c>
      <c r="AS341" s="17">
        <f t="shared" si="293"/>
        <v>0</v>
      </c>
      <c r="AT341" s="17">
        <f t="shared" si="294"/>
        <v>0</v>
      </c>
      <c r="AU341" s="17">
        <f>'1 - Input'!$B$22*(AR341-AT341)</f>
        <v>0</v>
      </c>
      <c r="AV341" s="17">
        <f t="shared" si="295"/>
        <v>0</v>
      </c>
      <c r="AW341" s="17">
        <f t="shared" si="296"/>
        <v>0</v>
      </c>
      <c r="AX341" s="17">
        <f>IF('1 - Input'!$B$17=1,MAX(0,AV341-AN341),0)</f>
        <v>0</v>
      </c>
      <c r="AY341" s="17">
        <f>IF('1 - Input'!$B$17=1,MAX(0,AN341-AV341),0)</f>
        <v>4342.780573583108</v>
      </c>
      <c r="AZ341" s="17">
        <f t="shared" si="297"/>
        <v>0</v>
      </c>
      <c r="BA341" s="17">
        <f>IF(AND(AY341&gt;0,AS341&gt;0),AY341/(1-'1 - Input'!$B$22*AZ341),0)</f>
        <v>0</v>
      </c>
      <c r="BB341" s="17">
        <f t="shared" si="298"/>
        <v>0</v>
      </c>
      <c r="BC341" s="17">
        <f>'1 - Input'!$B$22*AZ341*BB341</f>
        <v>0</v>
      </c>
      <c r="BD341" s="17">
        <f t="shared" si="299"/>
        <v>0</v>
      </c>
      <c r="BE341" s="17">
        <f t="shared" si="300"/>
        <v>4342.780573583108</v>
      </c>
      <c r="BF341" s="17">
        <f t="shared" si="301"/>
        <v>0</v>
      </c>
      <c r="BG341" s="17">
        <f t="shared" si="302"/>
        <v>0</v>
      </c>
      <c r="BH341" s="17">
        <f t="shared" si="303"/>
        <v>0</v>
      </c>
      <c r="BI341" s="17">
        <f>IF(MOD(AK341,12)=0,BG341*'1 - Input'!$B$23,0)</f>
        <v>0</v>
      </c>
      <c r="BJ341" s="17">
        <f t="shared" si="304"/>
        <v>0</v>
      </c>
      <c r="BK341" s="17">
        <f>IF(MOD(AK341,12)=0,BH341*(1-'1 - Input'!$B$23),BH341)</f>
        <v>0</v>
      </c>
      <c r="BL341" s="17">
        <f>IF('1 - Input'!$B$17=1,MIN(AV341,AN341)+BD341,AV341)</f>
        <v>0</v>
      </c>
      <c r="BM341" s="17">
        <f t="shared" si="331"/>
        <v>590482.93849429931</v>
      </c>
      <c r="BN341" s="17">
        <f t="shared" si="332"/>
        <v>101441.90180685223</v>
      </c>
      <c r="BO341" s="17">
        <f t="shared" si="333"/>
        <v>0</v>
      </c>
      <c r="BP341" s="17">
        <f t="shared" si="334"/>
        <v>174289.24056370757</v>
      </c>
      <c r="BQ341" s="17">
        <f t="shared" si="335"/>
        <v>8123.5662772395826</v>
      </c>
      <c r="BR341" s="17">
        <f t="shared" si="336"/>
        <v>438613.21139139601</v>
      </c>
      <c r="BS341" s="15">
        <f t="shared" si="305"/>
        <v>1</v>
      </c>
      <c r="BU341" s="14">
        <v>298</v>
      </c>
      <c r="BV341" s="15">
        <f t="shared" si="306"/>
        <v>25</v>
      </c>
      <c r="BW341" s="16">
        <f>(1+INDEX('1 - Input'!$B$34:$E$63,BV341,'1 - Input'!$B$16))^(1/12)-1</f>
        <v>4.1219243192651689E-3</v>
      </c>
      <c r="BX341" s="17">
        <f>'1 - Input'!$B$7*(1+'1 - Input'!$B$12)^(BV341-1)</f>
        <v>4342.780573583108</v>
      </c>
      <c r="BY341" s="17">
        <f t="shared" si="337"/>
        <v>0</v>
      </c>
      <c r="BZ341" s="17">
        <f t="shared" si="338"/>
        <v>0</v>
      </c>
      <c r="CA341" s="17">
        <f t="shared" si="307"/>
        <v>0</v>
      </c>
      <c r="CB341" s="17">
        <f>IF(CA341&gt;0,'1 - Input'!$B$8/12*CA341,0)</f>
        <v>0</v>
      </c>
      <c r="CC341" s="17">
        <f t="shared" si="308"/>
        <v>0</v>
      </c>
      <c r="CD341" s="17">
        <f t="shared" si="309"/>
        <v>0</v>
      </c>
      <c r="CE341" s="17">
        <f>'1 - Input'!$B$22*(CB341-CD341)</f>
        <v>0</v>
      </c>
      <c r="CF341" s="17">
        <f t="shared" si="310"/>
        <v>0</v>
      </c>
      <c r="CG341" s="17">
        <f t="shared" si="311"/>
        <v>0</v>
      </c>
      <c r="CH341" s="17">
        <f>IF('1 - Input'!$B$17=1,MAX(0,CF341-BX341),0)</f>
        <v>0</v>
      </c>
      <c r="CI341" s="17">
        <f>IF('1 - Input'!$B$17=1,MAX(0,BX341-CF341),0)</f>
        <v>4342.780573583108</v>
      </c>
      <c r="CJ341" s="17">
        <f t="shared" si="312"/>
        <v>0</v>
      </c>
      <c r="CK341" s="17">
        <f>IF(AND(CI341&gt;0,CC341&gt;0),CI341/(1-'1 - Input'!$B$22*CJ341),0)</f>
        <v>0</v>
      </c>
      <c r="CL341" s="17">
        <f t="shared" si="313"/>
        <v>0</v>
      </c>
      <c r="CM341" s="17">
        <f>'1 - Input'!$B$22*CJ341*CL341</f>
        <v>0</v>
      </c>
      <c r="CN341" s="17">
        <f t="shared" si="314"/>
        <v>0</v>
      </c>
      <c r="CO341" s="17">
        <f t="shared" si="315"/>
        <v>4342.780573583108</v>
      </c>
      <c r="CP341" s="17">
        <f t="shared" si="316"/>
        <v>0</v>
      </c>
      <c r="CQ341" s="17">
        <f t="shared" si="317"/>
        <v>0</v>
      </c>
      <c r="CR341" s="17">
        <f t="shared" si="318"/>
        <v>0</v>
      </c>
      <c r="CS341" s="17">
        <f>IF(MOD(BU341,12)=0,CQ341*'1 - Input'!$B$23,0)</f>
        <v>0</v>
      </c>
      <c r="CT341" s="17">
        <f t="shared" si="319"/>
        <v>0</v>
      </c>
      <c r="CU341" s="17">
        <f>IF(MOD(BU341,12)=0,CR341*(1-'1 - Input'!$B$23),CR341)</f>
        <v>0</v>
      </c>
      <c r="CV341" s="17">
        <f>IF('1 - Input'!$B$17=1,MIN(CF341,BX341)+CN341,CF341)</f>
        <v>0</v>
      </c>
      <c r="CW341" s="17">
        <f t="shared" si="339"/>
        <v>686605.50041273201</v>
      </c>
      <c r="CX341" s="17">
        <f t="shared" si="340"/>
        <v>6018.3402768167462</v>
      </c>
      <c r="CY341" s="17">
        <f t="shared" si="341"/>
        <v>66518.776160328038</v>
      </c>
      <c r="CZ341" s="17">
        <f t="shared" si="342"/>
        <v>0</v>
      </c>
      <c r="DA341" s="17">
        <f t="shared" si="343"/>
        <v>10954.114452440983</v>
      </c>
      <c r="DB341" s="17">
        <f t="shared" si="344"/>
        <v>342490.64947296423</v>
      </c>
      <c r="DC341" s="15">
        <f t="shared" si="320"/>
        <v>1</v>
      </c>
    </row>
    <row r="342" spans="1:107">
      <c r="A342" s="14">
        <v>299</v>
      </c>
      <c r="B342" s="15">
        <f t="shared" si="276"/>
        <v>25</v>
      </c>
      <c r="C342" s="16">
        <f>(1+INDEX('1 - Input'!$B$34:$E$63,B342,'1 - Input'!$B$16))^(1/12)-1</f>
        <v>4.1219243192651689E-3</v>
      </c>
      <c r="D342" s="17">
        <f>'1 - Input'!$B$7*(1+'1 - Input'!$B$12)^(B342-1)</f>
        <v>4342.780573583108</v>
      </c>
      <c r="E342" s="17">
        <f t="shared" si="321"/>
        <v>0</v>
      </c>
      <c r="F342" s="17">
        <f t="shared" si="322"/>
        <v>0</v>
      </c>
      <c r="G342" s="17">
        <f t="shared" si="277"/>
        <v>0</v>
      </c>
      <c r="H342" s="17">
        <f>IF(G342&gt;0,'1 - Input'!$B$8/12*G342,0)</f>
        <v>0</v>
      </c>
      <c r="I342" s="17">
        <f t="shared" si="278"/>
        <v>0</v>
      </c>
      <c r="J342" s="17">
        <f t="shared" si="279"/>
        <v>0</v>
      </c>
      <c r="K342" s="17">
        <f>'1 - Input'!$B$22*(H342-J342)</f>
        <v>0</v>
      </c>
      <c r="L342" s="17">
        <f t="shared" si="280"/>
        <v>0</v>
      </c>
      <c r="M342" s="17">
        <f t="shared" si="281"/>
        <v>0</v>
      </c>
      <c r="N342" s="17">
        <f>IF('1 - Input'!$B$17=1,MAX(0,L342-D342),0)</f>
        <v>0</v>
      </c>
      <c r="O342" s="17">
        <f>IF('1 - Input'!$B$17=1,MAX(0,D342-L342),0)</f>
        <v>4342.780573583108</v>
      </c>
      <c r="P342" s="17">
        <f t="shared" si="282"/>
        <v>0</v>
      </c>
      <c r="Q342" s="17">
        <f>IF(AND(O342&gt;0,I342&gt;0),O342/(1-'1 - Input'!$B$22*P342),0)</f>
        <v>0</v>
      </c>
      <c r="R342" s="17">
        <f t="shared" si="283"/>
        <v>0</v>
      </c>
      <c r="S342" s="17">
        <f>'1 - Input'!$B$22*P342*R342</f>
        <v>0</v>
      </c>
      <c r="T342" s="17">
        <f t="shared" si="284"/>
        <v>0</v>
      </c>
      <c r="U342" s="17">
        <f t="shared" si="285"/>
        <v>4342.780573583108</v>
      </c>
      <c r="V342" s="17">
        <f t="shared" si="286"/>
        <v>0</v>
      </c>
      <c r="W342" s="17">
        <f t="shared" si="287"/>
        <v>0</v>
      </c>
      <c r="X342" s="17">
        <f t="shared" si="288"/>
        <v>0</v>
      </c>
      <c r="Y342" s="17">
        <f>IF(MOD(A342,12)=0,W342*'1 - Input'!$B$23,0)</f>
        <v>0</v>
      </c>
      <c r="Z342" s="17">
        <f t="shared" si="289"/>
        <v>0</v>
      </c>
      <c r="AA342" s="17">
        <f>IF(MOD(A342,12)=0,X342*(1-'1 - Input'!$B$23),X342)</f>
        <v>0</v>
      </c>
      <c r="AB342" s="17">
        <f>IF('1 - Input'!$B$17=1,MIN(L342,D342)+T342,L342)</f>
        <v>0</v>
      </c>
      <c r="AC342" s="17">
        <f t="shared" si="323"/>
        <v>590482.93849429931</v>
      </c>
      <c r="AD342" s="17">
        <f t="shared" si="324"/>
        <v>101441.90180685223</v>
      </c>
      <c r="AE342" s="17">
        <f t="shared" si="325"/>
        <v>0</v>
      </c>
      <c r="AF342" s="17">
        <f t="shared" si="326"/>
        <v>174289.24056370757</v>
      </c>
      <c r="AG342" s="17">
        <f t="shared" si="327"/>
        <v>8123.5662772395826</v>
      </c>
      <c r="AH342" s="17">
        <f t="shared" si="328"/>
        <v>442955.9919649791</v>
      </c>
      <c r="AI342" s="15">
        <f t="shared" si="290"/>
        <v>1</v>
      </c>
      <c r="AK342" s="14">
        <v>299</v>
      </c>
      <c r="AL342" s="15">
        <f t="shared" si="291"/>
        <v>25</v>
      </c>
      <c r="AM342" s="16">
        <f>(1+INDEX('1 - Input'!$B$34:$E$63,AL342,'1 - Input'!$B$16))^(1/12)-1</f>
        <v>4.1219243192651689E-3</v>
      </c>
      <c r="AN342" s="17">
        <f>'1 - Input'!$B$7*(1+'1 - Input'!$B$12)^(AL342-1)</f>
        <v>4342.780573583108</v>
      </c>
      <c r="AO342" s="17">
        <f t="shared" si="329"/>
        <v>0</v>
      </c>
      <c r="AP342" s="17">
        <f t="shared" si="330"/>
        <v>0</v>
      </c>
      <c r="AQ342" s="17">
        <f t="shared" si="292"/>
        <v>0</v>
      </c>
      <c r="AR342" s="17">
        <f>IF(AQ342&gt;0,'1 - Input'!$B$8/12*AQ342,0)</f>
        <v>0</v>
      </c>
      <c r="AS342" s="17">
        <f t="shared" si="293"/>
        <v>0</v>
      </c>
      <c r="AT342" s="17">
        <f t="shared" si="294"/>
        <v>0</v>
      </c>
      <c r="AU342" s="17">
        <f>'1 - Input'!$B$22*(AR342-AT342)</f>
        <v>0</v>
      </c>
      <c r="AV342" s="17">
        <f t="shared" si="295"/>
        <v>0</v>
      </c>
      <c r="AW342" s="17">
        <f t="shared" si="296"/>
        <v>0</v>
      </c>
      <c r="AX342" s="17">
        <f>IF('1 - Input'!$B$17=1,MAX(0,AV342-AN342),0)</f>
        <v>0</v>
      </c>
      <c r="AY342" s="17">
        <f>IF('1 - Input'!$B$17=1,MAX(0,AN342-AV342),0)</f>
        <v>4342.780573583108</v>
      </c>
      <c r="AZ342" s="17">
        <f t="shared" si="297"/>
        <v>0</v>
      </c>
      <c r="BA342" s="17">
        <f>IF(AND(AY342&gt;0,AS342&gt;0),AY342/(1-'1 - Input'!$B$22*AZ342),0)</f>
        <v>0</v>
      </c>
      <c r="BB342" s="17">
        <f t="shared" si="298"/>
        <v>0</v>
      </c>
      <c r="BC342" s="17">
        <f>'1 - Input'!$B$22*AZ342*BB342</f>
        <v>0</v>
      </c>
      <c r="BD342" s="17">
        <f t="shared" si="299"/>
        <v>0</v>
      </c>
      <c r="BE342" s="17">
        <f t="shared" si="300"/>
        <v>4342.780573583108</v>
      </c>
      <c r="BF342" s="17">
        <f t="shared" si="301"/>
        <v>0</v>
      </c>
      <c r="BG342" s="17">
        <f t="shared" si="302"/>
        <v>0</v>
      </c>
      <c r="BH342" s="17">
        <f t="shared" si="303"/>
        <v>0</v>
      </c>
      <c r="BI342" s="17">
        <f>IF(MOD(AK342,12)=0,BG342*'1 - Input'!$B$23,0)</f>
        <v>0</v>
      </c>
      <c r="BJ342" s="17">
        <f t="shared" si="304"/>
        <v>0</v>
      </c>
      <c r="BK342" s="17">
        <f>IF(MOD(AK342,12)=0,BH342*(1-'1 - Input'!$B$23),BH342)</f>
        <v>0</v>
      </c>
      <c r="BL342" s="17">
        <f>IF('1 - Input'!$B$17=1,MIN(AV342,AN342)+BD342,AV342)</f>
        <v>0</v>
      </c>
      <c r="BM342" s="17">
        <f t="shared" si="331"/>
        <v>590482.93849429931</v>
      </c>
      <c r="BN342" s="17">
        <f t="shared" si="332"/>
        <v>101441.90180685223</v>
      </c>
      <c r="BO342" s="17">
        <f t="shared" si="333"/>
        <v>0</v>
      </c>
      <c r="BP342" s="17">
        <f t="shared" si="334"/>
        <v>174289.24056370757</v>
      </c>
      <c r="BQ342" s="17">
        <f t="shared" si="335"/>
        <v>8123.5662772395826</v>
      </c>
      <c r="BR342" s="17">
        <f t="shared" si="336"/>
        <v>442955.9919649791</v>
      </c>
      <c r="BS342" s="15">
        <f t="shared" si="305"/>
        <v>1</v>
      </c>
      <c r="BU342" s="14">
        <v>299</v>
      </c>
      <c r="BV342" s="15">
        <f t="shared" si="306"/>
        <v>25</v>
      </c>
      <c r="BW342" s="16">
        <f>(1+INDEX('1 - Input'!$B$34:$E$63,BV342,'1 - Input'!$B$16))^(1/12)-1</f>
        <v>4.1219243192651689E-3</v>
      </c>
      <c r="BX342" s="17">
        <f>'1 - Input'!$B$7*(1+'1 - Input'!$B$12)^(BV342-1)</f>
        <v>4342.780573583108</v>
      </c>
      <c r="BY342" s="17">
        <f t="shared" si="337"/>
        <v>0</v>
      </c>
      <c r="BZ342" s="17">
        <f t="shared" si="338"/>
        <v>0</v>
      </c>
      <c r="CA342" s="17">
        <f t="shared" si="307"/>
        <v>0</v>
      </c>
      <c r="CB342" s="17">
        <f>IF(CA342&gt;0,'1 - Input'!$B$8/12*CA342,0)</f>
        <v>0</v>
      </c>
      <c r="CC342" s="17">
        <f t="shared" si="308"/>
        <v>0</v>
      </c>
      <c r="CD342" s="17">
        <f t="shared" si="309"/>
        <v>0</v>
      </c>
      <c r="CE342" s="17">
        <f>'1 - Input'!$B$22*(CB342-CD342)</f>
        <v>0</v>
      </c>
      <c r="CF342" s="17">
        <f t="shared" si="310"/>
        <v>0</v>
      </c>
      <c r="CG342" s="17">
        <f t="shared" si="311"/>
        <v>0</v>
      </c>
      <c r="CH342" s="17">
        <f>IF('1 - Input'!$B$17=1,MAX(0,CF342-BX342),0)</f>
        <v>0</v>
      </c>
      <c r="CI342" s="17">
        <f>IF('1 - Input'!$B$17=1,MAX(0,BX342-CF342),0)</f>
        <v>4342.780573583108</v>
      </c>
      <c r="CJ342" s="17">
        <f t="shared" si="312"/>
        <v>0</v>
      </c>
      <c r="CK342" s="17">
        <f>IF(AND(CI342&gt;0,CC342&gt;0),CI342/(1-'1 - Input'!$B$22*CJ342),0)</f>
        <v>0</v>
      </c>
      <c r="CL342" s="17">
        <f t="shared" si="313"/>
        <v>0</v>
      </c>
      <c r="CM342" s="17">
        <f>'1 - Input'!$B$22*CJ342*CL342</f>
        <v>0</v>
      </c>
      <c r="CN342" s="17">
        <f t="shared" si="314"/>
        <v>0</v>
      </c>
      <c r="CO342" s="17">
        <f t="shared" si="315"/>
        <v>4342.780573583108</v>
      </c>
      <c r="CP342" s="17">
        <f t="shared" si="316"/>
        <v>0</v>
      </c>
      <c r="CQ342" s="17">
        <f t="shared" si="317"/>
        <v>0</v>
      </c>
      <c r="CR342" s="17">
        <f t="shared" si="318"/>
        <v>0</v>
      </c>
      <c r="CS342" s="17">
        <f>IF(MOD(BU342,12)=0,CQ342*'1 - Input'!$B$23,0)</f>
        <v>0</v>
      </c>
      <c r="CT342" s="17">
        <f t="shared" si="319"/>
        <v>0</v>
      </c>
      <c r="CU342" s="17">
        <f>IF(MOD(BU342,12)=0,CR342*(1-'1 - Input'!$B$23),CR342)</f>
        <v>0</v>
      </c>
      <c r="CV342" s="17">
        <f>IF('1 - Input'!$B$17=1,MIN(CF342,BX342)+CN342,CF342)</f>
        <v>0</v>
      </c>
      <c r="CW342" s="17">
        <f t="shared" si="339"/>
        <v>686605.50041273201</v>
      </c>
      <c r="CX342" s="17">
        <f t="shared" si="340"/>
        <v>6018.3402768167462</v>
      </c>
      <c r="CY342" s="17">
        <f t="shared" si="341"/>
        <v>66518.776160328038</v>
      </c>
      <c r="CZ342" s="17">
        <f t="shared" si="342"/>
        <v>0</v>
      </c>
      <c r="DA342" s="17">
        <f t="shared" si="343"/>
        <v>10954.114452440983</v>
      </c>
      <c r="DB342" s="17">
        <f t="shared" si="344"/>
        <v>346833.43004654732</v>
      </c>
      <c r="DC342" s="15">
        <f t="shared" si="320"/>
        <v>1</v>
      </c>
    </row>
    <row r="343" spans="1:107">
      <c r="A343" s="14">
        <v>300</v>
      </c>
      <c r="B343" s="15">
        <f t="shared" si="276"/>
        <v>25</v>
      </c>
      <c r="C343" s="16">
        <f>(1+INDEX('1 - Input'!$B$34:$E$63,B343,'1 - Input'!$B$16))^(1/12)-1</f>
        <v>4.1219243192651689E-3</v>
      </c>
      <c r="D343" s="17">
        <f>'1 - Input'!$B$7*(1+'1 - Input'!$B$12)^(B343-1)</f>
        <v>4342.780573583108</v>
      </c>
      <c r="E343" s="17">
        <f t="shared" si="321"/>
        <v>0</v>
      </c>
      <c r="F343" s="17">
        <f t="shared" si="322"/>
        <v>0</v>
      </c>
      <c r="G343" s="17">
        <f t="shared" si="277"/>
        <v>0</v>
      </c>
      <c r="H343" s="17">
        <f>IF(G343&gt;0,'1 - Input'!$B$8/12*G343,0)</f>
        <v>0</v>
      </c>
      <c r="I343" s="17">
        <f t="shared" si="278"/>
        <v>0</v>
      </c>
      <c r="J343" s="17">
        <f t="shared" si="279"/>
        <v>0</v>
      </c>
      <c r="K343" s="17">
        <f>'1 - Input'!$B$22*(H343-J343)</f>
        <v>0</v>
      </c>
      <c r="L343" s="17">
        <f t="shared" si="280"/>
        <v>0</v>
      </c>
      <c r="M343" s="17">
        <f t="shared" si="281"/>
        <v>0</v>
      </c>
      <c r="N343" s="17">
        <f>IF('1 - Input'!$B$17=1,MAX(0,L343-D343),0)</f>
        <v>0</v>
      </c>
      <c r="O343" s="17">
        <f>IF('1 - Input'!$B$17=1,MAX(0,D343-L343),0)</f>
        <v>4342.780573583108</v>
      </c>
      <c r="P343" s="17">
        <f t="shared" si="282"/>
        <v>0</v>
      </c>
      <c r="Q343" s="17">
        <f>IF(AND(O343&gt;0,I343&gt;0),O343/(1-'1 - Input'!$B$22*P343),0)</f>
        <v>0</v>
      </c>
      <c r="R343" s="17">
        <f t="shared" si="283"/>
        <v>0</v>
      </c>
      <c r="S343" s="17">
        <f>'1 - Input'!$B$22*P343*R343</f>
        <v>0</v>
      </c>
      <c r="T343" s="17">
        <f t="shared" si="284"/>
        <v>0</v>
      </c>
      <c r="U343" s="17">
        <f t="shared" si="285"/>
        <v>4342.780573583108</v>
      </c>
      <c r="V343" s="17">
        <f t="shared" si="286"/>
        <v>0</v>
      </c>
      <c r="W343" s="17">
        <f t="shared" si="287"/>
        <v>0</v>
      </c>
      <c r="X343" s="17">
        <f t="shared" si="288"/>
        <v>0</v>
      </c>
      <c r="Y343" s="17">
        <f>IF(MOD(A343,12)=0,W343*'1 - Input'!$B$23,0)</f>
        <v>0</v>
      </c>
      <c r="Z343" s="17">
        <f t="shared" si="289"/>
        <v>0</v>
      </c>
      <c r="AA343" s="17">
        <f>IF(MOD(A343,12)=0,X343*(1-'1 - Input'!$B$23),X343)</f>
        <v>0</v>
      </c>
      <c r="AB343" s="17">
        <f>IF('1 - Input'!$B$17=1,MIN(L343,D343)+T343,L343)</f>
        <v>0</v>
      </c>
      <c r="AC343" s="17">
        <f t="shared" si="323"/>
        <v>590482.93849429931</v>
      </c>
      <c r="AD343" s="17">
        <f t="shared" si="324"/>
        <v>101441.90180685223</v>
      </c>
      <c r="AE343" s="17">
        <f t="shared" si="325"/>
        <v>0</v>
      </c>
      <c r="AF343" s="17">
        <f t="shared" si="326"/>
        <v>174289.24056370757</v>
      </c>
      <c r="AG343" s="17">
        <f t="shared" si="327"/>
        <v>8123.5662772395826</v>
      </c>
      <c r="AH343" s="17">
        <f t="shared" si="328"/>
        <v>447298.77253856219</v>
      </c>
      <c r="AI343" s="15">
        <f t="shared" si="290"/>
        <v>1</v>
      </c>
      <c r="AK343" s="14">
        <v>300</v>
      </c>
      <c r="AL343" s="15">
        <f t="shared" si="291"/>
        <v>25</v>
      </c>
      <c r="AM343" s="16">
        <f>(1+INDEX('1 - Input'!$B$34:$E$63,AL343,'1 - Input'!$B$16))^(1/12)-1</f>
        <v>4.1219243192651689E-3</v>
      </c>
      <c r="AN343" s="17">
        <f>'1 - Input'!$B$7*(1+'1 - Input'!$B$12)^(AL343-1)</f>
        <v>4342.780573583108</v>
      </c>
      <c r="AO343" s="17">
        <f t="shared" si="329"/>
        <v>0</v>
      </c>
      <c r="AP343" s="17">
        <f t="shared" si="330"/>
        <v>0</v>
      </c>
      <c r="AQ343" s="17">
        <f t="shared" si="292"/>
        <v>0</v>
      </c>
      <c r="AR343" s="17">
        <f>IF(AQ343&gt;0,'1 - Input'!$B$8/12*AQ343,0)</f>
        <v>0</v>
      </c>
      <c r="AS343" s="17">
        <f t="shared" si="293"/>
        <v>0</v>
      </c>
      <c r="AT343" s="17">
        <f t="shared" si="294"/>
        <v>0</v>
      </c>
      <c r="AU343" s="17">
        <f>'1 - Input'!$B$22*(AR343-AT343)</f>
        <v>0</v>
      </c>
      <c r="AV343" s="17">
        <f t="shared" si="295"/>
        <v>0</v>
      </c>
      <c r="AW343" s="17">
        <f t="shared" si="296"/>
        <v>0</v>
      </c>
      <c r="AX343" s="17">
        <f>IF('1 - Input'!$B$17=1,MAX(0,AV343-AN343),0)</f>
        <v>0</v>
      </c>
      <c r="AY343" s="17">
        <f>IF('1 - Input'!$B$17=1,MAX(0,AN343-AV343),0)</f>
        <v>4342.780573583108</v>
      </c>
      <c r="AZ343" s="17">
        <f t="shared" si="297"/>
        <v>0</v>
      </c>
      <c r="BA343" s="17">
        <f>IF(AND(AY343&gt;0,AS343&gt;0),AY343/(1-'1 - Input'!$B$22*AZ343),0)</f>
        <v>0</v>
      </c>
      <c r="BB343" s="17">
        <f t="shared" si="298"/>
        <v>0</v>
      </c>
      <c r="BC343" s="17">
        <f>'1 - Input'!$B$22*AZ343*BB343</f>
        <v>0</v>
      </c>
      <c r="BD343" s="17">
        <f t="shared" si="299"/>
        <v>0</v>
      </c>
      <c r="BE343" s="17">
        <f t="shared" si="300"/>
        <v>4342.780573583108</v>
      </c>
      <c r="BF343" s="17">
        <f t="shared" si="301"/>
        <v>0</v>
      </c>
      <c r="BG343" s="17">
        <f t="shared" si="302"/>
        <v>0</v>
      </c>
      <c r="BH343" s="17">
        <f t="shared" si="303"/>
        <v>0</v>
      </c>
      <c r="BI343" s="17">
        <f>IF(MOD(AK343,12)=0,BG343*'1 - Input'!$B$23,0)</f>
        <v>0</v>
      </c>
      <c r="BJ343" s="17">
        <f t="shared" si="304"/>
        <v>0</v>
      </c>
      <c r="BK343" s="17">
        <f>IF(MOD(AK343,12)=0,BH343*(1-'1 - Input'!$B$23),BH343)</f>
        <v>0</v>
      </c>
      <c r="BL343" s="17">
        <f>IF('1 - Input'!$B$17=1,MIN(AV343,AN343)+BD343,AV343)</f>
        <v>0</v>
      </c>
      <c r="BM343" s="17">
        <f t="shared" si="331"/>
        <v>590482.93849429931</v>
      </c>
      <c r="BN343" s="17">
        <f t="shared" si="332"/>
        <v>101441.90180685223</v>
      </c>
      <c r="BO343" s="17">
        <f t="shared" si="333"/>
        <v>0</v>
      </c>
      <c r="BP343" s="17">
        <f t="shared" si="334"/>
        <v>174289.24056370757</v>
      </c>
      <c r="BQ343" s="17">
        <f t="shared" si="335"/>
        <v>8123.5662772395826</v>
      </c>
      <c r="BR343" s="17">
        <f t="shared" si="336"/>
        <v>447298.77253856219</v>
      </c>
      <c r="BS343" s="15">
        <f t="shared" si="305"/>
        <v>1</v>
      </c>
      <c r="BU343" s="14">
        <v>300</v>
      </c>
      <c r="BV343" s="15">
        <f t="shared" si="306"/>
        <v>25</v>
      </c>
      <c r="BW343" s="16">
        <f>(1+INDEX('1 - Input'!$B$34:$E$63,BV343,'1 - Input'!$B$16))^(1/12)-1</f>
        <v>4.1219243192651689E-3</v>
      </c>
      <c r="BX343" s="17">
        <f>'1 - Input'!$B$7*(1+'1 - Input'!$B$12)^(BV343-1)</f>
        <v>4342.780573583108</v>
      </c>
      <c r="BY343" s="17">
        <f t="shared" si="337"/>
        <v>0</v>
      </c>
      <c r="BZ343" s="17">
        <f t="shared" si="338"/>
        <v>0</v>
      </c>
      <c r="CA343" s="17">
        <f t="shared" si="307"/>
        <v>0</v>
      </c>
      <c r="CB343" s="17">
        <f>IF(CA343&gt;0,'1 - Input'!$B$8/12*CA343,0)</f>
        <v>0</v>
      </c>
      <c r="CC343" s="17">
        <f t="shared" si="308"/>
        <v>0</v>
      </c>
      <c r="CD343" s="17">
        <f t="shared" si="309"/>
        <v>0</v>
      </c>
      <c r="CE343" s="17">
        <f>'1 - Input'!$B$22*(CB343-CD343)</f>
        <v>0</v>
      </c>
      <c r="CF343" s="17">
        <f t="shared" si="310"/>
        <v>0</v>
      </c>
      <c r="CG343" s="17">
        <f t="shared" si="311"/>
        <v>0</v>
      </c>
      <c r="CH343" s="17">
        <f>IF('1 - Input'!$B$17=1,MAX(0,CF343-BX343),0)</f>
        <v>0</v>
      </c>
      <c r="CI343" s="17">
        <f>IF('1 - Input'!$B$17=1,MAX(0,BX343-CF343),0)</f>
        <v>4342.780573583108</v>
      </c>
      <c r="CJ343" s="17">
        <f t="shared" si="312"/>
        <v>0</v>
      </c>
      <c r="CK343" s="17">
        <f>IF(AND(CI343&gt;0,CC343&gt;0),CI343/(1-'1 - Input'!$B$22*CJ343),0)</f>
        <v>0</v>
      </c>
      <c r="CL343" s="17">
        <f t="shared" si="313"/>
        <v>0</v>
      </c>
      <c r="CM343" s="17">
        <f>'1 - Input'!$B$22*CJ343*CL343</f>
        <v>0</v>
      </c>
      <c r="CN343" s="17">
        <f t="shared" si="314"/>
        <v>0</v>
      </c>
      <c r="CO343" s="17">
        <f t="shared" si="315"/>
        <v>4342.780573583108</v>
      </c>
      <c r="CP343" s="17">
        <f t="shared" si="316"/>
        <v>0</v>
      </c>
      <c r="CQ343" s="17">
        <f t="shared" si="317"/>
        <v>0</v>
      </c>
      <c r="CR343" s="17">
        <f t="shared" si="318"/>
        <v>0</v>
      </c>
      <c r="CS343" s="17">
        <f>IF(MOD(BU343,12)=0,CQ343*'1 - Input'!$B$23,0)</f>
        <v>0</v>
      </c>
      <c r="CT343" s="17">
        <f t="shared" si="319"/>
        <v>0</v>
      </c>
      <c r="CU343" s="17">
        <f>IF(MOD(BU343,12)=0,CR343*(1-'1 - Input'!$B$23),CR343)</f>
        <v>0</v>
      </c>
      <c r="CV343" s="17">
        <f>IF('1 - Input'!$B$17=1,MIN(CF343,BX343)+CN343,CF343)</f>
        <v>0</v>
      </c>
      <c r="CW343" s="17">
        <f t="shared" si="339"/>
        <v>686605.50041273201</v>
      </c>
      <c r="CX343" s="17">
        <f t="shared" si="340"/>
        <v>6018.3402768167462</v>
      </c>
      <c r="CY343" s="17">
        <f t="shared" si="341"/>
        <v>66518.776160328038</v>
      </c>
      <c r="CZ343" s="17">
        <f t="shared" si="342"/>
        <v>0</v>
      </c>
      <c r="DA343" s="17">
        <f t="shared" si="343"/>
        <v>10954.114452440983</v>
      </c>
      <c r="DB343" s="17">
        <f t="shared" si="344"/>
        <v>351176.21062013041</v>
      </c>
      <c r="DC343" s="15">
        <f t="shared" si="320"/>
        <v>1</v>
      </c>
    </row>
    <row r="344" spans="1:107">
      <c r="A344" s="14">
        <v>301</v>
      </c>
      <c r="B344" s="15">
        <f t="shared" si="276"/>
        <v>26</v>
      </c>
      <c r="C344" s="16">
        <f>(1+INDEX('1 - Input'!$B$34:$E$63,B344,'1 - Input'!$B$16))^(1/12)-1</f>
        <v>4.1219243192651689E-3</v>
      </c>
      <c r="D344" s="17">
        <f>'1 - Input'!$B$7*(1+'1 - Input'!$B$12)^(B344-1)</f>
        <v>4429.6361850547701</v>
      </c>
      <c r="E344" s="17">
        <f t="shared" si="321"/>
        <v>0</v>
      </c>
      <c r="F344" s="17">
        <f t="shared" si="322"/>
        <v>0</v>
      </c>
      <c r="G344" s="17">
        <f t="shared" si="277"/>
        <v>0</v>
      </c>
      <c r="H344" s="17">
        <f>IF(G344&gt;0,'1 - Input'!$B$8/12*G344,0)</f>
        <v>0</v>
      </c>
      <c r="I344" s="17">
        <f t="shared" si="278"/>
        <v>0</v>
      </c>
      <c r="J344" s="17">
        <f t="shared" si="279"/>
        <v>0</v>
      </c>
      <c r="K344" s="17">
        <f>'1 - Input'!$B$22*(H344-J344)</f>
        <v>0</v>
      </c>
      <c r="L344" s="17">
        <f t="shared" si="280"/>
        <v>0</v>
      </c>
      <c r="M344" s="17">
        <f t="shared" si="281"/>
        <v>0</v>
      </c>
      <c r="N344" s="17">
        <f>IF('1 - Input'!$B$17=1,MAX(0,L344-D344),0)</f>
        <v>0</v>
      </c>
      <c r="O344" s="17">
        <f>IF('1 - Input'!$B$17=1,MAX(0,D344-L344),0)</f>
        <v>4429.6361850547701</v>
      </c>
      <c r="P344" s="17">
        <f t="shared" si="282"/>
        <v>0</v>
      </c>
      <c r="Q344" s="17">
        <f>IF(AND(O344&gt;0,I344&gt;0),O344/(1-'1 - Input'!$B$22*P344),0)</f>
        <v>0</v>
      </c>
      <c r="R344" s="17">
        <f t="shared" si="283"/>
        <v>0</v>
      </c>
      <c r="S344" s="17">
        <f>'1 - Input'!$B$22*P344*R344</f>
        <v>0</v>
      </c>
      <c r="T344" s="17">
        <f t="shared" si="284"/>
        <v>0</v>
      </c>
      <c r="U344" s="17">
        <f t="shared" si="285"/>
        <v>4429.6361850547701</v>
      </c>
      <c r="V344" s="17">
        <f t="shared" si="286"/>
        <v>0</v>
      </c>
      <c r="W344" s="17">
        <f t="shared" si="287"/>
        <v>0</v>
      </c>
      <c r="X344" s="17">
        <f t="shared" si="288"/>
        <v>0</v>
      </c>
      <c r="Y344" s="17">
        <f>IF(MOD(A344,12)=0,W344*'1 - Input'!$B$23,0)</f>
        <v>0</v>
      </c>
      <c r="Z344" s="17">
        <f t="shared" si="289"/>
        <v>0</v>
      </c>
      <c r="AA344" s="17">
        <f>IF(MOD(A344,12)=0,X344*(1-'1 - Input'!$B$23),X344)</f>
        <v>0</v>
      </c>
      <c r="AB344" s="17">
        <f>IF('1 - Input'!$B$17=1,MIN(L344,D344)+T344,L344)</f>
        <v>0</v>
      </c>
      <c r="AC344" s="17">
        <f t="shared" si="323"/>
        <v>590482.93849429931</v>
      </c>
      <c r="AD344" s="17">
        <f t="shared" si="324"/>
        <v>101441.90180685223</v>
      </c>
      <c r="AE344" s="17">
        <f t="shared" si="325"/>
        <v>0</v>
      </c>
      <c r="AF344" s="17">
        <f t="shared" si="326"/>
        <v>174289.24056370757</v>
      </c>
      <c r="AG344" s="17">
        <f t="shared" si="327"/>
        <v>8123.5662772395826</v>
      </c>
      <c r="AH344" s="17">
        <f t="shared" si="328"/>
        <v>451728.40872361697</v>
      </c>
      <c r="AI344" s="15">
        <f t="shared" si="290"/>
        <v>1</v>
      </c>
      <c r="AK344" s="14">
        <v>301</v>
      </c>
      <c r="AL344" s="15">
        <f t="shared" si="291"/>
        <v>26</v>
      </c>
      <c r="AM344" s="16">
        <f>(1+INDEX('1 - Input'!$B$34:$E$63,AL344,'1 - Input'!$B$16))^(1/12)-1</f>
        <v>4.1219243192651689E-3</v>
      </c>
      <c r="AN344" s="17">
        <f>'1 - Input'!$B$7*(1+'1 - Input'!$B$12)^(AL344-1)</f>
        <v>4429.6361850547701</v>
      </c>
      <c r="AO344" s="17">
        <f t="shared" si="329"/>
        <v>0</v>
      </c>
      <c r="AP344" s="17">
        <f t="shared" si="330"/>
        <v>0</v>
      </c>
      <c r="AQ344" s="17">
        <f t="shared" si="292"/>
        <v>0</v>
      </c>
      <c r="AR344" s="17">
        <f>IF(AQ344&gt;0,'1 - Input'!$B$8/12*AQ344,0)</f>
        <v>0</v>
      </c>
      <c r="AS344" s="17">
        <f t="shared" si="293"/>
        <v>0</v>
      </c>
      <c r="AT344" s="17">
        <f t="shared" si="294"/>
        <v>0</v>
      </c>
      <c r="AU344" s="17">
        <f>'1 - Input'!$B$22*(AR344-AT344)</f>
        <v>0</v>
      </c>
      <c r="AV344" s="17">
        <f t="shared" si="295"/>
        <v>0</v>
      </c>
      <c r="AW344" s="17">
        <f t="shared" si="296"/>
        <v>0</v>
      </c>
      <c r="AX344" s="17">
        <f>IF('1 - Input'!$B$17=1,MAX(0,AV344-AN344),0)</f>
        <v>0</v>
      </c>
      <c r="AY344" s="17">
        <f>IF('1 - Input'!$B$17=1,MAX(0,AN344-AV344),0)</f>
        <v>4429.6361850547701</v>
      </c>
      <c r="AZ344" s="17">
        <f t="shared" si="297"/>
        <v>0</v>
      </c>
      <c r="BA344" s="17">
        <f>IF(AND(AY344&gt;0,AS344&gt;0),AY344/(1-'1 - Input'!$B$22*AZ344),0)</f>
        <v>0</v>
      </c>
      <c r="BB344" s="17">
        <f t="shared" si="298"/>
        <v>0</v>
      </c>
      <c r="BC344" s="17">
        <f>'1 - Input'!$B$22*AZ344*BB344</f>
        <v>0</v>
      </c>
      <c r="BD344" s="17">
        <f t="shared" si="299"/>
        <v>0</v>
      </c>
      <c r="BE344" s="17">
        <f t="shared" si="300"/>
        <v>4429.6361850547701</v>
      </c>
      <c r="BF344" s="17">
        <f t="shared" si="301"/>
        <v>0</v>
      </c>
      <c r="BG344" s="17">
        <f t="shared" si="302"/>
        <v>0</v>
      </c>
      <c r="BH344" s="17">
        <f t="shared" si="303"/>
        <v>0</v>
      </c>
      <c r="BI344" s="17">
        <f>IF(MOD(AK344,12)=0,BG344*'1 - Input'!$B$23,0)</f>
        <v>0</v>
      </c>
      <c r="BJ344" s="17">
        <f t="shared" si="304"/>
        <v>0</v>
      </c>
      <c r="BK344" s="17">
        <f>IF(MOD(AK344,12)=0,BH344*(1-'1 - Input'!$B$23),BH344)</f>
        <v>0</v>
      </c>
      <c r="BL344" s="17">
        <f>IF('1 - Input'!$B$17=1,MIN(AV344,AN344)+BD344,AV344)</f>
        <v>0</v>
      </c>
      <c r="BM344" s="17">
        <f t="shared" si="331"/>
        <v>590482.93849429931</v>
      </c>
      <c r="BN344" s="17">
        <f t="shared" si="332"/>
        <v>101441.90180685223</v>
      </c>
      <c r="BO344" s="17">
        <f t="shared" si="333"/>
        <v>0</v>
      </c>
      <c r="BP344" s="17">
        <f t="shared" si="334"/>
        <v>174289.24056370757</v>
      </c>
      <c r="BQ344" s="17">
        <f t="shared" si="335"/>
        <v>8123.5662772395826</v>
      </c>
      <c r="BR344" s="17">
        <f t="shared" si="336"/>
        <v>451728.40872361697</v>
      </c>
      <c r="BS344" s="15">
        <f t="shared" si="305"/>
        <v>1</v>
      </c>
      <c r="BU344" s="14">
        <v>301</v>
      </c>
      <c r="BV344" s="15">
        <f t="shared" si="306"/>
        <v>26</v>
      </c>
      <c r="BW344" s="16">
        <f>(1+INDEX('1 - Input'!$B$34:$E$63,BV344,'1 - Input'!$B$16))^(1/12)-1</f>
        <v>4.1219243192651689E-3</v>
      </c>
      <c r="BX344" s="17">
        <f>'1 - Input'!$B$7*(1+'1 - Input'!$B$12)^(BV344-1)</f>
        <v>4429.6361850547701</v>
      </c>
      <c r="BY344" s="17">
        <f t="shared" si="337"/>
        <v>0</v>
      </c>
      <c r="BZ344" s="17">
        <f t="shared" si="338"/>
        <v>0</v>
      </c>
      <c r="CA344" s="17">
        <f t="shared" si="307"/>
        <v>0</v>
      </c>
      <c r="CB344" s="17">
        <f>IF(CA344&gt;0,'1 - Input'!$B$8/12*CA344,0)</f>
        <v>0</v>
      </c>
      <c r="CC344" s="17">
        <f t="shared" si="308"/>
        <v>0</v>
      </c>
      <c r="CD344" s="17">
        <f t="shared" si="309"/>
        <v>0</v>
      </c>
      <c r="CE344" s="17">
        <f>'1 - Input'!$B$22*(CB344-CD344)</f>
        <v>0</v>
      </c>
      <c r="CF344" s="17">
        <f t="shared" si="310"/>
        <v>0</v>
      </c>
      <c r="CG344" s="17">
        <f t="shared" si="311"/>
        <v>0</v>
      </c>
      <c r="CH344" s="17">
        <f>IF('1 - Input'!$B$17=1,MAX(0,CF344-BX344),0)</f>
        <v>0</v>
      </c>
      <c r="CI344" s="17">
        <f>IF('1 - Input'!$B$17=1,MAX(0,BX344-CF344),0)</f>
        <v>4429.6361850547701</v>
      </c>
      <c r="CJ344" s="17">
        <f t="shared" si="312"/>
        <v>0</v>
      </c>
      <c r="CK344" s="17">
        <f>IF(AND(CI344&gt;0,CC344&gt;0),CI344/(1-'1 - Input'!$B$22*CJ344),0)</f>
        <v>0</v>
      </c>
      <c r="CL344" s="17">
        <f t="shared" si="313"/>
        <v>0</v>
      </c>
      <c r="CM344" s="17">
        <f>'1 - Input'!$B$22*CJ344*CL344</f>
        <v>0</v>
      </c>
      <c r="CN344" s="17">
        <f t="shared" si="314"/>
        <v>0</v>
      </c>
      <c r="CO344" s="17">
        <f t="shared" si="315"/>
        <v>4429.6361850547701</v>
      </c>
      <c r="CP344" s="17">
        <f t="shared" si="316"/>
        <v>0</v>
      </c>
      <c r="CQ344" s="17">
        <f t="shared" si="317"/>
        <v>0</v>
      </c>
      <c r="CR344" s="17">
        <f t="shared" si="318"/>
        <v>0</v>
      </c>
      <c r="CS344" s="17">
        <f>IF(MOD(BU344,12)=0,CQ344*'1 - Input'!$B$23,0)</f>
        <v>0</v>
      </c>
      <c r="CT344" s="17">
        <f t="shared" si="319"/>
        <v>0</v>
      </c>
      <c r="CU344" s="17">
        <f>IF(MOD(BU344,12)=0,CR344*(1-'1 - Input'!$B$23),CR344)</f>
        <v>0</v>
      </c>
      <c r="CV344" s="17">
        <f>IF('1 - Input'!$B$17=1,MIN(CF344,BX344)+CN344,CF344)</f>
        <v>0</v>
      </c>
      <c r="CW344" s="17">
        <f t="shared" si="339"/>
        <v>686605.50041273201</v>
      </c>
      <c r="CX344" s="17">
        <f t="shared" si="340"/>
        <v>6018.3402768167462</v>
      </c>
      <c r="CY344" s="17">
        <f t="shared" si="341"/>
        <v>66518.776160328038</v>
      </c>
      <c r="CZ344" s="17">
        <f t="shared" si="342"/>
        <v>0</v>
      </c>
      <c r="DA344" s="17">
        <f t="shared" si="343"/>
        <v>10954.114452440983</v>
      </c>
      <c r="DB344" s="17">
        <f t="shared" si="344"/>
        <v>355605.8468051852</v>
      </c>
      <c r="DC344" s="15">
        <f t="shared" si="320"/>
        <v>1</v>
      </c>
    </row>
    <row r="345" spans="1:107">
      <c r="A345" s="14">
        <v>302</v>
      </c>
      <c r="B345" s="15">
        <f t="shared" si="276"/>
        <v>26</v>
      </c>
      <c r="C345" s="16">
        <f>(1+INDEX('1 - Input'!$B$34:$E$63,B345,'1 - Input'!$B$16))^(1/12)-1</f>
        <v>4.1219243192651689E-3</v>
      </c>
      <c r="D345" s="17">
        <f>'1 - Input'!$B$7*(1+'1 - Input'!$B$12)^(B345-1)</f>
        <v>4429.6361850547701</v>
      </c>
      <c r="E345" s="17">
        <f t="shared" si="321"/>
        <v>0</v>
      </c>
      <c r="F345" s="17">
        <f t="shared" si="322"/>
        <v>0</v>
      </c>
      <c r="G345" s="17">
        <f t="shared" si="277"/>
        <v>0</v>
      </c>
      <c r="H345" s="17">
        <f>IF(G345&gt;0,'1 - Input'!$B$8/12*G345,0)</f>
        <v>0</v>
      </c>
      <c r="I345" s="17">
        <f t="shared" si="278"/>
        <v>0</v>
      </c>
      <c r="J345" s="17">
        <f t="shared" si="279"/>
        <v>0</v>
      </c>
      <c r="K345" s="17">
        <f>'1 - Input'!$B$22*(H345-J345)</f>
        <v>0</v>
      </c>
      <c r="L345" s="17">
        <f t="shared" si="280"/>
        <v>0</v>
      </c>
      <c r="M345" s="17">
        <f t="shared" si="281"/>
        <v>0</v>
      </c>
      <c r="N345" s="17">
        <f>IF('1 - Input'!$B$17=1,MAX(0,L345-D345),0)</f>
        <v>0</v>
      </c>
      <c r="O345" s="17">
        <f>IF('1 - Input'!$B$17=1,MAX(0,D345-L345),0)</f>
        <v>4429.6361850547701</v>
      </c>
      <c r="P345" s="17">
        <f t="shared" si="282"/>
        <v>0</v>
      </c>
      <c r="Q345" s="17">
        <f>IF(AND(O345&gt;0,I345&gt;0),O345/(1-'1 - Input'!$B$22*P345),0)</f>
        <v>0</v>
      </c>
      <c r="R345" s="17">
        <f t="shared" si="283"/>
        <v>0</v>
      </c>
      <c r="S345" s="17">
        <f>'1 - Input'!$B$22*P345*R345</f>
        <v>0</v>
      </c>
      <c r="T345" s="17">
        <f t="shared" si="284"/>
        <v>0</v>
      </c>
      <c r="U345" s="17">
        <f t="shared" si="285"/>
        <v>4429.6361850547701</v>
      </c>
      <c r="V345" s="17">
        <f t="shared" si="286"/>
        <v>0</v>
      </c>
      <c r="W345" s="17">
        <f t="shared" si="287"/>
        <v>0</v>
      </c>
      <c r="X345" s="17">
        <f t="shared" si="288"/>
        <v>0</v>
      </c>
      <c r="Y345" s="17">
        <f>IF(MOD(A345,12)=0,W345*'1 - Input'!$B$23,0)</f>
        <v>0</v>
      </c>
      <c r="Z345" s="17">
        <f t="shared" si="289"/>
        <v>0</v>
      </c>
      <c r="AA345" s="17">
        <f>IF(MOD(A345,12)=0,X345*(1-'1 - Input'!$B$23),X345)</f>
        <v>0</v>
      </c>
      <c r="AB345" s="17">
        <f>IF('1 - Input'!$B$17=1,MIN(L345,D345)+T345,L345)</f>
        <v>0</v>
      </c>
      <c r="AC345" s="17">
        <f t="shared" si="323"/>
        <v>590482.93849429931</v>
      </c>
      <c r="AD345" s="17">
        <f t="shared" si="324"/>
        <v>101441.90180685223</v>
      </c>
      <c r="AE345" s="17">
        <f t="shared" si="325"/>
        <v>0</v>
      </c>
      <c r="AF345" s="17">
        <f t="shared" si="326"/>
        <v>174289.24056370757</v>
      </c>
      <c r="AG345" s="17">
        <f t="shared" si="327"/>
        <v>8123.5662772395826</v>
      </c>
      <c r="AH345" s="17">
        <f t="shared" si="328"/>
        <v>456158.04490867176</v>
      </c>
      <c r="AI345" s="15">
        <f t="shared" si="290"/>
        <v>1</v>
      </c>
      <c r="AK345" s="14">
        <v>302</v>
      </c>
      <c r="AL345" s="15">
        <f t="shared" si="291"/>
        <v>26</v>
      </c>
      <c r="AM345" s="16">
        <f>(1+INDEX('1 - Input'!$B$34:$E$63,AL345,'1 - Input'!$B$16))^(1/12)-1</f>
        <v>4.1219243192651689E-3</v>
      </c>
      <c r="AN345" s="17">
        <f>'1 - Input'!$B$7*(1+'1 - Input'!$B$12)^(AL345-1)</f>
        <v>4429.6361850547701</v>
      </c>
      <c r="AO345" s="17">
        <f t="shared" si="329"/>
        <v>0</v>
      </c>
      <c r="AP345" s="17">
        <f t="shared" si="330"/>
        <v>0</v>
      </c>
      <c r="AQ345" s="17">
        <f t="shared" si="292"/>
        <v>0</v>
      </c>
      <c r="AR345" s="17">
        <f>IF(AQ345&gt;0,'1 - Input'!$B$8/12*AQ345,0)</f>
        <v>0</v>
      </c>
      <c r="AS345" s="17">
        <f t="shared" si="293"/>
        <v>0</v>
      </c>
      <c r="AT345" s="17">
        <f t="shared" si="294"/>
        <v>0</v>
      </c>
      <c r="AU345" s="17">
        <f>'1 - Input'!$B$22*(AR345-AT345)</f>
        <v>0</v>
      </c>
      <c r="AV345" s="17">
        <f t="shared" si="295"/>
        <v>0</v>
      </c>
      <c r="AW345" s="17">
        <f t="shared" si="296"/>
        <v>0</v>
      </c>
      <c r="AX345" s="17">
        <f>IF('1 - Input'!$B$17=1,MAX(0,AV345-AN345),0)</f>
        <v>0</v>
      </c>
      <c r="AY345" s="17">
        <f>IF('1 - Input'!$B$17=1,MAX(0,AN345-AV345),0)</f>
        <v>4429.6361850547701</v>
      </c>
      <c r="AZ345" s="17">
        <f t="shared" si="297"/>
        <v>0</v>
      </c>
      <c r="BA345" s="17">
        <f>IF(AND(AY345&gt;0,AS345&gt;0),AY345/(1-'1 - Input'!$B$22*AZ345),0)</f>
        <v>0</v>
      </c>
      <c r="BB345" s="17">
        <f t="shared" si="298"/>
        <v>0</v>
      </c>
      <c r="BC345" s="17">
        <f>'1 - Input'!$B$22*AZ345*BB345</f>
        <v>0</v>
      </c>
      <c r="BD345" s="17">
        <f t="shared" si="299"/>
        <v>0</v>
      </c>
      <c r="BE345" s="17">
        <f t="shared" si="300"/>
        <v>4429.6361850547701</v>
      </c>
      <c r="BF345" s="17">
        <f t="shared" si="301"/>
        <v>0</v>
      </c>
      <c r="BG345" s="17">
        <f t="shared" si="302"/>
        <v>0</v>
      </c>
      <c r="BH345" s="17">
        <f t="shared" si="303"/>
        <v>0</v>
      </c>
      <c r="BI345" s="17">
        <f>IF(MOD(AK345,12)=0,BG345*'1 - Input'!$B$23,0)</f>
        <v>0</v>
      </c>
      <c r="BJ345" s="17">
        <f t="shared" si="304"/>
        <v>0</v>
      </c>
      <c r="BK345" s="17">
        <f>IF(MOD(AK345,12)=0,BH345*(1-'1 - Input'!$B$23),BH345)</f>
        <v>0</v>
      </c>
      <c r="BL345" s="17">
        <f>IF('1 - Input'!$B$17=1,MIN(AV345,AN345)+BD345,AV345)</f>
        <v>0</v>
      </c>
      <c r="BM345" s="17">
        <f t="shared" si="331"/>
        <v>590482.93849429931</v>
      </c>
      <c r="BN345" s="17">
        <f t="shared" si="332"/>
        <v>101441.90180685223</v>
      </c>
      <c r="BO345" s="17">
        <f t="shared" si="333"/>
        <v>0</v>
      </c>
      <c r="BP345" s="17">
        <f t="shared" si="334"/>
        <v>174289.24056370757</v>
      </c>
      <c r="BQ345" s="17">
        <f t="shared" si="335"/>
        <v>8123.5662772395826</v>
      </c>
      <c r="BR345" s="17">
        <f t="shared" si="336"/>
        <v>456158.04490867176</v>
      </c>
      <c r="BS345" s="15">
        <f t="shared" si="305"/>
        <v>1</v>
      </c>
      <c r="BU345" s="14">
        <v>302</v>
      </c>
      <c r="BV345" s="15">
        <f t="shared" si="306"/>
        <v>26</v>
      </c>
      <c r="BW345" s="16">
        <f>(1+INDEX('1 - Input'!$B$34:$E$63,BV345,'1 - Input'!$B$16))^(1/12)-1</f>
        <v>4.1219243192651689E-3</v>
      </c>
      <c r="BX345" s="17">
        <f>'1 - Input'!$B$7*(1+'1 - Input'!$B$12)^(BV345-1)</f>
        <v>4429.6361850547701</v>
      </c>
      <c r="BY345" s="17">
        <f t="shared" si="337"/>
        <v>0</v>
      </c>
      <c r="BZ345" s="17">
        <f t="shared" si="338"/>
        <v>0</v>
      </c>
      <c r="CA345" s="17">
        <f t="shared" si="307"/>
        <v>0</v>
      </c>
      <c r="CB345" s="17">
        <f>IF(CA345&gt;0,'1 - Input'!$B$8/12*CA345,0)</f>
        <v>0</v>
      </c>
      <c r="CC345" s="17">
        <f t="shared" si="308"/>
        <v>0</v>
      </c>
      <c r="CD345" s="17">
        <f t="shared" si="309"/>
        <v>0</v>
      </c>
      <c r="CE345" s="17">
        <f>'1 - Input'!$B$22*(CB345-CD345)</f>
        <v>0</v>
      </c>
      <c r="CF345" s="17">
        <f t="shared" si="310"/>
        <v>0</v>
      </c>
      <c r="CG345" s="17">
        <f t="shared" si="311"/>
        <v>0</v>
      </c>
      <c r="CH345" s="17">
        <f>IF('1 - Input'!$B$17=1,MAX(0,CF345-BX345),0)</f>
        <v>0</v>
      </c>
      <c r="CI345" s="17">
        <f>IF('1 - Input'!$B$17=1,MAX(0,BX345-CF345),0)</f>
        <v>4429.6361850547701</v>
      </c>
      <c r="CJ345" s="17">
        <f t="shared" si="312"/>
        <v>0</v>
      </c>
      <c r="CK345" s="17">
        <f>IF(AND(CI345&gt;0,CC345&gt;0),CI345/(1-'1 - Input'!$B$22*CJ345),0)</f>
        <v>0</v>
      </c>
      <c r="CL345" s="17">
        <f t="shared" si="313"/>
        <v>0</v>
      </c>
      <c r="CM345" s="17">
        <f>'1 - Input'!$B$22*CJ345*CL345</f>
        <v>0</v>
      </c>
      <c r="CN345" s="17">
        <f t="shared" si="314"/>
        <v>0</v>
      </c>
      <c r="CO345" s="17">
        <f t="shared" si="315"/>
        <v>4429.6361850547701</v>
      </c>
      <c r="CP345" s="17">
        <f t="shared" si="316"/>
        <v>0</v>
      </c>
      <c r="CQ345" s="17">
        <f t="shared" si="317"/>
        <v>0</v>
      </c>
      <c r="CR345" s="17">
        <f t="shared" si="318"/>
        <v>0</v>
      </c>
      <c r="CS345" s="17">
        <f>IF(MOD(BU345,12)=0,CQ345*'1 - Input'!$B$23,0)</f>
        <v>0</v>
      </c>
      <c r="CT345" s="17">
        <f t="shared" si="319"/>
        <v>0</v>
      </c>
      <c r="CU345" s="17">
        <f>IF(MOD(BU345,12)=0,CR345*(1-'1 - Input'!$B$23),CR345)</f>
        <v>0</v>
      </c>
      <c r="CV345" s="17">
        <f>IF('1 - Input'!$B$17=1,MIN(CF345,BX345)+CN345,CF345)</f>
        <v>0</v>
      </c>
      <c r="CW345" s="17">
        <f t="shared" si="339"/>
        <v>686605.50041273201</v>
      </c>
      <c r="CX345" s="17">
        <f t="shared" si="340"/>
        <v>6018.3402768167462</v>
      </c>
      <c r="CY345" s="17">
        <f t="shared" si="341"/>
        <v>66518.776160328038</v>
      </c>
      <c r="CZ345" s="17">
        <f t="shared" si="342"/>
        <v>0</v>
      </c>
      <c r="DA345" s="17">
        <f t="shared" si="343"/>
        <v>10954.114452440983</v>
      </c>
      <c r="DB345" s="17">
        <f t="shared" si="344"/>
        <v>360035.48299023998</v>
      </c>
      <c r="DC345" s="15">
        <f t="shared" si="320"/>
        <v>1</v>
      </c>
    </row>
    <row r="346" spans="1:107">
      <c r="A346" s="14">
        <v>303</v>
      </c>
      <c r="B346" s="15">
        <f t="shared" si="276"/>
        <v>26</v>
      </c>
      <c r="C346" s="16">
        <f>(1+INDEX('1 - Input'!$B$34:$E$63,B346,'1 - Input'!$B$16))^(1/12)-1</f>
        <v>4.1219243192651689E-3</v>
      </c>
      <c r="D346" s="17">
        <f>'1 - Input'!$B$7*(1+'1 - Input'!$B$12)^(B346-1)</f>
        <v>4429.6361850547701</v>
      </c>
      <c r="E346" s="17">
        <f t="shared" si="321"/>
        <v>0</v>
      </c>
      <c r="F346" s="17">
        <f t="shared" si="322"/>
        <v>0</v>
      </c>
      <c r="G346" s="17">
        <f t="shared" si="277"/>
        <v>0</v>
      </c>
      <c r="H346" s="17">
        <f>IF(G346&gt;0,'1 - Input'!$B$8/12*G346,0)</f>
        <v>0</v>
      </c>
      <c r="I346" s="17">
        <f t="shared" si="278"/>
        <v>0</v>
      </c>
      <c r="J346" s="17">
        <f t="shared" si="279"/>
        <v>0</v>
      </c>
      <c r="K346" s="17">
        <f>'1 - Input'!$B$22*(H346-J346)</f>
        <v>0</v>
      </c>
      <c r="L346" s="17">
        <f t="shared" si="280"/>
        <v>0</v>
      </c>
      <c r="M346" s="17">
        <f t="shared" si="281"/>
        <v>0</v>
      </c>
      <c r="N346" s="17">
        <f>IF('1 - Input'!$B$17=1,MAX(0,L346-D346),0)</f>
        <v>0</v>
      </c>
      <c r="O346" s="17">
        <f>IF('1 - Input'!$B$17=1,MAX(0,D346-L346),0)</f>
        <v>4429.6361850547701</v>
      </c>
      <c r="P346" s="17">
        <f t="shared" si="282"/>
        <v>0</v>
      </c>
      <c r="Q346" s="17">
        <f>IF(AND(O346&gt;0,I346&gt;0),O346/(1-'1 - Input'!$B$22*P346),0)</f>
        <v>0</v>
      </c>
      <c r="R346" s="17">
        <f t="shared" si="283"/>
        <v>0</v>
      </c>
      <c r="S346" s="17">
        <f>'1 - Input'!$B$22*P346*R346</f>
        <v>0</v>
      </c>
      <c r="T346" s="17">
        <f t="shared" si="284"/>
        <v>0</v>
      </c>
      <c r="U346" s="17">
        <f t="shared" si="285"/>
        <v>4429.6361850547701</v>
      </c>
      <c r="V346" s="17">
        <f t="shared" si="286"/>
        <v>0</v>
      </c>
      <c r="W346" s="17">
        <f t="shared" si="287"/>
        <v>0</v>
      </c>
      <c r="X346" s="17">
        <f t="shared" si="288"/>
        <v>0</v>
      </c>
      <c r="Y346" s="17">
        <f>IF(MOD(A346,12)=0,W346*'1 - Input'!$B$23,0)</f>
        <v>0</v>
      </c>
      <c r="Z346" s="17">
        <f t="shared" si="289"/>
        <v>0</v>
      </c>
      <c r="AA346" s="17">
        <f>IF(MOD(A346,12)=0,X346*(1-'1 - Input'!$B$23),X346)</f>
        <v>0</v>
      </c>
      <c r="AB346" s="17">
        <f>IF('1 - Input'!$B$17=1,MIN(L346,D346)+T346,L346)</f>
        <v>0</v>
      </c>
      <c r="AC346" s="17">
        <f t="shared" si="323"/>
        <v>590482.93849429931</v>
      </c>
      <c r="AD346" s="17">
        <f t="shared" si="324"/>
        <v>101441.90180685223</v>
      </c>
      <c r="AE346" s="17">
        <f t="shared" si="325"/>
        <v>0</v>
      </c>
      <c r="AF346" s="17">
        <f t="shared" si="326"/>
        <v>174289.24056370757</v>
      </c>
      <c r="AG346" s="17">
        <f t="shared" si="327"/>
        <v>8123.5662772395826</v>
      </c>
      <c r="AH346" s="17">
        <f t="shared" si="328"/>
        <v>460587.68109372654</v>
      </c>
      <c r="AI346" s="15">
        <f t="shared" si="290"/>
        <v>1</v>
      </c>
      <c r="AK346" s="14">
        <v>303</v>
      </c>
      <c r="AL346" s="15">
        <f t="shared" si="291"/>
        <v>26</v>
      </c>
      <c r="AM346" s="16">
        <f>(1+INDEX('1 - Input'!$B$34:$E$63,AL346,'1 - Input'!$B$16))^(1/12)-1</f>
        <v>4.1219243192651689E-3</v>
      </c>
      <c r="AN346" s="17">
        <f>'1 - Input'!$B$7*(1+'1 - Input'!$B$12)^(AL346-1)</f>
        <v>4429.6361850547701</v>
      </c>
      <c r="AO346" s="17">
        <f t="shared" si="329"/>
        <v>0</v>
      </c>
      <c r="AP346" s="17">
        <f t="shared" si="330"/>
        <v>0</v>
      </c>
      <c r="AQ346" s="17">
        <f t="shared" si="292"/>
        <v>0</v>
      </c>
      <c r="AR346" s="17">
        <f>IF(AQ346&gt;0,'1 - Input'!$B$8/12*AQ346,0)</f>
        <v>0</v>
      </c>
      <c r="AS346" s="17">
        <f t="shared" si="293"/>
        <v>0</v>
      </c>
      <c r="AT346" s="17">
        <f t="shared" si="294"/>
        <v>0</v>
      </c>
      <c r="AU346" s="17">
        <f>'1 - Input'!$B$22*(AR346-AT346)</f>
        <v>0</v>
      </c>
      <c r="AV346" s="17">
        <f t="shared" si="295"/>
        <v>0</v>
      </c>
      <c r="AW346" s="17">
        <f t="shared" si="296"/>
        <v>0</v>
      </c>
      <c r="AX346" s="17">
        <f>IF('1 - Input'!$B$17=1,MAX(0,AV346-AN346),0)</f>
        <v>0</v>
      </c>
      <c r="AY346" s="17">
        <f>IF('1 - Input'!$B$17=1,MAX(0,AN346-AV346),0)</f>
        <v>4429.6361850547701</v>
      </c>
      <c r="AZ346" s="17">
        <f t="shared" si="297"/>
        <v>0</v>
      </c>
      <c r="BA346" s="17">
        <f>IF(AND(AY346&gt;0,AS346&gt;0),AY346/(1-'1 - Input'!$B$22*AZ346),0)</f>
        <v>0</v>
      </c>
      <c r="BB346" s="17">
        <f t="shared" si="298"/>
        <v>0</v>
      </c>
      <c r="BC346" s="17">
        <f>'1 - Input'!$B$22*AZ346*BB346</f>
        <v>0</v>
      </c>
      <c r="BD346" s="17">
        <f t="shared" si="299"/>
        <v>0</v>
      </c>
      <c r="BE346" s="17">
        <f t="shared" si="300"/>
        <v>4429.6361850547701</v>
      </c>
      <c r="BF346" s="17">
        <f t="shared" si="301"/>
        <v>0</v>
      </c>
      <c r="BG346" s="17">
        <f t="shared" si="302"/>
        <v>0</v>
      </c>
      <c r="BH346" s="17">
        <f t="shared" si="303"/>
        <v>0</v>
      </c>
      <c r="BI346" s="17">
        <f>IF(MOD(AK346,12)=0,BG346*'1 - Input'!$B$23,0)</f>
        <v>0</v>
      </c>
      <c r="BJ346" s="17">
        <f t="shared" si="304"/>
        <v>0</v>
      </c>
      <c r="BK346" s="17">
        <f>IF(MOD(AK346,12)=0,BH346*(1-'1 - Input'!$B$23),BH346)</f>
        <v>0</v>
      </c>
      <c r="BL346" s="17">
        <f>IF('1 - Input'!$B$17=1,MIN(AV346,AN346)+BD346,AV346)</f>
        <v>0</v>
      </c>
      <c r="BM346" s="17">
        <f t="shared" si="331"/>
        <v>590482.93849429931</v>
      </c>
      <c r="BN346" s="17">
        <f t="shared" si="332"/>
        <v>101441.90180685223</v>
      </c>
      <c r="BO346" s="17">
        <f t="shared" si="333"/>
        <v>0</v>
      </c>
      <c r="BP346" s="17">
        <f t="shared" si="334"/>
        <v>174289.24056370757</v>
      </c>
      <c r="BQ346" s="17">
        <f t="shared" si="335"/>
        <v>8123.5662772395826</v>
      </c>
      <c r="BR346" s="17">
        <f t="shared" si="336"/>
        <v>460587.68109372654</v>
      </c>
      <c r="BS346" s="15">
        <f t="shared" si="305"/>
        <v>1</v>
      </c>
      <c r="BU346" s="14">
        <v>303</v>
      </c>
      <c r="BV346" s="15">
        <f t="shared" si="306"/>
        <v>26</v>
      </c>
      <c r="BW346" s="16">
        <f>(1+INDEX('1 - Input'!$B$34:$E$63,BV346,'1 - Input'!$B$16))^(1/12)-1</f>
        <v>4.1219243192651689E-3</v>
      </c>
      <c r="BX346" s="17">
        <f>'1 - Input'!$B$7*(1+'1 - Input'!$B$12)^(BV346-1)</f>
        <v>4429.6361850547701</v>
      </c>
      <c r="BY346" s="17">
        <f t="shared" si="337"/>
        <v>0</v>
      </c>
      <c r="BZ346" s="17">
        <f t="shared" si="338"/>
        <v>0</v>
      </c>
      <c r="CA346" s="17">
        <f t="shared" si="307"/>
        <v>0</v>
      </c>
      <c r="CB346" s="17">
        <f>IF(CA346&gt;0,'1 - Input'!$B$8/12*CA346,0)</f>
        <v>0</v>
      </c>
      <c r="CC346" s="17">
        <f t="shared" si="308"/>
        <v>0</v>
      </c>
      <c r="CD346" s="17">
        <f t="shared" si="309"/>
        <v>0</v>
      </c>
      <c r="CE346" s="17">
        <f>'1 - Input'!$B$22*(CB346-CD346)</f>
        <v>0</v>
      </c>
      <c r="CF346" s="17">
        <f t="shared" si="310"/>
        <v>0</v>
      </c>
      <c r="CG346" s="17">
        <f t="shared" si="311"/>
        <v>0</v>
      </c>
      <c r="CH346" s="17">
        <f>IF('1 - Input'!$B$17=1,MAX(0,CF346-BX346),0)</f>
        <v>0</v>
      </c>
      <c r="CI346" s="17">
        <f>IF('1 - Input'!$B$17=1,MAX(0,BX346-CF346),0)</f>
        <v>4429.6361850547701</v>
      </c>
      <c r="CJ346" s="17">
        <f t="shared" si="312"/>
        <v>0</v>
      </c>
      <c r="CK346" s="17">
        <f>IF(AND(CI346&gt;0,CC346&gt;0),CI346/(1-'1 - Input'!$B$22*CJ346),0)</f>
        <v>0</v>
      </c>
      <c r="CL346" s="17">
        <f t="shared" si="313"/>
        <v>0</v>
      </c>
      <c r="CM346" s="17">
        <f>'1 - Input'!$B$22*CJ346*CL346</f>
        <v>0</v>
      </c>
      <c r="CN346" s="17">
        <f t="shared" si="314"/>
        <v>0</v>
      </c>
      <c r="CO346" s="17">
        <f t="shared" si="315"/>
        <v>4429.6361850547701</v>
      </c>
      <c r="CP346" s="17">
        <f t="shared" si="316"/>
        <v>0</v>
      </c>
      <c r="CQ346" s="17">
        <f t="shared" si="317"/>
        <v>0</v>
      </c>
      <c r="CR346" s="17">
        <f t="shared" si="318"/>
        <v>0</v>
      </c>
      <c r="CS346" s="17">
        <f>IF(MOD(BU346,12)=0,CQ346*'1 - Input'!$B$23,0)</f>
        <v>0</v>
      </c>
      <c r="CT346" s="17">
        <f t="shared" si="319"/>
        <v>0</v>
      </c>
      <c r="CU346" s="17">
        <f>IF(MOD(BU346,12)=0,CR346*(1-'1 - Input'!$B$23),CR346)</f>
        <v>0</v>
      </c>
      <c r="CV346" s="17">
        <f>IF('1 - Input'!$B$17=1,MIN(CF346,BX346)+CN346,CF346)</f>
        <v>0</v>
      </c>
      <c r="CW346" s="17">
        <f t="shared" si="339"/>
        <v>686605.50041273201</v>
      </c>
      <c r="CX346" s="17">
        <f t="shared" si="340"/>
        <v>6018.3402768167462</v>
      </c>
      <c r="CY346" s="17">
        <f t="shared" si="341"/>
        <v>66518.776160328038</v>
      </c>
      <c r="CZ346" s="17">
        <f t="shared" si="342"/>
        <v>0</v>
      </c>
      <c r="DA346" s="17">
        <f t="shared" si="343"/>
        <v>10954.114452440983</v>
      </c>
      <c r="DB346" s="17">
        <f t="shared" si="344"/>
        <v>364465.11917529476</v>
      </c>
      <c r="DC346" s="15">
        <f t="shared" si="320"/>
        <v>1</v>
      </c>
    </row>
    <row r="347" spans="1:107">
      <c r="A347" s="14">
        <v>304</v>
      </c>
      <c r="B347" s="15">
        <f t="shared" si="276"/>
        <v>26</v>
      </c>
      <c r="C347" s="16">
        <f>(1+INDEX('1 - Input'!$B$34:$E$63,B347,'1 - Input'!$B$16))^(1/12)-1</f>
        <v>4.1219243192651689E-3</v>
      </c>
      <c r="D347" s="17">
        <f>'1 - Input'!$B$7*(1+'1 - Input'!$B$12)^(B347-1)</f>
        <v>4429.6361850547701</v>
      </c>
      <c r="E347" s="17">
        <f t="shared" si="321"/>
        <v>0</v>
      </c>
      <c r="F347" s="17">
        <f t="shared" si="322"/>
        <v>0</v>
      </c>
      <c r="G347" s="17">
        <f t="shared" si="277"/>
        <v>0</v>
      </c>
      <c r="H347" s="17">
        <f>IF(G347&gt;0,'1 - Input'!$B$8/12*G347,0)</f>
        <v>0</v>
      </c>
      <c r="I347" s="17">
        <f t="shared" si="278"/>
        <v>0</v>
      </c>
      <c r="J347" s="17">
        <f t="shared" si="279"/>
        <v>0</v>
      </c>
      <c r="K347" s="17">
        <f>'1 - Input'!$B$22*(H347-J347)</f>
        <v>0</v>
      </c>
      <c r="L347" s="17">
        <f t="shared" si="280"/>
        <v>0</v>
      </c>
      <c r="M347" s="17">
        <f t="shared" si="281"/>
        <v>0</v>
      </c>
      <c r="N347" s="17">
        <f>IF('1 - Input'!$B$17=1,MAX(0,L347-D347),0)</f>
        <v>0</v>
      </c>
      <c r="O347" s="17">
        <f>IF('1 - Input'!$B$17=1,MAX(0,D347-L347),0)</f>
        <v>4429.6361850547701</v>
      </c>
      <c r="P347" s="17">
        <f t="shared" si="282"/>
        <v>0</v>
      </c>
      <c r="Q347" s="17">
        <f>IF(AND(O347&gt;0,I347&gt;0),O347/(1-'1 - Input'!$B$22*P347),0)</f>
        <v>0</v>
      </c>
      <c r="R347" s="17">
        <f t="shared" si="283"/>
        <v>0</v>
      </c>
      <c r="S347" s="17">
        <f>'1 - Input'!$B$22*P347*R347</f>
        <v>0</v>
      </c>
      <c r="T347" s="17">
        <f t="shared" si="284"/>
        <v>0</v>
      </c>
      <c r="U347" s="17">
        <f t="shared" si="285"/>
        <v>4429.6361850547701</v>
      </c>
      <c r="V347" s="17">
        <f t="shared" si="286"/>
        <v>0</v>
      </c>
      <c r="W347" s="17">
        <f t="shared" si="287"/>
        <v>0</v>
      </c>
      <c r="X347" s="17">
        <f t="shared" si="288"/>
        <v>0</v>
      </c>
      <c r="Y347" s="17">
        <f>IF(MOD(A347,12)=0,W347*'1 - Input'!$B$23,0)</f>
        <v>0</v>
      </c>
      <c r="Z347" s="17">
        <f t="shared" si="289"/>
        <v>0</v>
      </c>
      <c r="AA347" s="17">
        <f>IF(MOD(A347,12)=0,X347*(1-'1 - Input'!$B$23),X347)</f>
        <v>0</v>
      </c>
      <c r="AB347" s="17">
        <f>IF('1 - Input'!$B$17=1,MIN(L347,D347)+T347,L347)</f>
        <v>0</v>
      </c>
      <c r="AC347" s="17">
        <f t="shared" si="323"/>
        <v>590482.93849429931</v>
      </c>
      <c r="AD347" s="17">
        <f t="shared" si="324"/>
        <v>101441.90180685223</v>
      </c>
      <c r="AE347" s="17">
        <f t="shared" si="325"/>
        <v>0</v>
      </c>
      <c r="AF347" s="17">
        <f t="shared" si="326"/>
        <v>174289.24056370757</v>
      </c>
      <c r="AG347" s="17">
        <f t="shared" si="327"/>
        <v>8123.5662772395826</v>
      </c>
      <c r="AH347" s="17">
        <f t="shared" si="328"/>
        <v>465017.31727878132</v>
      </c>
      <c r="AI347" s="15">
        <f t="shared" si="290"/>
        <v>1</v>
      </c>
      <c r="AK347" s="14">
        <v>304</v>
      </c>
      <c r="AL347" s="15">
        <f t="shared" si="291"/>
        <v>26</v>
      </c>
      <c r="AM347" s="16">
        <f>(1+INDEX('1 - Input'!$B$34:$E$63,AL347,'1 - Input'!$B$16))^(1/12)-1</f>
        <v>4.1219243192651689E-3</v>
      </c>
      <c r="AN347" s="17">
        <f>'1 - Input'!$B$7*(1+'1 - Input'!$B$12)^(AL347-1)</f>
        <v>4429.6361850547701</v>
      </c>
      <c r="AO347" s="17">
        <f t="shared" si="329"/>
        <v>0</v>
      </c>
      <c r="AP347" s="17">
        <f t="shared" si="330"/>
        <v>0</v>
      </c>
      <c r="AQ347" s="17">
        <f t="shared" si="292"/>
        <v>0</v>
      </c>
      <c r="AR347" s="17">
        <f>IF(AQ347&gt;0,'1 - Input'!$B$8/12*AQ347,0)</f>
        <v>0</v>
      </c>
      <c r="AS347" s="17">
        <f t="shared" si="293"/>
        <v>0</v>
      </c>
      <c r="AT347" s="17">
        <f t="shared" si="294"/>
        <v>0</v>
      </c>
      <c r="AU347" s="17">
        <f>'1 - Input'!$B$22*(AR347-AT347)</f>
        <v>0</v>
      </c>
      <c r="AV347" s="17">
        <f t="shared" si="295"/>
        <v>0</v>
      </c>
      <c r="AW347" s="17">
        <f t="shared" si="296"/>
        <v>0</v>
      </c>
      <c r="AX347" s="17">
        <f>IF('1 - Input'!$B$17=1,MAX(0,AV347-AN347),0)</f>
        <v>0</v>
      </c>
      <c r="AY347" s="17">
        <f>IF('1 - Input'!$B$17=1,MAX(0,AN347-AV347),0)</f>
        <v>4429.6361850547701</v>
      </c>
      <c r="AZ347" s="17">
        <f t="shared" si="297"/>
        <v>0</v>
      </c>
      <c r="BA347" s="17">
        <f>IF(AND(AY347&gt;0,AS347&gt;0),AY347/(1-'1 - Input'!$B$22*AZ347),0)</f>
        <v>0</v>
      </c>
      <c r="BB347" s="17">
        <f t="shared" si="298"/>
        <v>0</v>
      </c>
      <c r="BC347" s="17">
        <f>'1 - Input'!$B$22*AZ347*BB347</f>
        <v>0</v>
      </c>
      <c r="BD347" s="17">
        <f t="shared" si="299"/>
        <v>0</v>
      </c>
      <c r="BE347" s="17">
        <f t="shared" si="300"/>
        <v>4429.6361850547701</v>
      </c>
      <c r="BF347" s="17">
        <f t="shared" si="301"/>
        <v>0</v>
      </c>
      <c r="BG347" s="17">
        <f t="shared" si="302"/>
        <v>0</v>
      </c>
      <c r="BH347" s="17">
        <f t="shared" si="303"/>
        <v>0</v>
      </c>
      <c r="BI347" s="17">
        <f>IF(MOD(AK347,12)=0,BG347*'1 - Input'!$B$23,0)</f>
        <v>0</v>
      </c>
      <c r="BJ347" s="17">
        <f t="shared" si="304"/>
        <v>0</v>
      </c>
      <c r="BK347" s="17">
        <f>IF(MOD(AK347,12)=0,BH347*(1-'1 - Input'!$B$23),BH347)</f>
        <v>0</v>
      </c>
      <c r="BL347" s="17">
        <f>IF('1 - Input'!$B$17=1,MIN(AV347,AN347)+BD347,AV347)</f>
        <v>0</v>
      </c>
      <c r="BM347" s="17">
        <f t="shared" si="331"/>
        <v>590482.93849429931</v>
      </c>
      <c r="BN347" s="17">
        <f t="shared" si="332"/>
        <v>101441.90180685223</v>
      </c>
      <c r="BO347" s="17">
        <f t="shared" si="333"/>
        <v>0</v>
      </c>
      <c r="BP347" s="17">
        <f t="shared" si="334"/>
        <v>174289.24056370757</v>
      </c>
      <c r="BQ347" s="17">
        <f t="shared" si="335"/>
        <v>8123.5662772395826</v>
      </c>
      <c r="BR347" s="17">
        <f t="shared" si="336"/>
        <v>465017.31727878132</v>
      </c>
      <c r="BS347" s="15">
        <f t="shared" si="305"/>
        <v>1</v>
      </c>
      <c r="BU347" s="14">
        <v>304</v>
      </c>
      <c r="BV347" s="15">
        <f t="shared" si="306"/>
        <v>26</v>
      </c>
      <c r="BW347" s="16">
        <f>(1+INDEX('1 - Input'!$B$34:$E$63,BV347,'1 - Input'!$B$16))^(1/12)-1</f>
        <v>4.1219243192651689E-3</v>
      </c>
      <c r="BX347" s="17">
        <f>'1 - Input'!$B$7*(1+'1 - Input'!$B$12)^(BV347-1)</f>
        <v>4429.6361850547701</v>
      </c>
      <c r="BY347" s="17">
        <f t="shared" si="337"/>
        <v>0</v>
      </c>
      <c r="BZ347" s="17">
        <f t="shared" si="338"/>
        <v>0</v>
      </c>
      <c r="CA347" s="17">
        <f t="shared" si="307"/>
        <v>0</v>
      </c>
      <c r="CB347" s="17">
        <f>IF(CA347&gt;0,'1 - Input'!$B$8/12*CA347,0)</f>
        <v>0</v>
      </c>
      <c r="CC347" s="17">
        <f t="shared" si="308"/>
        <v>0</v>
      </c>
      <c r="CD347" s="17">
        <f t="shared" si="309"/>
        <v>0</v>
      </c>
      <c r="CE347" s="17">
        <f>'1 - Input'!$B$22*(CB347-CD347)</f>
        <v>0</v>
      </c>
      <c r="CF347" s="17">
        <f t="shared" si="310"/>
        <v>0</v>
      </c>
      <c r="CG347" s="17">
        <f t="shared" si="311"/>
        <v>0</v>
      </c>
      <c r="CH347" s="17">
        <f>IF('1 - Input'!$B$17=1,MAX(0,CF347-BX347),0)</f>
        <v>0</v>
      </c>
      <c r="CI347" s="17">
        <f>IF('1 - Input'!$B$17=1,MAX(0,BX347-CF347),0)</f>
        <v>4429.6361850547701</v>
      </c>
      <c r="CJ347" s="17">
        <f t="shared" si="312"/>
        <v>0</v>
      </c>
      <c r="CK347" s="17">
        <f>IF(AND(CI347&gt;0,CC347&gt;0),CI347/(1-'1 - Input'!$B$22*CJ347),0)</f>
        <v>0</v>
      </c>
      <c r="CL347" s="17">
        <f t="shared" si="313"/>
        <v>0</v>
      </c>
      <c r="CM347" s="17">
        <f>'1 - Input'!$B$22*CJ347*CL347</f>
        <v>0</v>
      </c>
      <c r="CN347" s="17">
        <f t="shared" si="314"/>
        <v>0</v>
      </c>
      <c r="CO347" s="17">
        <f t="shared" si="315"/>
        <v>4429.6361850547701</v>
      </c>
      <c r="CP347" s="17">
        <f t="shared" si="316"/>
        <v>0</v>
      </c>
      <c r="CQ347" s="17">
        <f t="shared" si="317"/>
        <v>0</v>
      </c>
      <c r="CR347" s="17">
        <f t="shared" si="318"/>
        <v>0</v>
      </c>
      <c r="CS347" s="17">
        <f>IF(MOD(BU347,12)=0,CQ347*'1 - Input'!$B$23,0)</f>
        <v>0</v>
      </c>
      <c r="CT347" s="17">
        <f t="shared" si="319"/>
        <v>0</v>
      </c>
      <c r="CU347" s="17">
        <f>IF(MOD(BU347,12)=0,CR347*(1-'1 - Input'!$B$23),CR347)</f>
        <v>0</v>
      </c>
      <c r="CV347" s="17">
        <f>IF('1 - Input'!$B$17=1,MIN(CF347,BX347)+CN347,CF347)</f>
        <v>0</v>
      </c>
      <c r="CW347" s="17">
        <f t="shared" si="339"/>
        <v>686605.50041273201</v>
      </c>
      <c r="CX347" s="17">
        <f t="shared" si="340"/>
        <v>6018.3402768167462</v>
      </c>
      <c r="CY347" s="17">
        <f t="shared" si="341"/>
        <v>66518.776160328038</v>
      </c>
      <c r="CZ347" s="17">
        <f t="shared" si="342"/>
        <v>0</v>
      </c>
      <c r="DA347" s="17">
        <f t="shared" si="343"/>
        <v>10954.114452440983</v>
      </c>
      <c r="DB347" s="17">
        <f t="shared" si="344"/>
        <v>368894.75536034955</v>
      </c>
      <c r="DC347" s="15">
        <f t="shared" si="320"/>
        <v>1</v>
      </c>
    </row>
    <row r="348" spans="1:107">
      <c r="A348" s="14">
        <v>305</v>
      </c>
      <c r="B348" s="15">
        <f t="shared" si="276"/>
        <v>26</v>
      </c>
      <c r="C348" s="16">
        <f>(1+INDEX('1 - Input'!$B$34:$E$63,B348,'1 - Input'!$B$16))^(1/12)-1</f>
        <v>4.1219243192651689E-3</v>
      </c>
      <c r="D348" s="17">
        <f>'1 - Input'!$B$7*(1+'1 - Input'!$B$12)^(B348-1)</f>
        <v>4429.6361850547701</v>
      </c>
      <c r="E348" s="17">
        <f t="shared" si="321"/>
        <v>0</v>
      </c>
      <c r="F348" s="17">
        <f t="shared" si="322"/>
        <v>0</v>
      </c>
      <c r="G348" s="17">
        <f t="shared" si="277"/>
        <v>0</v>
      </c>
      <c r="H348" s="17">
        <f>IF(G348&gt;0,'1 - Input'!$B$8/12*G348,0)</f>
        <v>0</v>
      </c>
      <c r="I348" s="17">
        <f t="shared" si="278"/>
        <v>0</v>
      </c>
      <c r="J348" s="17">
        <f t="shared" si="279"/>
        <v>0</v>
      </c>
      <c r="K348" s="17">
        <f>'1 - Input'!$B$22*(H348-J348)</f>
        <v>0</v>
      </c>
      <c r="L348" s="17">
        <f t="shared" si="280"/>
        <v>0</v>
      </c>
      <c r="M348" s="17">
        <f t="shared" si="281"/>
        <v>0</v>
      </c>
      <c r="N348" s="17">
        <f>IF('1 - Input'!$B$17=1,MAX(0,L348-D348),0)</f>
        <v>0</v>
      </c>
      <c r="O348" s="17">
        <f>IF('1 - Input'!$B$17=1,MAX(0,D348-L348),0)</f>
        <v>4429.6361850547701</v>
      </c>
      <c r="P348" s="17">
        <f t="shared" si="282"/>
        <v>0</v>
      </c>
      <c r="Q348" s="17">
        <f>IF(AND(O348&gt;0,I348&gt;0),O348/(1-'1 - Input'!$B$22*P348),0)</f>
        <v>0</v>
      </c>
      <c r="R348" s="17">
        <f t="shared" si="283"/>
        <v>0</v>
      </c>
      <c r="S348" s="17">
        <f>'1 - Input'!$B$22*P348*R348</f>
        <v>0</v>
      </c>
      <c r="T348" s="17">
        <f t="shared" si="284"/>
        <v>0</v>
      </c>
      <c r="U348" s="17">
        <f t="shared" si="285"/>
        <v>4429.6361850547701</v>
      </c>
      <c r="V348" s="17">
        <f t="shared" si="286"/>
        <v>0</v>
      </c>
      <c r="W348" s="17">
        <f t="shared" si="287"/>
        <v>0</v>
      </c>
      <c r="X348" s="17">
        <f t="shared" si="288"/>
        <v>0</v>
      </c>
      <c r="Y348" s="17">
        <f>IF(MOD(A348,12)=0,W348*'1 - Input'!$B$23,0)</f>
        <v>0</v>
      </c>
      <c r="Z348" s="17">
        <f t="shared" si="289"/>
        <v>0</v>
      </c>
      <c r="AA348" s="17">
        <f>IF(MOD(A348,12)=0,X348*(1-'1 - Input'!$B$23),X348)</f>
        <v>0</v>
      </c>
      <c r="AB348" s="17">
        <f>IF('1 - Input'!$B$17=1,MIN(L348,D348)+T348,L348)</f>
        <v>0</v>
      </c>
      <c r="AC348" s="17">
        <f t="shared" si="323"/>
        <v>590482.93849429931</v>
      </c>
      <c r="AD348" s="17">
        <f t="shared" si="324"/>
        <v>101441.90180685223</v>
      </c>
      <c r="AE348" s="17">
        <f t="shared" si="325"/>
        <v>0</v>
      </c>
      <c r="AF348" s="17">
        <f t="shared" si="326"/>
        <v>174289.24056370757</v>
      </c>
      <c r="AG348" s="17">
        <f t="shared" si="327"/>
        <v>8123.5662772395826</v>
      </c>
      <c r="AH348" s="17">
        <f t="shared" si="328"/>
        <v>469446.95346383611</v>
      </c>
      <c r="AI348" s="15">
        <f t="shared" si="290"/>
        <v>1</v>
      </c>
      <c r="AK348" s="14">
        <v>305</v>
      </c>
      <c r="AL348" s="15">
        <f t="shared" si="291"/>
        <v>26</v>
      </c>
      <c r="AM348" s="16">
        <f>(1+INDEX('1 - Input'!$B$34:$E$63,AL348,'1 - Input'!$B$16))^(1/12)-1</f>
        <v>4.1219243192651689E-3</v>
      </c>
      <c r="AN348" s="17">
        <f>'1 - Input'!$B$7*(1+'1 - Input'!$B$12)^(AL348-1)</f>
        <v>4429.6361850547701</v>
      </c>
      <c r="AO348" s="17">
        <f t="shared" si="329"/>
        <v>0</v>
      </c>
      <c r="AP348" s="17">
        <f t="shared" si="330"/>
        <v>0</v>
      </c>
      <c r="AQ348" s="17">
        <f t="shared" si="292"/>
        <v>0</v>
      </c>
      <c r="AR348" s="17">
        <f>IF(AQ348&gt;0,'1 - Input'!$B$8/12*AQ348,0)</f>
        <v>0</v>
      </c>
      <c r="AS348" s="17">
        <f t="shared" si="293"/>
        <v>0</v>
      </c>
      <c r="AT348" s="17">
        <f t="shared" si="294"/>
        <v>0</v>
      </c>
      <c r="AU348" s="17">
        <f>'1 - Input'!$B$22*(AR348-AT348)</f>
        <v>0</v>
      </c>
      <c r="AV348" s="17">
        <f t="shared" si="295"/>
        <v>0</v>
      </c>
      <c r="AW348" s="17">
        <f t="shared" si="296"/>
        <v>0</v>
      </c>
      <c r="AX348" s="17">
        <f>IF('1 - Input'!$B$17=1,MAX(0,AV348-AN348),0)</f>
        <v>0</v>
      </c>
      <c r="AY348" s="17">
        <f>IF('1 - Input'!$B$17=1,MAX(0,AN348-AV348),0)</f>
        <v>4429.6361850547701</v>
      </c>
      <c r="AZ348" s="17">
        <f t="shared" si="297"/>
        <v>0</v>
      </c>
      <c r="BA348" s="17">
        <f>IF(AND(AY348&gt;0,AS348&gt;0),AY348/(1-'1 - Input'!$B$22*AZ348),0)</f>
        <v>0</v>
      </c>
      <c r="BB348" s="17">
        <f t="shared" si="298"/>
        <v>0</v>
      </c>
      <c r="BC348" s="17">
        <f>'1 - Input'!$B$22*AZ348*BB348</f>
        <v>0</v>
      </c>
      <c r="BD348" s="17">
        <f t="shared" si="299"/>
        <v>0</v>
      </c>
      <c r="BE348" s="17">
        <f t="shared" si="300"/>
        <v>4429.6361850547701</v>
      </c>
      <c r="BF348" s="17">
        <f t="shared" si="301"/>
        <v>0</v>
      </c>
      <c r="BG348" s="17">
        <f t="shared" si="302"/>
        <v>0</v>
      </c>
      <c r="BH348" s="17">
        <f t="shared" si="303"/>
        <v>0</v>
      </c>
      <c r="BI348" s="17">
        <f>IF(MOD(AK348,12)=0,BG348*'1 - Input'!$B$23,0)</f>
        <v>0</v>
      </c>
      <c r="BJ348" s="17">
        <f t="shared" si="304"/>
        <v>0</v>
      </c>
      <c r="BK348" s="17">
        <f>IF(MOD(AK348,12)=0,BH348*(1-'1 - Input'!$B$23),BH348)</f>
        <v>0</v>
      </c>
      <c r="BL348" s="17">
        <f>IF('1 - Input'!$B$17=1,MIN(AV348,AN348)+BD348,AV348)</f>
        <v>0</v>
      </c>
      <c r="BM348" s="17">
        <f t="shared" si="331"/>
        <v>590482.93849429931</v>
      </c>
      <c r="BN348" s="17">
        <f t="shared" si="332"/>
        <v>101441.90180685223</v>
      </c>
      <c r="BO348" s="17">
        <f t="shared" si="333"/>
        <v>0</v>
      </c>
      <c r="BP348" s="17">
        <f t="shared" si="334"/>
        <v>174289.24056370757</v>
      </c>
      <c r="BQ348" s="17">
        <f t="shared" si="335"/>
        <v>8123.5662772395826</v>
      </c>
      <c r="BR348" s="17">
        <f t="shared" si="336"/>
        <v>469446.95346383611</v>
      </c>
      <c r="BS348" s="15">
        <f t="shared" si="305"/>
        <v>1</v>
      </c>
      <c r="BU348" s="14">
        <v>305</v>
      </c>
      <c r="BV348" s="15">
        <f t="shared" si="306"/>
        <v>26</v>
      </c>
      <c r="BW348" s="16">
        <f>(1+INDEX('1 - Input'!$B$34:$E$63,BV348,'1 - Input'!$B$16))^(1/12)-1</f>
        <v>4.1219243192651689E-3</v>
      </c>
      <c r="BX348" s="17">
        <f>'1 - Input'!$B$7*(1+'1 - Input'!$B$12)^(BV348-1)</f>
        <v>4429.6361850547701</v>
      </c>
      <c r="BY348" s="17">
        <f t="shared" si="337"/>
        <v>0</v>
      </c>
      <c r="BZ348" s="17">
        <f t="shared" si="338"/>
        <v>0</v>
      </c>
      <c r="CA348" s="17">
        <f t="shared" si="307"/>
        <v>0</v>
      </c>
      <c r="CB348" s="17">
        <f>IF(CA348&gt;0,'1 - Input'!$B$8/12*CA348,0)</f>
        <v>0</v>
      </c>
      <c r="CC348" s="17">
        <f t="shared" si="308"/>
        <v>0</v>
      </c>
      <c r="CD348" s="17">
        <f t="shared" si="309"/>
        <v>0</v>
      </c>
      <c r="CE348" s="17">
        <f>'1 - Input'!$B$22*(CB348-CD348)</f>
        <v>0</v>
      </c>
      <c r="CF348" s="17">
        <f t="shared" si="310"/>
        <v>0</v>
      </c>
      <c r="CG348" s="17">
        <f t="shared" si="311"/>
        <v>0</v>
      </c>
      <c r="CH348" s="17">
        <f>IF('1 - Input'!$B$17=1,MAX(0,CF348-BX348),0)</f>
        <v>0</v>
      </c>
      <c r="CI348" s="17">
        <f>IF('1 - Input'!$B$17=1,MAX(0,BX348-CF348),0)</f>
        <v>4429.6361850547701</v>
      </c>
      <c r="CJ348" s="17">
        <f t="shared" si="312"/>
        <v>0</v>
      </c>
      <c r="CK348" s="17">
        <f>IF(AND(CI348&gt;0,CC348&gt;0),CI348/(1-'1 - Input'!$B$22*CJ348),0)</f>
        <v>0</v>
      </c>
      <c r="CL348" s="17">
        <f t="shared" si="313"/>
        <v>0</v>
      </c>
      <c r="CM348" s="17">
        <f>'1 - Input'!$B$22*CJ348*CL348</f>
        <v>0</v>
      </c>
      <c r="CN348" s="17">
        <f t="shared" si="314"/>
        <v>0</v>
      </c>
      <c r="CO348" s="17">
        <f t="shared" si="315"/>
        <v>4429.6361850547701</v>
      </c>
      <c r="CP348" s="17">
        <f t="shared" si="316"/>
        <v>0</v>
      </c>
      <c r="CQ348" s="17">
        <f t="shared" si="317"/>
        <v>0</v>
      </c>
      <c r="CR348" s="17">
        <f t="shared" si="318"/>
        <v>0</v>
      </c>
      <c r="CS348" s="17">
        <f>IF(MOD(BU348,12)=0,CQ348*'1 - Input'!$B$23,0)</f>
        <v>0</v>
      </c>
      <c r="CT348" s="17">
        <f t="shared" si="319"/>
        <v>0</v>
      </c>
      <c r="CU348" s="17">
        <f>IF(MOD(BU348,12)=0,CR348*(1-'1 - Input'!$B$23),CR348)</f>
        <v>0</v>
      </c>
      <c r="CV348" s="17">
        <f>IF('1 - Input'!$B$17=1,MIN(CF348,BX348)+CN348,CF348)</f>
        <v>0</v>
      </c>
      <c r="CW348" s="17">
        <f t="shared" si="339"/>
        <v>686605.50041273201</v>
      </c>
      <c r="CX348" s="17">
        <f t="shared" si="340"/>
        <v>6018.3402768167462</v>
      </c>
      <c r="CY348" s="17">
        <f t="shared" si="341"/>
        <v>66518.776160328038</v>
      </c>
      <c r="CZ348" s="17">
        <f t="shared" si="342"/>
        <v>0</v>
      </c>
      <c r="DA348" s="17">
        <f t="shared" si="343"/>
        <v>10954.114452440983</v>
      </c>
      <c r="DB348" s="17">
        <f t="shared" si="344"/>
        <v>373324.39154540433</v>
      </c>
      <c r="DC348" s="15">
        <f t="shared" si="320"/>
        <v>1</v>
      </c>
    </row>
    <row r="349" spans="1:107">
      <c r="A349" s="14">
        <v>306</v>
      </c>
      <c r="B349" s="15">
        <f t="shared" si="276"/>
        <v>26</v>
      </c>
      <c r="C349" s="16">
        <f>(1+INDEX('1 - Input'!$B$34:$E$63,B349,'1 - Input'!$B$16))^(1/12)-1</f>
        <v>4.1219243192651689E-3</v>
      </c>
      <c r="D349" s="17">
        <f>'1 - Input'!$B$7*(1+'1 - Input'!$B$12)^(B349-1)</f>
        <v>4429.6361850547701</v>
      </c>
      <c r="E349" s="17">
        <f t="shared" si="321"/>
        <v>0</v>
      </c>
      <c r="F349" s="17">
        <f t="shared" si="322"/>
        <v>0</v>
      </c>
      <c r="G349" s="17">
        <f t="shared" si="277"/>
        <v>0</v>
      </c>
      <c r="H349" s="17">
        <f>IF(G349&gt;0,'1 - Input'!$B$8/12*G349,0)</f>
        <v>0</v>
      </c>
      <c r="I349" s="17">
        <f t="shared" si="278"/>
        <v>0</v>
      </c>
      <c r="J349" s="17">
        <f t="shared" si="279"/>
        <v>0</v>
      </c>
      <c r="K349" s="17">
        <f>'1 - Input'!$B$22*(H349-J349)</f>
        <v>0</v>
      </c>
      <c r="L349" s="17">
        <f t="shared" si="280"/>
        <v>0</v>
      </c>
      <c r="M349" s="17">
        <f t="shared" si="281"/>
        <v>0</v>
      </c>
      <c r="N349" s="17">
        <f>IF('1 - Input'!$B$17=1,MAX(0,L349-D349),0)</f>
        <v>0</v>
      </c>
      <c r="O349" s="17">
        <f>IF('1 - Input'!$B$17=1,MAX(0,D349-L349),0)</f>
        <v>4429.6361850547701</v>
      </c>
      <c r="P349" s="17">
        <f t="shared" si="282"/>
        <v>0</v>
      </c>
      <c r="Q349" s="17">
        <f>IF(AND(O349&gt;0,I349&gt;0),O349/(1-'1 - Input'!$B$22*P349),0)</f>
        <v>0</v>
      </c>
      <c r="R349" s="17">
        <f t="shared" si="283"/>
        <v>0</v>
      </c>
      <c r="S349" s="17">
        <f>'1 - Input'!$B$22*P349*R349</f>
        <v>0</v>
      </c>
      <c r="T349" s="17">
        <f t="shared" si="284"/>
        <v>0</v>
      </c>
      <c r="U349" s="17">
        <f t="shared" si="285"/>
        <v>4429.6361850547701</v>
      </c>
      <c r="V349" s="17">
        <f t="shared" si="286"/>
        <v>0</v>
      </c>
      <c r="W349" s="17">
        <f t="shared" si="287"/>
        <v>0</v>
      </c>
      <c r="X349" s="17">
        <f t="shared" si="288"/>
        <v>0</v>
      </c>
      <c r="Y349" s="17">
        <f>IF(MOD(A349,12)=0,W349*'1 - Input'!$B$23,0)</f>
        <v>0</v>
      </c>
      <c r="Z349" s="17">
        <f t="shared" si="289"/>
        <v>0</v>
      </c>
      <c r="AA349" s="17">
        <f>IF(MOD(A349,12)=0,X349*(1-'1 - Input'!$B$23),X349)</f>
        <v>0</v>
      </c>
      <c r="AB349" s="17">
        <f>IF('1 - Input'!$B$17=1,MIN(L349,D349)+T349,L349)</f>
        <v>0</v>
      </c>
      <c r="AC349" s="17">
        <f t="shared" si="323"/>
        <v>590482.93849429931</v>
      </c>
      <c r="AD349" s="17">
        <f t="shared" si="324"/>
        <v>101441.90180685223</v>
      </c>
      <c r="AE349" s="17">
        <f t="shared" si="325"/>
        <v>0</v>
      </c>
      <c r="AF349" s="17">
        <f t="shared" si="326"/>
        <v>174289.24056370757</v>
      </c>
      <c r="AG349" s="17">
        <f t="shared" si="327"/>
        <v>8123.5662772395826</v>
      </c>
      <c r="AH349" s="17">
        <f t="shared" si="328"/>
        <v>473876.58964889089</v>
      </c>
      <c r="AI349" s="15">
        <f t="shared" si="290"/>
        <v>1</v>
      </c>
      <c r="AK349" s="14">
        <v>306</v>
      </c>
      <c r="AL349" s="15">
        <f t="shared" si="291"/>
        <v>26</v>
      </c>
      <c r="AM349" s="16">
        <f>(1+INDEX('1 - Input'!$B$34:$E$63,AL349,'1 - Input'!$B$16))^(1/12)-1</f>
        <v>4.1219243192651689E-3</v>
      </c>
      <c r="AN349" s="17">
        <f>'1 - Input'!$B$7*(1+'1 - Input'!$B$12)^(AL349-1)</f>
        <v>4429.6361850547701</v>
      </c>
      <c r="AO349" s="17">
        <f t="shared" si="329"/>
        <v>0</v>
      </c>
      <c r="AP349" s="17">
        <f t="shared" si="330"/>
        <v>0</v>
      </c>
      <c r="AQ349" s="17">
        <f t="shared" si="292"/>
        <v>0</v>
      </c>
      <c r="AR349" s="17">
        <f>IF(AQ349&gt;0,'1 - Input'!$B$8/12*AQ349,0)</f>
        <v>0</v>
      </c>
      <c r="AS349" s="17">
        <f t="shared" si="293"/>
        <v>0</v>
      </c>
      <c r="AT349" s="17">
        <f t="shared" si="294"/>
        <v>0</v>
      </c>
      <c r="AU349" s="17">
        <f>'1 - Input'!$B$22*(AR349-AT349)</f>
        <v>0</v>
      </c>
      <c r="AV349" s="17">
        <f t="shared" si="295"/>
        <v>0</v>
      </c>
      <c r="AW349" s="17">
        <f t="shared" si="296"/>
        <v>0</v>
      </c>
      <c r="AX349" s="17">
        <f>IF('1 - Input'!$B$17=1,MAX(0,AV349-AN349),0)</f>
        <v>0</v>
      </c>
      <c r="AY349" s="17">
        <f>IF('1 - Input'!$B$17=1,MAX(0,AN349-AV349),0)</f>
        <v>4429.6361850547701</v>
      </c>
      <c r="AZ349" s="17">
        <f t="shared" si="297"/>
        <v>0</v>
      </c>
      <c r="BA349" s="17">
        <f>IF(AND(AY349&gt;0,AS349&gt;0),AY349/(1-'1 - Input'!$B$22*AZ349),0)</f>
        <v>0</v>
      </c>
      <c r="BB349" s="17">
        <f t="shared" si="298"/>
        <v>0</v>
      </c>
      <c r="BC349" s="17">
        <f>'1 - Input'!$B$22*AZ349*BB349</f>
        <v>0</v>
      </c>
      <c r="BD349" s="17">
        <f t="shared" si="299"/>
        <v>0</v>
      </c>
      <c r="BE349" s="17">
        <f t="shared" si="300"/>
        <v>4429.6361850547701</v>
      </c>
      <c r="BF349" s="17">
        <f t="shared" si="301"/>
        <v>0</v>
      </c>
      <c r="BG349" s="17">
        <f t="shared" si="302"/>
        <v>0</v>
      </c>
      <c r="BH349" s="17">
        <f t="shared" si="303"/>
        <v>0</v>
      </c>
      <c r="BI349" s="17">
        <f>IF(MOD(AK349,12)=0,BG349*'1 - Input'!$B$23,0)</f>
        <v>0</v>
      </c>
      <c r="BJ349" s="17">
        <f t="shared" si="304"/>
        <v>0</v>
      </c>
      <c r="BK349" s="17">
        <f>IF(MOD(AK349,12)=0,BH349*(1-'1 - Input'!$B$23),BH349)</f>
        <v>0</v>
      </c>
      <c r="BL349" s="17">
        <f>IF('1 - Input'!$B$17=1,MIN(AV349,AN349)+BD349,AV349)</f>
        <v>0</v>
      </c>
      <c r="BM349" s="17">
        <f t="shared" si="331"/>
        <v>590482.93849429931</v>
      </c>
      <c r="BN349" s="17">
        <f t="shared" si="332"/>
        <v>101441.90180685223</v>
      </c>
      <c r="BO349" s="17">
        <f t="shared" si="333"/>
        <v>0</v>
      </c>
      <c r="BP349" s="17">
        <f t="shared" si="334"/>
        <v>174289.24056370757</v>
      </c>
      <c r="BQ349" s="17">
        <f t="shared" si="335"/>
        <v>8123.5662772395826</v>
      </c>
      <c r="BR349" s="17">
        <f t="shared" si="336"/>
        <v>473876.58964889089</v>
      </c>
      <c r="BS349" s="15">
        <f t="shared" si="305"/>
        <v>1</v>
      </c>
      <c r="BU349" s="14">
        <v>306</v>
      </c>
      <c r="BV349" s="15">
        <f t="shared" si="306"/>
        <v>26</v>
      </c>
      <c r="BW349" s="16">
        <f>(1+INDEX('1 - Input'!$B$34:$E$63,BV349,'1 - Input'!$B$16))^(1/12)-1</f>
        <v>4.1219243192651689E-3</v>
      </c>
      <c r="BX349" s="17">
        <f>'1 - Input'!$B$7*(1+'1 - Input'!$B$12)^(BV349-1)</f>
        <v>4429.6361850547701</v>
      </c>
      <c r="BY349" s="17">
        <f t="shared" si="337"/>
        <v>0</v>
      </c>
      <c r="BZ349" s="17">
        <f t="shared" si="338"/>
        <v>0</v>
      </c>
      <c r="CA349" s="17">
        <f t="shared" si="307"/>
        <v>0</v>
      </c>
      <c r="CB349" s="17">
        <f>IF(CA349&gt;0,'1 - Input'!$B$8/12*CA349,0)</f>
        <v>0</v>
      </c>
      <c r="CC349" s="17">
        <f t="shared" si="308"/>
        <v>0</v>
      </c>
      <c r="CD349" s="17">
        <f t="shared" si="309"/>
        <v>0</v>
      </c>
      <c r="CE349" s="17">
        <f>'1 - Input'!$B$22*(CB349-CD349)</f>
        <v>0</v>
      </c>
      <c r="CF349" s="17">
        <f t="shared" si="310"/>
        <v>0</v>
      </c>
      <c r="CG349" s="17">
        <f t="shared" si="311"/>
        <v>0</v>
      </c>
      <c r="CH349" s="17">
        <f>IF('1 - Input'!$B$17=1,MAX(0,CF349-BX349),0)</f>
        <v>0</v>
      </c>
      <c r="CI349" s="17">
        <f>IF('1 - Input'!$B$17=1,MAX(0,BX349-CF349),0)</f>
        <v>4429.6361850547701</v>
      </c>
      <c r="CJ349" s="17">
        <f t="shared" si="312"/>
        <v>0</v>
      </c>
      <c r="CK349" s="17">
        <f>IF(AND(CI349&gt;0,CC349&gt;0),CI349/(1-'1 - Input'!$B$22*CJ349),0)</f>
        <v>0</v>
      </c>
      <c r="CL349" s="17">
        <f t="shared" si="313"/>
        <v>0</v>
      </c>
      <c r="CM349" s="17">
        <f>'1 - Input'!$B$22*CJ349*CL349</f>
        <v>0</v>
      </c>
      <c r="CN349" s="17">
        <f t="shared" si="314"/>
        <v>0</v>
      </c>
      <c r="CO349" s="17">
        <f t="shared" si="315"/>
        <v>4429.6361850547701</v>
      </c>
      <c r="CP349" s="17">
        <f t="shared" si="316"/>
        <v>0</v>
      </c>
      <c r="CQ349" s="17">
        <f t="shared" si="317"/>
        <v>0</v>
      </c>
      <c r="CR349" s="17">
        <f t="shared" si="318"/>
        <v>0</v>
      </c>
      <c r="CS349" s="17">
        <f>IF(MOD(BU349,12)=0,CQ349*'1 - Input'!$B$23,0)</f>
        <v>0</v>
      </c>
      <c r="CT349" s="17">
        <f t="shared" si="319"/>
        <v>0</v>
      </c>
      <c r="CU349" s="17">
        <f>IF(MOD(BU349,12)=0,CR349*(1-'1 - Input'!$B$23),CR349)</f>
        <v>0</v>
      </c>
      <c r="CV349" s="17">
        <f>IF('1 - Input'!$B$17=1,MIN(CF349,BX349)+CN349,CF349)</f>
        <v>0</v>
      </c>
      <c r="CW349" s="17">
        <f t="shared" si="339"/>
        <v>686605.50041273201</v>
      </c>
      <c r="CX349" s="17">
        <f t="shared" si="340"/>
        <v>6018.3402768167462</v>
      </c>
      <c r="CY349" s="17">
        <f t="shared" si="341"/>
        <v>66518.776160328038</v>
      </c>
      <c r="CZ349" s="17">
        <f t="shared" si="342"/>
        <v>0</v>
      </c>
      <c r="DA349" s="17">
        <f t="shared" si="343"/>
        <v>10954.114452440983</v>
      </c>
      <c r="DB349" s="17">
        <f t="shared" si="344"/>
        <v>377754.02773045911</v>
      </c>
      <c r="DC349" s="15">
        <f t="shared" si="320"/>
        <v>1</v>
      </c>
    </row>
    <row r="350" spans="1:107">
      <c r="A350" s="14">
        <v>307</v>
      </c>
      <c r="B350" s="15">
        <f t="shared" si="276"/>
        <v>26</v>
      </c>
      <c r="C350" s="16">
        <f>(1+INDEX('1 - Input'!$B$34:$E$63,B350,'1 - Input'!$B$16))^(1/12)-1</f>
        <v>4.1219243192651689E-3</v>
      </c>
      <c r="D350" s="17">
        <f>'1 - Input'!$B$7*(1+'1 - Input'!$B$12)^(B350-1)</f>
        <v>4429.6361850547701</v>
      </c>
      <c r="E350" s="17">
        <f t="shared" si="321"/>
        <v>0</v>
      </c>
      <c r="F350" s="17">
        <f t="shared" si="322"/>
        <v>0</v>
      </c>
      <c r="G350" s="17">
        <f t="shared" si="277"/>
        <v>0</v>
      </c>
      <c r="H350" s="17">
        <f>IF(G350&gt;0,'1 - Input'!$B$8/12*G350,0)</f>
        <v>0</v>
      </c>
      <c r="I350" s="17">
        <f t="shared" si="278"/>
        <v>0</v>
      </c>
      <c r="J350" s="17">
        <f t="shared" si="279"/>
        <v>0</v>
      </c>
      <c r="K350" s="17">
        <f>'1 - Input'!$B$22*(H350-J350)</f>
        <v>0</v>
      </c>
      <c r="L350" s="17">
        <f t="shared" si="280"/>
        <v>0</v>
      </c>
      <c r="M350" s="17">
        <f t="shared" si="281"/>
        <v>0</v>
      </c>
      <c r="N350" s="17">
        <f>IF('1 - Input'!$B$17=1,MAX(0,L350-D350),0)</f>
        <v>0</v>
      </c>
      <c r="O350" s="17">
        <f>IF('1 - Input'!$B$17=1,MAX(0,D350-L350),0)</f>
        <v>4429.6361850547701</v>
      </c>
      <c r="P350" s="17">
        <f t="shared" si="282"/>
        <v>0</v>
      </c>
      <c r="Q350" s="17">
        <f>IF(AND(O350&gt;0,I350&gt;0),O350/(1-'1 - Input'!$B$22*P350),0)</f>
        <v>0</v>
      </c>
      <c r="R350" s="17">
        <f t="shared" si="283"/>
        <v>0</v>
      </c>
      <c r="S350" s="17">
        <f>'1 - Input'!$B$22*P350*R350</f>
        <v>0</v>
      </c>
      <c r="T350" s="17">
        <f t="shared" si="284"/>
        <v>0</v>
      </c>
      <c r="U350" s="17">
        <f t="shared" si="285"/>
        <v>4429.6361850547701</v>
      </c>
      <c r="V350" s="17">
        <f t="shared" si="286"/>
        <v>0</v>
      </c>
      <c r="W350" s="17">
        <f t="shared" si="287"/>
        <v>0</v>
      </c>
      <c r="X350" s="17">
        <f t="shared" si="288"/>
        <v>0</v>
      </c>
      <c r="Y350" s="17">
        <f>IF(MOD(A350,12)=0,W350*'1 - Input'!$B$23,0)</f>
        <v>0</v>
      </c>
      <c r="Z350" s="17">
        <f t="shared" si="289"/>
        <v>0</v>
      </c>
      <c r="AA350" s="17">
        <f>IF(MOD(A350,12)=0,X350*(1-'1 - Input'!$B$23),X350)</f>
        <v>0</v>
      </c>
      <c r="AB350" s="17">
        <f>IF('1 - Input'!$B$17=1,MIN(L350,D350)+T350,L350)</f>
        <v>0</v>
      </c>
      <c r="AC350" s="17">
        <f t="shared" si="323"/>
        <v>590482.93849429931</v>
      </c>
      <c r="AD350" s="17">
        <f t="shared" si="324"/>
        <v>101441.90180685223</v>
      </c>
      <c r="AE350" s="17">
        <f t="shared" si="325"/>
        <v>0</v>
      </c>
      <c r="AF350" s="17">
        <f t="shared" si="326"/>
        <v>174289.24056370757</v>
      </c>
      <c r="AG350" s="17">
        <f t="shared" si="327"/>
        <v>8123.5662772395826</v>
      </c>
      <c r="AH350" s="17">
        <f t="shared" si="328"/>
        <v>478306.22583394567</v>
      </c>
      <c r="AI350" s="15">
        <f t="shared" si="290"/>
        <v>1</v>
      </c>
      <c r="AK350" s="14">
        <v>307</v>
      </c>
      <c r="AL350" s="15">
        <f t="shared" si="291"/>
        <v>26</v>
      </c>
      <c r="AM350" s="16">
        <f>(1+INDEX('1 - Input'!$B$34:$E$63,AL350,'1 - Input'!$B$16))^(1/12)-1</f>
        <v>4.1219243192651689E-3</v>
      </c>
      <c r="AN350" s="17">
        <f>'1 - Input'!$B$7*(1+'1 - Input'!$B$12)^(AL350-1)</f>
        <v>4429.6361850547701</v>
      </c>
      <c r="AO350" s="17">
        <f t="shared" si="329"/>
        <v>0</v>
      </c>
      <c r="AP350" s="17">
        <f t="shared" si="330"/>
        <v>0</v>
      </c>
      <c r="AQ350" s="17">
        <f t="shared" si="292"/>
        <v>0</v>
      </c>
      <c r="AR350" s="17">
        <f>IF(AQ350&gt;0,'1 - Input'!$B$8/12*AQ350,0)</f>
        <v>0</v>
      </c>
      <c r="AS350" s="17">
        <f t="shared" si="293"/>
        <v>0</v>
      </c>
      <c r="AT350" s="17">
        <f t="shared" si="294"/>
        <v>0</v>
      </c>
      <c r="AU350" s="17">
        <f>'1 - Input'!$B$22*(AR350-AT350)</f>
        <v>0</v>
      </c>
      <c r="AV350" s="17">
        <f t="shared" si="295"/>
        <v>0</v>
      </c>
      <c r="AW350" s="17">
        <f t="shared" si="296"/>
        <v>0</v>
      </c>
      <c r="AX350" s="17">
        <f>IF('1 - Input'!$B$17=1,MAX(0,AV350-AN350),0)</f>
        <v>0</v>
      </c>
      <c r="AY350" s="17">
        <f>IF('1 - Input'!$B$17=1,MAX(0,AN350-AV350),0)</f>
        <v>4429.6361850547701</v>
      </c>
      <c r="AZ350" s="17">
        <f t="shared" si="297"/>
        <v>0</v>
      </c>
      <c r="BA350" s="17">
        <f>IF(AND(AY350&gt;0,AS350&gt;0),AY350/(1-'1 - Input'!$B$22*AZ350),0)</f>
        <v>0</v>
      </c>
      <c r="BB350" s="17">
        <f t="shared" si="298"/>
        <v>0</v>
      </c>
      <c r="BC350" s="17">
        <f>'1 - Input'!$B$22*AZ350*BB350</f>
        <v>0</v>
      </c>
      <c r="BD350" s="17">
        <f t="shared" si="299"/>
        <v>0</v>
      </c>
      <c r="BE350" s="17">
        <f t="shared" si="300"/>
        <v>4429.6361850547701</v>
      </c>
      <c r="BF350" s="17">
        <f t="shared" si="301"/>
        <v>0</v>
      </c>
      <c r="BG350" s="17">
        <f t="shared" si="302"/>
        <v>0</v>
      </c>
      <c r="BH350" s="17">
        <f t="shared" si="303"/>
        <v>0</v>
      </c>
      <c r="BI350" s="17">
        <f>IF(MOD(AK350,12)=0,BG350*'1 - Input'!$B$23,0)</f>
        <v>0</v>
      </c>
      <c r="BJ350" s="17">
        <f t="shared" si="304"/>
        <v>0</v>
      </c>
      <c r="BK350" s="17">
        <f>IF(MOD(AK350,12)=0,BH350*(1-'1 - Input'!$B$23),BH350)</f>
        <v>0</v>
      </c>
      <c r="BL350" s="17">
        <f>IF('1 - Input'!$B$17=1,MIN(AV350,AN350)+BD350,AV350)</f>
        <v>0</v>
      </c>
      <c r="BM350" s="17">
        <f t="shared" si="331"/>
        <v>590482.93849429931</v>
      </c>
      <c r="BN350" s="17">
        <f t="shared" si="332"/>
        <v>101441.90180685223</v>
      </c>
      <c r="BO350" s="17">
        <f t="shared" si="333"/>
        <v>0</v>
      </c>
      <c r="BP350" s="17">
        <f t="shared" si="334"/>
        <v>174289.24056370757</v>
      </c>
      <c r="BQ350" s="17">
        <f t="shared" si="335"/>
        <v>8123.5662772395826</v>
      </c>
      <c r="BR350" s="17">
        <f t="shared" si="336"/>
        <v>478306.22583394567</v>
      </c>
      <c r="BS350" s="15">
        <f t="shared" si="305"/>
        <v>1</v>
      </c>
      <c r="BU350" s="14">
        <v>307</v>
      </c>
      <c r="BV350" s="15">
        <f t="shared" si="306"/>
        <v>26</v>
      </c>
      <c r="BW350" s="16">
        <f>(1+INDEX('1 - Input'!$B$34:$E$63,BV350,'1 - Input'!$B$16))^(1/12)-1</f>
        <v>4.1219243192651689E-3</v>
      </c>
      <c r="BX350" s="17">
        <f>'1 - Input'!$B$7*(1+'1 - Input'!$B$12)^(BV350-1)</f>
        <v>4429.6361850547701</v>
      </c>
      <c r="BY350" s="17">
        <f t="shared" si="337"/>
        <v>0</v>
      </c>
      <c r="BZ350" s="17">
        <f t="shared" si="338"/>
        <v>0</v>
      </c>
      <c r="CA350" s="17">
        <f t="shared" si="307"/>
        <v>0</v>
      </c>
      <c r="CB350" s="17">
        <f>IF(CA350&gt;0,'1 - Input'!$B$8/12*CA350,0)</f>
        <v>0</v>
      </c>
      <c r="CC350" s="17">
        <f t="shared" si="308"/>
        <v>0</v>
      </c>
      <c r="CD350" s="17">
        <f t="shared" si="309"/>
        <v>0</v>
      </c>
      <c r="CE350" s="17">
        <f>'1 - Input'!$B$22*(CB350-CD350)</f>
        <v>0</v>
      </c>
      <c r="CF350" s="17">
        <f t="shared" si="310"/>
        <v>0</v>
      </c>
      <c r="CG350" s="17">
        <f t="shared" si="311"/>
        <v>0</v>
      </c>
      <c r="CH350" s="17">
        <f>IF('1 - Input'!$B$17=1,MAX(0,CF350-BX350),0)</f>
        <v>0</v>
      </c>
      <c r="CI350" s="17">
        <f>IF('1 - Input'!$B$17=1,MAX(0,BX350-CF350),0)</f>
        <v>4429.6361850547701</v>
      </c>
      <c r="CJ350" s="17">
        <f t="shared" si="312"/>
        <v>0</v>
      </c>
      <c r="CK350" s="17">
        <f>IF(AND(CI350&gt;0,CC350&gt;0),CI350/(1-'1 - Input'!$B$22*CJ350),0)</f>
        <v>0</v>
      </c>
      <c r="CL350" s="17">
        <f t="shared" si="313"/>
        <v>0</v>
      </c>
      <c r="CM350" s="17">
        <f>'1 - Input'!$B$22*CJ350*CL350</f>
        <v>0</v>
      </c>
      <c r="CN350" s="17">
        <f t="shared" si="314"/>
        <v>0</v>
      </c>
      <c r="CO350" s="17">
        <f t="shared" si="315"/>
        <v>4429.6361850547701</v>
      </c>
      <c r="CP350" s="17">
        <f t="shared" si="316"/>
        <v>0</v>
      </c>
      <c r="CQ350" s="17">
        <f t="shared" si="317"/>
        <v>0</v>
      </c>
      <c r="CR350" s="17">
        <f t="shared" si="318"/>
        <v>0</v>
      </c>
      <c r="CS350" s="17">
        <f>IF(MOD(BU350,12)=0,CQ350*'1 - Input'!$B$23,0)</f>
        <v>0</v>
      </c>
      <c r="CT350" s="17">
        <f t="shared" si="319"/>
        <v>0</v>
      </c>
      <c r="CU350" s="17">
        <f>IF(MOD(BU350,12)=0,CR350*(1-'1 - Input'!$B$23),CR350)</f>
        <v>0</v>
      </c>
      <c r="CV350" s="17">
        <f>IF('1 - Input'!$B$17=1,MIN(CF350,BX350)+CN350,CF350)</f>
        <v>0</v>
      </c>
      <c r="CW350" s="17">
        <f t="shared" si="339"/>
        <v>686605.50041273201</v>
      </c>
      <c r="CX350" s="17">
        <f t="shared" si="340"/>
        <v>6018.3402768167462</v>
      </c>
      <c r="CY350" s="17">
        <f t="shared" si="341"/>
        <v>66518.776160328038</v>
      </c>
      <c r="CZ350" s="17">
        <f t="shared" si="342"/>
        <v>0</v>
      </c>
      <c r="DA350" s="17">
        <f t="shared" si="343"/>
        <v>10954.114452440983</v>
      </c>
      <c r="DB350" s="17">
        <f t="shared" si="344"/>
        <v>382183.6639155139</v>
      </c>
      <c r="DC350" s="15">
        <f t="shared" si="320"/>
        <v>1</v>
      </c>
    </row>
    <row r="351" spans="1:107">
      <c r="A351" s="14">
        <v>308</v>
      </c>
      <c r="B351" s="15">
        <f t="shared" si="276"/>
        <v>26</v>
      </c>
      <c r="C351" s="16">
        <f>(1+INDEX('1 - Input'!$B$34:$E$63,B351,'1 - Input'!$B$16))^(1/12)-1</f>
        <v>4.1219243192651689E-3</v>
      </c>
      <c r="D351" s="17">
        <f>'1 - Input'!$B$7*(1+'1 - Input'!$B$12)^(B351-1)</f>
        <v>4429.6361850547701</v>
      </c>
      <c r="E351" s="17">
        <f t="shared" si="321"/>
        <v>0</v>
      </c>
      <c r="F351" s="17">
        <f t="shared" si="322"/>
        <v>0</v>
      </c>
      <c r="G351" s="17">
        <f t="shared" si="277"/>
        <v>0</v>
      </c>
      <c r="H351" s="17">
        <f>IF(G351&gt;0,'1 - Input'!$B$8/12*G351,0)</f>
        <v>0</v>
      </c>
      <c r="I351" s="17">
        <f t="shared" si="278"/>
        <v>0</v>
      </c>
      <c r="J351" s="17">
        <f t="shared" si="279"/>
        <v>0</v>
      </c>
      <c r="K351" s="17">
        <f>'1 - Input'!$B$22*(H351-J351)</f>
        <v>0</v>
      </c>
      <c r="L351" s="17">
        <f t="shared" si="280"/>
        <v>0</v>
      </c>
      <c r="M351" s="17">
        <f t="shared" si="281"/>
        <v>0</v>
      </c>
      <c r="N351" s="17">
        <f>IF('1 - Input'!$B$17=1,MAX(0,L351-D351),0)</f>
        <v>0</v>
      </c>
      <c r="O351" s="17">
        <f>IF('1 - Input'!$B$17=1,MAX(0,D351-L351),0)</f>
        <v>4429.6361850547701</v>
      </c>
      <c r="P351" s="17">
        <f t="shared" si="282"/>
        <v>0</v>
      </c>
      <c r="Q351" s="17">
        <f>IF(AND(O351&gt;0,I351&gt;0),O351/(1-'1 - Input'!$B$22*P351),0)</f>
        <v>0</v>
      </c>
      <c r="R351" s="17">
        <f t="shared" si="283"/>
        <v>0</v>
      </c>
      <c r="S351" s="17">
        <f>'1 - Input'!$B$22*P351*R351</f>
        <v>0</v>
      </c>
      <c r="T351" s="17">
        <f t="shared" si="284"/>
        <v>0</v>
      </c>
      <c r="U351" s="17">
        <f t="shared" si="285"/>
        <v>4429.6361850547701</v>
      </c>
      <c r="V351" s="17">
        <f t="shared" si="286"/>
        <v>0</v>
      </c>
      <c r="W351" s="17">
        <f t="shared" si="287"/>
        <v>0</v>
      </c>
      <c r="X351" s="17">
        <f t="shared" si="288"/>
        <v>0</v>
      </c>
      <c r="Y351" s="17">
        <f>IF(MOD(A351,12)=0,W351*'1 - Input'!$B$23,0)</f>
        <v>0</v>
      </c>
      <c r="Z351" s="17">
        <f t="shared" si="289"/>
        <v>0</v>
      </c>
      <c r="AA351" s="17">
        <f>IF(MOD(A351,12)=0,X351*(1-'1 - Input'!$B$23),X351)</f>
        <v>0</v>
      </c>
      <c r="AB351" s="17">
        <f>IF('1 - Input'!$B$17=1,MIN(L351,D351)+T351,L351)</f>
        <v>0</v>
      </c>
      <c r="AC351" s="17">
        <f t="shared" si="323"/>
        <v>590482.93849429931</v>
      </c>
      <c r="AD351" s="17">
        <f t="shared" si="324"/>
        <v>101441.90180685223</v>
      </c>
      <c r="AE351" s="17">
        <f t="shared" si="325"/>
        <v>0</v>
      </c>
      <c r="AF351" s="17">
        <f t="shared" si="326"/>
        <v>174289.24056370757</v>
      </c>
      <c r="AG351" s="17">
        <f t="shared" si="327"/>
        <v>8123.5662772395826</v>
      </c>
      <c r="AH351" s="17">
        <f t="shared" si="328"/>
        <v>482735.86201900046</v>
      </c>
      <c r="AI351" s="15">
        <f t="shared" si="290"/>
        <v>1</v>
      </c>
      <c r="AK351" s="14">
        <v>308</v>
      </c>
      <c r="AL351" s="15">
        <f t="shared" si="291"/>
        <v>26</v>
      </c>
      <c r="AM351" s="16">
        <f>(1+INDEX('1 - Input'!$B$34:$E$63,AL351,'1 - Input'!$B$16))^(1/12)-1</f>
        <v>4.1219243192651689E-3</v>
      </c>
      <c r="AN351" s="17">
        <f>'1 - Input'!$B$7*(1+'1 - Input'!$B$12)^(AL351-1)</f>
        <v>4429.6361850547701</v>
      </c>
      <c r="AO351" s="17">
        <f t="shared" si="329"/>
        <v>0</v>
      </c>
      <c r="AP351" s="17">
        <f t="shared" si="330"/>
        <v>0</v>
      </c>
      <c r="AQ351" s="17">
        <f t="shared" si="292"/>
        <v>0</v>
      </c>
      <c r="AR351" s="17">
        <f>IF(AQ351&gt;0,'1 - Input'!$B$8/12*AQ351,0)</f>
        <v>0</v>
      </c>
      <c r="AS351" s="17">
        <f t="shared" si="293"/>
        <v>0</v>
      </c>
      <c r="AT351" s="17">
        <f t="shared" si="294"/>
        <v>0</v>
      </c>
      <c r="AU351" s="17">
        <f>'1 - Input'!$B$22*(AR351-AT351)</f>
        <v>0</v>
      </c>
      <c r="AV351" s="17">
        <f t="shared" si="295"/>
        <v>0</v>
      </c>
      <c r="AW351" s="17">
        <f t="shared" si="296"/>
        <v>0</v>
      </c>
      <c r="AX351" s="17">
        <f>IF('1 - Input'!$B$17=1,MAX(0,AV351-AN351),0)</f>
        <v>0</v>
      </c>
      <c r="AY351" s="17">
        <f>IF('1 - Input'!$B$17=1,MAX(0,AN351-AV351),0)</f>
        <v>4429.6361850547701</v>
      </c>
      <c r="AZ351" s="17">
        <f t="shared" si="297"/>
        <v>0</v>
      </c>
      <c r="BA351" s="17">
        <f>IF(AND(AY351&gt;0,AS351&gt;0),AY351/(1-'1 - Input'!$B$22*AZ351),0)</f>
        <v>0</v>
      </c>
      <c r="BB351" s="17">
        <f t="shared" si="298"/>
        <v>0</v>
      </c>
      <c r="BC351" s="17">
        <f>'1 - Input'!$B$22*AZ351*BB351</f>
        <v>0</v>
      </c>
      <c r="BD351" s="17">
        <f t="shared" si="299"/>
        <v>0</v>
      </c>
      <c r="BE351" s="17">
        <f t="shared" si="300"/>
        <v>4429.6361850547701</v>
      </c>
      <c r="BF351" s="17">
        <f t="shared" si="301"/>
        <v>0</v>
      </c>
      <c r="BG351" s="17">
        <f t="shared" si="302"/>
        <v>0</v>
      </c>
      <c r="BH351" s="17">
        <f t="shared" si="303"/>
        <v>0</v>
      </c>
      <c r="BI351" s="17">
        <f>IF(MOD(AK351,12)=0,BG351*'1 - Input'!$B$23,0)</f>
        <v>0</v>
      </c>
      <c r="BJ351" s="17">
        <f t="shared" si="304"/>
        <v>0</v>
      </c>
      <c r="BK351" s="17">
        <f>IF(MOD(AK351,12)=0,BH351*(1-'1 - Input'!$B$23),BH351)</f>
        <v>0</v>
      </c>
      <c r="BL351" s="17">
        <f>IF('1 - Input'!$B$17=1,MIN(AV351,AN351)+BD351,AV351)</f>
        <v>0</v>
      </c>
      <c r="BM351" s="17">
        <f t="shared" si="331"/>
        <v>590482.93849429931</v>
      </c>
      <c r="BN351" s="17">
        <f t="shared" si="332"/>
        <v>101441.90180685223</v>
      </c>
      <c r="BO351" s="17">
        <f t="shared" si="333"/>
        <v>0</v>
      </c>
      <c r="BP351" s="17">
        <f t="shared" si="334"/>
        <v>174289.24056370757</v>
      </c>
      <c r="BQ351" s="17">
        <f t="shared" si="335"/>
        <v>8123.5662772395826</v>
      </c>
      <c r="BR351" s="17">
        <f t="shared" si="336"/>
        <v>482735.86201900046</v>
      </c>
      <c r="BS351" s="15">
        <f t="shared" si="305"/>
        <v>1</v>
      </c>
      <c r="BU351" s="14">
        <v>308</v>
      </c>
      <c r="BV351" s="15">
        <f t="shared" si="306"/>
        <v>26</v>
      </c>
      <c r="BW351" s="16">
        <f>(1+INDEX('1 - Input'!$B$34:$E$63,BV351,'1 - Input'!$B$16))^(1/12)-1</f>
        <v>4.1219243192651689E-3</v>
      </c>
      <c r="BX351" s="17">
        <f>'1 - Input'!$B$7*(1+'1 - Input'!$B$12)^(BV351-1)</f>
        <v>4429.6361850547701</v>
      </c>
      <c r="BY351" s="17">
        <f t="shared" si="337"/>
        <v>0</v>
      </c>
      <c r="BZ351" s="17">
        <f t="shared" si="338"/>
        <v>0</v>
      </c>
      <c r="CA351" s="17">
        <f t="shared" si="307"/>
        <v>0</v>
      </c>
      <c r="CB351" s="17">
        <f>IF(CA351&gt;0,'1 - Input'!$B$8/12*CA351,0)</f>
        <v>0</v>
      </c>
      <c r="CC351" s="17">
        <f t="shared" si="308"/>
        <v>0</v>
      </c>
      <c r="CD351" s="17">
        <f t="shared" si="309"/>
        <v>0</v>
      </c>
      <c r="CE351" s="17">
        <f>'1 - Input'!$B$22*(CB351-CD351)</f>
        <v>0</v>
      </c>
      <c r="CF351" s="17">
        <f t="shared" si="310"/>
        <v>0</v>
      </c>
      <c r="CG351" s="17">
        <f t="shared" si="311"/>
        <v>0</v>
      </c>
      <c r="CH351" s="17">
        <f>IF('1 - Input'!$B$17=1,MAX(0,CF351-BX351),0)</f>
        <v>0</v>
      </c>
      <c r="CI351" s="17">
        <f>IF('1 - Input'!$B$17=1,MAX(0,BX351-CF351),0)</f>
        <v>4429.6361850547701</v>
      </c>
      <c r="CJ351" s="17">
        <f t="shared" si="312"/>
        <v>0</v>
      </c>
      <c r="CK351" s="17">
        <f>IF(AND(CI351&gt;0,CC351&gt;0),CI351/(1-'1 - Input'!$B$22*CJ351),0)</f>
        <v>0</v>
      </c>
      <c r="CL351" s="17">
        <f t="shared" si="313"/>
        <v>0</v>
      </c>
      <c r="CM351" s="17">
        <f>'1 - Input'!$B$22*CJ351*CL351</f>
        <v>0</v>
      </c>
      <c r="CN351" s="17">
        <f t="shared" si="314"/>
        <v>0</v>
      </c>
      <c r="CO351" s="17">
        <f t="shared" si="315"/>
        <v>4429.6361850547701</v>
      </c>
      <c r="CP351" s="17">
        <f t="shared" si="316"/>
        <v>0</v>
      </c>
      <c r="CQ351" s="17">
        <f t="shared" si="317"/>
        <v>0</v>
      </c>
      <c r="CR351" s="17">
        <f t="shared" si="318"/>
        <v>0</v>
      </c>
      <c r="CS351" s="17">
        <f>IF(MOD(BU351,12)=0,CQ351*'1 - Input'!$B$23,0)</f>
        <v>0</v>
      </c>
      <c r="CT351" s="17">
        <f t="shared" si="319"/>
        <v>0</v>
      </c>
      <c r="CU351" s="17">
        <f>IF(MOD(BU351,12)=0,CR351*(1-'1 - Input'!$B$23),CR351)</f>
        <v>0</v>
      </c>
      <c r="CV351" s="17">
        <f>IF('1 - Input'!$B$17=1,MIN(CF351,BX351)+CN351,CF351)</f>
        <v>0</v>
      </c>
      <c r="CW351" s="17">
        <f t="shared" si="339"/>
        <v>686605.50041273201</v>
      </c>
      <c r="CX351" s="17">
        <f t="shared" si="340"/>
        <v>6018.3402768167462</v>
      </c>
      <c r="CY351" s="17">
        <f t="shared" si="341"/>
        <v>66518.776160328038</v>
      </c>
      <c r="CZ351" s="17">
        <f t="shared" si="342"/>
        <v>0</v>
      </c>
      <c r="DA351" s="17">
        <f t="shared" si="343"/>
        <v>10954.114452440983</v>
      </c>
      <c r="DB351" s="17">
        <f t="shared" si="344"/>
        <v>386613.30010056868</v>
      </c>
      <c r="DC351" s="15">
        <f t="shared" si="320"/>
        <v>1</v>
      </c>
    </row>
    <row r="352" spans="1:107">
      <c r="A352" s="14">
        <v>309</v>
      </c>
      <c r="B352" s="15">
        <f t="shared" si="276"/>
        <v>26</v>
      </c>
      <c r="C352" s="16">
        <f>(1+INDEX('1 - Input'!$B$34:$E$63,B352,'1 - Input'!$B$16))^(1/12)-1</f>
        <v>4.1219243192651689E-3</v>
      </c>
      <c r="D352" s="17">
        <f>'1 - Input'!$B$7*(1+'1 - Input'!$B$12)^(B352-1)</f>
        <v>4429.6361850547701</v>
      </c>
      <c r="E352" s="17">
        <f t="shared" si="321"/>
        <v>0</v>
      </c>
      <c r="F352" s="17">
        <f t="shared" si="322"/>
        <v>0</v>
      </c>
      <c r="G352" s="17">
        <f t="shared" si="277"/>
        <v>0</v>
      </c>
      <c r="H352" s="17">
        <f>IF(G352&gt;0,'1 - Input'!$B$8/12*G352,0)</f>
        <v>0</v>
      </c>
      <c r="I352" s="17">
        <f t="shared" si="278"/>
        <v>0</v>
      </c>
      <c r="J352" s="17">
        <f t="shared" si="279"/>
        <v>0</v>
      </c>
      <c r="K352" s="17">
        <f>'1 - Input'!$B$22*(H352-J352)</f>
        <v>0</v>
      </c>
      <c r="L352" s="17">
        <f t="shared" si="280"/>
        <v>0</v>
      </c>
      <c r="M352" s="17">
        <f t="shared" si="281"/>
        <v>0</v>
      </c>
      <c r="N352" s="17">
        <f>IF('1 - Input'!$B$17=1,MAX(0,L352-D352),0)</f>
        <v>0</v>
      </c>
      <c r="O352" s="17">
        <f>IF('1 - Input'!$B$17=1,MAX(0,D352-L352),0)</f>
        <v>4429.6361850547701</v>
      </c>
      <c r="P352" s="17">
        <f t="shared" si="282"/>
        <v>0</v>
      </c>
      <c r="Q352" s="17">
        <f>IF(AND(O352&gt;0,I352&gt;0),O352/(1-'1 - Input'!$B$22*P352),0)</f>
        <v>0</v>
      </c>
      <c r="R352" s="17">
        <f t="shared" si="283"/>
        <v>0</v>
      </c>
      <c r="S352" s="17">
        <f>'1 - Input'!$B$22*P352*R352</f>
        <v>0</v>
      </c>
      <c r="T352" s="17">
        <f t="shared" si="284"/>
        <v>0</v>
      </c>
      <c r="U352" s="17">
        <f t="shared" si="285"/>
        <v>4429.6361850547701</v>
      </c>
      <c r="V352" s="17">
        <f t="shared" si="286"/>
        <v>0</v>
      </c>
      <c r="W352" s="17">
        <f t="shared" si="287"/>
        <v>0</v>
      </c>
      <c r="X352" s="17">
        <f t="shared" si="288"/>
        <v>0</v>
      </c>
      <c r="Y352" s="17">
        <f>IF(MOD(A352,12)=0,W352*'1 - Input'!$B$23,0)</f>
        <v>0</v>
      </c>
      <c r="Z352" s="17">
        <f t="shared" si="289"/>
        <v>0</v>
      </c>
      <c r="AA352" s="17">
        <f>IF(MOD(A352,12)=0,X352*(1-'1 - Input'!$B$23),X352)</f>
        <v>0</v>
      </c>
      <c r="AB352" s="17">
        <f>IF('1 - Input'!$B$17=1,MIN(L352,D352)+T352,L352)</f>
        <v>0</v>
      </c>
      <c r="AC352" s="17">
        <f t="shared" si="323"/>
        <v>590482.93849429931</v>
      </c>
      <c r="AD352" s="17">
        <f t="shared" si="324"/>
        <v>101441.90180685223</v>
      </c>
      <c r="AE352" s="17">
        <f t="shared" si="325"/>
        <v>0</v>
      </c>
      <c r="AF352" s="17">
        <f t="shared" si="326"/>
        <v>174289.24056370757</v>
      </c>
      <c r="AG352" s="17">
        <f t="shared" si="327"/>
        <v>8123.5662772395826</v>
      </c>
      <c r="AH352" s="17">
        <f t="shared" si="328"/>
        <v>487165.49820405524</v>
      </c>
      <c r="AI352" s="15">
        <f t="shared" si="290"/>
        <v>1</v>
      </c>
      <c r="AK352" s="14">
        <v>309</v>
      </c>
      <c r="AL352" s="15">
        <f t="shared" si="291"/>
        <v>26</v>
      </c>
      <c r="AM352" s="16">
        <f>(1+INDEX('1 - Input'!$B$34:$E$63,AL352,'1 - Input'!$B$16))^(1/12)-1</f>
        <v>4.1219243192651689E-3</v>
      </c>
      <c r="AN352" s="17">
        <f>'1 - Input'!$B$7*(1+'1 - Input'!$B$12)^(AL352-1)</f>
        <v>4429.6361850547701</v>
      </c>
      <c r="AO352" s="17">
        <f t="shared" si="329"/>
        <v>0</v>
      </c>
      <c r="AP352" s="17">
        <f t="shared" si="330"/>
        <v>0</v>
      </c>
      <c r="AQ352" s="17">
        <f t="shared" si="292"/>
        <v>0</v>
      </c>
      <c r="AR352" s="17">
        <f>IF(AQ352&gt;0,'1 - Input'!$B$8/12*AQ352,0)</f>
        <v>0</v>
      </c>
      <c r="AS352" s="17">
        <f t="shared" si="293"/>
        <v>0</v>
      </c>
      <c r="AT352" s="17">
        <f t="shared" si="294"/>
        <v>0</v>
      </c>
      <c r="AU352" s="17">
        <f>'1 - Input'!$B$22*(AR352-AT352)</f>
        <v>0</v>
      </c>
      <c r="AV352" s="17">
        <f t="shared" si="295"/>
        <v>0</v>
      </c>
      <c r="AW352" s="17">
        <f t="shared" si="296"/>
        <v>0</v>
      </c>
      <c r="AX352" s="17">
        <f>IF('1 - Input'!$B$17=1,MAX(0,AV352-AN352),0)</f>
        <v>0</v>
      </c>
      <c r="AY352" s="17">
        <f>IF('1 - Input'!$B$17=1,MAX(0,AN352-AV352),0)</f>
        <v>4429.6361850547701</v>
      </c>
      <c r="AZ352" s="17">
        <f t="shared" si="297"/>
        <v>0</v>
      </c>
      <c r="BA352" s="17">
        <f>IF(AND(AY352&gt;0,AS352&gt;0),AY352/(1-'1 - Input'!$B$22*AZ352),0)</f>
        <v>0</v>
      </c>
      <c r="BB352" s="17">
        <f t="shared" si="298"/>
        <v>0</v>
      </c>
      <c r="BC352" s="17">
        <f>'1 - Input'!$B$22*AZ352*BB352</f>
        <v>0</v>
      </c>
      <c r="BD352" s="17">
        <f t="shared" si="299"/>
        <v>0</v>
      </c>
      <c r="BE352" s="17">
        <f t="shared" si="300"/>
        <v>4429.6361850547701</v>
      </c>
      <c r="BF352" s="17">
        <f t="shared" si="301"/>
        <v>0</v>
      </c>
      <c r="BG352" s="17">
        <f t="shared" si="302"/>
        <v>0</v>
      </c>
      <c r="BH352" s="17">
        <f t="shared" si="303"/>
        <v>0</v>
      </c>
      <c r="BI352" s="17">
        <f>IF(MOD(AK352,12)=0,BG352*'1 - Input'!$B$23,0)</f>
        <v>0</v>
      </c>
      <c r="BJ352" s="17">
        <f t="shared" si="304"/>
        <v>0</v>
      </c>
      <c r="BK352" s="17">
        <f>IF(MOD(AK352,12)=0,BH352*(1-'1 - Input'!$B$23),BH352)</f>
        <v>0</v>
      </c>
      <c r="BL352" s="17">
        <f>IF('1 - Input'!$B$17=1,MIN(AV352,AN352)+BD352,AV352)</f>
        <v>0</v>
      </c>
      <c r="BM352" s="17">
        <f t="shared" si="331"/>
        <v>590482.93849429931</v>
      </c>
      <c r="BN352" s="17">
        <f t="shared" si="332"/>
        <v>101441.90180685223</v>
      </c>
      <c r="BO352" s="17">
        <f t="shared" si="333"/>
        <v>0</v>
      </c>
      <c r="BP352" s="17">
        <f t="shared" si="334"/>
        <v>174289.24056370757</v>
      </c>
      <c r="BQ352" s="17">
        <f t="shared" si="335"/>
        <v>8123.5662772395826</v>
      </c>
      <c r="BR352" s="17">
        <f t="shared" si="336"/>
        <v>487165.49820405524</v>
      </c>
      <c r="BS352" s="15">
        <f t="shared" si="305"/>
        <v>1</v>
      </c>
      <c r="BU352" s="14">
        <v>309</v>
      </c>
      <c r="BV352" s="15">
        <f t="shared" si="306"/>
        <v>26</v>
      </c>
      <c r="BW352" s="16">
        <f>(1+INDEX('1 - Input'!$B$34:$E$63,BV352,'1 - Input'!$B$16))^(1/12)-1</f>
        <v>4.1219243192651689E-3</v>
      </c>
      <c r="BX352" s="17">
        <f>'1 - Input'!$B$7*(1+'1 - Input'!$B$12)^(BV352-1)</f>
        <v>4429.6361850547701</v>
      </c>
      <c r="BY352" s="17">
        <f t="shared" si="337"/>
        <v>0</v>
      </c>
      <c r="BZ352" s="17">
        <f t="shared" si="338"/>
        <v>0</v>
      </c>
      <c r="CA352" s="17">
        <f t="shared" si="307"/>
        <v>0</v>
      </c>
      <c r="CB352" s="17">
        <f>IF(CA352&gt;0,'1 - Input'!$B$8/12*CA352,0)</f>
        <v>0</v>
      </c>
      <c r="CC352" s="17">
        <f t="shared" si="308"/>
        <v>0</v>
      </c>
      <c r="CD352" s="17">
        <f t="shared" si="309"/>
        <v>0</v>
      </c>
      <c r="CE352" s="17">
        <f>'1 - Input'!$B$22*(CB352-CD352)</f>
        <v>0</v>
      </c>
      <c r="CF352" s="17">
        <f t="shared" si="310"/>
        <v>0</v>
      </c>
      <c r="CG352" s="17">
        <f t="shared" si="311"/>
        <v>0</v>
      </c>
      <c r="CH352" s="17">
        <f>IF('1 - Input'!$B$17=1,MAX(0,CF352-BX352),0)</f>
        <v>0</v>
      </c>
      <c r="CI352" s="17">
        <f>IF('1 - Input'!$B$17=1,MAX(0,BX352-CF352),0)</f>
        <v>4429.6361850547701</v>
      </c>
      <c r="CJ352" s="17">
        <f t="shared" si="312"/>
        <v>0</v>
      </c>
      <c r="CK352" s="17">
        <f>IF(AND(CI352&gt;0,CC352&gt;0),CI352/(1-'1 - Input'!$B$22*CJ352),0)</f>
        <v>0</v>
      </c>
      <c r="CL352" s="17">
        <f t="shared" si="313"/>
        <v>0</v>
      </c>
      <c r="CM352" s="17">
        <f>'1 - Input'!$B$22*CJ352*CL352</f>
        <v>0</v>
      </c>
      <c r="CN352" s="17">
        <f t="shared" si="314"/>
        <v>0</v>
      </c>
      <c r="CO352" s="17">
        <f t="shared" si="315"/>
        <v>4429.6361850547701</v>
      </c>
      <c r="CP352" s="17">
        <f t="shared" si="316"/>
        <v>0</v>
      </c>
      <c r="CQ352" s="17">
        <f t="shared" si="317"/>
        <v>0</v>
      </c>
      <c r="CR352" s="17">
        <f t="shared" si="318"/>
        <v>0</v>
      </c>
      <c r="CS352" s="17">
        <f>IF(MOD(BU352,12)=0,CQ352*'1 - Input'!$B$23,0)</f>
        <v>0</v>
      </c>
      <c r="CT352" s="17">
        <f t="shared" si="319"/>
        <v>0</v>
      </c>
      <c r="CU352" s="17">
        <f>IF(MOD(BU352,12)=0,CR352*(1-'1 - Input'!$B$23),CR352)</f>
        <v>0</v>
      </c>
      <c r="CV352" s="17">
        <f>IF('1 - Input'!$B$17=1,MIN(CF352,BX352)+CN352,CF352)</f>
        <v>0</v>
      </c>
      <c r="CW352" s="17">
        <f t="shared" si="339"/>
        <v>686605.50041273201</v>
      </c>
      <c r="CX352" s="17">
        <f t="shared" si="340"/>
        <v>6018.3402768167462</v>
      </c>
      <c r="CY352" s="17">
        <f t="shared" si="341"/>
        <v>66518.776160328038</v>
      </c>
      <c r="CZ352" s="17">
        <f t="shared" si="342"/>
        <v>0</v>
      </c>
      <c r="DA352" s="17">
        <f t="shared" si="343"/>
        <v>10954.114452440983</v>
      </c>
      <c r="DB352" s="17">
        <f t="shared" si="344"/>
        <v>391042.93628562347</v>
      </c>
      <c r="DC352" s="15">
        <f t="shared" si="320"/>
        <v>1</v>
      </c>
    </row>
    <row r="353" spans="1:107">
      <c r="A353" s="14">
        <v>310</v>
      </c>
      <c r="B353" s="15">
        <f t="shared" si="276"/>
        <v>26</v>
      </c>
      <c r="C353" s="16">
        <f>(1+INDEX('1 - Input'!$B$34:$E$63,B353,'1 - Input'!$B$16))^(1/12)-1</f>
        <v>4.1219243192651689E-3</v>
      </c>
      <c r="D353" s="17">
        <f>'1 - Input'!$B$7*(1+'1 - Input'!$B$12)^(B353-1)</f>
        <v>4429.6361850547701</v>
      </c>
      <c r="E353" s="17">
        <f t="shared" si="321"/>
        <v>0</v>
      </c>
      <c r="F353" s="17">
        <f t="shared" si="322"/>
        <v>0</v>
      </c>
      <c r="G353" s="17">
        <f t="shared" si="277"/>
        <v>0</v>
      </c>
      <c r="H353" s="17">
        <f>IF(G353&gt;0,'1 - Input'!$B$8/12*G353,0)</f>
        <v>0</v>
      </c>
      <c r="I353" s="17">
        <f t="shared" si="278"/>
        <v>0</v>
      </c>
      <c r="J353" s="17">
        <f t="shared" si="279"/>
        <v>0</v>
      </c>
      <c r="K353" s="17">
        <f>'1 - Input'!$B$22*(H353-J353)</f>
        <v>0</v>
      </c>
      <c r="L353" s="17">
        <f t="shared" si="280"/>
        <v>0</v>
      </c>
      <c r="M353" s="17">
        <f t="shared" si="281"/>
        <v>0</v>
      </c>
      <c r="N353" s="17">
        <f>IF('1 - Input'!$B$17=1,MAX(0,L353-D353),0)</f>
        <v>0</v>
      </c>
      <c r="O353" s="17">
        <f>IF('1 - Input'!$B$17=1,MAX(0,D353-L353),0)</f>
        <v>4429.6361850547701</v>
      </c>
      <c r="P353" s="17">
        <f t="shared" si="282"/>
        <v>0</v>
      </c>
      <c r="Q353" s="17">
        <f>IF(AND(O353&gt;0,I353&gt;0),O353/(1-'1 - Input'!$B$22*P353),0)</f>
        <v>0</v>
      </c>
      <c r="R353" s="17">
        <f t="shared" si="283"/>
        <v>0</v>
      </c>
      <c r="S353" s="17">
        <f>'1 - Input'!$B$22*P353*R353</f>
        <v>0</v>
      </c>
      <c r="T353" s="17">
        <f t="shared" si="284"/>
        <v>0</v>
      </c>
      <c r="U353" s="17">
        <f t="shared" si="285"/>
        <v>4429.6361850547701</v>
      </c>
      <c r="V353" s="17">
        <f t="shared" si="286"/>
        <v>0</v>
      </c>
      <c r="W353" s="17">
        <f t="shared" si="287"/>
        <v>0</v>
      </c>
      <c r="X353" s="17">
        <f t="shared" si="288"/>
        <v>0</v>
      </c>
      <c r="Y353" s="17">
        <f>IF(MOD(A353,12)=0,W353*'1 - Input'!$B$23,0)</f>
        <v>0</v>
      </c>
      <c r="Z353" s="17">
        <f t="shared" si="289"/>
        <v>0</v>
      </c>
      <c r="AA353" s="17">
        <f>IF(MOD(A353,12)=0,X353*(1-'1 - Input'!$B$23),X353)</f>
        <v>0</v>
      </c>
      <c r="AB353" s="17">
        <f>IF('1 - Input'!$B$17=1,MIN(L353,D353)+T353,L353)</f>
        <v>0</v>
      </c>
      <c r="AC353" s="17">
        <f t="shared" si="323"/>
        <v>590482.93849429931</v>
      </c>
      <c r="AD353" s="17">
        <f t="shared" si="324"/>
        <v>101441.90180685223</v>
      </c>
      <c r="AE353" s="17">
        <f t="shared" si="325"/>
        <v>0</v>
      </c>
      <c r="AF353" s="17">
        <f t="shared" si="326"/>
        <v>174289.24056370757</v>
      </c>
      <c r="AG353" s="17">
        <f t="shared" si="327"/>
        <v>8123.5662772395826</v>
      </c>
      <c r="AH353" s="17">
        <f t="shared" si="328"/>
        <v>491595.13438911003</v>
      </c>
      <c r="AI353" s="15">
        <f t="shared" si="290"/>
        <v>1</v>
      </c>
      <c r="AK353" s="14">
        <v>310</v>
      </c>
      <c r="AL353" s="15">
        <f t="shared" si="291"/>
        <v>26</v>
      </c>
      <c r="AM353" s="16">
        <f>(1+INDEX('1 - Input'!$B$34:$E$63,AL353,'1 - Input'!$B$16))^(1/12)-1</f>
        <v>4.1219243192651689E-3</v>
      </c>
      <c r="AN353" s="17">
        <f>'1 - Input'!$B$7*(1+'1 - Input'!$B$12)^(AL353-1)</f>
        <v>4429.6361850547701</v>
      </c>
      <c r="AO353" s="17">
        <f t="shared" si="329"/>
        <v>0</v>
      </c>
      <c r="AP353" s="17">
        <f t="shared" si="330"/>
        <v>0</v>
      </c>
      <c r="AQ353" s="17">
        <f t="shared" si="292"/>
        <v>0</v>
      </c>
      <c r="AR353" s="17">
        <f>IF(AQ353&gt;0,'1 - Input'!$B$8/12*AQ353,0)</f>
        <v>0</v>
      </c>
      <c r="AS353" s="17">
        <f t="shared" si="293"/>
        <v>0</v>
      </c>
      <c r="AT353" s="17">
        <f t="shared" si="294"/>
        <v>0</v>
      </c>
      <c r="AU353" s="17">
        <f>'1 - Input'!$B$22*(AR353-AT353)</f>
        <v>0</v>
      </c>
      <c r="AV353" s="17">
        <f t="shared" si="295"/>
        <v>0</v>
      </c>
      <c r="AW353" s="17">
        <f t="shared" si="296"/>
        <v>0</v>
      </c>
      <c r="AX353" s="17">
        <f>IF('1 - Input'!$B$17=1,MAX(0,AV353-AN353),0)</f>
        <v>0</v>
      </c>
      <c r="AY353" s="17">
        <f>IF('1 - Input'!$B$17=1,MAX(0,AN353-AV353),0)</f>
        <v>4429.6361850547701</v>
      </c>
      <c r="AZ353" s="17">
        <f t="shared" si="297"/>
        <v>0</v>
      </c>
      <c r="BA353" s="17">
        <f>IF(AND(AY353&gt;0,AS353&gt;0),AY353/(1-'1 - Input'!$B$22*AZ353),0)</f>
        <v>0</v>
      </c>
      <c r="BB353" s="17">
        <f t="shared" si="298"/>
        <v>0</v>
      </c>
      <c r="BC353" s="17">
        <f>'1 - Input'!$B$22*AZ353*BB353</f>
        <v>0</v>
      </c>
      <c r="BD353" s="17">
        <f t="shared" si="299"/>
        <v>0</v>
      </c>
      <c r="BE353" s="17">
        <f t="shared" si="300"/>
        <v>4429.6361850547701</v>
      </c>
      <c r="BF353" s="17">
        <f t="shared" si="301"/>
        <v>0</v>
      </c>
      <c r="BG353" s="17">
        <f t="shared" si="302"/>
        <v>0</v>
      </c>
      <c r="BH353" s="17">
        <f t="shared" si="303"/>
        <v>0</v>
      </c>
      <c r="BI353" s="17">
        <f>IF(MOD(AK353,12)=0,BG353*'1 - Input'!$B$23,0)</f>
        <v>0</v>
      </c>
      <c r="BJ353" s="17">
        <f t="shared" si="304"/>
        <v>0</v>
      </c>
      <c r="BK353" s="17">
        <f>IF(MOD(AK353,12)=0,BH353*(1-'1 - Input'!$B$23),BH353)</f>
        <v>0</v>
      </c>
      <c r="BL353" s="17">
        <f>IF('1 - Input'!$B$17=1,MIN(AV353,AN353)+BD353,AV353)</f>
        <v>0</v>
      </c>
      <c r="BM353" s="17">
        <f t="shared" si="331"/>
        <v>590482.93849429931</v>
      </c>
      <c r="BN353" s="17">
        <f t="shared" si="332"/>
        <v>101441.90180685223</v>
      </c>
      <c r="BO353" s="17">
        <f t="shared" si="333"/>
        <v>0</v>
      </c>
      <c r="BP353" s="17">
        <f t="shared" si="334"/>
        <v>174289.24056370757</v>
      </c>
      <c r="BQ353" s="17">
        <f t="shared" si="335"/>
        <v>8123.5662772395826</v>
      </c>
      <c r="BR353" s="17">
        <f t="shared" si="336"/>
        <v>491595.13438911003</v>
      </c>
      <c r="BS353" s="15">
        <f t="shared" si="305"/>
        <v>1</v>
      </c>
      <c r="BU353" s="14">
        <v>310</v>
      </c>
      <c r="BV353" s="15">
        <f t="shared" si="306"/>
        <v>26</v>
      </c>
      <c r="BW353" s="16">
        <f>(1+INDEX('1 - Input'!$B$34:$E$63,BV353,'1 - Input'!$B$16))^(1/12)-1</f>
        <v>4.1219243192651689E-3</v>
      </c>
      <c r="BX353" s="17">
        <f>'1 - Input'!$B$7*(1+'1 - Input'!$B$12)^(BV353-1)</f>
        <v>4429.6361850547701</v>
      </c>
      <c r="BY353" s="17">
        <f t="shared" si="337"/>
        <v>0</v>
      </c>
      <c r="BZ353" s="17">
        <f t="shared" si="338"/>
        <v>0</v>
      </c>
      <c r="CA353" s="17">
        <f t="shared" si="307"/>
        <v>0</v>
      </c>
      <c r="CB353" s="17">
        <f>IF(CA353&gt;0,'1 - Input'!$B$8/12*CA353,0)</f>
        <v>0</v>
      </c>
      <c r="CC353" s="17">
        <f t="shared" si="308"/>
        <v>0</v>
      </c>
      <c r="CD353" s="17">
        <f t="shared" si="309"/>
        <v>0</v>
      </c>
      <c r="CE353" s="17">
        <f>'1 - Input'!$B$22*(CB353-CD353)</f>
        <v>0</v>
      </c>
      <c r="CF353" s="17">
        <f t="shared" si="310"/>
        <v>0</v>
      </c>
      <c r="CG353" s="17">
        <f t="shared" si="311"/>
        <v>0</v>
      </c>
      <c r="CH353" s="17">
        <f>IF('1 - Input'!$B$17=1,MAX(0,CF353-BX353),0)</f>
        <v>0</v>
      </c>
      <c r="CI353" s="17">
        <f>IF('1 - Input'!$B$17=1,MAX(0,BX353-CF353),0)</f>
        <v>4429.6361850547701</v>
      </c>
      <c r="CJ353" s="17">
        <f t="shared" si="312"/>
        <v>0</v>
      </c>
      <c r="CK353" s="17">
        <f>IF(AND(CI353&gt;0,CC353&gt;0),CI353/(1-'1 - Input'!$B$22*CJ353),0)</f>
        <v>0</v>
      </c>
      <c r="CL353" s="17">
        <f t="shared" si="313"/>
        <v>0</v>
      </c>
      <c r="CM353" s="17">
        <f>'1 - Input'!$B$22*CJ353*CL353</f>
        <v>0</v>
      </c>
      <c r="CN353" s="17">
        <f t="shared" si="314"/>
        <v>0</v>
      </c>
      <c r="CO353" s="17">
        <f t="shared" si="315"/>
        <v>4429.6361850547701</v>
      </c>
      <c r="CP353" s="17">
        <f t="shared" si="316"/>
        <v>0</v>
      </c>
      <c r="CQ353" s="17">
        <f t="shared" si="317"/>
        <v>0</v>
      </c>
      <c r="CR353" s="17">
        <f t="shared" si="318"/>
        <v>0</v>
      </c>
      <c r="CS353" s="17">
        <f>IF(MOD(BU353,12)=0,CQ353*'1 - Input'!$B$23,0)</f>
        <v>0</v>
      </c>
      <c r="CT353" s="17">
        <f t="shared" si="319"/>
        <v>0</v>
      </c>
      <c r="CU353" s="17">
        <f>IF(MOD(BU353,12)=0,CR353*(1-'1 - Input'!$B$23),CR353)</f>
        <v>0</v>
      </c>
      <c r="CV353" s="17">
        <f>IF('1 - Input'!$B$17=1,MIN(CF353,BX353)+CN353,CF353)</f>
        <v>0</v>
      </c>
      <c r="CW353" s="17">
        <f t="shared" si="339"/>
        <v>686605.50041273201</v>
      </c>
      <c r="CX353" s="17">
        <f t="shared" si="340"/>
        <v>6018.3402768167462</v>
      </c>
      <c r="CY353" s="17">
        <f t="shared" si="341"/>
        <v>66518.776160328038</v>
      </c>
      <c r="CZ353" s="17">
        <f t="shared" si="342"/>
        <v>0</v>
      </c>
      <c r="DA353" s="17">
        <f t="shared" si="343"/>
        <v>10954.114452440983</v>
      </c>
      <c r="DB353" s="17">
        <f t="shared" si="344"/>
        <v>395472.57247067825</v>
      </c>
      <c r="DC353" s="15">
        <f t="shared" si="320"/>
        <v>1</v>
      </c>
    </row>
    <row r="354" spans="1:107">
      <c r="A354" s="14">
        <v>311</v>
      </c>
      <c r="B354" s="15">
        <f t="shared" si="276"/>
        <v>26</v>
      </c>
      <c r="C354" s="16">
        <f>(1+INDEX('1 - Input'!$B$34:$E$63,B354,'1 - Input'!$B$16))^(1/12)-1</f>
        <v>4.1219243192651689E-3</v>
      </c>
      <c r="D354" s="17">
        <f>'1 - Input'!$B$7*(1+'1 - Input'!$B$12)^(B354-1)</f>
        <v>4429.6361850547701</v>
      </c>
      <c r="E354" s="17">
        <f t="shared" si="321"/>
        <v>0</v>
      </c>
      <c r="F354" s="17">
        <f t="shared" si="322"/>
        <v>0</v>
      </c>
      <c r="G354" s="17">
        <f t="shared" si="277"/>
        <v>0</v>
      </c>
      <c r="H354" s="17">
        <f>IF(G354&gt;0,'1 - Input'!$B$8/12*G354,0)</f>
        <v>0</v>
      </c>
      <c r="I354" s="17">
        <f t="shared" si="278"/>
        <v>0</v>
      </c>
      <c r="J354" s="17">
        <f t="shared" si="279"/>
        <v>0</v>
      </c>
      <c r="K354" s="17">
        <f>'1 - Input'!$B$22*(H354-J354)</f>
        <v>0</v>
      </c>
      <c r="L354" s="17">
        <f t="shared" si="280"/>
        <v>0</v>
      </c>
      <c r="M354" s="17">
        <f t="shared" si="281"/>
        <v>0</v>
      </c>
      <c r="N354" s="17">
        <f>IF('1 - Input'!$B$17=1,MAX(0,L354-D354),0)</f>
        <v>0</v>
      </c>
      <c r="O354" s="17">
        <f>IF('1 - Input'!$B$17=1,MAX(0,D354-L354),0)</f>
        <v>4429.6361850547701</v>
      </c>
      <c r="P354" s="17">
        <f t="shared" si="282"/>
        <v>0</v>
      </c>
      <c r="Q354" s="17">
        <f>IF(AND(O354&gt;0,I354&gt;0),O354/(1-'1 - Input'!$B$22*P354),0)</f>
        <v>0</v>
      </c>
      <c r="R354" s="17">
        <f t="shared" si="283"/>
        <v>0</v>
      </c>
      <c r="S354" s="17">
        <f>'1 - Input'!$B$22*P354*R354</f>
        <v>0</v>
      </c>
      <c r="T354" s="17">
        <f t="shared" si="284"/>
        <v>0</v>
      </c>
      <c r="U354" s="17">
        <f t="shared" si="285"/>
        <v>4429.6361850547701</v>
      </c>
      <c r="V354" s="17">
        <f t="shared" si="286"/>
        <v>0</v>
      </c>
      <c r="W354" s="17">
        <f t="shared" si="287"/>
        <v>0</v>
      </c>
      <c r="X354" s="17">
        <f t="shared" si="288"/>
        <v>0</v>
      </c>
      <c r="Y354" s="17">
        <f>IF(MOD(A354,12)=0,W354*'1 - Input'!$B$23,0)</f>
        <v>0</v>
      </c>
      <c r="Z354" s="17">
        <f t="shared" si="289"/>
        <v>0</v>
      </c>
      <c r="AA354" s="17">
        <f>IF(MOD(A354,12)=0,X354*(1-'1 - Input'!$B$23),X354)</f>
        <v>0</v>
      </c>
      <c r="AB354" s="17">
        <f>IF('1 - Input'!$B$17=1,MIN(L354,D354)+T354,L354)</f>
        <v>0</v>
      </c>
      <c r="AC354" s="17">
        <f t="shared" si="323"/>
        <v>590482.93849429931</v>
      </c>
      <c r="AD354" s="17">
        <f t="shared" si="324"/>
        <v>101441.90180685223</v>
      </c>
      <c r="AE354" s="17">
        <f t="shared" si="325"/>
        <v>0</v>
      </c>
      <c r="AF354" s="17">
        <f t="shared" si="326"/>
        <v>174289.24056370757</v>
      </c>
      <c r="AG354" s="17">
        <f t="shared" si="327"/>
        <v>8123.5662772395826</v>
      </c>
      <c r="AH354" s="17">
        <f t="shared" si="328"/>
        <v>496024.77057416481</v>
      </c>
      <c r="AI354" s="15">
        <f t="shared" si="290"/>
        <v>1</v>
      </c>
      <c r="AK354" s="14">
        <v>311</v>
      </c>
      <c r="AL354" s="15">
        <f t="shared" si="291"/>
        <v>26</v>
      </c>
      <c r="AM354" s="16">
        <f>(1+INDEX('1 - Input'!$B$34:$E$63,AL354,'1 - Input'!$B$16))^(1/12)-1</f>
        <v>4.1219243192651689E-3</v>
      </c>
      <c r="AN354" s="17">
        <f>'1 - Input'!$B$7*(1+'1 - Input'!$B$12)^(AL354-1)</f>
        <v>4429.6361850547701</v>
      </c>
      <c r="AO354" s="17">
        <f t="shared" si="329"/>
        <v>0</v>
      </c>
      <c r="AP354" s="17">
        <f t="shared" si="330"/>
        <v>0</v>
      </c>
      <c r="AQ354" s="17">
        <f t="shared" si="292"/>
        <v>0</v>
      </c>
      <c r="AR354" s="17">
        <f>IF(AQ354&gt;0,'1 - Input'!$B$8/12*AQ354,0)</f>
        <v>0</v>
      </c>
      <c r="AS354" s="17">
        <f t="shared" si="293"/>
        <v>0</v>
      </c>
      <c r="AT354" s="17">
        <f t="shared" si="294"/>
        <v>0</v>
      </c>
      <c r="AU354" s="17">
        <f>'1 - Input'!$B$22*(AR354-AT354)</f>
        <v>0</v>
      </c>
      <c r="AV354" s="17">
        <f t="shared" si="295"/>
        <v>0</v>
      </c>
      <c r="AW354" s="17">
        <f t="shared" si="296"/>
        <v>0</v>
      </c>
      <c r="AX354" s="17">
        <f>IF('1 - Input'!$B$17=1,MAX(0,AV354-AN354),0)</f>
        <v>0</v>
      </c>
      <c r="AY354" s="17">
        <f>IF('1 - Input'!$B$17=1,MAX(0,AN354-AV354),0)</f>
        <v>4429.6361850547701</v>
      </c>
      <c r="AZ354" s="17">
        <f t="shared" si="297"/>
        <v>0</v>
      </c>
      <c r="BA354" s="17">
        <f>IF(AND(AY354&gt;0,AS354&gt;0),AY354/(1-'1 - Input'!$B$22*AZ354),0)</f>
        <v>0</v>
      </c>
      <c r="BB354" s="17">
        <f t="shared" si="298"/>
        <v>0</v>
      </c>
      <c r="BC354" s="17">
        <f>'1 - Input'!$B$22*AZ354*BB354</f>
        <v>0</v>
      </c>
      <c r="BD354" s="17">
        <f t="shared" si="299"/>
        <v>0</v>
      </c>
      <c r="BE354" s="17">
        <f t="shared" si="300"/>
        <v>4429.6361850547701</v>
      </c>
      <c r="BF354" s="17">
        <f t="shared" si="301"/>
        <v>0</v>
      </c>
      <c r="BG354" s="17">
        <f t="shared" si="302"/>
        <v>0</v>
      </c>
      <c r="BH354" s="17">
        <f t="shared" si="303"/>
        <v>0</v>
      </c>
      <c r="BI354" s="17">
        <f>IF(MOD(AK354,12)=0,BG354*'1 - Input'!$B$23,0)</f>
        <v>0</v>
      </c>
      <c r="BJ354" s="17">
        <f t="shared" si="304"/>
        <v>0</v>
      </c>
      <c r="BK354" s="17">
        <f>IF(MOD(AK354,12)=0,BH354*(1-'1 - Input'!$B$23),BH354)</f>
        <v>0</v>
      </c>
      <c r="BL354" s="17">
        <f>IF('1 - Input'!$B$17=1,MIN(AV354,AN354)+BD354,AV354)</f>
        <v>0</v>
      </c>
      <c r="BM354" s="17">
        <f t="shared" si="331"/>
        <v>590482.93849429931</v>
      </c>
      <c r="BN354" s="17">
        <f t="shared" si="332"/>
        <v>101441.90180685223</v>
      </c>
      <c r="BO354" s="17">
        <f t="shared" si="333"/>
        <v>0</v>
      </c>
      <c r="BP354" s="17">
        <f t="shared" si="334"/>
        <v>174289.24056370757</v>
      </c>
      <c r="BQ354" s="17">
        <f t="shared" si="335"/>
        <v>8123.5662772395826</v>
      </c>
      <c r="BR354" s="17">
        <f t="shared" si="336"/>
        <v>496024.77057416481</v>
      </c>
      <c r="BS354" s="15">
        <f t="shared" si="305"/>
        <v>1</v>
      </c>
      <c r="BU354" s="14">
        <v>311</v>
      </c>
      <c r="BV354" s="15">
        <f t="shared" si="306"/>
        <v>26</v>
      </c>
      <c r="BW354" s="16">
        <f>(1+INDEX('1 - Input'!$B$34:$E$63,BV354,'1 - Input'!$B$16))^(1/12)-1</f>
        <v>4.1219243192651689E-3</v>
      </c>
      <c r="BX354" s="17">
        <f>'1 - Input'!$B$7*(1+'1 - Input'!$B$12)^(BV354-1)</f>
        <v>4429.6361850547701</v>
      </c>
      <c r="BY354" s="17">
        <f t="shared" si="337"/>
        <v>0</v>
      </c>
      <c r="BZ354" s="17">
        <f t="shared" si="338"/>
        <v>0</v>
      </c>
      <c r="CA354" s="17">
        <f t="shared" si="307"/>
        <v>0</v>
      </c>
      <c r="CB354" s="17">
        <f>IF(CA354&gt;0,'1 - Input'!$B$8/12*CA354,0)</f>
        <v>0</v>
      </c>
      <c r="CC354" s="17">
        <f t="shared" si="308"/>
        <v>0</v>
      </c>
      <c r="CD354" s="17">
        <f t="shared" si="309"/>
        <v>0</v>
      </c>
      <c r="CE354" s="17">
        <f>'1 - Input'!$B$22*(CB354-CD354)</f>
        <v>0</v>
      </c>
      <c r="CF354" s="17">
        <f t="shared" si="310"/>
        <v>0</v>
      </c>
      <c r="CG354" s="17">
        <f t="shared" si="311"/>
        <v>0</v>
      </c>
      <c r="CH354" s="17">
        <f>IF('1 - Input'!$B$17=1,MAX(0,CF354-BX354),0)</f>
        <v>0</v>
      </c>
      <c r="CI354" s="17">
        <f>IF('1 - Input'!$B$17=1,MAX(0,BX354-CF354),0)</f>
        <v>4429.6361850547701</v>
      </c>
      <c r="CJ354" s="17">
        <f t="shared" si="312"/>
        <v>0</v>
      </c>
      <c r="CK354" s="17">
        <f>IF(AND(CI354&gt;0,CC354&gt;0),CI354/(1-'1 - Input'!$B$22*CJ354),0)</f>
        <v>0</v>
      </c>
      <c r="CL354" s="17">
        <f t="shared" si="313"/>
        <v>0</v>
      </c>
      <c r="CM354" s="17">
        <f>'1 - Input'!$B$22*CJ354*CL354</f>
        <v>0</v>
      </c>
      <c r="CN354" s="17">
        <f t="shared" si="314"/>
        <v>0</v>
      </c>
      <c r="CO354" s="17">
        <f t="shared" si="315"/>
        <v>4429.6361850547701</v>
      </c>
      <c r="CP354" s="17">
        <f t="shared" si="316"/>
        <v>0</v>
      </c>
      <c r="CQ354" s="17">
        <f t="shared" si="317"/>
        <v>0</v>
      </c>
      <c r="CR354" s="17">
        <f t="shared" si="318"/>
        <v>0</v>
      </c>
      <c r="CS354" s="17">
        <f>IF(MOD(BU354,12)=0,CQ354*'1 - Input'!$B$23,0)</f>
        <v>0</v>
      </c>
      <c r="CT354" s="17">
        <f t="shared" si="319"/>
        <v>0</v>
      </c>
      <c r="CU354" s="17">
        <f>IF(MOD(BU354,12)=0,CR354*(1-'1 - Input'!$B$23),CR354)</f>
        <v>0</v>
      </c>
      <c r="CV354" s="17">
        <f>IF('1 - Input'!$B$17=1,MIN(CF354,BX354)+CN354,CF354)</f>
        <v>0</v>
      </c>
      <c r="CW354" s="17">
        <f t="shared" si="339"/>
        <v>686605.50041273201</v>
      </c>
      <c r="CX354" s="17">
        <f t="shared" si="340"/>
        <v>6018.3402768167462</v>
      </c>
      <c r="CY354" s="17">
        <f t="shared" si="341"/>
        <v>66518.776160328038</v>
      </c>
      <c r="CZ354" s="17">
        <f t="shared" si="342"/>
        <v>0</v>
      </c>
      <c r="DA354" s="17">
        <f t="shared" si="343"/>
        <v>10954.114452440983</v>
      </c>
      <c r="DB354" s="17">
        <f t="shared" si="344"/>
        <v>399902.20865573303</v>
      </c>
      <c r="DC354" s="15">
        <f t="shared" si="320"/>
        <v>1</v>
      </c>
    </row>
    <row r="355" spans="1:107">
      <c r="A355" s="14">
        <v>312</v>
      </c>
      <c r="B355" s="15">
        <f t="shared" si="276"/>
        <v>26</v>
      </c>
      <c r="C355" s="16">
        <f>(1+INDEX('1 - Input'!$B$34:$E$63,B355,'1 - Input'!$B$16))^(1/12)-1</f>
        <v>4.1219243192651689E-3</v>
      </c>
      <c r="D355" s="17">
        <f>'1 - Input'!$B$7*(1+'1 - Input'!$B$12)^(B355-1)</f>
        <v>4429.6361850547701</v>
      </c>
      <c r="E355" s="17">
        <f t="shared" si="321"/>
        <v>0</v>
      </c>
      <c r="F355" s="17">
        <f t="shared" si="322"/>
        <v>0</v>
      </c>
      <c r="G355" s="17">
        <f t="shared" si="277"/>
        <v>0</v>
      </c>
      <c r="H355" s="17">
        <f>IF(G355&gt;0,'1 - Input'!$B$8/12*G355,0)</f>
        <v>0</v>
      </c>
      <c r="I355" s="17">
        <f t="shared" si="278"/>
        <v>0</v>
      </c>
      <c r="J355" s="17">
        <f t="shared" si="279"/>
        <v>0</v>
      </c>
      <c r="K355" s="17">
        <f>'1 - Input'!$B$22*(H355-J355)</f>
        <v>0</v>
      </c>
      <c r="L355" s="17">
        <f t="shared" si="280"/>
        <v>0</v>
      </c>
      <c r="M355" s="17">
        <f t="shared" si="281"/>
        <v>0</v>
      </c>
      <c r="N355" s="17">
        <f>IF('1 - Input'!$B$17=1,MAX(0,L355-D355),0)</f>
        <v>0</v>
      </c>
      <c r="O355" s="17">
        <f>IF('1 - Input'!$B$17=1,MAX(0,D355-L355),0)</f>
        <v>4429.6361850547701</v>
      </c>
      <c r="P355" s="17">
        <f t="shared" si="282"/>
        <v>0</v>
      </c>
      <c r="Q355" s="17">
        <f>IF(AND(O355&gt;0,I355&gt;0),O355/(1-'1 - Input'!$B$22*P355),0)</f>
        <v>0</v>
      </c>
      <c r="R355" s="17">
        <f t="shared" si="283"/>
        <v>0</v>
      </c>
      <c r="S355" s="17">
        <f>'1 - Input'!$B$22*P355*R355</f>
        <v>0</v>
      </c>
      <c r="T355" s="17">
        <f t="shared" si="284"/>
        <v>0</v>
      </c>
      <c r="U355" s="17">
        <f t="shared" si="285"/>
        <v>4429.6361850547701</v>
      </c>
      <c r="V355" s="17">
        <f t="shared" si="286"/>
        <v>0</v>
      </c>
      <c r="W355" s="17">
        <f t="shared" si="287"/>
        <v>0</v>
      </c>
      <c r="X355" s="17">
        <f t="shared" si="288"/>
        <v>0</v>
      </c>
      <c r="Y355" s="17">
        <f>IF(MOD(A355,12)=0,W355*'1 - Input'!$B$23,0)</f>
        <v>0</v>
      </c>
      <c r="Z355" s="17">
        <f t="shared" si="289"/>
        <v>0</v>
      </c>
      <c r="AA355" s="17">
        <f>IF(MOD(A355,12)=0,X355*(1-'1 - Input'!$B$23),X355)</f>
        <v>0</v>
      </c>
      <c r="AB355" s="17">
        <f>IF('1 - Input'!$B$17=1,MIN(L355,D355)+T355,L355)</f>
        <v>0</v>
      </c>
      <c r="AC355" s="17">
        <f t="shared" si="323"/>
        <v>590482.93849429931</v>
      </c>
      <c r="AD355" s="17">
        <f t="shared" si="324"/>
        <v>101441.90180685223</v>
      </c>
      <c r="AE355" s="17">
        <f t="shared" si="325"/>
        <v>0</v>
      </c>
      <c r="AF355" s="17">
        <f t="shared" si="326"/>
        <v>174289.24056370757</v>
      </c>
      <c r="AG355" s="17">
        <f t="shared" si="327"/>
        <v>8123.5662772395826</v>
      </c>
      <c r="AH355" s="17">
        <f t="shared" si="328"/>
        <v>500454.40675921959</v>
      </c>
      <c r="AI355" s="15">
        <f t="shared" si="290"/>
        <v>1</v>
      </c>
      <c r="AK355" s="14">
        <v>312</v>
      </c>
      <c r="AL355" s="15">
        <f t="shared" si="291"/>
        <v>26</v>
      </c>
      <c r="AM355" s="16">
        <f>(1+INDEX('1 - Input'!$B$34:$E$63,AL355,'1 - Input'!$B$16))^(1/12)-1</f>
        <v>4.1219243192651689E-3</v>
      </c>
      <c r="AN355" s="17">
        <f>'1 - Input'!$B$7*(1+'1 - Input'!$B$12)^(AL355-1)</f>
        <v>4429.6361850547701</v>
      </c>
      <c r="AO355" s="17">
        <f t="shared" si="329"/>
        <v>0</v>
      </c>
      <c r="AP355" s="17">
        <f t="shared" si="330"/>
        <v>0</v>
      </c>
      <c r="AQ355" s="17">
        <f t="shared" si="292"/>
        <v>0</v>
      </c>
      <c r="AR355" s="17">
        <f>IF(AQ355&gt;0,'1 - Input'!$B$8/12*AQ355,0)</f>
        <v>0</v>
      </c>
      <c r="AS355" s="17">
        <f t="shared" si="293"/>
        <v>0</v>
      </c>
      <c r="AT355" s="17">
        <f t="shared" si="294"/>
        <v>0</v>
      </c>
      <c r="AU355" s="17">
        <f>'1 - Input'!$B$22*(AR355-AT355)</f>
        <v>0</v>
      </c>
      <c r="AV355" s="17">
        <f t="shared" si="295"/>
        <v>0</v>
      </c>
      <c r="AW355" s="17">
        <f t="shared" si="296"/>
        <v>0</v>
      </c>
      <c r="AX355" s="17">
        <f>IF('1 - Input'!$B$17=1,MAX(0,AV355-AN355),0)</f>
        <v>0</v>
      </c>
      <c r="AY355" s="17">
        <f>IF('1 - Input'!$B$17=1,MAX(0,AN355-AV355),0)</f>
        <v>4429.6361850547701</v>
      </c>
      <c r="AZ355" s="17">
        <f t="shared" si="297"/>
        <v>0</v>
      </c>
      <c r="BA355" s="17">
        <f>IF(AND(AY355&gt;0,AS355&gt;0),AY355/(1-'1 - Input'!$B$22*AZ355),0)</f>
        <v>0</v>
      </c>
      <c r="BB355" s="17">
        <f t="shared" si="298"/>
        <v>0</v>
      </c>
      <c r="BC355" s="17">
        <f>'1 - Input'!$B$22*AZ355*BB355</f>
        <v>0</v>
      </c>
      <c r="BD355" s="17">
        <f t="shared" si="299"/>
        <v>0</v>
      </c>
      <c r="BE355" s="17">
        <f t="shared" si="300"/>
        <v>4429.6361850547701</v>
      </c>
      <c r="BF355" s="17">
        <f t="shared" si="301"/>
        <v>0</v>
      </c>
      <c r="BG355" s="17">
        <f t="shared" si="302"/>
        <v>0</v>
      </c>
      <c r="BH355" s="17">
        <f t="shared" si="303"/>
        <v>0</v>
      </c>
      <c r="BI355" s="17">
        <f>IF(MOD(AK355,12)=0,BG355*'1 - Input'!$B$23,0)</f>
        <v>0</v>
      </c>
      <c r="BJ355" s="17">
        <f t="shared" si="304"/>
        <v>0</v>
      </c>
      <c r="BK355" s="17">
        <f>IF(MOD(AK355,12)=0,BH355*(1-'1 - Input'!$B$23),BH355)</f>
        <v>0</v>
      </c>
      <c r="BL355" s="17">
        <f>IF('1 - Input'!$B$17=1,MIN(AV355,AN355)+BD355,AV355)</f>
        <v>0</v>
      </c>
      <c r="BM355" s="17">
        <f t="shared" si="331"/>
        <v>590482.93849429931</v>
      </c>
      <c r="BN355" s="17">
        <f t="shared" si="332"/>
        <v>101441.90180685223</v>
      </c>
      <c r="BO355" s="17">
        <f t="shared" si="333"/>
        <v>0</v>
      </c>
      <c r="BP355" s="17">
        <f t="shared" si="334"/>
        <v>174289.24056370757</v>
      </c>
      <c r="BQ355" s="17">
        <f t="shared" si="335"/>
        <v>8123.5662772395826</v>
      </c>
      <c r="BR355" s="17">
        <f t="shared" si="336"/>
        <v>500454.40675921959</v>
      </c>
      <c r="BS355" s="15">
        <f t="shared" si="305"/>
        <v>1</v>
      </c>
      <c r="BU355" s="14">
        <v>312</v>
      </c>
      <c r="BV355" s="15">
        <f t="shared" si="306"/>
        <v>26</v>
      </c>
      <c r="BW355" s="16">
        <f>(1+INDEX('1 - Input'!$B$34:$E$63,BV355,'1 - Input'!$B$16))^(1/12)-1</f>
        <v>4.1219243192651689E-3</v>
      </c>
      <c r="BX355" s="17">
        <f>'1 - Input'!$B$7*(1+'1 - Input'!$B$12)^(BV355-1)</f>
        <v>4429.6361850547701</v>
      </c>
      <c r="BY355" s="17">
        <f t="shared" si="337"/>
        <v>0</v>
      </c>
      <c r="BZ355" s="17">
        <f t="shared" si="338"/>
        <v>0</v>
      </c>
      <c r="CA355" s="17">
        <f t="shared" si="307"/>
        <v>0</v>
      </c>
      <c r="CB355" s="17">
        <f>IF(CA355&gt;0,'1 - Input'!$B$8/12*CA355,0)</f>
        <v>0</v>
      </c>
      <c r="CC355" s="17">
        <f t="shared" si="308"/>
        <v>0</v>
      </c>
      <c r="CD355" s="17">
        <f t="shared" si="309"/>
        <v>0</v>
      </c>
      <c r="CE355" s="17">
        <f>'1 - Input'!$B$22*(CB355-CD355)</f>
        <v>0</v>
      </c>
      <c r="CF355" s="17">
        <f t="shared" si="310"/>
        <v>0</v>
      </c>
      <c r="CG355" s="17">
        <f t="shared" si="311"/>
        <v>0</v>
      </c>
      <c r="CH355" s="17">
        <f>IF('1 - Input'!$B$17=1,MAX(0,CF355-BX355),0)</f>
        <v>0</v>
      </c>
      <c r="CI355" s="17">
        <f>IF('1 - Input'!$B$17=1,MAX(0,BX355-CF355),0)</f>
        <v>4429.6361850547701</v>
      </c>
      <c r="CJ355" s="17">
        <f t="shared" si="312"/>
        <v>0</v>
      </c>
      <c r="CK355" s="17">
        <f>IF(AND(CI355&gt;0,CC355&gt;0),CI355/(1-'1 - Input'!$B$22*CJ355),0)</f>
        <v>0</v>
      </c>
      <c r="CL355" s="17">
        <f t="shared" si="313"/>
        <v>0</v>
      </c>
      <c r="CM355" s="17">
        <f>'1 - Input'!$B$22*CJ355*CL355</f>
        <v>0</v>
      </c>
      <c r="CN355" s="17">
        <f t="shared" si="314"/>
        <v>0</v>
      </c>
      <c r="CO355" s="17">
        <f t="shared" si="315"/>
        <v>4429.6361850547701</v>
      </c>
      <c r="CP355" s="17">
        <f t="shared" si="316"/>
        <v>0</v>
      </c>
      <c r="CQ355" s="17">
        <f t="shared" si="317"/>
        <v>0</v>
      </c>
      <c r="CR355" s="17">
        <f t="shared" si="318"/>
        <v>0</v>
      </c>
      <c r="CS355" s="17">
        <f>IF(MOD(BU355,12)=0,CQ355*'1 - Input'!$B$23,0)</f>
        <v>0</v>
      </c>
      <c r="CT355" s="17">
        <f t="shared" si="319"/>
        <v>0</v>
      </c>
      <c r="CU355" s="17">
        <f>IF(MOD(BU355,12)=0,CR355*(1-'1 - Input'!$B$23),CR355)</f>
        <v>0</v>
      </c>
      <c r="CV355" s="17">
        <f>IF('1 - Input'!$B$17=1,MIN(CF355,BX355)+CN355,CF355)</f>
        <v>0</v>
      </c>
      <c r="CW355" s="17">
        <f t="shared" si="339"/>
        <v>686605.50041273201</v>
      </c>
      <c r="CX355" s="17">
        <f t="shared" si="340"/>
        <v>6018.3402768167462</v>
      </c>
      <c r="CY355" s="17">
        <f t="shared" si="341"/>
        <v>66518.776160328038</v>
      </c>
      <c r="CZ355" s="17">
        <f t="shared" si="342"/>
        <v>0</v>
      </c>
      <c r="DA355" s="17">
        <f t="shared" si="343"/>
        <v>10954.114452440983</v>
      </c>
      <c r="DB355" s="17">
        <f t="shared" si="344"/>
        <v>404331.84484078782</v>
      </c>
      <c r="DC355" s="15">
        <f t="shared" si="320"/>
        <v>1</v>
      </c>
    </row>
    <row r="356" spans="1:107">
      <c r="A356" s="14">
        <v>313</v>
      </c>
      <c r="B356" s="15">
        <f t="shared" si="276"/>
        <v>27</v>
      </c>
      <c r="C356" s="16">
        <f>(1+INDEX('1 - Input'!$B$34:$E$63,B356,'1 - Input'!$B$16))^(1/12)-1</f>
        <v>4.1219243192651689E-3</v>
      </c>
      <c r="D356" s="17">
        <f>'1 - Input'!$B$7*(1+'1 - Input'!$B$12)^(B356-1)</f>
        <v>4518.2289087558656</v>
      </c>
      <c r="E356" s="17">
        <f t="shared" si="321"/>
        <v>0</v>
      </c>
      <c r="F356" s="17">
        <f t="shared" si="322"/>
        <v>0</v>
      </c>
      <c r="G356" s="17">
        <f t="shared" si="277"/>
        <v>0</v>
      </c>
      <c r="H356" s="17">
        <f>IF(G356&gt;0,'1 - Input'!$B$8/12*G356,0)</f>
        <v>0</v>
      </c>
      <c r="I356" s="17">
        <f t="shared" si="278"/>
        <v>0</v>
      </c>
      <c r="J356" s="17">
        <f t="shared" si="279"/>
        <v>0</v>
      </c>
      <c r="K356" s="17">
        <f>'1 - Input'!$B$22*(H356-J356)</f>
        <v>0</v>
      </c>
      <c r="L356" s="17">
        <f t="shared" si="280"/>
        <v>0</v>
      </c>
      <c r="M356" s="17">
        <f t="shared" si="281"/>
        <v>0</v>
      </c>
      <c r="N356" s="17">
        <f>IF('1 - Input'!$B$17=1,MAX(0,L356-D356),0)</f>
        <v>0</v>
      </c>
      <c r="O356" s="17">
        <f>IF('1 - Input'!$B$17=1,MAX(0,D356-L356),0)</f>
        <v>4518.2289087558656</v>
      </c>
      <c r="P356" s="17">
        <f t="shared" si="282"/>
        <v>0</v>
      </c>
      <c r="Q356" s="17">
        <f>IF(AND(O356&gt;0,I356&gt;0),O356/(1-'1 - Input'!$B$22*P356),0)</f>
        <v>0</v>
      </c>
      <c r="R356" s="17">
        <f t="shared" si="283"/>
        <v>0</v>
      </c>
      <c r="S356" s="17">
        <f>'1 - Input'!$B$22*P356*R356</f>
        <v>0</v>
      </c>
      <c r="T356" s="17">
        <f t="shared" si="284"/>
        <v>0</v>
      </c>
      <c r="U356" s="17">
        <f t="shared" si="285"/>
        <v>4518.2289087558656</v>
      </c>
      <c r="V356" s="17">
        <f t="shared" si="286"/>
        <v>0</v>
      </c>
      <c r="W356" s="17">
        <f t="shared" si="287"/>
        <v>0</v>
      </c>
      <c r="X356" s="17">
        <f t="shared" si="288"/>
        <v>0</v>
      </c>
      <c r="Y356" s="17">
        <f>IF(MOD(A356,12)=0,W356*'1 - Input'!$B$23,0)</f>
        <v>0</v>
      </c>
      <c r="Z356" s="17">
        <f t="shared" si="289"/>
        <v>0</v>
      </c>
      <c r="AA356" s="17">
        <f>IF(MOD(A356,12)=0,X356*(1-'1 - Input'!$B$23),X356)</f>
        <v>0</v>
      </c>
      <c r="AB356" s="17">
        <f>IF('1 - Input'!$B$17=1,MIN(L356,D356)+T356,L356)</f>
        <v>0</v>
      </c>
      <c r="AC356" s="17">
        <f t="shared" si="323"/>
        <v>590482.93849429931</v>
      </c>
      <c r="AD356" s="17">
        <f t="shared" si="324"/>
        <v>101441.90180685223</v>
      </c>
      <c r="AE356" s="17">
        <f t="shared" si="325"/>
        <v>0</v>
      </c>
      <c r="AF356" s="17">
        <f t="shared" si="326"/>
        <v>174289.24056370757</v>
      </c>
      <c r="AG356" s="17">
        <f t="shared" si="327"/>
        <v>8123.5662772395826</v>
      </c>
      <c r="AH356" s="17">
        <f t="shared" si="328"/>
        <v>504972.63566797547</v>
      </c>
      <c r="AI356" s="15">
        <f t="shared" si="290"/>
        <v>1</v>
      </c>
      <c r="AK356" s="14">
        <v>313</v>
      </c>
      <c r="AL356" s="15">
        <f t="shared" si="291"/>
        <v>27</v>
      </c>
      <c r="AM356" s="16">
        <f>(1+INDEX('1 - Input'!$B$34:$E$63,AL356,'1 - Input'!$B$16))^(1/12)-1</f>
        <v>4.1219243192651689E-3</v>
      </c>
      <c r="AN356" s="17">
        <f>'1 - Input'!$B$7*(1+'1 - Input'!$B$12)^(AL356-1)</f>
        <v>4518.2289087558656</v>
      </c>
      <c r="AO356" s="17">
        <f t="shared" si="329"/>
        <v>0</v>
      </c>
      <c r="AP356" s="17">
        <f t="shared" si="330"/>
        <v>0</v>
      </c>
      <c r="AQ356" s="17">
        <f t="shared" si="292"/>
        <v>0</v>
      </c>
      <c r="AR356" s="17">
        <f>IF(AQ356&gt;0,'1 - Input'!$B$8/12*AQ356,0)</f>
        <v>0</v>
      </c>
      <c r="AS356" s="17">
        <f t="shared" si="293"/>
        <v>0</v>
      </c>
      <c r="AT356" s="17">
        <f t="shared" si="294"/>
        <v>0</v>
      </c>
      <c r="AU356" s="17">
        <f>'1 - Input'!$B$22*(AR356-AT356)</f>
        <v>0</v>
      </c>
      <c r="AV356" s="17">
        <f t="shared" si="295"/>
        <v>0</v>
      </c>
      <c r="AW356" s="17">
        <f t="shared" si="296"/>
        <v>0</v>
      </c>
      <c r="AX356" s="17">
        <f>IF('1 - Input'!$B$17=1,MAX(0,AV356-AN356),0)</f>
        <v>0</v>
      </c>
      <c r="AY356" s="17">
        <f>IF('1 - Input'!$B$17=1,MAX(0,AN356-AV356),0)</f>
        <v>4518.2289087558656</v>
      </c>
      <c r="AZ356" s="17">
        <f t="shared" si="297"/>
        <v>0</v>
      </c>
      <c r="BA356" s="17">
        <f>IF(AND(AY356&gt;0,AS356&gt;0),AY356/(1-'1 - Input'!$B$22*AZ356),0)</f>
        <v>0</v>
      </c>
      <c r="BB356" s="17">
        <f t="shared" si="298"/>
        <v>0</v>
      </c>
      <c r="BC356" s="17">
        <f>'1 - Input'!$B$22*AZ356*BB356</f>
        <v>0</v>
      </c>
      <c r="BD356" s="17">
        <f t="shared" si="299"/>
        <v>0</v>
      </c>
      <c r="BE356" s="17">
        <f t="shared" si="300"/>
        <v>4518.2289087558656</v>
      </c>
      <c r="BF356" s="17">
        <f t="shared" si="301"/>
        <v>0</v>
      </c>
      <c r="BG356" s="17">
        <f t="shared" si="302"/>
        <v>0</v>
      </c>
      <c r="BH356" s="17">
        <f t="shared" si="303"/>
        <v>0</v>
      </c>
      <c r="BI356" s="17">
        <f>IF(MOD(AK356,12)=0,BG356*'1 - Input'!$B$23,0)</f>
        <v>0</v>
      </c>
      <c r="BJ356" s="17">
        <f t="shared" si="304"/>
        <v>0</v>
      </c>
      <c r="BK356" s="17">
        <f>IF(MOD(AK356,12)=0,BH356*(1-'1 - Input'!$B$23),BH356)</f>
        <v>0</v>
      </c>
      <c r="BL356" s="17">
        <f>IF('1 - Input'!$B$17=1,MIN(AV356,AN356)+BD356,AV356)</f>
        <v>0</v>
      </c>
      <c r="BM356" s="17">
        <f t="shared" si="331"/>
        <v>590482.93849429931</v>
      </c>
      <c r="BN356" s="17">
        <f t="shared" si="332"/>
        <v>101441.90180685223</v>
      </c>
      <c r="BO356" s="17">
        <f t="shared" si="333"/>
        <v>0</v>
      </c>
      <c r="BP356" s="17">
        <f t="shared" si="334"/>
        <v>174289.24056370757</v>
      </c>
      <c r="BQ356" s="17">
        <f t="shared" si="335"/>
        <v>8123.5662772395826</v>
      </c>
      <c r="BR356" s="17">
        <f t="shared" si="336"/>
        <v>504972.63566797547</v>
      </c>
      <c r="BS356" s="15">
        <f t="shared" si="305"/>
        <v>1</v>
      </c>
      <c r="BU356" s="14">
        <v>313</v>
      </c>
      <c r="BV356" s="15">
        <f t="shared" si="306"/>
        <v>27</v>
      </c>
      <c r="BW356" s="16">
        <f>(1+INDEX('1 - Input'!$B$34:$E$63,BV356,'1 - Input'!$B$16))^(1/12)-1</f>
        <v>4.1219243192651689E-3</v>
      </c>
      <c r="BX356" s="17">
        <f>'1 - Input'!$B$7*(1+'1 - Input'!$B$12)^(BV356-1)</f>
        <v>4518.2289087558656</v>
      </c>
      <c r="BY356" s="17">
        <f t="shared" si="337"/>
        <v>0</v>
      </c>
      <c r="BZ356" s="17">
        <f t="shared" si="338"/>
        <v>0</v>
      </c>
      <c r="CA356" s="17">
        <f t="shared" si="307"/>
        <v>0</v>
      </c>
      <c r="CB356" s="17">
        <f>IF(CA356&gt;0,'1 - Input'!$B$8/12*CA356,0)</f>
        <v>0</v>
      </c>
      <c r="CC356" s="17">
        <f t="shared" si="308"/>
        <v>0</v>
      </c>
      <c r="CD356" s="17">
        <f t="shared" si="309"/>
        <v>0</v>
      </c>
      <c r="CE356" s="17">
        <f>'1 - Input'!$B$22*(CB356-CD356)</f>
        <v>0</v>
      </c>
      <c r="CF356" s="17">
        <f t="shared" si="310"/>
        <v>0</v>
      </c>
      <c r="CG356" s="17">
        <f t="shared" si="311"/>
        <v>0</v>
      </c>
      <c r="CH356" s="17">
        <f>IF('1 - Input'!$B$17=1,MAX(0,CF356-BX356),0)</f>
        <v>0</v>
      </c>
      <c r="CI356" s="17">
        <f>IF('1 - Input'!$B$17=1,MAX(0,BX356-CF356),0)</f>
        <v>4518.2289087558656</v>
      </c>
      <c r="CJ356" s="17">
        <f t="shared" si="312"/>
        <v>0</v>
      </c>
      <c r="CK356" s="17">
        <f>IF(AND(CI356&gt;0,CC356&gt;0),CI356/(1-'1 - Input'!$B$22*CJ356),0)</f>
        <v>0</v>
      </c>
      <c r="CL356" s="17">
        <f t="shared" si="313"/>
        <v>0</v>
      </c>
      <c r="CM356" s="17">
        <f>'1 - Input'!$B$22*CJ356*CL356</f>
        <v>0</v>
      </c>
      <c r="CN356" s="17">
        <f t="shared" si="314"/>
        <v>0</v>
      </c>
      <c r="CO356" s="17">
        <f t="shared" si="315"/>
        <v>4518.2289087558656</v>
      </c>
      <c r="CP356" s="17">
        <f t="shared" si="316"/>
        <v>0</v>
      </c>
      <c r="CQ356" s="17">
        <f t="shared" si="317"/>
        <v>0</v>
      </c>
      <c r="CR356" s="17">
        <f t="shared" si="318"/>
        <v>0</v>
      </c>
      <c r="CS356" s="17">
        <f>IF(MOD(BU356,12)=0,CQ356*'1 - Input'!$B$23,0)</f>
        <v>0</v>
      </c>
      <c r="CT356" s="17">
        <f t="shared" si="319"/>
        <v>0</v>
      </c>
      <c r="CU356" s="17">
        <f>IF(MOD(BU356,12)=0,CR356*(1-'1 - Input'!$B$23),CR356)</f>
        <v>0</v>
      </c>
      <c r="CV356" s="17">
        <f>IF('1 - Input'!$B$17=1,MIN(CF356,BX356)+CN356,CF356)</f>
        <v>0</v>
      </c>
      <c r="CW356" s="17">
        <f t="shared" si="339"/>
        <v>686605.50041273201</v>
      </c>
      <c r="CX356" s="17">
        <f t="shared" si="340"/>
        <v>6018.3402768167462</v>
      </c>
      <c r="CY356" s="17">
        <f t="shared" si="341"/>
        <v>66518.776160328038</v>
      </c>
      <c r="CZ356" s="17">
        <f t="shared" si="342"/>
        <v>0</v>
      </c>
      <c r="DA356" s="17">
        <f t="shared" si="343"/>
        <v>10954.114452440983</v>
      </c>
      <c r="DB356" s="17">
        <f t="shared" si="344"/>
        <v>408850.07374954369</v>
      </c>
      <c r="DC356" s="15">
        <f t="shared" si="320"/>
        <v>1</v>
      </c>
    </row>
    <row r="357" spans="1:107">
      <c r="A357" s="14">
        <v>314</v>
      </c>
      <c r="B357" s="15">
        <f t="shared" si="276"/>
        <v>27</v>
      </c>
      <c r="C357" s="16">
        <f>(1+INDEX('1 - Input'!$B$34:$E$63,B357,'1 - Input'!$B$16))^(1/12)-1</f>
        <v>4.1219243192651689E-3</v>
      </c>
      <c r="D357" s="17">
        <f>'1 - Input'!$B$7*(1+'1 - Input'!$B$12)^(B357-1)</f>
        <v>4518.2289087558656</v>
      </c>
      <c r="E357" s="17">
        <f t="shared" si="321"/>
        <v>0</v>
      </c>
      <c r="F357" s="17">
        <f t="shared" si="322"/>
        <v>0</v>
      </c>
      <c r="G357" s="17">
        <f t="shared" si="277"/>
        <v>0</v>
      </c>
      <c r="H357" s="17">
        <f>IF(G357&gt;0,'1 - Input'!$B$8/12*G357,0)</f>
        <v>0</v>
      </c>
      <c r="I357" s="17">
        <f t="shared" si="278"/>
        <v>0</v>
      </c>
      <c r="J357" s="17">
        <f t="shared" si="279"/>
        <v>0</v>
      </c>
      <c r="K357" s="17">
        <f>'1 - Input'!$B$22*(H357-J357)</f>
        <v>0</v>
      </c>
      <c r="L357" s="17">
        <f t="shared" si="280"/>
        <v>0</v>
      </c>
      <c r="M357" s="17">
        <f t="shared" si="281"/>
        <v>0</v>
      </c>
      <c r="N357" s="17">
        <f>IF('1 - Input'!$B$17=1,MAX(0,L357-D357),0)</f>
        <v>0</v>
      </c>
      <c r="O357" s="17">
        <f>IF('1 - Input'!$B$17=1,MAX(0,D357-L357),0)</f>
        <v>4518.2289087558656</v>
      </c>
      <c r="P357" s="17">
        <f t="shared" si="282"/>
        <v>0</v>
      </c>
      <c r="Q357" s="17">
        <f>IF(AND(O357&gt;0,I357&gt;0),O357/(1-'1 - Input'!$B$22*P357),0)</f>
        <v>0</v>
      </c>
      <c r="R357" s="17">
        <f t="shared" si="283"/>
        <v>0</v>
      </c>
      <c r="S357" s="17">
        <f>'1 - Input'!$B$22*P357*R357</f>
        <v>0</v>
      </c>
      <c r="T357" s="17">
        <f t="shared" si="284"/>
        <v>0</v>
      </c>
      <c r="U357" s="17">
        <f t="shared" si="285"/>
        <v>4518.2289087558656</v>
      </c>
      <c r="V357" s="17">
        <f t="shared" si="286"/>
        <v>0</v>
      </c>
      <c r="W357" s="17">
        <f t="shared" si="287"/>
        <v>0</v>
      </c>
      <c r="X357" s="17">
        <f t="shared" si="288"/>
        <v>0</v>
      </c>
      <c r="Y357" s="17">
        <f>IF(MOD(A357,12)=0,W357*'1 - Input'!$B$23,0)</f>
        <v>0</v>
      </c>
      <c r="Z357" s="17">
        <f t="shared" si="289"/>
        <v>0</v>
      </c>
      <c r="AA357" s="17">
        <f>IF(MOD(A357,12)=0,X357*(1-'1 - Input'!$B$23),X357)</f>
        <v>0</v>
      </c>
      <c r="AB357" s="17">
        <f>IF('1 - Input'!$B$17=1,MIN(L357,D357)+T357,L357)</f>
        <v>0</v>
      </c>
      <c r="AC357" s="17">
        <f t="shared" si="323"/>
        <v>590482.93849429931</v>
      </c>
      <c r="AD357" s="17">
        <f t="shared" si="324"/>
        <v>101441.90180685223</v>
      </c>
      <c r="AE357" s="17">
        <f t="shared" si="325"/>
        <v>0</v>
      </c>
      <c r="AF357" s="17">
        <f t="shared" si="326"/>
        <v>174289.24056370757</v>
      </c>
      <c r="AG357" s="17">
        <f t="shared" si="327"/>
        <v>8123.5662772395826</v>
      </c>
      <c r="AH357" s="17">
        <f t="shared" si="328"/>
        <v>509490.86457673134</v>
      </c>
      <c r="AI357" s="15">
        <f t="shared" si="290"/>
        <v>1</v>
      </c>
      <c r="AK357" s="14">
        <v>314</v>
      </c>
      <c r="AL357" s="15">
        <f t="shared" si="291"/>
        <v>27</v>
      </c>
      <c r="AM357" s="16">
        <f>(1+INDEX('1 - Input'!$B$34:$E$63,AL357,'1 - Input'!$B$16))^(1/12)-1</f>
        <v>4.1219243192651689E-3</v>
      </c>
      <c r="AN357" s="17">
        <f>'1 - Input'!$B$7*(1+'1 - Input'!$B$12)^(AL357-1)</f>
        <v>4518.2289087558656</v>
      </c>
      <c r="AO357" s="17">
        <f t="shared" si="329"/>
        <v>0</v>
      </c>
      <c r="AP357" s="17">
        <f t="shared" si="330"/>
        <v>0</v>
      </c>
      <c r="AQ357" s="17">
        <f t="shared" si="292"/>
        <v>0</v>
      </c>
      <c r="AR357" s="17">
        <f>IF(AQ357&gt;0,'1 - Input'!$B$8/12*AQ357,0)</f>
        <v>0</v>
      </c>
      <c r="AS357" s="17">
        <f t="shared" si="293"/>
        <v>0</v>
      </c>
      <c r="AT357" s="17">
        <f t="shared" si="294"/>
        <v>0</v>
      </c>
      <c r="AU357" s="17">
        <f>'1 - Input'!$B$22*(AR357-AT357)</f>
        <v>0</v>
      </c>
      <c r="AV357" s="17">
        <f t="shared" si="295"/>
        <v>0</v>
      </c>
      <c r="AW357" s="17">
        <f t="shared" si="296"/>
        <v>0</v>
      </c>
      <c r="AX357" s="17">
        <f>IF('1 - Input'!$B$17=1,MAX(0,AV357-AN357),0)</f>
        <v>0</v>
      </c>
      <c r="AY357" s="17">
        <f>IF('1 - Input'!$B$17=1,MAX(0,AN357-AV357),0)</f>
        <v>4518.2289087558656</v>
      </c>
      <c r="AZ357" s="17">
        <f t="shared" si="297"/>
        <v>0</v>
      </c>
      <c r="BA357" s="17">
        <f>IF(AND(AY357&gt;0,AS357&gt;0),AY357/(1-'1 - Input'!$B$22*AZ357),0)</f>
        <v>0</v>
      </c>
      <c r="BB357" s="17">
        <f t="shared" si="298"/>
        <v>0</v>
      </c>
      <c r="BC357" s="17">
        <f>'1 - Input'!$B$22*AZ357*BB357</f>
        <v>0</v>
      </c>
      <c r="BD357" s="17">
        <f t="shared" si="299"/>
        <v>0</v>
      </c>
      <c r="BE357" s="17">
        <f t="shared" si="300"/>
        <v>4518.2289087558656</v>
      </c>
      <c r="BF357" s="17">
        <f t="shared" si="301"/>
        <v>0</v>
      </c>
      <c r="BG357" s="17">
        <f t="shared" si="302"/>
        <v>0</v>
      </c>
      <c r="BH357" s="17">
        <f t="shared" si="303"/>
        <v>0</v>
      </c>
      <c r="BI357" s="17">
        <f>IF(MOD(AK357,12)=0,BG357*'1 - Input'!$B$23,0)</f>
        <v>0</v>
      </c>
      <c r="BJ357" s="17">
        <f t="shared" si="304"/>
        <v>0</v>
      </c>
      <c r="BK357" s="17">
        <f>IF(MOD(AK357,12)=0,BH357*(1-'1 - Input'!$B$23),BH357)</f>
        <v>0</v>
      </c>
      <c r="BL357" s="17">
        <f>IF('1 - Input'!$B$17=1,MIN(AV357,AN357)+BD357,AV357)</f>
        <v>0</v>
      </c>
      <c r="BM357" s="17">
        <f t="shared" si="331"/>
        <v>590482.93849429931</v>
      </c>
      <c r="BN357" s="17">
        <f t="shared" si="332"/>
        <v>101441.90180685223</v>
      </c>
      <c r="BO357" s="17">
        <f t="shared" si="333"/>
        <v>0</v>
      </c>
      <c r="BP357" s="17">
        <f t="shared" si="334"/>
        <v>174289.24056370757</v>
      </c>
      <c r="BQ357" s="17">
        <f t="shared" si="335"/>
        <v>8123.5662772395826</v>
      </c>
      <c r="BR357" s="17">
        <f t="shared" si="336"/>
        <v>509490.86457673134</v>
      </c>
      <c r="BS357" s="15">
        <f t="shared" si="305"/>
        <v>1</v>
      </c>
      <c r="BU357" s="14">
        <v>314</v>
      </c>
      <c r="BV357" s="15">
        <f t="shared" si="306"/>
        <v>27</v>
      </c>
      <c r="BW357" s="16">
        <f>(1+INDEX('1 - Input'!$B$34:$E$63,BV357,'1 - Input'!$B$16))^(1/12)-1</f>
        <v>4.1219243192651689E-3</v>
      </c>
      <c r="BX357" s="17">
        <f>'1 - Input'!$B$7*(1+'1 - Input'!$B$12)^(BV357-1)</f>
        <v>4518.2289087558656</v>
      </c>
      <c r="BY357" s="17">
        <f t="shared" si="337"/>
        <v>0</v>
      </c>
      <c r="BZ357" s="17">
        <f t="shared" si="338"/>
        <v>0</v>
      </c>
      <c r="CA357" s="17">
        <f t="shared" si="307"/>
        <v>0</v>
      </c>
      <c r="CB357" s="17">
        <f>IF(CA357&gt;0,'1 - Input'!$B$8/12*CA357,0)</f>
        <v>0</v>
      </c>
      <c r="CC357" s="17">
        <f t="shared" si="308"/>
        <v>0</v>
      </c>
      <c r="CD357" s="17">
        <f t="shared" si="309"/>
        <v>0</v>
      </c>
      <c r="CE357" s="17">
        <f>'1 - Input'!$B$22*(CB357-CD357)</f>
        <v>0</v>
      </c>
      <c r="CF357" s="17">
        <f t="shared" si="310"/>
        <v>0</v>
      </c>
      <c r="CG357" s="17">
        <f t="shared" si="311"/>
        <v>0</v>
      </c>
      <c r="CH357" s="17">
        <f>IF('1 - Input'!$B$17=1,MAX(0,CF357-BX357),0)</f>
        <v>0</v>
      </c>
      <c r="CI357" s="17">
        <f>IF('1 - Input'!$B$17=1,MAX(0,BX357-CF357),0)</f>
        <v>4518.2289087558656</v>
      </c>
      <c r="CJ357" s="17">
        <f t="shared" si="312"/>
        <v>0</v>
      </c>
      <c r="CK357" s="17">
        <f>IF(AND(CI357&gt;0,CC357&gt;0),CI357/(1-'1 - Input'!$B$22*CJ357),0)</f>
        <v>0</v>
      </c>
      <c r="CL357" s="17">
        <f t="shared" si="313"/>
        <v>0</v>
      </c>
      <c r="CM357" s="17">
        <f>'1 - Input'!$B$22*CJ357*CL357</f>
        <v>0</v>
      </c>
      <c r="CN357" s="17">
        <f t="shared" si="314"/>
        <v>0</v>
      </c>
      <c r="CO357" s="17">
        <f t="shared" si="315"/>
        <v>4518.2289087558656</v>
      </c>
      <c r="CP357" s="17">
        <f t="shared" si="316"/>
        <v>0</v>
      </c>
      <c r="CQ357" s="17">
        <f t="shared" si="317"/>
        <v>0</v>
      </c>
      <c r="CR357" s="17">
        <f t="shared" si="318"/>
        <v>0</v>
      </c>
      <c r="CS357" s="17">
        <f>IF(MOD(BU357,12)=0,CQ357*'1 - Input'!$B$23,0)</f>
        <v>0</v>
      </c>
      <c r="CT357" s="17">
        <f t="shared" si="319"/>
        <v>0</v>
      </c>
      <c r="CU357" s="17">
        <f>IF(MOD(BU357,12)=0,CR357*(1-'1 - Input'!$B$23),CR357)</f>
        <v>0</v>
      </c>
      <c r="CV357" s="17">
        <f>IF('1 - Input'!$B$17=1,MIN(CF357,BX357)+CN357,CF357)</f>
        <v>0</v>
      </c>
      <c r="CW357" s="17">
        <f t="shared" si="339"/>
        <v>686605.50041273201</v>
      </c>
      <c r="CX357" s="17">
        <f t="shared" si="340"/>
        <v>6018.3402768167462</v>
      </c>
      <c r="CY357" s="17">
        <f t="shared" si="341"/>
        <v>66518.776160328038</v>
      </c>
      <c r="CZ357" s="17">
        <f t="shared" si="342"/>
        <v>0</v>
      </c>
      <c r="DA357" s="17">
        <f t="shared" si="343"/>
        <v>10954.114452440983</v>
      </c>
      <c r="DB357" s="17">
        <f t="shared" si="344"/>
        <v>413368.30265829957</v>
      </c>
      <c r="DC357" s="15">
        <f t="shared" si="320"/>
        <v>1</v>
      </c>
    </row>
    <row r="358" spans="1:107">
      <c r="A358" s="14">
        <v>315</v>
      </c>
      <c r="B358" s="15">
        <f t="shared" si="276"/>
        <v>27</v>
      </c>
      <c r="C358" s="16">
        <f>(1+INDEX('1 - Input'!$B$34:$E$63,B358,'1 - Input'!$B$16))^(1/12)-1</f>
        <v>4.1219243192651689E-3</v>
      </c>
      <c r="D358" s="17">
        <f>'1 - Input'!$B$7*(1+'1 - Input'!$B$12)^(B358-1)</f>
        <v>4518.2289087558656</v>
      </c>
      <c r="E358" s="17">
        <f t="shared" si="321"/>
        <v>0</v>
      </c>
      <c r="F358" s="17">
        <f t="shared" si="322"/>
        <v>0</v>
      </c>
      <c r="G358" s="17">
        <f t="shared" si="277"/>
        <v>0</v>
      </c>
      <c r="H358" s="17">
        <f>IF(G358&gt;0,'1 - Input'!$B$8/12*G358,0)</f>
        <v>0</v>
      </c>
      <c r="I358" s="17">
        <f t="shared" si="278"/>
        <v>0</v>
      </c>
      <c r="J358" s="17">
        <f t="shared" si="279"/>
        <v>0</v>
      </c>
      <c r="K358" s="17">
        <f>'1 - Input'!$B$22*(H358-J358)</f>
        <v>0</v>
      </c>
      <c r="L358" s="17">
        <f t="shared" si="280"/>
        <v>0</v>
      </c>
      <c r="M358" s="17">
        <f t="shared" si="281"/>
        <v>0</v>
      </c>
      <c r="N358" s="17">
        <f>IF('1 - Input'!$B$17=1,MAX(0,L358-D358),0)</f>
        <v>0</v>
      </c>
      <c r="O358" s="17">
        <f>IF('1 - Input'!$B$17=1,MAX(0,D358-L358),0)</f>
        <v>4518.2289087558656</v>
      </c>
      <c r="P358" s="17">
        <f t="shared" si="282"/>
        <v>0</v>
      </c>
      <c r="Q358" s="17">
        <f>IF(AND(O358&gt;0,I358&gt;0),O358/(1-'1 - Input'!$B$22*P358),0)</f>
        <v>0</v>
      </c>
      <c r="R358" s="17">
        <f t="shared" si="283"/>
        <v>0</v>
      </c>
      <c r="S358" s="17">
        <f>'1 - Input'!$B$22*P358*R358</f>
        <v>0</v>
      </c>
      <c r="T358" s="17">
        <f t="shared" si="284"/>
        <v>0</v>
      </c>
      <c r="U358" s="17">
        <f t="shared" si="285"/>
        <v>4518.2289087558656</v>
      </c>
      <c r="V358" s="17">
        <f t="shared" si="286"/>
        <v>0</v>
      </c>
      <c r="W358" s="17">
        <f t="shared" si="287"/>
        <v>0</v>
      </c>
      <c r="X358" s="17">
        <f t="shared" si="288"/>
        <v>0</v>
      </c>
      <c r="Y358" s="17">
        <f>IF(MOD(A358,12)=0,W358*'1 - Input'!$B$23,0)</f>
        <v>0</v>
      </c>
      <c r="Z358" s="17">
        <f t="shared" si="289"/>
        <v>0</v>
      </c>
      <c r="AA358" s="17">
        <f>IF(MOD(A358,12)=0,X358*(1-'1 - Input'!$B$23),X358)</f>
        <v>0</v>
      </c>
      <c r="AB358" s="17">
        <f>IF('1 - Input'!$B$17=1,MIN(L358,D358)+T358,L358)</f>
        <v>0</v>
      </c>
      <c r="AC358" s="17">
        <f t="shared" si="323"/>
        <v>590482.93849429931</v>
      </c>
      <c r="AD358" s="17">
        <f t="shared" si="324"/>
        <v>101441.90180685223</v>
      </c>
      <c r="AE358" s="17">
        <f t="shared" si="325"/>
        <v>0</v>
      </c>
      <c r="AF358" s="17">
        <f t="shared" si="326"/>
        <v>174289.24056370757</v>
      </c>
      <c r="AG358" s="17">
        <f t="shared" si="327"/>
        <v>8123.5662772395826</v>
      </c>
      <c r="AH358" s="17">
        <f t="shared" si="328"/>
        <v>514009.09348548722</v>
      </c>
      <c r="AI358" s="15">
        <f t="shared" si="290"/>
        <v>1</v>
      </c>
      <c r="AK358" s="14">
        <v>315</v>
      </c>
      <c r="AL358" s="15">
        <f t="shared" si="291"/>
        <v>27</v>
      </c>
      <c r="AM358" s="16">
        <f>(1+INDEX('1 - Input'!$B$34:$E$63,AL358,'1 - Input'!$B$16))^(1/12)-1</f>
        <v>4.1219243192651689E-3</v>
      </c>
      <c r="AN358" s="17">
        <f>'1 - Input'!$B$7*(1+'1 - Input'!$B$12)^(AL358-1)</f>
        <v>4518.2289087558656</v>
      </c>
      <c r="AO358" s="17">
        <f t="shared" si="329"/>
        <v>0</v>
      </c>
      <c r="AP358" s="17">
        <f t="shared" si="330"/>
        <v>0</v>
      </c>
      <c r="AQ358" s="17">
        <f t="shared" si="292"/>
        <v>0</v>
      </c>
      <c r="AR358" s="17">
        <f>IF(AQ358&gt;0,'1 - Input'!$B$8/12*AQ358,0)</f>
        <v>0</v>
      </c>
      <c r="AS358" s="17">
        <f t="shared" si="293"/>
        <v>0</v>
      </c>
      <c r="AT358" s="17">
        <f t="shared" si="294"/>
        <v>0</v>
      </c>
      <c r="AU358" s="17">
        <f>'1 - Input'!$B$22*(AR358-AT358)</f>
        <v>0</v>
      </c>
      <c r="AV358" s="17">
        <f t="shared" si="295"/>
        <v>0</v>
      </c>
      <c r="AW358" s="17">
        <f t="shared" si="296"/>
        <v>0</v>
      </c>
      <c r="AX358" s="17">
        <f>IF('1 - Input'!$B$17=1,MAX(0,AV358-AN358),0)</f>
        <v>0</v>
      </c>
      <c r="AY358" s="17">
        <f>IF('1 - Input'!$B$17=1,MAX(0,AN358-AV358),0)</f>
        <v>4518.2289087558656</v>
      </c>
      <c r="AZ358" s="17">
        <f t="shared" si="297"/>
        <v>0</v>
      </c>
      <c r="BA358" s="17">
        <f>IF(AND(AY358&gt;0,AS358&gt;0),AY358/(1-'1 - Input'!$B$22*AZ358),0)</f>
        <v>0</v>
      </c>
      <c r="BB358" s="17">
        <f t="shared" si="298"/>
        <v>0</v>
      </c>
      <c r="BC358" s="17">
        <f>'1 - Input'!$B$22*AZ358*BB358</f>
        <v>0</v>
      </c>
      <c r="BD358" s="17">
        <f t="shared" si="299"/>
        <v>0</v>
      </c>
      <c r="BE358" s="17">
        <f t="shared" si="300"/>
        <v>4518.2289087558656</v>
      </c>
      <c r="BF358" s="17">
        <f t="shared" si="301"/>
        <v>0</v>
      </c>
      <c r="BG358" s="17">
        <f t="shared" si="302"/>
        <v>0</v>
      </c>
      <c r="BH358" s="17">
        <f t="shared" si="303"/>
        <v>0</v>
      </c>
      <c r="BI358" s="17">
        <f>IF(MOD(AK358,12)=0,BG358*'1 - Input'!$B$23,0)</f>
        <v>0</v>
      </c>
      <c r="BJ358" s="17">
        <f t="shared" si="304"/>
        <v>0</v>
      </c>
      <c r="BK358" s="17">
        <f>IF(MOD(AK358,12)=0,BH358*(1-'1 - Input'!$B$23),BH358)</f>
        <v>0</v>
      </c>
      <c r="BL358" s="17">
        <f>IF('1 - Input'!$B$17=1,MIN(AV358,AN358)+BD358,AV358)</f>
        <v>0</v>
      </c>
      <c r="BM358" s="17">
        <f t="shared" si="331"/>
        <v>590482.93849429931</v>
      </c>
      <c r="BN358" s="17">
        <f t="shared" si="332"/>
        <v>101441.90180685223</v>
      </c>
      <c r="BO358" s="17">
        <f t="shared" si="333"/>
        <v>0</v>
      </c>
      <c r="BP358" s="17">
        <f t="shared" si="334"/>
        <v>174289.24056370757</v>
      </c>
      <c r="BQ358" s="17">
        <f t="shared" si="335"/>
        <v>8123.5662772395826</v>
      </c>
      <c r="BR358" s="17">
        <f t="shared" si="336"/>
        <v>514009.09348548722</v>
      </c>
      <c r="BS358" s="15">
        <f t="shared" si="305"/>
        <v>1</v>
      </c>
      <c r="BU358" s="14">
        <v>315</v>
      </c>
      <c r="BV358" s="15">
        <f t="shared" si="306"/>
        <v>27</v>
      </c>
      <c r="BW358" s="16">
        <f>(1+INDEX('1 - Input'!$B$34:$E$63,BV358,'1 - Input'!$B$16))^(1/12)-1</f>
        <v>4.1219243192651689E-3</v>
      </c>
      <c r="BX358" s="17">
        <f>'1 - Input'!$B$7*(1+'1 - Input'!$B$12)^(BV358-1)</f>
        <v>4518.2289087558656</v>
      </c>
      <c r="BY358" s="17">
        <f t="shared" si="337"/>
        <v>0</v>
      </c>
      <c r="BZ358" s="17">
        <f t="shared" si="338"/>
        <v>0</v>
      </c>
      <c r="CA358" s="17">
        <f t="shared" si="307"/>
        <v>0</v>
      </c>
      <c r="CB358" s="17">
        <f>IF(CA358&gt;0,'1 - Input'!$B$8/12*CA358,0)</f>
        <v>0</v>
      </c>
      <c r="CC358" s="17">
        <f t="shared" si="308"/>
        <v>0</v>
      </c>
      <c r="CD358" s="17">
        <f t="shared" si="309"/>
        <v>0</v>
      </c>
      <c r="CE358" s="17">
        <f>'1 - Input'!$B$22*(CB358-CD358)</f>
        <v>0</v>
      </c>
      <c r="CF358" s="17">
        <f t="shared" si="310"/>
        <v>0</v>
      </c>
      <c r="CG358" s="17">
        <f t="shared" si="311"/>
        <v>0</v>
      </c>
      <c r="CH358" s="17">
        <f>IF('1 - Input'!$B$17=1,MAX(0,CF358-BX358),0)</f>
        <v>0</v>
      </c>
      <c r="CI358" s="17">
        <f>IF('1 - Input'!$B$17=1,MAX(0,BX358-CF358),0)</f>
        <v>4518.2289087558656</v>
      </c>
      <c r="CJ358" s="17">
        <f t="shared" si="312"/>
        <v>0</v>
      </c>
      <c r="CK358" s="17">
        <f>IF(AND(CI358&gt;0,CC358&gt;0),CI358/(1-'1 - Input'!$B$22*CJ358),0)</f>
        <v>0</v>
      </c>
      <c r="CL358" s="17">
        <f t="shared" si="313"/>
        <v>0</v>
      </c>
      <c r="CM358" s="17">
        <f>'1 - Input'!$B$22*CJ358*CL358</f>
        <v>0</v>
      </c>
      <c r="CN358" s="17">
        <f t="shared" si="314"/>
        <v>0</v>
      </c>
      <c r="CO358" s="17">
        <f t="shared" si="315"/>
        <v>4518.2289087558656</v>
      </c>
      <c r="CP358" s="17">
        <f t="shared" si="316"/>
        <v>0</v>
      </c>
      <c r="CQ358" s="17">
        <f t="shared" si="317"/>
        <v>0</v>
      </c>
      <c r="CR358" s="17">
        <f t="shared" si="318"/>
        <v>0</v>
      </c>
      <c r="CS358" s="17">
        <f>IF(MOD(BU358,12)=0,CQ358*'1 - Input'!$B$23,0)</f>
        <v>0</v>
      </c>
      <c r="CT358" s="17">
        <f t="shared" si="319"/>
        <v>0</v>
      </c>
      <c r="CU358" s="17">
        <f>IF(MOD(BU358,12)=0,CR358*(1-'1 - Input'!$B$23),CR358)</f>
        <v>0</v>
      </c>
      <c r="CV358" s="17">
        <f>IF('1 - Input'!$B$17=1,MIN(CF358,BX358)+CN358,CF358)</f>
        <v>0</v>
      </c>
      <c r="CW358" s="17">
        <f t="shared" si="339"/>
        <v>686605.50041273201</v>
      </c>
      <c r="CX358" s="17">
        <f t="shared" si="340"/>
        <v>6018.3402768167462</v>
      </c>
      <c r="CY358" s="17">
        <f t="shared" si="341"/>
        <v>66518.776160328038</v>
      </c>
      <c r="CZ358" s="17">
        <f t="shared" si="342"/>
        <v>0</v>
      </c>
      <c r="DA358" s="17">
        <f t="shared" si="343"/>
        <v>10954.114452440983</v>
      </c>
      <c r="DB358" s="17">
        <f t="shared" si="344"/>
        <v>417886.53156705544</v>
      </c>
      <c r="DC358" s="15">
        <f t="shared" si="320"/>
        <v>1</v>
      </c>
    </row>
    <row r="359" spans="1:107">
      <c r="A359" s="14">
        <v>316</v>
      </c>
      <c r="B359" s="15">
        <f t="shared" si="276"/>
        <v>27</v>
      </c>
      <c r="C359" s="16">
        <f>(1+INDEX('1 - Input'!$B$34:$E$63,B359,'1 - Input'!$B$16))^(1/12)-1</f>
        <v>4.1219243192651689E-3</v>
      </c>
      <c r="D359" s="17">
        <f>'1 - Input'!$B$7*(1+'1 - Input'!$B$12)^(B359-1)</f>
        <v>4518.2289087558656</v>
      </c>
      <c r="E359" s="17">
        <f t="shared" si="321"/>
        <v>0</v>
      </c>
      <c r="F359" s="17">
        <f t="shared" si="322"/>
        <v>0</v>
      </c>
      <c r="G359" s="17">
        <f t="shared" si="277"/>
        <v>0</v>
      </c>
      <c r="H359" s="17">
        <f>IF(G359&gt;0,'1 - Input'!$B$8/12*G359,0)</f>
        <v>0</v>
      </c>
      <c r="I359" s="17">
        <f t="shared" si="278"/>
        <v>0</v>
      </c>
      <c r="J359" s="17">
        <f t="shared" si="279"/>
        <v>0</v>
      </c>
      <c r="K359" s="17">
        <f>'1 - Input'!$B$22*(H359-J359)</f>
        <v>0</v>
      </c>
      <c r="L359" s="17">
        <f t="shared" si="280"/>
        <v>0</v>
      </c>
      <c r="M359" s="17">
        <f t="shared" si="281"/>
        <v>0</v>
      </c>
      <c r="N359" s="17">
        <f>IF('1 - Input'!$B$17=1,MAX(0,L359-D359),0)</f>
        <v>0</v>
      </c>
      <c r="O359" s="17">
        <f>IF('1 - Input'!$B$17=1,MAX(0,D359-L359),0)</f>
        <v>4518.2289087558656</v>
      </c>
      <c r="P359" s="17">
        <f t="shared" si="282"/>
        <v>0</v>
      </c>
      <c r="Q359" s="17">
        <f>IF(AND(O359&gt;0,I359&gt;0),O359/(1-'1 - Input'!$B$22*P359),0)</f>
        <v>0</v>
      </c>
      <c r="R359" s="17">
        <f t="shared" si="283"/>
        <v>0</v>
      </c>
      <c r="S359" s="17">
        <f>'1 - Input'!$B$22*P359*R359</f>
        <v>0</v>
      </c>
      <c r="T359" s="17">
        <f t="shared" si="284"/>
        <v>0</v>
      </c>
      <c r="U359" s="17">
        <f t="shared" si="285"/>
        <v>4518.2289087558656</v>
      </c>
      <c r="V359" s="17">
        <f t="shared" si="286"/>
        <v>0</v>
      </c>
      <c r="W359" s="17">
        <f t="shared" si="287"/>
        <v>0</v>
      </c>
      <c r="X359" s="17">
        <f t="shared" si="288"/>
        <v>0</v>
      </c>
      <c r="Y359" s="17">
        <f>IF(MOD(A359,12)=0,W359*'1 - Input'!$B$23,0)</f>
        <v>0</v>
      </c>
      <c r="Z359" s="17">
        <f t="shared" si="289"/>
        <v>0</v>
      </c>
      <c r="AA359" s="17">
        <f>IF(MOD(A359,12)=0,X359*(1-'1 - Input'!$B$23),X359)</f>
        <v>0</v>
      </c>
      <c r="AB359" s="17">
        <f>IF('1 - Input'!$B$17=1,MIN(L359,D359)+T359,L359)</f>
        <v>0</v>
      </c>
      <c r="AC359" s="17">
        <f t="shared" si="323"/>
        <v>590482.93849429931</v>
      </c>
      <c r="AD359" s="17">
        <f t="shared" si="324"/>
        <v>101441.90180685223</v>
      </c>
      <c r="AE359" s="17">
        <f t="shared" si="325"/>
        <v>0</v>
      </c>
      <c r="AF359" s="17">
        <f t="shared" si="326"/>
        <v>174289.24056370757</v>
      </c>
      <c r="AG359" s="17">
        <f t="shared" si="327"/>
        <v>8123.5662772395826</v>
      </c>
      <c r="AH359" s="17">
        <f t="shared" si="328"/>
        <v>518527.32239424309</v>
      </c>
      <c r="AI359" s="15">
        <f t="shared" si="290"/>
        <v>1</v>
      </c>
      <c r="AK359" s="14">
        <v>316</v>
      </c>
      <c r="AL359" s="15">
        <f t="shared" si="291"/>
        <v>27</v>
      </c>
      <c r="AM359" s="16">
        <f>(1+INDEX('1 - Input'!$B$34:$E$63,AL359,'1 - Input'!$B$16))^(1/12)-1</f>
        <v>4.1219243192651689E-3</v>
      </c>
      <c r="AN359" s="17">
        <f>'1 - Input'!$B$7*(1+'1 - Input'!$B$12)^(AL359-1)</f>
        <v>4518.2289087558656</v>
      </c>
      <c r="AO359" s="17">
        <f t="shared" si="329"/>
        <v>0</v>
      </c>
      <c r="AP359" s="17">
        <f t="shared" si="330"/>
        <v>0</v>
      </c>
      <c r="AQ359" s="17">
        <f t="shared" si="292"/>
        <v>0</v>
      </c>
      <c r="AR359" s="17">
        <f>IF(AQ359&gt;0,'1 - Input'!$B$8/12*AQ359,0)</f>
        <v>0</v>
      </c>
      <c r="AS359" s="17">
        <f t="shared" si="293"/>
        <v>0</v>
      </c>
      <c r="AT359" s="17">
        <f t="shared" si="294"/>
        <v>0</v>
      </c>
      <c r="AU359" s="17">
        <f>'1 - Input'!$B$22*(AR359-AT359)</f>
        <v>0</v>
      </c>
      <c r="AV359" s="17">
        <f t="shared" si="295"/>
        <v>0</v>
      </c>
      <c r="AW359" s="17">
        <f t="shared" si="296"/>
        <v>0</v>
      </c>
      <c r="AX359" s="17">
        <f>IF('1 - Input'!$B$17=1,MAX(0,AV359-AN359),0)</f>
        <v>0</v>
      </c>
      <c r="AY359" s="17">
        <f>IF('1 - Input'!$B$17=1,MAX(0,AN359-AV359),0)</f>
        <v>4518.2289087558656</v>
      </c>
      <c r="AZ359" s="17">
        <f t="shared" si="297"/>
        <v>0</v>
      </c>
      <c r="BA359" s="17">
        <f>IF(AND(AY359&gt;0,AS359&gt;0),AY359/(1-'1 - Input'!$B$22*AZ359),0)</f>
        <v>0</v>
      </c>
      <c r="BB359" s="17">
        <f t="shared" si="298"/>
        <v>0</v>
      </c>
      <c r="BC359" s="17">
        <f>'1 - Input'!$B$22*AZ359*BB359</f>
        <v>0</v>
      </c>
      <c r="BD359" s="17">
        <f t="shared" si="299"/>
        <v>0</v>
      </c>
      <c r="BE359" s="17">
        <f t="shared" si="300"/>
        <v>4518.2289087558656</v>
      </c>
      <c r="BF359" s="17">
        <f t="shared" si="301"/>
        <v>0</v>
      </c>
      <c r="BG359" s="17">
        <f t="shared" si="302"/>
        <v>0</v>
      </c>
      <c r="BH359" s="17">
        <f t="shared" si="303"/>
        <v>0</v>
      </c>
      <c r="BI359" s="17">
        <f>IF(MOD(AK359,12)=0,BG359*'1 - Input'!$B$23,0)</f>
        <v>0</v>
      </c>
      <c r="BJ359" s="17">
        <f t="shared" si="304"/>
        <v>0</v>
      </c>
      <c r="BK359" s="17">
        <f>IF(MOD(AK359,12)=0,BH359*(1-'1 - Input'!$B$23),BH359)</f>
        <v>0</v>
      </c>
      <c r="BL359" s="17">
        <f>IF('1 - Input'!$B$17=1,MIN(AV359,AN359)+BD359,AV359)</f>
        <v>0</v>
      </c>
      <c r="BM359" s="17">
        <f t="shared" si="331"/>
        <v>590482.93849429931</v>
      </c>
      <c r="BN359" s="17">
        <f t="shared" si="332"/>
        <v>101441.90180685223</v>
      </c>
      <c r="BO359" s="17">
        <f t="shared" si="333"/>
        <v>0</v>
      </c>
      <c r="BP359" s="17">
        <f t="shared" si="334"/>
        <v>174289.24056370757</v>
      </c>
      <c r="BQ359" s="17">
        <f t="shared" si="335"/>
        <v>8123.5662772395826</v>
      </c>
      <c r="BR359" s="17">
        <f t="shared" si="336"/>
        <v>518527.32239424309</v>
      </c>
      <c r="BS359" s="15">
        <f t="shared" si="305"/>
        <v>1</v>
      </c>
      <c r="BU359" s="14">
        <v>316</v>
      </c>
      <c r="BV359" s="15">
        <f t="shared" si="306"/>
        <v>27</v>
      </c>
      <c r="BW359" s="16">
        <f>(1+INDEX('1 - Input'!$B$34:$E$63,BV359,'1 - Input'!$B$16))^(1/12)-1</f>
        <v>4.1219243192651689E-3</v>
      </c>
      <c r="BX359" s="17">
        <f>'1 - Input'!$B$7*(1+'1 - Input'!$B$12)^(BV359-1)</f>
        <v>4518.2289087558656</v>
      </c>
      <c r="BY359" s="17">
        <f t="shared" si="337"/>
        <v>0</v>
      </c>
      <c r="BZ359" s="17">
        <f t="shared" si="338"/>
        <v>0</v>
      </c>
      <c r="CA359" s="17">
        <f t="shared" si="307"/>
        <v>0</v>
      </c>
      <c r="CB359" s="17">
        <f>IF(CA359&gt;0,'1 - Input'!$B$8/12*CA359,0)</f>
        <v>0</v>
      </c>
      <c r="CC359" s="17">
        <f t="shared" si="308"/>
        <v>0</v>
      </c>
      <c r="CD359" s="17">
        <f t="shared" si="309"/>
        <v>0</v>
      </c>
      <c r="CE359" s="17">
        <f>'1 - Input'!$B$22*(CB359-CD359)</f>
        <v>0</v>
      </c>
      <c r="CF359" s="17">
        <f t="shared" si="310"/>
        <v>0</v>
      </c>
      <c r="CG359" s="17">
        <f t="shared" si="311"/>
        <v>0</v>
      </c>
      <c r="CH359" s="17">
        <f>IF('1 - Input'!$B$17=1,MAX(0,CF359-BX359),0)</f>
        <v>0</v>
      </c>
      <c r="CI359" s="17">
        <f>IF('1 - Input'!$B$17=1,MAX(0,BX359-CF359),0)</f>
        <v>4518.2289087558656</v>
      </c>
      <c r="CJ359" s="17">
        <f t="shared" si="312"/>
        <v>0</v>
      </c>
      <c r="CK359" s="17">
        <f>IF(AND(CI359&gt;0,CC359&gt;0),CI359/(1-'1 - Input'!$B$22*CJ359),0)</f>
        <v>0</v>
      </c>
      <c r="CL359" s="17">
        <f t="shared" si="313"/>
        <v>0</v>
      </c>
      <c r="CM359" s="17">
        <f>'1 - Input'!$B$22*CJ359*CL359</f>
        <v>0</v>
      </c>
      <c r="CN359" s="17">
        <f t="shared" si="314"/>
        <v>0</v>
      </c>
      <c r="CO359" s="17">
        <f t="shared" si="315"/>
        <v>4518.2289087558656</v>
      </c>
      <c r="CP359" s="17">
        <f t="shared" si="316"/>
        <v>0</v>
      </c>
      <c r="CQ359" s="17">
        <f t="shared" si="317"/>
        <v>0</v>
      </c>
      <c r="CR359" s="17">
        <f t="shared" si="318"/>
        <v>0</v>
      </c>
      <c r="CS359" s="17">
        <f>IF(MOD(BU359,12)=0,CQ359*'1 - Input'!$B$23,0)</f>
        <v>0</v>
      </c>
      <c r="CT359" s="17">
        <f t="shared" si="319"/>
        <v>0</v>
      </c>
      <c r="CU359" s="17">
        <f>IF(MOD(BU359,12)=0,CR359*(1-'1 - Input'!$B$23),CR359)</f>
        <v>0</v>
      </c>
      <c r="CV359" s="17">
        <f>IF('1 - Input'!$B$17=1,MIN(CF359,BX359)+CN359,CF359)</f>
        <v>0</v>
      </c>
      <c r="CW359" s="17">
        <f t="shared" si="339"/>
        <v>686605.50041273201</v>
      </c>
      <c r="CX359" s="17">
        <f t="shared" si="340"/>
        <v>6018.3402768167462</v>
      </c>
      <c r="CY359" s="17">
        <f t="shared" si="341"/>
        <v>66518.776160328038</v>
      </c>
      <c r="CZ359" s="17">
        <f t="shared" si="342"/>
        <v>0</v>
      </c>
      <c r="DA359" s="17">
        <f t="shared" si="343"/>
        <v>10954.114452440983</v>
      </c>
      <c r="DB359" s="17">
        <f t="shared" si="344"/>
        <v>422404.76047581132</v>
      </c>
      <c r="DC359" s="15">
        <f t="shared" si="320"/>
        <v>1</v>
      </c>
    </row>
    <row r="360" spans="1:107">
      <c r="A360" s="14">
        <v>317</v>
      </c>
      <c r="B360" s="15">
        <f t="shared" si="276"/>
        <v>27</v>
      </c>
      <c r="C360" s="16">
        <f>(1+INDEX('1 - Input'!$B$34:$E$63,B360,'1 - Input'!$B$16))^(1/12)-1</f>
        <v>4.1219243192651689E-3</v>
      </c>
      <c r="D360" s="17">
        <f>'1 - Input'!$B$7*(1+'1 - Input'!$B$12)^(B360-1)</f>
        <v>4518.2289087558656</v>
      </c>
      <c r="E360" s="17">
        <f t="shared" si="321"/>
        <v>0</v>
      </c>
      <c r="F360" s="17">
        <f t="shared" si="322"/>
        <v>0</v>
      </c>
      <c r="G360" s="17">
        <f t="shared" si="277"/>
        <v>0</v>
      </c>
      <c r="H360" s="17">
        <f>IF(G360&gt;0,'1 - Input'!$B$8/12*G360,0)</f>
        <v>0</v>
      </c>
      <c r="I360" s="17">
        <f t="shared" si="278"/>
        <v>0</v>
      </c>
      <c r="J360" s="17">
        <f t="shared" si="279"/>
        <v>0</v>
      </c>
      <c r="K360" s="17">
        <f>'1 - Input'!$B$22*(H360-J360)</f>
        <v>0</v>
      </c>
      <c r="L360" s="17">
        <f t="shared" si="280"/>
        <v>0</v>
      </c>
      <c r="M360" s="17">
        <f t="shared" si="281"/>
        <v>0</v>
      </c>
      <c r="N360" s="17">
        <f>IF('1 - Input'!$B$17=1,MAX(0,L360-D360),0)</f>
        <v>0</v>
      </c>
      <c r="O360" s="17">
        <f>IF('1 - Input'!$B$17=1,MAX(0,D360-L360),0)</f>
        <v>4518.2289087558656</v>
      </c>
      <c r="P360" s="17">
        <f t="shared" si="282"/>
        <v>0</v>
      </c>
      <c r="Q360" s="17">
        <f>IF(AND(O360&gt;0,I360&gt;0),O360/(1-'1 - Input'!$B$22*P360),0)</f>
        <v>0</v>
      </c>
      <c r="R360" s="17">
        <f t="shared" si="283"/>
        <v>0</v>
      </c>
      <c r="S360" s="17">
        <f>'1 - Input'!$B$22*P360*R360</f>
        <v>0</v>
      </c>
      <c r="T360" s="17">
        <f t="shared" si="284"/>
        <v>0</v>
      </c>
      <c r="U360" s="17">
        <f t="shared" si="285"/>
        <v>4518.2289087558656</v>
      </c>
      <c r="V360" s="17">
        <f t="shared" si="286"/>
        <v>0</v>
      </c>
      <c r="W360" s="17">
        <f t="shared" si="287"/>
        <v>0</v>
      </c>
      <c r="X360" s="17">
        <f t="shared" si="288"/>
        <v>0</v>
      </c>
      <c r="Y360" s="17">
        <f>IF(MOD(A360,12)=0,W360*'1 - Input'!$B$23,0)</f>
        <v>0</v>
      </c>
      <c r="Z360" s="17">
        <f t="shared" si="289"/>
        <v>0</v>
      </c>
      <c r="AA360" s="17">
        <f>IF(MOD(A360,12)=0,X360*(1-'1 - Input'!$B$23),X360)</f>
        <v>0</v>
      </c>
      <c r="AB360" s="17">
        <f>IF('1 - Input'!$B$17=1,MIN(L360,D360)+T360,L360)</f>
        <v>0</v>
      </c>
      <c r="AC360" s="17">
        <f t="shared" si="323"/>
        <v>590482.93849429931</v>
      </c>
      <c r="AD360" s="17">
        <f t="shared" si="324"/>
        <v>101441.90180685223</v>
      </c>
      <c r="AE360" s="17">
        <f t="shared" si="325"/>
        <v>0</v>
      </c>
      <c r="AF360" s="17">
        <f t="shared" si="326"/>
        <v>174289.24056370757</v>
      </c>
      <c r="AG360" s="17">
        <f t="shared" si="327"/>
        <v>8123.5662772395826</v>
      </c>
      <c r="AH360" s="17">
        <f t="shared" si="328"/>
        <v>523045.55130299897</v>
      </c>
      <c r="AI360" s="15">
        <f t="shared" si="290"/>
        <v>1</v>
      </c>
      <c r="AK360" s="14">
        <v>317</v>
      </c>
      <c r="AL360" s="15">
        <f t="shared" si="291"/>
        <v>27</v>
      </c>
      <c r="AM360" s="16">
        <f>(1+INDEX('1 - Input'!$B$34:$E$63,AL360,'1 - Input'!$B$16))^(1/12)-1</f>
        <v>4.1219243192651689E-3</v>
      </c>
      <c r="AN360" s="17">
        <f>'1 - Input'!$B$7*(1+'1 - Input'!$B$12)^(AL360-1)</f>
        <v>4518.2289087558656</v>
      </c>
      <c r="AO360" s="17">
        <f t="shared" si="329"/>
        <v>0</v>
      </c>
      <c r="AP360" s="17">
        <f t="shared" si="330"/>
        <v>0</v>
      </c>
      <c r="AQ360" s="17">
        <f t="shared" si="292"/>
        <v>0</v>
      </c>
      <c r="AR360" s="17">
        <f>IF(AQ360&gt;0,'1 - Input'!$B$8/12*AQ360,0)</f>
        <v>0</v>
      </c>
      <c r="AS360" s="17">
        <f t="shared" si="293"/>
        <v>0</v>
      </c>
      <c r="AT360" s="17">
        <f t="shared" si="294"/>
        <v>0</v>
      </c>
      <c r="AU360" s="17">
        <f>'1 - Input'!$B$22*(AR360-AT360)</f>
        <v>0</v>
      </c>
      <c r="AV360" s="17">
        <f t="shared" si="295"/>
        <v>0</v>
      </c>
      <c r="AW360" s="17">
        <f t="shared" si="296"/>
        <v>0</v>
      </c>
      <c r="AX360" s="17">
        <f>IF('1 - Input'!$B$17=1,MAX(0,AV360-AN360),0)</f>
        <v>0</v>
      </c>
      <c r="AY360" s="17">
        <f>IF('1 - Input'!$B$17=1,MAX(0,AN360-AV360),0)</f>
        <v>4518.2289087558656</v>
      </c>
      <c r="AZ360" s="17">
        <f t="shared" si="297"/>
        <v>0</v>
      </c>
      <c r="BA360" s="17">
        <f>IF(AND(AY360&gt;0,AS360&gt;0),AY360/(1-'1 - Input'!$B$22*AZ360),0)</f>
        <v>0</v>
      </c>
      <c r="BB360" s="17">
        <f t="shared" si="298"/>
        <v>0</v>
      </c>
      <c r="BC360" s="17">
        <f>'1 - Input'!$B$22*AZ360*BB360</f>
        <v>0</v>
      </c>
      <c r="BD360" s="17">
        <f t="shared" si="299"/>
        <v>0</v>
      </c>
      <c r="BE360" s="17">
        <f t="shared" si="300"/>
        <v>4518.2289087558656</v>
      </c>
      <c r="BF360" s="17">
        <f t="shared" si="301"/>
        <v>0</v>
      </c>
      <c r="BG360" s="17">
        <f t="shared" si="302"/>
        <v>0</v>
      </c>
      <c r="BH360" s="17">
        <f t="shared" si="303"/>
        <v>0</v>
      </c>
      <c r="BI360" s="17">
        <f>IF(MOD(AK360,12)=0,BG360*'1 - Input'!$B$23,0)</f>
        <v>0</v>
      </c>
      <c r="BJ360" s="17">
        <f t="shared" si="304"/>
        <v>0</v>
      </c>
      <c r="BK360" s="17">
        <f>IF(MOD(AK360,12)=0,BH360*(1-'1 - Input'!$B$23),BH360)</f>
        <v>0</v>
      </c>
      <c r="BL360" s="17">
        <f>IF('1 - Input'!$B$17=1,MIN(AV360,AN360)+BD360,AV360)</f>
        <v>0</v>
      </c>
      <c r="BM360" s="17">
        <f t="shared" si="331"/>
        <v>590482.93849429931</v>
      </c>
      <c r="BN360" s="17">
        <f t="shared" si="332"/>
        <v>101441.90180685223</v>
      </c>
      <c r="BO360" s="17">
        <f t="shared" si="333"/>
        <v>0</v>
      </c>
      <c r="BP360" s="17">
        <f t="shared" si="334"/>
        <v>174289.24056370757</v>
      </c>
      <c r="BQ360" s="17">
        <f t="shared" si="335"/>
        <v>8123.5662772395826</v>
      </c>
      <c r="BR360" s="17">
        <f t="shared" si="336"/>
        <v>523045.55130299897</v>
      </c>
      <c r="BS360" s="15">
        <f t="shared" si="305"/>
        <v>1</v>
      </c>
      <c r="BU360" s="14">
        <v>317</v>
      </c>
      <c r="BV360" s="15">
        <f t="shared" si="306"/>
        <v>27</v>
      </c>
      <c r="BW360" s="16">
        <f>(1+INDEX('1 - Input'!$B$34:$E$63,BV360,'1 - Input'!$B$16))^(1/12)-1</f>
        <v>4.1219243192651689E-3</v>
      </c>
      <c r="BX360" s="17">
        <f>'1 - Input'!$B$7*(1+'1 - Input'!$B$12)^(BV360-1)</f>
        <v>4518.2289087558656</v>
      </c>
      <c r="BY360" s="17">
        <f t="shared" si="337"/>
        <v>0</v>
      </c>
      <c r="BZ360" s="17">
        <f t="shared" si="338"/>
        <v>0</v>
      </c>
      <c r="CA360" s="17">
        <f t="shared" si="307"/>
        <v>0</v>
      </c>
      <c r="CB360" s="17">
        <f>IF(CA360&gt;0,'1 - Input'!$B$8/12*CA360,0)</f>
        <v>0</v>
      </c>
      <c r="CC360" s="17">
        <f t="shared" si="308"/>
        <v>0</v>
      </c>
      <c r="CD360" s="17">
        <f t="shared" si="309"/>
        <v>0</v>
      </c>
      <c r="CE360" s="17">
        <f>'1 - Input'!$B$22*(CB360-CD360)</f>
        <v>0</v>
      </c>
      <c r="CF360" s="17">
        <f t="shared" si="310"/>
        <v>0</v>
      </c>
      <c r="CG360" s="17">
        <f t="shared" si="311"/>
        <v>0</v>
      </c>
      <c r="CH360" s="17">
        <f>IF('1 - Input'!$B$17=1,MAX(0,CF360-BX360),0)</f>
        <v>0</v>
      </c>
      <c r="CI360" s="17">
        <f>IF('1 - Input'!$B$17=1,MAX(0,BX360-CF360),0)</f>
        <v>4518.2289087558656</v>
      </c>
      <c r="CJ360" s="17">
        <f t="shared" si="312"/>
        <v>0</v>
      </c>
      <c r="CK360" s="17">
        <f>IF(AND(CI360&gt;0,CC360&gt;0),CI360/(1-'1 - Input'!$B$22*CJ360),0)</f>
        <v>0</v>
      </c>
      <c r="CL360" s="17">
        <f t="shared" si="313"/>
        <v>0</v>
      </c>
      <c r="CM360" s="17">
        <f>'1 - Input'!$B$22*CJ360*CL360</f>
        <v>0</v>
      </c>
      <c r="CN360" s="17">
        <f t="shared" si="314"/>
        <v>0</v>
      </c>
      <c r="CO360" s="17">
        <f t="shared" si="315"/>
        <v>4518.2289087558656</v>
      </c>
      <c r="CP360" s="17">
        <f t="shared" si="316"/>
        <v>0</v>
      </c>
      <c r="CQ360" s="17">
        <f t="shared" si="317"/>
        <v>0</v>
      </c>
      <c r="CR360" s="17">
        <f t="shared" si="318"/>
        <v>0</v>
      </c>
      <c r="CS360" s="17">
        <f>IF(MOD(BU360,12)=0,CQ360*'1 - Input'!$B$23,0)</f>
        <v>0</v>
      </c>
      <c r="CT360" s="17">
        <f t="shared" si="319"/>
        <v>0</v>
      </c>
      <c r="CU360" s="17">
        <f>IF(MOD(BU360,12)=0,CR360*(1-'1 - Input'!$B$23),CR360)</f>
        <v>0</v>
      </c>
      <c r="CV360" s="17">
        <f>IF('1 - Input'!$B$17=1,MIN(CF360,BX360)+CN360,CF360)</f>
        <v>0</v>
      </c>
      <c r="CW360" s="17">
        <f t="shared" si="339"/>
        <v>686605.50041273201</v>
      </c>
      <c r="CX360" s="17">
        <f t="shared" si="340"/>
        <v>6018.3402768167462</v>
      </c>
      <c r="CY360" s="17">
        <f t="shared" si="341"/>
        <v>66518.776160328038</v>
      </c>
      <c r="CZ360" s="17">
        <f t="shared" si="342"/>
        <v>0</v>
      </c>
      <c r="DA360" s="17">
        <f t="shared" si="343"/>
        <v>10954.114452440983</v>
      </c>
      <c r="DB360" s="17">
        <f t="shared" si="344"/>
        <v>426922.98938456719</v>
      </c>
      <c r="DC360" s="15">
        <f t="shared" si="320"/>
        <v>1</v>
      </c>
    </row>
    <row r="361" spans="1:107">
      <c r="A361" s="14">
        <v>318</v>
      </c>
      <c r="B361" s="15">
        <f t="shared" si="276"/>
        <v>27</v>
      </c>
      <c r="C361" s="16">
        <f>(1+INDEX('1 - Input'!$B$34:$E$63,B361,'1 - Input'!$B$16))^(1/12)-1</f>
        <v>4.1219243192651689E-3</v>
      </c>
      <c r="D361" s="17">
        <f>'1 - Input'!$B$7*(1+'1 - Input'!$B$12)^(B361-1)</f>
        <v>4518.2289087558656</v>
      </c>
      <c r="E361" s="17">
        <f t="shared" si="321"/>
        <v>0</v>
      </c>
      <c r="F361" s="17">
        <f t="shared" si="322"/>
        <v>0</v>
      </c>
      <c r="G361" s="17">
        <f t="shared" si="277"/>
        <v>0</v>
      </c>
      <c r="H361" s="17">
        <f>IF(G361&gt;0,'1 - Input'!$B$8/12*G361,0)</f>
        <v>0</v>
      </c>
      <c r="I361" s="17">
        <f t="shared" si="278"/>
        <v>0</v>
      </c>
      <c r="J361" s="17">
        <f t="shared" si="279"/>
        <v>0</v>
      </c>
      <c r="K361" s="17">
        <f>'1 - Input'!$B$22*(H361-J361)</f>
        <v>0</v>
      </c>
      <c r="L361" s="17">
        <f t="shared" si="280"/>
        <v>0</v>
      </c>
      <c r="M361" s="17">
        <f t="shared" si="281"/>
        <v>0</v>
      </c>
      <c r="N361" s="17">
        <f>IF('1 - Input'!$B$17=1,MAX(0,L361-D361),0)</f>
        <v>0</v>
      </c>
      <c r="O361" s="17">
        <f>IF('1 - Input'!$B$17=1,MAX(0,D361-L361),0)</f>
        <v>4518.2289087558656</v>
      </c>
      <c r="P361" s="17">
        <f t="shared" si="282"/>
        <v>0</v>
      </c>
      <c r="Q361" s="17">
        <f>IF(AND(O361&gt;0,I361&gt;0),O361/(1-'1 - Input'!$B$22*P361),0)</f>
        <v>0</v>
      </c>
      <c r="R361" s="17">
        <f t="shared" si="283"/>
        <v>0</v>
      </c>
      <c r="S361" s="17">
        <f>'1 - Input'!$B$22*P361*R361</f>
        <v>0</v>
      </c>
      <c r="T361" s="17">
        <f t="shared" si="284"/>
        <v>0</v>
      </c>
      <c r="U361" s="17">
        <f t="shared" si="285"/>
        <v>4518.2289087558656</v>
      </c>
      <c r="V361" s="17">
        <f t="shared" si="286"/>
        <v>0</v>
      </c>
      <c r="W361" s="17">
        <f t="shared" si="287"/>
        <v>0</v>
      </c>
      <c r="X361" s="17">
        <f t="shared" si="288"/>
        <v>0</v>
      </c>
      <c r="Y361" s="17">
        <f>IF(MOD(A361,12)=0,W361*'1 - Input'!$B$23,0)</f>
        <v>0</v>
      </c>
      <c r="Z361" s="17">
        <f t="shared" si="289"/>
        <v>0</v>
      </c>
      <c r="AA361" s="17">
        <f>IF(MOD(A361,12)=0,X361*(1-'1 - Input'!$B$23),X361)</f>
        <v>0</v>
      </c>
      <c r="AB361" s="17">
        <f>IF('1 - Input'!$B$17=1,MIN(L361,D361)+T361,L361)</f>
        <v>0</v>
      </c>
      <c r="AC361" s="17">
        <f t="shared" si="323"/>
        <v>590482.93849429931</v>
      </c>
      <c r="AD361" s="17">
        <f t="shared" si="324"/>
        <v>101441.90180685223</v>
      </c>
      <c r="AE361" s="17">
        <f t="shared" si="325"/>
        <v>0</v>
      </c>
      <c r="AF361" s="17">
        <f t="shared" si="326"/>
        <v>174289.24056370757</v>
      </c>
      <c r="AG361" s="17">
        <f t="shared" si="327"/>
        <v>8123.5662772395826</v>
      </c>
      <c r="AH361" s="17">
        <f t="shared" si="328"/>
        <v>527563.78021175484</v>
      </c>
      <c r="AI361" s="15">
        <f t="shared" si="290"/>
        <v>1</v>
      </c>
      <c r="AK361" s="14">
        <v>318</v>
      </c>
      <c r="AL361" s="15">
        <f t="shared" si="291"/>
        <v>27</v>
      </c>
      <c r="AM361" s="16">
        <f>(1+INDEX('1 - Input'!$B$34:$E$63,AL361,'1 - Input'!$B$16))^(1/12)-1</f>
        <v>4.1219243192651689E-3</v>
      </c>
      <c r="AN361" s="17">
        <f>'1 - Input'!$B$7*(1+'1 - Input'!$B$12)^(AL361-1)</f>
        <v>4518.2289087558656</v>
      </c>
      <c r="AO361" s="17">
        <f t="shared" si="329"/>
        <v>0</v>
      </c>
      <c r="AP361" s="17">
        <f t="shared" si="330"/>
        <v>0</v>
      </c>
      <c r="AQ361" s="17">
        <f t="shared" si="292"/>
        <v>0</v>
      </c>
      <c r="AR361" s="17">
        <f>IF(AQ361&gt;0,'1 - Input'!$B$8/12*AQ361,0)</f>
        <v>0</v>
      </c>
      <c r="AS361" s="17">
        <f t="shared" si="293"/>
        <v>0</v>
      </c>
      <c r="AT361" s="17">
        <f t="shared" si="294"/>
        <v>0</v>
      </c>
      <c r="AU361" s="17">
        <f>'1 - Input'!$B$22*(AR361-AT361)</f>
        <v>0</v>
      </c>
      <c r="AV361" s="17">
        <f t="shared" si="295"/>
        <v>0</v>
      </c>
      <c r="AW361" s="17">
        <f t="shared" si="296"/>
        <v>0</v>
      </c>
      <c r="AX361" s="17">
        <f>IF('1 - Input'!$B$17=1,MAX(0,AV361-AN361),0)</f>
        <v>0</v>
      </c>
      <c r="AY361" s="17">
        <f>IF('1 - Input'!$B$17=1,MAX(0,AN361-AV361),0)</f>
        <v>4518.2289087558656</v>
      </c>
      <c r="AZ361" s="17">
        <f t="shared" si="297"/>
        <v>0</v>
      </c>
      <c r="BA361" s="17">
        <f>IF(AND(AY361&gt;0,AS361&gt;0),AY361/(1-'1 - Input'!$B$22*AZ361),0)</f>
        <v>0</v>
      </c>
      <c r="BB361" s="17">
        <f t="shared" si="298"/>
        <v>0</v>
      </c>
      <c r="BC361" s="17">
        <f>'1 - Input'!$B$22*AZ361*BB361</f>
        <v>0</v>
      </c>
      <c r="BD361" s="17">
        <f t="shared" si="299"/>
        <v>0</v>
      </c>
      <c r="BE361" s="17">
        <f t="shared" si="300"/>
        <v>4518.2289087558656</v>
      </c>
      <c r="BF361" s="17">
        <f t="shared" si="301"/>
        <v>0</v>
      </c>
      <c r="BG361" s="17">
        <f t="shared" si="302"/>
        <v>0</v>
      </c>
      <c r="BH361" s="17">
        <f t="shared" si="303"/>
        <v>0</v>
      </c>
      <c r="BI361" s="17">
        <f>IF(MOD(AK361,12)=0,BG361*'1 - Input'!$B$23,0)</f>
        <v>0</v>
      </c>
      <c r="BJ361" s="17">
        <f t="shared" si="304"/>
        <v>0</v>
      </c>
      <c r="BK361" s="17">
        <f>IF(MOD(AK361,12)=0,BH361*(1-'1 - Input'!$B$23),BH361)</f>
        <v>0</v>
      </c>
      <c r="BL361" s="17">
        <f>IF('1 - Input'!$B$17=1,MIN(AV361,AN361)+BD361,AV361)</f>
        <v>0</v>
      </c>
      <c r="BM361" s="17">
        <f t="shared" si="331"/>
        <v>590482.93849429931</v>
      </c>
      <c r="BN361" s="17">
        <f t="shared" si="332"/>
        <v>101441.90180685223</v>
      </c>
      <c r="BO361" s="17">
        <f t="shared" si="333"/>
        <v>0</v>
      </c>
      <c r="BP361" s="17">
        <f t="shared" si="334"/>
        <v>174289.24056370757</v>
      </c>
      <c r="BQ361" s="17">
        <f t="shared" si="335"/>
        <v>8123.5662772395826</v>
      </c>
      <c r="BR361" s="17">
        <f t="shared" si="336"/>
        <v>527563.78021175484</v>
      </c>
      <c r="BS361" s="15">
        <f t="shared" si="305"/>
        <v>1</v>
      </c>
      <c r="BU361" s="14">
        <v>318</v>
      </c>
      <c r="BV361" s="15">
        <f t="shared" si="306"/>
        <v>27</v>
      </c>
      <c r="BW361" s="16">
        <f>(1+INDEX('1 - Input'!$B$34:$E$63,BV361,'1 - Input'!$B$16))^(1/12)-1</f>
        <v>4.1219243192651689E-3</v>
      </c>
      <c r="BX361" s="17">
        <f>'1 - Input'!$B$7*(1+'1 - Input'!$B$12)^(BV361-1)</f>
        <v>4518.2289087558656</v>
      </c>
      <c r="BY361" s="17">
        <f t="shared" si="337"/>
        <v>0</v>
      </c>
      <c r="BZ361" s="17">
        <f t="shared" si="338"/>
        <v>0</v>
      </c>
      <c r="CA361" s="17">
        <f t="shared" si="307"/>
        <v>0</v>
      </c>
      <c r="CB361" s="17">
        <f>IF(CA361&gt;0,'1 - Input'!$B$8/12*CA361,0)</f>
        <v>0</v>
      </c>
      <c r="CC361" s="17">
        <f t="shared" si="308"/>
        <v>0</v>
      </c>
      <c r="CD361" s="17">
        <f t="shared" si="309"/>
        <v>0</v>
      </c>
      <c r="CE361" s="17">
        <f>'1 - Input'!$B$22*(CB361-CD361)</f>
        <v>0</v>
      </c>
      <c r="CF361" s="17">
        <f t="shared" si="310"/>
        <v>0</v>
      </c>
      <c r="CG361" s="17">
        <f t="shared" si="311"/>
        <v>0</v>
      </c>
      <c r="CH361" s="17">
        <f>IF('1 - Input'!$B$17=1,MAX(0,CF361-BX361),0)</f>
        <v>0</v>
      </c>
      <c r="CI361" s="17">
        <f>IF('1 - Input'!$B$17=1,MAX(0,BX361-CF361),0)</f>
        <v>4518.2289087558656</v>
      </c>
      <c r="CJ361" s="17">
        <f t="shared" si="312"/>
        <v>0</v>
      </c>
      <c r="CK361" s="17">
        <f>IF(AND(CI361&gt;0,CC361&gt;0),CI361/(1-'1 - Input'!$B$22*CJ361),0)</f>
        <v>0</v>
      </c>
      <c r="CL361" s="17">
        <f t="shared" si="313"/>
        <v>0</v>
      </c>
      <c r="CM361" s="17">
        <f>'1 - Input'!$B$22*CJ361*CL361</f>
        <v>0</v>
      </c>
      <c r="CN361" s="17">
        <f t="shared" si="314"/>
        <v>0</v>
      </c>
      <c r="CO361" s="17">
        <f t="shared" si="315"/>
        <v>4518.2289087558656</v>
      </c>
      <c r="CP361" s="17">
        <f t="shared" si="316"/>
        <v>0</v>
      </c>
      <c r="CQ361" s="17">
        <f t="shared" si="317"/>
        <v>0</v>
      </c>
      <c r="CR361" s="17">
        <f t="shared" si="318"/>
        <v>0</v>
      </c>
      <c r="CS361" s="17">
        <f>IF(MOD(BU361,12)=0,CQ361*'1 - Input'!$B$23,0)</f>
        <v>0</v>
      </c>
      <c r="CT361" s="17">
        <f t="shared" si="319"/>
        <v>0</v>
      </c>
      <c r="CU361" s="17">
        <f>IF(MOD(BU361,12)=0,CR361*(1-'1 - Input'!$B$23),CR361)</f>
        <v>0</v>
      </c>
      <c r="CV361" s="17">
        <f>IF('1 - Input'!$B$17=1,MIN(CF361,BX361)+CN361,CF361)</f>
        <v>0</v>
      </c>
      <c r="CW361" s="17">
        <f t="shared" si="339"/>
        <v>686605.50041273201</v>
      </c>
      <c r="CX361" s="17">
        <f t="shared" si="340"/>
        <v>6018.3402768167462</v>
      </c>
      <c r="CY361" s="17">
        <f t="shared" si="341"/>
        <v>66518.776160328038</v>
      </c>
      <c r="CZ361" s="17">
        <f t="shared" si="342"/>
        <v>0</v>
      </c>
      <c r="DA361" s="17">
        <f t="shared" si="343"/>
        <v>10954.114452440983</v>
      </c>
      <c r="DB361" s="17">
        <f t="shared" si="344"/>
        <v>431441.21829332307</v>
      </c>
      <c r="DC361" s="15">
        <f t="shared" si="320"/>
        <v>1</v>
      </c>
    </row>
    <row r="362" spans="1:107">
      <c r="A362" s="14">
        <v>319</v>
      </c>
      <c r="B362" s="15">
        <f t="shared" si="276"/>
        <v>27</v>
      </c>
      <c r="C362" s="16">
        <f>(1+INDEX('1 - Input'!$B$34:$E$63,B362,'1 - Input'!$B$16))^(1/12)-1</f>
        <v>4.1219243192651689E-3</v>
      </c>
      <c r="D362" s="17">
        <f>'1 - Input'!$B$7*(1+'1 - Input'!$B$12)^(B362-1)</f>
        <v>4518.2289087558656</v>
      </c>
      <c r="E362" s="17">
        <f t="shared" si="321"/>
        <v>0</v>
      </c>
      <c r="F362" s="17">
        <f t="shared" si="322"/>
        <v>0</v>
      </c>
      <c r="G362" s="17">
        <f t="shared" si="277"/>
        <v>0</v>
      </c>
      <c r="H362" s="17">
        <f>IF(G362&gt;0,'1 - Input'!$B$8/12*G362,0)</f>
        <v>0</v>
      </c>
      <c r="I362" s="17">
        <f t="shared" si="278"/>
        <v>0</v>
      </c>
      <c r="J362" s="17">
        <f t="shared" si="279"/>
        <v>0</v>
      </c>
      <c r="K362" s="17">
        <f>'1 - Input'!$B$22*(H362-J362)</f>
        <v>0</v>
      </c>
      <c r="L362" s="17">
        <f t="shared" si="280"/>
        <v>0</v>
      </c>
      <c r="M362" s="17">
        <f t="shared" si="281"/>
        <v>0</v>
      </c>
      <c r="N362" s="17">
        <f>IF('1 - Input'!$B$17=1,MAX(0,L362-D362),0)</f>
        <v>0</v>
      </c>
      <c r="O362" s="17">
        <f>IF('1 - Input'!$B$17=1,MAX(0,D362-L362),0)</f>
        <v>4518.2289087558656</v>
      </c>
      <c r="P362" s="17">
        <f t="shared" si="282"/>
        <v>0</v>
      </c>
      <c r="Q362" s="17">
        <f>IF(AND(O362&gt;0,I362&gt;0),O362/(1-'1 - Input'!$B$22*P362),0)</f>
        <v>0</v>
      </c>
      <c r="R362" s="17">
        <f t="shared" si="283"/>
        <v>0</v>
      </c>
      <c r="S362" s="17">
        <f>'1 - Input'!$B$22*P362*R362</f>
        <v>0</v>
      </c>
      <c r="T362" s="17">
        <f t="shared" si="284"/>
        <v>0</v>
      </c>
      <c r="U362" s="17">
        <f t="shared" si="285"/>
        <v>4518.2289087558656</v>
      </c>
      <c r="V362" s="17">
        <f t="shared" si="286"/>
        <v>0</v>
      </c>
      <c r="W362" s="17">
        <f t="shared" si="287"/>
        <v>0</v>
      </c>
      <c r="X362" s="17">
        <f t="shared" si="288"/>
        <v>0</v>
      </c>
      <c r="Y362" s="17">
        <f>IF(MOD(A362,12)=0,W362*'1 - Input'!$B$23,0)</f>
        <v>0</v>
      </c>
      <c r="Z362" s="17">
        <f t="shared" si="289"/>
        <v>0</v>
      </c>
      <c r="AA362" s="17">
        <f>IF(MOD(A362,12)=0,X362*(1-'1 - Input'!$B$23),X362)</f>
        <v>0</v>
      </c>
      <c r="AB362" s="17">
        <f>IF('1 - Input'!$B$17=1,MIN(L362,D362)+T362,L362)</f>
        <v>0</v>
      </c>
      <c r="AC362" s="17">
        <f t="shared" si="323"/>
        <v>590482.93849429931</v>
      </c>
      <c r="AD362" s="17">
        <f t="shared" si="324"/>
        <v>101441.90180685223</v>
      </c>
      <c r="AE362" s="17">
        <f t="shared" si="325"/>
        <v>0</v>
      </c>
      <c r="AF362" s="17">
        <f t="shared" si="326"/>
        <v>174289.24056370757</v>
      </c>
      <c r="AG362" s="17">
        <f t="shared" si="327"/>
        <v>8123.5662772395826</v>
      </c>
      <c r="AH362" s="17">
        <f t="shared" si="328"/>
        <v>532082.00912051066</v>
      </c>
      <c r="AI362" s="15">
        <f t="shared" si="290"/>
        <v>1</v>
      </c>
      <c r="AK362" s="14">
        <v>319</v>
      </c>
      <c r="AL362" s="15">
        <f t="shared" si="291"/>
        <v>27</v>
      </c>
      <c r="AM362" s="16">
        <f>(1+INDEX('1 - Input'!$B$34:$E$63,AL362,'1 - Input'!$B$16))^(1/12)-1</f>
        <v>4.1219243192651689E-3</v>
      </c>
      <c r="AN362" s="17">
        <f>'1 - Input'!$B$7*(1+'1 - Input'!$B$12)^(AL362-1)</f>
        <v>4518.2289087558656</v>
      </c>
      <c r="AO362" s="17">
        <f t="shared" si="329"/>
        <v>0</v>
      </c>
      <c r="AP362" s="17">
        <f t="shared" si="330"/>
        <v>0</v>
      </c>
      <c r="AQ362" s="17">
        <f t="shared" si="292"/>
        <v>0</v>
      </c>
      <c r="AR362" s="17">
        <f>IF(AQ362&gt;0,'1 - Input'!$B$8/12*AQ362,0)</f>
        <v>0</v>
      </c>
      <c r="AS362" s="17">
        <f t="shared" si="293"/>
        <v>0</v>
      </c>
      <c r="AT362" s="17">
        <f t="shared" si="294"/>
        <v>0</v>
      </c>
      <c r="AU362" s="17">
        <f>'1 - Input'!$B$22*(AR362-AT362)</f>
        <v>0</v>
      </c>
      <c r="AV362" s="17">
        <f t="shared" si="295"/>
        <v>0</v>
      </c>
      <c r="AW362" s="17">
        <f t="shared" si="296"/>
        <v>0</v>
      </c>
      <c r="AX362" s="17">
        <f>IF('1 - Input'!$B$17=1,MAX(0,AV362-AN362),0)</f>
        <v>0</v>
      </c>
      <c r="AY362" s="17">
        <f>IF('1 - Input'!$B$17=1,MAX(0,AN362-AV362),0)</f>
        <v>4518.2289087558656</v>
      </c>
      <c r="AZ362" s="17">
        <f t="shared" si="297"/>
        <v>0</v>
      </c>
      <c r="BA362" s="17">
        <f>IF(AND(AY362&gt;0,AS362&gt;0),AY362/(1-'1 - Input'!$B$22*AZ362),0)</f>
        <v>0</v>
      </c>
      <c r="BB362" s="17">
        <f t="shared" si="298"/>
        <v>0</v>
      </c>
      <c r="BC362" s="17">
        <f>'1 - Input'!$B$22*AZ362*BB362</f>
        <v>0</v>
      </c>
      <c r="BD362" s="17">
        <f t="shared" si="299"/>
        <v>0</v>
      </c>
      <c r="BE362" s="17">
        <f t="shared" si="300"/>
        <v>4518.2289087558656</v>
      </c>
      <c r="BF362" s="17">
        <f t="shared" si="301"/>
        <v>0</v>
      </c>
      <c r="BG362" s="17">
        <f t="shared" si="302"/>
        <v>0</v>
      </c>
      <c r="BH362" s="17">
        <f t="shared" si="303"/>
        <v>0</v>
      </c>
      <c r="BI362" s="17">
        <f>IF(MOD(AK362,12)=0,BG362*'1 - Input'!$B$23,0)</f>
        <v>0</v>
      </c>
      <c r="BJ362" s="17">
        <f t="shared" si="304"/>
        <v>0</v>
      </c>
      <c r="BK362" s="17">
        <f>IF(MOD(AK362,12)=0,BH362*(1-'1 - Input'!$B$23),BH362)</f>
        <v>0</v>
      </c>
      <c r="BL362" s="17">
        <f>IF('1 - Input'!$B$17=1,MIN(AV362,AN362)+BD362,AV362)</f>
        <v>0</v>
      </c>
      <c r="BM362" s="17">
        <f t="shared" si="331"/>
        <v>590482.93849429931</v>
      </c>
      <c r="BN362" s="17">
        <f t="shared" si="332"/>
        <v>101441.90180685223</v>
      </c>
      <c r="BO362" s="17">
        <f t="shared" si="333"/>
        <v>0</v>
      </c>
      <c r="BP362" s="17">
        <f t="shared" si="334"/>
        <v>174289.24056370757</v>
      </c>
      <c r="BQ362" s="17">
        <f t="shared" si="335"/>
        <v>8123.5662772395826</v>
      </c>
      <c r="BR362" s="17">
        <f t="shared" si="336"/>
        <v>532082.00912051066</v>
      </c>
      <c r="BS362" s="15">
        <f t="shared" si="305"/>
        <v>1</v>
      </c>
      <c r="BU362" s="14">
        <v>319</v>
      </c>
      <c r="BV362" s="15">
        <f t="shared" si="306"/>
        <v>27</v>
      </c>
      <c r="BW362" s="16">
        <f>(1+INDEX('1 - Input'!$B$34:$E$63,BV362,'1 - Input'!$B$16))^(1/12)-1</f>
        <v>4.1219243192651689E-3</v>
      </c>
      <c r="BX362" s="17">
        <f>'1 - Input'!$B$7*(1+'1 - Input'!$B$12)^(BV362-1)</f>
        <v>4518.2289087558656</v>
      </c>
      <c r="BY362" s="17">
        <f t="shared" si="337"/>
        <v>0</v>
      </c>
      <c r="BZ362" s="17">
        <f t="shared" si="338"/>
        <v>0</v>
      </c>
      <c r="CA362" s="17">
        <f t="shared" si="307"/>
        <v>0</v>
      </c>
      <c r="CB362" s="17">
        <f>IF(CA362&gt;0,'1 - Input'!$B$8/12*CA362,0)</f>
        <v>0</v>
      </c>
      <c r="CC362" s="17">
        <f t="shared" si="308"/>
        <v>0</v>
      </c>
      <c r="CD362" s="17">
        <f t="shared" si="309"/>
        <v>0</v>
      </c>
      <c r="CE362" s="17">
        <f>'1 - Input'!$B$22*(CB362-CD362)</f>
        <v>0</v>
      </c>
      <c r="CF362" s="17">
        <f t="shared" si="310"/>
        <v>0</v>
      </c>
      <c r="CG362" s="17">
        <f t="shared" si="311"/>
        <v>0</v>
      </c>
      <c r="CH362" s="17">
        <f>IF('1 - Input'!$B$17=1,MAX(0,CF362-BX362),0)</f>
        <v>0</v>
      </c>
      <c r="CI362" s="17">
        <f>IF('1 - Input'!$B$17=1,MAX(0,BX362-CF362),0)</f>
        <v>4518.2289087558656</v>
      </c>
      <c r="CJ362" s="17">
        <f t="shared" si="312"/>
        <v>0</v>
      </c>
      <c r="CK362" s="17">
        <f>IF(AND(CI362&gt;0,CC362&gt;0),CI362/(1-'1 - Input'!$B$22*CJ362),0)</f>
        <v>0</v>
      </c>
      <c r="CL362" s="17">
        <f t="shared" si="313"/>
        <v>0</v>
      </c>
      <c r="CM362" s="17">
        <f>'1 - Input'!$B$22*CJ362*CL362</f>
        <v>0</v>
      </c>
      <c r="CN362" s="17">
        <f t="shared" si="314"/>
        <v>0</v>
      </c>
      <c r="CO362" s="17">
        <f t="shared" si="315"/>
        <v>4518.2289087558656</v>
      </c>
      <c r="CP362" s="17">
        <f t="shared" si="316"/>
        <v>0</v>
      </c>
      <c r="CQ362" s="17">
        <f t="shared" si="317"/>
        <v>0</v>
      </c>
      <c r="CR362" s="17">
        <f t="shared" si="318"/>
        <v>0</v>
      </c>
      <c r="CS362" s="17">
        <f>IF(MOD(BU362,12)=0,CQ362*'1 - Input'!$B$23,0)</f>
        <v>0</v>
      </c>
      <c r="CT362" s="17">
        <f t="shared" si="319"/>
        <v>0</v>
      </c>
      <c r="CU362" s="17">
        <f>IF(MOD(BU362,12)=0,CR362*(1-'1 - Input'!$B$23),CR362)</f>
        <v>0</v>
      </c>
      <c r="CV362" s="17">
        <f>IF('1 - Input'!$B$17=1,MIN(CF362,BX362)+CN362,CF362)</f>
        <v>0</v>
      </c>
      <c r="CW362" s="17">
        <f t="shared" si="339"/>
        <v>686605.50041273201</v>
      </c>
      <c r="CX362" s="17">
        <f t="shared" si="340"/>
        <v>6018.3402768167462</v>
      </c>
      <c r="CY362" s="17">
        <f t="shared" si="341"/>
        <v>66518.776160328038</v>
      </c>
      <c r="CZ362" s="17">
        <f t="shared" si="342"/>
        <v>0</v>
      </c>
      <c r="DA362" s="17">
        <f t="shared" si="343"/>
        <v>10954.114452440983</v>
      </c>
      <c r="DB362" s="17">
        <f t="shared" si="344"/>
        <v>435959.44720207894</v>
      </c>
      <c r="DC362" s="15">
        <f t="shared" si="320"/>
        <v>1</v>
      </c>
    </row>
    <row r="363" spans="1:107">
      <c r="A363" s="14">
        <v>320</v>
      </c>
      <c r="B363" s="15">
        <f t="shared" si="276"/>
        <v>27</v>
      </c>
      <c r="C363" s="16">
        <f>(1+INDEX('1 - Input'!$B$34:$E$63,B363,'1 - Input'!$B$16))^(1/12)-1</f>
        <v>4.1219243192651689E-3</v>
      </c>
      <c r="D363" s="17">
        <f>'1 - Input'!$B$7*(1+'1 - Input'!$B$12)^(B363-1)</f>
        <v>4518.2289087558656</v>
      </c>
      <c r="E363" s="17">
        <f t="shared" si="321"/>
        <v>0</v>
      </c>
      <c r="F363" s="17">
        <f t="shared" si="322"/>
        <v>0</v>
      </c>
      <c r="G363" s="17">
        <f t="shared" si="277"/>
        <v>0</v>
      </c>
      <c r="H363" s="17">
        <f>IF(G363&gt;0,'1 - Input'!$B$8/12*G363,0)</f>
        <v>0</v>
      </c>
      <c r="I363" s="17">
        <f t="shared" si="278"/>
        <v>0</v>
      </c>
      <c r="J363" s="17">
        <f t="shared" si="279"/>
        <v>0</v>
      </c>
      <c r="K363" s="17">
        <f>'1 - Input'!$B$22*(H363-J363)</f>
        <v>0</v>
      </c>
      <c r="L363" s="17">
        <f t="shared" si="280"/>
        <v>0</v>
      </c>
      <c r="M363" s="17">
        <f t="shared" si="281"/>
        <v>0</v>
      </c>
      <c r="N363" s="17">
        <f>IF('1 - Input'!$B$17=1,MAX(0,L363-D363),0)</f>
        <v>0</v>
      </c>
      <c r="O363" s="17">
        <f>IF('1 - Input'!$B$17=1,MAX(0,D363-L363),0)</f>
        <v>4518.2289087558656</v>
      </c>
      <c r="P363" s="17">
        <f t="shared" si="282"/>
        <v>0</v>
      </c>
      <c r="Q363" s="17">
        <f>IF(AND(O363&gt;0,I363&gt;0),O363/(1-'1 - Input'!$B$22*P363),0)</f>
        <v>0</v>
      </c>
      <c r="R363" s="17">
        <f t="shared" si="283"/>
        <v>0</v>
      </c>
      <c r="S363" s="17">
        <f>'1 - Input'!$B$22*P363*R363</f>
        <v>0</v>
      </c>
      <c r="T363" s="17">
        <f t="shared" si="284"/>
        <v>0</v>
      </c>
      <c r="U363" s="17">
        <f t="shared" si="285"/>
        <v>4518.2289087558656</v>
      </c>
      <c r="V363" s="17">
        <f t="shared" si="286"/>
        <v>0</v>
      </c>
      <c r="W363" s="17">
        <f t="shared" si="287"/>
        <v>0</v>
      </c>
      <c r="X363" s="17">
        <f t="shared" si="288"/>
        <v>0</v>
      </c>
      <c r="Y363" s="17">
        <f>IF(MOD(A363,12)=0,W363*'1 - Input'!$B$23,0)</f>
        <v>0</v>
      </c>
      <c r="Z363" s="17">
        <f t="shared" si="289"/>
        <v>0</v>
      </c>
      <c r="AA363" s="17">
        <f>IF(MOD(A363,12)=0,X363*(1-'1 - Input'!$B$23),X363)</f>
        <v>0</v>
      </c>
      <c r="AB363" s="17">
        <f>IF('1 - Input'!$B$17=1,MIN(L363,D363)+T363,L363)</f>
        <v>0</v>
      </c>
      <c r="AC363" s="17">
        <f t="shared" si="323"/>
        <v>590482.93849429931</v>
      </c>
      <c r="AD363" s="17">
        <f t="shared" si="324"/>
        <v>101441.90180685223</v>
      </c>
      <c r="AE363" s="17">
        <f t="shared" si="325"/>
        <v>0</v>
      </c>
      <c r="AF363" s="17">
        <f t="shared" si="326"/>
        <v>174289.24056370757</v>
      </c>
      <c r="AG363" s="17">
        <f t="shared" si="327"/>
        <v>8123.5662772395826</v>
      </c>
      <c r="AH363" s="17">
        <f t="shared" si="328"/>
        <v>536600.23802926647</v>
      </c>
      <c r="AI363" s="15">
        <f t="shared" si="290"/>
        <v>1</v>
      </c>
      <c r="AK363" s="14">
        <v>320</v>
      </c>
      <c r="AL363" s="15">
        <f t="shared" si="291"/>
        <v>27</v>
      </c>
      <c r="AM363" s="16">
        <f>(1+INDEX('1 - Input'!$B$34:$E$63,AL363,'1 - Input'!$B$16))^(1/12)-1</f>
        <v>4.1219243192651689E-3</v>
      </c>
      <c r="AN363" s="17">
        <f>'1 - Input'!$B$7*(1+'1 - Input'!$B$12)^(AL363-1)</f>
        <v>4518.2289087558656</v>
      </c>
      <c r="AO363" s="17">
        <f t="shared" si="329"/>
        <v>0</v>
      </c>
      <c r="AP363" s="17">
        <f t="shared" si="330"/>
        <v>0</v>
      </c>
      <c r="AQ363" s="17">
        <f t="shared" si="292"/>
        <v>0</v>
      </c>
      <c r="AR363" s="17">
        <f>IF(AQ363&gt;0,'1 - Input'!$B$8/12*AQ363,0)</f>
        <v>0</v>
      </c>
      <c r="AS363" s="17">
        <f t="shared" si="293"/>
        <v>0</v>
      </c>
      <c r="AT363" s="17">
        <f t="shared" si="294"/>
        <v>0</v>
      </c>
      <c r="AU363" s="17">
        <f>'1 - Input'!$B$22*(AR363-AT363)</f>
        <v>0</v>
      </c>
      <c r="AV363" s="17">
        <f t="shared" si="295"/>
        <v>0</v>
      </c>
      <c r="AW363" s="17">
        <f t="shared" si="296"/>
        <v>0</v>
      </c>
      <c r="AX363" s="17">
        <f>IF('1 - Input'!$B$17=1,MAX(0,AV363-AN363),0)</f>
        <v>0</v>
      </c>
      <c r="AY363" s="17">
        <f>IF('1 - Input'!$B$17=1,MAX(0,AN363-AV363),0)</f>
        <v>4518.2289087558656</v>
      </c>
      <c r="AZ363" s="17">
        <f t="shared" si="297"/>
        <v>0</v>
      </c>
      <c r="BA363" s="17">
        <f>IF(AND(AY363&gt;0,AS363&gt;0),AY363/(1-'1 - Input'!$B$22*AZ363),0)</f>
        <v>0</v>
      </c>
      <c r="BB363" s="17">
        <f t="shared" si="298"/>
        <v>0</v>
      </c>
      <c r="BC363" s="17">
        <f>'1 - Input'!$B$22*AZ363*BB363</f>
        <v>0</v>
      </c>
      <c r="BD363" s="17">
        <f t="shared" si="299"/>
        <v>0</v>
      </c>
      <c r="BE363" s="17">
        <f t="shared" si="300"/>
        <v>4518.2289087558656</v>
      </c>
      <c r="BF363" s="17">
        <f t="shared" si="301"/>
        <v>0</v>
      </c>
      <c r="BG363" s="17">
        <f t="shared" si="302"/>
        <v>0</v>
      </c>
      <c r="BH363" s="17">
        <f t="shared" si="303"/>
        <v>0</v>
      </c>
      <c r="BI363" s="17">
        <f>IF(MOD(AK363,12)=0,BG363*'1 - Input'!$B$23,0)</f>
        <v>0</v>
      </c>
      <c r="BJ363" s="17">
        <f t="shared" si="304"/>
        <v>0</v>
      </c>
      <c r="BK363" s="17">
        <f>IF(MOD(AK363,12)=0,BH363*(1-'1 - Input'!$B$23),BH363)</f>
        <v>0</v>
      </c>
      <c r="BL363" s="17">
        <f>IF('1 - Input'!$B$17=1,MIN(AV363,AN363)+BD363,AV363)</f>
        <v>0</v>
      </c>
      <c r="BM363" s="17">
        <f t="shared" si="331"/>
        <v>590482.93849429931</v>
      </c>
      <c r="BN363" s="17">
        <f t="shared" si="332"/>
        <v>101441.90180685223</v>
      </c>
      <c r="BO363" s="17">
        <f t="shared" si="333"/>
        <v>0</v>
      </c>
      <c r="BP363" s="17">
        <f t="shared" si="334"/>
        <v>174289.24056370757</v>
      </c>
      <c r="BQ363" s="17">
        <f t="shared" si="335"/>
        <v>8123.5662772395826</v>
      </c>
      <c r="BR363" s="17">
        <f t="shared" si="336"/>
        <v>536600.23802926647</v>
      </c>
      <c r="BS363" s="15">
        <f t="shared" si="305"/>
        <v>1</v>
      </c>
      <c r="BU363" s="14">
        <v>320</v>
      </c>
      <c r="BV363" s="15">
        <f t="shared" si="306"/>
        <v>27</v>
      </c>
      <c r="BW363" s="16">
        <f>(1+INDEX('1 - Input'!$B$34:$E$63,BV363,'1 - Input'!$B$16))^(1/12)-1</f>
        <v>4.1219243192651689E-3</v>
      </c>
      <c r="BX363" s="17">
        <f>'1 - Input'!$B$7*(1+'1 - Input'!$B$12)^(BV363-1)</f>
        <v>4518.2289087558656</v>
      </c>
      <c r="BY363" s="17">
        <f t="shared" si="337"/>
        <v>0</v>
      </c>
      <c r="BZ363" s="17">
        <f t="shared" si="338"/>
        <v>0</v>
      </c>
      <c r="CA363" s="17">
        <f t="shared" si="307"/>
        <v>0</v>
      </c>
      <c r="CB363" s="17">
        <f>IF(CA363&gt;0,'1 - Input'!$B$8/12*CA363,0)</f>
        <v>0</v>
      </c>
      <c r="CC363" s="17">
        <f t="shared" si="308"/>
        <v>0</v>
      </c>
      <c r="CD363" s="17">
        <f t="shared" si="309"/>
        <v>0</v>
      </c>
      <c r="CE363" s="17">
        <f>'1 - Input'!$B$22*(CB363-CD363)</f>
        <v>0</v>
      </c>
      <c r="CF363" s="17">
        <f t="shared" si="310"/>
        <v>0</v>
      </c>
      <c r="CG363" s="17">
        <f t="shared" si="311"/>
        <v>0</v>
      </c>
      <c r="CH363" s="17">
        <f>IF('1 - Input'!$B$17=1,MAX(0,CF363-BX363),0)</f>
        <v>0</v>
      </c>
      <c r="CI363" s="17">
        <f>IF('1 - Input'!$B$17=1,MAX(0,BX363-CF363),0)</f>
        <v>4518.2289087558656</v>
      </c>
      <c r="CJ363" s="17">
        <f t="shared" si="312"/>
        <v>0</v>
      </c>
      <c r="CK363" s="17">
        <f>IF(AND(CI363&gt;0,CC363&gt;0),CI363/(1-'1 - Input'!$B$22*CJ363),0)</f>
        <v>0</v>
      </c>
      <c r="CL363" s="17">
        <f t="shared" si="313"/>
        <v>0</v>
      </c>
      <c r="CM363" s="17">
        <f>'1 - Input'!$B$22*CJ363*CL363</f>
        <v>0</v>
      </c>
      <c r="CN363" s="17">
        <f t="shared" si="314"/>
        <v>0</v>
      </c>
      <c r="CO363" s="17">
        <f t="shared" si="315"/>
        <v>4518.2289087558656</v>
      </c>
      <c r="CP363" s="17">
        <f t="shared" si="316"/>
        <v>0</v>
      </c>
      <c r="CQ363" s="17">
        <f t="shared" si="317"/>
        <v>0</v>
      </c>
      <c r="CR363" s="17">
        <f t="shared" si="318"/>
        <v>0</v>
      </c>
      <c r="CS363" s="17">
        <f>IF(MOD(BU363,12)=0,CQ363*'1 - Input'!$B$23,0)</f>
        <v>0</v>
      </c>
      <c r="CT363" s="17">
        <f t="shared" si="319"/>
        <v>0</v>
      </c>
      <c r="CU363" s="17">
        <f>IF(MOD(BU363,12)=0,CR363*(1-'1 - Input'!$B$23),CR363)</f>
        <v>0</v>
      </c>
      <c r="CV363" s="17">
        <f>IF('1 - Input'!$B$17=1,MIN(CF363,BX363)+CN363,CF363)</f>
        <v>0</v>
      </c>
      <c r="CW363" s="17">
        <f t="shared" si="339"/>
        <v>686605.50041273201</v>
      </c>
      <c r="CX363" s="17">
        <f t="shared" si="340"/>
        <v>6018.3402768167462</v>
      </c>
      <c r="CY363" s="17">
        <f t="shared" si="341"/>
        <v>66518.776160328038</v>
      </c>
      <c r="CZ363" s="17">
        <f t="shared" si="342"/>
        <v>0</v>
      </c>
      <c r="DA363" s="17">
        <f t="shared" si="343"/>
        <v>10954.114452440983</v>
      </c>
      <c r="DB363" s="17">
        <f t="shared" si="344"/>
        <v>440477.67611083481</v>
      </c>
      <c r="DC363" s="15">
        <f t="shared" si="320"/>
        <v>1</v>
      </c>
    </row>
    <row r="364" spans="1:107">
      <c r="A364" s="14">
        <v>321</v>
      </c>
      <c r="B364" s="15">
        <f t="shared" ref="B364:B427" si="345">ROUNDUP(A364/12,0)</f>
        <v>27</v>
      </c>
      <c r="C364" s="16">
        <f>(1+INDEX('1 - Input'!$B$34:$E$63,B364,'1 - Input'!$B$16))^(1/12)-1</f>
        <v>4.1219243192651689E-3</v>
      </c>
      <c r="D364" s="17">
        <f>'1 - Input'!$B$7*(1+'1 - Input'!$B$12)^(B364-1)</f>
        <v>4518.2289087558656</v>
      </c>
      <c r="E364" s="17">
        <f t="shared" si="321"/>
        <v>0</v>
      </c>
      <c r="F364" s="17">
        <f t="shared" si="322"/>
        <v>0</v>
      </c>
      <c r="G364" s="17">
        <f t="shared" ref="G364:G403" si="346">E364*(1+C364)</f>
        <v>0</v>
      </c>
      <c r="H364" s="17">
        <f>IF(G364&gt;0,'1 - Input'!$B$8/12*G364,0)</f>
        <v>0</v>
      </c>
      <c r="I364" s="17">
        <f t="shared" ref="I364:I427" si="347">G364-H364</f>
        <v>0</v>
      </c>
      <c r="J364" s="17">
        <f t="shared" ref="J364:J403" si="348">MIN($B$41*H364,F364)</f>
        <v>0</v>
      </c>
      <c r="K364" s="17">
        <f>'1 - Input'!$B$22*(H364-J364)</f>
        <v>0</v>
      </c>
      <c r="L364" s="17">
        <f t="shared" ref="L364:L427" si="349">H364-K364</f>
        <v>0</v>
      </c>
      <c r="M364" s="17">
        <f t="shared" ref="M364:M403" si="350">F364-J364</f>
        <v>0</v>
      </c>
      <c r="N364" s="17">
        <f>IF('1 - Input'!$B$17=1,MAX(0,L364-D364),0)</f>
        <v>0</v>
      </c>
      <c r="O364" s="17">
        <f>IF('1 - Input'!$B$17=1,MAX(0,D364-L364),0)</f>
        <v>4518.2289087558656</v>
      </c>
      <c r="P364" s="17">
        <f t="shared" ref="P364:P403" si="351">IF(I364&gt;0,MAX(0,1-M364/I364),0)</f>
        <v>0</v>
      </c>
      <c r="Q364" s="17">
        <f>IF(AND(O364&gt;0,I364&gt;0),O364/(1-'1 - Input'!$B$22*P364),0)</f>
        <v>0</v>
      </c>
      <c r="R364" s="17">
        <f t="shared" ref="R364:R427" si="352">MIN(Q364,I364)</f>
        <v>0</v>
      </c>
      <c r="S364" s="17">
        <f>'1 - Input'!$B$22*P364*R364</f>
        <v>0</v>
      </c>
      <c r="T364" s="17">
        <f t="shared" ref="T364:T427" si="353">R364-S364</f>
        <v>0</v>
      </c>
      <c r="U364" s="17">
        <f t="shared" ref="U364:U427" si="354">O364-T364</f>
        <v>4518.2289087558656</v>
      </c>
      <c r="V364" s="17">
        <f t="shared" ref="V364:V403" si="355">IF(I364&gt;0,R364*MAX(0,M364/I364-1),0)</f>
        <v>0</v>
      </c>
      <c r="W364" s="17">
        <f t="shared" ref="W364:W403" si="356">I364-R364+N364</f>
        <v>0</v>
      </c>
      <c r="X364" s="17">
        <f t="shared" ref="X364:X403" si="357">IF(R364&gt;0,M364*(1-R364/I364),M364)+N364</f>
        <v>0</v>
      </c>
      <c r="Y364" s="17">
        <f>IF(MOD(A364,12)=0,W364*'1 - Input'!$B$23,0)</f>
        <v>0</v>
      </c>
      <c r="Z364" s="17">
        <f t="shared" ref="Z364:Z427" si="358">W364-Y364</f>
        <v>0</v>
      </c>
      <c r="AA364" s="17">
        <f>IF(MOD(A364,12)=0,X364*(1-'1 - Input'!$B$23),X364)</f>
        <v>0</v>
      </c>
      <c r="AB364" s="17">
        <f>IF('1 - Input'!$B$17=1,MIN(L364,D364)+T364,L364)</f>
        <v>0</v>
      </c>
      <c r="AC364" s="17">
        <f t="shared" si="323"/>
        <v>590482.93849429931</v>
      </c>
      <c r="AD364" s="17">
        <f t="shared" si="324"/>
        <v>101441.90180685223</v>
      </c>
      <c r="AE364" s="17">
        <f t="shared" si="325"/>
        <v>0</v>
      </c>
      <c r="AF364" s="17">
        <f t="shared" si="326"/>
        <v>174289.24056370757</v>
      </c>
      <c r="AG364" s="17">
        <f t="shared" si="327"/>
        <v>8123.5662772395826</v>
      </c>
      <c r="AH364" s="17">
        <f t="shared" si="328"/>
        <v>541118.46693802229</v>
      </c>
      <c r="AI364" s="15">
        <f t="shared" ref="AI364:AI403" si="359">IF(W364&lt;=0.000001,1,0)</f>
        <v>1</v>
      </c>
      <c r="AK364" s="14">
        <v>321</v>
      </c>
      <c r="AL364" s="15">
        <f t="shared" ref="AL364:AL427" si="360">ROUNDUP(AK364/12,0)</f>
        <v>27</v>
      </c>
      <c r="AM364" s="16">
        <f>(1+INDEX('1 - Input'!$B$34:$E$63,AL364,'1 - Input'!$B$16))^(1/12)-1</f>
        <v>4.1219243192651689E-3</v>
      </c>
      <c r="AN364" s="17">
        <f>'1 - Input'!$B$7*(1+'1 - Input'!$B$12)^(AL364-1)</f>
        <v>4518.2289087558656</v>
      </c>
      <c r="AO364" s="17">
        <f t="shared" si="329"/>
        <v>0</v>
      </c>
      <c r="AP364" s="17">
        <f t="shared" si="330"/>
        <v>0</v>
      </c>
      <c r="AQ364" s="17">
        <f t="shared" ref="AQ364:AQ403" si="361">AO364*(1+AM364)</f>
        <v>0</v>
      </c>
      <c r="AR364" s="17">
        <f>IF(AQ364&gt;0,'1 - Input'!$B$8/12*AQ364,0)</f>
        <v>0</v>
      </c>
      <c r="AS364" s="17">
        <f t="shared" ref="AS364:AS427" si="362">AQ364-AR364</f>
        <v>0</v>
      </c>
      <c r="AT364" s="17">
        <f t="shared" ref="AT364:AT403" si="363">MIN($AL$41*AR364,AP364)</f>
        <v>0</v>
      </c>
      <c r="AU364" s="17">
        <f>'1 - Input'!$B$22*(AR364-AT364)</f>
        <v>0</v>
      </c>
      <c r="AV364" s="17">
        <f t="shared" ref="AV364:AV427" si="364">AR364-AU364</f>
        <v>0</v>
      </c>
      <c r="AW364" s="17">
        <f t="shared" ref="AW364:AW403" si="365">AP364-AT364</f>
        <v>0</v>
      </c>
      <c r="AX364" s="17">
        <f>IF('1 - Input'!$B$17=1,MAX(0,AV364-AN364),0)</f>
        <v>0</v>
      </c>
      <c r="AY364" s="17">
        <f>IF('1 - Input'!$B$17=1,MAX(0,AN364-AV364),0)</f>
        <v>4518.2289087558656</v>
      </c>
      <c r="AZ364" s="17">
        <f t="shared" ref="AZ364:AZ403" si="366">IF(AS364&gt;0,MAX(0,1-AW364/AS364),0)</f>
        <v>0</v>
      </c>
      <c r="BA364" s="17">
        <f>IF(AND(AY364&gt;0,AS364&gt;0),AY364/(1-'1 - Input'!$B$22*AZ364),0)</f>
        <v>0</v>
      </c>
      <c r="BB364" s="17">
        <f t="shared" ref="BB364:BB427" si="367">MIN(BA364,AS364)</f>
        <v>0</v>
      </c>
      <c r="BC364" s="17">
        <f>'1 - Input'!$B$22*AZ364*BB364</f>
        <v>0</v>
      </c>
      <c r="BD364" s="17">
        <f t="shared" ref="BD364:BD427" si="368">BB364-BC364</f>
        <v>0</v>
      </c>
      <c r="BE364" s="17">
        <f t="shared" ref="BE364:BE427" si="369">AY364-BD364</f>
        <v>4518.2289087558656</v>
      </c>
      <c r="BF364" s="17">
        <f t="shared" ref="BF364:BF403" si="370">IF(AS364&gt;0,BB364*MAX(0,AW364/AS364-1),0)</f>
        <v>0</v>
      </c>
      <c r="BG364" s="17">
        <f t="shared" ref="BG364:BG403" si="371">AS364-BB364+AX364</f>
        <v>0</v>
      </c>
      <c r="BH364" s="17">
        <f t="shared" ref="BH364:BH403" si="372">IF(BB364&gt;0,AW364*(1-BB364/AS364),AW364)+AX364</f>
        <v>0</v>
      </c>
      <c r="BI364" s="17">
        <f>IF(MOD(AK364,12)=0,BG364*'1 - Input'!$B$23,0)</f>
        <v>0</v>
      </c>
      <c r="BJ364" s="17">
        <f t="shared" ref="BJ364:BJ427" si="373">BG364-BI364</f>
        <v>0</v>
      </c>
      <c r="BK364" s="17">
        <f>IF(MOD(AK364,12)=0,BH364*(1-'1 - Input'!$B$23),BH364)</f>
        <v>0</v>
      </c>
      <c r="BL364" s="17">
        <f>IF('1 - Input'!$B$17=1,MIN(AV364,AN364)+BD364,AV364)</f>
        <v>0</v>
      </c>
      <c r="BM364" s="17">
        <f t="shared" si="331"/>
        <v>590482.93849429931</v>
      </c>
      <c r="BN364" s="17">
        <f t="shared" si="332"/>
        <v>101441.90180685223</v>
      </c>
      <c r="BO364" s="17">
        <f t="shared" si="333"/>
        <v>0</v>
      </c>
      <c r="BP364" s="17">
        <f t="shared" si="334"/>
        <v>174289.24056370757</v>
      </c>
      <c r="BQ364" s="17">
        <f t="shared" si="335"/>
        <v>8123.5662772395826</v>
      </c>
      <c r="BR364" s="17">
        <f t="shared" si="336"/>
        <v>541118.46693802229</v>
      </c>
      <c r="BS364" s="15">
        <f t="shared" ref="BS364:BS403" si="374">IF(BG364&lt;=0.000001,1,0)</f>
        <v>1</v>
      </c>
      <c r="BU364" s="14">
        <v>321</v>
      </c>
      <c r="BV364" s="15">
        <f t="shared" ref="BV364:BV427" si="375">ROUNDUP(BU364/12,0)</f>
        <v>27</v>
      </c>
      <c r="BW364" s="16">
        <f>(1+INDEX('1 - Input'!$B$34:$E$63,BV364,'1 - Input'!$B$16))^(1/12)-1</f>
        <v>4.1219243192651689E-3</v>
      </c>
      <c r="BX364" s="17">
        <f>'1 - Input'!$B$7*(1+'1 - Input'!$B$12)^(BV364-1)</f>
        <v>4518.2289087558656</v>
      </c>
      <c r="BY364" s="17">
        <f t="shared" si="337"/>
        <v>0</v>
      </c>
      <c r="BZ364" s="17">
        <f t="shared" si="338"/>
        <v>0</v>
      </c>
      <c r="CA364" s="17">
        <f t="shared" ref="CA364:CA403" si="376">BY364*(1+BW364)</f>
        <v>0</v>
      </c>
      <c r="CB364" s="17">
        <f>IF(CA364&gt;0,'1 - Input'!$B$8/12*CA364,0)</f>
        <v>0</v>
      </c>
      <c r="CC364" s="17">
        <f t="shared" ref="CC364:CC427" si="377">CA364-CB364</f>
        <v>0</v>
      </c>
      <c r="CD364" s="17">
        <f t="shared" ref="CD364:CD403" si="378">MIN($BV$41*CB364,BZ364)</f>
        <v>0</v>
      </c>
      <c r="CE364" s="17">
        <f>'1 - Input'!$B$22*(CB364-CD364)</f>
        <v>0</v>
      </c>
      <c r="CF364" s="17">
        <f t="shared" ref="CF364:CF427" si="379">CB364-CE364</f>
        <v>0</v>
      </c>
      <c r="CG364" s="17">
        <f t="shared" ref="CG364:CG403" si="380">BZ364-CD364</f>
        <v>0</v>
      </c>
      <c r="CH364" s="17">
        <f>IF('1 - Input'!$B$17=1,MAX(0,CF364-BX364),0)</f>
        <v>0</v>
      </c>
      <c r="CI364" s="17">
        <f>IF('1 - Input'!$B$17=1,MAX(0,BX364-CF364),0)</f>
        <v>4518.2289087558656</v>
      </c>
      <c r="CJ364" s="17">
        <f t="shared" ref="CJ364:CJ403" si="381">IF(CC364&gt;0,MAX(0,1-CG364/CC364),0)</f>
        <v>0</v>
      </c>
      <c r="CK364" s="17">
        <f>IF(AND(CI364&gt;0,CC364&gt;0),CI364/(1-'1 - Input'!$B$22*CJ364),0)</f>
        <v>0</v>
      </c>
      <c r="CL364" s="17">
        <f t="shared" ref="CL364:CL427" si="382">MIN(CK364,CC364)</f>
        <v>0</v>
      </c>
      <c r="CM364" s="17">
        <f>'1 - Input'!$B$22*CJ364*CL364</f>
        <v>0</v>
      </c>
      <c r="CN364" s="17">
        <f t="shared" ref="CN364:CN427" si="383">CL364-CM364</f>
        <v>0</v>
      </c>
      <c r="CO364" s="17">
        <f t="shared" ref="CO364:CO427" si="384">CI364-CN364</f>
        <v>4518.2289087558656</v>
      </c>
      <c r="CP364" s="17">
        <f t="shared" ref="CP364:CP403" si="385">IF(CC364&gt;0,CL364*MAX(0,CG364/CC364-1),0)</f>
        <v>0</v>
      </c>
      <c r="CQ364" s="17">
        <f t="shared" ref="CQ364:CQ403" si="386">CC364-CL364+CH364</f>
        <v>0</v>
      </c>
      <c r="CR364" s="17">
        <f t="shared" ref="CR364:CR403" si="387">IF(CL364&gt;0,CG364*(1-CL364/CC364),CG364)+CH364</f>
        <v>0</v>
      </c>
      <c r="CS364" s="17">
        <f>IF(MOD(BU364,12)=0,CQ364*'1 - Input'!$B$23,0)</f>
        <v>0</v>
      </c>
      <c r="CT364" s="17">
        <f t="shared" ref="CT364:CT427" si="388">CQ364-CS364</f>
        <v>0</v>
      </c>
      <c r="CU364" s="17">
        <f>IF(MOD(BU364,12)=0,CR364*(1-'1 - Input'!$B$23),CR364)</f>
        <v>0</v>
      </c>
      <c r="CV364" s="17">
        <f>IF('1 - Input'!$B$17=1,MIN(CF364,BX364)+CN364,CF364)</f>
        <v>0</v>
      </c>
      <c r="CW364" s="17">
        <f t="shared" si="339"/>
        <v>686605.50041273201</v>
      </c>
      <c r="CX364" s="17">
        <f t="shared" si="340"/>
        <v>6018.3402768167462</v>
      </c>
      <c r="CY364" s="17">
        <f t="shared" si="341"/>
        <v>66518.776160328038</v>
      </c>
      <c r="CZ364" s="17">
        <f t="shared" si="342"/>
        <v>0</v>
      </c>
      <c r="DA364" s="17">
        <f t="shared" si="343"/>
        <v>10954.114452440983</v>
      </c>
      <c r="DB364" s="17">
        <f t="shared" si="344"/>
        <v>444995.90501959069</v>
      </c>
      <c r="DC364" s="15">
        <f t="shared" ref="DC364:DC403" si="389">IF(CQ364&lt;=0.000001,1,0)</f>
        <v>1</v>
      </c>
    </row>
    <row r="365" spans="1:107">
      <c r="A365" s="14">
        <v>322</v>
      </c>
      <c r="B365" s="15">
        <f t="shared" si="345"/>
        <v>27</v>
      </c>
      <c r="C365" s="16">
        <f>(1+INDEX('1 - Input'!$B$34:$E$63,B365,'1 - Input'!$B$16))^(1/12)-1</f>
        <v>4.1219243192651689E-3</v>
      </c>
      <c r="D365" s="17">
        <f>'1 - Input'!$B$7*(1+'1 - Input'!$B$12)^(B365-1)</f>
        <v>4518.2289087558656</v>
      </c>
      <c r="E365" s="17">
        <f t="shared" ref="E365:E403" si="390">Z364</f>
        <v>0</v>
      </c>
      <c r="F365" s="17">
        <f t="shared" ref="F365:F403" si="391">AA364</f>
        <v>0</v>
      </c>
      <c r="G365" s="17">
        <f t="shared" si="346"/>
        <v>0</v>
      </c>
      <c r="H365" s="17">
        <f>IF(G365&gt;0,'1 - Input'!$B$8/12*G365,0)</f>
        <v>0</v>
      </c>
      <c r="I365" s="17">
        <f t="shared" si="347"/>
        <v>0</v>
      </c>
      <c r="J365" s="17">
        <f t="shared" si="348"/>
        <v>0</v>
      </c>
      <c r="K365" s="17">
        <f>'1 - Input'!$B$22*(H365-J365)</f>
        <v>0</v>
      </c>
      <c r="L365" s="17">
        <f t="shared" si="349"/>
        <v>0</v>
      </c>
      <c r="M365" s="17">
        <f t="shared" si="350"/>
        <v>0</v>
      </c>
      <c r="N365" s="17">
        <f>IF('1 - Input'!$B$17=1,MAX(0,L365-D365),0)</f>
        <v>0</v>
      </c>
      <c r="O365" s="17">
        <f>IF('1 - Input'!$B$17=1,MAX(0,D365-L365),0)</f>
        <v>4518.2289087558656</v>
      </c>
      <c r="P365" s="17">
        <f t="shared" si="351"/>
        <v>0</v>
      </c>
      <c r="Q365" s="17">
        <f>IF(AND(O365&gt;0,I365&gt;0),O365/(1-'1 - Input'!$B$22*P365),0)</f>
        <v>0</v>
      </c>
      <c r="R365" s="17">
        <f t="shared" si="352"/>
        <v>0</v>
      </c>
      <c r="S365" s="17">
        <f>'1 - Input'!$B$22*P365*R365</f>
        <v>0</v>
      </c>
      <c r="T365" s="17">
        <f t="shared" si="353"/>
        <v>0</v>
      </c>
      <c r="U365" s="17">
        <f t="shared" si="354"/>
        <v>4518.2289087558656</v>
      </c>
      <c r="V365" s="17">
        <f t="shared" si="355"/>
        <v>0</v>
      </c>
      <c r="W365" s="17">
        <f t="shared" si="356"/>
        <v>0</v>
      </c>
      <c r="X365" s="17">
        <f t="shared" si="357"/>
        <v>0</v>
      </c>
      <c r="Y365" s="17">
        <f>IF(MOD(A365,12)=0,W365*'1 - Input'!$B$23,0)</f>
        <v>0</v>
      </c>
      <c r="Z365" s="17">
        <f t="shared" si="358"/>
        <v>0</v>
      </c>
      <c r="AA365" s="17">
        <f>IF(MOD(A365,12)=0,X365*(1-'1 - Input'!$B$23),X365)</f>
        <v>0</v>
      </c>
      <c r="AB365" s="17">
        <f>IF('1 - Input'!$B$17=1,MIN(L365,D365)+T365,L365)</f>
        <v>0</v>
      </c>
      <c r="AC365" s="17">
        <f t="shared" ref="AC365:AC428" si="392">AC364+AB365</f>
        <v>590482.93849429931</v>
      </c>
      <c r="AD365" s="17">
        <f t="shared" ref="AD365:AD403" si="393">AD364+K365</f>
        <v>101441.90180685223</v>
      </c>
      <c r="AE365" s="17">
        <f t="shared" ref="AE365:AE403" si="394">AE364+S365</f>
        <v>0</v>
      </c>
      <c r="AF365" s="17">
        <f t="shared" ref="AF365:AF403" si="395">AF364+V365</f>
        <v>174289.24056370757</v>
      </c>
      <c r="AG365" s="17">
        <f t="shared" ref="AG365:AG403" si="396">AG364+Y365</f>
        <v>8123.5662772395826</v>
      </c>
      <c r="AH365" s="17">
        <f t="shared" ref="AH365:AH403" si="397">AH364+U365</f>
        <v>545636.69584677811</v>
      </c>
      <c r="AI365" s="15">
        <f t="shared" si="359"/>
        <v>1</v>
      </c>
      <c r="AK365" s="14">
        <v>322</v>
      </c>
      <c r="AL365" s="15">
        <f t="shared" si="360"/>
        <v>27</v>
      </c>
      <c r="AM365" s="16">
        <f>(1+INDEX('1 - Input'!$B$34:$E$63,AL365,'1 - Input'!$B$16))^(1/12)-1</f>
        <v>4.1219243192651689E-3</v>
      </c>
      <c r="AN365" s="17">
        <f>'1 - Input'!$B$7*(1+'1 - Input'!$B$12)^(AL365-1)</f>
        <v>4518.2289087558656</v>
      </c>
      <c r="AO365" s="17">
        <f t="shared" ref="AO365:AO403" si="398">BJ364</f>
        <v>0</v>
      </c>
      <c r="AP365" s="17">
        <f t="shared" ref="AP365:AP403" si="399">BK364</f>
        <v>0</v>
      </c>
      <c r="AQ365" s="17">
        <f t="shared" si="361"/>
        <v>0</v>
      </c>
      <c r="AR365" s="17">
        <f>IF(AQ365&gt;0,'1 - Input'!$B$8/12*AQ365,0)</f>
        <v>0</v>
      </c>
      <c r="AS365" s="17">
        <f t="shared" si="362"/>
        <v>0</v>
      </c>
      <c r="AT365" s="17">
        <f t="shared" si="363"/>
        <v>0</v>
      </c>
      <c r="AU365" s="17">
        <f>'1 - Input'!$B$22*(AR365-AT365)</f>
        <v>0</v>
      </c>
      <c r="AV365" s="17">
        <f t="shared" si="364"/>
        <v>0</v>
      </c>
      <c r="AW365" s="17">
        <f t="shared" si="365"/>
        <v>0</v>
      </c>
      <c r="AX365" s="17">
        <f>IF('1 - Input'!$B$17=1,MAX(0,AV365-AN365),0)</f>
        <v>0</v>
      </c>
      <c r="AY365" s="17">
        <f>IF('1 - Input'!$B$17=1,MAX(0,AN365-AV365),0)</f>
        <v>4518.2289087558656</v>
      </c>
      <c r="AZ365" s="17">
        <f t="shared" si="366"/>
        <v>0</v>
      </c>
      <c r="BA365" s="17">
        <f>IF(AND(AY365&gt;0,AS365&gt;0),AY365/(1-'1 - Input'!$B$22*AZ365),0)</f>
        <v>0</v>
      </c>
      <c r="BB365" s="17">
        <f t="shared" si="367"/>
        <v>0</v>
      </c>
      <c r="BC365" s="17">
        <f>'1 - Input'!$B$22*AZ365*BB365</f>
        <v>0</v>
      </c>
      <c r="BD365" s="17">
        <f t="shared" si="368"/>
        <v>0</v>
      </c>
      <c r="BE365" s="17">
        <f t="shared" si="369"/>
        <v>4518.2289087558656</v>
      </c>
      <c r="BF365" s="17">
        <f t="shared" si="370"/>
        <v>0</v>
      </c>
      <c r="BG365" s="17">
        <f t="shared" si="371"/>
        <v>0</v>
      </c>
      <c r="BH365" s="17">
        <f t="shared" si="372"/>
        <v>0</v>
      </c>
      <c r="BI365" s="17">
        <f>IF(MOD(AK365,12)=0,BG365*'1 - Input'!$B$23,0)</f>
        <v>0</v>
      </c>
      <c r="BJ365" s="17">
        <f t="shared" si="373"/>
        <v>0</v>
      </c>
      <c r="BK365" s="17">
        <f>IF(MOD(AK365,12)=0,BH365*(1-'1 - Input'!$B$23),BH365)</f>
        <v>0</v>
      </c>
      <c r="BL365" s="17">
        <f>IF('1 - Input'!$B$17=1,MIN(AV365,AN365)+BD365,AV365)</f>
        <v>0</v>
      </c>
      <c r="BM365" s="17">
        <f t="shared" ref="BM365:BM428" si="400">BM364+BL365</f>
        <v>590482.93849429931</v>
      </c>
      <c r="BN365" s="17">
        <f t="shared" ref="BN365:BN403" si="401">BN364+AU365</f>
        <v>101441.90180685223</v>
      </c>
      <c r="BO365" s="17">
        <f t="shared" ref="BO365:BO403" si="402">BO364+BC365</f>
        <v>0</v>
      </c>
      <c r="BP365" s="17">
        <f t="shared" ref="BP365:BP403" si="403">BP364+BF365</f>
        <v>174289.24056370757</v>
      </c>
      <c r="BQ365" s="17">
        <f t="shared" ref="BQ365:BQ403" si="404">BQ364+BI365</f>
        <v>8123.5662772395826</v>
      </c>
      <c r="BR365" s="17">
        <f t="shared" ref="BR365:BR403" si="405">BR364+BE365</f>
        <v>545636.69584677811</v>
      </c>
      <c r="BS365" s="15">
        <f t="shared" si="374"/>
        <v>1</v>
      </c>
      <c r="BU365" s="14">
        <v>322</v>
      </c>
      <c r="BV365" s="15">
        <f t="shared" si="375"/>
        <v>27</v>
      </c>
      <c r="BW365" s="16">
        <f>(1+INDEX('1 - Input'!$B$34:$E$63,BV365,'1 - Input'!$B$16))^(1/12)-1</f>
        <v>4.1219243192651689E-3</v>
      </c>
      <c r="BX365" s="17">
        <f>'1 - Input'!$B$7*(1+'1 - Input'!$B$12)^(BV365-1)</f>
        <v>4518.2289087558656</v>
      </c>
      <c r="BY365" s="17">
        <f t="shared" ref="BY365:BY403" si="406">CT364</f>
        <v>0</v>
      </c>
      <c r="BZ365" s="17">
        <f t="shared" ref="BZ365:BZ403" si="407">CU364</f>
        <v>0</v>
      </c>
      <c r="CA365" s="17">
        <f t="shared" si="376"/>
        <v>0</v>
      </c>
      <c r="CB365" s="17">
        <f>IF(CA365&gt;0,'1 - Input'!$B$8/12*CA365,0)</f>
        <v>0</v>
      </c>
      <c r="CC365" s="17">
        <f t="shared" si="377"/>
        <v>0</v>
      </c>
      <c r="CD365" s="17">
        <f t="shared" si="378"/>
        <v>0</v>
      </c>
      <c r="CE365" s="17">
        <f>'1 - Input'!$B$22*(CB365-CD365)</f>
        <v>0</v>
      </c>
      <c r="CF365" s="17">
        <f t="shared" si="379"/>
        <v>0</v>
      </c>
      <c r="CG365" s="17">
        <f t="shared" si="380"/>
        <v>0</v>
      </c>
      <c r="CH365" s="17">
        <f>IF('1 - Input'!$B$17=1,MAX(0,CF365-BX365),0)</f>
        <v>0</v>
      </c>
      <c r="CI365" s="17">
        <f>IF('1 - Input'!$B$17=1,MAX(0,BX365-CF365),0)</f>
        <v>4518.2289087558656</v>
      </c>
      <c r="CJ365" s="17">
        <f t="shared" si="381"/>
        <v>0</v>
      </c>
      <c r="CK365" s="17">
        <f>IF(AND(CI365&gt;0,CC365&gt;0),CI365/(1-'1 - Input'!$B$22*CJ365),0)</f>
        <v>0</v>
      </c>
      <c r="CL365" s="17">
        <f t="shared" si="382"/>
        <v>0</v>
      </c>
      <c r="CM365" s="17">
        <f>'1 - Input'!$B$22*CJ365*CL365</f>
        <v>0</v>
      </c>
      <c r="CN365" s="17">
        <f t="shared" si="383"/>
        <v>0</v>
      </c>
      <c r="CO365" s="17">
        <f t="shared" si="384"/>
        <v>4518.2289087558656</v>
      </c>
      <c r="CP365" s="17">
        <f t="shared" si="385"/>
        <v>0</v>
      </c>
      <c r="CQ365" s="17">
        <f t="shared" si="386"/>
        <v>0</v>
      </c>
      <c r="CR365" s="17">
        <f t="shared" si="387"/>
        <v>0</v>
      </c>
      <c r="CS365" s="17">
        <f>IF(MOD(BU365,12)=0,CQ365*'1 - Input'!$B$23,0)</f>
        <v>0</v>
      </c>
      <c r="CT365" s="17">
        <f t="shared" si="388"/>
        <v>0</v>
      </c>
      <c r="CU365" s="17">
        <f>IF(MOD(BU365,12)=0,CR365*(1-'1 - Input'!$B$23),CR365)</f>
        <v>0</v>
      </c>
      <c r="CV365" s="17">
        <f>IF('1 - Input'!$B$17=1,MIN(CF365,BX365)+CN365,CF365)</f>
        <v>0</v>
      </c>
      <c r="CW365" s="17">
        <f t="shared" ref="CW365:CW428" si="408">CW364+CV365</f>
        <v>686605.50041273201</v>
      </c>
      <c r="CX365" s="17">
        <f t="shared" ref="CX365:CX403" si="409">CX364+CE365</f>
        <v>6018.3402768167462</v>
      </c>
      <c r="CY365" s="17">
        <f t="shared" ref="CY365:CY403" si="410">CY364+CM365</f>
        <v>66518.776160328038</v>
      </c>
      <c r="CZ365" s="17">
        <f t="shared" ref="CZ365:CZ403" si="411">CZ364+CP365</f>
        <v>0</v>
      </c>
      <c r="DA365" s="17">
        <f t="shared" ref="DA365:DA403" si="412">DA364+CS365</f>
        <v>10954.114452440983</v>
      </c>
      <c r="DB365" s="17">
        <f t="shared" ref="DB365:DB403" si="413">DB364+CO365</f>
        <v>449514.13392834656</v>
      </c>
      <c r="DC365" s="15">
        <f t="shared" si="389"/>
        <v>1</v>
      </c>
    </row>
    <row r="366" spans="1:107">
      <c r="A366" s="14">
        <v>323</v>
      </c>
      <c r="B366" s="15">
        <f t="shared" si="345"/>
        <v>27</v>
      </c>
      <c r="C366" s="16">
        <f>(1+INDEX('1 - Input'!$B$34:$E$63,B366,'1 - Input'!$B$16))^(1/12)-1</f>
        <v>4.1219243192651689E-3</v>
      </c>
      <c r="D366" s="17">
        <f>'1 - Input'!$B$7*(1+'1 - Input'!$B$12)^(B366-1)</f>
        <v>4518.2289087558656</v>
      </c>
      <c r="E366" s="17">
        <f t="shared" si="390"/>
        <v>0</v>
      </c>
      <c r="F366" s="17">
        <f t="shared" si="391"/>
        <v>0</v>
      </c>
      <c r="G366" s="17">
        <f t="shared" si="346"/>
        <v>0</v>
      </c>
      <c r="H366" s="17">
        <f>IF(G366&gt;0,'1 - Input'!$B$8/12*G366,0)</f>
        <v>0</v>
      </c>
      <c r="I366" s="17">
        <f t="shared" si="347"/>
        <v>0</v>
      </c>
      <c r="J366" s="17">
        <f t="shared" si="348"/>
        <v>0</v>
      </c>
      <c r="K366" s="17">
        <f>'1 - Input'!$B$22*(H366-J366)</f>
        <v>0</v>
      </c>
      <c r="L366" s="17">
        <f t="shared" si="349"/>
        <v>0</v>
      </c>
      <c r="M366" s="17">
        <f t="shared" si="350"/>
        <v>0</v>
      </c>
      <c r="N366" s="17">
        <f>IF('1 - Input'!$B$17=1,MAX(0,L366-D366),0)</f>
        <v>0</v>
      </c>
      <c r="O366" s="17">
        <f>IF('1 - Input'!$B$17=1,MAX(0,D366-L366),0)</f>
        <v>4518.2289087558656</v>
      </c>
      <c r="P366" s="17">
        <f t="shared" si="351"/>
        <v>0</v>
      </c>
      <c r="Q366" s="17">
        <f>IF(AND(O366&gt;0,I366&gt;0),O366/(1-'1 - Input'!$B$22*P366),0)</f>
        <v>0</v>
      </c>
      <c r="R366" s="17">
        <f t="shared" si="352"/>
        <v>0</v>
      </c>
      <c r="S366" s="17">
        <f>'1 - Input'!$B$22*P366*R366</f>
        <v>0</v>
      </c>
      <c r="T366" s="17">
        <f t="shared" si="353"/>
        <v>0</v>
      </c>
      <c r="U366" s="17">
        <f t="shared" si="354"/>
        <v>4518.2289087558656</v>
      </c>
      <c r="V366" s="17">
        <f t="shared" si="355"/>
        <v>0</v>
      </c>
      <c r="W366" s="17">
        <f t="shared" si="356"/>
        <v>0</v>
      </c>
      <c r="X366" s="17">
        <f t="shared" si="357"/>
        <v>0</v>
      </c>
      <c r="Y366" s="17">
        <f>IF(MOD(A366,12)=0,W366*'1 - Input'!$B$23,0)</f>
        <v>0</v>
      </c>
      <c r="Z366" s="17">
        <f t="shared" si="358"/>
        <v>0</v>
      </c>
      <c r="AA366" s="17">
        <f>IF(MOD(A366,12)=0,X366*(1-'1 - Input'!$B$23),X366)</f>
        <v>0</v>
      </c>
      <c r="AB366" s="17">
        <f>IF('1 - Input'!$B$17=1,MIN(L366,D366)+T366,L366)</f>
        <v>0</v>
      </c>
      <c r="AC366" s="17">
        <f t="shared" si="392"/>
        <v>590482.93849429931</v>
      </c>
      <c r="AD366" s="17">
        <f t="shared" si="393"/>
        <v>101441.90180685223</v>
      </c>
      <c r="AE366" s="17">
        <f t="shared" si="394"/>
        <v>0</v>
      </c>
      <c r="AF366" s="17">
        <f t="shared" si="395"/>
        <v>174289.24056370757</v>
      </c>
      <c r="AG366" s="17">
        <f t="shared" si="396"/>
        <v>8123.5662772395826</v>
      </c>
      <c r="AH366" s="17">
        <f t="shared" si="397"/>
        <v>550154.92475553392</v>
      </c>
      <c r="AI366" s="15">
        <f t="shared" si="359"/>
        <v>1</v>
      </c>
      <c r="AK366" s="14">
        <v>323</v>
      </c>
      <c r="AL366" s="15">
        <f t="shared" si="360"/>
        <v>27</v>
      </c>
      <c r="AM366" s="16">
        <f>(1+INDEX('1 - Input'!$B$34:$E$63,AL366,'1 - Input'!$B$16))^(1/12)-1</f>
        <v>4.1219243192651689E-3</v>
      </c>
      <c r="AN366" s="17">
        <f>'1 - Input'!$B$7*(1+'1 - Input'!$B$12)^(AL366-1)</f>
        <v>4518.2289087558656</v>
      </c>
      <c r="AO366" s="17">
        <f t="shared" si="398"/>
        <v>0</v>
      </c>
      <c r="AP366" s="17">
        <f t="shared" si="399"/>
        <v>0</v>
      </c>
      <c r="AQ366" s="17">
        <f t="shared" si="361"/>
        <v>0</v>
      </c>
      <c r="AR366" s="17">
        <f>IF(AQ366&gt;0,'1 - Input'!$B$8/12*AQ366,0)</f>
        <v>0</v>
      </c>
      <c r="AS366" s="17">
        <f t="shared" si="362"/>
        <v>0</v>
      </c>
      <c r="AT366" s="17">
        <f t="shared" si="363"/>
        <v>0</v>
      </c>
      <c r="AU366" s="17">
        <f>'1 - Input'!$B$22*(AR366-AT366)</f>
        <v>0</v>
      </c>
      <c r="AV366" s="17">
        <f t="shared" si="364"/>
        <v>0</v>
      </c>
      <c r="AW366" s="17">
        <f t="shared" si="365"/>
        <v>0</v>
      </c>
      <c r="AX366" s="17">
        <f>IF('1 - Input'!$B$17=1,MAX(0,AV366-AN366),0)</f>
        <v>0</v>
      </c>
      <c r="AY366" s="17">
        <f>IF('1 - Input'!$B$17=1,MAX(0,AN366-AV366),0)</f>
        <v>4518.2289087558656</v>
      </c>
      <c r="AZ366" s="17">
        <f t="shared" si="366"/>
        <v>0</v>
      </c>
      <c r="BA366" s="17">
        <f>IF(AND(AY366&gt;0,AS366&gt;0),AY366/(1-'1 - Input'!$B$22*AZ366),0)</f>
        <v>0</v>
      </c>
      <c r="BB366" s="17">
        <f t="shared" si="367"/>
        <v>0</v>
      </c>
      <c r="BC366" s="17">
        <f>'1 - Input'!$B$22*AZ366*BB366</f>
        <v>0</v>
      </c>
      <c r="BD366" s="17">
        <f t="shared" si="368"/>
        <v>0</v>
      </c>
      <c r="BE366" s="17">
        <f t="shared" si="369"/>
        <v>4518.2289087558656</v>
      </c>
      <c r="BF366" s="17">
        <f t="shared" si="370"/>
        <v>0</v>
      </c>
      <c r="BG366" s="17">
        <f t="shared" si="371"/>
        <v>0</v>
      </c>
      <c r="BH366" s="17">
        <f t="shared" si="372"/>
        <v>0</v>
      </c>
      <c r="BI366" s="17">
        <f>IF(MOD(AK366,12)=0,BG366*'1 - Input'!$B$23,0)</f>
        <v>0</v>
      </c>
      <c r="BJ366" s="17">
        <f t="shared" si="373"/>
        <v>0</v>
      </c>
      <c r="BK366" s="17">
        <f>IF(MOD(AK366,12)=0,BH366*(1-'1 - Input'!$B$23),BH366)</f>
        <v>0</v>
      </c>
      <c r="BL366" s="17">
        <f>IF('1 - Input'!$B$17=1,MIN(AV366,AN366)+BD366,AV366)</f>
        <v>0</v>
      </c>
      <c r="BM366" s="17">
        <f t="shared" si="400"/>
        <v>590482.93849429931</v>
      </c>
      <c r="BN366" s="17">
        <f t="shared" si="401"/>
        <v>101441.90180685223</v>
      </c>
      <c r="BO366" s="17">
        <f t="shared" si="402"/>
        <v>0</v>
      </c>
      <c r="BP366" s="17">
        <f t="shared" si="403"/>
        <v>174289.24056370757</v>
      </c>
      <c r="BQ366" s="17">
        <f t="shared" si="404"/>
        <v>8123.5662772395826</v>
      </c>
      <c r="BR366" s="17">
        <f t="shared" si="405"/>
        <v>550154.92475553392</v>
      </c>
      <c r="BS366" s="15">
        <f t="shared" si="374"/>
        <v>1</v>
      </c>
      <c r="BU366" s="14">
        <v>323</v>
      </c>
      <c r="BV366" s="15">
        <f t="shared" si="375"/>
        <v>27</v>
      </c>
      <c r="BW366" s="16">
        <f>(1+INDEX('1 - Input'!$B$34:$E$63,BV366,'1 - Input'!$B$16))^(1/12)-1</f>
        <v>4.1219243192651689E-3</v>
      </c>
      <c r="BX366" s="17">
        <f>'1 - Input'!$B$7*(1+'1 - Input'!$B$12)^(BV366-1)</f>
        <v>4518.2289087558656</v>
      </c>
      <c r="BY366" s="17">
        <f t="shared" si="406"/>
        <v>0</v>
      </c>
      <c r="BZ366" s="17">
        <f t="shared" si="407"/>
        <v>0</v>
      </c>
      <c r="CA366" s="17">
        <f t="shared" si="376"/>
        <v>0</v>
      </c>
      <c r="CB366" s="17">
        <f>IF(CA366&gt;0,'1 - Input'!$B$8/12*CA366,0)</f>
        <v>0</v>
      </c>
      <c r="CC366" s="17">
        <f t="shared" si="377"/>
        <v>0</v>
      </c>
      <c r="CD366" s="17">
        <f t="shared" si="378"/>
        <v>0</v>
      </c>
      <c r="CE366" s="17">
        <f>'1 - Input'!$B$22*(CB366-CD366)</f>
        <v>0</v>
      </c>
      <c r="CF366" s="17">
        <f t="shared" si="379"/>
        <v>0</v>
      </c>
      <c r="CG366" s="17">
        <f t="shared" si="380"/>
        <v>0</v>
      </c>
      <c r="CH366" s="17">
        <f>IF('1 - Input'!$B$17=1,MAX(0,CF366-BX366),0)</f>
        <v>0</v>
      </c>
      <c r="CI366" s="17">
        <f>IF('1 - Input'!$B$17=1,MAX(0,BX366-CF366),0)</f>
        <v>4518.2289087558656</v>
      </c>
      <c r="CJ366" s="17">
        <f t="shared" si="381"/>
        <v>0</v>
      </c>
      <c r="CK366" s="17">
        <f>IF(AND(CI366&gt;0,CC366&gt;0),CI366/(1-'1 - Input'!$B$22*CJ366),0)</f>
        <v>0</v>
      </c>
      <c r="CL366" s="17">
        <f t="shared" si="382"/>
        <v>0</v>
      </c>
      <c r="CM366" s="17">
        <f>'1 - Input'!$B$22*CJ366*CL366</f>
        <v>0</v>
      </c>
      <c r="CN366" s="17">
        <f t="shared" si="383"/>
        <v>0</v>
      </c>
      <c r="CO366" s="17">
        <f t="shared" si="384"/>
        <v>4518.2289087558656</v>
      </c>
      <c r="CP366" s="17">
        <f t="shared" si="385"/>
        <v>0</v>
      </c>
      <c r="CQ366" s="17">
        <f t="shared" si="386"/>
        <v>0</v>
      </c>
      <c r="CR366" s="17">
        <f t="shared" si="387"/>
        <v>0</v>
      </c>
      <c r="CS366" s="17">
        <f>IF(MOD(BU366,12)=0,CQ366*'1 - Input'!$B$23,0)</f>
        <v>0</v>
      </c>
      <c r="CT366" s="17">
        <f t="shared" si="388"/>
        <v>0</v>
      </c>
      <c r="CU366" s="17">
        <f>IF(MOD(BU366,12)=0,CR366*(1-'1 - Input'!$B$23),CR366)</f>
        <v>0</v>
      </c>
      <c r="CV366" s="17">
        <f>IF('1 - Input'!$B$17=1,MIN(CF366,BX366)+CN366,CF366)</f>
        <v>0</v>
      </c>
      <c r="CW366" s="17">
        <f t="shared" si="408"/>
        <v>686605.50041273201</v>
      </c>
      <c r="CX366" s="17">
        <f t="shared" si="409"/>
        <v>6018.3402768167462</v>
      </c>
      <c r="CY366" s="17">
        <f t="shared" si="410"/>
        <v>66518.776160328038</v>
      </c>
      <c r="CZ366" s="17">
        <f t="shared" si="411"/>
        <v>0</v>
      </c>
      <c r="DA366" s="17">
        <f t="shared" si="412"/>
        <v>10954.114452440983</v>
      </c>
      <c r="DB366" s="17">
        <f t="shared" si="413"/>
        <v>454032.36283710244</v>
      </c>
      <c r="DC366" s="15">
        <f t="shared" si="389"/>
        <v>1</v>
      </c>
    </row>
    <row r="367" spans="1:107">
      <c r="A367" s="14">
        <v>324</v>
      </c>
      <c r="B367" s="15">
        <f t="shared" si="345"/>
        <v>27</v>
      </c>
      <c r="C367" s="16">
        <f>(1+INDEX('1 - Input'!$B$34:$E$63,B367,'1 - Input'!$B$16))^(1/12)-1</f>
        <v>4.1219243192651689E-3</v>
      </c>
      <c r="D367" s="17">
        <f>'1 - Input'!$B$7*(1+'1 - Input'!$B$12)^(B367-1)</f>
        <v>4518.2289087558656</v>
      </c>
      <c r="E367" s="17">
        <f t="shared" si="390"/>
        <v>0</v>
      </c>
      <c r="F367" s="17">
        <f t="shared" si="391"/>
        <v>0</v>
      </c>
      <c r="G367" s="17">
        <f t="shared" si="346"/>
        <v>0</v>
      </c>
      <c r="H367" s="17">
        <f>IF(G367&gt;0,'1 - Input'!$B$8/12*G367,0)</f>
        <v>0</v>
      </c>
      <c r="I367" s="17">
        <f t="shared" si="347"/>
        <v>0</v>
      </c>
      <c r="J367" s="17">
        <f t="shared" si="348"/>
        <v>0</v>
      </c>
      <c r="K367" s="17">
        <f>'1 - Input'!$B$22*(H367-J367)</f>
        <v>0</v>
      </c>
      <c r="L367" s="17">
        <f t="shared" si="349"/>
        <v>0</v>
      </c>
      <c r="M367" s="17">
        <f t="shared" si="350"/>
        <v>0</v>
      </c>
      <c r="N367" s="17">
        <f>IF('1 - Input'!$B$17=1,MAX(0,L367-D367),0)</f>
        <v>0</v>
      </c>
      <c r="O367" s="17">
        <f>IF('1 - Input'!$B$17=1,MAX(0,D367-L367),0)</f>
        <v>4518.2289087558656</v>
      </c>
      <c r="P367" s="17">
        <f t="shared" si="351"/>
        <v>0</v>
      </c>
      <c r="Q367" s="17">
        <f>IF(AND(O367&gt;0,I367&gt;0),O367/(1-'1 - Input'!$B$22*P367),0)</f>
        <v>0</v>
      </c>
      <c r="R367" s="17">
        <f t="shared" si="352"/>
        <v>0</v>
      </c>
      <c r="S367" s="17">
        <f>'1 - Input'!$B$22*P367*R367</f>
        <v>0</v>
      </c>
      <c r="T367" s="17">
        <f t="shared" si="353"/>
        <v>0</v>
      </c>
      <c r="U367" s="17">
        <f t="shared" si="354"/>
        <v>4518.2289087558656</v>
      </c>
      <c r="V367" s="17">
        <f t="shared" si="355"/>
        <v>0</v>
      </c>
      <c r="W367" s="17">
        <f t="shared" si="356"/>
        <v>0</v>
      </c>
      <c r="X367" s="17">
        <f t="shared" si="357"/>
        <v>0</v>
      </c>
      <c r="Y367" s="17">
        <f>IF(MOD(A367,12)=0,W367*'1 - Input'!$B$23,0)</f>
        <v>0</v>
      </c>
      <c r="Z367" s="17">
        <f t="shared" si="358"/>
        <v>0</v>
      </c>
      <c r="AA367" s="17">
        <f>IF(MOD(A367,12)=0,X367*(1-'1 - Input'!$B$23),X367)</f>
        <v>0</v>
      </c>
      <c r="AB367" s="17">
        <f>IF('1 - Input'!$B$17=1,MIN(L367,D367)+T367,L367)</f>
        <v>0</v>
      </c>
      <c r="AC367" s="17">
        <f t="shared" si="392"/>
        <v>590482.93849429931</v>
      </c>
      <c r="AD367" s="17">
        <f t="shared" si="393"/>
        <v>101441.90180685223</v>
      </c>
      <c r="AE367" s="17">
        <f t="shared" si="394"/>
        <v>0</v>
      </c>
      <c r="AF367" s="17">
        <f t="shared" si="395"/>
        <v>174289.24056370757</v>
      </c>
      <c r="AG367" s="17">
        <f t="shared" si="396"/>
        <v>8123.5662772395826</v>
      </c>
      <c r="AH367" s="17">
        <f t="shared" si="397"/>
        <v>554673.15366428974</v>
      </c>
      <c r="AI367" s="15">
        <f t="shared" si="359"/>
        <v>1</v>
      </c>
      <c r="AK367" s="14">
        <v>324</v>
      </c>
      <c r="AL367" s="15">
        <f t="shared" si="360"/>
        <v>27</v>
      </c>
      <c r="AM367" s="16">
        <f>(1+INDEX('1 - Input'!$B$34:$E$63,AL367,'1 - Input'!$B$16))^(1/12)-1</f>
        <v>4.1219243192651689E-3</v>
      </c>
      <c r="AN367" s="17">
        <f>'1 - Input'!$B$7*(1+'1 - Input'!$B$12)^(AL367-1)</f>
        <v>4518.2289087558656</v>
      </c>
      <c r="AO367" s="17">
        <f t="shared" si="398"/>
        <v>0</v>
      </c>
      <c r="AP367" s="17">
        <f t="shared" si="399"/>
        <v>0</v>
      </c>
      <c r="AQ367" s="17">
        <f t="shared" si="361"/>
        <v>0</v>
      </c>
      <c r="AR367" s="17">
        <f>IF(AQ367&gt;0,'1 - Input'!$B$8/12*AQ367,0)</f>
        <v>0</v>
      </c>
      <c r="AS367" s="17">
        <f t="shared" si="362"/>
        <v>0</v>
      </c>
      <c r="AT367" s="17">
        <f t="shared" si="363"/>
        <v>0</v>
      </c>
      <c r="AU367" s="17">
        <f>'1 - Input'!$B$22*(AR367-AT367)</f>
        <v>0</v>
      </c>
      <c r="AV367" s="17">
        <f t="shared" si="364"/>
        <v>0</v>
      </c>
      <c r="AW367" s="17">
        <f t="shared" si="365"/>
        <v>0</v>
      </c>
      <c r="AX367" s="17">
        <f>IF('1 - Input'!$B$17=1,MAX(0,AV367-AN367),0)</f>
        <v>0</v>
      </c>
      <c r="AY367" s="17">
        <f>IF('1 - Input'!$B$17=1,MAX(0,AN367-AV367),0)</f>
        <v>4518.2289087558656</v>
      </c>
      <c r="AZ367" s="17">
        <f t="shared" si="366"/>
        <v>0</v>
      </c>
      <c r="BA367" s="17">
        <f>IF(AND(AY367&gt;0,AS367&gt;0),AY367/(1-'1 - Input'!$B$22*AZ367),0)</f>
        <v>0</v>
      </c>
      <c r="BB367" s="17">
        <f t="shared" si="367"/>
        <v>0</v>
      </c>
      <c r="BC367" s="17">
        <f>'1 - Input'!$B$22*AZ367*BB367</f>
        <v>0</v>
      </c>
      <c r="BD367" s="17">
        <f t="shared" si="368"/>
        <v>0</v>
      </c>
      <c r="BE367" s="17">
        <f t="shared" si="369"/>
        <v>4518.2289087558656</v>
      </c>
      <c r="BF367" s="17">
        <f t="shared" si="370"/>
        <v>0</v>
      </c>
      <c r="BG367" s="17">
        <f t="shared" si="371"/>
        <v>0</v>
      </c>
      <c r="BH367" s="17">
        <f t="shared" si="372"/>
        <v>0</v>
      </c>
      <c r="BI367" s="17">
        <f>IF(MOD(AK367,12)=0,BG367*'1 - Input'!$B$23,0)</f>
        <v>0</v>
      </c>
      <c r="BJ367" s="17">
        <f t="shared" si="373"/>
        <v>0</v>
      </c>
      <c r="BK367" s="17">
        <f>IF(MOD(AK367,12)=0,BH367*(1-'1 - Input'!$B$23),BH367)</f>
        <v>0</v>
      </c>
      <c r="BL367" s="17">
        <f>IF('1 - Input'!$B$17=1,MIN(AV367,AN367)+BD367,AV367)</f>
        <v>0</v>
      </c>
      <c r="BM367" s="17">
        <f t="shared" si="400"/>
        <v>590482.93849429931</v>
      </c>
      <c r="BN367" s="17">
        <f t="shared" si="401"/>
        <v>101441.90180685223</v>
      </c>
      <c r="BO367" s="17">
        <f t="shared" si="402"/>
        <v>0</v>
      </c>
      <c r="BP367" s="17">
        <f t="shared" si="403"/>
        <v>174289.24056370757</v>
      </c>
      <c r="BQ367" s="17">
        <f t="shared" si="404"/>
        <v>8123.5662772395826</v>
      </c>
      <c r="BR367" s="17">
        <f t="shared" si="405"/>
        <v>554673.15366428974</v>
      </c>
      <c r="BS367" s="15">
        <f t="shared" si="374"/>
        <v>1</v>
      </c>
      <c r="BU367" s="14">
        <v>324</v>
      </c>
      <c r="BV367" s="15">
        <f t="shared" si="375"/>
        <v>27</v>
      </c>
      <c r="BW367" s="16">
        <f>(1+INDEX('1 - Input'!$B$34:$E$63,BV367,'1 - Input'!$B$16))^(1/12)-1</f>
        <v>4.1219243192651689E-3</v>
      </c>
      <c r="BX367" s="17">
        <f>'1 - Input'!$B$7*(1+'1 - Input'!$B$12)^(BV367-1)</f>
        <v>4518.2289087558656</v>
      </c>
      <c r="BY367" s="17">
        <f t="shared" si="406"/>
        <v>0</v>
      </c>
      <c r="BZ367" s="17">
        <f t="shared" si="407"/>
        <v>0</v>
      </c>
      <c r="CA367" s="17">
        <f t="shared" si="376"/>
        <v>0</v>
      </c>
      <c r="CB367" s="17">
        <f>IF(CA367&gt;0,'1 - Input'!$B$8/12*CA367,0)</f>
        <v>0</v>
      </c>
      <c r="CC367" s="17">
        <f t="shared" si="377"/>
        <v>0</v>
      </c>
      <c r="CD367" s="17">
        <f t="shared" si="378"/>
        <v>0</v>
      </c>
      <c r="CE367" s="17">
        <f>'1 - Input'!$B$22*(CB367-CD367)</f>
        <v>0</v>
      </c>
      <c r="CF367" s="17">
        <f t="shared" si="379"/>
        <v>0</v>
      </c>
      <c r="CG367" s="17">
        <f t="shared" si="380"/>
        <v>0</v>
      </c>
      <c r="CH367" s="17">
        <f>IF('1 - Input'!$B$17=1,MAX(0,CF367-BX367),0)</f>
        <v>0</v>
      </c>
      <c r="CI367" s="17">
        <f>IF('1 - Input'!$B$17=1,MAX(0,BX367-CF367),0)</f>
        <v>4518.2289087558656</v>
      </c>
      <c r="CJ367" s="17">
        <f t="shared" si="381"/>
        <v>0</v>
      </c>
      <c r="CK367" s="17">
        <f>IF(AND(CI367&gt;0,CC367&gt;0),CI367/(1-'1 - Input'!$B$22*CJ367),0)</f>
        <v>0</v>
      </c>
      <c r="CL367" s="17">
        <f t="shared" si="382"/>
        <v>0</v>
      </c>
      <c r="CM367" s="17">
        <f>'1 - Input'!$B$22*CJ367*CL367</f>
        <v>0</v>
      </c>
      <c r="CN367" s="17">
        <f t="shared" si="383"/>
        <v>0</v>
      </c>
      <c r="CO367" s="17">
        <f t="shared" si="384"/>
        <v>4518.2289087558656</v>
      </c>
      <c r="CP367" s="17">
        <f t="shared" si="385"/>
        <v>0</v>
      </c>
      <c r="CQ367" s="17">
        <f t="shared" si="386"/>
        <v>0</v>
      </c>
      <c r="CR367" s="17">
        <f t="shared" si="387"/>
        <v>0</v>
      </c>
      <c r="CS367" s="17">
        <f>IF(MOD(BU367,12)=0,CQ367*'1 - Input'!$B$23,0)</f>
        <v>0</v>
      </c>
      <c r="CT367" s="17">
        <f t="shared" si="388"/>
        <v>0</v>
      </c>
      <c r="CU367" s="17">
        <f>IF(MOD(BU367,12)=0,CR367*(1-'1 - Input'!$B$23),CR367)</f>
        <v>0</v>
      </c>
      <c r="CV367" s="17">
        <f>IF('1 - Input'!$B$17=1,MIN(CF367,BX367)+CN367,CF367)</f>
        <v>0</v>
      </c>
      <c r="CW367" s="17">
        <f t="shared" si="408"/>
        <v>686605.50041273201</v>
      </c>
      <c r="CX367" s="17">
        <f t="shared" si="409"/>
        <v>6018.3402768167462</v>
      </c>
      <c r="CY367" s="17">
        <f t="shared" si="410"/>
        <v>66518.776160328038</v>
      </c>
      <c r="CZ367" s="17">
        <f t="shared" si="411"/>
        <v>0</v>
      </c>
      <c r="DA367" s="17">
        <f t="shared" si="412"/>
        <v>10954.114452440983</v>
      </c>
      <c r="DB367" s="17">
        <f t="shared" si="413"/>
        <v>458550.59174585831</v>
      </c>
      <c r="DC367" s="15">
        <f t="shared" si="389"/>
        <v>1</v>
      </c>
    </row>
    <row r="368" spans="1:107">
      <c r="A368" s="14">
        <v>325</v>
      </c>
      <c r="B368" s="15">
        <f t="shared" si="345"/>
        <v>28</v>
      </c>
      <c r="C368" s="16">
        <f>(1+INDEX('1 - Input'!$B$34:$E$63,B368,'1 - Input'!$B$16))^(1/12)-1</f>
        <v>4.1219243192651689E-3</v>
      </c>
      <c r="D368" s="17">
        <f>'1 - Input'!$B$7*(1+'1 - Input'!$B$12)^(B368-1)</f>
        <v>4608.5934869309822</v>
      </c>
      <c r="E368" s="17">
        <f t="shared" si="390"/>
        <v>0</v>
      </c>
      <c r="F368" s="17">
        <f t="shared" si="391"/>
        <v>0</v>
      </c>
      <c r="G368" s="17">
        <f t="shared" si="346"/>
        <v>0</v>
      </c>
      <c r="H368" s="17">
        <f>IF(G368&gt;0,'1 - Input'!$B$8/12*G368,0)</f>
        <v>0</v>
      </c>
      <c r="I368" s="17">
        <f t="shared" si="347"/>
        <v>0</v>
      </c>
      <c r="J368" s="17">
        <f t="shared" si="348"/>
        <v>0</v>
      </c>
      <c r="K368" s="17">
        <f>'1 - Input'!$B$22*(H368-J368)</f>
        <v>0</v>
      </c>
      <c r="L368" s="17">
        <f t="shared" si="349"/>
        <v>0</v>
      </c>
      <c r="M368" s="17">
        <f t="shared" si="350"/>
        <v>0</v>
      </c>
      <c r="N368" s="17">
        <f>IF('1 - Input'!$B$17=1,MAX(0,L368-D368),0)</f>
        <v>0</v>
      </c>
      <c r="O368" s="17">
        <f>IF('1 - Input'!$B$17=1,MAX(0,D368-L368),0)</f>
        <v>4608.5934869309822</v>
      </c>
      <c r="P368" s="17">
        <f t="shared" si="351"/>
        <v>0</v>
      </c>
      <c r="Q368" s="17">
        <f>IF(AND(O368&gt;0,I368&gt;0),O368/(1-'1 - Input'!$B$22*P368),0)</f>
        <v>0</v>
      </c>
      <c r="R368" s="17">
        <f t="shared" si="352"/>
        <v>0</v>
      </c>
      <c r="S368" s="17">
        <f>'1 - Input'!$B$22*P368*R368</f>
        <v>0</v>
      </c>
      <c r="T368" s="17">
        <f t="shared" si="353"/>
        <v>0</v>
      </c>
      <c r="U368" s="17">
        <f t="shared" si="354"/>
        <v>4608.5934869309822</v>
      </c>
      <c r="V368" s="17">
        <f t="shared" si="355"/>
        <v>0</v>
      </c>
      <c r="W368" s="17">
        <f t="shared" si="356"/>
        <v>0</v>
      </c>
      <c r="X368" s="17">
        <f t="shared" si="357"/>
        <v>0</v>
      </c>
      <c r="Y368" s="17">
        <f>IF(MOD(A368,12)=0,W368*'1 - Input'!$B$23,0)</f>
        <v>0</v>
      </c>
      <c r="Z368" s="17">
        <f t="shared" si="358"/>
        <v>0</v>
      </c>
      <c r="AA368" s="17">
        <f>IF(MOD(A368,12)=0,X368*(1-'1 - Input'!$B$23),X368)</f>
        <v>0</v>
      </c>
      <c r="AB368" s="17">
        <f>IF('1 - Input'!$B$17=1,MIN(L368,D368)+T368,L368)</f>
        <v>0</v>
      </c>
      <c r="AC368" s="17">
        <f t="shared" si="392"/>
        <v>590482.93849429931</v>
      </c>
      <c r="AD368" s="17">
        <f t="shared" si="393"/>
        <v>101441.90180685223</v>
      </c>
      <c r="AE368" s="17">
        <f t="shared" si="394"/>
        <v>0</v>
      </c>
      <c r="AF368" s="17">
        <f t="shared" si="395"/>
        <v>174289.24056370757</v>
      </c>
      <c r="AG368" s="17">
        <f t="shared" si="396"/>
        <v>8123.5662772395826</v>
      </c>
      <c r="AH368" s="17">
        <f t="shared" si="397"/>
        <v>559281.74715122068</v>
      </c>
      <c r="AI368" s="15">
        <f t="shared" si="359"/>
        <v>1</v>
      </c>
      <c r="AK368" s="14">
        <v>325</v>
      </c>
      <c r="AL368" s="15">
        <f t="shared" si="360"/>
        <v>28</v>
      </c>
      <c r="AM368" s="16">
        <f>(1+INDEX('1 - Input'!$B$34:$E$63,AL368,'1 - Input'!$B$16))^(1/12)-1</f>
        <v>4.1219243192651689E-3</v>
      </c>
      <c r="AN368" s="17">
        <f>'1 - Input'!$B$7*(1+'1 - Input'!$B$12)^(AL368-1)</f>
        <v>4608.5934869309822</v>
      </c>
      <c r="AO368" s="17">
        <f t="shared" si="398"/>
        <v>0</v>
      </c>
      <c r="AP368" s="17">
        <f t="shared" si="399"/>
        <v>0</v>
      </c>
      <c r="AQ368" s="17">
        <f t="shared" si="361"/>
        <v>0</v>
      </c>
      <c r="AR368" s="17">
        <f>IF(AQ368&gt;0,'1 - Input'!$B$8/12*AQ368,0)</f>
        <v>0</v>
      </c>
      <c r="AS368" s="17">
        <f t="shared" si="362"/>
        <v>0</v>
      </c>
      <c r="AT368" s="17">
        <f t="shared" si="363"/>
        <v>0</v>
      </c>
      <c r="AU368" s="17">
        <f>'1 - Input'!$B$22*(AR368-AT368)</f>
        <v>0</v>
      </c>
      <c r="AV368" s="17">
        <f t="shared" si="364"/>
        <v>0</v>
      </c>
      <c r="AW368" s="17">
        <f t="shared" si="365"/>
        <v>0</v>
      </c>
      <c r="AX368" s="17">
        <f>IF('1 - Input'!$B$17=1,MAX(0,AV368-AN368),0)</f>
        <v>0</v>
      </c>
      <c r="AY368" s="17">
        <f>IF('1 - Input'!$B$17=1,MAX(0,AN368-AV368),0)</f>
        <v>4608.5934869309822</v>
      </c>
      <c r="AZ368" s="17">
        <f t="shared" si="366"/>
        <v>0</v>
      </c>
      <c r="BA368" s="17">
        <f>IF(AND(AY368&gt;0,AS368&gt;0),AY368/(1-'1 - Input'!$B$22*AZ368),0)</f>
        <v>0</v>
      </c>
      <c r="BB368" s="17">
        <f t="shared" si="367"/>
        <v>0</v>
      </c>
      <c r="BC368" s="17">
        <f>'1 - Input'!$B$22*AZ368*BB368</f>
        <v>0</v>
      </c>
      <c r="BD368" s="17">
        <f t="shared" si="368"/>
        <v>0</v>
      </c>
      <c r="BE368" s="17">
        <f t="shared" si="369"/>
        <v>4608.5934869309822</v>
      </c>
      <c r="BF368" s="17">
        <f t="shared" si="370"/>
        <v>0</v>
      </c>
      <c r="BG368" s="17">
        <f t="shared" si="371"/>
        <v>0</v>
      </c>
      <c r="BH368" s="17">
        <f t="shared" si="372"/>
        <v>0</v>
      </c>
      <c r="BI368" s="17">
        <f>IF(MOD(AK368,12)=0,BG368*'1 - Input'!$B$23,0)</f>
        <v>0</v>
      </c>
      <c r="BJ368" s="17">
        <f t="shared" si="373"/>
        <v>0</v>
      </c>
      <c r="BK368" s="17">
        <f>IF(MOD(AK368,12)=0,BH368*(1-'1 - Input'!$B$23),BH368)</f>
        <v>0</v>
      </c>
      <c r="BL368" s="17">
        <f>IF('1 - Input'!$B$17=1,MIN(AV368,AN368)+BD368,AV368)</f>
        <v>0</v>
      </c>
      <c r="BM368" s="17">
        <f t="shared" si="400"/>
        <v>590482.93849429931</v>
      </c>
      <c r="BN368" s="17">
        <f t="shared" si="401"/>
        <v>101441.90180685223</v>
      </c>
      <c r="BO368" s="17">
        <f t="shared" si="402"/>
        <v>0</v>
      </c>
      <c r="BP368" s="17">
        <f t="shared" si="403"/>
        <v>174289.24056370757</v>
      </c>
      <c r="BQ368" s="17">
        <f t="shared" si="404"/>
        <v>8123.5662772395826</v>
      </c>
      <c r="BR368" s="17">
        <f t="shared" si="405"/>
        <v>559281.74715122068</v>
      </c>
      <c r="BS368" s="15">
        <f t="shared" si="374"/>
        <v>1</v>
      </c>
      <c r="BU368" s="14">
        <v>325</v>
      </c>
      <c r="BV368" s="15">
        <f t="shared" si="375"/>
        <v>28</v>
      </c>
      <c r="BW368" s="16">
        <f>(1+INDEX('1 - Input'!$B$34:$E$63,BV368,'1 - Input'!$B$16))^(1/12)-1</f>
        <v>4.1219243192651689E-3</v>
      </c>
      <c r="BX368" s="17">
        <f>'1 - Input'!$B$7*(1+'1 - Input'!$B$12)^(BV368-1)</f>
        <v>4608.5934869309822</v>
      </c>
      <c r="BY368" s="17">
        <f t="shared" si="406"/>
        <v>0</v>
      </c>
      <c r="BZ368" s="17">
        <f t="shared" si="407"/>
        <v>0</v>
      </c>
      <c r="CA368" s="17">
        <f t="shared" si="376"/>
        <v>0</v>
      </c>
      <c r="CB368" s="17">
        <f>IF(CA368&gt;0,'1 - Input'!$B$8/12*CA368,0)</f>
        <v>0</v>
      </c>
      <c r="CC368" s="17">
        <f t="shared" si="377"/>
        <v>0</v>
      </c>
      <c r="CD368" s="17">
        <f t="shared" si="378"/>
        <v>0</v>
      </c>
      <c r="CE368" s="17">
        <f>'1 - Input'!$B$22*(CB368-CD368)</f>
        <v>0</v>
      </c>
      <c r="CF368" s="17">
        <f t="shared" si="379"/>
        <v>0</v>
      </c>
      <c r="CG368" s="17">
        <f t="shared" si="380"/>
        <v>0</v>
      </c>
      <c r="CH368" s="17">
        <f>IF('1 - Input'!$B$17=1,MAX(0,CF368-BX368),0)</f>
        <v>0</v>
      </c>
      <c r="CI368" s="17">
        <f>IF('1 - Input'!$B$17=1,MAX(0,BX368-CF368),0)</f>
        <v>4608.5934869309822</v>
      </c>
      <c r="CJ368" s="17">
        <f t="shared" si="381"/>
        <v>0</v>
      </c>
      <c r="CK368" s="17">
        <f>IF(AND(CI368&gt;0,CC368&gt;0),CI368/(1-'1 - Input'!$B$22*CJ368),0)</f>
        <v>0</v>
      </c>
      <c r="CL368" s="17">
        <f t="shared" si="382"/>
        <v>0</v>
      </c>
      <c r="CM368" s="17">
        <f>'1 - Input'!$B$22*CJ368*CL368</f>
        <v>0</v>
      </c>
      <c r="CN368" s="17">
        <f t="shared" si="383"/>
        <v>0</v>
      </c>
      <c r="CO368" s="17">
        <f t="shared" si="384"/>
        <v>4608.5934869309822</v>
      </c>
      <c r="CP368" s="17">
        <f t="shared" si="385"/>
        <v>0</v>
      </c>
      <c r="CQ368" s="17">
        <f t="shared" si="386"/>
        <v>0</v>
      </c>
      <c r="CR368" s="17">
        <f t="shared" si="387"/>
        <v>0</v>
      </c>
      <c r="CS368" s="17">
        <f>IF(MOD(BU368,12)=0,CQ368*'1 - Input'!$B$23,0)</f>
        <v>0</v>
      </c>
      <c r="CT368" s="17">
        <f t="shared" si="388"/>
        <v>0</v>
      </c>
      <c r="CU368" s="17">
        <f>IF(MOD(BU368,12)=0,CR368*(1-'1 - Input'!$B$23),CR368)</f>
        <v>0</v>
      </c>
      <c r="CV368" s="17">
        <f>IF('1 - Input'!$B$17=1,MIN(CF368,BX368)+CN368,CF368)</f>
        <v>0</v>
      </c>
      <c r="CW368" s="17">
        <f t="shared" si="408"/>
        <v>686605.50041273201</v>
      </c>
      <c r="CX368" s="17">
        <f t="shared" si="409"/>
        <v>6018.3402768167462</v>
      </c>
      <c r="CY368" s="17">
        <f t="shared" si="410"/>
        <v>66518.776160328038</v>
      </c>
      <c r="CZ368" s="17">
        <f t="shared" si="411"/>
        <v>0</v>
      </c>
      <c r="DA368" s="17">
        <f t="shared" si="412"/>
        <v>10954.114452440983</v>
      </c>
      <c r="DB368" s="17">
        <f t="shared" si="413"/>
        <v>463159.18523278931</v>
      </c>
      <c r="DC368" s="15">
        <f t="shared" si="389"/>
        <v>1</v>
      </c>
    </row>
    <row r="369" spans="1:107">
      <c r="A369" s="14">
        <v>326</v>
      </c>
      <c r="B369" s="15">
        <f t="shared" si="345"/>
        <v>28</v>
      </c>
      <c r="C369" s="16">
        <f>(1+INDEX('1 - Input'!$B$34:$E$63,B369,'1 - Input'!$B$16))^(1/12)-1</f>
        <v>4.1219243192651689E-3</v>
      </c>
      <c r="D369" s="17">
        <f>'1 - Input'!$B$7*(1+'1 - Input'!$B$12)^(B369-1)</f>
        <v>4608.5934869309822</v>
      </c>
      <c r="E369" s="17">
        <f t="shared" si="390"/>
        <v>0</v>
      </c>
      <c r="F369" s="17">
        <f t="shared" si="391"/>
        <v>0</v>
      </c>
      <c r="G369" s="17">
        <f t="shared" si="346"/>
        <v>0</v>
      </c>
      <c r="H369" s="17">
        <f>IF(G369&gt;0,'1 - Input'!$B$8/12*G369,0)</f>
        <v>0</v>
      </c>
      <c r="I369" s="17">
        <f t="shared" si="347"/>
        <v>0</v>
      </c>
      <c r="J369" s="17">
        <f t="shared" si="348"/>
        <v>0</v>
      </c>
      <c r="K369" s="17">
        <f>'1 - Input'!$B$22*(H369-J369)</f>
        <v>0</v>
      </c>
      <c r="L369" s="17">
        <f t="shared" si="349"/>
        <v>0</v>
      </c>
      <c r="M369" s="17">
        <f t="shared" si="350"/>
        <v>0</v>
      </c>
      <c r="N369" s="17">
        <f>IF('1 - Input'!$B$17=1,MAX(0,L369-D369),0)</f>
        <v>0</v>
      </c>
      <c r="O369" s="17">
        <f>IF('1 - Input'!$B$17=1,MAX(0,D369-L369),0)</f>
        <v>4608.5934869309822</v>
      </c>
      <c r="P369" s="17">
        <f t="shared" si="351"/>
        <v>0</v>
      </c>
      <c r="Q369" s="17">
        <f>IF(AND(O369&gt;0,I369&gt;0),O369/(1-'1 - Input'!$B$22*P369),0)</f>
        <v>0</v>
      </c>
      <c r="R369" s="17">
        <f t="shared" si="352"/>
        <v>0</v>
      </c>
      <c r="S369" s="17">
        <f>'1 - Input'!$B$22*P369*R369</f>
        <v>0</v>
      </c>
      <c r="T369" s="17">
        <f t="shared" si="353"/>
        <v>0</v>
      </c>
      <c r="U369" s="17">
        <f t="shared" si="354"/>
        <v>4608.5934869309822</v>
      </c>
      <c r="V369" s="17">
        <f t="shared" si="355"/>
        <v>0</v>
      </c>
      <c r="W369" s="17">
        <f t="shared" si="356"/>
        <v>0</v>
      </c>
      <c r="X369" s="17">
        <f t="shared" si="357"/>
        <v>0</v>
      </c>
      <c r="Y369" s="17">
        <f>IF(MOD(A369,12)=0,W369*'1 - Input'!$B$23,0)</f>
        <v>0</v>
      </c>
      <c r="Z369" s="17">
        <f t="shared" si="358"/>
        <v>0</v>
      </c>
      <c r="AA369" s="17">
        <f>IF(MOD(A369,12)=0,X369*(1-'1 - Input'!$B$23),X369)</f>
        <v>0</v>
      </c>
      <c r="AB369" s="17">
        <f>IF('1 - Input'!$B$17=1,MIN(L369,D369)+T369,L369)</f>
        <v>0</v>
      </c>
      <c r="AC369" s="17">
        <f t="shared" si="392"/>
        <v>590482.93849429931</v>
      </c>
      <c r="AD369" s="17">
        <f t="shared" si="393"/>
        <v>101441.90180685223</v>
      </c>
      <c r="AE369" s="17">
        <f t="shared" si="394"/>
        <v>0</v>
      </c>
      <c r="AF369" s="17">
        <f t="shared" si="395"/>
        <v>174289.24056370757</v>
      </c>
      <c r="AG369" s="17">
        <f t="shared" si="396"/>
        <v>8123.5662772395826</v>
      </c>
      <c r="AH369" s="17">
        <f t="shared" si="397"/>
        <v>563890.34063815163</v>
      </c>
      <c r="AI369" s="15">
        <f t="shared" si="359"/>
        <v>1</v>
      </c>
      <c r="AK369" s="14">
        <v>326</v>
      </c>
      <c r="AL369" s="15">
        <f t="shared" si="360"/>
        <v>28</v>
      </c>
      <c r="AM369" s="16">
        <f>(1+INDEX('1 - Input'!$B$34:$E$63,AL369,'1 - Input'!$B$16))^(1/12)-1</f>
        <v>4.1219243192651689E-3</v>
      </c>
      <c r="AN369" s="17">
        <f>'1 - Input'!$B$7*(1+'1 - Input'!$B$12)^(AL369-1)</f>
        <v>4608.5934869309822</v>
      </c>
      <c r="AO369" s="17">
        <f t="shared" si="398"/>
        <v>0</v>
      </c>
      <c r="AP369" s="17">
        <f t="shared" si="399"/>
        <v>0</v>
      </c>
      <c r="AQ369" s="17">
        <f t="shared" si="361"/>
        <v>0</v>
      </c>
      <c r="AR369" s="17">
        <f>IF(AQ369&gt;0,'1 - Input'!$B$8/12*AQ369,0)</f>
        <v>0</v>
      </c>
      <c r="AS369" s="17">
        <f t="shared" si="362"/>
        <v>0</v>
      </c>
      <c r="AT369" s="17">
        <f t="shared" si="363"/>
        <v>0</v>
      </c>
      <c r="AU369" s="17">
        <f>'1 - Input'!$B$22*(AR369-AT369)</f>
        <v>0</v>
      </c>
      <c r="AV369" s="17">
        <f t="shared" si="364"/>
        <v>0</v>
      </c>
      <c r="AW369" s="17">
        <f t="shared" si="365"/>
        <v>0</v>
      </c>
      <c r="AX369" s="17">
        <f>IF('1 - Input'!$B$17=1,MAX(0,AV369-AN369),0)</f>
        <v>0</v>
      </c>
      <c r="AY369" s="17">
        <f>IF('1 - Input'!$B$17=1,MAX(0,AN369-AV369),0)</f>
        <v>4608.5934869309822</v>
      </c>
      <c r="AZ369" s="17">
        <f t="shared" si="366"/>
        <v>0</v>
      </c>
      <c r="BA369" s="17">
        <f>IF(AND(AY369&gt;0,AS369&gt;0),AY369/(1-'1 - Input'!$B$22*AZ369),0)</f>
        <v>0</v>
      </c>
      <c r="BB369" s="17">
        <f t="shared" si="367"/>
        <v>0</v>
      </c>
      <c r="BC369" s="17">
        <f>'1 - Input'!$B$22*AZ369*BB369</f>
        <v>0</v>
      </c>
      <c r="BD369" s="17">
        <f t="shared" si="368"/>
        <v>0</v>
      </c>
      <c r="BE369" s="17">
        <f t="shared" si="369"/>
        <v>4608.5934869309822</v>
      </c>
      <c r="BF369" s="17">
        <f t="shared" si="370"/>
        <v>0</v>
      </c>
      <c r="BG369" s="17">
        <f t="shared" si="371"/>
        <v>0</v>
      </c>
      <c r="BH369" s="17">
        <f t="shared" si="372"/>
        <v>0</v>
      </c>
      <c r="BI369" s="17">
        <f>IF(MOD(AK369,12)=0,BG369*'1 - Input'!$B$23,0)</f>
        <v>0</v>
      </c>
      <c r="BJ369" s="17">
        <f t="shared" si="373"/>
        <v>0</v>
      </c>
      <c r="BK369" s="17">
        <f>IF(MOD(AK369,12)=0,BH369*(1-'1 - Input'!$B$23),BH369)</f>
        <v>0</v>
      </c>
      <c r="BL369" s="17">
        <f>IF('1 - Input'!$B$17=1,MIN(AV369,AN369)+BD369,AV369)</f>
        <v>0</v>
      </c>
      <c r="BM369" s="17">
        <f t="shared" si="400"/>
        <v>590482.93849429931</v>
      </c>
      <c r="BN369" s="17">
        <f t="shared" si="401"/>
        <v>101441.90180685223</v>
      </c>
      <c r="BO369" s="17">
        <f t="shared" si="402"/>
        <v>0</v>
      </c>
      <c r="BP369" s="17">
        <f t="shared" si="403"/>
        <v>174289.24056370757</v>
      </c>
      <c r="BQ369" s="17">
        <f t="shared" si="404"/>
        <v>8123.5662772395826</v>
      </c>
      <c r="BR369" s="17">
        <f t="shared" si="405"/>
        <v>563890.34063815163</v>
      </c>
      <c r="BS369" s="15">
        <f t="shared" si="374"/>
        <v>1</v>
      </c>
      <c r="BU369" s="14">
        <v>326</v>
      </c>
      <c r="BV369" s="15">
        <f t="shared" si="375"/>
        <v>28</v>
      </c>
      <c r="BW369" s="16">
        <f>(1+INDEX('1 - Input'!$B$34:$E$63,BV369,'1 - Input'!$B$16))^(1/12)-1</f>
        <v>4.1219243192651689E-3</v>
      </c>
      <c r="BX369" s="17">
        <f>'1 - Input'!$B$7*(1+'1 - Input'!$B$12)^(BV369-1)</f>
        <v>4608.5934869309822</v>
      </c>
      <c r="BY369" s="17">
        <f t="shared" si="406"/>
        <v>0</v>
      </c>
      <c r="BZ369" s="17">
        <f t="shared" si="407"/>
        <v>0</v>
      </c>
      <c r="CA369" s="17">
        <f t="shared" si="376"/>
        <v>0</v>
      </c>
      <c r="CB369" s="17">
        <f>IF(CA369&gt;0,'1 - Input'!$B$8/12*CA369,0)</f>
        <v>0</v>
      </c>
      <c r="CC369" s="17">
        <f t="shared" si="377"/>
        <v>0</v>
      </c>
      <c r="CD369" s="17">
        <f t="shared" si="378"/>
        <v>0</v>
      </c>
      <c r="CE369" s="17">
        <f>'1 - Input'!$B$22*(CB369-CD369)</f>
        <v>0</v>
      </c>
      <c r="CF369" s="17">
        <f t="shared" si="379"/>
        <v>0</v>
      </c>
      <c r="CG369" s="17">
        <f t="shared" si="380"/>
        <v>0</v>
      </c>
      <c r="CH369" s="17">
        <f>IF('1 - Input'!$B$17=1,MAX(0,CF369-BX369),0)</f>
        <v>0</v>
      </c>
      <c r="CI369" s="17">
        <f>IF('1 - Input'!$B$17=1,MAX(0,BX369-CF369),0)</f>
        <v>4608.5934869309822</v>
      </c>
      <c r="CJ369" s="17">
        <f t="shared" si="381"/>
        <v>0</v>
      </c>
      <c r="CK369" s="17">
        <f>IF(AND(CI369&gt;0,CC369&gt;0),CI369/(1-'1 - Input'!$B$22*CJ369),0)</f>
        <v>0</v>
      </c>
      <c r="CL369" s="17">
        <f t="shared" si="382"/>
        <v>0</v>
      </c>
      <c r="CM369" s="17">
        <f>'1 - Input'!$B$22*CJ369*CL369</f>
        <v>0</v>
      </c>
      <c r="CN369" s="17">
        <f t="shared" si="383"/>
        <v>0</v>
      </c>
      <c r="CO369" s="17">
        <f t="shared" si="384"/>
        <v>4608.5934869309822</v>
      </c>
      <c r="CP369" s="17">
        <f t="shared" si="385"/>
        <v>0</v>
      </c>
      <c r="CQ369" s="17">
        <f t="shared" si="386"/>
        <v>0</v>
      </c>
      <c r="CR369" s="17">
        <f t="shared" si="387"/>
        <v>0</v>
      </c>
      <c r="CS369" s="17">
        <f>IF(MOD(BU369,12)=0,CQ369*'1 - Input'!$B$23,0)</f>
        <v>0</v>
      </c>
      <c r="CT369" s="17">
        <f t="shared" si="388"/>
        <v>0</v>
      </c>
      <c r="CU369" s="17">
        <f>IF(MOD(BU369,12)=0,CR369*(1-'1 - Input'!$B$23),CR369)</f>
        <v>0</v>
      </c>
      <c r="CV369" s="17">
        <f>IF('1 - Input'!$B$17=1,MIN(CF369,BX369)+CN369,CF369)</f>
        <v>0</v>
      </c>
      <c r="CW369" s="17">
        <f t="shared" si="408"/>
        <v>686605.50041273201</v>
      </c>
      <c r="CX369" s="17">
        <f t="shared" si="409"/>
        <v>6018.3402768167462</v>
      </c>
      <c r="CY369" s="17">
        <f t="shared" si="410"/>
        <v>66518.776160328038</v>
      </c>
      <c r="CZ369" s="17">
        <f t="shared" si="411"/>
        <v>0</v>
      </c>
      <c r="DA369" s="17">
        <f t="shared" si="412"/>
        <v>10954.114452440983</v>
      </c>
      <c r="DB369" s="17">
        <f t="shared" si="413"/>
        <v>467767.77871972031</v>
      </c>
      <c r="DC369" s="15">
        <f t="shared" si="389"/>
        <v>1</v>
      </c>
    </row>
    <row r="370" spans="1:107">
      <c r="A370" s="14">
        <v>327</v>
      </c>
      <c r="B370" s="15">
        <f t="shared" si="345"/>
        <v>28</v>
      </c>
      <c r="C370" s="16">
        <f>(1+INDEX('1 - Input'!$B$34:$E$63,B370,'1 - Input'!$B$16))^(1/12)-1</f>
        <v>4.1219243192651689E-3</v>
      </c>
      <c r="D370" s="17">
        <f>'1 - Input'!$B$7*(1+'1 - Input'!$B$12)^(B370-1)</f>
        <v>4608.5934869309822</v>
      </c>
      <c r="E370" s="17">
        <f t="shared" si="390"/>
        <v>0</v>
      </c>
      <c r="F370" s="17">
        <f t="shared" si="391"/>
        <v>0</v>
      </c>
      <c r="G370" s="17">
        <f t="shared" si="346"/>
        <v>0</v>
      </c>
      <c r="H370" s="17">
        <f>IF(G370&gt;0,'1 - Input'!$B$8/12*G370,0)</f>
        <v>0</v>
      </c>
      <c r="I370" s="17">
        <f t="shared" si="347"/>
        <v>0</v>
      </c>
      <c r="J370" s="17">
        <f t="shared" si="348"/>
        <v>0</v>
      </c>
      <c r="K370" s="17">
        <f>'1 - Input'!$B$22*(H370-J370)</f>
        <v>0</v>
      </c>
      <c r="L370" s="17">
        <f t="shared" si="349"/>
        <v>0</v>
      </c>
      <c r="M370" s="17">
        <f t="shared" si="350"/>
        <v>0</v>
      </c>
      <c r="N370" s="17">
        <f>IF('1 - Input'!$B$17=1,MAX(0,L370-D370),0)</f>
        <v>0</v>
      </c>
      <c r="O370" s="17">
        <f>IF('1 - Input'!$B$17=1,MAX(0,D370-L370),0)</f>
        <v>4608.5934869309822</v>
      </c>
      <c r="P370" s="17">
        <f t="shared" si="351"/>
        <v>0</v>
      </c>
      <c r="Q370" s="17">
        <f>IF(AND(O370&gt;0,I370&gt;0),O370/(1-'1 - Input'!$B$22*P370),0)</f>
        <v>0</v>
      </c>
      <c r="R370" s="17">
        <f t="shared" si="352"/>
        <v>0</v>
      </c>
      <c r="S370" s="17">
        <f>'1 - Input'!$B$22*P370*R370</f>
        <v>0</v>
      </c>
      <c r="T370" s="17">
        <f t="shared" si="353"/>
        <v>0</v>
      </c>
      <c r="U370" s="17">
        <f t="shared" si="354"/>
        <v>4608.5934869309822</v>
      </c>
      <c r="V370" s="17">
        <f t="shared" si="355"/>
        <v>0</v>
      </c>
      <c r="W370" s="17">
        <f t="shared" si="356"/>
        <v>0</v>
      </c>
      <c r="X370" s="17">
        <f t="shared" si="357"/>
        <v>0</v>
      </c>
      <c r="Y370" s="17">
        <f>IF(MOD(A370,12)=0,W370*'1 - Input'!$B$23,0)</f>
        <v>0</v>
      </c>
      <c r="Z370" s="17">
        <f t="shared" si="358"/>
        <v>0</v>
      </c>
      <c r="AA370" s="17">
        <f>IF(MOD(A370,12)=0,X370*(1-'1 - Input'!$B$23),X370)</f>
        <v>0</v>
      </c>
      <c r="AB370" s="17">
        <f>IF('1 - Input'!$B$17=1,MIN(L370,D370)+T370,L370)</f>
        <v>0</v>
      </c>
      <c r="AC370" s="17">
        <f t="shared" si="392"/>
        <v>590482.93849429931</v>
      </c>
      <c r="AD370" s="17">
        <f t="shared" si="393"/>
        <v>101441.90180685223</v>
      </c>
      <c r="AE370" s="17">
        <f t="shared" si="394"/>
        <v>0</v>
      </c>
      <c r="AF370" s="17">
        <f t="shared" si="395"/>
        <v>174289.24056370757</v>
      </c>
      <c r="AG370" s="17">
        <f t="shared" si="396"/>
        <v>8123.5662772395826</v>
      </c>
      <c r="AH370" s="17">
        <f t="shared" si="397"/>
        <v>568498.93412508257</v>
      </c>
      <c r="AI370" s="15">
        <f t="shared" si="359"/>
        <v>1</v>
      </c>
      <c r="AK370" s="14">
        <v>327</v>
      </c>
      <c r="AL370" s="15">
        <f t="shared" si="360"/>
        <v>28</v>
      </c>
      <c r="AM370" s="16">
        <f>(1+INDEX('1 - Input'!$B$34:$E$63,AL370,'1 - Input'!$B$16))^(1/12)-1</f>
        <v>4.1219243192651689E-3</v>
      </c>
      <c r="AN370" s="17">
        <f>'1 - Input'!$B$7*(1+'1 - Input'!$B$12)^(AL370-1)</f>
        <v>4608.5934869309822</v>
      </c>
      <c r="AO370" s="17">
        <f t="shared" si="398"/>
        <v>0</v>
      </c>
      <c r="AP370" s="17">
        <f t="shared" si="399"/>
        <v>0</v>
      </c>
      <c r="AQ370" s="17">
        <f t="shared" si="361"/>
        <v>0</v>
      </c>
      <c r="AR370" s="17">
        <f>IF(AQ370&gt;0,'1 - Input'!$B$8/12*AQ370,0)</f>
        <v>0</v>
      </c>
      <c r="AS370" s="17">
        <f t="shared" si="362"/>
        <v>0</v>
      </c>
      <c r="AT370" s="17">
        <f t="shared" si="363"/>
        <v>0</v>
      </c>
      <c r="AU370" s="17">
        <f>'1 - Input'!$B$22*(AR370-AT370)</f>
        <v>0</v>
      </c>
      <c r="AV370" s="17">
        <f t="shared" si="364"/>
        <v>0</v>
      </c>
      <c r="AW370" s="17">
        <f t="shared" si="365"/>
        <v>0</v>
      </c>
      <c r="AX370" s="17">
        <f>IF('1 - Input'!$B$17=1,MAX(0,AV370-AN370),0)</f>
        <v>0</v>
      </c>
      <c r="AY370" s="17">
        <f>IF('1 - Input'!$B$17=1,MAX(0,AN370-AV370),0)</f>
        <v>4608.5934869309822</v>
      </c>
      <c r="AZ370" s="17">
        <f t="shared" si="366"/>
        <v>0</v>
      </c>
      <c r="BA370" s="17">
        <f>IF(AND(AY370&gt;0,AS370&gt;0),AY370/(1-'1 - Input'!$B$22*AZ370),0)</f>
        <v>0</v>
      </c>
      <c r="BB370" s="17">
        <f t="shared" si="367"/>
        <v>0</v>
      </c>
      <c r="BC370" s="17">
        <f>'1 - Input'!$B$22*AZ370*BB370</f>
        <v>0</v>
      </c>
      <c r="BD370" s="17">
        <f t="shared" si="368"/>
        <v>0</v>
      </c>
      <c r="BE370" s="17">
        <f t="shared" si="369"/>
        <v>4608.5934869309822</v>
      </c>
      <c r="BF370" s="17">
        <f t="shared" si="370"/>
        <v>0</v>
      </c>
      <c r="BG370" s="17">
        <f t="shared" si="371"/>
        <v>0</v>
      </c>
      <c r="BH370" s="17">
        <f t="shared" si="372"/>
        <v>0</v>
      </c>
      <c r="BI370" s="17">
        <f>IF(MOD(AK370,12)=0,BG370*'1 - Input'!$B$23,0)</f>
        <v>0</v>
      </c>
      <c r="BJ370" s="17">
        <f t="shared" si="373"/>
        <v>0</v>
      </c>
      <c r="BK370" s="17">
        <f>IF(MOD(AK370,12)=0,BH370*(1-'1 - Input'!$B$23),BH370)</f>
        <v>0</v>
      </c>
      <c r="BL370" s="17">
        <f>IF('1 - Input'!$B$17=1,MIN(AV370,AN370)+BD370,AV370)</f>
        <v>0</v>
      </c>
      <c r="BM370" s="17">
        <f t="shared" si="400"/>
        <v>590482.93849429931</v>
      </c>
      <c r="BN370" s="17">
        <f t="shared" si="401"/>
        <v>101441.90180685223</v>
      </c>
      <c r="BO370" s="17">
        <f t="shared" si="402"/>
        <v>0</v>
      </c>
      <c r="BP370" s="17">
        <f t="shared" si="403"/>
        <v>174289.24056370757</v>
      </c>
      <c r="BQ370" s="17">
        <f t="shared" si="404"/>
        <v>8123.5662772395826</v>
      </c>
      <c r="BR370" s="17">
        <f t="shared" si="405"/>
        <v>568498.93412508257</v>
      </c>
      <c r="BS370" s="15">
        <f t="shared" si="374"/>
        <v>1</v>
      </c>
      <c r="BU370" s="14">
        <v>327</v>
      </c>
      <c r="BV370" s="15">
        <f t="shared" si="375"/>
        <v>28</v>
      </c>
      <c r="BW370" s="16">
        <f>(1+INDEX('1 - Input'!$B$34:$E$63,BV370,'1 - Input'!$B$16))^(1/12)-1</f>
        <v>4.1219243192651689E-3</v>
      </c>
      <c r="BX370" s="17">
        <f>'1 - Input'!$B$7*(1+'1 - Input'!$B$12)^(BV370-1)</f>
        <v>4608.5934869309822</v>
      </c>
      <c r="BY370" s="17">
        <f t="shared" si="406"/>
        <v>0</v>
      </c>
      <c r="BZ370" s="17">
        <f t="shared" si="407"/>
        <v>0</v>
      </c>
      <c r="CA370" s="17">
        <f t="shared" si="376"/>
        <v>0</v>
      </c>
      <c r="CB370" s="17">
        <f>IF(CA370&gt;0,'1 - Input'!$B$8/12*CA370,0)</f>
        <v>0</v>
      </c>
      <c r="CC370" s="17">
        <f t="shared" si="377"/>
        <v>0</v>
      </c>
      <c r="CD370" s="17">
        <f t="shared" si="378"/>
        <v>0</v>
      </c>
      <c r="CE370" s="17">
        <f>'1 - Input'!$B$22*(CB370-CD370)</f>
        <v>0</v>
      </c>
      <c r="CF370" s="17">
        <f t="shared" si="379"/>
        <v>0</v>
      </c>
      <c r="CG370" s="17">
        <f t="shared" si="380"/>
        <v>0</v>
      </c>
      <c r="CH370" s="17">
        <f>IF('1 - Input'!$B$17=1,MAX(0,CF370-BX370),0)</f>
        <v>0</v>
      </c>
      <c r="CI370" s="17">
        <f>IF('1 - Input'!$B$17=1,MAX(0,BX370-CF370),0)</f>
        <v>4608.5934869309822</v>
      </c>
      <c r="CJ370" s="17">
        <f t="shared" si="381"/>
        <v>0</v>
      </c>
      <c r="CK370" s="17">
        <f>IF(AND(CI370&gt;0,CC370&gt;0),CI370/(1-'1 - Input'!$B$22*CJ370),0)</f>
        <v>0</v>
      </c>
      <c r="CL370" s="17">
        <f t="shared" si="382"/>
        <v>0</v>
      </c>
      <c r="CM370" s="17">
        <f>'1 - Input'!$B$22*CJ370*CL370</f>
        <v>0</v>
      </c>
      <c r="CN370" s="17">
        <f t="shared" si="383"/>
        <v>0</v>
      </c>
      <c r="CO370" s="17">
        <f t="shared" si="384"/>
        <v>4608.5934869309822</v>
      </c>
      <c r="CP370" s="17">
        <f t="shared" si="385"/>
        <v>0</v>
      </c>
      <c r="CQ370" s="17">
        <f t="shared" si="386"/>
        <v>0</v>
      </c>
      <c r="CR370" s="17">
        <f t="shared" si="387"/>
        <v>0</v>
      </c>
      <c r="CS370" s="17">
        <f>IF(MOD(BU370,12)=0,CQ370*'1 - Input'!$B$23,0)</f>
        <v>0</v>
      </c>
      <c r="CT370" s="17">
        <f t="shared" si="388"/>
        <v>0</v>
      </c>
      <c r="CU370" s="17">
        <f>IF(MOD(BU370,12)=0,CR370*(1-'1 - Input'!$B$23),CR370)</f>
        <v>0</v>
      </c>
      <c r="CV370" s="17">
        <f>IF('1 - Input'!$B$17=1,MIN(CF370,BX370)+CN370,CF370)</f>
        <v>0</v>
      </c>
      <c r="CW370" s="17">
        <f t="shared" si="408"/>
        <v>686605.50041273201</v>
      </c>
      <c r="CX370" s="17">
        <f t="shared" si="409"/>
        <v>6018.3402768167462</v>
      </c>
      <c r="CY370" s="17">
        <f t="shared" si="410"/>
        <v>66518.776160328038</v>
      </c>
      <c r="CZ370" s="17">
        <f t="shared" si="411"/>
        <v>0</v>
      </c>
      <c r="DA370" s="17">
        <f t="shared" si="412"/>
        <v>10954.114452440983</v>
      </c>
      <c r="DB370" s="17">
        <f t="shared" si="413"/>
        <v>472376.37220665131</v>
      </c>
      <c r="DC370" s="15">
        <f t="shared" si="389"/>
        <v>1</v>
      </c>
    </row>
    <row r="371" spans="1:107">
      <c r="A371" s="14">
        <v>328</v>
      </c>
      <c r="B371" s="15">
        <f t="shared" si="345"/>
        <v>28</v>
      </c>
      <c r="C371" s="16">
        <f>(1+INDEX('1 - Input'!$B$34:$E$63,B371,'1 - Input'!$B$16))^(1/12)-1</f>
        <v>4.1219243192651689E-3</v>
      </c>
      <c r="D371" s="17">
        <f>'1 - Input'!$B$7*(1+'1 - Input'!$B$12)^(B371-1)</f>
        <v>4608.5934869309822</v>
      </c>
      <c r="E371" s="17">
        <f t="shared" si="390"/>
        <v>0</v>
      </c>
      <c r="F371" s="17">
        <f t="shared" si="391"/>
        <v>0</v>
      </c>
      <c r="G371" s="17">
        <f t="shared" si="346"/>
        <v>0</v>
      </c>
      <c r="H371" s="17">
        <f>IF(G371&gt;0,'1 - Input'!$B$8/12*G371,0)</f>
        <v>0</v>
      </c>
      <c r="I371" s="17">
        <f t="shared" si="347"/>
        <v>0</v>
      </c>
      <c r="J371" s="17">
        <f t="shared" si="348"/>
        <v>0</v>
      </c>
      <c r="K371" s="17">
        <f>'1 - Input'!$B$22*(H371-J371)</f>
        <v>0</v>
      </c>
      <c r="L371" s="17">
        <f t="shared" si="349"/>
        <v>0</v>
      </c>
      <c r="M371" s="17">
        <f t="shared" si="350"/>
        <v>0</v>
      </c>
      <c r="N371" s="17">
        <f>IF('1 - Input'!$B$17=1,MAX(0,L371-D371),0)</f>
        <v>0</v>
      </c>
      <c r="O371" s="17">
        <f>IF('1 - Input'!$B$17=1,MAX(0,D371-L371),0)</f>
        <v>4608.5934869309822</v>
      </c>
      <c r="P371" s="17">
        <f t="shared" si="351"/>
        <v>0</v>
      </c>
      <c r="Q371" s="17">
        <f>IF(AND(O371&gt;0,I371&gt;0),O371/(1-'1 - Input'!$B$22*P371),0)</f>
        <v>0</v>
      </c>
      <c r="R371" s="17">
        <f t="shared" si="352"/>
        <v>0</v>
      </c>
      <c r="S371" s="17">
        <f>'1 - Input'!$B$22*P371*R371</f>
        <v>0</v>
      </c>
      <c r="T371" s="17">
        <f t="shared" si="353"/>
        <v>0</v>
      </c>
      <c r="U371" s="17">
        <f t="shared" si="354"/>
        <v>4608.5934869309822</v>
      </c>
      <c r="V371" s="17">
        <f t="shared" si="355"/>
        <v>0</v>
      </c>
      <c r="W371" s="17">
        <f t="shared" si="356"/>
        <v>0</v>
      </c>
      <c r="X371" s="17">
        <f t="shared" si="357"/>
        <v>0</v>
      </c>
      <c r="Y371" s="17">
        <f>IF(MOD(A371,12)=0,W371*'1 - Input'!$B$23,0)</f>
        <v>0</v>
      </c>
      <c r="Z371" s="17">
        <f t="shared" si="358"/>
        <v>0</v>
      </c>
      <c r="AA371" s="17">
        <f>IF(MOD(A371,12)=0,X371*(1-'1 - Input'!$B$23),X371)</f>
        <v>0</v>
      </c>
      <c r="AB371" s="17">
        <f>IF('1 - Input'!$B$17=1,MIN(L371,D371)+T371,L371)</f>
        <v>0</v>
      </c>
      <c r="AC371" s="17">
        <f t="shared" si="392"/>
        <v>590482.93849429931</v>
      </c>
      <c r="AD371" s="17">
        <f t="shared" si="393"/>
        <v>101441.90180685223</v>
      </c>
      <c r="AE371" s="17">
        <f t="shared" si="394"/>
        <v>0</v>
      </c>
      <c r="AF371" s="17">
        <f t="shared" si="395"/>
        <v>174289.24056370757</v>
      </c>
      <c r="AG371" s="17">
        <f t="shared" si="396"/>
        <v>8123.5662772395826</v>
      </c>
      <c r="AH371" s="17">
        <f t="shared" si="397"/>
        <v>573107.52761201351</v>
      </c>
      <c r="AI371" s="15">
        <f t="shared" si="359"/>
        <v>1</v>
      </c>
      <c r="AK371" s="14">
        <v>328</v>
      </c>
      <c r="AL371" s="15">
        <f t="shared" si="360"/>
        <v>28</v>
      </c>
      <c r="AM371" s="16">
        <f>(1+INDEX('1 - Input'!$B$34:$E$63,AL371,'1 - Input'!$B$16))^(1/12)-1</f>
        <v>4.1219243192651689E-3</v>
      </c>
      <c r="AN371" s="17">
        <f>'1 - Input'!$B$7*(1+'1 - Input'!$B$12)^(AL371-1)</f>
        <v>4608.5934869309822</v>
      </c>
      <c r="AO371" s="17">
        <f t="shared" si="398"/>
        <v>0</v>
      </c>
      <c r="AP371" s="17">
        <f t="shared" si="399"/>
        <v>0</v>
      </c>
      <c r="AQ371" s="17">
        <f t="shared" si="361"/>
        <v>0</v>
      </c>
      <c r="AR371" s="17">
        <f>IF(AQ371&gt;0,'1 - Input'!$B$8/12*AQ371,0)</f>
        <v>0</v>
      </c>
      <c r="AS371" s="17">
        <f t="shared" si="362"/>
        <v>0</v>
      </c>
      <c r="AT371" s="17">
        <f t="shared" si="363"/>
        <v>0</v>
      </c>
      <c r="AU371" s="17">
        <f>'1 - Input'!$B$22*(AR371-AT371)</f>
        <v>0</v>
      </c>
      <c r="AV371" s="17">
        <f t="shared" si="364"/>
        <v>0</v>
      </c>
      <c r="AW371" s="17">
        <f t="shared" si="365"/>
        <v>0</v>
      </c>
      <c r="AX371" s="17">
        <f>IF('1 - Input'!$B$17=1,MAX(0,AV371-AN371),0)</f>
        <v>0</v>
      </c>
      <c r="AY371" s="17">
        <f>IF('1 - Input'!$B$17=1,MAX(0,AN371-AV371),0)</f>
        <v>4608.5934869309822</v>
      </c>
      <c r="AZ371" s="17">
        <f t="shared" si="366"/>
        <v>0</v>
      </c>
      <c r="BA371" s="17">
        <f>IF(AND(AY371&gt;0,AS371&gt;0),AY371/(1-'1 - Input'!$B$22*AZ371),0)</f>
        <v>0</v>
      </c>
      <c r="BB371" s="17">
        <f t="shared" si="367"/>
        <v>0</v>
      </c>
      <c r="BC371" s="17">
        <f>'1 - Input'!$B$22*AZ371*BB371</f>
        <v>0</v>
      </c>
      <c r="BD371" s="17">
        <f t="shared" si="368"/>
        <v>0</v>
      </c>
      <c r="BE371" s="17">
        <f t="shared" si="369"/>
        <v>4608.5934869309822</v>
      </c>
      <c r="BF371" s="17">
        <f t="shared" si="370"/>
        <v>0</v>
      </c>
      <c r="BG371" s="17">
        <f t="shared" si="371"/>
        <v>0</v>
      </c>
      <c r="BH371" s="17">
        <f t="shared" si="372"/>
        <v>0</v>
      </c>
      <c r="BI371" s="17">
        <f>IF(MOD(AK371,12)=0,BG371*'1 - Input'!$B$23,0)</f>
        <v>0</v>
      </c>
      <c r="BJ371" s="17">
        <f t="shared" si="373"/>
        <v>0</v>
      </c>
      <c r="BK371" s="17">
        <f>IF(MOD(AK371,12)=0,BH371*(1-'1 - Input'!$B$23),BH371)</f>
        <v>0</v>
      </c>
      <c r="BL371" s="17">
        <f>IF('1 - Input'!$B$17=1,MIN(AV371,AN371)+BD371,AV371)</f>
        <v>0</v>
      </c>
      <c r="BM371" s="17">
        <f t="shared" si="400"/>
        <v>590482.93849429931</v>
      </c>
      <c r="BN371" s="17">
        <f t="shared" si="401"/>
        <v>101441.90180685223</v>
      </c>
      <c r="BO371" s="17">
        <f t="shared" si="402"/>
        <v>0</v>
      </c>
      <c r="BP371" s="17">
        <f t="shared" si="403"/>
        <v>174289.24056370757</v>
      </c>
      <c r="BQ371" s="17">
        <f t="shared" si="404"/>
        <v>8123.5662772395826</v>
      </c>
      <c r="BR371" s="17">
        <f t="shared" si="405"/>
        <v>573107.52761201351</v>
      </c>
      <c r="BS371" s="15">
        <f t="shared" si="374"/>
        <v>1</v>
      </c>
      <c r="BU371" s="14">
        <v>328</v>
      </c>
      <c r="BV371" s="15">
        <f t="shared" si="375"/>
        <v>28</v>
      </c>
      <c r="BW371" s="16">
        <f>(1+INDEX('1 - Input'!$B$34:$E$63,BV371,'1 - Input'!$B$16))^(1/12)-1</f>
        <v>4.1219243192651689E-3</v>
      </c>
      <c r="BX371" s="17">
        <f>'1 - Input'!$B$7*(1+'1 - Input'!$B$12)^(BV371-1)</f>
        <v>4608.5934869309822</v>
      </c>
      <c r="BY371" s="17">
        <f t="shared" si="406"/>
        <v>0</v>
      </c>
      <c r="BZ371" s="17">
        <f t="shared" si="407"/>
        <v>0</v>
      </c>
      <c r="CA371" s="17">
        <f t="shared" si="376"/>
        <v>0</v>
      </c>
      <c r="CB371" s="17">
        <f>IF(CA371&gt;0,'1 - Input'!$B$8/12*CA371,0)</f>
        <v>0</v>
      </c>
      <c r="CC371" s="17">
        <f t="shared" si="377"/>
        <v>0</v>
      </c>
      <c r="CD371" s="17">
        <f t="shared" si="378"/>
        <v>0</v>
      </c>
      <c r="CE371" s="17">
        <f>'1 - Input'!$B$22*(CB371-CD371)</f>
        <v>0</v>
      </c>
      <c r="CF371" s="17">
        <f t="shared" si="379"/>
        <v>0</v>
      </c>
      <c r="CG371" s="17">
        <f t="shared" si="380"/>
        <v>0</v>
      </c>
      <c r="CH371" s="17">
        <f>IF('1 - Input'!$B$17=1,MAX(0,CF371-BX371),0)</f>
        <v>0</v>
      </c>
      <c r="CI371" s="17">
        <f>IF('1 - Input'!$B$17=1,MAX(0,BX371-CF371),0)</f>
        <v>4608.5934869309822</v>
      </c>
      <c r="CJ371" s="17">
        <f t="shared" si="381"/>
        <v>0</v>
      </c>
      <c r="CK371" s="17">
        <f>IF(AND(CI371&gt;0,CC371&gt;0),CI371/(1-'1 - Input'!$B$22*CJ371),0)</f>
        <v>0</v>
      </c>
      <c r="CL371" s="17">
        <f t="shared" si="382"/>
        <v>0</v>
      </c>
      <c r="CM371" s="17">
        <f>'1 - Input'!$B$22*CJ371*CL371</f>
        <v>0</v>
      </c>
      <c r="CN371" s="17">
        <f t="shared" si="383"/>
        <v>0</v>
      </c>
      <c r="CO371" s="17">
        <f t="shared" si="384"/>
        <v>4608.5934869309822</v>
      </c>
      <c r="CP371" s="17">
        <f t="shared" si="385"/>
        <v>0</v>
      </c>
      <c r="CQ371" s="17">
        <f t="shared" si="386"/>
        <v>0</v>
      </c>
      <c r="CR371" s="17">
        <f t="shared" si="387"/>
        <v>0</v>
      </c>
      <c r="CS371" s="17">
        <f>IF(MOD(BU371,12)=0,CQ371*'1 - Input'!$B$23,0)</f>
        <v>0</v>
      </c>
      <c r="CT371" s="17">
        <f t="shared" si="388"/>
        <v>0</v>
      </c>
      <c r="CU371" s="17">
        <f>IF(MOD(BU371,12)=0,CR371*(1-'1 - Input'!$B$23),CR371)</f>
        <v>0</v>
      </c>
      <c r="CV371" s="17">
        <f>IF('1 - Input'!$B$17=1,MIN(CF371,BX371)+CN371,CF371)</f>
        <v>0</v>
      </c>
      <c r="CW371" s="17">
        <f t="shared" si="408"/>
        <v>686605.50041273201</v>
      </c>
      <c r="CX371" s="17">
        <f t="shared" si="409"/>
        <v>6018.3402768167462</v>
      </c>
      <c r="CY371" s="17">
        <f t="shared" si="410"/>
        <v>66518.776160328038</v>
      </c>
      <c r="CZ371" s="17">
        <f t="shared" si="411"/>
        <v>0</v>
      </c>
      <c r="DA371" s="17">
        <f t="shared" si="412"/>
        <v>10954.114452440983</v>
      </c>
      <c r="DB371" s="17">
        <f t="shared" si="413"/>
        <v>476984.96569358231</v>
      </c>
      <c r="DC371" s="15">
        <f t="shared" si="389"/>
        <v>1</v>
      </c>
    </row>
    <row r="372" spans="1:107">
      <c r="A372" s="14">
        <v>329</v>
      </c>
      <c r="B372" s="15">
        <f t="shared" si="345"/>
        <v>28</v>
      </c>
      <c r="C372" s="16">
        <f>(1+INDEX('1 - Input'!$B$34:$E$63,B372,'1 - Input'!$B$16))^(1/12)-1</f>
        <v>4.1219243192651689E-3</v>
      </c>
      <c r="D372" s="17">
        <f>'1 - Input'!$B$7*(1+'1 - Input'!$B$12)^(B372-1)</f>
        <v>4608.5934869309822</v>
      </c>
      <c r="E372" s="17">
        <f t="shared" si="390"/>
        <v>0</v>
      </c>
      <c r="F372" s="17">
        <f t="shared" si="391"/>
        <v>0</v>
      </c>
      <c r="G372" s="17">
        <f t="shared" si="346"/>
        <v>0</v>
      </c>
      <c r="H372" s="17">
        <f>IF(G372&gt;0,'1 - Input'!$B$8/12*G372,0)</f>
        <v>0</v>
      </c>
      <c r="I372" s="17">
        <f t="shared" si="347"/>
        <v>0</v>
      </c>
      <c r="J372" s="17">
        <f t="shared" si="348"/>
        <v>0</v>
      </c>
      <c r="K372" s="17">
        <f>'1 - Input'!$B$22*(H372-J372)</f>
        <v>0</v>
      </c>
      <c r="L372" s="17">
        <f t="shared" si="349"/>
        <v>0</v>
      </c>
      <c r="M372" s="17">
        <f t="shared" si="350"/>
        <v>0</v>
      </c>
      <c r="N372" s="17">
        <f>IF('1 - Input'!$B$17=1,MAX(0,L372-D372),0)</f>
        <v>0</v>
      </c>
      <c r="O372" s="17">
        <f>IF('1 - Input'!$B$17=1,MAX(0,D372-L372),0)</f>
        <v>4608.5934869309822</v>
      </c>
      <c r="P372" s="17">
        <f t="shared" si="351"/>
        <v>0</v>
      </c>
      <c r="Q372" s="17">
        <f>IF(AND(O372&gt;0,I372&gt;0),O372/(1-'1 - Input'!$B$22*P372),0)</f>
        <v>0</v>
      </c>
      <c r="R372" s="17">
        <f t="shared" si="352"/>
        <v>0</v>
      </c>
      <c r="S372" s="17">
        <f>'1 - Input'!$B$22*P372*R372</f>
        <v>0</v>
      </c>
      <c r="T372" s="17">
        <f t="shared" si="353"/>
        <v>0</v>
      </c>
      <c r="U372" s="17">
        <f t="shared" si="354"/>
        <v>4608.5934869309822</v>
      </c>
      <c r="V372" s="17">
        <f t="shared" si="355"/>
        <v>0</v>
      </c>
      <c r="W372" s="17">
        <f t="shared" si="356"/>
        <v>0</v>
      </c>
      <c r="X372" s="17">
        <f t="shared" si="357"/>
        <v>0</v>
      </c>
      <c r="Y372" s="17">
        <f>IF(MOD(A372,12)=0,W372*'1 - Input'!$B$23,0)</f>
        <v>0</v>
      </c>
      <c r="Z372" s="17">
        <f t="shared" si="358"/>
        <v>0</v>
      </c>
      <c r="AA372" s="17">
        <f>IF(MOD(A372,12)=0,X372*(1-'1 - Input'!$B$23),X372)</f>
        <v>0</v>
      </c>
      <c r="AB372" s="17">
        <f>IF('1 - Input'!$B$17=1,MIN(L372,D372)+T372,L372)</f>
        <v>0</v>
      </c>
      <c r="AC372" s="17">
        <f t="shared" si="392"/>
        <v>590482.93849429931</v>
      </c>
      <c r="AD372" s="17">
        <f t="shared" si="393"/>
        <v>101441.90180685223</v>
      </c>
      <c r="AE372" s="17">
        <f t="shared" si="394"/>
        <v>0</v>
      </c>
      <c r="AF372" s="17">
        <f t="shared" si="395"/>
        <v>174289.24056370757</v>
      </c>
      <c r="AG372" s="17">
        <f t="shared" si="396"/>
        <v>8123.5662772395826</v>
      </c>
      <c r="AH372" s="17">
        <f t="shared" si="397"/>
        <v>577716.12109894445</v>
      </c>
      <c r="AI372" s="15">
        <f t="shared" si="359"/>
        <v>1</v>
      </c>
      <c r="AK372" s="14">
        <v>329</v>
      </c>
      <c r="AL372" s="15">
        <f t="shared" si="360"/>
        <v>28</v>
      </c>
      <c r="AM372" s="16">
        <f>(1+INDEX('1 - Input'!$B$34:$E$63,AL372,'1 - Input'!$B$16))^(1/12)-1</f>
        <v>4.1219243192651689E-3</v>
      </c>
      <c r="AN372" s="17">
        <f>'1 - Input'!$B$7*(1+'1 - Input'!$B$12)^(AL372-1)</f>
        <v>4608.5934869309822</v>
      </c>
      <c r="AO372" s="17">
        <f t="shared" si="398"/>
        <v>0</v>
      </c>
      <c r="AP372" s="17">
        <f t="shared" si="399"/>
        <v>0</v>
      </c>
      <c r="AQ372" s="17">
        <f t="shared" si="361"/>
        <v>0</v>
      </c>
      <c r="AR372" s="17">
        <f>IF(AQ372&gt;0,'1 - Input'!$B$8/12*AQ372,0)</f>
        <v>0</v>
      </c>
      <c r="AS372" s="17">
        <f t="shared" si="362"/>
        <v>0</v>
      </c>
      <c r="AT372" s="17">
        <f t="shared" si="363"/>
        <v>0</v>
      </c>
      <c r="AU372" s="17">
        <f>'1 - Input'!$B$22*(AR372-AT372)</f>
        <v>0</v>
      </c>
      <c r="AV372" s="17">
        <f t="shared" si="364"/>
        <v>0</v>
      </c>
      <c r="AW372" s="17">
        <f t="shared" si="365"/>
        <v>0</v>
      </c>
      <c r="AX372" s="17">
        <f>IF('1 - Input'!$B$17=1,MAX(0,AV372-AN372),0)</f>
        <v>0</v>
      </c>
      <c r="AY372" s="17">
        <f>IF('1 - Input'!$B$17=1,MAX(0,AN372-AV372),0)</f>
        <v>4608.5934869309822</v>
      </c>
      <c r="AZ372" s="17">
        <f t="shared" si="366"/>
        <v>0</v>
      </c>
      <c r="BA372" s="17">
        <f>IF(AND(AY372&gt;0,AS372&gt;0),AY372/(1-'1 - Input'!$B$22*AZ372),0)</f>
        <v>0</v>
      </c>
      <c r="BB372" s="17">
        <f t="shared" si="367"/>
        <v>0</v>
      </c>
      <c r="BC372" s="17">
        <f>'1 - Input'!$B$22*AZ372*BB372</f>
        <v>0</v>
      </c>
      <c r="BD372" s="17">
        <f t="shared" si="368"/>
        <v>0</v>
      </c>
      <c r="BE372" s="17">
        <f t="shared" si="369"/>
        <v>4608.5934869309822</v>
      </c>
      <c r="BF372" s="17">
        <f t="shared" si="370"/>
        <v>0</v>
      </c>
      <c r="BG372" s="17">
        <f t="shared" si="371"/>
        <v>0</v>
      </c>
      <c r="BH372" s="17">
        <f t="shared" si="372"/>
        <v>0</v>
      </c>
      <c r="BI372" s="17">
        <f>IF(MOD(AK372,12)=0,BG372*'1 - Input'!$B$23,0)</f>
        <v>0</v>
      </c>
      <c r="BJ372" s="17">
        <f t="shared" si="373"/>
        <v>0</v>
      </c>
      <c r="BK372" s="17">
        <f>IF(MOD(AK372,12)=0,BH372*(1-'1 - Input'!$B$23),BH372)</f>
        <v>0</v>
      </c>
      <c r="BL372" s="17">
        <f>IF('1 - Input'!$B$17=1,MIN(AV372,AN372)+BD372,AV372)</f>
        <v>0</v>
      </c>
      <c r="BM372" s="17">
        <f t="shared" si="400"/>
        <v>590482.93849429931</v>
      </c>
      <c r="BN372" s="17">
        <f t="shared" si="401"/>
        <v>101441.90180685223</v>
      </c>
      <c r="BO372" s="17">
        <f t="shared" si="402"/>
        <v>0</v>
      </c>
      <c r="BP372" s="17">
        <f t="shared" si="403"/>
        <v>174289.24056370757</v>
      </c>
      <c r="BQ372" s="17">
        <f t="shared" si="404"/>
        <v>8123.5662772395826</v>
      </c>
      <c r="BR372" s="17">
        <f t="shared" si="405"/>
        <v>577716.12109894445</v>
      </c>
      <c r="BS372" s="15">
        <f t="shared" si="374"/>
        <v>1</v>
      </c>
      <c r="BU372" s="14">
        <v>329</v>
      </c>
      <c r="BV372" s="15">
        <f t="shared" si="375"/>
        <v>28</v>
      </c>
      <c r="BW372" s="16">
        <f>(1+INDEX('1 - Input'!$B$34:$E$63,BV372,'1 - Input'!$B$16))^(1/12)-1</f>
        <v>4.1219243192651689E-3</v>
      </c>
      <c r="BX372" s="17">
        <f>'1 - Input'!$B$7*(1+'1 - Input'!$B$12)^(BV372-1)</f>
        <v>4608.5934869309822</v>
      </c>
      <c r="BY372" s="17">
        <f t="shared" si="406"/>
        <v>0</v>
      </c>
      <c r="BZ372" s="17">
        <f t="shared" si="407"/>
        <v>0</v>
      </c>
      <c r="CA372" s="17">
        <f t="shared" si="376"/>
        <v>0</v>
      </c>
      <c r="CB372" s="17">
        <f>IF(CA372&gt;0,'1 - Input'!$B$8/12*CA372,0)</f>
        <v>0</v>
      </c>
      <c r="CC372" s="17">
        <f t="shared" si="377"/>
        <v>0</v>
      </c>
      <c r="CD372" s="17">
        <f t="shared" si="378"/>
        <v>0</v>
      </c>
      <c r="CE372" s="17">
        <f>'1 - Input'!$B$22*(CB372-CD372)</f>
        <v>0</v>
      </c>
      <c r="CF372" s="17">
        <f t="shared" si="379"/>
        <v>0</v>
      </c>
      <c r="CG372" s="17">
        <f t="shared" si="380"/>
        <v>0</v>
      </c>
      <c r="CH372" s="17">
        <f>IF('1 - Input'!$B$17=1,MAX(0,CF372-BX372),0)</f>
        <v>0</v>
      </c>
      <c r="CI372" s="17">
        <f>IF('1 - Input'!$B$17=1,MAX(0,BX372-CF372),0)</f>
        <v>4608.5934869309822</v>
      </c>
      <c r="CJ372" s="17">
        <f t="shared" si="381"/>
        <v>0</v>
      </c>
      <c r="CK372" s="17">
        <f>IF(AND(CI372&gt;0,CC372&gt;0),CI372/(1-'1 - Input'!$B$22*CJ372),0)</f>
        <v>0</v>
      </c>
      <c r="CL372" s="17">
        <f t="shared" si="382"/>
        <v>0</v>
      </c>
      <c r="CM372" s="17">
        <f>'1 - Input'!$B$22*CJ372*CL372</f>
        <v>0</v>
      </c>
      <c r="CN372" s="17">
        <f t="shared" si="383"/>
        <v>0</v>
      </c>
      <c r="CO372" s="17">
        <f t="shared" si="384"/>
        <v>4608.5934869309822</v>
      </c>
      <c r="CP372" s="17">
        <f t="shared" si="385"/>
        <v>0</v>
      </c>
      <c r="CQ372" s="17">
        <f t="shared" si="386"/>
        <v>0</v>
      </c>
      <c r="CR372" s="17">
        <f t="shared" si="387"/>
        <v>0</v>
      </c>
      <c r="CS372" s="17">
        <f>IF(MOD(BU372,12)=0,CQ372*'1 - Input'!$B$23,0)</f>
        <v>0</v>
      </c>
      <c r="CT372" s="17">
        <f t="shared" si="388"/>
        <v>0</v>
      </c>
      <c r="CU372" s="17">
        <f>IF(MOD(BU372,12)=0,CR372*(1-'1 - Input'!$B$23),CR372)</f>
        <v>0</v>
      </c>
      <c r="CV372" s="17">
        <f>IF('1 - Input'!$B$17=1,MIN(CF372,BX372)+CN372,CF372)</f>
        <v>0</v>
      </c>
      <c r="CW372" s="17">
        <f t="shared" si="408"/>
        <v>686605.50041273201</v>
      </c>
      <c r="CX372" s="17">
        <f t="shared" si="409"/>
        <v>6018.3402768167462</v>
      </c>
      <c r="CY372" s="17">
        <f t="shared" si="410"/>
        <v>66518.776160328038</v>
      </c>
      <c r="CZ372" s="17">
        <f t="shared" si="411"/>
        <v>0</v>
      </c>
      <c r="DA372" s="17">
        <f t="shared" si="412"/>
        <v>10954.114452440983</v>
      </c>
      <c r="DB372" s="17">
        <f t="shared" si="413"/>
        <v>481593.55918051332</v>
      </c>
      <c r="DC372" s="15">
        <f t="shared" si="389"/>
        <v>1</v>
      </c>
    </row>
    <row r="373" spans="1:107">
      <c r="A373" s="14">
        <v>330</v>
      </c>
      <c r="B373" s="15">
        <f t="shared" si="345"/>
        <v>28</v>
      </c>
      <c r="C373" s="16">
        <f>(1+INDEX('1 - Input'!$B$34:$E$63,B373,'1 - Input'!$B$16))^(1/12)-1</f>
        <v>4.1219243192651689E-3</v>
      </c>
      <c r="D373" s="17">
        <f>'1 - Input'!$B$7*(1+'1 - Input'!$B$12)^(B373-1)</f>
        <v>4608.5934869309822</v>
      </c>
      <c r="E373" s="17">
        <f t="shared" si="390"/>
        <v>0</v>
      </c>
      <c r="F373" s="17">
        <f t="shared" si="391"/>
        <v>0</v>
      </c>
      <c r="G373" s="17">
        <f t="shared" si="346"/>
        <v>0</v>
      </c>
      <c r="H373" s="17">
        <f>IF(G373&gt;0,'1 - Input'!$B$8/12*G373,0)</f>
        <v>0</v>
      </c>
      <c r="I373" s="17">
        <f t="shared" si="347"/>
        <v>0</v>
      </c>
      <c r="J373" s="17">
        <f t="shared" si="348"/>
        <v>0</v>
      </c>
      <c r="K373" s="17">
        <f>'1 - Input'!$B$22*(H373-J373)</f>
        <v>0</v>
      </c>
      <c r="L373" s="17">
        <f t="shared" si="349"/>
        <v>0</v>
      </c>
      <c r="M373" s="17">
        <f t="shared" si="350"/>
        <v>0</v>
      </c>
      <c r="N373" s="17">
        <f>IF('1 - Input'!$B$17=1,MAX(0,L373-D373),0)</f>
        <v>0</v>
      </c>
      <c r="O373" s="17">
        <f>IF('1 - Input'!$B$17=1,MAX(0,D373-L373),0)</f>
        <v>4608.5934869309822</v>
      </c>
      <c r="P373" s="17">
        <f t="shared" si="351"/>
        <v>0</v>
      </c>
      <c r="Q373" s="17">
        <f>IF(AND(O373&gt;0,I373&gt;0),O373/(1-'1 - Input'!$B$22*P373),0)</f>
        <v>0</v>
      </c>
      <c r="R373" s="17">
        <f t="shared" si="352"/>
        <v>0</v>
      </c>
      <c r="S373" s="17">
        <f>'1 - Input'!$B$22*P373*R373</f>
        <v>0</v>
      </c>
      <c r="T373" s="17">
        <f t="shared" si="353"/>
        <v>0</v>
      </c>
      <c r="U373" s="17">
        <f t="shared" si="354"/>
        <v>4608.5934869309822</v>
      </c>
      <c r="V373" s="17">
        <f t="shared" si="355"/>
        <v>0</v>
      </c>
      <c r="W373" s="17">
        <f t="shared" si="356"/>
        <v>0</v>
      </c>
      <c r="X373" s="17">
        <f t="shared" si="357"/>
        <v>0</v>
      </c>
      <c r="Y373" s="17">
        <f>IF(MOD(A373,12)=0,W373*'1 - Input'!$B$23,0)</f>
        <v>0</v>
      </c>
      <c r="Z373" s="17">
        <f t="shared" si="358"/>
        <v>0</v>
      </c>
      <c r="AA373" s="17">
        <f>IF(MOD(A373,12)=0,X373*(1-'1 - Input'!$B$23),X373)</f>
        <v>0</v>
      </c>
      <c r="AB373" s="17">
        <f>IF('1 - Input'!$B$17=1,MIN(L373,D373)+T373,L373)</f>
        <v>0</v>
      </c>
      <c r="AC373" s="17">
        <f t="shared" si="392"/>
        <v>590482.93849429931</v>
      </c>
      <c r="AD373" s="17">
        <f t="shared" si="393"/>
        <v>101441.90180685223</v>
      </c>
      <c r="AE373" s="17">
        <f t="shared" si="394"/>
        <v>0</v>
      </c>
      <c r="AF373" s="17">
        <f t="shared" si="395"/>
        <v>174289.24056370757</v>
      </c>
      <c r="AG373" s="17">
        <f t="shared" si="396"/>
        <v>8123.5662772395826</v>
      </c>
      <c r="AH373" s="17">
        <f t="shared" si="397"/>
        <v>582324.71458587539</v>
      </c>
      <c r="AI373" s="15">
        <f t="shared" si="359"/>
        <v>1</v>
      </c>
      <c r="AK373" s="14">
        <v>330</v>
      </c>
      <c r="AL373" s="15">
        <f t="shared" si="360"/>
        <v>28</v>
      </c>
      <c r="AM373" s="16">
        <f>(1+INDEX('1 - Input'!$B$34:$E$63,AL373,'1 - Input'!$B$16))^(1/12)-1</f>
        <v>4.1219243192651689E-3</v>
      </c>
      <c r="AN373" s="17">
        <f>'1 - Input'!$B$7*(1+'1 - Input'!$B$12)^(AL373-1)</f>
        <v>4608.5934869309822</v>
      </c>
      <c r="AO373" s="17">
        <f t="shared" si="398"/>
        <v>0</v>
      </c>
      <c r="AP373" s="17">
        <f t="shared" si="399"/>
        <v>0</v>
      </c>
      <c r="AQ373" s="17">
        <f t="shared" si="361"/>
        <v>0</v>
      </c>
      <c r="AR373" s="17">
        <f>IF(AQ373&gt;0,'1 - Input'!$B$8/12*AQ373,0)</f>
        <v>0</v>
      </c>
      <c r="AS373" s="17">
        <f t="shared" si="362"/>
        <v>0</v>
      </c>
      <c r="AT373" s="17">
        <f t="shared" si="363"/>
        <v>0</v>
      </c>
      <c r="AU373" s="17">
        <f>'1 - Input'!$B$22*(AR373-AT373)</f>
        <v>0</v>
      </c>
      <c r="AV373" s="17">
        <f t="shared" si="364"/>
        <v>0</v>
      </c>
      <c r="AW373" s="17">
        <f t="shared" si="365"/>
        <v>0</v>
      </c>
      <c r="AX373" s="17">
        <f>IF('1 - Input'!$B$17=1,MAX(0,AV373-AN373),0)</f>
        <v>0</v>
      </c>
      <c r="AY373" s="17">
        <f>IF('1 - Input'!$B$17=1,MAX(0,AN373-AV373),0)</f>
        <v>4608.5934869309822</v>
      </c>
      <c r="AZ373" s="17">
        <f t="shared" si="366"/>
        <v>0</v>
      </c>
      <c r="BA373" s="17">
        <f>IF(AND(AY373&gt;0,AS373&gt;0),AY373/(1-'1 - Input'!$B$22*AZ373),0)</f>
        <v>0</v>
      </c>
      <c r="BB373" s="17">
        <f t="shared" si="367"/>
        <v>0</v>
      </c>
      <c r="BC373" s="17">
        <f>'1 - Input'!$B$22*AZ373*BB373</f>
        <v>0</v>
      </c>
      <c r="BD373" s="17">
        <f t="shared" si="368"/>
        <v>0</v>
      </c>
      <c r="BE373" s="17">
        <f t="shared" si="369"/>
        <v>4608.5934869309822</v>
      </c>
      <c r="BF373" s="17">
        <f t="shared" si="370"/>
        <v>0</v>
      </c>
      <c r="BG373" s="17">
        <f t="shared" si="371"/>
        <v>0</v>
      </c>
      <c r="BH373" s="17">
        <f t="shared" si="372"/>
        <v>0</v>
      </c>
      <c r="BI373" s="17">
        <f>IF(MOD(AK373,12)=0,BG373*'1 - Input'!$B$23,0)</f>
        <v>0</v>
      </c>
      <c r="BJ373" s="17">
        <f t="shared" si="373"/>
        <v>0</v>
      </c>
      <c r="BK373" s="17">
        <f>IF(MOD(AK373,12)=0,BH373*(1-'1 - Input'!$B$23),BH373)</f>
        <v>0</v>
      </c>
      <c r="BL373" s="17">
        <f>IF('1 - Input'!$B$17=1,MIN(AV373,AN373)+BD373,AV373)</f>
        <v>0</v>
      </c>
      <c r="BM373" s="17">
        <f t="shared" si="400"/>
        <v>590482.93849429931</v>
      </c>
      <c r="BN373" s="17">
        <f t="shared" si="401"/>
        <v>101441.90180685223</v>
      </c>
      <c r="BO373" s="17">
        <f t="shared" si="402"/>
        <v>0</v>
      </c>
      <c r="BP373" s="17">
        <f t="shared" si="403"/>
        <v>174289.24056370757</v>
      </c>
      <c r="BQ373" s="17">
        <f t="shared" si="404"/>
        <v>8123.5662772395826</v>
      </c>
      <c r="BR373" s="17">
        <f t="shared" si="405"/>
        <v>582324.71458587539</v>
      </c>
      <c r="BS373" s="15">
        <f t="shared" si="374"/>
        <v>1</v>
      </c>
      <c r="BU373" s="14">
        <v>330</v>
      </c>
      <c r="BV373" s="15">
        <f t="shared" si="375"/>
        <v>28</v>
      </c>
      <c r="BW373" s="16">
        <f>(1+INDEX('1 - Input'!$B$34:$E$63,BV373,'1 - Input'!$B$16))^(1/12)-1</f>
        <v>4.1219243192651689E-3</v>
      </c>
      <c r="BX373" s="17">
        <f>'1 - Input'!$B$7*(1+'1 - Input'!$B$12)^(BV373-1)</f>
        <v>4608.5934869309822</v>
      </c>
      <c r="BY373" s="17">
        <f t="shared" si="406"/>
        <v>0</v>
      </c>
      <c r="BZ373" s="17">
        <f t="shared" si="407"/>
        <v>0</v>
      </c>
      <c r="CA373" s="17">
        <f t="shared" si="376"/>
        <v>0</v>
      </c>
      <c r="CB373" s="17">
        <f>IF(CA373&gt;0,'1 - Input'!$B$8/12*CA373,0)</f>
        <v>0</v>
      </c>
      <c r="CC373" s="17">
        <f t="shared" si="377"/>
        <v>0</v>
      </c>
      <c r="CD373" s="17">
        <f t="shared" si="378"/>
        <v>0</v>
      </c>
      <c r="CE373" s="17">
        <f>'1 - Input'!$B$22*(CB373-CD373)</f>
        <v>0</v>
      </c>
      <c r="CF373" s="17">
        <f t="shared" si="379"/>
        <v>0</v>
      </c>
      <c r="CG373" s="17">
        <f t="shared" si="380"/>
        <v>0</v>
      </c>
      <c r="CH373" s="17">
        <f>IF('1 - Input'!$B$17=1,MAX(0,CF373-BX373),0)</f>
        <v>0</v>
      </c>
      <c r="CI373" s="17">
        <f>IF('1 - Input'!$B$17=1,MAX(0,BX373-CF373),0)</f>
        <v>4608.5934869309822</v>
      </c>
      <c r="CJ373" s="17">
        <f t="shared" si="381"/>
        <v>0</v>
      </c>
      <c r="CK373" s="17">
        <f>IF(AND(CI373&gt;0,CC373&gt;0),CI373/(1-'1 - Input'!$B$22*CJ373),0)</f>
        <v>0</v>
      </c>
      <c r="CL373" s="17">
        <f t="shared" si="382"/>
        <v>0</v>
      </c>
      <c r="CM373" s="17">
        <f>'1 - Input'!$B$22*CJ373*CL373</f>
        <v>0</v>
      </c>
      <c r="CN373" s="17">
        <f t="shared" si="383"/>
        <v>0</v>
      </c>
      <c r="CO373" s="17">
        <f t="shared" si="384"/>
        <v>4608.5934869309822</v>
      </c>
      <c r="CP373" s="17">
        <f t="shared" si="385"/>
        <v>0</v>
      </c>
      <c r="CQ373" s="17">
        <f t="shared" si="386"/>
        <v>0</v>
      </c>
      <c r="CR373" s="17">
        <f t="shared" si="387"/>
        <v>0</v>
      </c>
      <c r="CS373" s="17">
        <f>IF(MOD(BU373,12)=0,CQ373*'1 - Input'!$B$23,0)</f>
        <v>0</v>
      </c>
      <c r="CT373" s="17">
        <f t="shared" si="388"/>
        <v>0</v>
      </c>
      <c r="CU373" s="17">
        <f>IF(MOD(BU373,12)=0,CR373*(1-'1 - Input'!$B$23),CR373)</f>
        <v>0</v>
      </c>
      <c r="CV373" s="17">
        <f>IF('1 - Input'!$B$17=1,MIN(CF373,BX373)+CN373,CF373)</f>
        <v>0</v>
      </c>
      <c r="CW373" s="17">
        <f t="shared" si="408"/>
        <v>686605.50041273201</v>
      </c>
      <c r="CX373" s="17">
        <f t="shared" si="409"/>
        <v>6018.3402768167462</v>
      </c>
      <c r="CY373" s="17">
        <f t="shared" si="410"/>
        <v>66518.776160328038</v>
      </c>
      <c r="CZ373" s="17">
        <f t="shared" si="411"/>
        <v>0</v>
      </c>
      <c r="DA373" s="17">
        <f t="shared" si="412"/>
        <v>10954.114452440983</v>
      </c>
      <c r="DB373" s="17">
        <f t="shared" si="413"/>
        <v>486202.15266744432</v>
      </c>
      <c r="DC373" s="15">
        <f t="shared" si="389"/>
        <v>1</v>
      </c>
    </row>
    <row r="374" spans="1:107">
      <c r="A374" s="14">
        <v>331</v>
      </c>
      <c r="B374" s="15">
        <f t="shared" si="345"/>
        <v>28</v>
      </c>
      <c r="C374" s="16">
        <f>(1+INDEX('1 - Input'!$B$34:$E$63,B374,'1 - Input'!$B$16))^(1/12)-1</f>
        <v>4.1219243192651689E-3</v>
      </c>
      <c r="D374" s="17">
        <f>'1 - Input'!$B$7*(1+'1 - Input'!$B$12)^(B374-1)</f>
        <v>4608.5934869309822</v>
      </c>
      <c r="E374" s="17">
        <f t="shared" si="390"/>
        <v>0</v>
      </c>
      <c r="F374" s="17">
        <f t="shared" si="391"/>
        <v>0</v>
      </c>
      <c r="G374" s="17">
        <f t="shared" si="346"/>
        <v>0</v>
      </c>
      <c r="H374" s="17">
        <f>IF(G374&gt;0,'1 - Input'!$B$8/12*G374,0)</f>
        <v>0</v>
      </c>
      <c r="I374" s="17">
        <f t="shared" si="347"/>
        <v>0</v>
      </c>
      <c r="J374" s="17">
        <f t="shared" si="348"/>
        <v>0</v>
      </c>
      <c r="K374" s="17">
        <f>'1 - Input'!$B$22*(H374-J374)</f>
        <v>0</v>
      </c>
      <c r="L374" s="17">
        <f t="shared" si="349"/>
        <v>0</v>
      </c>
      <c r="M374" s="17">
        <f t="shared" si="350"/>
        <v>0</v>
      </c>
      <c r="N374" s="17">
        <f>IF('1 - Input'!$B$17=1,MAX(0,L374-D374),0)</f>
        <v>0</v>
      </c>
      <c r="O374" s="17">
        <f>IF('1 - Input'!$B$17=1,MAX(0,D374-L374),0)</f>
        <v>4608.5934869309822</v>
      </c>
      <c r="P374" s="17">
        <f t="shared" si="351"/>
        <v>0</v>
      </c>
      <c r="Q374" s="17">
        <f>IF(AND(O374&gt;0,I374&gt;0),O374/(1-'1 - Input'!$B$22*P374),0)</f>
        <v>0</v>
      </c>
      <c r="R374" s="17">
        <f t="shared" si="352"/>
        <v>0</v>
      </c>
      <c r="S374" s="17">
        <f>'1 - Input'!$B$22*P374*R374</f>
        <v>0</v>
      </c>
      <c r="T374" s="17">
        <f t="shared" si="353"/>
        <v>0</v>
      </c>
      <c r="U374" s="17">
        <f t="shared" si="354"/>
        <v>4608.5934869309822</v>
      </c>
      <c r="V374" s="17">
        <f t="shared" si="355"/>
        <v>0</v>
      </c>
      <c r="W374" s="17">
        <f t="shared" si="356"/>
        <v>0</v>
      </c>
      <c r="X374" s="17">
        <f t="shared" si="357"/>
        <v>0</v>
      </c>
      <c r="Y374" s="17">
        <f>IF(MOD(A374,12)=0,W374*'1 - Input'!$B$23,0)</f>
        <v>0</v>
      </c>
      <c r="Z374" s="17">
        <f t="shared" si="358"/>
        <v>0</v>
      </c>
      <c r="AA374" s="17">
        <f>IF(MOD(A374,12)=0,X374*(1-'1 - Input'!$B$23),X374)</f>
        <v>0</v>
      </c>
      <c r="AB374" s="17">
        <f>IF('1 - Input'!$B$17=1,MIN(L374,D374)+T374,L374)</f>
        <v>0</v>
      </c>
      <c r="AC374" s="17">
        <f t="shared" si="392"/>
        <v>590482.93849429931</v>
      </c>
      <c r="AD374" s="17">
        <f t="shared" si="393"/>
        <v>101441.90180685223</v>
      </c>
      <c r="AE374" s="17">
        <f t="shared" si="394"/>
        <v>0</v>
      </c>
      <c r="AF374" s="17">
        <f t="shared" si="395"/>
        <v>174289.24056370757</v>
      </c>
      <c r="AG374" s="17">
        <f t="shared" si="396"/>
        <v>8123.5662772395826</v>
      </c>
      <c r="AH374" s="17">
        <f t="shared" si="397"/>
        <v>586933.30807280634</v>
      </c>
      <c r="AI374" s="15">
        <f t="shared" si="359"/>
        <v>1</v>
      </c>
      <c r="AK374" s="14">
        <v>331</v>
      </c>
      <c r="AL374" s="15">
        <f t="shared" si="360"/>
        <v>28</v>
      </c>
      <c r="AM374" s="16">
        <f>(1+INDEX('1 - Input'!$B$34:$E$63,AL374,'1 - Input'!$B$16))^(1/12)-1</f>
        <v>4.1219243192651689E-3</v>
      </c>
      <c r="AN374" s="17">
        <f>'1 - Input'!$B$7*(1+'1 - Input'!$B$12)^(AL374-1)</f>
        <v>4608.5934869309822</v>
      </c>
      <c r="AO374" s="17">
        <f t="shared" si="398"/>
        <v>0</v>
      </c>
      <c r="AP374" s="17">
        <f t="shared" si="399"/>
        <v>0</v>
      </c>
      <c r="AQ374" s="17">
        <f t="shared" si="361"/>
        <v>0</v>
      </c>
      <c r="AR374" s="17">
        <f>IF(AQ374&gt;0,'1 - Input'!$B$8/12*AQ374,0)</f>
        <v>0</v>
      </c>
      <c r="AS374" s="17">
        <f t="shared" si="362"/>
        <v>0</v>
      </c>
      <c r="AT374" s="17">
        <f t="shared" si="363"/>
        <v>0</v>
      </c>
      <c r="AU374" s="17">
        <f>'1 - Input'!$B$22*(AR374-AT374)</f>
        <v>0</v>
      </c>
      <c r="AV374" s="17">
        <f t="shared" si="364"/>
        <v>0</v>
      </c>
      <c r="AW374" s="17">
        <f t="shared" si="365"/>
        <v>0</v>
      </c>
      <c r="AX374" s="17">
        <f>IF('1 - Input'!$B$17=1,MAX(0,AV374-AN374),0)</f>
        <v>0</v>
      </c>
      <c r="AY374" s="17">
        <f>IF('1 - Input'!$B$17=1,MAX(0,AN374-AV374),0)</f>
        <v>4608.5934869309822</v>
      </c>
      <c r="AZ374" s="17">
        <f t="shared" si="366"/>
        <v>0</v>
      </c>
      <c r="BA374" s="17">
        <f>IF(AND(AY374&gt;0,AS374&gt;0),AY374/(1-'1 - Input'!$B$22*AZ374),0)</f>
        <v>0</v>
      </c>
      <c r="BB374" s="17">
        <f t="shared" si="367"/>
        <v>0</v>
      </c>
      <c r="BC374" s="17">
        <f>'1 - Input'!$B$22*AZ374*BB374</f>
        <v>0</v>
      </c>
      <c r="BD374" s="17">
        <f t="shared" si="368"/>
        <v>0</v>
      </c>
      <c r="BE374" s="17">
        <f t="shared" si="369"/>
        <v>4608.5934869309822</v>
      </c>
      <c r="BF374" s="17">
        <f t="shared" si="370"/>
        <v>0</v>
      </c>
      <c r="BG374" s="17">
        <f t="shared" si="371"/>
        <v>0</v>
      </c>
      <c r="BH374" s="17">
        <f t="shared" si="372"/>
        <v>0</v>
      </c>
      <c r="BI374" s="17">
        <f>IF(MOD(AK374,12)=0,BG374*'1 - Input'!$B$23,0)</f>
        <v>0</v>
      </c>
      <c r="BJ374" s="17">
        <f t="shared" si="373"/>
        <v>0</v>
      </c>
      <c r="BK374" s="17">
        <f>IF(MOD(AK374,12)=0,BH374*(1-'1 - Input'!$B$23),BH374)</f>
        <v>0</v>
      </c>
      <c r="BL374" s="17">
        <f>IF('1 - Input'!$B$17=1,MIN(AV374,AN374)+BD374,AV374)</f>
        <v>0</v>
      </c>
      <c r="BM374" s="17">
        <f t="shared" si="400"/>
        <v>590482.93849429931</v>
      </c>
      <c r="BN374" s="17">
        <f t="shared" si="401"/>
        <v>101441.90180685223</v>
      </c>
      <c r="BO374" s="17">
        <f t="shared" si="402"/>
        <v>0</v>
      </c>
      <c r="BP374" s="17">
        <f t="shared" si="403"/>
        <v>174289.24056370757</v>
      </c>
      <c r="BQ374" s="17">
        <f t="shared" si="404"/>
        <v>8123.5662772395826</v>
      </c>
      <c r="BR374" s="17">
        <f t="shared" si="405"/>
        <v>586933.30807280634</v>
      </c>
      <c r="BS374" s="15">
        <f t="shared" si="374"/>
        <v>1</v>
      </c>
      <c r="BU374" s="14">
        <v>331</v>
      </c>
      <c r="BV374" s="15">
        <f t="shared" si="375"/>
        <v>28</v>
      </c>
      <c r="BW374" s="16">
        <f>(1+INDEX('1 - Input'!$B$34:$E$63,BV374,'1 - Input'!$B$16))^(1/12)-1</f>
        <v>4.1219243192651689E-3</v>
      </c>
      <c r="BX374" s="17">
        <f>'1 - Input'!$B$7*(1+'1 - Input'!$B$12)^(BV374-1)</f>
        <v>4608.5934869309822</v>
      </c>
      <c r="BY374" s="17">
        <f t="shared" si="406"/>
        <v>0</v>
      </c>
      <c r="BZ374" s="17">
        <f t="shared" si="407"/>
        <v>0</v>
      </c>
      <c r="CA374" s="17">
        <f t="shared" si="376"/>
        <v>0</v>
      </c>
      <c r="CB374" s="17">
        <f>IF(CA374&gt;0,'1 - Input'!$B$8/12*CA374,0)</f>
        <v>0</v>
      </c>
      <c r="CC374" s="17">
        <f t="shared" si="377"/>
        <v>0</v>
      </c>
      <c r="CD374" s="17">
        <f t="shared" si="378"/>
        <v>0</v>
      </c>
      <c r="CE374" s="17">
        <f>'1 - Input'!$B$22*(CB374-CD374)</f>
        <v>0</v>
      </c>
      <c r="CF374" s="17">
        <f t="shared" si="379"/>
        <v>0</v>
      </c>
      <c r="CG374" s="17">
        <f t="shared" si="380"/>
        <v>0</v>
      </c>
      <c r="CH374" s="17">
        <f>IF('1 - Input'!$B$17=1,MAX(0,CF374-BX374),0)</f>
        <v>0</v>
      </c>
      <c r="CI374" s="17">
        <f>IF('1 - Input'!$B$17=1,MAX(0,BX374-CF374),0)</f>
        <v>4608.5934869309822</v>
      </c>
      <c r="CJ374" s="17">
        <f t="shared" si="381"/>
        <v>0</v>
      </c>
      <c r="CK374" s="17">
        <f>IF(AND(CI374&gt;0,CC374&gt;0),CI374/(1-'1 - Input'!$B$22*CJ374),0)</f>
        <v>0</v>
      </c>
      <c r="CL374" s="17">
        <f t="shared" si="382"/>
        <v>0</v>
      </c>
      <c r="CM374" s="17">
        <f>'1 - Input'!$B$22*CJ374*CL374</f>
        <v>0</v>
      </c>
      <c r="CN374" s="17">
        <f t="shared" si="383"/>
        <v>0</v>
      </c>
      <c r="CO374" s="17">
        <f t="shared" si="384"/>
        <v>4608.5934869309822</v>
      </c>
      <c r="CP374" s="17">
        <f t="shared" si="385"/>
        <v>0</v>
      </c>
      <c r="CQ374" s="17">
        <f t="shared" si="386"/>
        <v>0</v>
      </c>
      <c r="CR374" s="17">
        <f t="shared" si="387"/>
        <v>0</v>
      </c>
      <c r="CS374" s="17">
        <f>IF(MOD(BU374,12)=0,CQ374*'1 - Input'!$B$23,0)</f>
        <v>0</v>
      </c>
      <c r="CT374" s="17">
        <f t="shared" si="388"/>
        <v>0</v>
      </c>
      <c r="CU374" s="17">
        <f>IF(MOD(BU374,12)=0,CR374*(1-'1 - Input'!$B$23),CR374)</f>
        <v>0</v>
      </c>
      <c r="CV374" s="17">
        <f>IF('1 - Input'!$B$17=1,MIN(CF374,BX374)+CN374,CF374)</f>
        <v>0</v>
      </c>
      <c r="CW374" s="17">
        <f t="shared" si="408"/>
        <v>686605.50041273201</v>
      </c>
      <c r="CX374" s="17">
        <f t="shared" si="409"/>
        <v>6018.3402768167462</v>
      </c>
      <c r="CY374" s="17">
        <f t="shared" si="410"/>
        <v>66518.776160328038</v>
      </c>
      <c r="CZ374" s="17">
        <f t="shared" si="411"/>
        <v>0</v>
      </c>
      <c r="DA374" s="17">
        <f t="shared" si="412"/>
        <v>10954.114452440983</v>
      </c>
      <c r="DB374" s="17">
        <f t="shared" si="413"/>
        <v>490810.74615437532</v>
      </c>
      <c r="DC374" s="15">
        <f t="shared" si="389"/>
        <v>1</v>
      </c>
    </row>
    <row r="375" spans="1:107">
      <c r="A375" s="14">
        <v>332</v>
      </c>
      <c r="B375" s="15">
        <f t="shared" si="345"/>
        <v>28</v>
      </c>
      <c r="C375" s="16">
        <f>(1+INDEX('1 - Input'!$B$34:$E$63,B375,'1 - Input'!$B$16))^(1/12)-1</f>
        <v>4.1219243192651689E-3</v>
      </c>
      <c r="D375" s="17">
        <f>'1 - Input'!$B$7*(1+'1 - Input'!$B$12)^(B375-1)</f>
        <v>4608.5934869309822</v>
      </c>
      <c r="E375" s="17">
        <f t="shared" si="390"/>
        <v>0</v>
      </c>
      <c r="F375" s="17">
        <f t="shared" si="391"/>
        <v>0</v>
      </c>
      <c r="G375" s="17">
        <f t="shared" si="346"/>
        <v>0</v>
      </c>
      <c r="H375" s="17">
        <f>IF(G375&gt;0,'1 - Input'!$B$8/12*G375,0)</f>
        <v>0</v>
      </c>
      <c r="I375" s="17">
        <f t="shared" si="347"/>
        <v>0</v>
      </c>
      <c r="J375" s="17">
        <f t="shared" si="348"/>
        <v>0</v>
      </c>
      <c r="K375" s="17">
        <f>'1 - Input'!$B$22*(H375-J375)</f>
        <v>0</v>
      </c>
      <c r="L375" s="17">
        <f t="shared" si="349"/>
        <v>0</v>
      </c>
      <c r="M375" s="17">
        <f t="shared" si="350"/>
        <v>0</v>
      </c>
      <c r="N375" s="17">
        <f>IF('1 - Input'!$B$17=1,MAX(0,L375-D375),0)</f>
        <v>0</v>
      </c>
      <c r="O375" s="17">
        <f>IF('1 - Input'!$B$17=1,MAX(0,D375-L375),0)</f>
        <v>4608.5934869309822</v>
      </c>
      <c r="P375" s="17">
        <f t="shared" si="351"/>
        <v>0</v>
      </c>
      <c r="Q375" s="17">
        <f>IF(AND(O375&gt;0,I375&gt;0),O375/(1-'1 - Input'!$B$22*P375),0)</f>
        <v>0</v>
      </c>
      <c r="R375" s="17">
        <f t="shared" si="352"/>
        <v>0</v>
      </c>
      <c r="S375" s="17">
        <f>'1 - Input'!$B$22*P375*R375</f>
        <v>0</v>
      </c>
      <c r="T375" s="17">
        <f t="shared" si="353"/>
        <v>0</v>
      </c>
      <c r="U375" s="17">
        <f t="shared" si="354"/>
        <v>4608.5934869309822</v>
      </c>
      <c r="V375" s="17">
        <f t="shared" si="355"/>
        <v>0</v>
      </c>
      <c r="W375" s="17">
        <f t="shared" si="356"/>
        <v>0</v>
      </c>
      <c r="X375" s="17">
        <f t="shared" si="357"/>
        <v>0</v>
      </c>
      <c r="Y375" s="17">
        <f>IF(MOD(A375,12)=0,W375*'1 - Input'!$B$23,0)</f>
        <v>0</v>
      </c>
      <c r="Z375" s="17">
        <f t="shared" si="358"/>
        <v>0</v>
      </c>
      <c r="AA375" s="17">
        <f>IF(MOD(A375,12)=0,X375*(1-'1 - Input'!$B$23),X375)</f>
        <v>0</v>
      </c>
      <c r="AB375" s="17">
        <f>IF('1 - Input'!$B$17=1,MIN(L375,D375)+T375,L375)</f>
        <v>0</v>
      </c>
      <c r="AC375" s="17">
        <f t="shared" si="392"/>
        <v>590482.93849429931</v>
      </c>
      <c r="AD375" s="17">
        <f t="shared" si="393"/>
        <v>101441.90180685223</v>
      </c>
      <c r="AE375" s="17">
        <f t="shared" si="394"/>
        <v>0</v>
      </c>
      <c r="AF375" s="17">
        <f t="shared" si="395"/>
        <v>174289.24056370757</v>
      </c>
      <c r="AG375" s="17">
        <f t="shared" si="396"/>
        <v>8123.5662772395826</v>
      </c>
      <c r="AH375" s="17">
        <f t="shared" si="397"/>
        <v>591541.90155973728</v>
      </c>
      <c r="AI375" s="15">
        <f t="shared" si="359"/>
        <v>1</v>
      </c>
      <c r="AK375" s="14">
        <v>332</v>
      </c>
      <c r="AL375" s="15">
        <f t="shared" si="360"/>
        <v>28</v>
      </c>
      <c r="AM375" s="16">
        <f>(1+INDEX('1 - Input'!$B$34:$E$63,AL375,'1 - Input'!$B$16))^(1/12)-1</f>
        <v>4.1219243192651689E-3</v>
      </c>
      <c r="AN375" s="17">
        <f>'1 - Input'!$B$7*(1+'1 - Input'!$B$12)^(AL375-1)</f>
        <v>4608.5934869309822</v>
      </c>
      <c r="AO375" s="17">
        <f t="shared" si="398"/>
        <v>0</v>
      </c>
      <c r="AP375" s="17">
        <f t="shared" si="399"/>
        <v>0</v>
      </c>
      <c r="AQ375" s="17">
        <f t="shared" si="361"/>
        <v>0</v>
      </c>
      <c r="AR375" s="17">
        <f>IF(AQ375&gt;0,'1 - Input'!$B$8/12*AQ375,0)</f>
        <v>0</v>
      </c>
      <c r="AS375" s="17">
        <f t="shared" si="362"/>
        <v>0</v>
      </c>
      <c r="AT375" s="17">
        <f t="shared" si="363"/>
        <v>0</v>
      </c>
      <c r="AU375" s="17">
        <f>'1 - Input'!$B$22*(AR375-AT375)</f>
        <v>0</v>
      </c>
      <c r="AV375" s="17">
        <f t="shared" si="364"/>
        <v>0</v>
      </c>
      <c r="AW375" s="17">
        <f t="shared" si="365"/>
        <v>0</v>
      </c>
      <c r="AX375" s="17">
        <f>IF('1 - Input'!$B$17=1,MAX(0,AV375-AN375),0)</f>
        <v>0</v>
      </c>
      <c r="AY375" s="17">
        <f>IF('1 - Input'!$B$17=1,MAX(0,AN375-AV375),0)</f>
        <v>4608.5934869309822</v>
      </c>
      <c r="AZ375" s="17">
        <f t="shared" si="366"/>
        <v>0</v>
      </c>
      <c r="BA375" s="17">
        <f>IF(AND(AY375&gt;0,AS375&gt;0),AY375/(1-'1 - Input'!$B$22*AZ375),0)</f>
        <v>0</v>
      </c>
      <c r="BB375" s="17">
        <f t="shared" si="367"/>
        <v>0</v>
      </c>
      <c r="BC375" s="17">
        <f>'1 - Input'!$B$22*AZ375*BB375</f>
        <v>0</v>
      </c>
      <c r="BD375" s="17">
        <f t="shared" si="368"/>
        <v>0</v>
      </c>
      <c r="BE375" s="17">
        <f t="shared" si="369"/>
        <v>4608.5934869309822</v>
      </c>
      <c r="BF375" s="17">
        <f t="shared" si="370"/>
        <v>0</v>
      </c>
      <c r="BG375" s="17">
        <f t="shared" si="371"/>
        <v>0</v>
      </c>
      <c r="BH375" s="17">
        <f t="shared" si="372"/>
        <v>0</v>
      </c>
      <c r="BI375" s="17">
        <f>IF(MOD(AK375,12)=0,BG375*'1 - Input'!$B$23,0)</f>
        <v>0</v>
      </c>
      <c r="BJ375" s="17">
        <f t="shared" si="373"/>
        <v>0</v>
      </c>
      <c r="BK375" s="17">
        <f>IF(MOD(AK375,12)=0,BH375*(1-'1 - Input'!$B$23),BH375)</f>
        <v>0</v>
      </c>
      <c r="BL375" s="17">
        <f>IF('1 - Input'!$B$17=1,MIN(AV375,AN375)+BD375,AV375)</f>
        <v>0</v>
      </c>
      <c r="BM375" s="17">
        <f t="shared" si="400"/>
        <v>590482.93849429931</v>
      </c>
      <c r="BN375" s="17">
        <f t="shared" si="401"/>
        <v>101441.90180685223</v>
      </c>
      <c r="BO375" s="17">
        <f t="shared" si="402"/>
        <v>0</v>
      </c>
      <c r="BP375" s="17">
        <f t="shared" si="403"/>
        <v>174289.24056370757</v>
      </c>
      <c r="BQ375" s="17">
        <f t="shared" si="404"/>
        <v>8123.5662772395826</v>
      </c>
      <c r="BR375" s="17">
        <f t="shared" si="405"/>
        <v>591541.90155973728</v>
      </c>
      <c r="BS375" s="15">
        <f t="shared" si="374"/>
        <v>1</v>
      </c>
      <c r="BU375" s="14">
        <v>332</v>
      </c>
      <c r="BV375" s="15">
        <f t="shared" si="375"/>
        <v>28</v>
      </c>
      <c r="BW375" s="16">
        <f>(1+INDEX('1 - Input'!$B$34:$E$63,BV375,'1 - Input'!$B$16))^(1/12)-1</f>
        <v>4.1219243192651689E-3</v>
      </c>
      <c r="BX375" s="17">
        <f>'1 - Input'!$B$7*(1+'1 - Input'!$B$12)^(BV375-1)</f>
        <v>4608.5934869309822</v>
      </c>
      <c r="BY375" s="17">
        <f t="shared" si="406"/>
        <v>0</v>
      </c>
      <c r="BZ375" s="17">
        <f t="shared" si="407"/>
        <v>0</v>
      </c>
      <c r="CA375" s="17">
        <f t="shared" si="376"/>
        <v>0</v>
      </c>
      <c r="CB375" s="17">
        <f>IF(CA375&gt;0,'1 - Input'!$B$8/12*CA375,0)</f>
        <v>0</v>
      </c>
      <c r="CC375" s="17">
        <f t="shared" si="377"/>
        <v>0</v>
      </c>
      <c r="CD375" s="17">
        <f t="shared" si="378"/>
        <v>0</v>
      </c>
      <c r="CE375" s="17">
        <f>'1 - Input'!$B$22*(CB375-CD375)</f>
        <v>0</v>
      </c>
      <c r="CF375" s="17">
        <f t="shared" si="379"/>
        <v>0</v>
      </c>
      <c r="CG375" s="17">
        <f t="shared" si="380"/>
        <v>0</v>
      </c>
      <c r="CH375" s="17">
        <f>IF('1 - Input'!$B$17=1,MAX(0,CF375-BX375),0)</f>
        <v>0</v>
      </c>
      <c r="CI375" s="17">
        <f>IF('1 - Input'!$B$17=1,MAX(0,BX375-CF375),0)</f>
        <v>4608.5934869309822</v>
      </c>
      <c r="CJ375" s="17">
        <f t="shared" si="381"/>
        <v>0</v>
      </c>
      <c r="CK375" s="17">
        <f>IF(AND(CI375&gt;0,CC375&gt;0),CI375/(1-'1 - Input'!$B$22*CJ375),0)</f>
        <v>0</v>
      </c>
      <c r="CL375" s="17">
        <f t="shared" si="382"/>
        <v>0</v>
      </c>
      <c r="CM375" s="17">
        <f>'1 - Input'!$B$22*CJ375*CL375</f>
        <v>0</v>
      </c>
      <c r="CN375" s="17">
        <f t="shared" si="383"/>
        <v>0</v>
      </c>
      <c r="CO375" s="17">
        <f t="shared" si="384"/>
        <v>4608.5934869309822</v>
      </c>
      <c r="CP375" s="17">
        <f t="shared" si="385"/>
        <v>0</v>
      </c>
      <c r="CQ375" s="17">
        <f t="shared" si="386"/>
        <v>0</v>
      </c>
      <c r="CR375" s="17">
        <f t="shared" si="387"/>
        <v>0</v>
      </c>
      <c r="CS375" s="17">
        <f>IF(MOD(BU375,12)=0,CQ375*'1 - Input'!$B$23,0)</f>
        <v>0</v>
      </c>
      <c r="CT375" s="17">
        <f t="shared" si="388"/>
        <v>0</v>
      </c>
      <c r="CU375" s="17">
        <f>IF(MOD(BU375,12)=0,CR375*(1-'1 - Input'!$B$23),CR375)</f>
        <v>0</v>
      </c>
      <c r="CV375" s="17">
        <f>IF('1 - Input'!$B$17=1,MIN(CF375,BX375)+CN375,CF375)</f>
        <v>0</v>
      </c>
      <c r="CW375" s="17">
        <f t="shared" si="408"/>
        <v>686605.50041273201</v>
      </c>
      <c r="CX375" s="17">
        <f t="shared" si="409"/>
        <v>6018.3402768167462</v>
      </c>
      <c r="CY375" s="17">
        <f t="shared" si="410"/>
        <v>66518.776160328038</v>
      </c>
      <c r="CZ375" s="17">
        <f t="shared" si="411"/>
        <v>0</v>
      </c>
      <c r="DA375" s="17">
        <f t="shared" si="412"/>
        <v>10954.114452440983</v>
      </c>
      <c r="DB375" s="17">
        <f t="shared" si="413"/>
        <v>495419.33964130632</v>
      </c>
      <c r="DC375" s="15">
        <f t="shared" si="389"/>
        <v>1</v>
      </c>
    </row>
    <row r="376" spans="1:107">
      <c r="A376" s="14">
        <v>333</v>
      </c>
      <c r="B376" s="15">
        <f t="shared" si="345"/>
        <v>28</v>
      </c>
      <c r="C376" s="16">
        <f>(1+INDEX('1 - Input'!$B$34:$E$63,B376,'1 - Input'!$B$16))^(1/12)-1</f>
        <v>4.1219243192651689E-3</v>
      </c>
      <c r="D376" s="17">
        <f>'1 - Input'!$B$7*(1+'1 - Input'!$B$12)^(B376-1)</f>
        <v>4608.5934869309822</v>
      </c>
      <c r="E376" s="17">
        <f t="shared" si="390"/>
        <v>0</v>
      </c>
      <c r="F376" s="17">
        <f t="shared" si="391"/>
        <v>0</v>
      </c>
      <c r="G376" s="17">
        <f t="shared" si="346"/>
        <v>0</v>
      </c>
      <c r="H376" s="17">
        <f>IF(G376&gt;0,'1 - Input'!$B$8/12*G376,0)</f>
        <v>0</v>
      </c>
      <c r="I376" s="17">
        <f t="shared" si="347"/>
        <v>0</v>
      </c>
      <c r="J376" s="17">
        <f t="shared" si="348"/>
        <v>0</v>
      </c>
      <c r="K376" s="17">
        <f>'1 - Input'!$B$22*(H376-J376)</f>
        <v>0</v>
      </c>
      <c r="L376" s="17">
        <f t="shared" si="349"/>
        <v>0</v>
      </c>
      <c r="M376" s="17">
        <f t="shared" si="350"/>
        <v>0</v>
      </c>
      <c r="N376" s="17">
        <f>IF('1 - Input'!$B$17=1,MAX(0,L376-D376),0)</f>
        <v>0</v>
      </c>
      <c r="O376" s="17">
        <f>IF('1 - Input'!$B$17=1,MAX(0,D376-L376),0)</f>
        <v>4608.5934869309822</v>
      </c>
      <c r="P376" s="17">
        <f t="shared" si="351"/>
        <v>0</v>
      </c>
      <c r="Q376" s="17">
        <f>IF(AND(O376&gt;0,I376&gt;0),O376/(1-'1 - Input'!$B$22*P376),0)</f>
        <v>0</v>
      </c>
      <c r="R376" s="17">
        <f t="shared" si="352"/>
        <v>0</v>
      </c>
      <c r="S376" s="17">
        <f>'1 - Input'!$B$22*P376*R376</f>
        <v>0</v>
      </c>
      <c r="T376" s="17">
        <f t="shared" si="353"/>
        <v>0</v>
      </c>
      <c r="U376" s="17">
        <f t="shared" si="354"/>
        <v>4608.5934869309822</v>
      </c>
      <c r="V376" s="17">
        <f t="shared" si="355"/>
        <v>0</v>
      </c>
      <c r="W376" s="17">
        <f t="shared" si="356"/>
        <v>0</v>
      </c>
      <c r="X376" s="17">
        <f t="shared" si="357"/>
        <v>0</v>
      </c>
      <c r="Y376" s="17">
        <f>IF(MOD(A376,12)=0,W376*'1 - Input'!$B$23,0)</f>
        <v>0</v>
      </c>
      <c r="Z376" s="17">
        <f t="shared" si="358"/>
        <v>0</v>
      </c>
      <c r="AA376" s="17">
        <f>IF(MOD(A376,12)=0,X376*(1-'1 - Input'!$B$23),X376)</f>
        <v>0</v>
      </c>
      <c r="AB376" s="17">
        <f>IF('1 - Input'!$B$17=1,MIN(L376,D376)+T376,L376)</f>
        <v>0</v>
      </c>
      <c r="AC376" s="17">
        <f t="shared" si="392"/>
        <v>590482.93849429931</v>
      </c>
      <c r="AD376" s="17">
        <f t="shared" si="393"/>
        <v>101441.90180685223</v>
      </c>
      <c r="AE376" s="17">
        <f t="shared" si="394"/>
        <v>0</v>
      </c>
      <c r="AF376" s="17">
        <f t="shared" si="395"/>
        <v>174289.24056370757</v>
      </c>
      <c r="AG376" s="17">
        <f t="shared" si="396"/>
        <v>8123.5662772395826</v>
      </c>
      <c r="AH376" s="17">
        <f t="shared" si="397"/>
        <v>596150.49504666822</v>
      </c>
      <c r="AI376" s="15">
        <f t="shared" si="359"/>
        <v>1</v>
      </c>
      <c r="AK376" s="14">
        <v>333</v>
      </c>
      <c r="AL376" s="15">
        <f t="shared" si="360"/>
        <v>28</v>
      </c>
      <c r="AM376" s="16">
        <f>(1+INDEX('1 - Input'!$B$34:$E$63,AL376,'1 - Input'!$B$16))^(1/12)-1</f>
        <v>4.1219243192651689E-3</v>
      </c>
      <c r="AN376" s="17">
        <f>'1 - Input'!$B$7*(1+'1 - Input'!$B$12)^(AL376-1)</f>
        <v>4608.5934869309822</v>
      </c>
      <c r="AO376" s="17">
        <f t="shared" si="398"/>
        <v>0</v>
      </c>
      <c r="AP376" s="17">
        <f t="shared" si="399"/>
        <v>0</v>
      </c>
      <c r="AQ376" s="17">
        <f t="shared" si="361"/>
        <v>0</v>
      </c>
      <c r="AR376" s="17">
        <f>IF(AQ376&gt;0,'1 - Input'!$B$8/12*AQ376,0)</f>
        <v>0</v>
      </c>
      <c r="AS376" s="17">
        <f t="shared" si="362"/>
        <v>0</v>
      </c>
      <c r="AT376" s="17">
        <f t="shared" si="363"/>
        <v>0</v>
      </c>
      <c r="AU376" s="17">
        <f>'1 - Input'!$B$22*(AR376-AT376)</f>
        <v>0</v>
      </c>
      <c r="AV376" s="17">
        <f t="shared" si="364"/>
        <v>0</v>
      </c>
      <c r="AW376" s="17">
        <f t="shared" si="365"/>
        <v>0</v>
      </c>
      <c r="AX376" s="17">
        <f>IF('1 - Input'!$B$17=1,MAX(0,AV376-AN376),0)</f>
        <v>0</v>
      </c>
      <c r="AY376" s="17">
        <f>IF('1 - Input'!$B$17=1,MAX(0,AN376-AV376),0)</f>
        <v>4608.5934869309822</v>
      </c>
      <c r="AZ376" s="17">
        <f t="shared" si="366"/>
        <v>0</v>
      </c>
      <c r="BA376" s="17">
        <f>IF(AND(AY376&gt;0,AS376&gt;0),AY376/(1-'1 - Input'!$B$22*AZ376),0)</f>
        <v>0</v>
      </c>
      <c r="BB376" s="17">
        <f t="shared" si="367"/>
        <v>0</v>
      </c>
      <c r="BC376" s="17">
        <f>'1 - Input'!$B$22*AZ376*BB376</f>
        <v>0</v>
      </c>
      <c r="BD376" s="17">
        <f t="shared" si="368"/>
        <v>0</v>
      </c>
      <c r="BE376" s="17">
        <f t="shared" si="369"/>
        <v>4608.5934869309822</v>
      </c>
      <c r="BF376" s="17">
        <f t="shared" si="370"/>
        <v>0</v>
      </c>
      <c r="BG376" s="17">
        <f t="shared" si="371"/>
        <v>0</v>
      </c>
      <c r="BH376" s="17">
        <f t="shared" si="372"/>
        <v>0</v>
      </c>
      <c r="BI376" s="17">
        <f>IF(MOD(AK376,12)=0,BG376*'1 - Input'!$B$23,0)</f>
        <v>0</v>
      </c>
      <c r="BJ376" s="17">
        <f t="shared" si="373"/>
        <v>0</v>
      </c>
      <c r="BK376" s="17">
        <f>IF(MOD(AK376,12)=0,BH376*(1-'1 - Input'!$B$23),BH376)</f>
        <v>0</v>
      </c>
      <c r="BL376" s="17">
        <f>IF('1 - Input'!$B$17=1,MIN(AV376,AN376)+BD376,AV376)</f>
        <v>0</v>
      </c>
      <c r="BM376" s="17">
        <f t="shared" si="400"/>
        <v>590482.93849429931</v>
      </c>
      <c r="BN376" s="17">
        <f t="shared" si="401"/>
        <v>101441.90180685223</v>
      </c>
      <c r="BO376" s="17">
        <f t="shared" si="402"/>
        <v>0</v>
      </c>
      <c r="BP376" s="17">
        <f t="shared" si="403"/>
        <v>174289.24056370757</v>
      </c>
      <c r="BQ376" s="17">
        <f t="shared" si="404"/>
        <v>8123.5662772395826</v>
      </c>
      <c r="BR376" s="17">
        <f t="shared" si="405"/>
        <v>596150.49504666822</v>
      </c>
      <c r="BS376" s="15">
        <f t="shared" si="374"/>
        <v>1</v>
      </c>
      <c r="BU376" s="14">
        <v>333</v>
      </c>
      <c r="BV376" s="15">
        <f t="shared" si="375"/>
        <v>28</v>
      </c>
      <c r="BW376" s="16">
        <f>(1+INDEX('1 - Input'!$B$34:$E$63,BV376,'1 - Input'!$B$16))^(1/12)-1</f>
        <v>4.1219243192651689E-3</v>
      </c>
      <c r="BX376" s="17">
        <f>'1 - Input'!$B$7*(1+'1 - Input'!$B$12)^(BV376-1)</f>
        <v>4608.5934869309822</v>
      </c>
      <c r="BY376" s="17">
        <f t="shared" si="406"/>
        <v>0</v>
      </c>
      <c r="BZ376" s="17">
        <f t="shared" si="407"/>
        <v>0</v>
      </c>
      <c r="CA376" s="17">
        <f t="shared" si="376"/>
        <v>0</v>
      </c>
      <c r="CB376" s="17">
        <f>IF(CA376&gt;0,'1 - Input'!$B$8/12*CA376,0)</f>
        <v>0</v>
      </c>
      <c r="CC376" s="17">
        <f t="shared" si="377"/>
        <v>0</v>
      </c>
      <c r="CD376" s="17">
        <f t="shared" si="378"/>
        <v>0</v>
      </c>
      <c r="CE376" s="17">
        <f>'1 - Input'!$B$22*(CB376-CD376)</f>
        <v>0</v>
      </c>
      <c r="CF376" s="17">
        <f t="shared" si="379"/>
        <v>0</v>
      </c>
      <c r="CG376" s="17">
        <f t="shared" si="380"/>
        <v>0</v>
      </c>
      <c r="CH376" s="17">
        <f>IF('1 - Input'!$B$17=1,MAX(0,CF376-BX376),0)</f>
        <v>0</v>
      </c>
      <c r="CI376" s="17">
        <f>IF('1 - Input'!$B$17=1,MAX(0,BX376-CF376),0)</f>
        <v>4608.5934869309822</v>
      </c>
      <c r="CJ376" s="17">
        <f t="shared" si="381"/>
        <v>0</v>
      </c>
      <c r="CK376" s="17">
        <f>IF(AND(CI376&gt;0,CC376&gt;0),CI376/(1-'1 - Input'!$B$22*CJ376),0)</f>
        <v>0</v>
      </c>
      <c r="CL376" s="17">
        <f t="shared" si="382"/>
        <v>0</v>
      </c>
      <c r="CM376" s="17">
        <f>'1 - Input'!$B$22*CJ376*CL376</f>
        <v>0</v>
      </c>
      <c r="CN376" s="17">
        <f t="shared" si="383"/>
        <v>0</v>
      </c>
      <c r="CO376" s="17">
        <f t="shared" si="384"/>
        <v>4608.5934869309822</v>
      </c>
      <c r="CP376" s="17">
        <f t="shared" si="385"/>
        <v>0</v>
      </c>
      <c r="CQ376" s="17">
        <f t="shared" si="386"/>
        <v>0</v>
      </c>
      <c r="CR376" s="17">
        <f t="shared" si="387"/>
        <v>0</v>
      </c>
      <c r="CS376" s="17">
        <f>IF(MOD(BU376,12)=0,CQ376*'1 - Input'!$B$23,0)</f>
        <v>0</v>
      </c>
      <c r="CT376" s="17">
        <f t="shared" si="388"/>
        <v>0</v>
      </c>
      <c r="CU376" s="17">
        <f>IF(MOD(BU376,12)=0,CR376*(1-'1 - Input'!$B$23),CR376)</f>
        <v>0</v>
      </c>
      <c r="CV376" s="17">
        <f>IF('1 - Input'!$B$17=1,MIN(CF376,BX376)+CN376,CF376)</f>
        <v>0</v>
      </c>
      <c r="CW376" s="17">
        <f t="shared" si="408"/>
        <v>686605.50041273201</v>
      </c>
      <c r="CX376" s="17">
        <f t="shared" si="409"/>
        <v>6018.3402768167462</v>
      </c>
      <c r="CY376" s="17">
        <f t="shared" si="410"/>
        <v>66518.776160328038</v>
      </c>
      <c r="CZ376" s="17">
        <f t="shared" si="411"/>
        <v>0</v>
      </c>
      <c r="DA376" s="17">
        <f t="shared" si="412"/>
        <v>10954.114452440983</v>
      </c>
      <c r="DB376" s="17">
        <f t="shared" si="413"/>
        <v>500027.93312823732</v>
      </c>
      <c r="DC376" s="15">
        <f t="shared" si="389"/>
        <v>1</v>
      </c>
    </row>
    <row r="377" spans="1:107">
      <c r="A377" s="14">
        <v>334</v>
      </c>
      <c r="B377" s="15">
        <f t="shared" si="345"/>
        <v>28</v>
      </c>
      <c r="C377" s="16">
        <f>(1+INDEX('1 - Input'!$B$34:$E$63,B377,'1 - Input'!$B$16))^(1/12)-1</f>
        <v>4.1219243192651689E-3</v>
      </c>
      <c r="D377" s="17">
        <f>'1 - Input'!$B$7*(1+'1 - Input'!$B$12)^(B377-1)</f>
        <v>4608.5934869309822</v>
      </c>
      <c r="E377" s="17">
        <f t="shared" si="390"/>
        <v>0</v>
      </c>
      <c r="F377" s="17">
        <f t="shared" si="391"/>
        <v>0</v>
      </c>
      <c r="G377" s="17">
        <f t="shared" si="346"/>
        <v>0</v>
      </c>
      <c r="H377" s="17">
        <f>IF(G377&gt;0,'1 - Input'!$B$8/12*G377,0)</f>
        <v>0</v>
      </c>
      <c r="I377" s="17">
        <f t="shared" si="347"/>
        <v>0</v>
      </c>
      <c r="J377" s="17">
        <f t="shared" si="348"/>
        <v>0</v>
      </c>
      <c r="K377" s="17">
        <f>'1 - Input'!$B$22*(H377-J377)</f>
        <v>0</v>
      </c>
      <c r="L377" s="17">
        <f t="shared" si="349"/>
        <v>0</v>
      </c>
      <c r="M377" s="17">
        <f t="shared" si="350"/>
        <v>0</v>
      </c>
      <c r="N377" s="17">
        <f>IF('1 - Input'!$B$17=1,MAX(0,L377-D377),0)</f>
        <v>0</v>
      </c>
      <c r="O377" s="17">
        <f>IF('1 - Input'!$B$17=1,MAX(0,D377-L377),0)</f>
        <v>4608.5934869309822</v>
      </c>
      <c r="P377" s="17">
        <f t="shared" si="351"/>
        <v>0</v>
      </c>
      <c r="Q377" s="17">
        <f>IF(AND(O377&gt;0,I377&gt;0),O377/(1-'1 - Input'!$B$22*P377),0)</f>
        <v>0</v>
      </c>
      <c r="R377" s="17">
        <f t="shared" si="352"/>
        <v>0</v>
      </c>
      <c r="S377" s="17">
        <f>'1 - Input'!$B$22*P377*R377</f>
        <v>0</v>
      </c>
      <c r="T377" s="17">
        <f t="shared" si="353"/>
        <v>0</v>
      </c>
      <c r="U377" s="17">
        <f t="shared" si="354"/>
        <v>4608.5934869309822</v>
      </c>
      <c r="V377" s="17">
        <f t="shared" si="355"/>
        <v>0</v>
      </c>
      <c r="W377" s="17">
        <f t="shared" si="356"/>
        <v>0</v>
      </c>
      <c r="X377" s="17">
        <f t="shared" si="357"/>
        <v>0</v>
      </c>
      <c r="Y377" s="17">
        <f>IF(MOD(A377,12)=0,W377*'1 - Input'!$B$23,0)</f>
        <v>0</v>
      </c>
      <c r="Z377" s="17">
        <f t="shared" si="358"/>
        <v>0</v>
      </c>
      <c r="AA377" s="17">
        <f>IF(MOD(A377,12)=0,X377*(1-'1 - Input'!$B$23),X377)</f>
        <v>0</v>
      </c>
      <c r="AB377" s="17">
        <f>IF('1 - Input'!$B$17=1,MIN(L377,D377)+T377,L377)</f>
        <v>0</v>
      </c>
      <c r="AC377" s="17">
        <f t="shared" si="392"/>
        <v>590482.93849429931</v>
      </c>
      <c r="AD377" s="17">
        <f t="shared" si="393"/>
        <v>101441.90180685223</v>
      </c>
      <c r="AE377" s="17">
        <f t="shared" si="394"/>
        <v>0</v>
      </c>
      <c r="AF377" s="17">
        <f t="shared" si="395"/>
        <v>174289.24056370757</v>
      </c>
      <c r="AG377" s="17">
        <f t="shared" si="396"/>
        <v>8123.5662772395826</v>
      </c>
      <c r="AH377" s="17">
        <f t="shared" si="397"/>
        <v>600759.08853359916</v>
      </c>
      <c r="AI377" s="15">
        <f t="shared" si="359"/>
        <v>1</v>
      </c>
      <c r="AK377" s="14">
        <v>334</v>
      </c>
      <c r="AL377" s="15">
        <f t="shared" si="360"/>
        <v>28</v>
      </c>
      <c r="AM377" s="16">
        <f>(1+INDEX('1 - Input'!$B$34:$E$63,AL377,'1 - Input'!$B$16))^(1/12)-1</f>
        <v>4.1219243192651689E-3</v>
      </c>
      <c r="AN377" s="17">
        <f>'1 - Input'!$B$7*(1+'1 - Input'!$B$12)^(AL377-1)</f>
        <v>4608.5934869309822</v>
      </c>
      <c r="AO377" s="17">
        <f t="shared" si="398"/>
        <v>0</v>
      </c>
      <c r="AP377" s="17">
        <f t="shared" si="399"/>
        <v>0</v>
      </c>
      <c r="AQ377" s="17">
        <f t="shared" si="361"/>
        <v>0</v>
      </c>
      <c r="AR377" s="17">
        <f>IF(AQ377&gt;0,'1 - Input'!$B$8/12*AQ377,0)</f>
        <v>0</v>
      </c>
      <c r="AS377" s="17">
        <f t="shared" si="362"/>
        <v>0</v>
      </c>
      <c r="AT377" s="17">
        <f t="shared" si="363"/>
        <v>0</v>
      </c>
      <c r="AU377" s="17">
        <f>'1 - Input'!$B$22*(AR377-AT377)</f>
        <v>0</v>
      </c>
      <c r="AV377" s="17">
        <f t="shared" si="364"/>
        <v>0</v>
      </c>
      <c r="AW377" s="17">
        <f t="shared" si="365"/>
        <v>0</v>
      </c>
      <c r="AX377" s="17">
        <f>IF('1 - Input'!$B$17=1,MAX(0,AV377-AN377),0)</f>
        <v>0</v>
      </c>
      <c r="AY377" s="17">
        <f>IF('1 - Input'!$B$17=1,MAX(0,AN377-AV377),0)</f>
        <v>4608.5934869309822</v>
      </c>
      <c r="AZ377" s="17">
        <f t="shared" si="366"/>
        <v>0</v>
      </c>
      <c r="BA377" s="17">
        <f>IF(AND(AY377&gt;0,AS377&gt;0),AY377/(1-'1 - Input'!$B$22*AZ377),0)</f>
        <v>0</v>
      </c>
      <c r="BB377" s="17">
        <f t="shared" si="367"/>
        <v>0</v>
      </c>
      <c r="BC377" s="17">
        <f>'1 - Input'!$B$22*AZ377*BB377</f>
        <v>0</v>
      </c>
      <c r="BD377" s="17">
        <f t="shared" si="368"/>
        <v>0</v>
      </c>
      <c r="BE377" s="17">
        <f t="shared" si="369"/>
        <v>4608.5934869309822</v>
      </c>
      <c r="BF377" s="17">
        <f t="shared" si="370"/>
        <v>0</v>
      </c>
      <c r="BG377" s="17">
        <f t="shared" si="371"/>
        <v>0</v>
      </c>
      <c r="BH377" s="17">
        <f t="shared" si="372"/>
        <v>0</v>
      </c>
      <c r="BI377" s="17">
        <f>IF(MOD(AK377,12)=0,BG377*'1 - Input'!$B$23,0)</f>
        <v>0</v>
      </c>
      <c r="BJ377" s="17">
        <f t="shared" si="373"/>
        <v>0</v>
      </c>
      <c r="BK377" s="17">
        <f>IF(MOD(AK377,12)=0,BH377*(1-'1 - Input'!$B$23),BH377)</f>
        <v>0</v>
      </c>
      <c r="BL377" s="17">
        <f>IF('1 - Input'!$B$17=1,MIN(AV377,AN377)+BD377,AV377)</f>
        <v>0</v>
      </c>
      <c r="BM377" s="17">
        <f t="shared" si="400"/>
        <v>590482.93849429931</v>
      </c>
      <c r="BN377" s="17">
        <f t="shared" si="401"/>
        <v>101441.90180685223</v>
      </c>
      <c r="BO377" s="17">
        <f t="shared" si="402"/>
        <v>0</v>
      </c>
      <c r="BP377" s="17">
        <f t="shared" si="403"/>
        <v>174289.24056370757</v>
      </c>
      <c r="BQ377" s="17">
        <f t="shared" si="404"/>
        <v>8123.5662772395826</v>
      </c>
      <c r="BR377" s="17">
        <f t="shared" si="405"/>
        <v>600759.08853359916</v>
      </c>
      <c r="BS377" s="15">
        <f t="shared" si="374"/>
        <v>1</v>
      </c>
      <c r="BU377" s="14">
        <v>334</v>
      </c>
      <c r="BV377" s="15">
        <f t="shared" si="375"/>
        <v>28</v>
      </c>
      <c r="BW377" s="16">
        <f>(1+INDEX('1 - Input'!$B$34:$E$63,BV377,'1 - Input'!$B$16))^(1/12)-1</f>
        <v>4.1219243192651689E-3</v>
      </c>
      <c r="BX377" s="17">
        <f>'1 - Input'!$B$7*(1+'1 - Input'!$B$12)^(BV377-1)</f>
        <v>4608.5934869309822</v>
      </c>
      <c r="BY377" s="17">
        <f t="shared" si="406"/>
        <v>0</v>
      </c>
      <c r="BZ377" s="17">
        <f t="shared" si="407"/>
        <v>0</v>
      </c>
      <c r="CA377" s="17">
        <f t="shared" si="376"/>
        <v>0</v>
      </c>
      <c r="CB377" s="17">
        <f>IF(CA377&gt;0,'1 - Input'!$B$8/12*CA377,0)</f>
        <v>0</v>
      </c>
      <c r="CC377" s="17">
        <f t="shared" si="377"/>
        <v>0</v>
      </c>
      <c r="CD377" s="17">
        <f t="shared" si="378"/>
        <v>0</v>
      </c>
      <c r="CE377" s="17">
        <f>'1 - Input'!$B$22*(CB377-CD377)</f>
        <v>0</v>
      </c>
      <c r="CF377" s="17">
        <f t="shared" si="379"/>
        <v>0</v>
      </c>
      <c r="CG377" s="17">
        <f t="shared" si="380"/>
        <v>0</v>
      </c>
      <c r="CH377" s="17">
        <f>IF('1 - Input'!$B$17=1,MAX(0,CF377-BX377),0)</f>
        <v>0</v>
      </c>
      <c r="CI377" s="17">
        <f>IF('1 - Input'!$B$17=1,MAX(0,BX377-CF377),0)</f>
        <v>4608.5934869309822</v>
      </c>
      <c r="CJ377" s="17">
        <f t="shared" si="381"/>
        <v>0</v>
      </c>
      <c r="CK377" s="17">
        <f>IF(AND(CI377&gt;0,CC377&gt;0),CI377/(1-'1 - Input'!$B$22*CJ377),0)</f>
        <v>0</v>
      </c>
      <c r="CL377" s="17">
        <f t="shared" si="382"/>
        <v>0</v>
      </c>
      <c r="CM377" s="17">
        <f>'1 - Input'!$B$22*CJ377*CL377</f>
        <v>0</v>
      </c>
      <c r="CN377" s="17">
        <f t="shared" si="383"/>
        <v>0</v>
      </c>
      <c r="CO377" s="17">
        <f t="shared" si="384"/>
        <v>4608.5934869309822</v>
      </c>
      <c r="CP377" s="17">
        <f t="shared" si="385"/>
        <v>0</v>
      </c>
      <c r="CQ377" s="17">
        <f t="shared" si="386"/>
        <v>0</v>
      </c>
      <c r="CR377" s="17">
        <f t="shared" si="387"/>
        <v>0</v>
      </c>
      <c r="CS377" s="17">
        <f>IF(MOD(BU377,12)=0,CQ377*'1 - Input'!$B$23,0)</f>
        <v>0</v>
      </c>
      <c r="CT377" s="17">
        <f t="shared" si="388"/>
        <v>0</v>
      </c>
      <c r="CU377" s="17">
        <f>IF(MOD(BU377,12)=0,CR377*(1-'1 - Input'!$B$23),CR377)</f>
        <v>0</v>
      </c>
      <c r="CV377" s="17">
        <f>IF('1 - Input'!$B$17=1,MIN(CF377,BX377)+CN377,CF377)</f>
        <v>0</v>
      </c>
      <c r="CW377" s="17">
        <f t="shared" si="408"/>
        <v>686605.50041273201</v>
      </c>
      <c r="CX377" s="17">
        <f t="shared" si="409"/>
        <v>6018.3402768167462</v>
      </c>
      <c r="CY377" s="17">
        <f t="shared" si="410"/>
        <v>66518.776160328038</v>
      </c>
      <c r="CZ377" s="17">
        <f t="shared" si="411"/>
        <v>0</v>
      </c>
      <c r="DA377" s="17">
        <f t="shared" si="412"/>
        <v>10954.114452440983</v>
      </c>
      <c r="DB377" s="17">
        <f t="shared" si="413"/>
        <v>504636.52661516832</v>
      </c>
      <c r="DC377" s="15">
        <f t="shared" si="389"/>
        <v>1</v>
      </c>
    </row>
    <row r="378" spans="1:107">
      <c r="A378" s="14">
        <v>335</v>
      </c>
      <c r="B378" s="15">
        <f t="shared" si="345"/>
        <v>28</v>
      </c>
      <c r="C378" s="16">
        <f>(1+INDEX('1 - Input'!$B$34:$E$63,B378,'1 - Input'!$B$16))^(1/12)-1</f>
        <v>4.1219243192651689E-3</v>
      </c>
      <c r="D378" s="17">
        <f>'1 - Input'!$B$7*(1+'1 - Input'!$B$12)^(B378-1)</f>
        <v>4608.5934869309822</v>
      </c>
      <c r="E378" s="17">
        <f t="shared" si="390"/>
        <v>0</v>
      </c>
      <c r="F378" s="17">
        <f t="shared" si="391"/>
        <v>0</v>
      </c>
      <c r="G378" s="17">
        <f t="shared" si="346"/>
        <v>0</v>
      </c>
      <c r="H378" s="17">
        <f>IF(G378&gt;0,'1 - Input'!$B$8/12*G378,0)</f>
        <v>0</v>
      </c>
      <c r="I378" s="17">
        <f t="shared" si="347"/>
        <v>0</v>
      </c>
      <c r="J378" s="17">
        <f t="shared" si="348"/>
        <v>0</v>
      </c>
      <c r="K378" s="17">
        <f>'1 - Input'!$B$22*(H378-J378)</f>
        <v>0</v>
      </c>
      <c r="L378" s="17">
        <f t="shared" si="349"/>
        <v>0</v>
      </c>
      <c r="M378" s="17">
        <f t="shared" si="350"/>
        <v>0</v>
      </c>
      <c r="N378" s="17">
        <f>IF('1 - Input'!$B$17=1,MAX(0,L378-D378),0)</f>
        <v>0</v>
      </c>
      <c r="O378" s="17">
        <f>IF('1 - Input'!$B$17=1,MAX(0,D378-L378),0)</f>
        <v>4608.5934869309822</v>
      </c>
      <c r="P378" s="17">
        <f t="shared" si="351"/>
        <v>0</v>
      </c>
      <c r="Q378" s="17">
        <f>IF(AND(O378&gt;0,I378&gt;0),O378/(1-'1 - Input'!$B$22*P378),0)</f>
        <v>0</v>
      </c>
      <c r="R378" s="17">
        <f t="shared" si="352"/>
        <v>0</v>
      </c>
      <c r="S378" s="17">
        <f>'1 - Input'!$B$22*P378*R378</f>
        <v>0</v>
      </c>
      <c r="T378" s="17">
        <f t="shared" si="353"/>
        <v>0</v>
      </c>
      <c r="U378" s="17">
        <f t="shared" si="354"/>
        <v>4608.5934869309822</v>
      </c>
      <c r="V378" s="17">
        <f t="shared" si="355"/>
        <v>0</v>
      </c>
      <c r="W378" s="17">
        <f t="shared" si="356"/>
        <v>0</v>
      </c>
      <c r="X378" s="17">
        <f t="shared" si="357"/>
        <v>0</v>
      </c>
      <c r="Y378" s="17">
        <f>IF(MOD(A378,12)=0,W378*'1 - Input'!$B$23,0)</f>
        <v>0</v>
      </c>
      <c r="Z378" s="17">
        <f t="shared" si="358"/>
        <v>0</v>
      </c>
      <c r="AA378" s="17">
        <f>IF(MOD(A378,12)=0,X378*(1-'1 - Input'!$B$23),X378)</f>
        <v>0</v>
      </c>
      <c r="AB378" s="17">
        <f>IF('1 - Input'!$B$17=1,MIN(L378,D378)+T378,L378)</f>
        <v>0</v>
      </c>
      <c r="AC378" s="17">
        <f t="shared" si="392"/>
        <v>590482.93849429931</v>
      </c>
      <c r="AD378" s="17">
        <f t="shared" si="393"/>
        <v>101441.90180685223</v>
      </c>
      <c r="AE378" s="17">
        <f t="shared" si="394"/>
        <v>0</v>
      </c>
      <c r="AF378" s="17">
        <f t="shared" si="395"/>
        <v>174289.24056370757</v>
      </c>
      <c r="AG378" s="17">
        <f t="shared" si="396"/>
        <v>8123.5662772395826</v>
      </c>
      <c r="AH378" s="17">
        <f t="shared" si="397"/>
        <v>605367.6820205301</v>
      </c>
      <c r="AI378" s="15">
        <f t="shared" si="359"/>
        <v>1</v>
      </c>
      <c r="AK378" s="14">
        <v>335</v>
      </c>
      <c r="AL378" s="15">
        <f t="shared" si="360"/>
        <v>28</v>
      </c>
      <c r="AM378" s="16">
        <f>(1+INDEX('1 - Input'!$B$34:$E$63,AL378,'1 - Input'!$B$16))^(1/12)-1</f>
        <v>4.1219243192651689E-3</v>
      </c>
      <c r="AN378" s="17">
        <f>'1 - Input'!$B$7*(1+'1 - Input'!$B$12)^(AL378-1)</f>
        <v>4608.5934869309822</v>
      </c>
      <c r="AO378" s="17">
        <f t="shared" si="398"/>
        <v>0</v>
      </c>
      <c r="AP378" s="17">
        <f t="shared" si="399"/>
        <v>0</v>
      </c>
      <c r="AQ378" s="17">
        <f t="shared" si="361"/>
        <v>0</v>
      </c>
      <c r="AR378" s="17">
        <f>IF(AQ378&gt;0,'1 - Input'!$B$8/12*AQ378,0)</f>
        <v>0</v>
      </c>
      <c r="AS378" s="17">
        <f t="shared" si="362"/>
        <v>0</v>
      </c>
      <c r="AT378" s="17">
        <f t="shared" si="363"/>
        <v>0</v>
      </c>
      <c r="AU378" s="17">
        <f>'1 - Input'!$B$22*(AR378-AT378)</f>
        <v>0</v>
      </c>
      <c r="AV378" s="17">
        <f t="shared" si="364"/>
        <v>0</v>
      </c>
      <c r="AW378" s="17">
        <f t="shared" si="365"/>
        <v>0</v>
      </c>
      <c r="AX378" s="17">
        <f>IF('1 - Input'!$B$17=1,MAX(0,AV378-AN378),0)</f>
        <v>0</v>
      </c>
      <c r="AY378" s="17">
        <f>IF('1 - Input'!$B$17=1,MAX(0,AN378-AV378),0)</f>
        <v>4608.5934869309822</v>
      </c>
      <c r="AZ378" s="17">
        <f t="shared" si="366"/>
        <v>0</v>
      </c>
      <c r="BA378" s="17">
        <f>IF(AND(AY378&gt;0,AS378&gt;0),AY378/(1-'1 - Input'!$B$22*AZ378),0)</f>
        <v>0</v>
      </c>
      <c r="BB378" s="17">
        <f t="shared" si="367"/>
        <v>0</v>
      </c>
      <c r="BC378" s="17">
        <f>'1 - Input'!$B$22*AZ378*BB378</f>
        <v>0</v>
      </c>
      <c r="BD378" s="17">
        <f t="shared" si="368"/>
        <v>0</v>
      </c>
      <c r="BE378" s="17">
        <f t="shared" si="369"/>
        <v>4608.5934869309822</v>
      </c>
      <c r="BF378" s="17">
        <f t="shared" si="370"/>
        <v>0</v>
      </c>
      <c r="BG378" s="17">
        <f t="shared" si="371"/>
        <v>0</v>
      </c>
      <c r="BH378" s="17">
        <f t="shared" si="372"/>
        <v>0</v>
      </c>
      <c r="BI378" s="17">
        <f>IF(MOD(AK378,12)=0,BG378*'1 - Input'!$B$23,0)</f>
        <v>0</v>
      </c>
      <c r="BJ378" s="17">
        <f t="shared" si="373"/>
        <v>0</v>
      </c>
      <c r="BK378" s="17">
        <f>IF(MOD(AK378,12)=0,BH378*(1-'1 - Input'!$B$23),BH378)</f>
        <v>0</v>
      </c>
      <c r="BL378" s="17">
        <f>IF('1 - Input'!$B$17=1,MIN(AV378,AN378)+BD378,AV378)</f>
        <v>0</v>
      </c>
      <c r="BM378" s="17">
        <f t="shared" si="400"/>
        <v>590482.93849429931</v>
      </c>
      <c r="BN378" s="17">
        <f t="shared" si="401"/>
        <v>101441.90180685223</v>
      </c>
      <c r="BO378" s="17">
        <f t="shared" si="402"/>
        <v>0</v>
      </c>
      <c r="BP378" s="17">
        <f t="shared" si="403"/>
        <v>174289.24056370757</v>
      </c>
      <c r="BQ378" s="17">
        <f t="shared" si="404"/>
        <v>8123.5662772395826</v>
      </c>
      <c r="BR378" s="17">
        <f t="shared" si="405"/>
        <v>605367.6820205301</v>
      </c>
      <c r="BS378" s="15">
        <f t="shared" si="374"/>
        <v>1</v>
      </c>
      <c r="BU378" s="14">
        <v>335</v>
      </c>
      <c r="BV378" s="15">
        <f t="shared" si="375"/>
        <v>28</v>
      </c>
      <c r="BW378" s="16">
        <f>(1+INDEX('1 - Input'!$B$34:$E$63,BV378,'1 - Input'!$B$16))^(1/12)-1</f>
        <v>4.1219243192651689E-3</v>
      </c>
      <c r="BX378" s="17">
        <f>'1 - Input'!$B$7*(1+'1 - Input'!$B$12)^(BV378-1)</f>
        <v>4608.5934869309822</v>
      </c>
      <c r="BY378" s="17">
        <f t="shared" si="406"/>
        <v>0</v>
      </c>
      <c r="BZ378" s="17">
        <f t="shared" si="407"/>
        <v>0</v>
      </c>
      <c r="CA378" s="17">
        <f t="shared" si="376"/>
        <v>0</v>
      </c>
      <c r="CB378" s="17">
        <f>IF(CA378&gt;0,'1 - Input'!$B$8/12*CA378,0)</f>
        <v>0</v>
      </c>
      <c r="CC378" s="17">
        <f t="shared" si="377"/>
        <v>0</v>
      </c>
      <c r="CD378" s="17">
        <f t="shared" si="378"/>
        <v>0</v>
      </c>
      <c r="CE378" s="17">
        <f>'1 - Input'!$B$22*(CB378-CD378)</f>
        <v>0</v>
      </c>
      <c r="CF378" s="17">
        <f t="shared" si="379"/>
        <v>0</v>
      </c>
      <c r="CG378" s="17">
        <f t="shared" si="380"/>
        <v>0</v>
      </c>
      <c r="CH378" s="17">
        <f>IF('1 - Input'!$B$17=1,MAX(0,CF378-BX378),0)</f>
        <v>0</v>
      </c>
      <c r="CI378" s="17">
        <f>IF('1 - Input'!$B$17=1,MAX(0,BX378-CF378),0)</f>
        <v>4608.5934869309822</v>
      </c>
      <c r="CJ378" s="17">
        <f t="shared" si="381"/>
        <v>0</v>
      </c>
      <c r="CK378" s="17">
        <f>IF(AND(CI378&gt;0,CC378&gt;0),CI378/(1-'1 - Input'!$B$22*CJ378),0)</f>
        <v>0</v>
      </c>
      <c r="CL378" s="17">
        <f t="shared" si="382"/>
        <v>0</v>
      </c>
      <c r="CM378" s="17">
        <f>'1 - Input'!$B$22*CJ378*CL378</f>
        <v>0</v>
      </c>
      <c r="CN378" s="17">
        <f t="shared" si="383"/>
        <v>0</v>
      </c>
      <c r="CO378" s="17">
        <f t="shared" si="384"/>
        <v>4608.5934869309822</v>
      </c>
      <c r="CP378" s="17">
        <f t="shared" si="385"/>
        <v>0</v>
      </c>
      <c r="CQ378" s="17">
        <f t="shared" si="386"/>
        <v>0</v>
      </c>
      <c r="CR378" s="17">
        <f t="shared" si="387"/>
        <v>0</v>
      </c>
      <c r="CS378" s="17">
        <f>IF(MOD(BU378,12)=0,CQ378*'1 - Input'!$B$23,0)</f>
        <v>0</v>
      </c>
      <c r="CT378" s="17">
        <f t="shared" si="388"/>
        <v>0</v>
      </c>
      <c r="CU378" s="17">
        <f>IF(MOD(BU378,12)=0,CR378*(1-'1 - Input'!$B$23),CR378)</f>
        <v>0</v>
      </c>
      <c r="CV378" s="17">
        <f>IF('1 - Input'!$B$17=1,MIN(CF378,BX378)+CN378,CF378)</f>
        <v>0</v>
      </c>
      <c r="CW378" s="17">
        <f t="shared" si="408"/>
        <v>686605.50041273201</v>
      </c>
      <c r="CX378" s="17">
        <f t="shared" si="409"/>
        <v>6018.3402768167462</v>
      </c>
      <c r="CY378" s="17">
        <f t="shared" si="410"/>
        <v>66518.776160328038</v>
      </c>
      <c r="CZ378" s="17">
        <f t="shared" si="411"/>
        <v>0</v>
      </c>
      <c r="DA378" s="17">
        <f t="shared" si="412"/>
        <v>10954.114452440983</v>
      </c>
      <c r="DB378" s="17">
        <f t="shared" si="413"/>
        <v>509245.12010209932</v>
      </c>
      <c r="DC378" s="15">
        <f t="shared" si="389"/>
        <v>1</v>
      </c>
    </row>
    <row r="379" spans="1:107">
      <c r="A379" s="14">
        <v>336</v>
      </c>
      <c r="B379" s="15">
        <f t="shared" si="345"/>
        <v>28</v>
      </c>
      <c r="C379" s="16">
        <f>(1+INDEX('1 - Input'!$B$34:$E$63,B379,'1 - Input'!$B$16))^(1/12)-1</f>
        <v>4.1219243192651689E-3</v>
      </c>
      <c r="D379" s="17">
        <f>'1 - Input'!$B$7*(1+'1 - Input'!$B$12)^(B379-1)</f>
        <v>4608.5934869309822</v>
      </c>
      <c r="E379" s="17">
        <f t="shared" si="390"/>
        <v>0</v>
      </c>
      <c r="F379" s="17">
        <f t="shared" si="391"/>
        <v>0</v>
      </c>
      <c r="G379" s="17">
        <f t="shared" si="346"/>
        <v>0</v>
      </c>
      <c r="H379" s="17">
        <f>IF(G379&gt;0,'1 - Input'!$B$8/12*G379,0)</f>
        <v>0</v>
      </c>
      <c r="I379" s="17">
        <f t="shared" si="347"/>
        <v>0</v>
      </c>
      <c r="J379" s="17">
        <f t="shared" si="348"/>
        <v>0</v>
      </c>
      <c r="K379" s="17">
        <f>'1 - Input'!$B$22*(H379-J379)</f>
        <v>0</v>
      </c>
      <c r="L379" s="17">
        <f t="shared" si="349"/>
        <v>0</v>
      </c>
      <c r="M379" s="17">
        <f t="shared" si="350"/>
        <v>0</v>
      </c>
      <c r="N379" s="17">
        <f>IF('1 - Input'!$B$17=1,MAX(0,L379-D379),0)</f>
        <v>0</v>
      </c>
      <c r="O379" s="17">
        <f>IF('1 - Input'!$B$17=1,MAX(0,D379-L379),0)</f>
        <v>4608.5934869309822</v>
      </c>
      <c r="P379" s="17">
        <f t="shared" si="351"/>
        <v>0</v>
      </c>
      <c r="Q379" s="17">
        <f>IF(AND(O379&gt;0,I379&gt;0),O379/(1-'1 - Input'!$B$22*P379),0)</f>
        <v>0</v>
      </c>
      <c r="R379" s="17">
        <f t="shared" si="352"/>
        <v>0</v>
      </c>
      <c r="S379" s="17">
        <f>'1 - Input'!$B$22*P379*R379</f>
        <v>0</v>
      </c>
      <c r="T379" s="17">
        <f t="shared" si="353"/>
        <v>0</v>
      </c>
      <c r="U379" s="17">
        <f t="shared" si="354"/>
        <v>4608.5934869309822</v>
      </c>
      <c r="V379" s="17">
        <f t="shared" si="355"/>
        <v>0</v>
      </c>
      <c r="W379" s="17">
        <f t="shared" si="356"/>
        <v>0</v>
      </c>
      <c r="X379" s="17">
        <f t="shared" si="357"/>
        <v>0</v>
      </c>
      <c r="Y379" s="17">
        <f>IF(MOD(A379,12)=0,W379*'1 - Input'!$B$23,0)</f>
        <v>0</v>
      </c>
      <c r="Z379" s="17">
        <f t="shared" si="358"/>
        <v>0</v>
      </c>
      <c r="AA379" s="17">
        <f>IF(MOD(A379,12)=0,X379*(1-'1 - Input'!$B$23),X379)</f>
        <v>0</v>
      </c>
      <c r="AB379" s="17">
        <f>IF('1 - Input'!$B$17=1,MIN(L379,D379)+T379,L379)</f>
        <v>0</v>
      </c>
      <c r="AC379" s="17">
        <f t="shared" si="392"/>
        <v>590482.93849429931</v>
      </c>
      <c r="AD379" s="17">
        <f t="shared" si="393"/>
        <v>101441.90180685223</v>
      </c>
      <c r="AE379" s="17">
        <f t="shared" si="394"/>
        <v>0</v>
      </c>
      <c r="AF379" s="17">
        <f t="shared" si="395"/>
        <v>174289.24056370757</v>
      </c>
      <c r="AG379" s="17">
        <f t="shared" si="396"/>
        <v>8123.5662772395826</v>
      </c>
      <c r="AH379" s="17">
        <f t="shared" si="397"/>
        <v>609976.27550746105</v>
      </c>
      <c r="AI379" s="15">
        <f t="shared" si="359"/>
        <v>1</v>
      </c>
      <c r="AK379" s="14">
        <v>336</v>
      </c>
      <c r="AL379" s="15">
        <f t="shared" si="360"/>
        <v>28</v>
      </c>
      <c r="AM379" s="16">
        <f>(1+INDEX('1 - Input'!$B$34:$E$63,AL379,'1 - Input'!$B$16))^(1/12)-1</f>
        <v>4.1219243192651689E-3</v>
      </c>
      <c r="AN379" s="17">
        <f>'1 - Input'!$B$7*(1+'1 - Input'!$B$12)^(AL379-1)</f>
        <v>4608.5934869309822</v>
      </c>
      <c r="AO379" s="17">
        <f t="shared" si="398"/>
        <v>0</v>
      </c>
      <c r="AP379" s="17">
        <f t="shared" si="399"/>
        <v>0</v>
      </c>
      <c r="AQ379" s="17">
        <f t="shared" si="361"/>
        <v>0</v>
      </c>
      <c r="AR379" s="17">
        <f>IF(AQ379&gt;0,'1 - Input'!$B$8/12*AQ379,0)</f>
        <v>0</v>
      </c>
      <c r="AS379" s="17">
        <f t="shared" si="362"/>
        <v>0</v>
      </c>
      <c r="AT379" s="17">
        <f t="shared" si="363"/>
        <v>0</v>
      </c>
      <c r="AU379" s="17">
        <f>'1 - Input'!$B$22*(AR379-AT379)</f>
        <v>0</v>
      </c>
      <c r="AV379" s="17">
        <f t="shared" si="364"/>
        <v>0</v>
      </c>
      <c r="AW379" s="17">
        <f t="shared" si="365"/>
        <v>0</v>
      </c>
      <c r="AX379" s="17">
        <f>IF('1 - Input'!$B$17=1,MAX(0,AV379-AN379),0)</f>
        <v>0</v>
      </c>
      <c r="AY379" s="17">
        <f>IF('1 - Input'!$B$17=1,MAX(0,AN379-AV379),0)</f>
        <v>4608.5934869309822</v>
      </c>
      <c r="AZ379" s="17">
        <f t="shared" si="366"/>
        <v>0</v>
      </c>
      <c r="BA379" s="17">
        <f>IF(AND(AY379&gt;0,AS379&gt;0),AY379/(1-'1 - Input'!$B$22*AZ379),0)</f>
        <v>0</v>
      </c>
      <c r="BB379" s="17">
        <f t="shared" si="367"/>
        <v>0</v>
      </c>
      <c r="BC379" s="17">
        <f>'1 - Input'!$B$22*AZ379*BB379</f>
        <v>0</v>
      </c>
      <c r="BD379" s="17">
        <f t="shared" si="368"/>
        <v>0</v>
      </c>
      <c r="BE379" s="17">
        <f t="shared" si="369"/>
        <v>4608.5934869309822</v>
      </c>
      <c r="BF379" s="17">
        <f t="shared" si="370"/>
        <v>0</v>
      </c>
      <c r="BG379" s="17">
        <f t="shared" si="371"/>
        <v>0</v>
      </c>
      <c r="BH379" s="17">
        <f t="shared" si="372"/>
        <v>0</v>
      </c>
      <c r="BI379" s="17">
        <f>IF(MOD(AK379,12)=0,BG379*'1 - Input'!$B$23,0)</f>
        <v>0</v>
      </c>
      <c r="BJ379" s="17">
        <f t="shared" si="373"/>
        <v>0</v>
      </c>
      <c r="BK379" s="17">
        <f>IF(MOD(AK379,12)=0,BH379*(1-'1 - Input'!$B$23),BH379)</f>
        <v>0</v>
      </c>
      <c r="BL379" s="17">
        <f>IF('1 - Input'!$B$17=1,MIN(AV379,AN379)+BD379,AV379)</f>
        <v>0</v>
      </c>
      <c r="BM379" s="17">
        <f t="shared" si="400"/>
        <v>590482.93849429931</v>
      </c>
      <c r="BN379" s="17">
        <f t="shared" si="401"/>
        <v>101441.90180685223</v>
      </c>
      <c r="BO379" s="17">
        <f t="shared" si="402"/>
        <v>0</v>
      </c>
      <c r="BP379" s="17">
        <f t="shared" si="403"/>
        <v>174289.24056370757</v>
      </c>
      <c r="BQ379" s="17">
        <f t="shared" si="404"/>
        <v>8123.5662772395826</v>
      </c>
      <c r="BR379" s="17">
        <f t="shared" si="405"/>
        <v>609976.27550746105</v>
      </c>
      <c r="BS379" s="15">
        <f t="shared" si="374"/>
        <v>1</v>
      </c>
      <c r="BU379" s="14">
        <v>336</v>
      </c>
      <c r="BV379" s="15">
        <f t="shared" si="375"/>
        <v>28</v>
      </c>
      <c r="BW379" s="16">
        <f>(1+INDEX('1 - Input'!$B$34:$E$63,BV379,'1 - Input'!$B$16))^(1/12)-1</f>
        <v>4.1219243192651689E-3</v>
      </c>
      <c r="BX379" s="17">
        <f>'1 - Input'!$B$7*(1+'1 - Input'!$B$12)^(BV379-1)</f>
        <v>4608.5934869309822</v>
      </c>
      <c r="BY379" s="17">
        <f t="shared" si="406"/>
        <v>0</v>
      </c>
      <c r="BZ379" s="17">
        <f t="shared" si="407"/>
        <v>0</v>
      </c>
      <c r="CA379" s="17">
        <f t="shared" si="376"/>
        <v>0</v>
      </c>
      <c r="CB379" s="17">
        <f>IF(CA379&gt;0,'1 - Input'!$B$8/12*CA379,0)</f>
        <v>0</v>
      </c>
      <c r="CC379" s="17">
        <f t="shared" si="377"/>
        <v>0</v>
      </c>
      <c r="CD379" s="17">
        <f t="shared" si="378"/>
        <v>0</v>
      </c>
      <c r="CE379" s="17">
        <f>'1 - Input'!$B$22*(CB379-CD379)</f>
        <v>0</v>
      </c>
      <c r="CF379" s="17">
        <f t="shared" si="379"/>
        <v>0</v>
      </c>
      <c r="CG379" s="17">
        <f t="shared" si="380"/>
        <v>0</v>
      </c>
      <c r="CH379" s="17">
        <f>IF('1 - Input'!$B$17=1,MAX(0,CF379-BX379),0)</f>
        <v>0</v>
      </c>
      <c r="CI379" s="17">
        <f>IF('1 - Input'!$B$17=1,MAX(0,BX379-CF379),0)</f>
        <v>4608.5934869309822</v>
      </c>
      <c r="CJ379" s="17">
        <f t="shared" si="381"/>
        <v>0</v>
      </c>
      <c r="CK379" s="17">
        <f>IF(AND(CI379&gt;0,CC379&gt;0),CI379/(1-'1 - Input'!$B$22*CJ379),0)</f>
        <v>0</v>
      </c>
      <c r="CL379" s="17">
        <f t="shared" si="382"/>
        <v>0</v>
      </c>
      <c r="CM379" s="17">
        <f>'1 - Input'!$B$22*CJ379*CL379</f>
        <v>0</v>
      </c>
      <c r="CN379" s="17">
        <f t="shared" si="383"/>
        <v>0</v>
      </c>
      <c r="CO379" s="17">
        <f t="shared" si="384"/>
        <v>4608.5934869309822</v>
      </c>
      <c r="CP379" s="17">
        <f t="shared" si="385"/>
        <v>0</v>
      </c>
      <c r="CQ379" s="17">
        <f t="shared" si="386"/>
        <v>0</v>
      </c>
      <c r="CR379" s="17">
        <f t="shared" si="387"/>
        <v>0</v>
      </c>
      <c r="CS379" s="17">
        <f>IF(MOD(BU379,12)=0,CQ379*'1 - Input'!$B$23,0)</f>
        <v>0</v>
      </c>
      <c r="CT379" s="17">
        <f t="shared" si="388"/>
        <v>0</v>
      </c>
      <c r="CU379" s="17">
        <f>IF(MOD(BU379,12)=0,CR379*(1-'1 - Input'!$B$23),CR379)</f>
        <v>0</v>
      </c>
      <c r="CV379" s="17">
        <f>IF('1 - Input'!$B$17=1,MIN(CF379,BX379)+CN379,CF379)</f>
        <v>0</v>
      </c>
      <c r="CW379" s="17">
        <f t="shared" si="408"/>
        <v>686605.50041273201</v>
      </c>
      <c r="CX379" s="17">
        <f t="shared" si="409"/>
        <v>6018.3402768167462</v>
      </c>
      <c r="CY379" s="17">
        <f t="shared" si="410"/>
        <v>66518.776160328038</v>
      </c>
      <c r="CZ379" s="17">
        <f t="shared" si="411"/>
        <v>0</v>
      </c>
      <c r="DA379" s="17">
        <f t="shared" si="412"/>
        <v>10954.114452440983</v>
      </c>
      <c r="DB379" s="17">
        <f t="shared" si="413"/>
        <v>513853.71358903032</v>
      </c>
      <c r="DC379" s="15">
        <f t="shared" si="389"/>
        <v>1</v>
      </c>
    </row>
    <row r="380" spans="1:107">
      <c r="A380" s="14">
        <v>337</v>
      </c>
      <c r="B380" s="15">
        <f t="shared" si="345"/>
        <v>29</v>
      </c>
      <c r="C380" s="16">
        <f>(1+INDEX('1 - Input'!$B$34:$E$63,B380,'1 - Input'!$B$16))^(1/12)-1</f>
        <v>4.1219243192651689E-3</v>
      </c>
      <c r="D380" s="17">
        <f>'1 - Input'!$B$7*(1+'1 - Input'!$B$12)^(B380-1)</f>
        <v>4700.7653566696026</v>
      </c>
      <c r="E380" s="17">
        <f t="shared" si="390"/>
        <v>0</v>
      </c>
      <c r="F380" s="17">
        <f t="shared" si="391"/>
        <v>0</v>
      </c>
      <c r="G380" s="17">
        <f t="shared" si="346"/>
        <v>0</v>
      </c>
      <c r="H380" s="17">
        <f>IF(G380&gt;0,'1 - Input'!$B$8/12*G380,0)</f>
        <v>0</v>
      </c>
      <c r="I380" s="17">
        <f t="shared" si="347"/>
        <v>0</v>
      </c>
      <c r="J380" s="17">
        <f t="shared" si="348"/>
        <v>0</v>
      </c>
      <c r="K380" s="17">
        <f>'1 - Input'!$B$22*(H380-J380)</f>
        <v>0</v>
      </c>
      <c r="L380" s="17">
        <f t="shared" si="349"/>
        <v>0</v>
      </c>
      <c r="M380" s="17">
        <f t="shared" si="350"/>
        <v>0</v>
      </c>
      <c r="N380" s="17">
        <f>IF('1 - Input'!$B$17=1,MAX(0,L380-D380),0)</f>
        <v>0</v>
      </c>
      <c r="O380" s="17">
        <f>IF('1 - Input'!$B$17=1,MAX(0,D380-L380),0)</f>
        <v>4700.7653566696026</v>
      </c>
      <c r="P380" s="17">
        <f t="shared" si="351"/>
        <v>0</v>
      </c>
      <c r="Q380" s="17">
        <f>IF(AND(O380&gt;0,I380&gt;0),O380/(1-'1 - Input'!$B$22*P380),0)</f>
        <v>0</v>
      </c>
      <c r="R380" s="17">
        <f t="shared" si="352"/>
        <v>0</v>
      </c>
      <c r="S380" s="17">
        <f>'1 - Input'!$B$22*P380*R380</f>
        <v>0</v>
      </c>
      <c r="T380" s="17">
        <f t="shared" si="353"/>
        <v>0</v>
      </c>
      <c r="U380" s="17">
        <f t="shared" si="354"/>
        <v>4700.7653566696026</v>
      </c>
      <c r="V380" s="17">
        <f t="shared" si="355"/>
        <v>0</v>
      </c>
      <c r="W380" s="17">
        <f t="shared" si="356"/>
        <v>0</v>
      </c>
      <c r="X380" s="17">
        <f t="shared" si="357"/>
        <v>0</v>
      </c>
      <c r="Y380" s="17">
        <f>IF(MOD(A380,12)=0,W380*'1 - Input'!$B$23,0)</f>
        <v>0</v>
      </c>
      <c r="Z380" s="17">
        <f t="shared" si="358"/>
        <v>0</v>
      </c>
      <c r="AA380" s="17">
        <f>IF(MOD(A380,12)=0,X380*(1-'1 - Input'!$B$23),X380)</f>
        <v>0</v>
      </c>
      <c r="AB380" s="17">
        <f>IF('1 - Input'!$B$17=1,MIN(L380,D380)+T380,L380)</f>
        <v>0</v>
      </c>
      <c r="AC380" s="17">
        <f t="shared" si="392"/>
        <v>590482.93849429931</v>
      </c>
      <c r="AD380" s="17">
        <f t="shared" si="393"/>
        <v>101441.90180685223</v>
      </c>
      <c r="AE380" s="17">
        <f t="shared" si="394"/>
        <v>0</v>
      </c>
      <c r="AF380" s="17">
        <f t="shared" si="395"/>
        <v>174289.24056370757</v>
      </c>
      <c r="AG380" s="17">
        <f t="shared" si="396"/>
        <v>8123.5662772395826</v>
      </c>
      <c r="AH380" s="17">
        <f t="shared" si="397"/>
        <v>614677.0408641306</v>
      </c>
      <c r="AI380" s="15">
        <f t="shared" si="359"/>
        <v>1</v>
      </c>
      <c r="AK380" s="14">
        <v>337</v>
      </c>
      <c r="AL380" s="15">
        <f t="shared" si="360"/>
        <v>29</v>
      </c>
      <c r="AM380" s="16">
        <f>(1+INDEX('1 - Input'!$B$34:$E$63,AL380,'1 - Input'!$B$16))^(1/12)-1</f>
        <v>4.1219243192651689E-3</v>
      </c>
      <c r="AN380" s="17">
        <f>'1 - Input'!$B$7*(1+'1 - Input'!$B$12)^(AL380-1)</f>
        <v>4700.7653566696026</v>
      </c>
      <c r="AO380" s="17">
        <f t="shared" si="398"/>
        <v>0</v>
      </c>
      <c r="AP380" s="17">
        <f t="shared" si="399"/>
        <v>0</v>
      </c>
      <c r="AQ380" s="17">
        <f t="shared" si="361"/>
        <v>0</v>
      </c>
      <c r="AR380" s="17">
        <f>IF(AQ380&gt;0,'1 - Input'!$B$8/12*AQ380,0)</f>
        <v>0</v>
      </c>
      <c r="AS380" s="17">
        <f t="shared" si="362"/>
        <v>0</v>
      </c>
      <c r="AT380" s="17">
        <f t="shared" si="363"/>
        <v>0</v>
      </c>
      <c r="AU380" s="17">
        <f>'1 - Input'!$B$22*(AR380-AT380)</f>
        <v>0</v>
      </c>
      <c r="AV380" s="17">
        <f t="shared" si="364"/>
        <v>0</v>
      </c>
      <c r="AW380" s="17">
        <f t="shared" si="365"/>
        <v>0</v>
      </c>
      <c r="AX380" s="17">
        <f>IF('1 - Input'!$B$17=1,MAX(0,AV380-AN380),0)</f>
        <v>0</v>
      </c>
      <c r="AY380" s="17">
        <f>IF('1 - Input'!$B$17=1,MAX(0,AN380-AV380),0)</f>
        <v>4700.7653566696026</v>
      </c>
      <c r="AZ380" s="17">
        <f t="shared" si="366"/>
        <v>0</v>
      </c>
      <c r="BA380" s="17">
        <f>IF(AND(AY380&gt;0,AS380&gt;0),AY380/(1-'1 - Input'!$B$22*AZ380),0)</f>
        <v>0</v>
      </c>
      <c r="BB380" s="17">
        <f t="shared" si="367"/>
        <v>0</v>
      </c>
      <c r="BC380" s="17">
        <f>'1 - Input'!$B$22*AZ380*BB380</f>
        <v>0</v>
      </c>
      <c r="BD380" s="17">
        <f t="shared" si="368"/>
        <v>0</v>
      </c>
      <c r="BE380" s="17">
        <f t="shared" si="369"/>
        <v>4700.7653566696026</v>
      </c>
      <c r="BF380" s="17">
        <f t="shared" si="370"/>
        <v>0</v>
      </c>
      <c r="BG380" s="17">
        <f t="shared" si="371"/>
        <v>0</v>
      </c>
      <c r="BH380" s="17">
        <f t="shared" si="372"/>
        <v>0</v>
      </c>
      <c r="BI380" s="17">
        <f>IF(MOD(AK380,12)=0,BG380*'1 - Input'!$B$23,0)</f>
        <v>0</v>
      </c>
      <c r="BJ380" s="17">
        <f t="shared" si="373"/>
        <v>0</v>
      </c>
      <c r="BK380" s="17">
        <f>IF(MOD(AK380,12)=0,BH380*(1-'1 - Input'!$B$23),BH380)</f>
        <v>0</v>
      </c>
      <c r="BL380" s="17">
        <f>IF('1 - Input'!$B$17=1,MIN(AV380,AN380)+BD380,AV380)</f>
        <v>0</v>
      </c>
      <c r="BM380" s="17">
        <f t="shared" si="400"/>
        <v>590482.93849429931</v>
      </c>
      <c r="BN380" s="17">
        <f t="shared" si="401"/>
        <v>101441.90180685223</v>
      </c>
      <c r="BO380" s="17">
        <f t="shared" si="402"/>
        <v>0</v>
      </c>
      <c r="BP380" s="17">
        <f t="shared" si="403"/>
        <v>174289.24056370757</v>
      </c>
      <c r="BQ380" s="17">
        <f t="shared" si="404"/>
        <v>8123.5662772395826</v>
      </c>
      <c r="BR380" s="17">
        <f t="shared" si="405"/>
        <v>614677.0408641306</v>
      </c>
      <c r="BS380" s="15">
        <f t="shared" si="374"/>
        <v>1</v>
      </c>
      <c r="BU380" s="14">
        <v>337</v>
      </c>
      <c r="BV380" s="15">
        <f t="shared" si="375"/>
        <v>29</v>
      </c>
      <c r="BW380" s="16">
        <f>(1+INDEX('1 - Input'!$B$34:$E$63,BV380,'1 - Input'!$B$16))^(1/12)-1</f>
        <v>4.1219243192651689E-3</v>
      </c>
      <c r="BX380" s="17">
        <f>'1 - Input'!$B$7*(1+'1 - Input'!$B$12)^(BV380-1)</f>
        <v>4700.7653566696026</v>
      </c>
      <c r="BY380" s="17">
        <f t="shared" si="406"/>
        <v>0</v>
      </c>
      <c r="BZ380" s="17">
        <f t="shared" si="407"/>
        <v>0</v>
      </c>
      <c r="CA380" s="17">
        <f t="shared" si="376"/>
        <v>0</v>
      </c>
      <c r="CB380" s="17">
        <f>IF(CA380&gt;0,'1 - Input'!$B$8/12*CA380,0)</f>
        <v>0</v>
      </c>
      <c r="CC380" s="17">
        <f t="shared" si="377"/>
        <v>0</v>
      </c>
      <c r="CD380" s="17">
        <f t="shared" si="378"/>
        <v>0</v>
      </c>
      <c r="CE380" s="17">
        <f>'1 - Input'!$B$22*(CB380-CD380)</f>
        <v>0</v>
      </c>
      <c r="CF380" s="17">
        <f t="shared" si="379"/>
        <v>0</v>
      </c>
      <c r="CG380" s="17">
        <f t="shared" si="380"/>
        <v>0</v>
      </c>
      <c r="CH380" s="17">
        <f>IF('1 - Input'!$B$17=1,MAX(0,CF380-BX380),0)</f>
        <v>0</v>
      </c>
      <c r="CI380" s="17">
        <f>IF('1 - Input'!$B$17=1,MAX(0,BX380-CF380),0)</f>
        <v>4700.7653566696026</v>
      </c>
      <c r="CJ380" s="17">
        <f t="shared" si="381"/>
        <v>0</v>
      </c>
      <c r="CK380" s="17">
        <f>IF(AND(CI380&gt;0,CC380&gt;0),CI380/(1-'1 - Input'!$B$22*CJ380),0)</f>
        <v>0</v>
      </c>
      <c r="CL380" s="17">
        <f t="shared" si="382"/>
        <v>0</v>
      </c>
      <c r="CM380" s="17">
        <f>'1 - Input'!$B$22*CJ380*CL380</f>
        <v>0</v>
      </c>
      <c r="CN380" s="17">
        <f t="shared" si="383"/>
        <v>0</v>
      </c>
      <c r="CO380" s="17">
        <f t="shared" si="384"/>
        <v>4700.7653566696026</v>
      </c>
      <c r="CP380" s="17">
        <f t="shared" si="385"/>
        <v>0</v>
      </c>
      <c r="CQ380" s="17">
        <f t="shared" si="386"/>
        <v>0</v>
      </c>
      <c r="CR380" s="17">
        <f t="shared" si="387"/>
        <v>0</v>
      </c>
      <c r="CS380" s="17">
        <f>IF(MOD(BU380,12)=0,CQ380*'1 - Input'!$B$23,0)</f>
        <v>0</v>
      </c>
      <c r="CT380" s="17">
        <f t="shared" si="388"/>
        <v>0</v>
      </c>
      <c r="CU380" s="17">
        <f>IF(MOD(BU380,12)=0,CR380*(1-'1 - Input'!$B$23),CR380)</f>
        <v>0</v>
      </c>
      <c r="CV380" s="17">
        <f>IF('1 - Input'!$B$17=1,MIN(CF380,BX380)+CN380,CF380)</f>
        <v>0</v>
      </c>
      <c r="CW380" s="17">
        <f t="shared" si="408"/>
        <v>686605.50041273201</v>
      </c>
      <c r="CX380" s="17">
        <f t="shared" si="409"/>
        <v>6018.3402768167462</v>
      </c>
      <c r="CY380" s="17">
        <f t="shared" si="410"/>
        <v>66518.776160328038</v>
      </c>
      <c r="CZ380" s="17">
        <f t="shared" si="411"/>
        <v>0</v>
      </c>
      <c r="DA380" s="17">
        <f t="shared" si="412"/>
        <v>10954.114452440983</v>
      </c>
      <c r="DB380" s="17">
        <f t="shared" si="413"/>
        <v>518554.47894569993</v>
      </c>
      <c r="DC380" s="15">
        <f t="shared" si="389"/>
        <v>1</v>
      </c>
    </row>
    <row r="381" spans="1:107">
      <c r="A381" s="14">
        <v>338</v>
      </c>
      <c r="B381" s="15">
        <f t="shared" si="345"/>
        <v>29</v>
      </c>
      <c r="C381" s="16">
        <f>(1+INDEX('1 - Input'!$B$34:$E$63,B381,'1 - Input'!$B$16))^(1/12)-1</f>
        <v>4.1219243192651689E-3</v>
      </c>
      <c r="D381" s="17">
        <f>'1 - Input'!$B$7*(1+'1 - Input'!$B$12)^(B381-1)</f>
        <v>4700.7653566696026</v>
      </c>
      <c r="E381" s="17">
        <f t="shared" si="390"/>
        <v>0</v>
      </c>
      <c r="F381" s="17">
        <f t="shared" si="391"/>
        <v>0</v>
      </c>
      <c r="G381" s="17">
        <f t="shared" si="346"/>
        <v>0</v>
      </c>
      <c r="H381" s="17">
        <f>IF(G381&gt;0,'1 - Input'!$B$8/12*G381,0)</f>
        <v>0</v>
      </c>
      <c r="I381" s="17">
        <f t="shared" si="347"/>
        <v>0</v>
      </c>
      <c r="J381" s="17">
        <f t="shared" si="348"/>
        <v>0</v>
      </c>
      <c r="K381" s="17">
        <f>'1 - Input'!$B$22*(H381-J381)</f>
        <v>0</v>
      </c>
      <c r="L381" s="17">
        <f t="shared" si="349"/>
        <v>0</v>
      </c>
      <c r="M381" s="17">
        <f t="shared" si="350"/>
        <v>0</v>
      </c>
      <c r="N381" s="17">
        <f>IF('1 - Input'!$B$17=1,MAX(0,L381-D381),0)</f>
        <v>0</v>
      </c>
      <c r="O381" s="17">
        <f>IF('1 - Input'!$B$17=1,MAX(0,D381-L381),0)</f>
        <v>4700.7653566696026</v>
      </c>
      <c r="P381" s="17">
        <f t="shared" si="351"/>
        <v>0</v>
      </c>
      <c r="Q381" s="17">
        <f>IF(AND(O381&gt;0,I381&gt;0),O381/(1-'1 - Input'!$B$22*P381),0)</f>
        <v>0</v>
      </c>
      <c r="R381" s="17">
        <f t="shared" si="352"/>
        <v>0</v>
      </c>
      <c r="S381" s="17">
        <f>'1 - Input'!$B$22*P381*R381</f>
        <v>0</v>
      </c>
      <c r="T381" s="17">
        <f t="shared" si="353"/>
        <v>0</v>
      </c>
      <c r="U381" s="17">
        <f t="shared" si="354"/>
        <v>4700.7653566696026</v>
      </c>
      <c r="V381" s="17">
        <f t="shared" si="355"/>
        <v>0</v>
      </c>
      <c r="W381" s="17">
        <f t="shared" si="356"/>
        <v>0</v>
      </c>
      <c r="X381" s="17">
        <f t="shared" si="357"/>
        <v>0</v>
      </c>
      <c r="Y381" s="17">
        <f>IF(MOD(A381,12)=0,W381*'1 - Input'!$B$23,0)</f>
        <v>0</v>
      </c>
      <c r="Z381" s="17">
        <f t="shared" si="358"/>
        <v>0</v>
      </c>
      <c r="AA381" s="17">
        <f>IF(MOD(A381,12)=0,X381*(1-'1 - Input'!$B$23),X381)</f>
        <v>0</v>
      </c>
      <c r="AB381" s="17">
        <f>IF('1 - Input'!$B$17=1,MIN(L381,D381)+T381,L381)</f>
        <v>0</v>
      </c>
      <c r="AC381" s="17">
        <f t="shared" si="392"/>
        <v>590482.93849429931</v>
      </c>
      <c r="AD381" s="17">
        <f t="shared" si="393"/>
        <v>101441.90180685223</v>
      </c>
      <c r="AE381" s="17">
        <f t="shared" si="394"/>
        <v>0</v>
      </c>
      <c r="AF381" s="17">
        <f t="shared" si="395"/>
        <v>174289.24056370757</v>
      </c>
      <c r="AG381" s="17">
        <f t="shared" si="396"/>
        <v>8123.5662772395826</v>
      </c>
      <c r="AH381" s="17">
        <f t="shared" si="397"/>
        <v>619377.80622080015</v>
      </c>
      <c r="AI381" s="15">
        <f t="shared" si="359"/>
        <v>1</v>
      </c>
      <c r="AK381" s="14">
        <v>338</v>
      </c>
      <c r="AL381" s="15">
        <f t="shared" si="360"/>
        <v>29</v>
      </c>
      <c r="AM381" s="16">
        <f>(1+INDEX('1 - Input'!$B$34:$E$63,AL381,'1 - Input'!$B$16))^(1/12)-1</f>
        <v>4.1219243192651689E-3</v>
      </c>
      <c r="AN381" s="17">
        <f>'1 - Input'!$B$7*(1+'1 - Input'!$B$12)^(AL381-1)</f>
        <v>4700.7653566696026</v>
      </c>
      <c r="AO381" s="17">
        <f t="shared" si="398"/>
        <v>0</v>
      </c>
      <c r="AP381" s="17">
        <f t="shared" si="399"/>
        <v>0</v>
      </c>
      <c r="AQ381" s="17">
        <f t="shared" si="361"/>
        <v>0</v>
      </c>
      <c r="AR381" s="17">
        <f>IF(AQ381&gt;0,'1 - Input'!$B$8/12*AQ381,0)</f>
        <v>0</v>
      </c>
      <c r="AS381" s="17">
        <f t="shared" si="362"/>
        <v>0</v>
      </c>
      <c r="AT381" s="17">
        <f t="shared" si="363"/>
        <v>0</v>
      </c>
      <c r="AU381" s="17">
        <f>'1 - Input'!$B$22*(AR381-AT381)</f>
        <v>0</v>
      </c>
      <c r="AV381" s="17">
        <f t="shared" si="364"/>
        <v>0</v>
      </c>
      <c r="AW381" s="17">
        <f t="shared" si="365"/>
        <v>0</v>
      </c>
      <c r="AX381" s="17">
        <f>IF('1 - Input'!$B$17=1,MAX(0,AV381-AN381),0)</f>
        <v>0</v>
      </c>
      <c r="AY381" s="17">
        <f>IF('1 - Input'!$B$17=1,MAX(0,AN381-AV381),0)</f>
        <v>4700.7653566696026</v>
      </c>
      <c r="AZ381" s="17">
        <f t="shared" si="366"/>
        <v>0</v>
      </c>
      <c r="BA381" s="17">
        <f>IF(AND(AY381&gt;0,AS381&gt;0),AY381/(1-'1 - Input'!$B$22*AZ381),0)</f>
        <v>0</v>
      </c>
      <c r="BB381" s="17">
        <f t="shared" si="367"/>
        <v>0</v>
      </c>
      <c r="BC381" s="17">
        <f>'1 - Input'!$B$22*AZ381*BB381</f>
        <v>0</v>
      </c>
      <c r="BD381" s="17">
        <f t="shared" si="368"/>
        <v>0</v>
      </c>
      <c r="BE381" s="17">
        <f t="shared" si="369"/>
        <v>4700.7653566696026</v>
      </c>
      <c r="BF381" s="17">
        <f t="shared" si="370"/>
        <v>0</v>
      </c>
      <c r="BG381" s="17">
        <f t="shared" si="371"/>
        <v>0</v>
      </c>
      <c r="BH381" s="17">
        <f t="shared" si="372"/>
        <v>0</v>
      </c>
      <c r="BI381" s="17">
        <f>IF(MOD(AK381,12)=0,BG381*'1 - Input'!$B$23,0)</f>
        <v>0</v>
      </c>
      <c r="BJ381" s="17">
        <f t="shared" si="373"/>
        <v>0</v>
      </c>
      <c r="BK381" s="17">
        <f>IF(MOD(AK381,12)=0,BH381*(1-'1 - Input'!$B$23),BH381)</f>
        <v>0</v>
      </c>
      <c r="BL381" s="17">
        <f>IF('1 - Input'!$B$17=1,MIN(AV381,AN381)+BD381,AV381)</f>
        <v>0</v>
      </c>
      <c r="BM381" s="17">
        <f t="shared" si="400"/>
        <v>590482.93849429931</v>
      </c>
      <c r="BN381" s="17">
        <f t="shared" si="401"/>
        <v>101441.90180685223</v>
      </c>
      <c r="BO381" s="17">
        <f t="shared" si="402"/>
        <v>0</v>
      </c>
      <c r="BP381" s="17">
        <f t="shared" si="403"/>
        <v>174289.24056370757</v>
      </c>
      <c r="BQ381" s="17">
        <f t="shared" si="404"/>
        <v>8123.5662772395826</v>
      </c>
      <c r="BR381" s="17">
        <f t="shared" si="405"/>
        <v>619377.80622080015</v>
      </c>
      <c r="BS381" s="15">
        <f t="shared" si="374"/>
        <v>1</v>
      </c>
      <c r="BU381" s="14">
        <v>338</v>
      </c>
      <c r="BV381" s="15">
        <f t="shared" si="375"/>
        <v>29</v>
      </c>
      <c r="BW381" s="16">
        <f>(1+INDEX('1 - Input'!$B$34:$E$63,BV381,'1 - Input'!$B$16))^(1/12)-1</f>
        <v>4.1219243192651689E-3</v>
      </c>
      <c r="BX381" s="17">
        <f>'1 - Input'!$B$7*(1+'1 - Input'!$B$12)^(BV381-1)</f>
        <v>4700.7653566696026</v>
      </c>
      <c r="BY381" s="17">
        <f t="shared" si="406"/>
        <v>0</v>
      </c>
      <c r="BZ381" s="17">
        <f t="shared" si="407"/>
        <v>0</v>
      </c>
      <c r="CA381" s="17">
        <f t="shared" si="376"/>
        <v>0</v>
      </c>
      <c r="CB381" s="17">
        <f>IF(CA381&gt;0,'1 - Input'!$B$8/12*CA381,0)</f>
        <v>0</v>
      </c>
      <c r="CC381" s="17">
        <f t="shared" si="377"/>
        <v>0</v>
      </c>
      <c r="CD381" s="17">
        <f t="shared" si="378"/>
        <v>0</v>
      </c>
      <c r="CE381" s="17">
        <f>'1 - Input'!$B$22*(CB381-CD381)</f>
        <v>0</v>
      </c>
      <c r="CF381" s="17">
        <f t="shared" si="379"/>
        <v>0</v>
      </c>
      <c r="CG381" s="17">
        <f t="shared" si="380"/>
        <v>0</v>
      </c>
      <c r="CH381" s="17">
        <f>IF('1 - Input'!$B$17=1,MAX(0,CF381-BX381),0)</f>
        <v>0</v>
      </c>
      <c r="CI381" s="17">
        <f>IF('1 - Input'!$B$17=1,MAX(0,BX381-CF381),0)</f>
        <v>4700.7653566696026</v>
      </c>
      <c r="CJ381" s="17">
        <f t="shared" si="381"/>
        <v>0</v>
      </c>
      <c r="CK381" s="17">
        <f>IF(AND(CI381&gt;0,CC381&gt;0),CI381/(1-'1 - Input'!$B$22*CJ381),0)</f>
        <v>0</v>
      </c>
      <c r="CL381" s="17">
        <f t="shared" si="382"/>
        <v>0</v>
      </c>
      <c r="CM381" s="17">
        <f>'1 - Input'!$B$22*CJ381*CL381</f>
        <v>0</v>
      </c>
      <c r="CN381" s="17">
        <f t="shared" si="383"/>
        <v>0</v>
      </c>
      <c r="CO381" s="17">
        <f t="shared" si="384"/>
        <v>4700.7653566696026</v>
      </c>
      <c r="CP381" s="17">
        <f t="shared" si="385"/>
        <v>0</v>
      </c>
      <c r="CQ381" s="17">
        <f t="shared" si="386"/>
        <v>0</v>
      </c>
      <c r="CR381" s="17">
        <f t="shared" si="387"/>
        <v>0</v>
      </c>
      <c r="CS381" s="17">
        <f>IF(MOD(BU381,12)=0,CQ381*'1 - Input'!$B$23,0)</f>
        <v>0</v>
      </c>
      <c r="CT381" s="17">
        <f t="shared" si="388"/>
        <v>0</v>
      </c>
      <c r="CU381" s="17">
        <f>IF(MOD(BU381,12)=0,CR381*(1-'1 - Input'!$B$23),CR381)</f>
        <v>0</v>
      </c>
      <c r="CV381" s="17">
        <f>IF('1 - Input'!$B$17=1,MIN(CF381,BX381)+CN381,CF381)</f>
        <v>0</v>
      </c>
      <c r="CW381" s="17">
        <f t="shared" si="408"/>
        <v>686605.50041273201</v>
      </c>
      <c r="CX381" s="17">
        <f t="shared" si="409"/>
        <v>6018.3402768167462</v>
      </c>
      <c r="CY381" s="17">
        <f t="shared" si="410"/>
        <v>66518.776160328038</v>
      </c>
      <c r="CZ381" s="17">
        <f t="shared" si="411"/>
        <v>0</v>
      </c>
      <c r="DA381" s="17">
        <f t="shared" si="412"/>
        <v>10954.114452440983</v>
      </c>
      <c r="DB381" s="17">
        <f t="shared" si="413"/>
        <v>523255.24430236954</v>
      </c>
      <c r="DC381" s="15">
        <f t="shared" si="389"/>
        <v>1</v>
      </c>
    </row>
    <row r="382" spans="1:107">
      <c r="A382" s="14">
        <v>339</v>
      </c>
      <c r="B382" s="15">
        <f t="shared" si="345"/>
        <v>29</v>
      </c>
      <c r="C382" s="16">
        <f>(1+INDEX('1 - Input'!$B$34:$E$63,B382,'1 - Input'!$B$16))^(1/12)-1</f>
        <v>4.1219243192651689E-3</v>
      </c>
      <c r="D382" s="17">
        <f>'1 - Input'!$B$7*(1+'1 - Input'!$B$12)^(B382-1)</f>
        <v>4700.7653566696026</v>
      </c>
      <c r="E382" s="17">
        <f t="shared" si="390"/>
        <v>0</v>
      </c>
      <c r="F382" s="17">
        <f t="shared" si="391"/>
        <v>0</v>
      </c>
      <c r="G382" s="17">
        <f t="shared" si="346"/>
        <v>0</v>
      </c>
      <c r="H382" s="17">
        <f>IF(G382&gt;0,'1 - Input'!$B$8/12*G382,0)</f>
        <v>0</v>
      </c>
      <c r="I382" s="17">
        <f t="shared" si="347"/>
        <v>0</v>
      </c>
      <c r="J382" s="17">
        <f t="shared" si="348"/>
        <v>0</v>
      </c>
      <c r="K382" s="17">
        <f>'1 - Input'!$B$22*(H382-J382)</f>
        <v>0</v>
      </c>
      <c r="L382" s="17">
        <f t="shared" si="349"/>
        <v>0</v>
      </c>
      <c r="M382" s="17">
        <f t="shared" si="350"/>
        <v>0</v>
      </c>
      <c r="N382" s="17">
        <f>IF('1 - Input'!$B$17=1,MAX(0,L382-D382),0)</f>
        <v>0</v>
      </c>
      <c r="O382" s="17">
        <f>IF('1 - Input'!$B$17=1,MAX(0,D382-L382),0)</f>
        <v>4700.7653566696026</v>
      </c>
      <c r="P382" s="17">
        <f t="shared" si="351"/>
        <v>0</v>
      </c>
      <c r="Q382" s="17">
        <f>IF(AND(O382&gt;0,I382&gt;0),O382/(1-'1 - Input'!$B$22*P382),0)</f>
        <v>0</v>
      </c>
      <c r="R382" s="17">
        <f t="shared" si="352"/>
        <v>0</v>
      </c>
      <c r="S382" s="17">
        <f>'1 - Input'!$B$22*P382*R382</f>
        <v>0</v>
      </c>
      <c r="T382" s="17">
        <f t="shared" si="353"/>
        <v>0</v>
      </c>
      <c r="U382" s="17">
        <f t="shared" si="354"/>
        <v>4700.7653566696026</v>
      </c>
      <c r="V382" s="17">
        <f t="shared" si="355"/>
        <v>0</v>
      </c>
      <c r="W382" s="17">
        <f t="shared" si="356"/>
        <v>0</v>
      </c>
      <c r="X382" s="17">
        <f t="shared" si="357"/>
        <v>0</v>
      </c>
      <c r="Y382" s="17">
        <f>IF(MOD(A382,12)=0,W382*'1 - Input'!$B$23,0)</f>
        <v>0</v>
      </c>
      <c r="Z382" s="17">
        <f t="shared" si="358"/>
        <v>0</v>
      </c>
      <c r="AA382" s="17">
        <f>IF(MOD(A382,12)=0,X382*(1-'1 - Input'!$B$23),X382)</f>
        <v>0</v>
      </c>
      <c r="AB382" s="17">
        <f>IF('1 - Input'!$B$17=1,MIN(L382,D382)+T382,L382)</f>
        <v>0</v>
      </c>
      <c r="AC382" s="17">
        <f t="shared" si="392"/>
        <v>590482.93849429931</v>
      </c>
      <c r="AD382" s="17">
        <f t="shared" si="393"/>
        <v>101441.90180685223</v>
      </c>
      <c r="AE382" s="17">
        <f t="shared" si="394"/>
        <v>0</v>
      </c>
      <c r="AF382" s="17">
        <f t="shared" si="395"/>
        <v>174289.24056370757</v>
      </c>
      <c r="AG382" s="17">
        <f t="shared" si="396"/>
        <v>8123.5662772395826</v>
      </c>
      <c r="AH382" s="17">
        <f t="shared" si="397"/>
        <v>624078.5715774697</v>
      </c>
      <c r="AI382" s="15">
        <f t="shared" si="359"/>
        <v>1</v>
      </c>
      <c r="AK382" s="14">
        <v>339</v>
      </c>
      <c r="AL382" s="15">
        <f t="shared" si="360"/>
        <v>29</v>
      </c>
      <c r="AM382" s="16">
        <f>(1+INDEX('1 - Input'!$B$34:$E$63,AL382,'1 - Input'!$B$16))^(1/12)-1</f>
        <v>4.1219243192651689E-3</v>
      </c>
      <c r="AN382" s="17">
        <f>'1 - Input'!$B$7*(1+'1 - Input'!$B$12)^(AL382-1)</f>
        <v>4700.7653566696026</v>
      </c>
      <c r="AO382" s="17">
        <f t="shared" si="398"/>
        <v>0</v>
      </c>
      <c r="AP382" s="17">
        <f t="shared" si="399"/>
        <v>0</v>
      </c>
      <c r="AQ382" s="17">
        <f t="shared" si="361"/>
        <v>0</v>
      </c>
      <c r="AR382" s="17">
        <f>IF(AQ382&gt;0,'1 - Input'!$B$8/12*AQ382,0)</f>
        <v>0</v>
      </c>
      <c r="AS382" s="17">
        <f t="shared" si="362"/>
        <v>0</v>
      </c>
      <c r="AT382" s="17">
        <f t="shared" si="363"/>
        <v>0</v>
      </c>
      <c r="AU382" s="17">
        <f>'1 - Input'!$B$22*(AR382-AT382)</f>
        <v>0</v>
      </c>
      <c r="AV382" s="17">
        <f t="shared" si="364"/>
        <v>0</v>
      </c>
      <c r="AW382" s="17">
        <f t="shared" si="365"/>
        <v>0</v>
      </c>
      <c r="AX382" s="17">
        <f>IF('1 - Input'!$B$17=1,MAX(0,AV382-AN382),0)</f>
        <v>0</v>
      </c>
      <c r="AY382" s="17">
        <f>IF('1 - Input'!$B$17=1,MAX(0,AN382-AV382),0)</f>
        <v>4700.7653566696026</v>
      </c>
      <c r="AZ382" s="17">
        <f t="shared" si="366"/>
        <v>0</v>
      </c>
      <c r="BA382" s="17">
        <f>IF(AND(AY382&gt;0,AS382&gt;0),AY382/(1-'1 - Input'!$B$22*AZ382),0)</f>
        <v>0</v>
      </c>
      <c r="BB382" s="17">
        <f t="shared" si="367"/>
        <v>0</v>
      </c>
      <c r="BC382" s="17">
        <f>'1 - Input'!$B$22*AZ382*BB382</f>
        <v>0</v>
      </c>
      <c r="BD382" s="17">
        <f t="shared" si="368"/>
        <v>0</v>
      </c>
      <c r="BE382" s="17">
        <f t="shared" si="369"/>
        <v>4700.7653566696026</v>
      </c>
      <c r="BF382" s="17">
        <f t="shared" si="370"/>
        <v>0</v>
      </c>
      <c r="BG382" s="17">
        <f t="shared" si="371"/>
        <v>0</v>
      </c>
      <c r="BH382" s="17">
        <f t="shared" si="372"/>
        <v>0</v>
      </c>
      <c r="BI382" s="17">
        <f>IF(MOD(AK382,12)=0,BG382*'1 - Input'!$B$23,0)</f>
        <v>0</v>
      </c>
      <c r="BJ382" s="17">
        <f t="shared" si="373"/>
        <v>0</v>
      </c>
      <c r="BK382" s="17">
        <f>IF(MOD(AK382,12)=0,BH382*(1-'1 - Input'!$B$23),BH382)</f>
        <v>0</v>
      </c>
      <c r="BL382" s="17">
        <f>IF('1 - Input'!$B$17=1,MIN(AV382,AN382)+BD382,AV382)</f>
        <v>0</v>
      </c>
      <c r="BM382" s="17">
        <f t="shared" si="400"/>
        <v>590482.93849429931</v>
      </c>
      <c r="BN382" s="17">
        <f t="shared" si="401"/>
        <v>101441.90180685223</v>
      </c>
      <c r="BO382" s="17">
        <f t="shared" si="402"/>
        <v>0</v>
      </c>
      <c r="BP382" s="17">
        <f t="shared" si="403"/>
        <v>174289.24056370757</v>
      </c>
      <c r="BQ382" s="17">
        <f t="shared" si="404"/>
        <v>8123.5662772395826</v>
      </c>
      <c r="BR382" s="17">
        <f t="shared" si="405"/>
        <v>624078.5715774697</v>
      </c>
      <c r="BS382" s="15">
        <f t="shared" si="374"/>
        <v>1</v>
      </c>
      <c r="BU382" s="14">
        <v>339</v>
      </c>
      <c r="BV382" s="15">
        <f t="shared" si="375"/>
        <v>29</v>
      </c>
      <c r="BW382" s="16">
        <f>(1+INDEX('1 - Input'!$B$34:$E$63,BV382,'1 - Input'!$B$16))^(1/12)-1</f>
        <v>4.1219243192651689E-3</v>
      </c>
      <c r="BX382" s="17">
        <f>'1 - Input'!$B$7*(1+'1 - Input'!$B$12)^(BV382-1)</f>
        <v>4700.7653566696026</v>
      </c>
      <c r="BY382" s="17">
        <f t="shared" si="406"/>
        <v>0</v>
      </c>
      <c r="BZ382" s="17">
        <f t="shared" si="407"/>
        <v>0</v>
      </c>
      <c r="CA382" s="17">
        <f t="shared" si="376"/>
        <v>0</v>
      </c>
      <c r="CB382" s="17">
        <f>IF(CA382&gt;0,'1 - Input'!$B$8/12*CA382,0)</f>
        <v>0</v>
      </c>
      <c r="CC382" s="17">
        <f t="shared" si="377"/>
        <v>0</v>
      </c>
      <c r="CD382" s="17">
        <f t="shared" si="378"/>
        <v>0</v>
      </c>
      <c r="CE382" s="17">
        <f>'1 - Input'!$B$22*(CB382-CD382)</f>
        <v>0</v>
      </c>
      <c r="CF382" s="17">
        <f t="shared" si="379"/>
        <v>0</v>
      </c>
      <c r="CG382" s="17">
        <f t="shared" si="380"/>
        <v>0</v>
      </c>
      <c r="CH382" s="17">
        <f>IF('1 - Input'!$B$17=1,MAX(0,CF382-BX382),0)</f>
        <v>0</v>
      </c>
      <c r="CI382" s="17">
        <f>IF('1 - Input'!$B$17=1,MAX(0,BX382-CF382),0)</f>
        <v>4700.7653566696026</v>
      </c>
      <c r="CJ382" s="17">
        <f t="shared" si="381"/>
        <v>0</v>
      </c>
      <c r="CK382" s="17">
        <f>IF(AND(CI382&gt;0,CC382&gt;0),CI382/(1-'1 - Input'!$B$22*CJ382),0)</f>
        <v>0</v>
      </c>
      <c r="CL382" s="17">
        <f t="shared" si="382"/>
        <v>0</v>
      </c>
      <c r="CM382" s="17">
        <f>'1 - Input'!$B$22*CJ382*CL382</f>
        <v>0</v>
      </c>
      <c r="CN382" s="17">
        <f t="shared" si="383"/>
        <v>0</v>
      </c>
      <c r="CO382" s="17">
        <f t="shared" si="384"/>
        <v>4700.7653566696026</v>
      </c>
      <c r="CP382" s="17">
        <f t="shared" si="385"/>
        <v>0</v>
      </c>
      <c r="CQ382" s="17">
        <f t="shared" si="386"/>
        <v>0</v>
      </c>
      <c r="CR382" s="17">
        <f t="shared" si="387"/>
        <v>0</v>
      </c>
      <c r="CS382" s="17">
        <f>IF(MOD(BU382,12)=0,CQ382*'1 - Input'!$B$23,0)</f>
        <v>0</v>
      </c>
      <c r="CT382" s="17">
        <f t="shared" si="388"/>
        <v>0</v>
      </c>
      <c r="CU382" s="17">
        <f>IF(MOD(BU382,12)=0,CR382*(1-'1 - Input'!$B$23),CR382)</f>
        <v>0</v>
      </c>
      <c r="CV382" s="17">
        <f>IF('1 - Input'!$B$17=1,MIN(CF382,BX382)+CN382,CF382)</f>
        <v>0</v>
      </c>
      <c r="CW382" s="17">
        <f t="shared" si="408"/>
        <v>686605.50041273201</v>
      </c>
      <c r="CX382" s="17">
        <f t="shared" si="409"/>
        <v>6018.3402768167462</v>
      </c>
      <c r="CY382" s="17">
        <f t="shared" si="410"/>
        <v>66518.776160328038</v>
      </c>
      <c r="CZ382" s="17">
        <f t="shared" si="411"/>
        <v>0</v>
      </c>
      <c r="DA382" s="17">
        <f t="shared" si="412"/>
        <v>10954.114452440983</v>
      </c>
      <c r="DB382" s="17">
        <f t="shared" si="413"/>
        <v>527956.00965903909</v>
      </c>
      <c r="DC382" s="15">
        <f t="shared" si="389"/>
        <v>1</v>
      </c>
    </row>
    <row r="383" spans="1:107">
      <c r="A383" s="14">
        <v>340</v>
      </c>
      <c r="B383" s="15">
        <f t="shared" si="345"/>
        <v>29</v>
      </c>
      <c r="C383" s="16">
        <f>(1+INDEX('1 - Input'!$B$34:$E$63,B383,'1 - Input'!$B$16))^(1/12)-1</f>
        <v>4.1219243192651689E-3</v>
      </c>
      <c r="D383" s="17">
        <f>'1 - Input'!$B$7*(1+'1 - Input'!$B$12)^(B383-1)</f>
        <v>4700.7653566696026</v>
      </c>
      <c r="E383" s="17">
        <f t="shared" si="390"/>
        <v>0</v>
      </c>
      <c r="F383" s="17">
        <f t="shared" si="391"/>
        <v>0</v>
      </c>
      <c r="G383" s="17">
        <f t="shared" si="346"/>
        <v>0</v>
      </c>
      <c r="H383" s="17">
        <f>IF(G383&gt;0,'1 - Input'!$B$8/12*G383,0)</f>
        <v>0</v>
      </c>
      <c r="I383" s="17">
        <f t="shared" si="347"/>
        <v>0</v>
      </c>
      <c r="J383" s="17">
        <f t="shared" si="348"/>
        <v>0</v>
      </c>
      <c r="K383" s="17">
        <f>'1 - Input'!$B$22*(H383-J383)</f>
        <v>0</v>
      </c>
      <c r="L383" s="17">
        <f t="shared" si="349"/>
        <v>0</v>
      </c>
      <c r="M383" s="17">
        <f t="shared" si="350"/>
        <v>0</v>
      </c>
      <c r="N383" s="17">
        <f>IF('1 - Input'!$B$17=1,MAX(0,L383-D383),0)</f>
        <v>0</v>
      </c>
      <c r="O383" s="17">
        <f>IF('1 - Input'!$B$17=1,MAX(0,D383-L383),0)</f>
        <v>4700.7653566696026</v>
      </c>
      <c r="P383" s="17">
        <f t="shared" si="351"/>
        <v>0</v>
      </c>
      <c r="Q383" s="17">
        <f>IF(AND(O383&gt;0,I383&gt;0),O383/(1-'1 - Input'!$B$22*P383),0)</f>
        <v>0</v>
      </c>
      <c r="R383" s="17">
        <f t="shared" si="352"/>
        <v>0</v>
      </c>
      <c r="S383" s="17">
        <f>'1 - Input'!$B$22*P383*R383</f>
        <v>0</v>
      </c>
      <c r="T383" s="17">
        <f t="shared" si="353"/>
        <v>0</v>
      </c>
      <c r="U383" s="17">
        <f t="shared" si="354"/>
        <v>4700.7653566696026</v>
      </c>
      <c r="V383" s="17">
        <f t="shared" si="355"/>
        <v>0</v>
      </c>
      <c r="W383" s="17">
        <f t="shared" si="356"/>
        <v>0</v>
      </c>
      <c r="X383" s="17">
        <f t="shared" si="357"/>
        <v>0</v>
      </c>
      <c r="Y383" s="17">
        <f>IF(MOD(A383,12)=0,W383*'1 - Input'!$B$23,0)</f>
        <v>0</v>
      </c>
      <c r="Z383" s="17">
        <f t="shared" si="358"/>
        <v>0</v>
      </c>
      <c r="AA383" s="17">
        <f>IF(MOD(A383,12)=0,X383*(1-'1 - Input'!$B$23),X383)</f>
        <v>0</v>
      </c>
      <c r="AB383" s="17">
        <f>IF('1 - Input'!$B$17=1,MIN(L383,D383)+T383,L383)</f>
        <v>0</v>
      </c>
      <c r="AC383" s="17">
        <f t="shared" si="392"/>
        <v>590482.93849429931</v>
      </c>
      <c r="AD383" s="17">
        <f t="shared" si="393"/>
        <v>101441.90180685223</v>
      </c>
      <c r="AE383" s="17">
        <f t="shared" si="394"/>
        <v>0</v>
      </c>
      <c r="AF383" s="17">
        <f t="shared" si="395"/>
        <v>174289.24056370757</v>
      </c>
      <c r="AG383" s="17">
        <f t="shared" si="396"/>
        <v>8123.5662772395826</v>
      </c>
      <c r="AH383" s="17">
        <f t="shared" si="397"/>
        <v>628779.33693413925</v>
      </c>
      <c r="AI383" s="15">
        <f t="shared" si="359"/>
        <v>1</v>
      </c>
      <c r="AK383" s="14">
        <v>340</v>
      </c>
      <c r="AL383" s="15">
        <f t="shared" si="360"/>
        <v>29</v>
      </c>
      <c r="AM383" s="16">
        <f>(1+INDEX('1 - Input'!$B$34:$E$63,AL383,'1 - Input'!$B$16))^(1/12)-1</f>
        <v>4.1219243192651689E-3</v>
      </c>
      <c r="AN383" s="17">
        <f>'1 - Input'!$B$7*(1+'1 - Input'!$B$12)^(AL383-1)</f>
        <v>4700.7653566696026</v>
      </c>
      <c r="AO383" s="17">
        <f t="shared" si="398"/>
        <v>0</v>
      </c>
      <c r="AP383" s="17">
        <f t="shared" si="399"/>
        <v>0</v>
      </c>
      <c r="AQ383" s="17">
        <f t="shared" si="361"/>
        <v>0</v>
      </c>
      <c r="AR383" s="17">
        <f>IF(AQ383&gt;0,'1 - Input'!$B$8/12*AQ383,0)</f>
        <v>0</v>
      </c>
      <c r="AS383" s="17">
        <f t="shared" si="362"/>
        <v>0</v>
      </c>
      <c r="AT383" s="17">
        <f t="shared" si="363"/>
        <v>0</v>
      </c>
      <c r="AU383" s="17">
        <f>'1 - Input'!$B$22*(AR383-AT383)</f>
        <v>0</v>
      </c>
      <c r="AV383" s="17">
        <f t="shared" si="364"/>
        <v>0</v>
      </c>
      <c r="AW383" s="17">
        <f t="shared" si="365"/>
        <v>0</v>
      </c>
      <c r="AX383" s="17">
        <f>IF('1 - Input'!$B$17=1,MAX(0,AV383-AN383),0)</f>
        <v>0</v>
      </c>
      <c r="AY383" s="17">
        <f>IF('1 - Input'!$B$17=1,MAX(0,AN383-AV383),0)</f>
        <v>4700.7653566696026</v>
      </c>
      <c r="AZ383" s="17">
        <f t="shared" si="366"/>
        <v>0</v>
      </c>
      <c r="BA383" s="17">
        <f>IF(AND(AY383&gt;0,AS383&gt;0),AY383/(1-'1 - Input'!$B$22*AZ383),0)</f>
        <v>0</v>
      </c>
      <c r="BB383" s="17">
        <f t="shared" si="367"/>
        <v>0</v>
      </c>
      <c r="BC383" s="17">
        <f>'1 - Input'!$B$22*AZ383*BB383</f>
        <v>0</v>
      </c>
      <c r="BD383" s="17">
        <f t="shared" si="368"/>
        <v>0</v>
      </c>
      <c r="BE383" s="17">
        <f t="shared" si="369"/>
        <v>4700.7653566696026</v>
      </c>
      <c r="BF383" s="17">
        <f t="shared" si="370"/>
        <v>0</v>
      </c>
      <c r="BG383" s="17">
        <f t="shared" si="371"/>
        <v>0</v>
      </c>
      <c r="BH383" s="17">
        <f t="shared" si="372"/>
        <v>0</v>
      </c>
      <c r="BI383" s="17">
        <f>IF(MOD(AK383,12)=0,BG383*'1 - Input'!$B$23,0)</f>
        <v>0</v>
      </c>
      <c r="BJ383" s="17">
        <f t="shared" si="373"/>
        <v>0</v>
      </c>
      <c r="BK383" s="17">
        <f>IF(MOD(AK383,12)=0,BH383*(1-'1 - Input'!$B$23),BH383)</f>
        <v>0</v>
      </c>
      <c r="BL383" s="17">
        <f>IF('1 - Input'!$B$17=1,MIN(AV383,AN383)+BD383,AV383)</f>
        <v>0</v>
      </c>
      <c r="BM383" s="17">
        <f t="shared" si="400"/>
        <v>590482.93849429931</v>
      </c>
      <c r="BN383" s="17">
        <f t="shared" si="401"/>
        <v>101441.90180685223</v>
      </c>
      <c r="BO383" s="17">
        <f t="shared" si="402"/>
        <v>0</v>
      </c>
      <c r="BP383" s="17">
        <f t="shared" si="403"/>
        <v>174289.24056370757</v>
      </c>
      <c r="BQ383" s="17">
        <f t="shared" si="404"/>
        <v>8123.5662772395826</v>
      </c>
      <c r="BR383" s="17">
        <f t="shared" si="405"/>
        <v>628779.33693413925</v>
      </c>
      <c r="BS383" s="15">
        <f t="shared" si="374"/>
        <v>1</v>
      </c>
      <c r="BU383" s="14">
        <v>340</v>
      </c>
      <c r="BV383" s="15">
        <f t="shared" si="375"/>
        <v>29</v>
      </c>
      <c r="BW383" s="16">
        <f>(1+INDEX('1 - Input'!$B$34:$E$63,BV383,'1 - Input'!$B$16))^(1/12)-1</f>
        <v>4.1219243192651689E-3</v>
      </c>
      <c r="BX383" s="17">
        <f>'1 - Input'!$B$7*(1+'1 - Input'!$B$12)^(BV383-1)</f>
        <v>4700.7653566696026</v>
      </c>
      <c r="BY383" s="17">
        <f t="shared" si="406"/>
        <v>0</v>
      </c>
      <c r="BZ383" s="17">
        <f t="shared" si="407"/>
        <v>0</v>
      </c>
      <c r="CA383" s="17">
        <f t="shared" si="376"/>
        <v>0</v>
      </c>
      <c r="CB383" s="17">
        <f>IF(CA383&gt;0,'1 - Input'!$B$8/12*CA383,0)</f>
        <v>0</v>
      </c>
      <c r="CC383" s="17">
        <f t="shared" si="377"/>
        <v>0</v>
      </c>
      <c r="CD383" s="17">
        <f t="shared" si="378"/>
        <v>0</v>
      </c>
      <c r="CE383" s="17">
        <f>'1 - Input'!$B$22*(CB383-CD383)</f>
        <v>0</v>
      </c>
      <c r="CF383" s="17">
        <f t="shared" si="379"/>
        <v>0</v>
      </c>
      <c r="CG383" s="17">
        <f t="shared" si="380"/>
        <v>0</v>
      </c>
      <c r="CH383" s="17">
        <f>IF('1 - Input'!$B$17=1,MAX(0,CF383-BX383),0)</f>
        <v>0</v>
      </c>
      <c r="CI383" s="17">
        <f>IF('1 - Input'!$B$17=1,MAX(0,BX383-CF383),0)</f>
        <v>4700.7653566696026</v>
      </c>
      <c r="CJ383" s="17">
        <f t="shared" si="381"/>
        <v>0</v>
      </c>
      <c r="CK383" s="17">
        <f>IF(AND(CI383&gt;0,CC383&gt;0),CI383/(1-'1 - Input'!$B$22*CJ383),0)</f>
        <v>0</v>
      </c>
      <c r="CL383" s="17">
        <f t="shared" si="382"/>
        <v>0</v>
      </c>
      <c r="CM383" s="17">
        <f>'1 - Input'!$B$22*CJ383*CL383</f>
        <v>0</v>
      </c>
      <c r="CN383" s="17">
        <f t="shared" si="383"/>
        <v>0</v>
      </c>
      <c r="CO383" s="17">
        <f t="shared" si="384"/>
        <v>4700.7653566696026</v>
      </c>
      <c r="CP383" s="17">
        <f t="shared" si="385"/>
        <v>0</v>
      </c>
      <c r="CQ383" s="17">
        <f t="shared" si="386"/>
        <v>0</v>
      </c>
      <c r="CR383" s="17">
        <f t="shared" si="387"/>
        <v>0</v>
      </c>
      <c r="CS383" s="17">
        <f>IF(MOD(BU383,12)=0,CQ383*'1 - Input'!$B$23,0)</f>
        <v>0</v>
      </c>
      <c r="CT383" s="17">
        <f t="shared" si="388"/>
        <v>0</v>
      </c>
      <c r="CU383" s="17">
        <f>IF(MOD(BU383,12)=0,CR383*(1-'1 - Input'!$B$23),CR383)</f>
        <v>0</v>
      </c>
      <c r="CV383" s="17">
        <f>IF('1 - Input'!$B$17=1,MIN(CF383,BX383)+CN383,CF383)</f>
        <v>0</v>
      </c>
      <c r="CW383" s="17">
        <f t="shared" si="408"/>
        <v>686605.50041273201</v>
      </c>
      <c r="CX383" s="17">
        <f t="shared" si="409"/>
        <v>6018.3402768167462</v>
      </c>
      <c r="CY383" s="17">
        <f t="shared" si="410"/>
        <v>66518.776160328038</v>
      </c>
      <c r="CZ383" s="17">
        <f t="shared" si="411"/>
        <v>0</v>
      </c>
      <c r="DA383" s="17">
        <f t="shared" si="412"/>
        <v>10954.114452440983</v>
      </c>
      <c r="DB383" s="17">
        <f t="shared" si="413"/>
        <v>532656.77501570864</v>
      </c>
      <c r="DC383" s="15">
        <f t="shared" si="389"/>
        <v>1</v>
      </c>
    </row>
    <row r="384" spans="1:107">
      <c r="A384" s="14">
        <v>341</v>
      </c>
      <c r="B384" s="15">
        <f t="shared" si="345"/>
        <v>29</v>
      </c>
      <c r="C384" s="16">
        <f>(1+INDEX('1 - Input'!$B$34:$E$63,B384,'1 - Input'!$B$16))^(1/12)-1</f>
        <v>4.1219243192651689E-3</v>
      </c>
      <c r="D384" s="17">
        <f>'1 - Input'!$B$7*(1+'1 - Input'!$B$12)^(B384-1)</f>
        <v>4700.7653566696026</v>
      </c>
      <c r="E384" s="17">
        <f t="shared" si="390"/>
        <v>0</v>
      </c>
      <c r="F384" s="17">
        <f t="shared" si="391"/>
        <v>0</v>
      </c>
      <c r="G384" s="17">
        <f t="shared" si="346"/>
        <v>0</v>
      </c>
      <c r="H384" s="17">
        <f>IF(G384&gt;0,'1 - Input'!$B$8/12*G384,0)</f>
        <v>0</v>
      </c>
      <c r="I384" s="17">
        <f t="shared" si="347"/>
        <v>0</v>
      </c>
      <c r="J384" s="17">
        <f t="shared" si="348"/>
        <v>0</v>
      </c>
      <c r="K384" s="17">
        <f>'1 - Input'!$B$22*(H384-J384)</f>
        <v>0</v>
      </c>
      <c r="L384" s="17">
        <f t="shared" si="349"/>
        <v>0</v>
      </c>
      <c r="M384" s="17">
        <f t="shared" si="350"/>
        <v>0</v>
      </c>
      <c r="N384" s="17">
        <f>IF('1 - Input'!$B$17=1,MAX(0,L384-D384),0)</f>
        <v>0</v>
      </c>
      <c r="O384" s="17">
        <f>IF('1 - Input'!$B$17=1,MAX(0,D384-L384),0)</f>
        <v>4700.7653566696026</v>
      </c>
      <c r="P384" s="17">
        <f t="shared" si="351"/>
        <v>0</v>
      </c>
      <c r="Q384" s="17">
        <f>IF(AND(O384&gt;0,I384&gt;0),O384/(1-'1 - Input'!$B$22*P384),0)</f>
        <v>0</v>
      </c>
      <c r="R384" s="17">
        <f t="shared" si="352"/>
        <v>0</v>
      </c>
      <c r="S384" s="17">
        <f>'1 - Input'!$B$22*P384*R384</f>
        <v>0</v>
      </c>
      <c r="T384" s="17">
        <f t="shared" si="353"/>
        <v>0</v>
      </c>
      <c r="U384" s="17">
        <f t="shared" si="354"/>
        <v>4700.7653566696026</v>
      </c>
      <c r="V384" s="17">
        <f t="shared" si="355"/>
        <v>0</v>
      </c>
      <c r="W384" s="17">
        <f t="shared" si="356"/>
        <v>0</v>
      </c>
      <c r="X384" s="17">
        <f t="shared" si="357"/>
        <v>0</v>
      </c>
      <c r="Y384" s="17">
        <f>IF(MOD(A384,12)=0,W384*'1 - Input'!$B$23,0)</f>
        <v>0</v>
      </c>
      <c r="Z384" s="17">
        <f t="shared" si="358"/>
        <v>0</v>
      </c>
      <c r="AA384" s="17">
        <f>IF(MOD(A384,12)=0,X384*(1-'1 - Input'!$B$23),X384)</f>
        <v>0</v>
      </c>
      <c r="AB384" s="17">
        <f>IF('1 - Input'!$B$17=1,MIN(L384,D384)+T384,L384)</f>
        <v>0</v>
      </c>
      <c r="AC384" s="17">
        <f t="shared" si="392"/>
        <v>590482.93849429931</v>
      </c>
      <c r="AD384" s="17">
        <f t="shared" si="393"/>
        <v>101441.90180685223</v>
      </c>
      <c r="AE384" s="17">
        <f t="shared" si="394"/>
        <v>0</v>
      </c>
      <c r="AF384" s="17">
        <f t="shared" si="395"/>
        <v>174289.24056370757</v>
      </c>
      <c r="AG384" s="17">
        <f t="shared" si="396"/>
        <v>8123.5662772395826</v>
      </c>
      <c r="AH384" s="17">
        <f t="shared" si="397"/>
        <v>633480.10229080881</v>
      </c>
      <c r="AI384" s="15">
        <f t="shared" si="359"/>
        <v>1</v>
      </c>
      <c r="AK384" s="14">
        <v>341</v>
      </c>
      <c r="AL384" s="15">
        <f t="shared" si="360"/>
        <v>29</v>
      </c>
      <c r="AM384" s="16">
        <f>(1+INDEX('1 - Input'!$B$34:$E$63,AL384,'1 - Input'!$B$16))^(1/12)-1</f>
        <v>4.1219243192651689E-3</v>
      </c>
      <c r="AN384" s="17">
        <f>'1 - Input'!$B$7*(1+'1 - Input'!$B$12)^(AL384-1)</f>
        <v>4700.7653566696026</v>
      </c>
      <c r="AO384" s="17">
        <f t="shared" si="398"/>
        <v>0</v>
      </c>
      <c r="AP384" s="17">
        <f t="shared" si="399"/>
        <v>0</v>
      </c>
      <c r="AQ384" s="17">
        <f t="shared" si="361"/>
        <v>0</v>
      </c>
      <c r="AR384" s="17">
        <f>IF(AQ384&gt;0,'1 - Input'!$B$8/12*AQ384,0)</f>
        <v>0</v>
      </c>
      <c r="AS384" s="17">
        <f t="shared" si="362"/>
        <v>0</v>
      </c>
      <c r="AT384" s="17">
        <f t="shared" si="363"/>
        <v>0</v>
      </c>
      <c r="AU384" s="17">
        <f>'1 - Input'!$B$22*(AR384-AT384)</f>
        <v>0</v>
      </c>
      <c r="AV384" s="17">
        <f t="shared" si="364"/>
        <v>0</v>
      </c>
      <c r="AW384" s="17">
        <f t="shared" si="365"/>
        <v>0</v>
      </c>
      <c r="AX384" s="17">
        <f>IF('1 - Input'!$B$17=1,MAX(0,AV384-AN384),0)</f>
        <v>0</v>
      </c>
      <c r="AY384" s="17">
        <f>IF('1 - Input'!$B$17=1,MAX(0,AN384-AV384),0)</f>
        <v>4700.7653566696026</v>
      </c>
      <c r="AZ384" s="17">
        <f t="shared" si="366"/>
        <v>0</v>
      </c>
      <c r="BA384" s="17">
        <f>IF(AND(AY384&gt;0,AS384&gt;0),AY384/(1-'1 - Input'!$B$22*AZ384),0)</f>
        <v>0</v>
      </c>
      <c r="BB384" s="17">
        <f t="shared" si="367"/>
        <v>0</v>
      </c>
      <c r="BC384" s="17">
        <f>'1 - Input'!$B$22*AZ384*BB384</f>
        <v>0</v>
      </c>
      <c r="BD384" s="17">
        <f t="shared" si="368"/>
        <v>0</v>
      </c>
      <c r="BE384" s="17">
        <f t="shared" si="369"/>
        <v>4700.7653566696026</v>
      </c>
      <c r="BF384" s="17">
        <f t="shared" si="370"/>
        <v>0</v>
      </c>
      <c r="BG384" s="17">
        <f t="shared" si="371"/>
        <v>0</v>
      </c>
      <c r="BH384" s="17">
        <f t="shared" si="372"/>
        <v>0</v>
      </c>
      <c r="BI384" s="17">
        <f>IF(MOD(AK384,12)=0,BG384*'1 - Input'!$B$23,0)</f>
        <v>0</v>
      </c>
      <c r="BJ384" s="17">
        <f t="shared" si="373"/>
        <v>0</v>
      </c>
      <c r="BK384" s="17">
        <f>IF(MOD(AK384,12)=0,BH384*(1-'1 - Input'!$B$23),BH384)</f>
        <v>0</v>
      </c>
      <c r="BL384" s="17">
        <f>IF('1 - Input'!$B$17=1,MIN(AV384,AN384)+BD384,AV384)</f>
        <v>0</v>
      </c>
      <c r="BM384" s="17">
        <f t="shared" si="400"/>
        <v>590482.93849429931</v>
      </c>
      <c r="BN384" s="17">
        <f t="shared" si="401"/>
        <v>101441.90180685223</v>
      </c>
      <c r="BO384" s="17">
        <f t="shared" si="402"/>
        <v>0</v>
      </c>
      <c r="BP384" s="17">
        <f t="shared" si="403"/>
        <v>174289.24056370757</v>
      </c>
      <c r="BQ384" s="17">
        <f t="shared" si="404"/>
        <v>8123.5662772395826</v>
      </c>
      <c r="BR384" s="17">
        <f t="shared" si="405"/>
        <v>633480.10229080881</v>
      </c>
      <c r="BS384" s="15">
        <f t="shared" si="374"/>
        <v>1</v>
      </c>
      <c r="BU384" s="14">
        <v>341</v>
      </c>
      <c r="BV384" s="15">
        <f t="shared" si="375"/>
        <v>29</v>
      </c>
      <c r="BW384" s="16">
        <f>(1+INDEX('1 - Input'!$B$34:$E$63,BV384,'1 - Input'!$B$16))^(1/12)-1</f>
        <v>4.1219243192651689E-3</v>
      </c>
      <c r="BX384" s="17">
        <f>'1 - Input'!$B$7*(1+'1 - Input'!$B$12)^(BV384-1)</f>
        <v>4700.7653566696026</v>
      </c>
      <c r="BY384" s="17">
        <f t="shared" si="406"/>
        <v>0</v>
      </c>
      <c r="BZ384" s="17">
        <f t="shared" si="407"/>
        <v>0</v>
      </c>
      <c r="CA384" s="17">
        <f t="shared" si="376"/>
        <v>0</v>
      </c>
      <c r="CB384" s="17">
        <f>IF(CA384&gt;0,'1 - Input'!$B$8/12*CA384,0)</f>
        <v>0</v>
      </c>
      <c r="CC384" s="17">
        <f t="shared" si="377"/>
        <v>0</v>
      </c>
      <c r="CD384" s="17">
        <f t="shared" si="378"/>
        <v>0</v>
      </c>
      <c r="CE384" s="17">
        <f>'1 - Input'!$B$22*(CB384-CD384)</f>
        <v>0</v>
      </c>
      <c r="CF384" s="17">
        <f t="shared" si="379"/>
        <v>0</v>
      </c>
      <c r="CG384" s="17">
        <f t="shared" si="380"/>
        <v>0</v>
      </c>
      <c r="CH384" s="17">
        <f>IF('1 - Input'!$B$17=1,MAX(0,CF384-BX384),0)</f>
        <v>0</v>
      </c>
      <c r="CI384" s="17">
        <f>IF('1 - Input'!$B$17=1,MAX(0,BX384-CF384),0)</f>
        <v>4700.7653566696026</v>
      </c>
      <c r="CJ384" s="17">
        <f t="shared" si="381"/>
        <v>0</v>
      </c>
      <c r="CK384" s="17">
        <f>IF(AND(CI384&gt;0,CC384&gt;0),CI384/(1-'1 - Input'!$B$22*CJ384),0)</f>
        <v>0</v>
      </c>
      <c r="CL384" s="17">
        <f t="shared" si="382"/>
        <v>0</v>
      </c>
      <c r="CM384" s="17">
        <f>'1 - Input'!$B$22*CJ384*CL384</f>
        <v>0</v>
      </c>
      <c r="CN384" s="17">
        <f t="shared" si="383"/>
        <v>0</v>
      </c>
      <c r="CO384" s="17">
        <f t="shared" si="384"/>
        <v>4700.7653566696026</v>
      </c>
      <c r="CP384" s="17">
        <f t="shared" si="385"/>
        <v>0</v>
      </c>
      <c r="CQ384" s="17">
        <f t="shared" si="386"/>
        <v>0</v>
      </c>
      <c r="CR384" s="17">
        <f t="shared" si="387"/>
        <v>0</v>
      </c>
      <c r="CS384" s="17">
        <f>IF(MOD(BU384,12)=0,CQ384*'1 - Input'!$B$23,0)</f>
        <v>0</v>
      </c>
      <c r="CT384" s="17">
        <f t="shared" si="388"/>
        <v>0</v>
      </c>
      <c r="CU384" s="17">
        <f>IF(MOD(BU384,12)=0,CR384*(1-'1 - Input'!$B$23),CR384)</f>
        <v>0</v>
      </c>
      <c r="CV384" s="17">
        <f>IF('1 - Input'!$B$17=1,MIN(CF384,BX384)+CN384,CF384)</f>
        <v>0</v>
      </c>
      <c r="CW384" s="17">
        <f t="shared" si="408"/>
        <v>686605.50041273201</v>
      </c>
      <c r="CX384" s="17">
        <f t="shared" si="409"/>
        <v>6018.3402768167462</v>
      </c>
      <c r="CY384" s="17">
        <f t="shared" si="410"/>
        <v>66518.776160328038</v>
      </c>
      <c r="CZ384" s="17">
        <f t="shared" si="411"/>
        <v>0</v>
      </c>
      <c r="DA384" s="17">
        <f t="shared" si="412"/>
        <v>10954.114452440983</v>
      </c>
      <c r="DB384" s="17">
        <f t="shared" si="413"/>
        <v>537357.54037237819</v>
      </c>
      <c r="DC384" s="15">
        <f t="shared" si="389"/>
        <v>1</v>
      </c>
    </row>
    <row r="385" spans="1:107">
      <c r="A385" s="14">
        <v>342</v>
      </c>
      <c r="B385" s="15">
        <f t="shared" si="345"/>
        <v>29</v>
      </c>
      <c r="C385" s="16">
        <f>(1+INDEX('1 - Input'!$B$34:$E$63,B385,'1 - Input'!$B$16))^(1/12)-1</f>
        <v>4.1219243192651689E-3</v>
      </c>
      <c r="D385" s="17">
        <f>'1 - Input'!$B$7*(1+'1 - Input'!$B$12)^(B385-1)</f>
        <v>4700.7653566696026</v>
      </c>
      <c r="E385" s="17">
        <f t="shared" si="390"/>
        <v>0</v>
      </c>
      <c r="F385" s="17">
        <f t="shared" si="391"/>
        <v>0</v>
      </c>
      <c r="G385" s="17">
        <f t="shared" si="346"/>
        <v>0</v>
      </c>
      <c r="H385" s="17">
        <f>IF(G385&gt;0,'1 - Input'!$B$8/12*G385,0)</f>
        <v>0</v>
      </c>
      <c r="I385" s="17">
        <f t="shared" si="347"/>
        <v>0</v>
      </c>
      <c r="J385" s="17">
        <f t="shared" si="348"/>
        <v>0</v>
      </c>
      <c r="K385" s="17">
        <f>'1 - Input'!$B$22*(H385-J385)</f>
        <v>0</v>
      </c>
      <c r="L385" s="17">
        <f t="shared" si="349"/>
        <v>0</v>
      </c>
      <c r="M385" s="17">
        <f t="shared" si="350"/>
        <v>0</v>
      </c>
      <c r="N385" s="17">
        <f>IF('1 - Input'!$B$17=1,MAX(0,L385-D385),0)</f>
        <v>0</v>
      </c>
      <c r="O385" s="17">
        <f>IF('1 - Input'!$B$17=1,MAX(0,D385-L385),0)</f>
        <v>4700.7653566696026</v>
      </c>
      <c r="P385" s="17">
        <f t="shared" si="351"/>
        <v>0</v>
      </c>
      <c r="Q385" s="17">
        <f>IF(AND(O385&gt;0,I385&gt;0),O385/(1-'1 - Input'!$B$22*P385),0)</f>
        <v>0</v>
      </c>
      <c r="R385" s="17">
        <f t="shared" si="352"/>
        <v>0</v>
      </c>
      <c r="S385" s="17">
        <f>'1 - Input'!$B$22*P385*R385</f>
        <v>0</v>
      </c>
      <c r="T385" s="17">
        <f t="shared" si="353"/>
        <v>0</v>
      </c>
      <c r="U385" s="17">
        <f t="shared" si="354"/>
        <v>4700.7653566696026</v>
      </c>
      <c r="V385" s="17">
        <f t="shared" si="355"/>
        <v>0</v>
      </c>
      <c r="W385" s="17">
        <f t="shared" si="356"/>
        <v>0</v>
      </c>
      <c r="X385" s="17">
        <f t="shared" si="357"/>
        <v>0</v>
      </c>
      <c r="Y385" s="17">
        <f>IF(MOD(A385,12)=0,W385*'1 - Input'!$B$23,0)</f>
        <v>0</v>
      </c>
      <c r="Z385" s="17">
        <f t="shared" si="358"/>
        <v>0</v>
      </c>
      <c r="AA385" s="17">
        <f>IF(MOD(A385,12)=0,X385*(1-'1 - Input'!$B$23),X385)</f>
        <v>0</v>
      </c>
      <c r="AB385" s="17">
        <f>IF('1 - Input'!$B$17=1,MIN(L385,D385)+T385,L385)</f>
        <v>0</v>
      </c>
      <c r="AC385" s="17">
        <f t="shared" si="392"/>
        <v>590482.93849429931</v>
      </c>
      <c r="AD385" s="17">
        <f t="shared" si="393"/>
        <v>101441.90180685223</v>
      </c>
      <c r="AE385" s="17">
        <f t="shared" si="394"/>
        <v>0</v>
      </c>
      <c r="AF385" s="17">
        <f t="shared" si="395"/>
        <v>174289.24056370757</v>
      </c>
      <c r="AG385" s="17">
        <f t="shared" si="396"/>
        <v>8123.5662772395826</v>
      </c>
      <c r="AH385" s="17">
        <f t="shared" si="397"/>
        <v>638180.86764747836</v>
      </c>
      <c r="AI385" s="15">
        <f t="shared" si="359"/>
        <v>1</v>
      </c>
      <c r="AK385" s="14">
        <v>342</v>
      </c>
      <c r="AL385" s="15">
        <f t="shared" si="360"/>
        <v>29</v>
      </c>
      <c r="AM385" s="16">
        <f>(1+INDEX('1 - Input'!$B$34:$E$63,AL385,'1 - Input'!$B$16))^(1/12)-1</f>
        <v>4.1219243192651689E-3</v>
      </c>
      <c r="AN385" s="17">
        <f>'1 - Input'!$B$7*(1+'1 - Input'!$B$12)^(AL385-1)</f>
        <v>4700.7653566696026</v>
      </c>
      <c r="AO385" s="17">
        <f t="shared" si="398"/>
        <v>0</v>
      </c>
      <c r="AP385" s="17">
        <f t="shared" si="399"/>
        <v>0</v>
      </c>
      <c r="AQ385" s="17">
        <f t="shared" si="361"/>
        <v>0</v>
      </c>
      <c r="AR385" s="17">
        <f>IF(AQ385&gt;0,'1 - Input'!$B$8/12*AQ385,0)</f>
        <v>0</v>
      </c>
      <c r="AS385" s="17">
        <f t="shared" si="362"/>
        <v>0</v>
      </c>
      <c r="AT385" s="17">
        <f t="shared" si="363"/>
        <v>0</v>
      </c>
      <c r="AU385" s="17">
        <f>'1 - Input'!$B$22*(AR385-AT385)</f>
        <v>0</v>
      </c>
      <c r="AV385" s="17">
        <f t="shared" si="364"/>
        <v>0</v>
      </c>
      <c r="AW385" s="17">
        <f t="shared" si="365"/>
        <v>0</v>
      </c>
      <c r="AX385" s="17">
        <f>IF('1 - Input'!$B$17=1,MAX(0,AV385-AN385),0)</f>
        <v>0</v>
      </c>
      <c r="AY385" s="17">
        <f>IF('1 - Input'!$B$17=1,MAX(0,AN385-AV385),0)</f>
        <v>4700.7653566696026</v>
      </c>
      <c r="AZ385" s="17">
        <f t="shared" si="366"/>
        <v>0</v>
      </c>
      <c r="BA385" s="17">
        <f>IF(AND(AY385&gt;0,AS385&gt;0),AY385/(1-'1 - Input'!$B$22*AZ385),0)</f>
        <v>0</v>
      </c>
      <c r="BB385" s="17">
        <f t="shared" si="367"/>
        <v>0</v>
      </c>
      <c r="BC385" s="17">
        <f>'1 - Input'!$B$22*AZ385*BB385</f>
        <v>0</v>
      </c>
      <c r="BD385" s="17">
        <f t="shared" si="368"/>
        <v>0</v>
      </c>
      <c r="BE385" s="17">
        <f t="shared" si="369"/>
        <v>4700.7653566696026</v>
      </c>
      <c r="BF385" s="17">
        <f t="shared" si="370"/>
        <v>0</v>
      </c>
      <c r="BG385" s="17">
        <f t="shared" si="371"/>
        <v>0</v>
      </c>
      <c r="BH385" s="17">
        <f t="shared" si="372"/>
        <v>0</v>
      </c>
      <c r="BI385" s="17">
        <f>IF(MOD(AK385,12)=0,BG385*'1 - Input'!$B$23,0)</f>
        <v>0</v>
      </c>
      <c r="BJ385" s="17">
        <f t="shared" si="373"/>
        <v>0</v>
      </c>
      <c r="BK385" s="17">
        <f>IF(MOD(AK385,12)=0,BH385*(1-'1 - Input'!$B$23),BH385)</f>
        <v>0</v>
      </c>
      <c r="BL385" s="17">
        <f>IF('1 - Input'!$B$17=1,MIN(AV385,AN385)+BD385,AV385)</f>
        <v>0</v>
      </c>
      <c r="BM385" s="17">
        <f t="shared" si="400"/>
        <v>590482.93849429931</v>
      </c>
      <c r="BN385" s="17">
        <f t="shared" si="401"/>
        <v>101441.90180685223</v>
      </c>
      <c r="BO385" s="17">
        <f t="shared" si="402"/>
        <v>0</v>
      </c>
      <c r="BP385" s="17">
        <f t="shared" si="403"/>
        <v>174289.24056370757</v>
      </c>
      <c r="BQ385" s="17">
        <f t="shared" si="404"/>
        <v>8123.5662772395826</v>
      </c>
      <c r="BR385" s="17">
        <f t="shared" si="405"/>
        <v>638180.86764747836</v>
      </c>
      <c r="BS385" s="15">
        <f t="shared" si="374"/>
        <v>1</v>
      </c>
      <c r="BU385" s="14">
        <v>342</v>
      </c>
      <c r="BV385" s="15">
        <f t="shared" si="375"/>
        <v>29</v>
      </c>
      <c r="BW385" s="16">
        <f>(1+INDEX('1 - Input'!$B$34:$E$63,BV385,'1 - Input'!$B$16))^(1/12)-1</f>
        <v>4.1219243192651689E-3</v>
      </c>
      <c r="BX385" s="17">
        <f>'1 - Input'!$B$7*(1+'1 - Input'!$B$12)^(BV385-1)</f>
        <v>4700.7653566696026</v>
      </c>
      <c r="BY385" s="17">
        <f t="shared" si="406"/>
        <v>0</v>
      </c>
      <c r="BZ385" s="17">
        <f t="shared" si="407"/>
        <v>0</v>
      </c>
      <c r="CA385" s="17">
        <f t="shared" si="376"/>
        <v>0</v>
      </c>
      <c r="CB385" s="17">
        <f>IF(CA385&gt;0,'1 - Input'!$B$8/12*CA385,0)</f>
        <v>0</v>
      </c>
      <c r="CC385" s="17">
        <f t="shared" si="377"/>
        <v>0</v>
      </c>
      <c r="CD385" s="17">
        <f t="shared" si="378"/>
        <v>0</v>
      </c>
      <c r="CE385" s="17">
        <f>'1 - Input'!$B$22*(CB385-CD385)</f>
        <v>0</v>
      </c>
      <c r="CF385" s="17">
        <f t="shared" si="379"/>
        <v>0</v>
      </c>
      <c r="CG385" s="17">
        <f t="shared" si="380"/>
        <v>0</v>
      </c>
      <c r="CH385" s="17">
        <f>IF('1 - Input'!$B$17=1,MAX(0,CF385-BX385),0)</f>
        <v>0</v>
      </c>
      <c r="CI385" s="17">
        <f>IF('1 - Input'!$B$17=1,MAX(0,BX385-CF385),0)</f>
        <v>4700.7653566696026</v>
      </c>
      <c r="CJ385" s="17">
        <f t="shared" si="381"/>
        <v>0</v>
      </c>
      <c r="CK385" s="17">
        <f>IF(AND(CI385&gt;0,CC385&gt;0),CI385/(1-'1 - Input'!$B$22*CJ385),0)</f>
        <v>0</v>
      </c>
      <c r="CL385" s="17">
        <f t="shared" si="382"/>
        <v>0</v>
      </c>
      <c r="CM385" s="17">
        <f>'1 - Input'!$B$22*CJ385*CL385</f>
        <v>0</v>
      </c>
      <c r="CN385" s="17">
        <f t="shared" si="383"/>
        <v>0</v>
      </c>
      <c r="CO385" s="17">
        <f t="shared" si="384"/>
        <v>4700.7653566696026</v>
      </c>
      <c r="CP385" s="17">
        <f t="shared" si="385"/>
        <v>0</v>
      </c>
      <c r="CQ385" s="17">
        <f t="shared" si="386"/>
        <v>0</v>
      </c>
      <c r="CR385" s="17">
        <f t="shared" si="387"/>
        <v>0</v>
      </c>
      <c r="CS385" s="17">
        <f>IF(MOD(BU385,12)=0,CQ385*'1 - Input'!$B$23,0)</f>
        <v>0</v>
      </c>
      <c r="CT385" s="17">
        <f t="shared" si="388"/>
        <v>0</v>
      </c>
      <c r="CU385" s="17">
        <f>IF(MOD(BU385,12)=0,CR385*(1-'1 - Input'!$B$23),CR385)</f>
        <v>0</v>
      </c>
      <c r="CV385" s="17">
        <f>IF('1 - Input'!$B$17=1,MIN(CF385,BX385)+CN385,CF385)</f>
        <v>0</v>
      </c>
      <c r="CW385" s="17">
        <f t="shared" si="408"/>
        <v>686605.50041273201</v>
      </c>
      <c r="CX385" s="17">
        <f t="shared" si="409"/>
        <v>6018.3402768167462</v>
      </c>
      <c r="CY385" s="17">
        <f t="shared" si="410"/>
        <v>66518.776160328038</v>
      </c>
      <c r="CZ385" s="17">
        <f t="shared" si="411"/>
        <v>0</v>
      </c>
      <c r="DA385" s="17">
        <f t="shared" si="412"/>
        <v>10954.114452440983</v>
      </c>
      <c r="DB385" s="17">
        <f t="shared" si="413"/>
        <v>542058.30572904774</v>
      </c>
      <c r="DC385" s="15">
        <f t="shared" si="389"/>
        <v>1</v>
      </c>
    </row>
    <row r="386" spans="1:107">
      <c r="A386" s="14">
        <v>343</v>
      </c>
      <c r="B386" s="15">
        <f t="shared" si="345"/>
        <v>29</v>
      </c>
      <c r="C386" s="16">
        <f>(1+INDEX('1 - Input'!$B$34:$E$63,B386,'1 - Input'!$B$16))^(1/12)-1</f>
        <v>4.1219243192651689E-3</v>
      </c>
      <c r="D386" s="17">
        <f>'1 - Input'!$B$7*(1+'1 - Input'!$B$12)^(B386-1)</f>
        <v>4700.7653566696026</v>
      </c>
      <c r="E386" s="17">
        <f t="shared" si="390"/>
        <v>0</v>
      </c>
      <c r="F386" s="17">
        <f t="shared" si="391"/>
        <v>0</v>
      </c>
      <c r="G386" s="17">
        <f t="shared" si="346"/>
        <v>0</v>
      </c>
      <c r="H386" s="17">
        <f>IF(G386&gt;0,'1 - Input'!$B$8/12*G386,0)</f>
        <v>0</v>
      </c>
      <c r="I386" s="17">
        <f t="shared" si="347"/>
        <v>0</v>
      </c>
      <c r="J386" s="17">
        <f t="shared" si="348"/>
        <v>0</v>
      </c>
      <c r="K386" s="17">
        <f>'1 - Input'!$B$22*(H386-J386)</f>
        <v>0</v>
      </c>
      <c r="L386" s="17">
        <f t="shared" si="349"/>
        <v>0</v>
      </c>
      <c r="M386" s="17">
        <f t="shared" si="350"/>
        <v>0</v>
      </c>
      <c r="N386" s="17">
        <f>IF('1 - Input'!$B$17=1,MAX(0,L386-D386),0)</f>
        <v>0</v>
      </c>
      <c r="O386" s="17">
        <f>IF('1 - Input'!$B$17=1,MAX(0,D386-L386),0)</f>
        <v>4700.7653566696026</v>
      </c>
      <c r="P386" s="17">
        <f t="shared" si="351"/>
        <v>0</v>
      </c>
      <c r="Q386" s="17">
        <f>IF(AND(O386&gt;0,I386&gt;0),O386/(1-'1 - Input'!$B$22*P386),0)</f>
        <v>0</v>
      </c>
      <c r="R386" s="17">
        <f t="shared" si="352"/>
        <v>0</v>
      </c>
      <c r="S386" s="17">
        <f>'1 - Input'!$B$22*P386*R386</f>
        <v>0</v>
      </c>
      <c r="T386" s="17">
        <f t="shared" si="353"/>
        <v>0</v>
      </c>
      <c r="U386" s="17">
        <f t="shared" si="354"/>
        <v>4700.7653566696026</v>
      </c>
      <c r="V386" s="17">
        <f t="shared" si="355"/>
        <v>0</v>
      </c>
      <c r="W386" s="17">
        <f t="shared" si="356"/>
        <v>0</v>
      </c>
      <c r="X386" s="17">
        <f t="shared" si="357"/>
        <v>0</v>
      </c>
      <c r="Y386" s="17">
        <f>IF(MOD(A386,12)=0,W386*'1 - Input'!$B$23,0)</f>
        <v>0</v>
      </c>
      <c r="Z386" s="17">
        <f t="shared" si="358"/>
        <v>0</v>
      </c>
      <c r="AA386" s="17">
        <f>IF(MOD(A386,12)=0,X386*(1-'1 - Input'!$B$23),X386)</f>
        <v>0</v>
      </c>
      <c r="AB386" s="17">
        <f>IF('1 - Input'!$B$17=1,MIN(L386,D386)+T386,L386)</f>
        <v>0</v>
      </c>
      <c r="AC386" s="17">
        <f t="shared" si="392"/>
        <v>590482.93849429931</v>
      </c>
      <c r="AD386" s="17">
        <f t="shared" si="393"/>
        <v>101441.90180685223</v>
      </c>
      <c r="AE386" s="17">
        <f t="shared" si="394"/>
        <v>0</v>
      </c>
      <c r="AF386" s="17">
        <f t="shared" si="395"/>
        <v>174289.24056370757</v>
      </c>
      <c r="AG386" s="17">
        <f t="shared" si="396"/>
        <v>8123.5662772395826</v>
      </c>
      <c r="AH386" s="17">
        <f t="shared" si="397"/>
        <v>642881.63300414791</v>
      </c>
      <c r="AI386" s="15">
        <f t="shared" si="359"/>
        <v>1</v>
      </c>
      <c r="AK386" s="14">
        <v>343</v>
      </c>
      <c r="AL386" s="15">
        <f t="shared" si="360"/>
        <v>29</v>
      </c>
      <c r="AM386" s="16">
        <f>(1+INDEX('1 - Input'!$B$34:$E$63,AL386,'1 - Input'!$B$16))^(1/12)-1</f>
        <v>4.1219243192651689E-3</v>
      </c>
      <c r="AN386" s="17">
        <f>'1 - Input'!$B$7*(1+'1 - Input'!$B$12)^(AL386-1)</f>
        <v>4700.7653566696026</v>
      </c>
      <c r="AO386" s="17">
        <f t="shared" si="398"/>
        <v>0</v>
      </c>
      <c r="AP386" s="17">
        <f t="shared" si="399"/>
        <v>0</v>
      </c>
      <c r="AQ386" s="17">
        <f t="shared" si="361"/>
        <v>0</v>
      </c>
      <c r="AR386" s="17">
        <f>IF(AQ386&gt;0,'1 - Input'!$B$8/12*AQ386,0)</f>
        <v>0</v>
      </c>
      <c r="AS386" s="17">
        <f t="shared" si="362"/>
        <v>0</v>
      </c>
      <c r="AT386" s="17">
        <f t="shared" si="363"/>
        <v>0</v>
      </c>
      <c r="AU386" s="17">
        <f>'1 - Input'!$B$22*(AR386-AT386)</f>
        <v>0</v>
      </c>
      <c r="AV386" s="17">
        <f t="shared" si="364"/>
        <v>0</v>
      </c>
      <c r="AW386" s="17">
        <f t="shared" si="365"/>
        <v>0</v>
      </c>
      <c r="AX386" s="17">
        <f>IF('1 - Input'!$B$17=1,MAX(0,AV386-AN386),0)</f>
        <v>0</v>
      </c>
      <c r="AY386" s="17">
        <f>IF('1 - Input'!$B$17=1,MAX(0,AN386-AV386),0)</f>
        <v>4700.7653566696026</v>
      </c>
      <c r="AZ386" s="17">
        <f t="shared" si="366"/>
        <v>0</v>
      </c>
      <c r="BA386" s="17">
        <f>IF(AND(AY386&gt;0,AS386&gt;0),AY386/(1-'1 - Input'!$B$22*AZ386),0)</f>
        <v>0</v>
      </c>
      <c r="BB386" s="17">
        <f t="shared" si="367"/>
        <v>0</v>
      </c>
      <c r="BC386" s="17">
        <f>'1 - Input'!$B$22*AZ386*BB386</f>
        <v>0</v>
      </c>
      <c r="BD386" s="17">
        <f t="shared" si="368"/>
        <v>0</v>
      </c>
      <c r="BE386" s="17">
        <f t="shared" si="369"/>
        <v>4700.7653566696026</v>
      </c>
      <c r="BF386" s="17">
        <f t="shared" si="370"/>
        <v>0</v>
      </c>
      <c r="BG386" s="17">
        <f t="shared" si="371"/>
        <v>0</v>
      </c>
      <c r="BH386" s="17">
        <f t="shared" si="372"/>
        <v>0</v>
      </c>
      <c r="BI386" s="17">
        <f>IF(MOD(AK386,12)=0,BG386*'1 - Input'!$B$23,0)</f>
        <v>0</v>
      </c>
      <c r="BJ386" s="17">
        <f t="shared" si="373"/>
        <v>0</v>
      </c>
      <c r="BK386" s="17">
        <f>IF(MOD(AK386,12)=0,BH386*(1-'1 - Input'!$B$23),BH386)</f>
        <v>0</v>
      </c>
      <c r="BL386" s="17">
        <f>IF('1 - Input'!$B$17=1,MIN(AV386,AN386)+BD386,AV386)</f>
        <v>0</v>
      </c>
      <c r="BM386" s="17">
        <f t="shared" si="400"/>
        <v>590482.93849429931</v>
      </c>
      <c r="BN386" s="17">
        <f t="shared" si="401"/>
        <v>101441.90180685223</v>
      </c>
      <c r="BO386" s="17">
        <f t="shared" si="402"/>
        <v>0</v>
      </c>
      <c r="BP386" s="17">
        <f t="shared" si="403"/>
        <v>174289.24056370757</v>
      </c>
      <c r="BQ386" s="17">
        <f t="shared" si="404"/>
        <v>8123.5662772395826</v>
      </c>
      <c r="BR386" s="17">
        <f t="shared" si="405"/>
        <v>642881.63300414791</v>
      </c>
      <c r="BS386" s="15">
        <f t="shared" si="374"/>
        <v>1</v>
      </c>
      <c r="BU386" s="14">
        <v>343</v>
      </c>
      <c r="BV386" s="15">
        <f t="shared" si="375"/>
        <v>29</v>
      </c>
      <c r="BW386" s="16">
        <f>(1+INDEX('1 - Input'!$B$34:$E$63,BV386,'1 - Input'!$B$16))^(1/12)-1</f>
        <v>4.1219243192651689E-3</v>
      </c>
      <c r="BX386" s="17">
        <f>'1 - Input'!$B$7*(1+'1 - Input'!$B$12)^(BV386-1)</f>
        <v>4700.7653566696026</v>
      </c>
      <c r="BY386" s="17">
        <f t="shared" si="406"/>
        <v>0</v>
      </c>
      <c r="BZ386" s="17">
        <f t="shared" si="407"/>
        <v>0</v>
      </c>
      <c r="CA386" s="17">
        <f t="shared" si="376"/>
        <v>0</v>
      </c>
      <c r="CB386" s="17">
        <f>IF(CA386&gt;0,'1 - Input'!$B$8/12*CA386,0)</f>
        <v>0</v>
      </c>
      <c r="CC386" s="17">
        <f t="shared" si="377"/>
        <v>0</v>
      </c>
      <c r="CD386" s="17">
        <f t="shared" si="378"/>
        <v>0</v>
      </c>
      <c r="CE386" s="17">
        <f>'1 - Input'!$B$22*(CB386-CD386)</f>
        <v>0</v>
      </c>
      <c r="CF386" s="17">
        <f t="shared" si="379"/>
        <v>0</v>
      </c>
      <c r="CG386" s="17">
        <f t="shared" si="380"/>
        <v>0</v>
      </c>
      <c r="CH386" s="17">
        <f>IF('1 - Input'!$B$17=1,MAX(0,CF386-BX386),0)</f>
        <v>0</v>
      </c>
      <c r="CI386" s="17">
        <f>IF('1 - Input'!$B$17=1,MAX(0,BX386-CF386),0)</f>
        <v>4700.7653566696026</v>
      </c>
      <c r="CJ386" s="17">
        <f t="shared" si="381"/>
        <v>0</v>
      </c>
      <c r="CK386" s="17">
        <f>IF(AND(CI386&gt;0,CC386&gt;0),CI386/(1-'1 - Input'!$B$22*CJ386),0)</f>
        <v>0</v>
      </c>
      <c r="CL386" s="17">
        <f t="shared" si="382"/>
        <v>0</v>
      </c>
      <c r="CM386" s="17">
        <f>'1 - Input'!$B$22*CJ386*CL386</f>
        <v>0</v>
      </c>
      <c r="CN386" s="17">
        <f t="shared" si="383"/>
        <v>0</v>
      </c>
      <c r="CO386" s="17">
        <f t="shared" si="384"/>
        <v>4700.7653566696026</v>
      </c>
      <c r="CP386" s="17">
        <f t="shared" si="385"/>
        <v>0</v>
      </c>
      <c r="CQ386" s="17">
        <f t="shared" si="386"/>
        <v>0</v>
      </c>
      <c r="CR386" s="17">
        <f t="shared" si="387"/>
        <v>0</v>
      </c>
      <c r="CS386" s="17">
        <f>IF(MOD(BU386,12)=0,CQ386*'1 - Input'!$B$23,0)</f>
        <v>0</v>
      </c>
      <c r="CT386" s="17">
        <f t="shared" si="388"/>
        <v>0</v>
      </c>
      <c r="CU386" s="17">
        <f>IF(MOD(BU386,12)=0,CR386*(1-'1 - Input'!$B$23),CR386)</f>
        <v>0</v>
      </c>
      <c r="CV386" s="17">
        <f>IF('1 - Input'!$B$17=1,MIN(CF386,BX386)+CN386,CF386)</f>
        <v>0</v>
      </c>
      <c r="CW386" s="17">
        <f t="shared" si="408"/>
        <v>686605.50041273201</v>
      </c>
      <c r="CX386" s="17">
        <f t="shared" si="409"/>
        <v>6018.3402768167462</v>
      </c>
      <c r="CY386" s="17">
        <f t="shared" si="410"/>
        <v>66518.776160328038</v>
      </c>
      <c r="CZ386" s="17">
        <f t="shared" si="411"/>
        <v>0</v>
      </c>
      <c r="DA386" s="17">
        <f t="shared" si="412"/>
        <v>10954.114452440983</v>
      </c>
      <c r="DB386" s="17">
        <f t="shared" si="413"/>
        <v>546759.0710857173</v>
      </c>
      <c r="DC386" s="15">
        <f t="shared" si="389"/>
        <v>1</v>
      </c>
    </row>
    <row r="387" spans="1:107">
      <c r="A387" s="14">
        <v>344</v>
      </c>
      <c r="B387" s="15">
        <f t="shared" si="345"/>
        <v>29</v>
      </c>
      <c r="C387" s="16">
        <f>(1+INDEX('1 - Input'!$B$34:$E$63,B387,'1 - Input'!$B$16))^(1/12)-1</f>
        <v>4.1219243192651689E-3</v>
      </c>
      <c r="D387" s="17">
        <f>'1 - Input'!$B$7*(1+'1 - Input'!$B$12)^(B387-1)</f>
        <v>4700.7653566696026</v>
      </c>
      <c r="E387" s="17">
        <f t="shared" si="390"/>
        <v>0</v>
      </c>
      <c r="F387" s="17">
        <f t="shared" si="391"/>
        <v>0</v>
      </c>
      <c r="G387" s="17">
        <f t="shared" si="346"/>
        <v>0</v>
      </c>
      <c r="H387" s="17">
        <f>IF(G387&gt;0,'1 - Input'!$B$8/12*G387,0)</f>
        <v>0</v>
      </c>
      <c r="I387" s="17">
        <f t="shared" si="347"/>
        <v>0</v>
      </c>
      <c r="J387" s="17">
        <f t="shared" si="348"/>
        <v>0</v>
      </c>
      <c r="K387" s="17">
        <f>'1 - Input'!$B$22*(H387-J387)</f>
        <v>0</v>
      </c>
      <c r="L387" s="17">
        <f t="shared" si="349"/>
        <v>0</v>
      </c>
      <c r="M387" s="17">
        <f t="shared" si="350"/>
        <v>0</v>
      </c>
      <c r="N387" s="17">
        <f>IF('1 - Input'!$B$17=1,MAX(0,L387-D387),0)</f>
        <v>0</v>
      </c>
      <c r="O387" s="17">
        <f>IF('1 - Input'!$B$17=1,MAX(0,D387-L387),0)</f>
        <v>4700.7653566696026</v>
      </c>
      <c r="P387" s="17">
        <f t="shared" si="351"/>
        <v>0</v>
      </c>
      <c r="Q387" s="17">
        <f>IF(AND(O387&gt;0,I387&gt;0),O387/(1-'1 - Input'!$B$22*P387),0)</f>
        <v>0</v>
      </c>
      <c r="R387" s="17">
        <f t="shared" si="352"/>
        <v>0</v>
      </c>
      <c r="S387" s="17">
        <f>'1 - Input'!$B$22*P387*R387</f>
        <v>0</v>
      </c>
      <c r="T387" s="17">
        <f t="shared" si="353"/>
        <v>0</v>
      </c>
      <c r="U387" s="17">
        <f t="shared" si="354"/>
        <v>4700.7653566696026</v>
      </c>
      <c r="V387" s="17">
        <f t="shared" si="355"/>
        <v>0</v>
      </c>
      <c r="W387" s="17">
        <f t="shared" si="356"/>
        <v>0</v>
      </c>
      <c r="X387" s="17">
        <f t="shared" si="357"/>
        <v>0</v>
      </c>
      <c r="Y387" s="17">
        <f>IF(MOD(A387,12)=0,W387*'1 - Input'!$B$23,0)</f>
        <v>0</v>
      </c>
      <c r="Z387" s="17">
        <f t="shared" si="358"/>
        <v>0</v>
      </c>
      <c r="AA387" s="17">
        <f>IF(MOD(A387,12)=0,X387*(1-'1 - Input'!$B$23),X387)</f>
        <v>0</v>
      </c>
      <c r="AB387" s="17">
        <f>IF('1 - Input'!$B$17=1,MIN(L387,D387)+T387,L387)</f>
        <v>0</v>
      </c>
      <c r="AC387" s="17">
        <f t="shared" si="392"/>
        <v>590482.93849429931</v>
      </c>
      <c r="AD387" s="17">
        <f t="shared" si="393"/>
        <v>101441.90180685223</v>
      </c>
      <c r="AE387" s="17">
        <f t="shared" si="394"/>
        <v>0</v>
      </c>
      <c r="AF387" s="17">
        <f t="shared" si="395"/>
        <v>174289.24056370757</v>
      </c>
      <c r="AG387" s="17">
        <f t="shared" si="396"/>
        <v>8123.5662772395826</v>
      </c>
      <c r="AH387" s="17">
        <f t="shared" si="397"/>
        <v>647582.39836081746</v>
      </c>
      <c r="AI387" s="15">
        <f t="shared" si="359"/>
        <v>1</v>
      </c>
      <c r="AK387" s="14">
        <v>344</v>
      </c>
      <c r="AL387" s="15">
        <f t="shared" si="360"/>
        <v>29</v>
      </c>
      <c r="AM387" s="16">
        <f>(1+INDEX('1 - Input'!$B$34:$E$63,AL387,'1 - Input'!$B$16))^(1/12)-1</f>
        <v>4.1219243192651689E-3</v>
      </c>
      <c r="AN387" s="17">
        <f>'1 - Input'!$B$7*(1+'1 - Input'!$B$12)^(AL387-1)</f>
        <v>4700.7653566696026</v>
      </c>
      <c r="AO387" s="17">
        <f t="shared" si="398"/>
        <v>0</v>
      </c>
      <c r="AP387" s="17">
        <f t="shared" si="399"/>
        <v>0</v>
      </c>
      <c r="AQ387" s="17">
        <f t="shared" si="361"/>
        <v>0</v>
      </c>
      <c r="AR387" s="17">
        <f>IF(AQ387&gt;0,'1 - Input'!$B$8/12*AQ387,0)</f>
        <v>0</v>
      </c>
      <c r="AS387" s="17">
        <f t="shared" si="362"/>
        <v>0</v>
      </c>
      <c r="AT387" s="17">
        <f t="shared" si="363"/>
        <v>0</v>
      </c>
      <c r="AU387" s="17">
        <f>'1 - Input'!$B$22*(AR387-AT387)</f>
        <v>0</v>
      </c>
      <c r="AV387" s="17">
        <f t="shared" si="364"/>
        <v>0</v>
      </c>
      <c r="AW387" s="17">
        <f t="shared" si="365"/>
        <v>0</v>
      </c>
      <c r="AX387" s="17">
        <f>IF('1 - Input'!$B$17=1,MAX(0,AV387-AN387),0)</f>
        <v>0</v>
      </c>
      <c r="AY387" s="17">
        <f>IF('1 - Input'!$B$17=1,MAX(0,AN387-AV387),0)</f>
        <v>4700.7653566696026</v>
      </c>
      <c r="AZ387" s="17">
        <f t="shared" si="366"/>
        <v>0</v>
      </c>
      <c r="BA387" s="17">
        <f>IF(AND(AY387&gt;0,AS387&gt;0),AY387/(1-'1 - Input'!$B$22*AZ387),0)</f>
        <v>0</v>
      </c>
      <c r="BB387" s="17">
        <f t="shared" si="367"/>
        <v>0</v>
      </c>
      <c r="BC387" s="17">
        <f>'1 - Input'!$B$22*AZ387*BB387</f>
        <v>0</v>
      </c>
      <c r="BD387" s="17">
        <f t="shared" si="368"/>
        <v>0</v>
      </c>
      <c r="BE387" s="17">
        <f t="shared" si="369"/>
        <v>4700.7653566696026</v>
      </c>
      <c r="BF387" s="17">
        <f t="shared" si="370"/>
        <v>0</v>
      </c>
      <c r="BG387" s="17">
        <f t="shared" si="371"/>
        <v>0</v>
      </c>
      <c r="BH387" s="17">
        <f t="shared" si="372"/>
        <v>0</v>
      </c>
      <c r="BI387" s="17">
        <f>IF(MOD(AK387,12)=0,BG387*'1 - Input'!$B$23,0)</f>
        <v>0</v>
      </c>
      <c r="BJ387" s="17">
        <f t="shared" si="373"/>
        <v>0</v>
      </c>
      <c r="BK387" s="17">
        <f>IF(MOD(AK387,12)=0,BH387*(1-'1 - Input'!$B$23),BH387)</f>
        <v>0</v>
      </c>
      <c r="BL387" s="17">
        <f>IF('1 - Input'!$B$17=1,MIN(AV387,AN387)+BD387,AV387)</f>
        <v>0</v>
      </c>
      <c r="BM387" s="17">
        <f t="shared" si="400"/>
        <v>590482.93849429931</v>
      </c>
      <c r="BN387" s="17">
        <f t="shared" si="401"/>
        <v>101441.90180685223</v>
      </c>
      <c r="BO387" s="17">
        <f t="shared" si="402"/>
        <v>0</v>
      </c>
      <c r="BP387" s="17">
        <f t="shared" si="403"/>
        <v>174289.24056370757</v>
      </c>
      <c r="BQ387" s="17">
        <f t="shared" si="404"/>
        <v>8123.5662772395826</v>
      </c>
      <c r="BR387" s="17">
        <f t="shared" si="405"/>
        <v>647582.39836081746</v>
      </c>
      <c r="BS387" s="15">
        <f t="shared" si="374"/>
        <v>1</v>
      </c>
      <c r="BU387" s="14">
        <v>344</v>
      </c>
      <c r="BV387" s="15">
        <f t="shared" si="375"/>
        <v>29</v>
      </c>
      <c r="BW387" s="16">
        <f>(1+INDEX('1 - Input'!$B$34:$E$63,BV387,'1 - Input'!$B$16))^(1/12)-1</f>
        <v>4.1219243192651689E-3</v>
      </c>
      <c r="BX387" s="17">
        <f>'1 - Input'!$B$7*(1+'1 - Input'!$B$12)^(BV387-1)</f>
        <v>4700.7653566696026</v>
      </c>
      <c r="BY387" s="17">
        <f t="shared" si="406"/>
        <v>0</v>
      </c>
      <c r="BZ387" s="17">
        <f t="shared" si="407"/>
        <v>0</v>
      </c>
      <c r="CA387" s="17">
        <f t="shared" si="376"/>
        <v>0</v>
      </c>
      <c r="CB387" s="17">
        <f>IF(CA387&gt;0,'1 - Input'!$B$8/12*CA387,0)</f>
        <v>0</v>
      </c>
      <c r="CC387" s="17">
        <f t="shared" si="377"/>
        <v>0</v>
      </c>
      <c r="CD387" s="17">
        <f t="shared" si="378"/>
        <v>0</v>
      </c>
      <c r="CE387" s="17">
        <f>'1 - Input'!$B$22*(CB387-CD387)</f>
        <v>0</v>
      </c>
      <c r="CF387" s="17">
        <f t="shared" si="379"/>
        <v>0</v>
      </c>
      <c r="CG387" s="17">
        <f t="shared" si="380"/>
        <v>0</v>
      </c>
      <c r="CH387" s="17">
        <f>IF('1 - Input'!$B$17=1,MAX(0,CF387-BX387),0)</f>
        <v>0</v>
      </c>
      <c r="CI387" s="17">
        <f>IF('1 - Input'!$B$17=1,MAX(0,BX387-CF387),0)</f>
        <v>4700.7653566696026</v>
      </c>
      <c r="CJ387" s="17">
        <f t="shared" si="381"/>
        <v>0</v>
      </c>
      <c r="CK387" s="17">
        <f>IF(AND(CI387&gt;0,CC387&gt;0),CI387/(1-'1 - Input'!$B$22*CJ387),0)</f>
        <v>0</v>
      </c>
      <c r="CL387" s="17">
        <f t="shared" si="382"/>
        <v>0</v>
      </c>
      <c r="CM387" s="17">
        <f>'1 - Input'!$B$22*CJ387*CL387</f>
        <v>0</v>
      </c>
      <c r="CN387" s="17">
        <f t="shared" si="383"/>
        <v>0</v>
      </c>
      <c r="CO387" s="17">
        <f t="shared" si="384"/>
        <v>4700.7653566696026</v>
      </c>
      <c r="CP387" s="17">
        <f t="shared" si="385"/>
        <v>0</v>
      </c>
      <c r="CQ387" s="17">
        <f t="shared" si="386"/>
        <v>0</v>
      </c>
      <c r="CR387" s="17">
        <f t="shared" si="387"/>
        <v>0</v>
      </c>
      <c r="CS387" s="17">
        <f>IF(MOD(BU387,12)=0,CQ387*'1 - Input'!$B$23,0)</f>
        <v>0</v>
      </c>
      <c r="CT387" s="17">
        <f t="shared" si="388"/>
        <v>0</v>
      </c>
      <c r="CU387" s="17">
        <f>IF(MOD(BU387,12)=0,CR387*(1-'1 - Input'!$B$23),CR387)</f>
        <v>0</v>
      </c>
      <c r="CV387" s="17">
        <f>IF('1 - Input'!$B$17=1,MIN(CF387,BX387)+CN387,CF387)</f>
        <v>0</v>
      </c>
      <c r="CW387" s="17">
        <f t="shared" si="408"/>
        <v>686605.50041273201</v>
      </c>
      <c r="CX387" s="17">
        <f t="shared" si="409"/>
        <v>6018.3402768167462</v>
      </c>
      <c r="CY387" s="17">
        <f t="shared" si="410"/>
        <v>66518.776160328038</v>
      </c>
      <c r="CZ387" s="17">
        <f t="shared" si="411"/>
        <v>0</v>
      </c>
      <c r="DA387" s="17">
        <f t="shared" si="412"/>
        <v>10954.114452440983</v>
      </c>
      <c r="DB387" s="17">
        <f t="shared" si="413"/>
        <v>551459.83644238685</v>
      </c>
      <c r="DC387" s="15">
        <f t="shared" si="389"/>
        <v>1</v>
      </c>
    </row>
    <row r="388" spans="1:107">
      <c r="A388" s="14">
        <v>345</v>
      </c>
      <c r="B388" s="15">
        <f t="shared" si="345"/>
        <v>29</v>
      </c>
      <c r="C388" s="16">
        <f>(1+INDEX('1 - Input'!$B$34:$E$63,B388,'1 - Input'!$B$16))^(1/12)-1</f>
        <v>4.1219243192651689E-3</v>
      </c>
      <c r="D388" s="17">
        <f>'1 - Input'!$B$7*(1+'1 - Input'!$B$12)^(B388-1)</f>
        <v>4700.7653566696026</v>
      </c>
      <c r="E388" s="17">
        <f t="shared" si="390"/>
        <v>0</v>
      </c>
      <c r="F388" s="17">
        <f t="shared" si="391"/>
        <v>0</v>
      </c>
      <c r="G388" s="17">
        <f t="shared" si="346"/>
        <v>0</v>
      </c>
      <c r="H388" s="17">
        <f>IF(G388&gt;0,'1 - Input'!$B$8/12*G388,0)</f>
        <v>0</v>
      </c>
      <c r="I388" s="17">
        <f t="shared" si="347"/>
        <v>0</v>
      </c>
      <c r="J388" s="17">
        <f t="shared" si="348"/>
        <v>0</v>
      </c>
      <c r="K388" s="17">
        <f>'1 - Input'!$B$22*(H388-J388)</f>
        <v>0</v>
      </c>
      <c r="L388" s="17">
        <f t="shared" si="349"/>
        <v>0</v>
      </c>
      <c r="M388" s="17">
        <f t="shared" si="350"/>
        <v>0</v>
      </c>
      <c r="N388" s="17">
        <f>IF('1 - Input'!$B$17=1,MAX(0,L388-D388),0)</f>
        <v>0</v>
      </c>
      <c r="O388" s="17">
        <f>IF('1 - Input'!$B$17=1,MAX(0,D388-L388),0)</f>
        <v>4700.7653566696026</v>
      </c>
      <c r="P388" s="17">
        <f t="shared" si="351"/>
        <v>0</v>
      </c>
      <c r="Q388" s="17">
        <f>IF(AND(O388&gt;0,I388&gt;0),O388/(1-'1 - Input'!$B$22*P388),0)</f>
        <v>0</v>
      </c>
      <c r="R388" s="17">
        <f t="shared" si="352"/>
        <v>0</v>
      </c>
      <c r="S388" s="17">
        <f>'1 - Input'!$B$22*P388*R388</f>
        <v>0</v>
      </c>
      <c r="T388" s="17">
        <f t="shared" si="353"/>
        <v>0</v>
      </c>
      <c r="U388" s="17">
        <f t="shared" si="354"/>
        <v>4700.7653566696026</v>
      </c>
      <c r="V388" s="17">
        <f t="shared" si="355"/>
        <v>0</v>
      </c>
      <c r="W388" s="17">
        <f t="shared" si="356"/>
        <v>0</v>
      </c>
      <c r="X388" s="17">
        <f t="shared" si="357"/>
        <v>0</v>
      </c>
      <c r="Y388" s="17">
        <f>IF(MOD(A388,12)=0,W388*'1 - Input'!$B$23,0)</f>
        <v>0</v>
      </c>
      <c r="Z388" s="17">
        <f t="shared" si="358"/>
        <v>0</v>
      </c>
      <c r="AA388" s="17">
        <f>IF(MOD(A388,12)=0,X388*(1-'1 - Input'!$B$23),X388)</f>
        <v>0</v>
      </c>
      <c r="AB388" s="17">
        <f>IF('1 - Input'!$B$17=1,MIN(L388,D388)+T388,L388)</f>
        <v>0</v>
      </c>
      <c r="AC388" s="17">
        <f t="shared" si="392"/>
        <v>590482.93849429931</v>
      </c>
      <c r="AD388" s="17">
        <f t="shared" si="393"/>
        <v>101441.90180685223</v>
      </c>
      <c r="AE388" s="17">
        <f t="shared" si="394"/>
        <v>0</v>
      </c>
      <c r="AF388" s="17">
        <f t="shared" si="395"/>
        <v>174289.24056370757</v>
      </c>
      <c r="AG388" s="17">
        <f t="shared" si="396"/>
        <v>8123.5662772395826</v>
      </c>
      <c r="AH388" s="17">
        <f t="shared" si="397"/>
        <v>652283.16371748701</v>
      </c>
      <c r="AI388" s="15">
        <f t="shared" si="359"/>
        <v>1</v>
      </c>
      <c r="AK388" s="14">
        <v>345</v>
      </c>
      <c r="AL388" s="15">
        <f t="shared" si="360"/>
        <v>29</v>
      </c>
      <c r="AM388" s="16">
        <f>(1+INDEX('1 - Input'!$B$34:$E$63,AL388,'1 - Input'!$B$16))^(1/12)-1</f>
        <v>4.1219243192651689E-3</v>
      </c>
      <c r="AN388" s="17">
        <f>'1 - Input'!$B$7*(1+'1 - Input'!$B$12)^(AL388-1)</f>
        <v>4700.7653566696026</v>
      </c>
      <c r="AO388" s="17">
        <f t="shared" si="398"/>
        <v>0</v>
      </c>
      <c r="AP388" s="17">
        <f t="shared" si="399"/>
        <v>0</v>
      </c>
      <c r="AQ388" s="17">
        <f t="shared" si="361"/>
        <v>0</v>
      </c>
      <c r="AR388" s="17">
        <f>IF(AQ388&gt;0,'1 - Input'!$B$8/12*AQ388,0)</f>
        <v>0</v>
      </c>
      <c r="AS388" s="17">
        <f t="shared" si="362"/>
        <v>0</v>
      </c>
      <c r="AT388" s="17">
        <f t="shared" si="363"/>
        <v>0</v>
      </c>
      <c r="AU388" s="17">
        <f>'1 - Input'!$B$22*(AR388-AT388)</f>
        <v>0</v>
      </c>
      <c r="AV388" s="17">
        <f t="shared" si="364"/>
        <v>0</v>
      </c>
      <c r="AW388" s="17">
        <f t="shared" si="365"/>
        <v>0</v>
      </c>
      <c r="AX388" s="17">
        <f>IF('1 - Input'!$B$17=1,MAX(0,AV388-AN388),0)</f>
        <v>0</v>
      </c>
      <c r="AY388" s="17">
        <f>IF('1 - Input'!$B$17=1,MAX(0,AN388-AV388),0)</f>
        <v>4700.7653566696026</v>
      </c>
      <c r="AZ388" s="17">
        <f t="shared" si="366"/>
        <v>0</v>
      </c>
      <c r="BA388" s="17">
        <f>IF(AND(AY388&gt;0,AS388&gt;0),AY388/(1-'1 - Input'!$B$22*AZ388),0)</f>
        <v>0</v>
      </c>
      <c r="BB388" s="17">
        <f t="shared" si="367"/>
        <v>0</v>
      </c>
      <c r="BC388" s="17">
        <f>'1 - Input'!$B$22*AZ388*BB388</f>
        <v>0</v>
      </c>
      <c r="BD388" s="17">
        <f t="shared" si="368"/>
        <v>0</v>
      </c>
      <c r="BE388" s="17">
        <f t="shared" si="369"/>
        <v>4700.7653566696026</v>
      </c>
      <c r="BF388" s="17">
        <f t="shared" si="370"/>
        <v>0</v>
      </c>
      <c r="BG388" s="17">
        <f t="shared" si="371"/>
        <v>0</v>
      </c>
      <c r="BH388" s="17">
        <f t="shared" si="372"/>
        <v>0</v>
      </c>
      <c r="BI388" s="17">
        <f>IF(MOD(AK388,12)=0,BG388*'1 - Input'!$B$23,0)</f>
        <v>0</v>
      </c>
      <c r="BJ388" s="17">
        <f t="shared" si="373"/>
        <v>0</v>
      </c>
      <c r="BK388" s="17">
        <f>IF(MOD(AK388,12)=0,BH388*(1-'1 - Input'!$B$23),BH388)</f>
        <v>0</v>
      </c>
      <c r="BL388" s="17">
        <f>IF('1 - Input'!$B$17=1,MIN(AV388,AN388)+BD388,AV388)</f>
        <v>0</v>
      </c>
      <c r="BM388" s="17">
        <f t="shared" si="400"/>
        <v>590482.93849429931</v>
      </c>
      <c r="BN388" s="17">
        <f t="shared" si="401"/>
        <v>101441.90180685223</v>
      </c>
      <c r="BO388" s="17">
        <f t="shared" si="402"/>
        <v>0</v>
      </c>
      <c r="BP388" s="17">
        <f t="shared" si="403"/>
        <v>174289.24056370757</v>
      </c>
      <c r="BQ388" s="17">
        <f t="shared" si="404"/>
        <v>8123.5662772395826</v>
      </c>
      <c r="BR388" s="17">
        <f t="shared" si="405"/>
        <v>652283.16371748701</v>
      </c>
      <c r="BS388" s="15">
        <f t="shared" si="374"/>
        <v>1</v>
      </c>
      <c r="BU388" s="14">
        <v>345</v>
      </c>
      <c r="BV388" s="15">
        <f t="shared" si="375"/>
        <v>29</v>
      </c>
      <c r="BW388" s="16">
        <f>(1+INDEX('1 - Input'!$B$34:$E$63,BV388,'1 - Input'!$B$16))^(1/12)-1</f>
        <v>4.1219243192651689E-3</v>
      </c>
      <c r="BX388" s="17">
        <f>'1 - Input'!$B$7*(1+'1 - Input'!$B$12)^(BV388-1)</f>
        <v>4700.7653566696026</v>
      </c>
      <c r="BY388" s="17">
        <f t="shared" si="406"/>
        <v>0</v>
      </c>
      <c r="BZ388" s="17">
        <f t="shared" si="407"/>
        <v>0</v>
      </c>
      <c r="CA388" s="17">
        <f t="shared" si="376"/>
        <v>0</v>
      </c>
      <c r="CB388" s="17">
        <f>IF(CA388&gt;0,'1 - Input'!$B$8/12*CA388,0)</f>
        <v>0</v>
      </c>
      <c r="CC388" s="17">
        <f t="shared" si="377"/>
        <v>0</v>
      </c>
      <c r="CD388" s="17">
        <f t="shared" si="378"/>
        <v>0</v>
      </c>
      <c r="CE388" s="17">
        <f>'1 - Input'!$B$22*(CB388-CD388)</f>
        <v>0</v>
      </c>
      <c r="CF388" s="17">
        <f t="shared" si="379"/>
        <v>0</v>
      </c>
      <c r="CG388" s="17">
        <f t="shared" si="380"/>
        <v>0</v>
      </c>
      <c r="CH388" s="17">
        <f>IF('1 - Input'!$B$17=1,MAX(0,CF388-BX388),0)</f>
        <v>0</v>
      </c>
      <c r="CI388" s="17">
        <f>IF('1 - Input'!$B$17=1,MAX(0,BX388-CF388),0)</f>
        <v>4700.7653566696026</v>
      </c>
      <c r="CJ388" s="17">
        <f t="shared" si="381"/>
        <v>0</v>
      </c>
      <c r="CK388" s="17">
        <f>IF(AND(CI388&gt;0,CC388&gt;0),CI388/(1-'1 - Input'!$B$22*CJ388),0)</f>
        <v>0</v>
      </c>
      <c r="CL388" s="17">
        <f t="shared" si="382"/>
        <v>0</v>
      </c>
      <c r="CM388" s="17">
        <f>'1 - Input'!$B$22*CJ388*CL388</f>
        <v>0</v>
      </c>
      <c r="CN388" s="17">
        <f t="shared" si="383"/>
        <v>0</v>
      </c>
      <c r="CO388" s="17">
        <f t="shared" si="384"/>
        <v>4700.7653566696026</v>
      </c>
      <c r="CP388" s="17">
        <f t="shared" si="385"/>
        <v>0</v>
      </c>
      <c r="CQ388" s="17">
        <f t="shared" si="386"/>
        <v>0</v>
      </c>
      <c r="CR388" s="17">
        <f t="shared" si="387"/>
        <v>0</v>
      </c>
      <c r="CS388" s="17">
        <f>IF(MOD(BU388,12)=0,CQ388*'1 - Input'!$B$23,0)</f>
        <v>0</v>
      </c>
      <c r="CT388" s="17">
        <f t="shared" si="388"/>
        <v>0</v>
      </c>
      <c r="CU388" s="17">
        <f>IF(MOD(BU388,12)=0,CR388*(1-'1 - Input'!$B$23),CR388)</f>
        <v>0</v>
      </c>
      <c r="CV388" s="17">
        <f>IF('1 - Input'!$B$17=1,MIN(CF388,BX388)+CN388,CF388)</f>
        <v>0</v>
      </c>
      <c r="CW388" s="17">
        <f t="shared" si="408"/>
        <v>686605.50041273201</v>
      </c>
      <c r="CX388" s="17">
        <f t="shared" si="409"/>
        <v>6018.3402768167462</v>
      </c>
      <c r="CY388" s="17">
        <f t="shared" si="410"/>
        <v>66518.776160328038</v>
      </c>
      <c r="CZ388" s="17">
        <f t="shared" si="411"/>
        <v>0</v>
      </c>
      <c r="DA388" s="17">
        <f t="shared" si="412"/>
        <v>10954.114452440983</v>
      </c>
      <c r="DB388" s="17">
        <f t="shared" si="413"/>
        <v>556160.6017990564</v>
      </c>
      <c r="DC388" s="15">
        <f t="shared" si="389"/>
        <v>1</v>
      </c>
    </row>
    <row r="389" spans="1:107">
      <c r="A389" s="14">
        <v>346</v>
      </c>
      <c r="B389" s="15">
        <f t="shared" si="345"/>
        <v>29</v>
      </c>
      <c r="C389" s="16">
        <f>(1+INDEX('1 - Input'!$B$34:$E$63,B389,'1 - Input'!$B$16))^(1/12)-1</f>
        <v>4.1219243192651689E-3</v>
      </c>
      <c r="D389" s="17">
        <f>'1 - Input'!$B$7*(1+'1 - Input'!$B$12)^(B389-1)</f>
        <v>4700.7653566696026</v>
      </c>
      <c r="E389" s="17">
        <f t="shared" si="390"/>
        <v>0</v>
      </c>
      <c r="F389" s="17">
        <f t="shared" si="391"/>
        <v>0</v>
      </c>
      <c r="G389" s="17">
        <f t="shared" si="346"/>
        <v>0</v>
      </c>
      <c r="H389" s="17">
        <f>IF(G389&gt;0,'1 - Input'!$B$8/12*G389,0)</f>
        <v>0</v>
      </c>
      <c r="I389" s="17">
        <f t="shared" si="347"/>
        <v>0</v>
      </c>
      <c r="J389" s="17">
        <f t="shared" si="348"/>
        <v>0</v>
      </c>
      <c r="K389" s="17">
        <f>'1 - Input'!$B$22*(H389-J389)</f>
        <v>0</v>
      </c>
      <c r="L389" s="17">
        <f t="shared" si="349"/>
        <v>0</v>
      </c>
      <c r="M389" s="17">
        <f t="shared" si="350"/>
        <v>0</v>
      </c>
      <c r="N389" s="17">
        <f>IF('1 - Input'!$B$17=1,MAX(0,L389-D389),0)</f>
        <v>0</v>
      </c>
      <c r="O389" s="17">
        <f>IF('1 - Input'!$B$17=1,MAX(0,D389-L389),0)</f>
        <v>4700.7653566696026</v>
      </c>
      <c r="P389" s="17">
        <f t="shared" si="351"/>
        <v>0</v>
      </c>
      <c r="Q389" s="17">
        <f>IF(AND(O389&gt;0,I389&gt;0),O389/(1-'1 - Input'!$B$22*P389),0)</f>
        <v>0</v>
      </c>
      <c r="R389" s="17">
        <f t="shared" si="352"/>
        <v>0</v>
      </c>
      <c r="S389" s="17">
        <f>'1 - Input'!$B$22*P389*R389</f>
        <v>0</v>
      </c>
      <c r="T389" s="17">
        <f t="shared" si="353"/>
        <v>0</v>
      </c>
      <c r="U389" s="17">
        <f t="shared" si="354"/>
        <v>4700.7653566696026</v>
      </c>
      <c r="V389" s="17">
        <f t="shared" si="355"/>
        <v>0</v>
      </c>
      <c r="W389" s="17">
        <f t="shared" si="356"/>
        <v>0</v>
      </c>
      <c r="X389" s="17">
        <f t="shared" si="357"/>
        <v>0</v>
      </c>
      <c r="Y389" s="17">
        <f>IF(MOD(A389,12)=0,W389*'1 - Input'!$B$23,0)</f>
        <v>0</v>
      </c>
      <c r="Z389" s="17">
        <f t="shared" si="358"/>
        <v>0</v>
      </c>
      <c r="AA389" s="17">
        <f>IF(MOD(A389,12)=0,X389*(1-'1 - Input'!$B$23),X389)</f>
        <v>0</v>
      </c>
      <c r="AB389" s="17">
        <f>IF('1 - Input'!$B$17=1,MIN(L389,D389)+T389,L389)</f>
        <v>0</v>
      </c>
      <c r="AC389" s="17">
        <f t="shared" si="392"/>
        <v>590482.93849429931</v>
      </c>
      <c r="AD389" s="17">
        <f t="shared" si="393"/>
        <v>101441.90180685223</v>
      </c>
      <c r="AE389" s="17">
        <f t="shared" si="394"/>
        <v>0</v>
      </c>
      <c r="AF389" s="17">
        <f t="shared" si="395"/>
        <v>174289.24056370757</v>
      </c>
      <c r="AG389" s="17">
        <f t="shared" si="396"/>
        <v>8123.5662772395826</v>
      </c>
      <c r="AH389" s="17">
        <f t="shared" si="397"/>
        <v>656983.92907415656</v>
      </c>
      <c r="AI389" s="15">
        <f t="shared" si="359"/>
        <v>1</v>
      </c>
      <c r="AK389" s="14">
        <v>346</v>
      </c>
      <c r="AL389" s="15">
        <f t="shared" si="360"/>
        <v>29</v>
      </c>
      <c r="AM389" s="16">
        <f>(1+INDEX('1 - Input'!$B$34:$E$63,AL389,'1 - Input'!$B$16))^(1/12)-1</f>
        <v>4.1219243192651689E-3</v>
      </c>
      <c r="AN389" s="17">
        <f>'1 - Input'!$B$7*(1+'1 - Input'!$B$12)^(AL389-1)</f>
        <v>4700.7653566696026</v>
      </c>
      <c r="AO389" s="17">
        <f t="shared" si="398"/>
        <v>0</v>
      </c>
      <c r="AP389" s="17">
        <f t="shared" si="399"/>
        <v>0</v>
      </c>
      <c r="AQ389" s="17">
        <f t="shared" si="361"/>
        <v>0</v>
      </c>
      <c r="AR389" s="17">
        <f>IF(AQ389&gt;0,'1 - Input'!$B$8/12*AQ389,0)</f>
        <v>0</v>
      </c>
      <c r="AS389" s="17">
        <f t="shared" si="362"/>
        <v>0</v>
      </c>
      <c r="AT389" s="17">
        <f t="shared" si="363"/>
        <v>0</v>
      </c>
      <c r="AU389" s="17">
        <f>'1 - Input'!$B$22*(AR389-AT389)</f>
        <v>0</v>
      </c>
      <c r="AV389" s="17">
        <f t="shared" si="364"/>
        <v>0</v>
      </c>
      <c r="AW389" s="17">
        <f t="shared" si="365"/>
        <v>0</v>
      </c>
      <c r="AX389" s="17">
        <f>IF('1 - Input'!$B$17=1,MAX(0,AV389-AN389),0)</f>
        <v>0</v>
      </c>
      <c r="AY389" s="17">
        <f>IF('1 - Input'!$B$17=1,MAX(0,AN389-AV389),0)</f>
        <v>4700.7653566696026</v>
      </c>
      <c r="AZ389" s="17">
        <f t="shared" si="366"/>
        <v>0</v>
      </c>
      <c r="BA389" s="17">
        <f>IF(AND(AY389&gt;0,AS389&gt;0),AY389/(1-'1 - Input'!$B$22*AZ389),0)</f>
        <v>0</v>
      </c>
      <c r="BB389" s="17">
        <f t="shared" si="367"/>
        <v>0</v>
      </c>
      <c r="BC389" s="17">
        <f>'1 - Input'!$B$22*AZ389*BB389</f>
        <v>0</v>
      </c>
      <c r="BD389" s="17">
        <f t="shared" si="368"/>
        <v>0</v>
      </c>
      <c r="BE389" s="17">
        <f t="shared" si="369"/>
        <v>4700.7653566696026</v>
      </c>
      <c r="BF389" s="17">
        <f t="shared" si="370"/>
        <v>0</v>
      </c>
      <c r="BG389" s="17">
        <f t="shared" si="371"/>
        <v>0</v>
      </c>
      <c r="BH389" s="17">
        <f t="shared" si="372"/>
        <v>0</v>
      </c>
      <c r="BI389" s="17">
        <f>IF(MOD(AK389,12)=0,BG389*'1 - Input'!$B$23,0)</f>
        <v>0</v>
      </c>
      <c r="BJ389" s="17">
        <f t="shared" si="373"/>
        <v>0</v>
      </c>
      <c r="BK389" s="17">
        <f>IF(MOD(AK389,12)=0,BH389*(1-'1 - Input'!$B$23),BH389)</f>
        <v>0</v>
      </c>
      <c r="BL389" s="17">
        <f>IF('1 - Input'!$B$17=1,MIN(AV389,AN389)+BD389,AV389)</f>
        <v>0</v>
      </c>
      <c r="BM389" s="17">
        <f t="shared" si="400"/>
        <v>590482.93849429931</v>
      </c>
      <c r="BN389" s="17">
        <f t="shared" si="401"/>
        <v>101441.90180685223</v>
      </c>
      <c r="BO389" s="17">
        <f t="shared" si="402"/>
        <v>0</v>
      </c>
      <c r="BP389" s="17">
        <f t="shared" si="403"/>
        <v>174289.24056370757</v>
      </c>
      <c r="BQ389" s="17">
        <f t="shared" si="404"/>
        <v>8123.5662772395826</v>
      </c>
      <c r="BR389" s="17">
        <f t="shared" si="405"/>
        <v>656983.92907415656</v>
      </c>
      <c r="BS389" s="15">
        <f t="shared" si="374"/>
        <v>1</v>
      </c>
      <c r="BU389" s="14">
        <v>346</v>
      </c>
      <c r="BV389" s="15">
        <f t="shared" si="375"/>
        <v>29</v>
      </c>
      <c r="BW389" s="16">
        <f>(1+INDEX('1 - Input'!$B$34:$E$63,BV389,'1 - Input'!$B$16))^(1/12)-1</f>
        <v>4.1219243192651689E-3</v>
      </c>
      <c r="BX389" s="17">
        <f>'1 - Input'!$B$7*(1+'1 - Input'!$B$12)^(BV389-1)</f>
        <v>4700.7653566696026</v>
      </c>
      <c r="BY389" s="17">
        <f t="shared" si="406"/>
        <v>0</v>
      </c>
      <c r="BZ389" s="17">
        <f t="shared" si="407"/>
        <v>0</v>
      </c>
      <c r="CA389" s="17">
        <f t="shared" si="376"/>
        <v>0</v>
      </c>
      <c r="CB389" s="17">
        <f>IF(CA389&gt;0,'1 - Input'!$B$8/12*CA389,0)</f>
        <v>0</v>
      </c>
      <c r="CC389" s="17">
        <f t="shared" si="377"/>
        <v>0</v>
      </c>
      <c r="CD389" s="17">
        <f t="shared" si="378"/>
        <v>0</v>
      </c>
      <c r="CE389" s="17">
        <f>'1 - Input'!$B$22*(CB389-CD389)</f>
        <v>0</v>
      </c>
      <c r="CF389" s="17">
        <f t="shared" si="379"/>
        <v>0</v>
      </c>
      <c r="CG389" s="17">
        <f t="shared" si="380"/>
        <v>0</v>
      </c>
      <c r="CH389" s="17">
        <f>IF('1 - Input'!$B$17=1,MAX(0,CF389-BX389),0)</f>
        <v>0</v>
      </c>
      <c r="CI389" s="17">
        <f>IF('1 - Input'!$B$17=1,MAX(0,BX389-CF389),0)</f>
        <v>4700.7653566696026</v>
      </c>
      <c r="CJ389" s="17">
        <f t="shared" si="381"/>
        <v>0</v>
      </c>
      <c r="CK389" s="17">
        <f>IF(AND(CI389&gt;0,CC389&gt;0),CI389/(1-'1 - Input'!$B$22*CJ389),0)</f>
        <v>0</v>
      </c>
      <c r="CL389" s="17">
        <f t="shared" si="382"/>
        <v>0</v>
      </c>
      <c r="CM389" s="17">
        <f>'1 - Input'!$B$22*CJ389*CL389</f>
        <v>0</v>
      </c>
      <c r="CN389" s="17">
        <f t="shared" si="383"/>
        <v>0</v>
      </c>
      <c r="CO389" s="17">
        <f t="shared" si="384"/>
        <v>4700.7653566696026</v>
      </c>
      <c r="CP389" s="17">
        <f t="shared" si="385"/>
        <v>0</v>
      </c>
      <c r="CQ389" s="17">
        <f t="shared" si="386"/>
        <v>0</v>
      </c>
      <c r="CR389" s="17">
        <f t="shared" si="387"/>
        <v>0</v>
      </c>
      <c r="CS389" s="17">
        <f>IF(MOD(BU389,12)=0,CQ389*'1 - Input'!$B$23,0)</f>
        <v>0</v>
      </c>
      <c r="CT389" s="17">
        <f t="shared" si="388"/>
        <v>0</v>
      </c>
      <c r="CU389" s="17">
        <f>IF(MOD(BU389,12)=0,CR389*(1-'1 - Input'!$B$23),CR389)</f>
        <v>0</v>
      </c>
      <c r="CV389" s="17">
        <f>IF('1 - Input'!$B$17=1,MIN(CF389,BX389)+CN389,CF389)</f>
        <v>0</v>
      </c>
      <c r="CW389" s="17">
        <f t="shared" si="408"/>
        <v>686605.50041273201</v>
      </c>
      <c r="CX389" s="17">
        <f t="shared" si="409"/>
        <v>6018.3402768167462</v>
      </c>
      <c r="CY389" s="17">
        <f t="shared" si="410"/>
        <v>66518.776160328038</v>
      </c>
      <c r="CZ389" s="17">
        <f t="shared" si="411"/>
        <v>0</v>
      </c>
      <c r="DA389" s="17">
        <f t="shared" si="412"/>
        <v>10954.114452440983</v>
      </c>
      <c r="DB389" s="17">
        <f t="shared" si="413"/>
        <v>560861.36715572595</v>
      </c>
      <c r="DC389" s="15">
        <f t="shared" si="389"/>
        <v>1</v>
      </c>
    </row>
    <row r="390" spans="1:107">
      <c r="A390" s="14">
        <v>347</v>
      </c>
      <c r="B390" s="15">
        <f t="shared" si="345"/>
        <v>29</v>
      </c>
      <c r="C390" s="16">
        <f>(1+INDEX('1 - Input'!$B$34:$E$63,B390,'1 - Input'!$B$16))^(1/12)-1</f>
        <v>4.1219243192651689E-3</v>
      </c>
      <c r="D390" s="17">
        <f>'1 - Input'!$B$7*(1+'1 - Input'!$B$12)^(B390-1)</f>
        <v>4700.7653566696026</v>
      </c>
      <c r="E390" s="17">
        <f t="shared" si="390"/>
        <v>0</v>
      </c>
      <c r="F390" s="17">
        <f t="shared" si="391"/>
        <v>0</v>
      </c>
      <c r="G390" s="17">
        <f t="shared" si="346"/>
        <v>0</v>
      </c>
      <c r="H390" s="17">
        <f>IF(G390&gt;0,'1 - Input'!$B$8/12*G390,0)</f>
        <v>0</v>
      </c>
      <c r="I390" s="17">
        <f t="shared" si="347"/>
        <v>0</v>
      </c>
      <c r="J390" s="17">
        <f t="shared" si="348"/>
        <v>0</v>
      </c>
      <c r="K390" s="17">
        <f>'1 - Input'!$B$22*(H390-J390)</f>
        <v>0</v>
      </c>
      <c r="L390" s="17">
        <f t="shared" si="349"/>
        <v>0</v>
      </c>
      <c r="M390" s="17">
        <f t="shared" si="350"/>
        <v>0</v>
      </c>
      <c r="N390" s="17">
        <f>IF('1 - Input'!$B$17=1,MAX(0,L390-D390),0)</f>
        <v>0</v>
      </c>
      <c r="O390" s="17">
        <f>IF('1 - Input'!$B$17=1,MAX(0,D390-L390),0)</f>
        <v>4700.7653566696026</v>
      </c>
      <c r="P390" s="17">
        <f t="shared" si="351"/>
        <v>0</v>
      </c>
      <c r="Q390" s="17">
        <f>IF(AND(O390&gt;0,I390&gt;0),O390/(1-'1 - Input'!$B$22*P390),0)</f>
        <v>0</v>
      </c>
      <c r="R390" s="17">
        <f t="shared" si="352"/>
        <v>0</v>
      </c>
      <c r="S390" s="17">
        <f>'1 - Input'!$B$22*P390*R390</f>
        <v>0</v>
      </c>
      <c r="T390" s="17">
        <f t="shared" si="353"/>
        <v>0</v>
      </c>
      <c r="U390" s="17">
        <f t="shared" si="354"/>
        <v>4700.7653566696026</v>
      </c>
      <c r="V390" s="17">
        <f t="shared" si="355"/>
        <v>0</v>
      </c>
      <c r="W390" s="17">
        <f t="shared" si="356"/>
        <v>0</v>
      </c>
      <c r="X390" s="17">
        <f t="shared" si="357"/>
        <v>0</v>
      </c>
      <c r="Y390" s="17">
        <f>IF(MOD(A390,12)=0,W390*'1 - Input'!$B$23,0)</f>
        <v>0</v>
      </c>
      <c r="Z390" s="17">
        <f t="shared" si="358"/>
        <v>0</v>
      </c>
      <c r="AA390" s="17">
        <f>IF(MOD(A390,12)=0,X390*(1-'1 - Input'!$B$23),X390)</f>
        <v>0</v>
      </c>
      <c r="AB390" s="17">
        <f>IF('1 - Input'!$B$17=1,MIN(L390,D390)+T390,L390)</f>
        <v>0</v>
      </c>
      <c r="AC390" s="17">
        <f t="shared" si="392"/>
        <v>590482.93849429931</v>
      </c>
      <c r="AD390" s="17">
        <f t="shared" si="393"/>
        <v>101441.90180685223</v>
      </c>
      <c r="AE390" s="17">
        <f t="shared" si="394"/>
        <v>0</v>
      </c>
      <c r="AF390" s="17">
        <f t="shared" si="395"/>
        <v>174289.24056370757</v>
      </c>
      <c r="AG390" s="17">
        <f t="shared" si="396"/>
        <v>8123.5662772395826</v>
      </c>
      <c r="AH390" s="17">
        <f t="shared" si="397"/>
        <v>661684.69443082612</v>
      </c>
      <c r="AI390" s="15">
        <f t="shared" si="359"/>
        <v>1</v>
      </c>
      <c r="AK390" s="14">
        <v>347</v>
      </c>
      <c r="AL390" s="15">
        <f t="shared" si="360"/>
        <v>29</v>
      </c>
      <c r="AM390" s="16">
        <f>(1+INDEX('1 - Input'!$B$34:$E$63,AL390,'1 - Input'!$B$16))^(1/12)-1</f>
        <v>4.1219243192651689E-3</v>
      </c>
      <c r="AN390" s="17">
        <f>'1 - Input'!$B$7*(1+'1 - Input'!$B$12)^(AL390-1)</f>
        <v>4700.7653566696026</v>
      </c>
      <c r="AO390" s="17">
        <f t="shared" si="398"/>
        <v>0</v>
      </c>
      <c r="AP390" s="17">
        <f t="shared" si="399"/>
        <v>0</v>
      </c>
      <c r="AQ390" s="17">
        <f t="shared" si="361"/>
        <v>0</v>
      </c>
      <c r="AR390" s="17">
        <f>IF(AQ390&gt;0,'1 - Input'!$B$8/12*AQ390,0)</f>
        <v>0</v>
      </c>
      <c r="AS390" s="17">
        <f t="shared" si="362"/>
        <v>0</v>
      </c>
      <c r="AT390" s="17">
        <f t="shared" si="363"/>
        <v>0</v>
      </c>
      <c r="AU390" s="17">
        <f>'1 - Input'!$B$22*(AR390-AT390)</f>
        <v>0</v>
      </c>
      <c r="AV390" s="17">
        <f t="shared" si="364"/>
        <v>0</v>
      </c>
      <c r="AW390" s="17">
        <f t="shared" si="365"/>
        <v>0</v>
      </c>
      <c r="AX390" s="17">
        <f>IF('1 - Input'!$B$17=1,MAX(0,AV390-AN390),0)</f>
        <v>0</v>
      </c>
      <c r="AY390" s="17">
        <f>IF('1 - Input'!$B$17=1,MAX(0,AN390-AV390),0)</f>
        <v>4700.7653566696026</v>
      </c>
      <c r="AZ390" s="17">
        <f t="shared" si="366"/>
        <v>0</v>
      </c>
      <c r="BA390" s="17">
        <f>IF(AND(AY390&gt;0,AS390&gt;0),AY390/(1-'1 - Input'!$B$22*AZ390),0)</f>
        <v>0</v>
      </c>
      <c r="BB390" s="17">
        <f t="shared" si="367"/>
        <v>0</v>
      </c>
      <c r="BC390" s="17">
        <f>'1 - Input'!$B$22*AZ390*BB390</f>
        <v>0</v>
      </c>
      <c r="BD390" s="17">
        <f t="shared" si="368"/>
        <v>0</v>
      </c>
      <c r="BE390" s="17">
        <f t="shared" si="369"/>
        <v>4700.7653566696026</v>
      </c>
      <c r="BF390" s="17">
        <f t="shared" si="370"/>
        <v>0</v>
      </c>
      <c r="BG390" s="17">
        <f t="shared" si="371"/>
        <v>0</v>
      </c>
      <c r="BH390" s="17">
        <f t="shared" si="372"/>
        <v>0</v>
      </c>
      <c r="BI390" s="17">
        <f>IF(MOD(AK390,12)=0,BG390*'1 - Input'!$B$23,0)</f>
        <v>0</v>
      </c>
      <c r="BJ390" s="17">
        <f t="shared" si="373"/>
        <v>0</v>
      </c>
      <c r="BK390" s="17">
        <f>IF(MOD(AK390,12)=0,BH390*(1-'1 - Input'!$B$23),BH390)</f>
        <v>0</v>
      </c>
      <c r="BL390" s="17">
        <f>IF('1 - Input'!$B$17=1,MIN(AV390,AN390)+BD390,AV390)</f>
        <v>0</v>
      </c>
      <c r="BM390" s="17">
        <f t="shared" si="400"/>
        <v>590482.93849429931</v>
      </c>
      <c r="BN390" s="17">
        <f t="shared" si="401"/>
        <v>101441.90180685223</v>
      </c>
      <c r="BO390" s="17">
        <f t="shared" si="402"/>
        <v>0</v>
      </c>
      <c r="BP390" s="17">
        <f t="shared" si="403"/>
        <v>174289.24056370757</v>
      </c>
      <c r="BQ390" s="17">
        <f t="shared" si="404"/>
        <v>8123.5662772395826</v>
      </c>
      <c r="BR390" s="17">
        <f t="shared" si="405"/>
        <v>661684.69443082612</v>
      </c>
      <c r="BS390" s="15">
        <f t="shared" si="374"/>
        <v>1</v>
      </c>
      <c r="BU390" s="14">
        <v>347</v>
      </c>
      <c r="BV390" s="15">
        <f t="shared" si="375"/>
        <v>29</v>
      </c>
      <c r="BW390" s="16">
        <f>(1+INDEX('1 - Input'!$B$34:$E$63,BV390,'1 - Input'!$B$16))^(1/12)-1</f>
        <v>4.1219243192651689E-3</v>
      </c>
      <c r="BX390" s="17">
        <f>'1 - Input'!$B$7*(1+'1 - Input'!$B$12)^(BV390-1)</f>
        <v>4700.7653566696026</v>
      </c>
      <c r="BY390" s="17">
        <f t="shared" si="406"/>
        <v>0</v>
      </c>
      <c r="BZ390" s="17">
        <f t="shared" si="407"/>
        <v>0</v>
      </c>
      <c r="CA390" s="17">
        <f t="shared" si="376"/>
        <v>0</v>
      </c>
      <c r="CB390" s="17">
        <f>IF(CA390&gt;0,'1 - Input'!$B$8/12*CA390,0)</f>
        <v>0</v>
      </c>
      <c r="CC390" s="17">
        <f t="shared" si="377"/>
        <v>0</v>
      </c>
      <c r="CD390" s="17">
        <f t="shared" si="378"/>
        <v>0</v>
      </c>
      <c r="CE390" s="17">
        <f>'1 - Input'!$B$22*(CB390-CD390)</f>
        <v>0</v>
      </c>
      <c r="CF390" s="17">
        <f t="shared" si="379"/>
        <v>0</v>
      </c>
      <c r="CG390" s="17">
        <f t="shared" si="380"/>
        <v>0</v>
      </c>
      <c r="CH390" s="17">
        <f>IF('1 - Input'!$B$17=1,MAX(0,CF390-BX390),0)</f>
        <v>0</v>
      </c>
      <c r="CI390" s="17">
        <f>IF('1 - Input'!$B$17=1,MAX(0,BX390-CF390),0)</f>
        <v>4700.7653566696026</v>
      </c>
      <c r="CJ390" s="17">
        <f t="shared" si="381"/>
        <v>0</v>
      </c>
      <c r="CK390" s="17">
        <f>IF(AND(CI390&gt;0,CC390&gt;0),CI390/(1-'1 - Input'!$B$22*CJ390),0)</f>
        <v>0</v>
      </c>
      <c r="CL390" s="17">
        <f t="shared" si="382"/>
        <v>0</v>
      </c>
      <c r="CM390" s="17">
        <f>'1 - Input'!$B$22*CJ390*CL390</f>
        <v>0</v>
      </c>
      <c r="CN390" s="17">
        <f t="shared" si="383"/>
        <v>0</v>
      </c>
      <c r="CO390" s="17">
        <f t="shared" si="384"/>
        <v>4700.7653566696026</v>
      </c>
      <c r="CP390" s="17">
        <f t="shared" si="385"/>
        <v>0</v>
      </c>
      <c r="CQ390" s="17">
        <f t="shared" si="386"/>
        <v>0</v>
      </c>
      <c r="CR390" s="17">
        <f t="shared" si="387"/>
        <v>0</v>
      </c>
      <c r="CS390" s="17">
        <f>IF(MOD(BU390,12)=0,CQ390*'1 - Input'!$B$23,0)</f>
        <v>0</v>
      </c>
      <c r="CT390" s="17">
        <f t="shared" si="388"/>
        <v>0</v>
      </c>
      <c r="CU390" s="17">
        <f>IF(MOD(BU390,12)=0,CR390*(1-'1 - Input'!$B$23),CR390)</f>
        <v>0</v>
      </c>
      <c r="CV390" s="17">
        <f>IF('1 - Input'!$B$17=1,MIN(CF390,BX390)+CN390,CF390)</f>
        <v>0</v>
      </c>
      <c r="CW390" s="17">
        <f t="shared" si="408"/>
        <v>686605.50041273201</v>
      </c>
      <c r="CX390" s="17">
        <f t="shared" si="409"/>
        <v>6018.3402768167462</v>
      </c>
      <c r="CY390" s="17">
        <f t="shared" si="410"/>
        <v>66518.776160328038</v>
      </c>
      <c r="CZ390" s="17">
        <f t="shared" si="411"/>
        <v>0</v>
      </c>
      <c r="DA390" s="17">
        <f t="shared" si="412"/>
        <v>10954.114452440983</v>
      </c>
      <c r="DB390" s="17">
        <f t="shared" si="413"/>
        <v>565562.1325123955</v>
      </c>
      <c r="DC390" s="15">
        <f t="shared" si="389"/>
        <v>1</v>
      </c>
    </row>
    <row r="391" spans="1:107">
      <c r="A391" s="14">
        <v>348</v>
      </c>
      <c r="B391" s="15">
        <f t="shared" si="345"/>
        <v>29</v>
      </c>
      <c r="C391" s="16">
        <f>(1+INDEX('1 - Input'!$B$34:$E$63,B391,'1 - Input'!$B$16))^(1/12)-1</f>
        <v>4.1219243192651689E-3</v>
      </c>
      <c r="D391" s="17">
        <f>'1 - Input'!$B$7*(1+'1 - Input'!$B$12)^(B391-1)</f>
        <v>4700.7653566696026</v>
      </c>
      <c r="E391" s="17">
        <f t="shared" si="390"/>
        <v>0</v>
      </c>
      <c r="F391" s="17">
        <f t="shared" si="391"/>
        <v>0</v>
      </c>
      <c r="G391" s="17">
        <f t="shared" si="346"/>
        <v>0</v>
      </c>
      <c r="H391" s="17">
        <f>IF(G391&gt;0,'1 - Input'!$B$8/12*G391,0)</f>
        <v>0</v>
      </c>
      <c r="I391" s="17">
        <f t="shared" si="347"/>
        <v>0</v>
      </c>
      <c r="J391" s="17">
        <f t="shared" si="348"/>
        <v>0</v>
      </c>
      <c r="K391" s="17">
        <f>'1 - Input'!$B$22*(H391-J391)</f>
        <v>0</v>
      </c>
      <c r="L391" s="17">
        <f t="shared" si="349"/>
        <v>0</v>
      </c>
      <c r="M391" s="17">
        <f t="shared" si="350"/>
        <v>0</v>
      </c>
      <c r="N391" s="17">
        <f>IF('1 - Input'!$B$17=1,MAX(0,L391-D391),0)</f>
        <v>0</v>
      </c>
      <c r="O391" s="17">
        <f>IF('1 - Input'!$B$17=1,MAX(0,D391-L391),0)</f>
        <v>4700.7653566696026</v>
      </c>
      <c r="P391" s="17">
        <f t="shared" si="351"/>
        <v>0</v>
      </c>
      <c r="Q391" s="17">
        <f>IF(AND(O391&gt;0,I391&gt;0),O391/(1-'1 - Input'!$B$22*P391),0)</f>
        <v>0</v>
      </c>
      <c r="R391" s="17">
        <f t="shared" si="352"/>
        <v>0</v>
      </c>
      <c r="S391" s="17">
        <f>'1 - Input'!$B$22*P391*R391</f>
        <v>0</v>
      </c>
      <c r="T391" s="17">
        <f t="shared" si="353"/>
        <v>0</v>
      </c>
      <c r="U391" s="17">
        <f t="shared" si="354"/>
        <v>4700.7653566696026</v>
      </c>
      <c r="V391" s="17">
        <f t="shared" si="355"/>
        <v>0</v>
      </c>
      <c r="W391" s="17">
        <f t="shared" si="356"/>
        <v>0</v>
      </c>
      <c r="X391" s="17">
        <f t="shared" si="357"/>
        <v>0</v>
      </c>
      <c r="Y391" s="17">
        <f>IF(MOD(A391,12)=0,W391*'1 - Input'!$B$23,0)</f>
        <v>0</v>
      </c>
      <c r="Z391" s="17">
        <f t="shared" si="358"/>
        <v>0</v>
      </c>
      <c r="AA391" s="17">
        <f>IF(MOD(A391,12)=0,X391*(1-'1 - Input'!$B$23),X391)</f>
        <v>0</v>
      </c>
      <c r="AB391" s="17">
        <f>IF('1 - Input'!$B$17=1,MIN(L391,D391)+T391,L391)</f>
        <v>0</v>
      </c>
      <c r="AC391" s="17">
        <f t="shared" si="392"/>
        <v>590482.93849429931</v>
      </c>
      <c r="AD391" s="17">
        <f t="shared" si="393"/>
        <v>101441.90180685223</v>
      </c>
      <c r="AE391" s="17">
        <f t="shared" si="394"/>
        <v>0</v>
      </c>
      <c r="AF391" s="17">
        <f t="shared" si="395"/>
        <v>174289.24056370757</v>
      </c>
      <c r="AG391" s="17">
        <f t="shared" si="396"/>
        <v>8123.5662772395826</v>
      </c>
      <c r="AH391" s="17">
        <f t="shared" si="397"/>
        <v>666385.45978749567</v>
      </c>
      <c r="AI391" s="15">
        <f t="shared" si="359"/>
        <v>1</v>
      </c>
      <c r="AK391" s="14">
        <v>348</v>
      </c>
      <c r="AL391" s="15">
        <f t="shared" si="360"/>
        <v>29</v>
      </c>
      <c r="AM391" s="16">
        <f>(1+INDEX('1 - Input'!$B$34:$E$63,AL391,'1 - Input'!$B$16))^(1/12)-1</f>
        <v>4.1219243192651689E-3</v>
      </c>
      <c r="AN391" s="17">
        <f>'1 - Input'!$B$7*(1+'1 - Input'!$B$12)^(AL391-1)</f>
        <v>4700.7653566696026</v>
      </c>
      <c r="AO391" s="17">
        <f t="shared" si="398"/>
        <v>0</v>
      </c>
      <c r="AP391" s="17">
        <f t="shared" si="399"/>
        <v>0</v>
      </c>
      <c r="AQ391" s="17">
        <f t="shared" si="361"/>
        <v>0</v>
      </c>
      <c r="AR391" s="17">
        <f>IF(AQ391&gt;0,'1 - Input'!$B$8/12*AQ391,0)</f>
        <v>0</v>
      </c>
      <c r="AS391" s="17">
        <f t="shared" si="362"/>
        <v>0</v>
      </c>
      <c r="AT391" s="17">
        <f t="shared" si="363"/>
        <v>0</v>
      </c>
      <c r="AU391" s="17">
        <f>'1 - Input'!$B$22*(AR391-AT391)</f>
        <v>0</v>
      </c>
      <c r="AV391" s="17">
        <f t="shared" si="364"/>
        <v>0</v>
      </c>
      <c r="AW391" s="17">
        <f t="shared" si="365"/>
        <v>0</v>
      </c>
      <c r="AX391" s="17">
        <f>IF('1 - Input'!$B$17=1,MAX(0,AV391-AN391),0)</f>
        <v>0</v>
      </c>
      <c r="AY391" s="17">
        <f>IF('1 - Input'!$B$17=1,MAX(0,AN391-AV391),0)</f>
        <v>4700.7653566696026</v>
      </c>
      <c r="AZ391" s="17">
        <f t="shared" si="366"/>
        <v>0</v>
      </c>
      <c r="BA391" s="17">
        <f>IF(AND(AY391&gt;0,AS391&gt;0),AY391/(1-'1 - Input'!$B$22*AZ391),0)</f>
        <v>0</v>
      </c>
      <c r="BB391" s="17">
        <f t="shared" si="367"/>
        <v>0</v>
      </c>
      <c r="BC391" s="17">
        <f>'1 - Input'!$B$22*AZ391*BB391</f>
        <v>0</v>
      </c>
      <c r="BD391" s="17">
        <f t="shared" si="368"/>
        <v>0</v>
      </c>
      <c r="BE391" s="17">
        <f t="shared" si="369"/>
        <v>4700.7653566696026</v>
      </c>
      <c r="BF391" s="17">
        <f t="shared" si="370"/>
        <v>0</v>
      </c>
      <c r="BG391" s="17">
        <f t="shared" si="371"/>
        <v>0</v>
      </c>
      <c r="BH391" s="17">
        <f t="shared" si="372"/>
        <v>0</v>
      </c>
      <c r="BI391" s="17">
        <f>IF(MOD(AK391,12)=0,BG391*'1 - Input'!$B$23,0)</f>
        <v>0</v>
      </c>
      <c r="BJ391" s="17">
        <f t="shared" si="373"/>
        <v>0</v>
      </c>
      <c r="BK391" s="17">
        <f>IF(MOD(AK391,12)=0,BH391*(1-'1 - Input'!$B$23),BH391)</f>
        <v>0</v>
      </c>
      <c r="BL391" s="17">
        <f>IF('1 - Input'!$B$17=1,MIN(AV391,AN391)+BD391,AV391)</f>
        <v>0</v>
      </c>
      <c r="BM391" s="17">
        <f t="shared" si="400"/>
        <v>590482.93849429931</v>
      </c>
      <c r="BN391" s="17">
        <f t="shared" si="401"/>
        <v>101441.90180685223</v>
      </c>
      <c r="BO391" s="17">
        <f t="shared" si="402"/>
        <v>0</v>
      </c>
      <c r="BP391" s="17">
        <f t="shared" si="403"/>
        <v>174289.24056370757</v>
      </c>
      <c r="BQ391" s="17">
        <f t="shared" si="404"/>
        <v>8123.5662772395826</v>
      </c>
      <c r="BR391" s="17">
        <f t="shared" si="405"/>
        <v>666385.45978749567</v>
      </c>
      <c r="BS391" s="15">
        <f t="shared" si="374"/>
        <v>1</v>
      </c>
      <c r="BU391" s="14">
        <v>348</v>
      </c>
      <c r="BV391" s="15">
        <f t="shared" si="375"/>
        <v>29</v>
      </c>
      <c r="BW391" s="16">
        <f>(1+INDEX('1 - Input'!$B$34:$E$63,BV391,'1 - Input'!$B$16))^(1/12)-1</f>
        <v>4.1219243192651689E-3</v>
      </c>
      <c r="BX391" s="17">
        <f>'1 - Input'!$B$7*(1+'1 - Input'!$B$12)^(BV391-1)</f>
        <v>4700.7653566696026</v>
      </c>
      <c r="BY391" s="17">
        <f t="shared" si="406"/>
        <v>0</v>
      </c>
      <c r="BZ391" s="17">
        <f t="shared" si="407"/>
        <v>0</v>
      </c>
      <c r="CA391" s="17">
        <f t="shared" si="376"/>
        <v>0</v>
      </c>
      <c r="CB391" s="17">
        <f>IF(CA391&gt;0,'1 - Input'!$B$8/12*CA391,0)</f>
        <v>0</v>
      </c>
      <c r="CC391" s="17">
        <f t="shared" si="377"/>
        <v>0</v>
      </c>
      <c r="CD391" s="17">
        <f t="shared" si="378"/>
        <v>0</v>
      </c>
      <c r="CE391" s="17">
        <f>'1 - Input'!$B$22*(CB391-CD391)</f>
        <v>0</v>
      </c>
      <c r="CF391" s="17">
        <f t="shared" si="379"/>
        <v>0</v>
      </c>
      <c r="CG391" s="17">
        <f t="shared" si="380"/>
        <v>0</v>
      </c>
      <c r="CH391" s="17">
        <f>IF('1 - Input'!$B$17=1,MAX(0,CF391-BX391),0)</f>
        <v>0</v>
      </c>
      <c r="CI391" s="17">
        <f>IF('1 - Input'!$B$17=1,MAX(0,BX391-CF391),0)</f>
        <v>4700.7653566696026</v>
      </c>
      <c r="CJ391" s="17">
        <f t="shared" si="381"/>
        <v>0</v>
      </c>
      <c r="CK391" s="17">
        <f>IF(AND(CI391&gt;0,CC391&gt;0),CI391/(1-'1 - Input'!$B$22*CJ391),0)</f>
        <v>0</v>
      </c>
      <c r="CL391" s="17">
        <f t="shared" si="382"/>
        <v>0</v>
      </c>
      <c r="CM391" s="17">
        <f>'1 - Input'!$B$22*CJ391*CL391</f>
        <v>0</v>
      </c>
      <c r="CN391" s="17">
        <f t="shared" si="383"/>
        <v>0</v>
      </c>
      <c r="CO391" s="17">
        <f t="shared" si="384"/>
        <v>4700.7653566696026</v>
      </c>
      <c r="CP391" s="17">
        <f t="shared" si="385"/>
        <v>0</v>
      </c>
      <c r="CQ391" s="17">
        <f t="shared" si="386"/>
        <v>0</v>
      </c>
      <c r="CR391" s="17">
        <f t="shared" si="387"/>
        <v>0</v>
      </c>
      <c r="CS391" s="17">
        <f>IF(MOD(BU391,12)=0,CQ391*'1 - Input'!$B$23,0)</f>
        <v>0</v>
      </c>
      <c r="CT391" s="17">
        <f t="shared" si="388"/>
        <v>0</v>
      </c>
      <c r="CU391" s="17">
        <f>IF(MOD(BU391,12)=0,CR391*(1-'1 - Input'!$B$23),CR391)</f>
        <v>0</v>
      </c>
      <c r="CV391" s="17">
        <f>IF('1 - Input'!$B$17=1,MIN(CF391,BX391)+CN391,CF391)</f>
        <v>0</v>
      </c>
      <c r="CW391" s="17">
        <f t="shared" si="408"/>
        <v>686605.50041273201</v>
      </c>
      <c r="CX391" s="17">
        <f t="shared" si="409"/>
        <v>6018.3402768167462</v>
      </c>
      <c r="CY391" s="17">
        <f t="shared" si="410"/>
        <v>66518.776160328038</v>
      </c>
      <c r="CZ391" s="17">
        <f t="shared" si="411"/>
        <v>0</v>
      </c>
      <c r="DA391" s="17">
        <f t="shared" si="412"/>
        <v>10954.114452440983</v>
      </c>
      <c r="DB391" s="17">
        <f t="shared" si="413"/>
        <v>570262.89786906505</v>
      </c>
      <c r="DC391" s="15">
        <f t="shared" si="389"/>
        <v>1</v>
      </c>
    </row>
    <row r="392" spans="1:107">
      <c r="A392" s="14">
        <v>349</v>
      </c>
      <c r="B392" s="15">
        <f t="shared" si="345"/>
        <v>30</v>
      </c>
      <c r="C392" s="16">
        <f>(1+INDEX('1 - Input'!$B$34:$E$63,B392,'1 - Input'!$B$16))^(1/12)-1</f>
        <v>4.1219243192651689E-3</v>
      </c>
      <c r="D392" s="17">
        <f>'1 - Input'!$B$7*(1+'1 - Input'!$B$12)^(B392-1)</f>
        <v>4794.7806638029942</v>
      </c>
      <c r="E392" s="17">
        <f t="shared" si="390"/>
        <v>0</v>
      </c>
      <c r="F392" s="17">
        <f t="shared" si="391"/>
        <v>0</v>
      </c>
      <c r="G392" s="17">
        <f t="shared" si="346"/>
        <v>0</v>
      </c>
      <c r="H392" s="17">
        <f>IF(G392&gt;0,'1 - Input'!$B$8/12*G392,0)</f>
        <v>0</v>
      </c>
      <c r="I392" s="17">
        <f t="shared" si="347"/>
        <v>0</v>
      </c>
      <c r="J392" s="17">
        <f t="shared" si="348"/>
        <v>0</v>
      </c>
      <c r="K392" s="17">
        <f>'1 - Input'!$B$22*(H392-J392)</f>
        <v>0</v>
      </c>
      <c r="L392" s="17">
        <f t="shared" si="349"/>
        <v>0</v>
      </c>
      <c r="M392" s="17">
        <f t="shared" si="350"/>
        <v>0</v>
      </c>
      <c r="N392" s="17">
        <f>IF('1 - Input'!$B$17=1,MAX(0,L392-D392),0)</f>
        <v>0</v>
      </c>
      <c r="O392" s="17">
        <f>IF('1 - Input'!$B$17=1,MAX(0,D392-L392),0)</f>
        <v>4794.7806638029942</v>
      </c>
      <c r="P392" s="17">
        <f t="shared" si="351"/>
        <v>0</v>
      </c>
      <c r="Q392" s="17">
        <f>IF(AND(O392&gt;0,I392&gt;0),O392/(1-'1 - Input'!$B$22*P392),0)</f>
        <v>0</v>
      </c>
      <c r="R392" s="17">
        <f t="shared" si="352"/>
        <v>0</v>
      </c>
      <c r="S392" s="17">
        <f>'1 - Input'!$B$22*P392*R392</f>
        <v>0</v>
      </c>
      <c r="T392" s="17">
        <f t="shared" si="353"/>
        <v>0</v>
      </c>
      <c r="U392" s="17">
        <f t="shared" si="354"/>
        <v>4794.7806638029942</v>
      </c>
      <c r="V392" s="17">
        <f t="shared" si="355"/>
        <v>0</v>
      </c>
      <c r="W392" s="17">
        <f t="shared" si="356"/>
        <v>0</v>
      </c>
      <c r="X392" s="17">
        <f t="shared" si="357"/>
        <v>0</v>
      </c>
      <c r="Y392" s="17">
        <f>IF(MOD(A392,12)=0,W392*'1 - Input'!$B$23,0)</f>
        <v>0</v>
      </c>
      <c r="Z392" s="17">
        <f t="shared" si="358"/>
        <v>0</v>
      </c>
      <c r="AA392" s="17">
        <f>IF(MOD(A392,12)=0,X392*(1-'1 - Input'!$B$23),X392)</f>
        <v>0</v>
      </c>
      <c r="AB392" s="17">
        <f>IF('1 - Input'!$B$17=1,MIN(L392,D392)+T392,L392)</f>
        <v>0</v>
      </c>
      <c r="AC392" s="17">
        <f t="shared" si="392"/>
        <v>590482.93849429931</v>
      </c>
      <c r="AD392" s="17">
        <f t="shared" si="393"/>
        <v>101441.90180685223</v>
      </c>
      <c r="AE392" s="17">
        <f t="shared" si="394"/>
        <v>0</v>
      </c>
      <c r="AF392" s="17">
        <f t="shared" si="395"/>
        <v>174289.24056370757</v>
      </c>
      <c r="AG392" s="17">
        <f t="shared" si="396"/>
        <v>8123.5662772395826</v>
      </c>
      <c r="AH392" s="17">
        <f t="shared" si="397"/>
        <v>671180.24045129865</v>
      </c>
      <c r="AI392" s="15">
        <f t="shared" si="359"/>
        <v>1</v>
      </c>
      <c r="AK392" s="14">
        <v>349</v>
      </c>
      <c r="AL392" s="15">
        <f t="shared" si="360"/>
        <v>30</v>
      </c>
      <c r="AM392" s="16">
        <f>(1+INDEX('1 - Input'!$B$34:$E$63,AL392,'1 - Input'!$B$16))^(1/12)-1</f>
        <v>4.1219243192651689E-3</v>
      </c>
      <c r="AN392" s="17">
        <f>'1 - Input'!$B$7*(1+'1 - Input'!$B$12)^(AL392-1)</f>
        <v>4794.7806638029942</v>
      </c>
      <c r="AO392" s="17">
        <f t="shared" si="398"/>
        <v>0</v>
      </c>
      <c r="AP392" s="17">
        <f t="shared" si="399"/>
        <v>0</v>
      </c>
      <c r="AQ392" s="17">
        <f t="shared" si="361"/>
        <v>0</v>
      </c>
      <c r="AR392" s="17">
        <f>IF(AQ392&gt;0,'1 - Input'!$B$8/12*AQ392,0)</f>
        <v>0</v>
      </c>
      <c r="AS392" s="17">
        <f t="shared" si="362"/>
        <v>0</v>
      </c>
      <c r="AT392" s="17">
        <f t="shared" si="363"/>
        <v>0</v>
      </c>
      <c r="AU392" s="17">
        <f>'1 - Input'!$B$22*(AR392-AT392)</f>
        <v>0</v>
      </c>
      <c r="AV392" s="17">
        <f t="shared" si="364"/>
        <v>0</v>
      </c>
      <c r="AW392" s="17">
        <f t="shared" si="365"/>
        <v>0</v>
      </c>
      <c r="AX392" s="17">
        <f>IF('1 - Input'!$B$17=1,MAX(0,AV392-AN392),0)</f>
        <v>0</v>
      </c>
      <c r="AY392" s="17">
        <f>IF('1 - Input'!$B$17=1,MAX(0,AN392-AV392),0)</f>
        <v>4794.7806638029942</v>
      </c>
      <c r="AZ392" s="17">
        <f t="shared" si="366"/>
        <v>0</v>
      </c>
      <c r="BA392" s="17">
        <f>IF(AND(AY392&gt;0,AS392&gt;0),AY392/(1-'1 - Input'!$B$22*AZ392),0)</f>
        <v>0</v>
      </c>
      <c r="BB392" s="17">
        <f t="shared" si="367"/>
        <v>0</v>
      </c>
      <c r="BC392" s="17">
        <f>'1 - Input'!$B$22*AZ392*BB392</f>
        <v>0</v>
      </c>
      <c r="BD392" s="17">
        <f t="shared" si="368"/>
        <v>0</v>
      </c>
      <c r="BE392" s="17">
        <f t="shared" si="369"/>
        <v>4794.7806638029942</v>
      </c>
      <c r="BF392" s="17">
        <f t="shared" si="370"/>
        <v>0</v>
      </c>
      <c r="BG392" s="17">
        <f t="shared" si="371"/>
        <v>0</v>
      </c>
      <c r="BH392" s="17">
        <f t="shared" si="372"/>
        <v>0</v>
      </c>
      <c r="BI392" s="17">
        <f>IF(MOD(AK392,12)=0,BG392*'1 - Input'!$B$23,0)</f>
        <v>0</v>
      </c>
      <c r="BJ392" s="17">
        <f t="shared" si="373"/>
        <v>0</v>
      </c>
      <c r="BK392" s="17">
        <f>IF(MOD(AK392,12)=0,BH392*(1-'1 - Input'!$B$23),BH392)</f>
        <v>0</v>
      </c>
      <c r="BL392" s="17">
        <f>IF('1 - Input'!$B$17=1,MIN(AV392,AN392)+BD392,AV392)</f>
        <v>0</v>
      </c>
      <c r="BM392" s="17">
        <f t="shared" si="400"/>
        <v>590482.93849429931</v>
      </c>
      <c r="BN392" s="17">
        <f t="shared" si="401"/>
        <v>101441.90180685223</v>
      </c>
      <c r="BO392" s="17">
        <f t="shared" si="402"/>
        <v>0</v>
      </c>
      <c r="BP392" s="17">
        <f t="shared" si="403"/>
        <v>174289.24056370757</v>
      </c>
      <c r="BQ392" s="17">
        <f t="shared" si="404"/>
        <v>8123.5662772395826</v>
      </c>
      <c r="BR392" s="17">
        <f t="shared" si="405"/>
        <v>671180.24045129865</v>
      </c>
      <c r="BS392" s="15">
        <f t="shared" si="374"/>
        <v>1</v>
      </c>
      <c r="BU392" s="14">
        <v>349</v>
      </c>
      <c r="BV392" s="15">
        <f t="shared" si="375"/>
        <v>30</v>
      </c>
      <c r="BW392" s="16">
        <f>(1+INDEX('1 - Input'!$B$34:$E$63,BV392,'1 - Input'!$B$16))^(1/12)-1</f>
        <v>4.1219243192651689E-3</v>
      </c>
      <c r="BX392" s="17">
        <f>'1 - Input'!$B$7*(1+'1 - Input'!$B$12)^(BV392-1)</f>
        <v>4794.7806638029942</v>
      </c>
      <c r="BY392" s="17">
        <f t="shared" si="406"/>
        <v>0</v>
      </c>
      <c r="BZ392" s="17">
        <f t="shared" si="407"/>
        <v>0</v>
      </c>
      <c r="CA392" s="17">
        <f t="shared" si="376"/>
        <v>0</v>
      </c>
      <c r="CB392" s="17">
        <f>IF(CA392&gt;0,'1 - Input'!$B$8/12*CA392,0)</f>
        <v>0</v>
      </c>
      <c r="CC392" s="17">
        <f t="shared" si="377"/>
        <v>0</v>
      </c>
      <c r="CD392" s="17">
        <f t="shared" si="378"/>
        <v>0</v>
      </c>
      <c r="CE392" s="17">
        <f>'1 - Input'!$B$22*(CB392-CD392)</f>
        <v>0</v>
      </c>
      <c r="CF392" s="17">
        <f t="shared" si="379"/>
        <v>0</v>
      </c>
      <c r="CG392" s="17">
        <f t="shared" si="380"/>
        <v>0</v>
      </c>
      <c r="CH392" s="17">
        <f>IF('1 - Input'!$B$17=1,MAX(0,CF392-BX392),0)</f>
        <v>0</v>
      </c>
      <c r="CI392" s="17">
        <f>IF('1 - Input'!$B$17=1,MAX(0,BX392-CF392),0)</f>
        <v>4794.7806638029942</v>
      </c>
      <c r="CJ392" s="17">
        <f t="shared" si="381"/>
        <v>0</v>
      </c>
      <c r="CK392" s="17">
        <f>IF(AND(CI392&gt;0,CC392&gt;0),CI392/(1-'1 - Input'!$B$22*CJ392),0)</f>
        <v>0</v>
      </c>
      <c r="CL392" s="17">
        <f t="shared" si="382"/>
        <v>0</v>
      </c>
      <c r="CM392" s="17">
        <f>'1 - Input'!$B$22*CJ392*CL392</f>
        <v>0</v>
      </c>
      <c r="CN392" s="17">
        <f t="shared" si="383"/>
        <v>0</v>
      </c>
      <c r="CO392" s="17">
        <f t="shared" si="384"/>
        <v>4794.7806638029942</v>
      </c>
      <c r="CP392" s="17">
        <f t="shared" si="385"/>
        <v>0</v>
      </c>
      <c r="CQ392" s="17">
        <f t="shared" si="386"/>
        <v>0</v>
      </c>
      <c r="CR392" s="17">
        <f t="shared" si="387"/>
        <v>0</v>
      </c>
      <c r="CS392" s="17">
        <f>IF(MOD(BU392,12)=0,CQ392*'1 - Input'!$B$23,0)</f>
        <v>0</v>
      </c>
      <c r="CT392" s="17">
        <f t="shared" si="388"/>
        <v>0</v>
      </c>
      <c r="CU392" s="17">
        <f>IF(MOD(BU392,12)=0,CR392*(1-'1 - Input'!$B$23),CR392)</f>
        <v>0</v>
      </c>
      <c r="CV392" s="17">
        <f>IF('1 - Input'!$B$17=1,MIN(CF392,BX392)+CN392,CF392)</f>
        <v>0</v>
      </c>
      <c r="CW392" s="17">
        <f t="shared" si="408"/>
        <v>686605.50041273201</v>
      </c>
      <c r="CX392" s="17">
        <f t="shared" si="409"/>
        <v>6018.3402768167462</v>
      </c>
      <c r="CY392" s="17">
        <f t="shared" si="410"/>
        <v>66518.776160328038</v>
      </c>
      <c r="CZ392" s="17">
        <f t="shared" si="411"/>
        <v>0</v>
      </c>
      <c r="DA392" s="17">
        <f t="shared" si="412"/>
        <v>10954.114452440983</v>
      </c>
      <c r="DB392" s="17">
        <f t="shared" si="413"/>
        <v>575057.67853286804</v>
      </c>
      <c r="DC392" s="15">
        <f t="shared" si="389"/>
        <v>1</v>
      </c>
    </row>
    <row r="393" spans="1:107">
      <c r="A393" s="14">
        <v>350</v>
      </c>
      <c r="B393" s="15">
        <f t="shared" si="345"/>
        <v>30</v>
      </c>
      <c r="C393" s="16">
        <f>(1+INDEX('1 - Input'!$B$34:$E$63,B393,'1 - Input'!$B$16))^(1/12)-1</f>
        <v>4.1219243192651689E-3</v>
      </c>
      <c r="D393" s="17">
        <f>'1 - Input'!$B$7*(1+'1 - Input'!$B$12)^(B393-1)</f>
        <v>4794.7806638029942</v>
      </c>
      <c r="E393" s="17">
        <f t="shared" si="390"/>
        <v>0</v>
      </c>
      <c r="F393" s="17">
        <f t="shared" si="391"/>
        <v>0</v>
      </c>
      <c r="G393" s="17">
        <f t="shared" si="346"/>
        <v>0</v>
      </c>
      <c r="H393" s="17">
        <f>IF(G393&gt;0,'1 - Input'!$B$8/12*G393,0)</f>
        <v>0</v>
      </c>
      <c r="I393" s="17">
        <f t="shared" si="347"/>
        <v>0</v>
      </c>
      <c r="J393" s="17">
        <f t="shared" si="348"/>
        <v>0</v>
      </c>
      <c r="K393" s="17">
        <f>'1 - Input'!$B$22*(H393-J393)</f>
        <v>0</v>
      </c>
      <c r="L393" s="17">
        <f t="shared" si="349"/>
        <v>0</v>
      </c>
      <c r="M393" s="17">
        <f t="shared" si="350"/>
        <v>0</v>
      </c>
      <c r="N393" s="17">
        <f>IF('1 - Input'!$B$17=1,MAX(0,L393-D393),0)</f>
        <v>0</v>
      </c>
      <c r="O393" s="17">
        <f>IF('1 - Input'!$B$17=1,MAX(0,D393-L393),0)</f>
        <v>4794.7806638029942</v>
      </c>
      <c r="P393" s="17">
        <f t="shared" si="351"/>
        <v>0</v>
      </c>
      <c r="Q393" s="17">
        <f>IF(AND(O393&gt;0,I393&gt;0),O393/(1-'1 - Input'!$B$22*P393),0)</f>
        <v>0</v>
      </c>
      <c r="R393" s="17">
        <f t="shared" si="352"/>
        <v>0</v>
      </c>
      <c r="S393" s="17">
        <f>'1 - Input'!$B$22*P393*R393</f>
        <v>0</v>
      </c>
      <c r="T393" s="17">
        <f t="shared" si="353"/>
        <v>0</v>
      </c>
      <c r="U393" s="17">
        <f t="shared" si="354"/>
        <v>4794.7806638029942</v>
      </c>
      <c r="V393" s="17">
        <f t="shared" si="355"/>
        <v>0</v>
      </c>
      <c r="W393" s="17">
        <f t="shared" si="356"/>
        <v>0</v>
      </c>
      <c r="X393" s="17">
        <f t="shared" si="357"/>
        <v>0</v>
      </c>
      <c r="Y393" s="17">
        <f>IF(MOD(A393,12)=0,W393*'1 - Input'!$B$23,0)</f>
        <v>0</v>
      </c>
      <c r="Z393" s="17">
        <f t="shared" si="358"/>
        <v>0</v>
      </c>
      <c r="AA393" s="17">
        <f>IF(MOD(A393,12)=0,X393*(1-'1 - Input'!$B$23),X393)</f>
        <v>0</v>
      </c>
      <c r="AB393" s="17">
        <f>IF('1 - Input'!$B$17=1,MIN(L393,D393)+T393,L393)</f>
        <v>0</v>
      </c>
      <c r="AC393" s="17">
        <f t="shared" si="392"/>
        <v>590482.93849429931</v>
      </c>
      <c r="AD393" s="17">
        <f t="shared" si="393"/>
        <v>101441.90180685223</v>
      </c>
      <c r="AE393" s="17">
        <f t="shared" si="394"/>
        <v>0</v>
      </c>
      <c r="AF393" s="17">
        <f t="shared" si="395"/>
        <v>174289.24056370757</v>
      </c>
      <c r="AG393" s="17">
        <f t="shared" si="396"/>
        <v>8123.5662772395826</v>
      </c>
      <c r="AH393" s="17">
        <f t="shared" si="397"/>
        <v>675975.02111510164</v>
      </c>
      <c r="AI393" s="15">
        <f t="shared" si="359"/>
        <v>1</v>
      </c>
      <c r="AK393" s="14">
        <v>350</v>
      </c>
      <c r="AL393" s="15">
        <f t="shared" si="360"/>
        <v>30</v>
      </c>
      <c r="AM393" s="16">
        <f>(1+INDEX('1 - Input'!$B$34:$E$63,AL393,'1 - Input'!$B$16))^(1/12)-1</f>
        <v>4.1219243192651689E-3</v>
      </c>
      <c r="AN393" s="17">
        <f>'1 - Input'!$B$7*(1+'1 - Input'!$B$12)^(AL393-1)</f>
        <v>4794.7806638029942</v>
      </c>
      <c r="AO393" s="17">
        <f t="shared" si="398"/>
        <v>0</v>
      </c>
      <c r="AP393" s="17">
        <f t="shared" si="399"/>
        <v>0</v>
      </c>
      <c r="AQ393" s="17">
        <f t="shared" si="361"/>
        <v>0</v>
      </c>
      <c r="AR393" s="17">
        <f>IF(AQ393&gt;0,'1 - Input'!$B$8/12*AQ393,0)</f>
        <v>0</v>
      </c>
      <c r="AS393" s="17">
        <f t="shared" si="362"/>
        <v>0</v>
      </c>
      <c r="AT393" s="17">
        <f t="shared" si="363"/>
        <v>0</v>
      </c>
      <c r="AU393" s="17">
        <f>'1 - Input'!$B$22*(AR393-AT393)</f>
        <v>0</v>
      </c>
      <c r="AV393" s="17">
        <f t="shared" si="364"/>
        <v>0</v>
      </c>
      <c r="AW393" s="17">
        <f t="shared" si="365"/>
        <v>0</v>
      </c>
      <c r="AX393" s="17">
        <f>IF('1 - Input'!$B$17=1,MAX(0,AV393-AN393),0)</f>
        <v>0</v>
      </c>
      <c r="AY393" s="17">
        <f>IF('1 - Input'!$B$17=1,MAX(0,AN393-AV393),0)</f>
        <v>4794.7806638029942</v>
      </c>
      <c r="AZ393" s="17">
        <f t="shared" si="366"/>
        <v>0</v>
      </c>
      <c r="BA393" s="17">
        <f>IF(AND(AY393&gt;0,AS393&gt;0),AY393/(1-'1 - Input'!$B$22*AZ393),0)</f>
        <v>0</v>
      </c>
      <c r="BB393" s="17">
        <f t="shared" si="367"/>
        <v>0</v>
      </c>
      <c r="BC393" s="17">
        <f>'1 - Input'!$B$22*AZ393*BB393</f>
        <v>0</v>
      </c>
      <c r="BD393" s="17">
        <f t="shared" si="368"/>
        <v>0</v>
      </c>
      <c r="BE393" s="17">
        <f t="shared" si="369"/>
        <v>4794.7806638029942</v>
      </c>
      <c r="BF393" s="17">
        <f t="shared" si="370"/>
        <v>0</v>
      </c>
      <c r="BG393" s="17">
        <f t="shared" si="371"/>
        <v>0</v>
      </c>
      <c r="BH393" s="17">
        <f t="shared" si="372"/>
        <v>0</v>
      </c>
      <c r="BI393" s="17">
        <f>IF(MOD(AK393,12)=0,BG393*'1 - Input'!$B$23,0)</f>
        <v>0</v>
      </c>
      <c r="BJ393" s="17">
        <f t="shared" si="373"/>
        <v>0</v>
      </c>
      <c r="BK393" s="17">
        <f>IF(MOD(AK393,12)=0,BH393*(1-'1 - Input'!$B$23),BH393)</f>
        <v>0</v>
      </c>
      <c r="BL393" s="17">
        <f>IF('1 - Input'!$B$17=1,MIN(AV393,AN393)+BD393,AV393)</f>
        <v>0</v>
      </c>
      <c r="BM393" s="17">
        <f t="shared" si="400"/>
        <v>590482.93849429931</v>
      </c>
      <c r="BN393" s="17">
        <f t="shared" si="401"/>
        <v>101441.90180685223</v>
      </c>
      <c r="BO393" s="17">
        <f t="shared" si="402"/>
        <v>0</v>
      </c>
      <c r="BP393" s="17">
        <f t="shared" si="403"/>
        <v>174289.24056370757</v>
      </c>
      <c r="BQ393" s="17">
        <f t="shared" si="404"/>
        <v>8123.5662772395826</v>
      </c>
      <c r="BR393" s="17">
        <f t="shared" si="405"/>
        <v>675975.02111510164</v>
      </c>
      <c r="BS393" s="15">
        <f t="shared" si="374"/>
        <v>1</v>
      </c>
      <c r="BU393" s="14">
        <v>350</v>
      </c>
      <c r="BV393" s="15">
        <f t="shared" si="375"/>
        <v>30</v>
      </c>
      <c r="BW393" s="16">
        <f>(1+INDEX('1 - Input'!$B$34:$E$63,BV393,'1 - Input'!$B$16))^(1/12)-1</f>
        <v>4.1219243192651689E-3</v>
      </c>
      <c r="BX393" s="17">
        <f>'1 - Input'!$B$7*(1+'1 - Input'!$B$12)^(BV393-1)</f>
        <v>4794.7806638029942</v>
      </c>
      <c r="BY393" s="17">
        <f t="shared" si="406"/>
        <v>0</v>
      </c>
      <c r="BZ393" s="17">
        <f t="shared" si="407"/>
        <v>0</v>
      </c>
      <c r="CA393" s="17">
        <f t="shared" si="376"/>
        <v>0</v>
      </c>
      <c r="CB393" s="17">
        <f>IF(CA393&gt;0,'1 - Input'!$B$8/12*CA393,0)</f>
        <v>0</v>
      </c>
      <c r="CC393" s="17">
        <f t="shared" si="377"/>
        <v>0</v>
      </c>
      <c r="CD393" s="17">
        <f t="shared" si="378"/>
        <v>0</v>
      </c>
      <c r="CE393" s="17">
        <f>'1 - Input'!$B$22*(CB393-CD393)</f>
        <v>0</v>
      </c>
      <c r="CF393" s="17">
        <f t="shared" si="379"/>
        <v>0</v>
      </c>
      <c r="CG393" s="17">
        <f t="shared" si="380"/>
        <v>0</v>
      </c>
      <c r="CH393" s="17">
        <f>IF('1 - Input'!$B$17=1,MAX(0,CF393-BX393),0)</f>
        <v>0</v>
      </c>
      <c r="CI393" s="17">
        <f>IF('1 - Input'!$B$17=1,MAX(0,BX393-CF393),0)</f>
        <v>4794.7806638029942</v>
      </c>
      <c r="CJ393" s="17">
        <f t="shared" si="381"/>
        <v>0</v>
      </c>
      <c r="CK393" s="17">
        <f>IF(AND(CI393&gt;0,CC393&gt;0),CI393/(1-'1 - Input'!$B$22*CJ393),0)</f>
        <v>0</v>
      </c>
      <c r="CL393" s="17">
        <f t="shared" si="382"/>
        <v>0</v>
      </c>
      <c r="CM393" s="17">
        <f>'1 - Input'!$B$22*CJ393*CL393</f>
        <v>0</v>
      </c>
      <c r="CN393" s="17">
        <f t="shared" si="383"/>
        <v>0</v>
      </c>
      <c r="CO393" s="17">
        <f t="shared" si="384"/>
        <v>4794.7806638029942</v>
      </c>
      <c r="CP393" s="17">
        <f t="shared" si="385"/>
        <v>0</v>
      </c>
      <c r="CQ393" s="17">
        <f t="shared" si="386"/>
        <v>0</v>
      </c>
      <c r="CR393" s="17">
        <f t="shared" si="387"/>
        <v>0</v>
      </c>
      <c r="CS393" s="17">
        <f>IF(MOD(BU393,12)=0,CQ393*'1 - Input'!$B$23,0)</f>
        <v>0</v>
      </c>
      <c r="CT393" s="17">
        <f t="shared" si="388"/>
        <v>0</v>
      </c>
      <c r="CU393" s="17">
        <f>IF(MOD(BU393,12)=0,CR393*(1-'1 - Input'!$B$23),CR393)</f>
        <v>0</v>
      </c>
      <c r="CV393" s="17">
        <f>IF('1 - Input'!$B$17=1,MIN(CF393,BX393)+CN393,CF393)</f>
        <v>0</v>
      </c>
      <c r="CW393" s="17">
        <f t="shared" si="408"/>
        <v>686605.50041273201</v>
      </c>
      <c r="CX393" s="17">
        <f t="shared" si="409"/>
        <v>6018.3402768167462</v>
      </c>
      <c r="CY393" s="17">
        <f t="shared" si="410"/>
        <v>66518.776160328038</v>
      </c>
      <c r="CZ393" s="17">
        <f t="shared" si="411"/>
        <v>0</v>
      </c>
      <c r="DA393" s="17">
        <f t="shared" si="412"/>
        <v>10954.114452440983</v>
      </c>
      <c r="DB393" s="17">
        <f t="shared" si="413"/>
        <v>579852.45919667103</v>
      </c>
      <c r="DC393" s="15">
        <f t="shared" si="389"/>
        <v>1</v>
      </c>
    </row>
    <row r="394" spans="1:107">
      <c r="A394" s="14">
        <v>351</v>
      </c>
      <c r="B394" s="15">
        <f t="shared" si="345"/>
        <v>30</v>
      </c>
      <c r="C394" s="16">
        <f>(1+INDEX('1 - Input'!$B$34:$E$63,B394,'1 - Input'!$B$16))^(1/12)-1</f>
        <v>4.1219243192651689E-3</v>
      </c>
      <c r="D394" s="17">
        <f>'1 - Input'!$B$7*(1+'1 - Input'!$B$12)^(B394-1)</f>
        <v>4794.7806638029942</v>
      </c>
      <c r="E394" s="17">
        <f t="shared" si="390"/>
        <v>0</v>
      </c>
      <c r="F394" s="17">
        <f t="shared" si="391"/>
        <v>0</v>
      </c>
      <c r="G394" s="17">
        <f t="shared" si="346"/>
        <v>0</v>
      </c>
      <c r="H394" s="17">
        <f>IF(G394&gt;0,'1 - Input'!$B$8/12*G394,0)</f>
        <v>0</v>
      </c>
      <c r="I394" s="17">
        <f t="shared" si="347"/>
        <v>0</v>
      </c>
      <c r="J394" s="17">
        <f t="shared" si="348"/>
        <v>0</v>
      </c>
      <c r="K394" s="17">
        <f>'1 - Input'!$B$22*(H394-J394)</f>
        <v>0</v>
      </c>
      <c r="L394" s="17">
        <f t="shared" si="349"/>
        <v>0</v>
      </c>
      <c r="M394" s="17">
        <f t="shared" si="350"/>
        <v>0</v>
      </c>
      <c r="N394" s="17">
        <f>IF('1 - Input'!$B$17=1,MAX(0,L394-D394),0)</f>
        <v>0</v>
      </c>
      <c r="O394" s="17">
        <f>IF('1 - Input'!$B$17=1,MAX(0,D394-L394),0)</f>
        <v>4794.7806638029942</v>
      </c>
      <c r="P394" s="17">
        <f t="shared" si="351"/>
        <v>0</v>
      </c>
      <c r="Q394" s="17">
        <f>IF(AND(O394&gt;0,I394&gt;0),O394/(1-'1 - Input'!$B$22*P394),0)</f>
        <v>0</v>
      </c>
      <c r="R394" s="17">
        <f t="shared" si="352"/>
        <v>0</v>
      </c>
      <c r="S394" s="17">
        <f>'1 - Input'!$B$22*P394*R394</f>
        <v>0</v>
      </c>
      <c r="T394" s="17">
        <f t="shared" si="353"/>
        <v>0</v>
      </c>
      <c r="U394" s="17">
        <f t="shared" si="354"/>
        <v>4794.7806638029942</v>
      </c>
      <c r="V394" s="17">
        <f t="shared" si="355"/>
        <v>0</v>
      </c>
      <c r="W394" s="17">
        <f t="shared" si="356"/>
        <v>0</v>
      </c>
      <c r="X394" s="17">
        <f t="shared" si="357"/>
        <v>0</v>
      </c>
      <c r="Y394" s="17">
        <f>IF(MOD(A394,12)=0,W394*'1 - Input'!$B$23,0)</f>
        <v>0</v>
      </c>
      <c r="Z394" s="17">
        <f t="shared" si="358"/>
        <v>0</v>
      </c>
      <c r="AA394" s="17">
        <f>IF(MOD(A394,12)=0,X394*(1-'1 - Input'!$B$23),X394)</f>
        <v>0</v>
      </c>
      <c r="AB394" s="17">
        <f>IF('1 - Input'!$B$17=1,MIN(L394,D394)+T394,L394)</f>
        <v>0</v>
      </c>
      <c r="AC394" s="17">
        <f t="shared" si="392"/>
        <v>590482.93849429931</v>
      </c>
      <c r="AD394" s="17">
        <f t="shared" si="393"/>
        <v>101441.90180685223</v>
      </c>
      <c r="AE394" s="17">
        <f t="shared" si="394"/>
        <v>0</v>
      </c>
      <c r="AF394" s="17">
        <f t="shared" si="395"/>
        <v>174289.24056370757</v>
      </c>
      <c r="AG394" s="17">
        <f t="shared" si="396"/>
        <v>8123.5662772395826</v>
      </c>
      <c r="AH394" s="17">
        <f t="shared" si="397"/>
        <v>680769.80177890463</v>
      </c>
      <c r="AI394" s="15">
        <f t="shared" si="359"/>
        <v>1</v>
      </c>
      <c r="AK394" s="14">
        <v>351</v>
      </c>
      <c r="AL394" s="15">
        <f t="shared" si="360"/>
        <v>30</v>
      </c>
      <c r="AM394" s="16">
        <f>(1+INDEX('1 - Input'!$B$34:$E$63,AL394,'1 - Input'!$B$16))^(1/12)-1</f>
        <v>4.1219243192651689E-3</v>
      </c>
      <c r="AN394" s="17">
        <f>'1 - Input'!$B$7*(1+'1 - Input'!$B$12)^(AL394-1)</f>
        <v>4794.7806638029942</v>
      </c>
      <c r="AO394" s="17">
        <f t="shared" si="398"/>
        <v>0</v>
      </c>
      <c r="AP394" s="17">
        <f t="shared" si="399"/>
        <v>0</v>
      </c>
      <c r="AQ394" s="17">
        <f t="shared" si="361"/>
        <v>0</v>
      </c>
      <c r="AR394" s="17">
        <f>IF(AQ394&gt;0,'1 - Input'!$B$8/12*AQ394,0)</f>
        <v>0</v>
      </c>
      <c r="AS394" s="17">
        <f t="shared" si="362"/>
        <v>0</v>
      </c>
      <c r="AT394" s="17">
        <f t="shared" si="363"/>
        <v>0</v>
      </c>
      <c r="AU394" s="17">
        <f>'1 - Input'!$B$22*(AR394-AT394)</f>
        <v>0</v>
      </c>
      <c r="AV394" s="17">
        <f t="shared" si="364"/>
        <v>0</v>
      </c>
      <c r="AW394" s="17">
        <f t="shared" si="365"/>
        <v>0</v>
      </c>
      <c r="AX394" s="17">
        <f>IF('1 - Input'!$B$17=1,MAX(0,AV394-AN394),0)</f>
        <v>0</v>
      </c>
      <c r="AY394" s="17">
        <f>IF('1 - Input'!$B$17=1,MAX(0,AN394-AV394),0)</f>
        <v>4794.7806638029942</v>
      </c>
      <c r="AZ394" s="17">
        <f t="shared" si="366"/>
        <v>0</v>
      </c>
      <c r="BA394" s="17">
        <f>IF(AND(AY394&gt;0,AS394&gt;0),AY394/(1-'1 - Input'!$B$22*AZ394),0)</f>
        <v>0</v>
      </c>
      <c r="BB394" s="17">
        <f t="shared" si="367"/>
        <v>0</v>
      </c>
      <c r="BC394" s="17">
        <f>'1 - Input'!$B$22*AZ394*BB394</f>
        <v>0</v>
      </c>
      <c r="BD394" s="17">
        <f t="shared" si="368"/>
        <v>0</v>
      </c>
      <c r="BE394" s="17">
        <f t="shared" si="369"/>
        <v>4794.7806638029942</v>
      </c>
      <c r="BF394" s="17">
        <f t="shared" si="370"/>
        <v>0</v>
      </c>
      <c r="BG394" s="17">
        <f t="shared" si="371"/>
        <v>0</v>
      </c>
      <c r="BH394" s="17">
        <f t="shared" si="372"/>
        <v>0</v>
      </c>
      <c r="BI394" s="17">
        <f>IF(MOD(AK394,12)=0,BG394*'1 - Input'!$B$23,0)</f>
        <v>0</v>
      </c>
      <c r="BJ394" s="17">
        <f t="shared" si="373"/>
        <v>0</v>
      </c>
      <c r="BK394" s="17">
        <f>IF(MOD(AK394,12)=0,BH394*(1-'1 - Input'!$B$23),BH394)</f>
        <v>0</v>
      </c>
      <c r="BL394" s="17">
        <f>IF('1 - Input'!$B$17=1,MIN(AV394,AN394)+BD394,AV394)</f>
        <v>0</v>
      </c>
      <c r="BM394" s="17">
        <f t="shared" si="400"/>
        <v>590482.93849429931</v>
      </c>
      <c r="BN394" s="17">
        <f t="shared" si="401"/>
        <v>101441.90180685223</v>
      </c>
      <c r="BO394" s="17">
        <f t="shared" si="402"/>
        <v>0</v>
      </c>
      <c r="BP394" s="17">
        <f t="shared" si="403"/>
        <v>174289.24056370757</v>
      </c>
      <c r="BQ394" s="17">
        <f t="shared" si="404"/>
        <v>8123.5662772395826</v>
      </c>
      <c r="BR394" s="17">
        <f t="shared" si="405"/>
        <v>680769.80177890463</v>
      </c>
      <c r="BS394" s="15">
        <f t="shared" si="374"/>
        <v>1</v>
      </c>
      <c r="BU394" s="14">
        <v>351</v>
      </c>
      <c r="BV394" s="15">
        <f t="shared" si="375"/>
        <v>30</v>
      </c>
      <c r="BW394" s="16">
        <f>(1+INDEX('1 - Input'!$B$34:$E$63,BV394,'1 - Input'!$B$16))^(1/12)-1</f>
        <v>4.1219243192651689E-3</v>
      </c>
      <c r="BX394" s="17">
        <f>'1 - Input'!$B$7*(1+'1 - Input'!$B$12)^(BV394-1)</f>
        <v>4794.7806638029942</v>
      </c>
      <c r="BY394" s="17">
        <f t="shared" si="406"/>
        <v>0</v>
      </c>
      <c r="BZ394" s="17">
        <f t="shared" si="407"/>
        <v>0</v>
      </c>
      <c r="CA394" s="17">
        <f t="shared" si="376"/>
        <v>0</v>
      </c>
      <c r="CB394" s="17">
        <f>IF(CA394&gt;0,'1 - Input'!$B$8/12*CA394,0)</f>
        <v>0</v>
      </c>
      <c r="CC394" s="17">
        <f t="shared" si="377"/>
        <v>0</v>
      </c>
      <c r="CD394" s="17">
        <f t="shared" si="378"/>
        <v>0</v>
      </c>
      <c r="CE394" s="17">
        <f>'1 - Input'!$B$22*(CB394-CD394)</f>
        <v>0</v>
      </c>
      <c r="CF394" s="17">
        <f t="shared" si="379"/>
        <v>0</v>
      </c>
      <c r="CG394" s="17">
        <f t="shared" si="380"/>
        <v>0</v>
      </c>
      <c r="CH394" s="17">
        <f>IF('1 - Input'!$B$17=1,MAX(0,CF394-BX394),0)</f>
        <v>0</v>
      </c>
      <c r="CI394" s="17">
        <f>IF('1 - Input'!$B$17=1,MAX(0,BX394-CF394),0)</f>
        <v>4794.7806638029942</v>
      </c>
      <c r="CJ394" s="17">
        <f t="shared" si="381"/>
        <v>0</v>
      </c>
      <c r="CK394" s="17">
        <f>IF(AND(CI394&gt;0,CC394&gt;0),CI394/(1-'1 - Input'!$B$22*CJ394),0)</f>
        <v>0</v>
      </c>
      <c r="CL394" s="17">
        <f t="shared" si="382"/>
        <v>0</v>
      </c>
      <c r="CM394" s="17">
        <f>'1 - Input'!$B$22*CJ394*CL394</f>
        <v>0</v>
      </c>
      <c r="CN394" s="17">
        <f t="shared" si="383"/>
        <v>0</v>
      </c>
      <c r="CO394" s="17">
        <f t="shared" si="384"/>
        <v>4794.7806638029942</v>
      </c>
      <c r="CP394" s="17">
        <f t="shared" si="385"/>
        <v>0</v>
      </c>
      <c r="CQ394" s="17">
        <f t="shared" si="386"/>
        <v>0</v>
      </c>
      <c r="CR394" s="17">
        <f t="shared" si="387"/>
        <v>0</v>
      </c>
      <c r="CS394" s="17">
        <f>IF(MOD(BU394,12)=0,CQ394*'1 - Input'!$B$23,0)</f>
        <v>0</v>
      </c>
      <c r="CT394" s="17">
        <f t="shared" si="388"/>
        <v>0</v>
      </c>
      <c r="CU394" s="17">
        <f>IF(MOD(BU394,12)=0,CR394*(1-'1 - Input'!$B$23),CR394)</f>
        <v>0</v>
      </c>
      <c r="CV394" s="17">
        <f>IF('1 - Input'!$B$17=1,MIN(CF394,BX394)+CN394,CF394)</f>
        <v>0</v>
      </c>
      <c r="CW394" s="17">
        <f t="shared" si="408"/>
        <v>686605.50041273201</v>
      </c>
      <c r="CX394" s="17">
        <f t="shared" si="409"/>
        <v>6018.3402768167462</v>
      </c>
      <c r="CY394" s="17">
        <f t="shared" si="410"/>
        <v>66518.776160328038</v>
      </c>
      <c r="CZ394" s="17">
        <f t="shared" si="411"/>
        <v>0</v>
      </c>
      <c r="DA394" s="17">
        <f t="shared" si="412"/>
        <v>10954.114452440983</v>
      </c>
      <c r="DB394" s="17">
        <f t="shared" si="413"/>
        <v>584647.23986047402</v>
      </c>
      <c r="DC394" s="15">
        <f t="shared" si="389"/>
        <v>1</v>
      </c>
    </row>
    <row r="395" spans="1:107">
      <c r="A395" s="14">
        <v>352</v>
      </c>
      <c r="B395" s="15">
        <f t="shared" si="345"/>
        <v>30</v>
      </c>
      <c r="C395" s="16">
        <f>(1+INDEX('1 - Input'!$B$34:$E$63,B395,'1 - Input'!$B$16))^(1/12)-1</f>
        <v>4.1219243192651689E-3</v>
      </c>
      <c r="D395" s="17">
        <f>'1 - Input'!$B$7*(1+'1 - Input'!$B$12)^(B395-1)</f>
        <v>4794.7806638029942</v>
      </c>
      <c r="E395" s="17">
        <f t="shared" si="390"/>
        <v>0</v>
      </c>
      <c r="F395" s="17">
        <f t="shared" si="391"/>
        <v>0</v>
      </c>
      <c r="G395" s="17">
        <f t="shared" si="346"/>
        <v>0</v>
      </c>
      <c r="H395" s="17">
        <f>IF(G395&gt;0,'1 - Input'!$B$8/12*G395,0)</f>
        <v>0</v>
      </c>
      <c r="I395" s="17">
        <f t="shared" si="347"/>
        <v>0</v>
      </c>
      <c r="J395" s="17">
        <f t="shared" si="348"/>
        <v>0</v>
      </c>
      <c r="K395" s="17">
        <f>'1 - Input'!$B$22*(H395-J395)</f>
        <v>0</v>
      </c>
      <c r="L395" s="17">
        <f t="shared" si="349"/>
        <v>0</v>
      </c>
      <c r="M395" s="17">
        <f t="shared" si="350"/>
        <v>0</v>
      </c>
      <c r="N395" s="17">
        <f>IF('1 - Input'!$B$17=1,MAX(0,L395-D395),0)</f>
        <v>0</v>
      </c>
      <c r="O395" s="17">
        <f>IF('1 - Input'!$B$17=1,MAX(0,D395-L395),0)</f>
        <v>4794.7806638029942</v>
      </c>
      <c r="P395" s="17">
        <f t="shared" si="351"/>
        <v>0</v>
      </c>
      <c r="Q395" s="17">
        <f>IF(AND(O395&gt;0,I395&gt;0),O395/(1-'1 - Input'!$B$22*P395),0)</f>
        <v>0</v>
      </c>
      <c r="R395" s="17">
        <f t="shared" si="352"/>
        <v>0</v>
      </c>
      <c r="S395" s="17">
        <f>'1 - Input'!$B$22*P395*R395</f>
        <v>0</v>
      </c>
      <c r="T395" s="17">
        <f t="shared" si="353"/>
        <v>0</v>
      </c>
      <c r="U395" s="17">
        <f t="shared" si="354"/>
        <v>4794.7806638029942</v>
      </c>
      <c r="V395" s="17">
        <f t="shared" si="355"/>
        <v>0</v>
      </c>
      <c r="W395" s="17">
        <f t="shared" si="356"/>
        <v>0</v>
      </c>
      <c r="X395" s="17">
        <f t="shared" si="357"/>
        <v>0</v>
      </c>
      <c r="Y395" s="17">
        <f>IF(MOD(A395,12)=0,W395*'1 - Input'!$B$23,0)</f>
        <v>0</v>
      </c>
      <c r="Z395" s="17">
        <f t="shared" si="358"/>
        <v>0</v>
      </c>
      <c r="AA395" s="17">
        <f>IF(MOD(A395,12)=0,X395*(1-'1 - Input'!$B$23),X395)</f>
        <v>0</v>
      </c>
      <c r="AB395" s="17">
        <f>IF('1 - Input'!$B$17=1,MIN(L395,D395)+T395,L395)</f>
        <v>0</v>
      </c>
      <c r="AC395" s="17">
        <f t="shared" si="392"/>
        <v>590482.93849429931</v>
      </c>
      <c r="AD395" s="17">
        <f t="shared" si="393"/>
        <v>101441.90180685223</v>
      </c>
      <c r="AE395" s="17">
        <f t="shared" si="394"/>
        <v>0</v>
      </c>
      <c r="AF395" s="17">
        <f t="shared" si="395"/>
        <v>174289.24056370757</v>
      </c>
      <c r="AG395" s="17">
        <f t="shared" si="396"/>
        <v>8123.5662772395826</v>
      </c>
      <c r="AH395" s="17">
        <f t="shared" si="397"/>
        <v>685564.58244270761</v>
      </c>
      <c r="AI395" s="15">
        <f t="shared" si="359"/>
        <v>1</v>
      </c>
      <c r="AK395" s="14">
        <v>352</v>
      </c>
      <c r="AL395" s="15">
        <f t="shared" si="360"/>
        <v>30</v>
      </c>
      <c r="AM395" s="16">
        <f>(1+INDEX('1 - Input'!$B$34:$E$63,AL395,'1 - Input'!$B$16))^(1/12)-1</f>
        <v>4.1219243192651689E-3</v>
      </c>
      <c r="AN395" s="17">
        <f>'1 - Input'!$B$7*(1+'1 - Input'!$B$12)^(AL395-1)</f>
        <v>4794.7806638029942</v>
      </c>
      <c r="AO395" s="17">
        <f t="shared" si="398"/>
        <v>0</v>
      </c>
      <c r="AP395" s="17">
        <f t="shared" si="399"/>
        <v>0</v>
      </c>
      <c r="AQ395" s="17">
        <f t="shared" si="361"/>
        <v>0</v>
      </c>
      <c r="AR395" s="17">
        <f>IF(AQ395&gt;0,'1 - Input'!$B$8/12*AQ395,0)</f>
        <v>0</v>
      </c>
      <c r="AS395" s="17">
        <f t="shared" si="362"/>
        <v>0</v>
      </c>
      <c r="AT395" s="17">
        <f t="shared" si="363"/>
        <v>0</v>
      </c>
      <c r="AU395" s="17">
        <f>'1 - Input'!$B$22*(AR395-AT395)</f>
        <v>0</v>
      </c>
      <c r="AV395" s="17">
        <f t="shared" si="364"/>
        <v>0</v>
      </c>
      <c r="AW395" s="17">
        <f t="shared" si="365"/>
        <v>0</v>
      </c>
      <c r="AX395" s="17">
        <f>IF('1 - Input'!$B$17=1,MAX(0,AV395-AN395),0)</f>
        <v>0</v>
      </c>
      <c r="AY395" s="17">
        <f>IF('1 - Input'!$B$17=1,MAX(0,AN395-AV395),0)</f>
        <v>4794.7806638029942</v>
      </c>
      <c r="AZ395" s="17">
        <f t="shared" si="366"/>
        <v>0</v>
      </c>
      <c r="BA395" s="17">
        <f>IF(AND(AY395&gt;0,AS395&gt;0),AY395/(1-'1 - Input'!$B$22*AZ395),0)</f>
        <v>0</v>
      </c>
      <c r="BB395" s="17">
        <f t="shared" si="367"/>
        <v>0</v>
      </c>
      <c r="BC395" s="17">
        <f>'1 - Input'!$B$22*AZ395*BB395</f>
        <v>0</v>
      </c>
      <c r="BD395" s="17">
        <f t="shared" si="368"/>
        <v>0</v>
      </c>
      <c r="BE395" s="17">
        <f t="shared" si="369"/>
        <v>4794.7806638029942</v>
      </c>
      <c r="BF395" s="17">
        <f t="shared" si="370"/>
        <v>0</v>
      </c>
      <c r="BG395" s="17">
        <f t="shared" si="371"/>
        <v>0</v>
      </c>
      <c r="BH395" s="17">
        <f t="shared" si="372"/>
        <v>0</v>
      </c>
      <c r="BI395" s="17">
        <f>IF(MOD(AK395,12)=0,BG395*'1 - Input'!$B$23,0)</f>
        <v>0</v>
      </c>
      <c r="BJ395" s="17">
        <f t="shared" si="373"/>
        <v>0</v>
      </c>
      <c r="BK395" s="17">
        <f>IF(MOD(AK395,12)=0,BH395*(1-'1 - Input'!$B$23),BH395)</f>
        <v>0</v>
      </c>
      <c r="BL395" s="17">
        <f>IF('1 - Input'!$B$17=1,MIN(AV395,AN395)+BD395,AV395)</f>
        <v>0</v>
      </c>
      <c r="BM395" s="17">
        <f t="shared" si="400"/>
        <v>590482.93849429931</v>
      </c>
      <c r="BN395" s="17">
        <f t="shared" si="401"/>
        <v>101441.90180685223</v>
      </c>
      <c r="BO395" s="17">
        <f t="shared" si="402"/>
        <v>0</v>
      </c>
      <c r="BP395" s="17">
        <f t="shared" si="403"/>
        <v>174289.24056370757</v>
      </c>
      <c r="BQ395" s="17">
        <f t="shared" si="404"/>
        <v>8123.5662772395826</v>
      </c>
      <c r="BR395" s="17">
        <f t="shared" si="405"/>
        <v>685564.58244270761</v>
      </c>
      <c r="BS395" s="15">
        <f t="shared" si="374"/>
        <v>1</v>
      </c>
      <c r="BU395" s="14">
        <v>352</v>
      </c>
      <c r="BV395" s="15">
        <f t="shared" si="375"/>
        <v>30</v>
      </c>
      <c r="BW395" s="16">
        <f>(1+INDEX('1 - Input'!$B$34:$E$63,BV395,'1 - Input'!$B$16))^(1/12)-1</f>
        <v>4.1219243192651689E-3</v>
      </c>
      <c r="BX395" s="17">
        <f>'1 - Input'!$B$7*(1+'1 - Input'!$B$12)^(BV395-1)</f>
        <v>4794.7806638029942</v>
      </c>
      <c r="BY395" s="17">
        <f t="shared" si="406"/>
        <v>0</v>
      </c>
      <c r="BZ395" s="17">
        <f t="shared" si="407"/>
        <v>0</v>
      </c>
      <c r="CA395" s="17">
        <f t="shared" si="376"/>
        <v>0</v>
      </c>
      <c r="CB395" s="17">
        <f>IF(CA395&gt;0,'1 - Input'!$B$8/12*CA395,0)</f>
        <v>0</v>
      </c>
      <c r="CC395" s="17">
        <f t="shared" si="377"/>
        <v>0</v>
      </c>
      <c r="CD395" s="17">
        <f t="shared" si="378"/>
        <v>0</v>
      </c>
      <c r="CE395" s="17">
        <f>'1 - Input'!$B$22*(CB395-CD395)</f>
        <v>0</v>
      </c>
      <c r="CF395" s="17">
        <f t="shared" si="379"/>
        <v>0</v>
      </c>
      <c r="CG395" s="17">
        <f t="shared" si="380"/>
        <v>0</v>
      </c>
      <c r="CH395" s="17">
        <f>IF('1 - Input'!$B$17=1,MAX(0,CF395-BX395),0)</f>
        <v>0</v>
      </c>
      <c r="CI395" s="17">
        <f>IF('1 - Input'!$B$17=1,MAX(0,BX395-CF395),0)</f>
        <v>4794.7806638029942</v>
      </c>
      <c r="CJ395" s="17">
        <f t="shared" si="381"/>
        <v>0</v>
      </c>
      <c r="CK395" s="17">
        <f>IF(AND(CI395&gt;0,CC395&gt;0),CI395/(1-'1 - Input'!$B$22*CJ395),0)</f>
        <v>0</v>
      </c>
      <c r="CL395" s="17">
        <f t="shared" si="382"/>
        <v>0</v>
      </c>
      <c r="CM395" s="17">
        <f>'1 - Input'!$B$22*CJ395*CL395</f>
        <v>0</v>
      </c>
      <c r="CN395" s="17">
        <f t="shared" si="383"/>
        <v>0</v>
      </c>
      <c r="CO395" s="17">
        <f t="shared" si="384"/>
        <v>4794.7806638029942</v>
      </c>
      <c r="CP395" s="17">
        <f t="shared" si="385"/>
        <v>0</v>
      </c>
      <c r="CQ395" s="17">
        <f t="shared" si="386"/>
        <v>0</v>
      </c>
      <c r="CR395" s="17">
        <f t="shared" si="387"/>
        <v>0</v>
      </c>
      <c r="CS395" s="17">
        <f>IF(MOD(BU395,12)=0,CQ395*'1 - Input'!$B$23,0)</f>
        <v>0</v>
      </c>
      <c r="CT395" s="17">
        <f t="shared" si="388"/>
        <v>0</v>
      </c>
      <c r="CU395" s="17">
        <f>IF(MOD(BU395,12)=0,CR395*(1-'1 - Input'!$B$23),CR395)</f>
        <v>0</v>
      </c>
      <c r="CV395" s="17">
        <f>IF('1 - Input'!$B$17=1,MIN(CF395,BX395)+CN395,CF395)</f>
        <v>0</v>
      </c>
      <c r="CW395" s="17">
        <f t="shared" si="408"/>
        <v>686605.50041273201</v>
      </c>
      <c r="CX395" s="17">
        <f t="shared" si="409"/>
        <v>6018.3402768167462</v>
      </c>
      <c r="CY395" s="17">
        <f t="shared" si="410"/>
        <v>66518.776160328038</v>
      </c>
      <c r="CZ395" s="17">
        <f t="shared" si="411"/>
        <v>0</v>
      </c>
      <c r="DA395" s="17">
        <f t="shared" si="412"/>
        <v>10954.114452440983</v>
      </c>
      <c r="DB395" s="17">
        <f t="shared" si="413"/>
        <v>589442.020524277</v>
      </c>
      <c r="DC395" s="15">
        <f t="shared" si="389"/>
        <v>1</v>
      </c>
    </row>
    <row r="396" spans="1:107">
      <c r="A396" s="14">
        <v>353</v>
      </c>
      <c r="B396" s="15">
        <f t="shared" si="345"/>
        <v>30</v>
      </c>
      <c r="C396" s="16">
        <f>(1+INDEX('1 - Input'!$B$34:$E$63,B396,'1 - Input'!$B$16))^(1/12)-1</f>
        <v>4.1219243192651689E-3</v>
      </c>
      <c r="D396" s="17">
        <f>'1 - Input'!$B$7*(1+'1 - Input'!$B$12)^(B396-1)</f>
        <v>4794.7806638029942</v>
      </c>
      <c r="E396" s="17">
        <f t="shared" si="390"/>
        <v>0</v>
      </c>
      <c r="F396" s="17">
        <f t="shared" si="391"/>
        <v>0</v>
      </c>
      <c r="G396" s="17">
        <f t="shared" si="346"/>
        <v>0</v>
      </c>
      <c r="H396" s="17">
        <f>IF(G396&gt;0,'1 - Input'!$B$8/12*G396,0)</f>
        <v>0</v>
      </c>
      <c r="I396" s="17">
        <f t="shared" si="347"/>
        <v>0</v>
      </c>
      <c r="J396" s="17">
        <f t="shared" si="348"/>
        <v>0</v>
      </c>
      <c r="K396" s="17">
        <f>'1 - Input'!$B$22*(H396-J396)</f>
        <v>0</v>
      </c>
      <c r="L396" s="17">
        <f t="shared" si="349"/>
        <v>0</v>
      </c>
      <c r="M396" s="17">
        <f t="shared" si="350"/>
        <v>0</v>
      </c>
      <c r="N396" s="17">
        <f>IF('1 - Input'!$B$17=1,MAX(0,L396-D396),0)</f>
        <v>0</v>
      </c>
      <c r="O396" s="17">
        <f>IF('1 - Input'!$B$17=1,MAX(0,D396-L396),0)</f>
        <v>4794.7806638029942</v>
      </c>
      <c r="P396" s="17">
        <f t="shared" si="351"/>
        <v>0</v>
      </c>
      <c r="Q396" s="17">
        <f>IF(AND(O396&gt;0,I396&gt;0),O396/(1-'1 - Input'!$B$22*P396),0)</f>
        <v>0</v>
      </c>
      <c r="R396" s="17">
        <f t="shared" si="352"/>
        <v>0</v>
      </c>
      <c r="S396" s="17">
        <f>'1 - Input'!$B$22*P396*R396</f>
        <v>0</v>
      </c>
      <c r="T396" s="17">
        <f t="shared" si="353"/>
        <v>0</v>
      </c>
      <c r="U396" s="17">
        <f t="shared" si="354"/>
        <v>4794.7806638029942</v>
      </c>
      <c r="V396" s="17">
        <f t="shared" si="355"/>
        <v>0</v>
      </c>
      <c r="W396" s="17">
        <f t="shared" si="356"/>
        <v>0</v>
      </c>
      <c r="X396" s="17">
        <f t="shared" si="357"/>
        <v>0</v>
      </c>
      <c r="Y396" s="17">
        <f>IF(MOD(A396,12)=0,W396*'1 - Input'!$B$23,0)</f>
        <v>0</v>
      </c>
      <c r="Z396" s="17">
        <f t="shared" si="358"/>
        <v>0</v>
      </c>
      <c r="AA396" s="17">
        <f>IF(MOD(A396,12)=0,X396*(1-'1 - Input'!$B$23),X396)</f>
        <v>0</v>
      </c>
      <c r="AB396" s="17">
        <f>IF('1 - Input'!$B$17=1,MIN(L396,D396)+T396,L396)</f>
        <v>0</v>
      </c>
      <c r="AC396" s="17">
        <f t="shared" si="392"/>
        <v>590482.93849429931</v>
      </c>
      <c r="AD396" s="17">
        <f t="shared" si="393"/>
        <v>101441.90180685223</v>
      </c>
      <c r="AE396" s="17">
        <f t="shared" si="394"/>
        <v>0</v>
      </c>
      <c r="AF396" s="17">
        <f t="shared" si="395"/>
        <v>174289.24056370757</v>
      </c>
      <c r="AG396" s="17">
        <f t="shared" si="396"/>
        <v>8123.5662772395826</v>
      </c>
      <c r="AH396" s="17">
        <f t="shared" si="397"/>
        <v>690359.3631065106</v>
      </c>
      <c r="AI396" s="15">
        <f t="shared" si="359"/>
        <v>1</v>
      </c>
      <c r="AK396" s="14">
        <v>353</v>
      </c>
      <c r="AL396" s="15">
        <f t="shared" si="360"/>
        <v>30</v>
      </c>
      <c r="AM396" s="16">
        <f>(1+INDEX('1 - Input'!$B$34:$E$63,AL396,'1 - Input'!$B$16))^(1/12)-1</f>
        <v>4.1219243192651689E-3</v>
      </c>
      <c r="AN396" s="17">
        <f>'1 - Input'!$B$7*(1+'1 - Input'!$B$12)^(AL396-1)</f>
        <v>4794.7806638029942</v>
      </c>
      <c r="AO396" s="17">
        <f t="shared" si="398"/>
        <v>0</v>
      </c>
      <c r="AP396" s="17">
        <f t="shared" si="399"/>
        <v>0</v>
      </c>
      <c r="AQ396" s="17">
        <f t="shared" si="361"/>
        <v>0</v>
      </c>
      <c r="AR396" s="17">
        <f>IF(AQ396&gt;0,'1 - Input'!$B$8/12*AQ396,0)</f>
        <v>0</v>
      </c>
      <c r="AS396" s="17">
        <f t="shared" si="362"/>
        <v>0</v>
      </c>
      <c r="AT396" s="17">
        <f t="shared" si="363"/>
        <v>0</v>
      </c>
      <c r="AU396" s="17">
        <f>'1 - Input'!$B$22*(AR396-AT396)</f>
        <v>0</v>
      </c>
      <c r="AV396" s="17">
        <f t="shared" si="364"/>
        <v>0</v>
      </c>
      <c r="AW396" s="17">
        <f t="shared" si="365"/>
        <v>0</v>
      </c>
      <c r="AX396" s="17">
        <f>IF('1 - Input'!$B$17=1,MAX(0,AV396-AN396),0)</f>
        <v>0</v>
      </c>
      <c r="AY396" s="17">
        <f>IF('1 - Input'!$B$17=1,MAX(0,AN396-AV396),0)</f>
        <v>4794.7806638029942</v>
      </c>
      <c r="AZ396" s="17">
        <f t="shared" si="366"/>
        <v>0</v>
      </c>
      <c r="BA396" s="17">
        <f>IF(AND(AY396&gt;0,AS396&gt;0),AY396/(1-'1 - Input'!$B$22*AZ396),0)</f>
        <v>0</v>
      </c>
      <c r="BB396" s="17">
        <f t="shared" si="367"/>
        <v>0</v>
      </c>
      <c r="BC396" s="17">
        <f>'1 - Input'!$B$22*AZ396*BB396</f>
        <v>0</v>
      </c>
      <c r="BD396" s="17">
        <f t="shared" si="368"/>
        <v>0</v>
      </c>
      <c r="BE396" s="17">
        <f t="shared" si="369"/>
        <v>4794.7806638029942</v>
      </c>
      <c r="BF396" s="17">
        <f t="shared" si="370"/>
        <v>0</v>
      </c>
      <c r="BG396" s="17">
        <f t="shared" si="371"/>
        <v>0</v>
      </c>
      <c r="BH396" s="17">
        <f t="shared" si="372"/>
        <v>0</v>
      </c>
      <c r="BI396" s="17">
        <f>IF(MOD(AK396,12)=0,BG396*'1 - Input'!$B$23,0)</f>
        <v>0</v>
      </c>
      <c r="BJ396" s="17">
        <f t="shared" si="373"/>
        <v>0</v>
      </c>
      <c r="BK396" s="17">
        <f>IF(MOD(AK396,12)=0,BH396*(1-'1 - Input'!$B$23),BH396)</f>
        <v>0</v>
      </c>
      <c r="BL396" s="17">
        <f>IF('1 - Input'!$B$17=1,MIN(AV396,AN396)+BD396,AV396)</f>
        <v>0</v>
      </c>
      <c r="BM396" s="17">
        <f t="shared" si="400"/>
        <v>590482.93849429931</v>
      </c>
      <c r="BN396" s="17">
        <f t="shared" si="401"/>
        <v>101441.90180685223</v>
      </c>
      <c r="BO396" s="17">
        <f t="shared" si="402"/>
        <v>0</v>
      </c>
      <c r="BP396" s="17">
        <f t="shared" si="403"/>
        <v>174289.24056370757</v>
      </c>
      <c r="BQ396" s="17">
        <f t="shared" si="404"/>
        <v>8123.5662772395826</v>
      </c>
      <c r="BR396" s="17">
        <f t="shared" si="405"/>
        <v>690359.3631065106</v>
      </c>
      <c r="BS396" s="15">
        <f t="shared" si="374"/>
        <v>1</v>
      </c>
      <c r="BU396" s="14">
        <v>353</v>
      </c>
      <c r="BV396" s="15">
        <f t="shared" si="375"/>
        <v>30</v>
      </c>
      <c r="BW396" s="16">
        <f>(1+INDEX('1 - Input'!$B$34:$E$63,BV396,'1 - Input'!$B$16))^(1/12)-1</f>
        <v>4.1219243192651689E-3</v>
      </c>
      <c r="BX396" s="17">
        <f>'1 - Input'!$B$7*(1+'1 - Input'!$B$12)^(BV396-1)</f>
        <v>4794.7806638029942</v>
      </c>
      <c r="BY396" s="17">
        <f t="shared" si="406"/>
        <v>0</v>
      </c>
      <c r="BZ396" s="17">
        <f t="shared" si="407"/>
        <v>0</v>
      </c>
      <c r="CA396" s="17">
        <f t="shared" si="376"/>
        <v>0</v>
      </c>
      <c r="CB396" s="17">
        <f>IF(CA396&gt;0,'1 - Input'!$B$8/12*CA396,0)</f>
        <v>0</v>
      </c>
      <c r="CC396" s="17">
        <f t="shared" si="377"/>
        <v>0</v>
      </c>
      <c r="CD396" s="17">
        <f t="shared" si="378"/>
        <v>0</v>
      </c>
      <c r="CE396" s="17">
        <f>'1 - Input'!$B$22*(CB396-CD396)</f>
        <v>0</v>
      </c>
      <c r="CF396" s="17">
        <f t="shared" si="379"/>
        <v>0</v>
      </c>
      <c r="CG396" s="17">
        <f t="shared" si="380"/>
        <v>0</v>
      </c>
      <c r="CH396" s="17">
        <f>IF('1 - Input'!$B$17=1,MAX(0,CF396-BX396),0)</f>
        <v>0</v>
      </c>
      <c r="CI396" s="17">
        <f>IF('1 - Input'!$B$17=1,MAX(0,BX396-CF396),0)</f>
        <v>4794.7806638029942</v>
      </c>
      <c r="CJ396" s="17">
        <f t="shared" si="381"/>
        <v>0</v>
      </c>
      <c r="CK396" s="17">
        <f>IF(AND(CI396&gt;0,CC396&gt;0),CI396/(1-'1 - Input'!$B$22*CJ396),0)</f>
        <v>0</v>
      </c>
      <c r="CL396" s="17">
        <f t="shared" si="382"/>
        <v>0</v>
      </c>
      <c r="CM396" s="17">
        <f>'1 - Input'!$B$22*CJ396*CL396</f>
        <v>0</v>
      </c>
      <c r="CN396" s="17">
        <f t="shared" si="383"/>
        <v>0</v>
      </c>
      <c r="CO396" s="17">
        <f t="shared" si="384"/>
        <v>4794.7806638029942</v>
      </c>
      <c r="CP396" s="17">
        <f t="shared" si="385"/>
        <v>0</v>
      </c>
      <c r="CQ396" s="17">
        <f t="shared" si="386"/>
        <v>0</v>
      </c>
      <c r="CR396" s="17">
        <f t="shared" si="387"/>
        <v>0</v>
      </c>
      <c r="CS396" s="17">
        <f>IF(MOD(BU396,12)=0,CQ396*'1 - Input'!$B$23,0)</f>
        <v>0</v>
      </c>
      <c r="CT396" s="17">
        <f t="shared" si="388"/>
        <v>0</v>
      </c>
      <c r="CU396" s="17">
        <f>IF(MOD(BU396,12)=0,CR396*(1-'1 - Input'!$B$23),CR396)</f>
        <v>0</v>
      </c>
      <c r="CV396" s="17">
        <f>IF('1 - Input'!$B$17=1,MIN(CF396,BX396)+CN396,CF396)</f>
        <v>0</v>
      </c>
      <c r="CW396" s="17">
        <f t="shared" si="408"/>
        <v>686605.50041273201</v>
      </c>
      <c r="CX396" s="17">
        <f t="shared" si="409"/>
        <v>6018.3402768167462</v>
      </c>
      <c r="CY396" s="17">
        <f t="shared" si="410"/>
        <v>66518.776160328038</v>
      </c>
      <c r="CZ396" s="17">
        <f t="shared" si="411"/>
        <v>0</v>
      </c>
      <c r="DA396" s="17">
        <f t="shared" si="412"/>
        <v>10954.114452440983</v>
      </c>
      <c r="DB396" s="17">
        <f t="shared" si="413"/>
        <v>594236.80118807999</v>
      </c>
      <c r="DC396" s="15">
        <f t="shared" si="389"/>
        <v>1</v>
      </c>
    </row>
    <row r="397" spans="1:107">
      <c r="A397" s="14">
        <v>354</v>
      </c>
      <c r="B397" s="15">
        <f t="shared" si="345"/>
        <v>30</v>
      </c>
      <c r="C397" s="16">
        <f>(1+INDEX('1 - Input'!$B$34:$E$63,B397,'1 - Input'!$B$16))^(1/12)-1</f>
        <v>4.1219243192651689E-3</v>
      </c>
      <c r="D397" s="17">
        <f>'1 - Input'!$B$7*(1+'1 - Input'!$B$12)^(B397-1)</f>
        <v>4794.7806638029942</v>
      </c>
      <c r="E397" s="17">
        <f t="shared" si="390"/>
        <v>0</v>
      </c>
      <c r="F397" s="17">
        <f t="shared" si="391"/>
        <v>0</v>
      </c>
      <c r="G397" s="17">
        <f t="shared" si="346"/>
        <v>0</v>
      </c>
      <c r="H397" s="17">
        <f>IF(G397&gt;0,'1 - Input'!$B$8/12*G397,0)</f>
        <v>0</v>
      </c>
      <c r="I397" s="17">
        <f t="shared" si="347"/>
        <v>0</v>
      </c>
      <c r="J397" s="17">
        <f t="shared" si="348"/>
        <v>0</v>
      </c>
      <c r="K397" s="17">
        <f>'1 - Input'!$B$22*(H397-J397)</f>
        <v>0</v>
      </c>
      <c r="L397" s="17">
        <f t="shared" si="349"/>
        <v>0</v>
      </c>
      <c r="M397" s="17">
        <f t="shared" si="350"/>
        <v>0</v>
      </c>
      <c r="N397" s="17">
        <f>IF('1 - Input'!$B$17=1,MAX(0,L397-D397),0)</f>
        <v>0</v>
      </c>
      <c r="O397" s="17">
        <f>IF('1 - Input'!$B$17=1,MAX(0,D397-L397),0)</f>
        <v>4794.7806638029942</v>
      </c>
      <c r="P397" s="17">
        <f t="shared" si="351"/>
        <v>0</v>
      </c>
      <c r="Q397" s="17">
        <f>IF(AND(O397&gt;0,I397&gt;0),O397/(1-'1 - Input'!$B$22*P397),0)</f>
        <v>0</v>
      </c>
      <c r="R397" s="17">
        <f t="shared" si="352"/>
        <v>0</v>
      </c>
      <c r="S397" s="17">
        <f>'1 - Input'!$B$22*P397*R397</f>
        <v>0</v>
      </c>
      <c r="T397" s="17">
        <f t="shared" si="353"/>
        <v>0</v>
      </c>
      <c r="U397" s="17">
        <f t="shared" si="354"/>
        <v>4794.7806638029942</v>
      </c>
      <c r="V397" s="17">
        <f t="shared" si="355"/>
        <v>0</v>
      </c>
      <c r="W397" s="17">
        <f t="shared" si="356"/>
        <v>0</v>
      </c>
      <c r="X397" s="17">
        <f t="shared" si="357"/>
        <v>0</v>
      </c>
      <c r="Y397" s="17">
        <f>IF(MOD(A397,12)=0,W397*'1 - Input'!$B$23,0)</f>
        <v>0</v>
      </c>
      <c r="Z397" s="17">
        <f t="shared" si="358"/>
        <v>0</v>
      </c>
      <c r="AA397" s="17">
        <f>IF(MOD(A397,12)=0,X397*(1-'1 - Input'!$B$23),X397)</f>
        <v>0</v>
      </c>
      <c r="AB397" s="17">
        <f>IF('1 - Input'!$B$17=1,MIN(L397,D397)+T397,L397)</f>
        <v>0</v>
      </c>
      <c r="AC397" s="17">
        <f t="shared" si="392"/>
        <v>590482.93849429931</v>
      </c>
      <c r="AD397" s="17">
        <f t="shared" si="393"/>
        <v>101441.90180685223</v>
      </c>
      <c r="AE397" s="17">
        <f t="shared" si="394"/>
        <v>0</v>
      </c>
      <c r="AF397" s="17">
        <f t="shared" si="395"/>
        <v>174289.24056370757</v>
      </c>
      <c r="AG397" s="17">
        <f t="shared" si="396"/>
        <v>8123.5662772395826</v>
      </c>
      <c r="AH397" s="17">
        <f t="shared" si="397"/>
        <v>695154.14377031359</v>
      </c>
      <c r="AI397" s="15">
        <f t="shared" si="359"/>
        <v>1</v>
      </c>
      <c r="AK397" s="14">
        <v>354</v>
      </c>
      <c r="AL397" s="15">
        <f t="shared" si="360"/>
        <v>30</v>
      </c>
      <c r="AM397" s="16">
        <f>(1+INDEX('1 - Input'!$B$34:$E$63,AL397,'1 - Input'!$B$16))^(1/12)-1</f>
        <v>4.1219243192651689E-3</v>
      </c>
      <c r="AN397" s="17">
        <f>'1 - Input'!$B$7*(1+'1 - Input'!$B$12)^(AL397-1)</f>
        <v>4794.7806638029942</v>
      </c>
      <c r="AO397" s="17">
        <f t="shared" si="398"/>
        <v>0</v>
      </c>
      <c r="AP397" s="17">
        <f t="shared" si="399"/>
        <v>0</v>
      </c>
      <c r="AQ397" s="17">
        <f t="shared" si="361"/>
        <v>0</v>
      </c>
      <c r="AR397" s="17">
        <f>IF(AQ397&gt;0,'1 - Input'!$B$8/12*AQ397,0)</f>
        <v>0</v>
      </c>
      <c r="AS397" s="17">
        <f t="shared" si="362"/>
        <v>0</v>
      </c>
      <c r="AT397" s="17">
        <f t="shared" si="363"/>
        <v>0</v>
      </c>
      <c r="AU397" s="17">
        <f>'1 - Input'!$B$22*(AR397-AT397)</f>
        <v>0</v>
      </c>
      <c r="AV397" s="17">
        <f t="shared" si="364"/>
        <v>0</v>
      </c>
      <c r="AW397" s="17">
        <f t="shared" si="365"/>
        <v>0</v>
      </c>
      <c r="AX397" s="17">
        <f>IF('1 - Input'!$B$17=1,MAX(0,AV397-AN397),0)</f>
        <v>0</v>
      </c>
      <c r="AY397" s="17">
        <f>IF('1 - Input'!$B$17=1,MAX(0,AN397-AV397),0)</f>
        <v>4794.7806638029942</v>
      </c>
      <c r="AZ397" s="17">
        <f t="shared" si="366"/>
        <v>0</v>
      </c>
      <c r="BA397" s="17">
        <f>IF(AND(AY397&gt;0,AS397&gt;0),AY397/(1-'1 - Input'!$B$22*AZ397),0)</f>
        <v>0</v>
      </c>
      <c r="BB397" s="17">
        <f t="shared" si="367"/>
        <v>0</v>
      </c>
      <c r="BC397" s="17">
        <f>'1 - Input'!$B$22*AZ397*BB397</f>
        <v>0</v>
      </c>
      <c r="BD397" s="17">
        <f t="shared" si="368"/>
        <v>0</v>
      </c>
      <c r="BE397" s="17">
        <f t="shared" si="369"/>
        <v>4794.7806638029942</v>
      </c>
      <c r="BF397" s="17">
        <f t="shared" si="370"/>
        <v>0</v>
      </c>
      <c r="BG397" s="17">
        <f t="shared" si="371"/>
        <v>0</v>
      </c>
      <c r="BH397" s="17">
        <f t="shared" si="372"/>
        <v>0</v>
      </c>
      <c r="BI397" s="17">
        <f>IF(MOD(AK397,12)=0,BG397*'1 - Input'!$B$23,0)</f>
        <v>0</v>
      </c>
      <c r="BJ397" s="17">
        <f t="shared" si="373"/>
        <v>0</v>
      </c>
      <c r="BK397" s="17">
        <f>IF(MOD(AK397,12)=0,BH397*(1-'1 - Input'!$B$23),BH397)</f>
        <v>0</v>
      </c>
      <c r="BL397" s="17">
        <f>IF('1 - Input'!$B$17=1,MIN(AV397,AN397)+BD397,AV397)</f>
        <v>0</v>
      </c>
      <c r="BM397" s="17">
        <f t="shared" si="400"/>
        <v>590482.93849429931</v>
      </c>
      <c r="BN397" s="17">
        <f t="shared" si="401"/>
        <v>101441.90180685223</v>
      </c>
      <c r="BO397" s="17">
        <f t="shared" si="402"/>
        <v>0</v>
      </c>
      <c r="BP397" s="17">
        <f t="shared" si="403"/>
        <v>174289.24056370757</v>
      </c>
      <c r="BQ397" s="17">
        <f t="shared" si="404"/>
        <v>8123.5662772395826</v>
      </c>
      <c r="BR397" s="17">
        <f t="shared" si="405"/>
        <v>695154.14377031359</v>
      </c>
      <c r="BS397" s="15">
        <f t="shared" si="374"/>
        <v>1</v>
      </c>
      <c r="BU397" s="14">
        <v>354</v>
      </c>
      <c r="BV397" s="15">
        <f t="shared" si="375"/>
        <v>30</v>
      </c>
      <c r="BW397" s="16">
        <f>(1+INDEX('1 - Input'!$B$34:$E$63,BV397,'1 - Input'!$B$16))^(1/12)-1</f>
        <v>4.1219243192651689E-3</v>
      </c>
      <c r="BX397" s="17">
        <f>'1 - Input'!$B$7*(1+'1 - Input'!$B$12)^(BV397-1)</f>
        <v>4794.7806638029942</v>
      </c>
      <c r="BY397" s="17">
        <f t="shared" si="406"/>
        <v>0</v>
      </c>
      <c r="BZ397" s="17">
        <f t="shared" si="407"/>
        <v>0</v>
      </c>
      <c r="CA397" s="17">
        <f t="shared" si="376"/>
        <v>0</v>
      </c>
      <c r="CB397" s="17">
        <f>IF(CA397&gt;0,'1 - Input'!$B$8/12*CA397,0)</f>
        <v>0</v>
      </c>
      <c r="CC397" s="17">
        <f t="shared" si="377"/>
        <v>0</v>
      </c>
      <c r="CD397" s="17">
        <f t="shared" si="378"/>
        <v>0</v>
      </c>
      <c r="CE397" s="17">
        <f>'1 - Input'!$B$22*(CB397-CD397)</f>
        <v>0</v>
      </c>
      <c r="CF397" s="17">
        <f t="shared" si="379"/>
        <v>0</v>
      </c>
      <c r="CG397" s="17">
        <f t="shared" si="380"/>
        <v>0</v>
      </c>
      <c r="CH397" s="17">
        <f>IF('1 - Input'!$B$17=1,MAX(0,CF397-BX397),0)</f>
        <v>0</v>
      </c>
      <c r="CI397" s="17">
        <f>IF('1 - Input'!$B$17=1,MAX(0,BX397-CF397),0)</f>
        <v>4794.7806638029942</v>
      </c>
      <c r="CJ397" s="17">
        <f t="shared" si="381"/>
        <v>0</v>
      </c>
      <c r="CK397" s="17">
        <f>IF(AND(CI397&gt;0,CC397&gt;0),CI397/(1-'1 - Input'!$B$22*CJ397),0)</f>
        <v>0</v>
      </c>
      <c r="CL397" s="17">
        <f t="shared" si="382"/>
        <v>0</v>
      </c>
      <c r="CM397" s="17">
        <f>'1 - Input'!$B$22*CJ397*CL397</f>
        <v>0</v>
      </c>
      <c r="CN397" s="17">
        <f t="shared" si="383"/>
        <v>0</v>
      </c>
      <c r="CO397" s="17">
        <f t="shared" si="384"/>
        <v>4794.7806638029942</v>
      </c>
      <c r="CP397" s="17">
        <f t="shared" si="385"/>
        <v>0</v>
      </c>
      <c r="CQ397" s="17">
        <f t="shared" si="386"/>
        <v>0</v>
      </c>
      <c r="CR397" s="17">
        <f t="shared" si="387"/>
        <v>0</v>
      </c>
      <c r="CS397" s="17">
        <f>IF(MOD(BU397,12)=0,CQ397*'1 - Input'!$B$23,0)</f>
        <v>0</v>
      </c>
      <c r="CT397" s="17">
        <f t="shared" si="388"/>
        <v>0</v>
      </c>
      <c r="CU397" s="17">
        <f>IF(MOD(BU397,12)=0,CR397*(1-'1 - Input'!$B$23),CR397)</f>
        <v>0</v>
      </c>
      <c r="CV397" s="17">
        <f>IF('1 - Input'!$B$17=1,MIN(CF397,BX397)+CN397,CF397)</f>
        <v>0</v>
      </c>
      <c r="CW397" s="17">
        <f t="shared" si="408"/>
        <v>686605.50041273201</v>
      </c>
      <c r="CX397" s="17">
        <f t="shared" si="409"/>
        <v>6018.3402768167462</v>
      </c>
      <c r="CY397" s="17">
        <f t="shared" si="410"/>
        <v>66518.776160328038</v>
      </c>
      <c r="CZ397" s="17">
        <f t="shared" si="411"/>
        <v>0</v>
      </c>
      <c r="DA397" s="17">
        <f t="shared" si="412"/>
        <v>10954.114452440983</v>
      </c>
      <c r="DB397" s="17">
        <f t="shared" si="413"/>
        <v>599031.58185188298</v>
      </c>
      <c r="DC397" s="15">
        <f t="shared" si="389"/>
        <v>1</v>
      </c>
    </row>
    <row r="398" spans="1:107">
      <c r="A398" s="14">
        <v>355</v>
      </c>
      <c r="B398" s="15">
        <f t="shared" si="345"/>
        <v>30</v>
      </c>
      <c r="C398" s="16">
        <f>(1+INDEX('1 - Input'!$B$34:$E$63,B398,'1 - Input'!$B$16))^(1/12)-1</f>
        <v>4.1219243192651689E-3</v>
      </c>
      <c r="D398" s="17">
        <f>'1 - Input'!$B$7*(1+'1 - Input'!$B$12)^(B398-1)</f>
        <v>4794.7806638029942</v>
      </c>
      <c r="E398" s="17">
        <f t="shared" si="390"/>
        <v>0</v>
      </c>
      <c r="F398" s="17">
        <f t="shared" si="391"/>
        <v>0</v>
      </c>
      <c r="G398" s="17">
        <f t="shared" si="346"/>
        <v>0</v>
      </c>
      <c r="H398" s="17">
        <f>IF(G398&gt;0,'1 - Input'!$B$8/12*G398,0)</f>
        <v>0</v>
      </c>
      <c r="I398" s="17">
        <f t="shared" si="347"/>
        <v>0</v>
      </c>
      <c r="J398" s="17">
        <f t="shared" si="348"/>
        <v>0</v>
      </c>
      <c r="K398" s="17">
        <f>'1 - Input'!$B$22*(H398-J398)</f>
        <v>0</v>
      </c>
      <c r="L398" s="17">
        <f t="shared" si="349"/>
        <v>0</v>
      </c>
      <c r="M398" s="17">
        <f t="shared" si="350"/>
        <v>0</v>
      </c>
      <c r="N398" s="17">
        <f>IF('1 - Input'!$B$17=1,MAX(0,L398-D398),0)</f>
        <v>0</v>
      </c>
      <c r="O398" s="17">
        <f>IF('1 - Input'!$B$17=1,MAX(0,D398-L398),0)</f>
        <v>4794.7806638029942</v>
      </c>
      <c r="P398" s="17">
        <f t="shared" si="351"/>
        <v>0</v>
      </c>
      <c r="Q398" s="17">
        <f>IF(AND(O398&gt;0,I398&gt;0),O398/(1-'1 - Input'!$B$22*P398),0)</f>
        <v>0</v>
      </c>
      <c r="R398" s="17">
        <f t="shared" si="352"/>
        <v>0</v>
      </c>
      <c r="S398" s="17">
        <f>'1 - Input'!$B$22*P398*R398</f>
        <v>0</v>
      </c>
      <c r="T398" s="17">
        <f t="shared" si="353"/>
        <v>0</v>
      </c>
      <c r="U398" s="17">
        <f t="shared" si="354"/>
        <v>4794.7806638029942</v>
      </c>
      <c r="V398" s="17">
        <f t="shared" si="355"/>
        <v>0</v>
      </c>
      <c r="W398" s="17">
        <f t="shared" si="356"/>
        <v>0</v>
      </c>
      <c r="X398" s="17">
        <f t="shared" si="357"/>
        <v>0</v>
      </c>
      <c r="Y398" s="17">
        <f>IF(MOD(A398,12)=0,W398*'1 - Input'!$B$23,0)</f>
        <v>0</v>
      </c>
      <c r="Z398" s="17">
        <f t="shared" si="358"/>
        <v>0</v>
      </c>
      <c r="AA398" s="17">
        <f>IF(MOD(A398,12)=0,X398*(1-'1 - Input'!$B$23),X398)</f>
        <v>0</v>
      </c>
      <c r="AB398" s="17">
        <f>IF('1 - Input'!$B$17=1,MIN(L398,D398)+T398,L398)</f>
        <v>0</v>
      </c>
      <c r="AC398" s="17">
        <f t="shared" si="392"/>
        <v>590482.93849429931</v>
      </c>
      <c r="AD398" s="17">
        <f t="shared" si="393"/>
        <v>101441.90180685223</v>
      </c>
      <c r="AE398" s="17">
        <f t="shared" si="394"/>
        <v>0</v>
      </c>
      <c r="AF398" s="17">
        <f t="shared" si="395"/>
        <v>174289.24056370757</v>
      </c>
      <c r="AG398" s="17">
        <f t="shared" si="396"/>
        <v>8123.5662772395826</v>
      </c>
      <c r="AH398" s="17">
        <f t="shared" si="397"/>
        <v>699948.92443411658</v>
      </c>
      <c r="AI398" s="15">
        <f t="shared" si="359"/>
        <v>1</v>
      </c>
      <c r="AK398" s="14">
        <v>355</v>
      </c>
      <c r="AL398" s="15">
        <f t="shared" si="360"/>
        <v>30</v>
      </c>
      <c r="AM398" s="16">
        <f>(1+INDEX('1 - Input'!$B$34:$E$63,AL398,'1 - Input'!$B$16))^(1/12)-1</f>
        <v>4.1219243192651689E-3</v>
      </c>
      <c r="AN398" s="17">
        <f>'1 - Input'!$B$7*(1+'1 - Input'!$B$12)^(AL398-1)</f>
        <v>4794.7806638029942</v>
      </c>
      <c r="AO398" s="17">
        <f t="shared" si="398"/>
        <v>0</v>
      </c>
      <c r="AP398" s="17">
        <f t="shared" si="399"/>
        <v>0</v>
      </c>
      <c r="AQ398" s="17">
        <f t="shared" si="361"/>
        <v>0</v>
      </c>
      <c r="AR398" s="17">
        <f>IF(AQ398&gt;0,'1 - Input'!$B$8/12*AQ398,0)</f>
        <v>0</v>
      </c>
      <c r="AS398" s="17">
        <f t="shared" si="362"/>
        <v>0</v>
      </c>
      <c r="AT398" s="17">
        <f t="shared" si="363"/>
        <v>0</v>
      </c>
      <c r="AU398" s="17">
        <f>'1 - Input'!$B$22*(AR398-AT398)</f>
        <v>0</v>
      </c>
      <c r="AV398" s="17">
        <f t="shared" si="364"/>
        <v>0</v>
      </c>
      <c r="AW398" s="17">
        <f t="shared" si="365"/>
        <v>0</v>
      </c>
      <c r="AX398" s="17">
        <f>IF('1 - Input'!$B$17=1,MAX(0,AV398-AN398),0)</f>
        <v>0</v>
      </c>
      <c r="AY398" s="17">
        <f>IF('1 - Input'!$B$17=1,MAX(0,AN398-AV398),0)</f>
        <v>4794.7806638029942</v>
      </c>
      <c r="AZ398" s="17">
        <f t="shared" si="366"/>
        <v>0</v>
      </c>
      <c r="BA398" s="17">
        <f>IF(AND(AY398&gt;0,AS398&gt;0),AY398/(1-'1 - Input'!$B$22*AZ398),0)</f>
        <v>0</v>
      </c>
      <c r="BB398" s="17">
        <f t="shared" si="367"/>
        <v>0</v>
      </c>
      <c r="BC398" s="17">
        <f>'1 - Input'!$B$22*AZ398*BB398</f>
        <v>0</v>
      </c>
      <c r="BD398" s="17">
        <f t="shared" si="368"/>
        <v>0</v>
      </c>
      <c r="BE398" s="17">
        <f t="shared" si="369"/>
        <v>4794.7806638029942</v>
      </c>
      <c r="BF398" s="17">
        <f t="shared" si="370"/>
        <v>0</v>
      </c>
      <c r="BG398" s="17">
        <f t="shared" si="371"/>
        <v>0</v>
      </c>
      <c r="BH398" s="17">
        <f t="shared" si="372"/>
        <v>0</v>
      </c>
      <c r="BI398" s="17">
        <f>IF(MOD(AK398,12)=0,BG398*'1 - Input'!$B$23,0)</f>
        <v>0</v>
      </c>
      <c r="BJ398" s="17">
        <f t="shared" si="373"/>
        <v>0</v>
      </c>
      <c r="BK398" s="17">
        <f>IF(MOD(AK398,12)=0,BH398*(1-'1 - Input'!$B$23),BH398)</f>
        <v>0</v>
      </c>
      <c r="BL398" s="17">
        <f>IF('1 - Input'!$B$17=1,MIN(AV398,AN398)+BD398,AV398)</f>
        <v>0</v>
      </c>
      <c r="BM398" s="17">
        <f t="shared" si="400"/>
        <v>590482.93849429931</v>
      </c>
      <c r="BN398" s="17">
        <f t="shared" si="401"/>
        <v>101441.90180685223</v>
      </c>
      <c r="BO398" s="17">
        <f t="shared" si="402"/>
        <v>0</v>
      </c>
      <c r="BP398" s="17">
        <f t="shared" si="403"/>
        <v>174289.24056370757</v>
      </c>
      <c r="BQ398" s="17">
        <f t="shared" si="404"/>
        <v>8123.5662772395826</v>
      </c>
      <c r="BR398" s="17">
        <f t="shared" si="405"/>
        <v>699948.92443411658</v>
      </c>
      <c r="BS398" s="15">
        <f t="shared" si="374"/>
        <v>1</v>
      </c>
      <c r="BU398" s="14">
        <v>355</v>
      </c>
      <c r="BV398" s="15">
        <f t="shared" si="375"/>
        <v>30</v>
      </c>
      <c r="BW398" s="16">
        <f>(1+INDEX('1 - Input'!$B$34:$E$63,BV398,'1 - Input'!$B$16))^(1/12)-1</f>
        <v>4.1219243192651689E-3</v>
      </c>
      <c r="BX398" s="17">
        <f>'1 - Input'!$B$7*(1+'1 - Input'!$B$12)^(BV398-1)</f>
        <v>4794.7806638029942</v>
      </c>
      <c r="BY398" s="17">
        <f t="shared" si="406"/>
        <v>0</v>
      </c>
      <c r="BZ398" s="17">
        <f t="shared" si="407"/>
        <v>0</v>
      </c>
      <c r="CA398" s="17">
        <f t="shared" si="376"/>
        <v>0</v>
      </c>
      <c r="CB398" s="17">
        <f>IF(CA398&gt;0,'1 - Input'!$B$8/12*CA398,0)</f>
        <v>0</v>
      </c>
      <c r="CC398" s="17">
        <f t="shared" si="377"/>
        <v>0</v>
      </c>
      <c r="CD398" s="17">
        <f t="shared" si="378"/>
        <v>0</v>
      </c>
      <c r="CE398" s="17">
        <f>'1 - Input'!$B$22*(CB398-CD398)</f>
        <v>0</v>
      </c>
      <c r="CF398" s="17">
        <f t="shared" si="379"/>
        <v>0</v>
      </c>
      <c r="CG398" s="17">
        <f t="shared" si="380"/>
        <v>0</v>
      </c>
      <c r="CH398" s="17">
        <f>IF('1 - Input'!$B$17=1,MAX(0,CF398-BX398),0)</f>
        <v>0</v>
      </c>
      <c r="CI398" s="17">
        <f>IF('1 - Input'!$B$17=1,MAX(0,BX398-CF398),0)</f>
        <v>4794.7806638029942</v>
      </c>
      <c r="CJ398" s="17">
        <f t="shared" si="381"/>
        <v>0</v>
      </c>
      <c r="CK398" s="17">
        <f>IF(AND(CI398&gt;0,CC398&gt;0),CI398/(1-'1 - Input'!$B$22*CJ398),0)</f>
        <v>0</v>
      </c>
      <c r="CL398" s="17">
        <f t="shared" si="382"/>
        <v>0</v>
      </c>
      <c r="CM398" s="17">
        <f>'1 - Input'!$B$22*CJ398*CL398</f>
        <v>0</v>
      </c>
      <c r="CN398" s="17">
        <f t="shared" si="383"/>
        <v>0</v>
      </c>
      <c r="CO398" s="17">
        <f t="shared" si="384"/>
        <v>4794.7806638029942</v>
      </c>
      <c r="CP398" s="17">
        <f t="shared" si="385"/>
        <v>0</v>
      </c>
      <c r="CQ398" s="17">
        <f t="shared" si="386"/>
        <v>0</v>
      </c>
      <c r="CR398" s="17">
        <f t="shared" si="387"/>
        <v>0</v>
      </c>
      <c r="CS398" s="17">
        <f>IF(MOD(BU398,12)=0,CQ398*'1 - Input'!$B$23,0)</f>
        <v>0</v>
      </c>
      <c r="CT398" s="17">
        <f t="shared" si="388"/>
        <v>0</v>
      </c>
      <c r="CU398" s="17">
        <f>IF(MOD(BU398,12)=0,CR398*(1-'1 - Input'!$B$23),CR398)</f>
        <v>0</v>
      </c>
      <c r="CV398" s="17">
        <f>IF('1 - Input'!$B$17=1,MIN(CF398,BX398)+CN398,CF398)</f>
        <v>0</v>
      </c>
      <c r="CW398" s="17">
        <f t="shared" si="408"/>
        <v>686605.50041273201</v>
      </c>
      <c r="CX398" s="17">
        <f t="shared" si="409"/>
        <v>6018.3402768167462</v>
      </c>
      <c r="CY398" s="17">
        <f t="shared" si="410"/>
        <v>66518.776160328038</v>
      </c>
      <c r="CZ398" s="17">
        <f t="shared" si="411"/>
        <v>0</v>
      </c>
      <c r="DA398" s="17">
        <f t="shared" si="412"/>
        <v>10954.114452440983</v>
      </c>
      <c r="DB398" s="17">
        <f t="shared" si="413"/>
        <v>603826.36251568596</v>
      </c>
      <c r="DC398" s="15">
        <f t="shared" si="389"/>
        <v>1</v>
      </c>
    </row>
    <row r="399" spans="1:107">
      <c r="A399" s="14">
        <v>356</v>
      </c>
      <c r="B399" s="15">
        <f t="shared" si="345"/>
        <v>30</v>
      </c>
      <c r="C399" s="16">
        <f>(1+INDEX('1 - Input'!$B$34:$E$63,B399,'1 - Input'!$B$16))^(1/12)-1</f>
        <v>4.1219243192651689E-3</v>
      </c>
      <c r="D399" s="17">
        <f>'1 - Input'!$B$7*(1+'1 - Input'!$B$12)^(B399-1)</f>
        <v>4794.7806638029942</v>
      </c>
      <c r="E399" s="17">
        <f t="shared" si="390"/>
        <v>0</v>
      </c>
      <c r="F399" s="17">
        <f t="shared" si="391"/>
        <v>0</v>
      </c>
      <c r="G399" s="17">
        <f t="shared" si="346"/>
        <v>0</v>
      </c>
      <c r="H399" s="17">
        <f>IF(G399&gt;0,'1 - Input'!$B$8/12*G399,0)</f>
        <v>0</v>
      </c>
      <c r="I399" s="17">
        <f t="shared" si="347"/>
        <v>0</v>
      </c>
      <c r="J399" s="17">
        <f t="shared" si="348"/>
        <v>0</v>
      </c>
      <c r="K399" s="17">
        <f>'1 - Input'!$B$22*(H399-J399)</f>
        <v>0</v>
      </c>
      <c r="L399" s="17">
        <f t="shared" si="349"/>
        <v>0</v>
      </c>
      <c r="M399" s="17">
        <f t="shared" si="350"/>
        <v>0</v>
      </c>
      <c r="N399" s="17">
        <f>IF('1 - Input'!$B$17=1,MAX(0,L399-D399),0)</f>
        <v>0</v>
      </c>
      <c r="O399" s="17">
        <f>IF('1 - Input'!$B$17=1,MAX(0,D399-L399),0)</f>
        <v>4794.7806638029942</v>
      </c>
      <c r="P399" s="17">
        <f t="shared" si="351"/>
        <v>0</v>
      </c>
      <c r="Q399" s="17">
        <f>IF(AND(O399&gt;0,I399&gt;0),O399/(1-'1 - Input'!$B$22*P399),0)</f>
        <v>0</v>
      </c>
      <c r="R399" s="17">
        <f t="shared" si="352"/>
        <v>0</v>
      </c>
      <c r="S399" s="17">
        <f>'1 - Input'!$B$22*P399*R399</f>
        <v>0</v>
      </c>
      <c r="T399" s="17">
        <f t="shared" si="353"/>
        <v>0</v>
      </c>
      <c r="U399" s="17">
        <f t="shared" si="354"/>
        <v>4794.7806638029942</v>
      </c>
      <c r="V399" s="17">
        <f t="shared" si="355"/>
        <v>0</v>
      </c>
      <c r="W399" s="17">
        <f t="shared" si="356"/>
        <v>0</v>
      </c>
      <c r="X399" s="17">
        <f t="shared" si="357"/>
        <v>0</v>
      </c>
      <c r="Y399" s="17">
        <f>IF(MOD(A399,12)=0,W399*'1 - Input'!$B$23,0)</f>
        <v>0</v>
      </c>
      <c r="Z399" s="17">
        <f t="shared" si="358"/>
        <v>0</v>
      </c>
      <c r="AA399" s="17">
        <f>IF(MOD(A399,12)=0,X399*(1-'1 - Input'!$B$23),X399)</f>
        <v>0</v>
      </c>
      <c r="AB399" s="17">
        <f>IF('1 - Input'!$B$17=1,MIN(L399,D399)+T399,L399)</f>
        <v>0</v>
      </c>
      <c r="AC399" s="17">
        <f t="shared" si="392"/>
        <v>590482.93849429931</v>
      </c>
      <c r="AD399" s="17">
        <f t="shared" si="393"/>
        <v>101441.90180685223</v>
      </c>
      <c r="AE399" s="17">
        <f t="shared" si="394"/>
        <v>0</v>
      </c>
      <c r="AF399" s="17">
        <f t="shared" si="395"/>
        <v>174289.24056370757</v>
      </c>
      <c r="AG399" s="17">
        <f t="shared" si="396"/>
        <v>8123.5662772395826</v>
      </c>
      <c r="AH399" s="17">
        <f t="shared" si="397"/>
        <v>704743.70509791956</v>
      </c>
      <c r="AI399" s="15">
        <f t="shared" si="359"/>
        <v>1</v>
      </c>
      <c r="AK399" s="14">
        <v>356</v>
      </c>
      <c r="AL399" s="15">
        <f t="shared" si="360"/>
        <v>30</v>
      </c>
      <c r="AM399" s="16">
        <f>(1+INDEX('1 - Input'!$B$34:$E$63,AL399,'1 - Input'!$B$16))^(1/12)-1</f>
        <v>4.1219243192651689E-3</v>
      </c>
      <c r="AN399" s="17">
        <f>'1 - Input'!$B$7*(1+'1 - Input'!$B$12)^(AL399-1)</f>
        <v>4794.7806638029942</v>
      </c>
      <c r="AO399" s="17">
        <f t="shared" si="398"/>
        <v>0</v>
      </c>
      <c r="AP399" s="17">
        <f t="shared" si="399"/>
        <v>0</v>
      </c>
      <c r="AQ399" s="17">
        <f t="shared" si="361"/>
        <v>0</v>
      </c>
      <c r="AR399" s="17">
        <f>IF(AQ399&gt;0,'1 - Input'!$B$8/12*AQ399,0)</f>
        <v>0</v>
      </c>
      <c r="AS399" s="17">
        <f t="shared" si="362"/>
        <v>0</v>
      </c>
      <c r="AT399" s="17">
        <f t="shared" si="363"/>
        <v>0</v>
      </c>
      <c r="AU399" s="17">
        <f>'1 - Input'!$B$22*(AR399-AT399)</f>
        <v>0</v>
      </c>
      <c r="AV399" s="17">
        <f t="shared" si="364"/>
        <v>0</v>
      </c>
      <c r="AW399" s="17">
        <f t="shared" si="365"/>
        <v>0</v>
      </c>
      <c r="AX399" s="17">
        <f>IF('1 - Input'!$B$17=1,MAX(0,AV399-AN399),0)</f>
        <v>0</v>
      </c>
      <c r="AY399" s="17">
        <f>IF('1 - Input'!$B$17=1,MAX(0,AN399-AV399),0)</f>
        <v>4794.7806638029942</v>
      </c>
      <c r="AZ399" s="17">
        <f t="shared" si="366"/>
        <v>0</v>
      </c>
      <c r="BA399" s="17">
        <f>IF(AND(AY399&gt;0,AS399&gt;0),AY399/(1-'1 - Input'!$B$22*AZ399),0)</f>
        <v>0</v>
      </c>
      <c r="BB399" s="17">
        <f t="shared" si="367"/>
        <v>0</v>
      </c>
      <c r="BC399" s="17">
        <f>'1 - Input'!$B$22*AZ399*BB399</f>
        <v>0</v>
      </c>
      <c r="BD399" s="17">
        <f t="shared" si="368"/>
        <v>0</v>
      </c>
      <c r="BE399" s="17">
        <f t="shared" si="369"/>
        <v>4794.7806638029942</v>
      </c>
      <c r="BF399" s="17">
        <f t="shared" si="370"/>
        <v>0</v>
      </c>
      <c r="BG399" s="17">
        <f t="shared" si="371"/>
        <v>0</v>
      </c>
      <c r="BH399" s="17">
        <f t="shared" si="372"/>
        <v>0</v>
      </c>
      <c r="BI399" s="17">
        <f>IF(MOD(AK399,12)=0,BG399*'1 - Input'!$B$23,0)</f>
        <v>0</v>
      </c>
      <c r="BJ399" s="17">
        <f t="shared" si="373"/>
        <v>0</v>
      </c>
      <c r="BK399" s="17">
        <f>IF(MOD(AK399,12)=0,BH399*(1-'1 - Input'!$B$23),BH399)</f>
        <v>0</v>
      </c>
      <c r="BL399" s="17">
        <f>IF('1 - Input'!$B$17=1,MIN(AV399,AN399)+BD399,AV399)</f>
        <v>0</v>
      </c>
      <c r="BM399" s="17">
        <f t="shared" si="400"/>
        <v>590482.93849429931</v>
      </c>
      <c r="BN399" s="17">
        <f t="shared" si="401"/>
        <v>101441.90180685223</v>
      </c>
      <c r="BO399" s="17">
        <f t="shared" si="402"/>
        <v>0</v>
      </c>
      <c r="BP399" s="17">
        <f t="shared" si="403"/>
        <v>174289.24056370757</v>
      </c>
      <c r="BQ399" s="17">
        <f t="shared" si="404"/>
        <v>8123.5662772395826</v>
      </c>
      <c r="BR399" s="17">
        <f t="shared" si="405"/>
        <v>704743.70509791956</v>
      </c>
      <c r="BS399" s="15">
        <f t="shared" si="374"/>
        <v>1</v>
      </c>
      <c r="BU399" s="14">
        <v>356</v>
      </c>
      <c r="BV399" s="15">
        <f t="shared" si="375"/>
        <v>30</v>
      </c>
      <c r="BW399" s="16">
        <f>(1+INDEX('1 - Input'!$B$34:$E$63,BV399,'1 - Input'!$B$16))^(1/12)-1</f>
        <v>4.1219243192651689E-3</v>
      </c>
      <c r="BX399" s="17">
        <f>'1 - Input'!$B$7*(1+'1 - Input'!$B$12)^(BV399-1)</f>
        <v>4794.7806638029942</v>
      </c>
      <c r="BY399" s="17">
        <f t="shared" si="406"/>
        <v>0</v>
      </c>
      <c r="BZ399" s="17">
        <f t="shared" si="407"/>
        <v>0</v>
      </c>
      <c r="CA399" s="17">
        <f t="shared" si="376"/>
        <v>0</v>
      </c>
      <c r="CB399" s="17">
        <f>IF(CA399&gt;0,'1 - Input'!$B$8/12*CA399,0)</f>
        <v>0</v>
      </c>
      <c r="CC399" s="17">
        <f t="shared" si="377"/>
        <v>0</v>
      </c>
      <c r="CD399" s="17">
        <f t="shared" si="378"/>
        <v>0</v>
      </c>
      <c r="CE399" s="17">
        <f>'1 - Input'!$B$22*(CB399-CD399)</f>
        <v>0</v>
      </c>
      <c r="CF399" s="17">
        <f t="shared" si="379"/>
        <v>0</v>
      </c>
      <c r="CG399" s="17">
        <f t="shared" si="380"/>
        <v>0</v>
      </c>
      <c r="CH399" s="17">
        <f>IF('1 - Input'!$B$17=1,MAX(0,CF399-BX399),0)</f>
        <v>0</v>
      </c>
      <c r="CI399" s="17">
        <f>IF('1 - Input'!$B$17=1,MAX(0,BX399-CF399),0)</f>
        <v>4794.7806638029942</v>
      </c>
      <c r="CJ399" s="17">
        <f t="shared" si="381"/>
        <v>0</v>
      </c>
      <c r="CK399" s="17">
        <f>IF(AND(CI399&gt;0,CC399&gt;0),CI399/(1-'1 - Input'!$B$22*CJ399),0)</f>
        <v>0</v>
      </c>
      <c r="CL399" s="17">
        <f t="shared" si="382"/>
        <v>0</v>
      </c>
      <c r="CM399" s="17">
        <f>'1 - Input'!$B$22*CJ399*CL399</f>
        <v>0</v>
      </c>
      <c r="CN399" s="17">
        <f t="shared" si="383"/>
        <v>0</v>
      </c>
      <c r="CO399" s="17">
        <f t="shared" si="384"/>
        <v>4794.7806638029942</v>
      </c>
      <c r="CP399" s="17">
        <f t="shared" si="385"/>
        <v>0</v>
      </c>
      <c r="CQ399" s="17">
        <f t="shared" si="386"/>
        <v>0</v>
      </c>
      <c r="CR399" s="17">
        <f t="shared" si="387"/>
        <v>0</v>
      </c>
      <c r="CS399" s="17">
        <f>IF(MOD(BU399,12)=0,CQ399*'1 - Input'!$B$23,0)</f>
        <v>0</v>
      </c>
      <c r="CT399" s="17">
        <f t="shared" si="388"/>
        <v>0</v>
      </c>
      <c r="CU399" s="17">
        <f>IF(MOD(BU399,12)=0,CR399*(1-'1 - Input'!$B$23),CR399)</f>
        <v>0</v>
      </c>
      <c r="CV399" s="17">
        <f>IF('1 - Input'!$B$17=1,MIN(CF399,BX399)+CN399,CF399)</f>
        <v>0</v>
      </c>
      <c r="CW399" s="17">
        <f t="shared" si="408"/>
        <v>686605.50041273201</v>
      </c>
      <c r="CX399" s="17">
        <f t="shared" si="409"/>
        <v>6018.3402768167462</v>
      </c>
      <c r="CY399" s="17">
        <f t="shared" si="410"/>
        <v>66518.776160328038</v>
      </c>
      <c r="CZ399" s="17">
        <f t="shared" si="411"/>
        <v>0</v>
      </c>
      <c r="DA399" s="17">
        <f t="shared" si="412"/>
        <v>10954.114452440983</v>
      </c>
      <c r="DB399" s="17">
        <f t="shared" si="413"/>
        <v>608621.14317948895</v>
      </c>
      <c r="DC399" s="15">
        <f t="shared" si="389"/>
        <v>1</v>
      </c>
    </row>
    <row r="400" spans="1:107">
      <c r="A400" s="14">
        <v>357</v>
      </c>
      <c r="B400" s="15">
        <f t="shared" si="345"/>
        <v>30</v>
      </c>
      <c r="C400" s="16">
        <f>(1+INDEX('1 - Input'!$B$34:$E$63,B400,'1 - Input'!$B$16))^(1/12)-1</f>
        <v>4.1219243192651689E-3</v>
      </c>
      <c r="D400" s="17">
        <f>'1 - Input'!$B$7*(1+'1 - Input'!$B$12)^(B400-1)</f>
        <v>4794.7806638029942</v>
      </c>
      <c r="E400" s="17">
        <f t="shared" si="390"/>
        <v>0</v>
      </c>
      <c r="F400" s="17">
        <f t="shared" si="391"/>
        <v>0</v>
      </c>
      <c r="G400" s="17">
        <f t="shared" si="346"/>
        <v>0</v>
      </c>
      <c r="H400" s="17">
        <f>IF(G400&gt;0,'1 - Input'!$B$8/12*G400,0)</f>
        <v>0</v>
      </c>
      <c r="I400" s="17">
        <f t="shared" si="347"/>
        <v>0</v>
      </c>
      <c r="J400" s="17">
        <f t="shared" si="348"/>
        <v>0</v>
      </c>
      <c r="K400" s="17">
        <f>'1 - Input'!$B$22*(H400-J400)</f>
        <v>0</v>
      </c>
      <c r="L400" s="17">
        <f t="shared" si="349"/>
        <v>0</v>
      </c>
      <c r="M400" s="17">
        <f t="shared" si="350"/>
        <v>0</v>
      </c>
      <c r="N400" s="17">
        <f>IF('1 - Input'!$B$17=1,MAX(0,L400-D400),0)</f>
        <v>0</v>
      </c>
      <c r="O400" s="17">
        <f>IF('1 - Input'!$B$17=1,MAX(0,D400-L400),0)</f>
        <v>4794.7806638029942</v>
      </c>
      <c r="P400" s="17">
        <f t="shared" si="351"/>
        <v>0</v>
      </c>
      <c r="Q400" s="17">
        <f>IF(AND(O400&gt;0,I400&gt;0),O400/(1-'1 - Input'!$B$22*P400),0)</f>
        <v>0</v>
      </c>
      <c r="R400" s="17">
        <f t="shared" si="352"/>
        <v>0</v>
      </c>
      <c r="S400" s="17">
        <f>'1 - Input'!$B$22*P400*R400</f>
        <v>0</v>
      </c>
      <c r="T400" s="17">
        <f t="shared" si="353"/>
        <v>0</v>
      </c>
      <c r="U400" s="17">
        <f t="shared" si="354"/>
        <v>4794.7806638029942</v>
      </c>
      <c r="V400" s="17">
        <f t="shared" si="355"/>
        <v>0</v>
      </c>
      <c r="W400" s="17">
        <f t="shared" si="356"/>
        <v>0</v>
      </c>
      <c r="X400" s="17">
        <f t="shared" si="357"/>
        <v>0</v>
      </c>
      <c r="Y400" s="17">
        <f>IF(MOD(A400,12)=0,W400*'1 - Input'!$B$23,0)</f>
        <v>0</v>
      </c>
      <c r="Z400" s="17">
        <f t="shared" si="358"/>
        <v>0</v>
      </c>
      <c r="AA400" s="17">
        <f>IF(MOD(A400,12)=0,X400*(1-'1 - Input'!$B$23),X400)</f>
        <v>0</v>
      </c>
      <c r="AB400" s="17">
        <f>IF('1 - Input'!$B$17=1,MIN(L400,D400)+T400,L400)</f>
        <v>0</v>
      </c>
      <c r="AC400" s="17">
        <f t="shared" si="392"/>
        <v>590482.93849429931</v>
      </c>
      <c r="AD400" s="17">
        <f t="shared" si="393"/>
        <v>101441.90180685223</v>
      </c>
      <c r="AE400" s="17">
        <f t="shared" si="394"/>
        <v>0</v>
      </c>
      <c r="AF400" s="17">
        <f t="shared" si="395"/>
        <v>174289.24056370757</v>
      </c>
      <c r="AG400" s="17">
        <f t="shared" si="396"/>
        <v>8123.5662772395826</v>
      </c>
      <c r="AH400" s="17">
        <f t="shared" si="397"/>
        <v>709538.48576172255</v>
      </c>
      <c r="AI400" s="15">
        <f t="shared" si="359"/>
        <v>1</v>
      </c>
      <c r="AK400" s="14">
        <v>357</v>
      </c>
      <c r="AL400" s="15">
        <f t="shared" si="360"/>
        <v>30</v>
      </c>
      <c r="AM400" s="16">
        <f>(1+INDEX('1 - Input'!$B$34:$E$63,AL400,'1 - Input'!$B$16))^(1/12)-1</f>
        <v>4.1219243192651689E-3</v>
      </c>
      <c r="AN400" s="17">
        <f>'1 - Input'!$B$7*(1+'1 - Input'!$B$12)^(AL400-1)</f>
        <v>4794.7806638029942</v>
      </c>
      <c r="AO400" s="17">
        <f t="shared" si="398"/>
        <v>0</v>
      </c>
      <c r="AP400" s="17">
        <f t="shared" si="399"/>
        <v>0</v>
      </c>
      <c r="AQ400" s="17">
        <f t="shared" si="361"/>
        <v>0</v>
      </c>
      <c r="AR400" s="17">
        <f>IF(AQ400&gt;0,'1 - Input'!$B$8/12*AQ400,0)</f>
        <v>0</v>
      </c>
      <c r="AS400" s="17">
        <f t="shared" si="362"/>
        <v>0</v>
      </c>
      <c r="AT400" s="17">
        <f t="shared" si="363"/>
        <v>0</v>
      </c>
      <c r="AU400" s="17">
        <f>'1 - Input'!$B$22*(AR400-AT400)</f>
        <v>0</v>
      </c>
      <c r="AV400" s="17">
        <f t="shared" si="364"/>
        <v>0</v>
      </c>
      <c r="AW400" s="17">
        <f t="shared" si="365"/>
        <v>0</v>
      </c>
      <c r="AX400" s="17">
        <f>IF('1 - Input'!$B$17=1,MAX(0,AV400-AN400),0)</f>
        <v>0</v>
      </c>
      <c r="AY400" s="17">
        <f>IF('1 - Input'!$B$17=1,MAX(0,AN400-AV400),0)</f>
        <v>4794.7806638029942</v>
      </c>
      <c r="AZ400" s="17">
        <f t="shared" si="366"/>
        <v>0</v>
      </c>
      <c r="BA400" s="17">
        <f>IF(AND(AY400&gt;0,AS400&gt;0),AY400/(1-'1 - Input'!$B$22*AZ400),0)</f>
        <v>0</v>
      </c>
      <c r="BB400" s="17">
        <f t="shared" si="367"/>
        <v>0</v>
      </c>
      <c r="BC400" s="17">
        <f>'1 - Input'!$B$22*AZ400*BB400</f>
        <v>0</v>
      </c>
      <c r="BD400" s="17">
        <f t="shared" si="368"/>
        <v>0</v>
      </c>
      <c r="BE400" s="17">
        <f t="shared" si="369"/>
        <v>4794.7806638029942</v>
      </c>
      <c r="BF400" s="17">
        <f t="shared" si="370"/>
        <v>0</v>
      </c>
      <c r="BG400" s="17">
        <f t="shared" si="371"/>
        <v>0</v>
      </c>
      <c r="BH400" s="17">
        <f t="shared" si="372"/>
        <v>0</v>
      </c>
      <c r="BI400" s="17">
        <f>IF(MOD(AK400,12)=0,BG400*'1 - Input'!$B$23,0)</f>
        <v>0</v>
      </c>
      <c r="BJ400" s="17">
        <f t="shared" si="373"/>
        <v>0</v>
      </c>
      <c r="BK400" s="17">
        <f>IF(MOD(AK400,12)=0,BH400*(1-'1 - Input'!$B$23),BH400)</f>
        <v>0</v>
      </c>
      <c r="BL400" s="17">
        <f>IF('1 - Input'!$B$17=1,MIN(AV400,AN400)+BD400,AV400)</f>
        <v>0</v>
      </c>
      <c r="BM400" s="17">
        <f t="shared" si="400"/>
        <v>590482.93849429931</v>
      </c>
      <c r="BN400" s="17">
        <f t="shared" si="401"/>
        <v>101441.90180685223</v>
      </c>
      <c r="BO400" s="17">
        <f t="shared" si="402"/>
        <v>0</v>
      </c>
      <c r="BP400" s="17">
        <f t="shared" si="403"/>
        <v>174289.24056370757</v>
      </c>
      <c r="BQ400" s="17">
        <f t="shared" si="404"/>
        <v>8123.5662772395826</v>
      </c>
      <c r="BR400" s="17">
        <f t="shared" si="405"/>
        <v>709538.48576172255</v>
      </c>
      <c r="BS400" s="15">
        <f t="shared" si="374"/>
        <v>1</v>
      </c>
      <c r="BU400" s="14">
        <v>357</v>
      </c>
      <c r="BV400" s="15">
        <f t="shared" si="375"/>
        <v>30</v>
      </c>
      <c r="BW400" s="16">
        <f>(1+INDEX('1 - Input'!$B$34:$E$63,BV400,'1 - Input'!$B$16))^(1/12)-1</f>
        <v>4.1219243192651689E-3</v>
      </c>
      <c r="BX400" s="17">
        <f>'1 - Input'!$B$7*(1+'1 - Input'!$B$12)^(BV400-1)</f>
        <v>4794.7806638029942</v>
      </c>
      <c r="BY400" s="17">
        <f t="shared" si="406"/>
        <v>0</v>
      </c>
      <c r="BZ400" s="17">
        <f t="shared" si="407"/>
        <v>0</v>
      </c>
      <c r="CA400" s="17">
        <f t="shared" si="376"/>
        <v>0</v>
      </c>
      <c r="CB400" s="17">
        <f>IF(CA400&gt;0,'1 - Input'!$B$8/12*CA400,0)</f>
        <v>0</v>
      </c>
      <c r="CC400" s="17">
        <f t="shared" si="377"/>
        <v>0</v>
      </c>
      <c r="CD400" s="17">
        <f t="shared" si="378"/>
        <v>0</v>
      </c>
      <c r="CE400" s="17">
        <f>'1 - Input'!$B$22*(CB400-CD400)</f>
        <v>0</v>
      </c>
      <c r="CF400" s="17">
        <f t="shared" si="379"/>
        <v>0</v>
      </c>
      <c r="CG400" s="17">
        <f t="shared" si="380"/>
        <v>0</v>
      </c>
      <c r="CH400" s="17">
        <f>IF('1 - Input'!$B$17=1,MAX(0,CF400-BX400),0)</f>
        <v>0</v>
      </c>
      <c r="CI400" s="17">
        <f>IF('1 - Input'!$B$17=1,MAX(0,BX400-CF400),0)</f>
        <v>4794.7806638029942</v>
      </c>
      <c r="CJ400" s="17">
        <f t="shared" si="381"/>
        <v>0</v>
      </c>
      <c r="CK400" s="17">
        <f>IF(AND(CI400&gt;0,CC400&gt;0),CI400/(1-'1 - Input'!$B$22*CJ400),0)</f>
        <v>0</v>
      </c>
      <c r="CL400" s="17">
        <f t="shared" si="382"/>
        <v>0</v>
      </c>
      <c r="CM400" s="17">
        <f>'1 - Input'!$B$22*CJ400*CL400</f>
        <v>0</v>
      </c>
      <c r="CN400" s="17">
        <f t="shared" si="383"/>
        <v>0</v>
      </c>
      <c r="CO400" s="17">
        <f t="shared" si="384"/>
        <v>4794.7806638029942</v>
      </c>
      <c r="CP400" s="17">
        <f t="shared" si="385"/>
        <v>0</v>
      </c>
      <c r="CQ400" s="17">
        <f t="shared" si="386"/>
        <v>0</v>
      </c>
      <c r="CR400" s="17">
        <f t="shared" si="387"/>
        <v>0</v>
      </c>
      <c r="CS400" s="17">
        <f>IF(MOD(BU400,12)=0,CQ400*'1 - Input'!$B$23,0)</f>
        <v>0</v>
      </c>
      <c r="CT400" s="17">
        <f t="shared" si="388"/>
        <v>0</v>
      </c>
      <c r="CU400" s="17">
        <f>IF(MOD(BU400,12)=0,CR400*(1-'1 - Input'!$B$23),CR400)</f>
        <v>0</v>
      </c>
      <c r="CV400" s="17">
        <f>IF('1 - Input'!$B$17=1,MIN(CF400,BX400)+CN400,CF400)</f>
        <v>0</v>
      </c>
      <c r="CW400" s="17">
        <f t="shared" si="408"/>
        <v>686605.50041273201</v>
      </c>
      <c r="CX400" s="17">
        <f t="shared" si="409"/>
        <v>6018.3402768167462</v>
      </c>
      <c r="CY400" s="17">
        <f t="shared" si="410"/>
        <v>66518.776160328038</v>
      </c>
      <c r="CZ400" s="17">
        <f t="shared" si="411"/>
        <v>0</v>
      </c>
      <c r="DA400" s="17">
        <f t="shared" si="412"/>
        <v>10954.114452440983</v>
      </c>
      <c r="DB400" s="17">
        <f t="shared" si="413"/>
        <v>613415.92384329194</v>
      </c>
      <c r="DC400" s="15">
        <f t="shared" si="389"/>
        <v>1</v>
      </c>
    </row>
    <row r="401" spans="1:107">
      <c r="A401" s="14">
        <v>358</v>
      </c>
      <c r="B401" s="15">
        <f t="shared" si="345"/>
        <v>30</v>
      </c>
      <c r="C401" s="16">
        <f>(1+INDEX('1 - Input'!$B$34:$E$63,B401,'1 - Input'!$B$16))^(1/12)-1</f>
        <v>4.1219243192651689E-3</v>
      </c>
      <c r="D401" s="17">
        <f>'1 - Input'!$B$7*(1+'1 - Input'!$B$12)^(B401-1)</f>
        <v>4794.7806638029942</v>
      </c>
      <c r="E401" s="17">
        <f t="shared" si="390"/>
        <v>0</v>
      </c>
      <c r="F401" s="17">
        <f t="shared" si="391"/>
        <v>0</v>
      </c>
      <c r="G401" s="17">
        <f t="shared" si="346"/>
        <v>0</v>
      </c>
      <c r="H401" s="17">
        <f>IF(G401&gt;0,'1 - Input'!$B$8/12*G401,0)</f>
        <v>0</v>
      </c>
      <c r="I401" s="17">
        <f t="shared" si="347"/>
        <v>0</v>
      </c>
      <c r="J401" s="17">
        <f t="shared" si="348"/>
        <v>0</v>
      </c>
      <c r="K401" s="17">
        <f>'1 - Input'!$B$22*(H401-J401)</f>
        <v>0</v>
      </c>
      <c r="L401" s="17">
        <f t="shared" si="349"/>
        <v>0</v>
      </c>
      <c r="M401" s="17">
        <f t="shared" si="350"/>
        <v>0</v>
      </c>
      <c r="N401" s="17">
        <f>IF('1 - Input'!$B$17=1,MAX(0,L401-D401),0)</f>
        <v>0</v>
      </c>
      <c r="O401" s="17">
        <f>IF('1 - Input'!$B$17=1,MAX(0,D401-L401),0)</f>
        <v>4794.7806638029942</v>
      </c>
      <c r="P401" s="17">
        <f t="shared" si="351"/>
        <v>0</v>
      </c>
      <c r="Q401" s="17">
        <f>IF(AND(O401&gt;0,I401&gt;0),O401/(1-'1 - Input'!$B$22*P401),0)</f>
        <v>0</v>
      </c>
      <c r="R401" s="17">
        <f t="shared" si="352"/>
        <v>0</v>
      </c>
      <c r="S401" s="17">
        <f>'1 - Input'!$B$22*P401*R401</f>
        <v>0</v>
      </c>
      <c r="T401" s="17">
        <f t="shared" si="353"/>
        <v>0</v>
      </c>
      <c r="U401" s="17">
        <f t="shared" si="354"/>
        <v>4794.7806638029942</v>
      </c>
      <c r="V401" s="17">
        <f t="shared" si="355"/>
        <v>0</v>
      </c>
      <c r="W401" s="17">
        <f t="shared" si="356"/>
        <v>0</v>
      </c>
      <c r="X401" s="17">
        <f t="shared" si="357"/>
        <v>0</v>
      </c>
      <c r="Y401" s="17">
        <f>IF(MOD(A401,12)=0,W401*'1 - Input'!$B$23,0)</f>
        <v>0</v>
      </c>
      <c r="Z401" s="17">
        <f t="shared" si="358"/>
        <v>0</v>
      </c>
      <c r="AA401" s="17">
        <f>IF(MOD(A401,12)=0,X401*(1-'1 - Input'!$B$23),X401)</f>
        <v>0</v>
      </c>
      <c r="AB401" s="17">
        <f>IF('1 - Input'!$B$17=1,MIN(L401,D401)+T401,L401)</f>
        <v>0</v>
      </c>
      <c r="AC401" s="17">
        <f t="shared" si="392"/>
        <v>590482.93849429931</v>
      </c>
      <c r="AD401" s="17">
        <f t="shared" si="393"/>
        <v>101441.90180685223</v>
      </c>
      <c r="AE401" s="17">
        <f t="shared" si="394"/>
        <v>0</v>
      </c>
      <c r="AF401" s="17">
        <f t="shared" si="395"/>
        <v>174289.24056370757</v>
      </c>
      <c r="AG401" s="17">
        <f t="shared" si="396"/>
        <v>8123.5662772395826</v>
      </c>
      <c r="AH401" s="17">
        <f t="shared" si="397"/>
        <v>714333.26642552554</v>
      </c>
      <c r="AI401" s="15">
        <f t="shared" si="359"/>
        <v>1</v>
      </c>
      <c r="AK401" s="14">
        <v>358</v>
      </c>
      <c r="AL401" s="15">
        <f t="shared" si="360"/>
        <v>30</v>
      </c>
      <c r="AM401" s="16">
        <f>(1+INDEX('1 - Input'!$B$34:$E$63,AL401,'1 - Input'!$B$16))^(1/12)-1</f>
        <v>4.1219243192651689E-3</v>
      </c>
      <c r="AN401" s="17">
        <f>'1 - Input'!$B$7*(1+'1 - Input'!$B$12)^(AL401-1)</f>
        <v>4794.7806638029942</v>
      </c>
      <c r="AO401" s="17">
        <f t="shared" si="398"/>
        <v>0</v>
      </c>
      <c r="AP401" s="17">
        <f t="shared" si="399"/>
        <v>0</v>
      </c>
      <c r="AQ401" s="17">
        <f t="shared" si="361"/>
        <v>0</v>
      </c>
      <c r="AR401" s="17">
        <f>IF(AQ401&gt;0,'1 - Input'!$B$8/12*AQ401,0)</f>
        <v>0</v>
      </c>
      <c r="AS401" s="17">
        <f t="shared" si="362"/>
        <v>0</v>
      </c>
      <c r="AT401" s="17">
        <f t="shared" si="363"/>
        <v>0</v>
      </c>
      <c r="AU401" s="17">
        <f>'1 - Input'!$B$22*(AR401-AT401)</f>
        <v>0</v>
      </c>
      <c r="AV401" s="17">
        <f t="shared" si="364"/>
        <v>0</v>
      </c>
      <c r="AW401" s="17">
        <f t="shared" si="365"/>
        <v>0</v>
      </c>
      <c r="AX401" s="17">
        <f>IF('1 - Input'!$B$17=1,MAX(0,AV401-AN401),0)</f>
        <v>0</v>
      </c>
      <c r="AY401" s="17">
        <f>IF('1 - Input'!$B$17=1,MAX(0,AN401-AV401),0)</f>
        <v>4794.7806638029942</v>
      </c>
      <c r="AZ401" s="17">
        <f t="shared" si="366"/>
        <v>0</v>
      </c>
      <c r="BA401" s="17">
        <f>IF(AND(AY401&gt;0,AS401&gt;0),AY401/(1-'1 - Input'!$B$22*AZ401),0)</f>
        <v>0</v>
      </c>
      <c r="BB401" s="17">
        <f t="shared" si="367"/>
        <v>0</v>
      </c>
      <c r="BC401" s="17">
        <f>'1 - Input'!$B$22*AZ401*BB401</f>
        <v>0</v>
      </c>
      <c r="BD401" s="17">
        <f t="shared" si="368"/>
        <v>0</v>
      </c>
      <c r="BE401" s="17">
        <f t="shared" si="369"/>
        <v>4794.7806638029942</v>
      </c>
      <c r="BF401" s="17">
        <f t="shared" si="370"/>
        <v>0</v>
      </c>
      <c r="BG401" s="17">
        <f t="shared" si="371"/>
        <v>0</v>
      </c>
      <c r="BH401" s="17">
        <f t="shared" si="372"/>
        <v>0</v>
      </c>
      <c r="BI401" s="17">
        <f>IF(MOD(AK401,12)=0,BG401*'1 - Input'!$B$23,0)</f>
        <v>0</v>
      </c>
      <c r="BJ401" s="17">
        <f t="shared" si="373"/>
        <v>0</v>
      </c>
      <c r="BK401" s="17">
        <f>IF(MOD(AK401,12)=0,BH401*(1-'1 - Input'!$B$23),BH401)</f>
        <v>0</v>
      </c>
      <c r="BL401" s="17">
        <f>IF('1 - Input'!$B$17=1,MIN(AV401,AN401)+BD401,AV401)</f>
        <v>0</v>
      </c>
      <c r="BM401" s="17">
        <f t="shared" si="400"/>
        <v>590482.93849429931</v>
      </c>
      <c r="BN401" s="17">
        <f t="shared" si="401"/>
        <v>101441.90180685223</v>
      </c>
      <c r="BO401" s="17">
        <f t="shared" si="402"/>
        <v>0</v>
      </c>
      <c r="BP401" s="17">
        <f t="shared" si="403"/>
        <v>174289.24056370757</v>
      </c>
      <c r="BQ401" s="17">
        <f t="shared" si="404"/>
        <v>8123.5662772395826</v>
      </c>
      <c r="BR401" s="17">
        <f t="shared" si="405"/>
        <v>714333.26642552554</v>
      </c>
      <c r="BS401" s="15">
        <f t="shared" si="374"/>
        <v>1</v>
      </c>
      <c r="BU401" s="14">
        <v>358</v>
      </c>
      <c r="BV401" s="15">
        <f t="shared" si="375"/>
        <v>30</v>
      </c>
      <c r="BW401" s="16">
        <f>(1+INDEX('1 - Input'!$B$34:$E$63,BV401,'1 - Input'!$B$16))^(1/12)-1</f>
        <v>4.1219243192651689E-3</v>
      </c>
      <c r="BX401" s="17">
        <f>'1 - Input'!$B$7*(1+'1 - Input'!$B$12)^(BV401-1)</f>
        <v>4794.7806638029942</v>
      </c>
      <c r="BY401" s="17">
        <f t="shared" si="406"/>
        <v>0</v>
      </c>
      <c r="BZ401" s="17">
        <f t="shared" si="407"/>
        <v>0</v>
      </c>
      <c r="CA401" s="17">
        <f t="shared" si="376"/>
        <v>0</v>
      </c>
      <c r="CB401" s="17">
        <f>IF(CA401&gt;0,'1 - Input'!$B$8/12*CA401,0)</f>
        <v>0</v>
      </c>
      <c r="CC401" s="17">
        <f t="shared" si="377"/>
        <v>0</v>
      </c>
      <c r="CD401" s="17">
        <f t="shared" si="378"/>
        <v>0</v>
      </c>
      <c r="CE401" s="17">
        <f>'1 - Input'!$B$22*(CB401-CD401)</f>
        <v>0</v>
      </c>
      <c r="CF401" s="17">
        <f t="shared" si="379"/>
        <v>0</v>
      </c>
      <c r="CG401" s="17">
        <f t="shared" si="380"/>
        <v>0</v>
      </c>
      <c r="CH401" s="17">
        <f>IF('1 - Input'!$B$17=1,MAX(0,CF401-BX401),0)</f>
        <v>0</v>
      </c>
      <c r="CI401" s="17">
        <f>IF('1 - Input'!$B$17=1,MAX(0,BX401-CF401),0)</f>
        <v>4794.7806638029942</v>
      </c>
      <c r="CJ401" s="17">
        <f t="shared" si="381"/>
        <v>0</v>
      </c>
      <c r="CK401" s="17">
        <f>IF(AND(CI401&gt;0,CC401&gt;0),CI401/(1-'1 - Input'!$B$22*CJ401),0)</f>
        <v>0</v>
      </c>
      <c r="CL401" s="17">
        <f t="shared" si="382"/>
        <v>0</v>
      </c>
      <c r="CM401" s="17">
        <f>'1 - Input'!$B$22*CJ401*CL401</f>
        <v>0</v>
      </c>
      <c r="CN401" s="17">
        <f t="shared" si="383"/>
        <v>0</v>
      </c>
      <c r="CO401" s="17">
        <f t="shared" si="384"/>
        <v>4794.7806638029942</v>
      </c>
      <c r="CP401" s="17">
        <f t="shared" si="385"/>
        <v>0</v>
      </c>
      <c r="CQ401" s="17">
        <f t="shared" si="386"/>
        <v>0</v>
      </c>
      <c r="CR401" s="17">
        <f t="shared" si="387"/>
        <v>0</v>
      </c>
      <c r="CS401" s="17">
        <f>IF(MOD(BU401,12)=0,CQ401*'1 - Input'!$B$23,0)</f>
        <v>0</v>
      </c>
      <c r="CT401" s="17">
        <f t="shared" si="388"/>
        <v>0</v>
      </c>
      <c r="CU401" s="17">
        <f>IF(MOD(BU401,12)=0,CR401*(1-'1 - Input'!$B$23),CR401)</f>
        <v>0</v>
      </c>
      <c r="CV401" s="17">
        <f>IF('1 - Input'!$B$17=1,MIN(CF401,BX401)+CN401,CF401)</f>
        <v>0</v>
      </c>
      <c r="CW401" s="17">
        <f t="shared" si="408"/>
        <v>686605.50041273201</v>
      </c>
      <c r="CX401" s="17">
        <f t="shared" si="409"/>
        <v>6018.3402768167462</v>
      </c>
      <c r="CY401" s="17">
        <f t="shared" si="410"/>
        <v>66518.776160328038</v>
      </c>
      <c r="CZ401" s="17">
        <f t="shared" si="411"/>
        <v>0</v>
      </c>
      <c r="DA401" s="17">
        <f t="shared" si="412"/>
        <v>10954.114452440983</v>
      </c>
      <c r="DB401" s="17">
        <f t="shared" si="413"/>
        <v>618210.70450709492</v>
      </c>
      <c r="DC401" s="15">
        <f t="shared" si="389"/>
        <v>1</v>
      </c>
    </row>
    <row r="402" spans="1:107">
      <c r="A402" s="14">
        <v>359</v>
      </c>
      <c r="B402" s="15">
        <f t="shared" si="345"/>
        <v>30</v>
      </c>
      <c r="C402" s="16">
        <f>(1+INDEX('1 - Input'!$B$34:$E$63,B402,'1 - Input'!$B$16))^(1/12)-1</f>
        <v>4.1219243192651689E-3</v>
      </c>
      <c r="D402" s="17">
        <f>'1 - Input'!$B$7*(1+'1 - Input'!$B$12)^(B402-1)</f>
        <v>4794.7806638029942</v>
      </c>
      <c r="E402" s="17">
        <f t="shared" si="390"/>
        <v>0</v>
      </c>
      <c r="F402" s="17">
        <f t="shared" si="391"/>
        <v>0</v>
      </c>
      <c r="G402" s="17">
        <f t="shared" si="346"/>
        <v>0</v>
      </c>
      <c r="H402" s="17">
        <f>IF(G402&gt;0,'1 - Input'!$B$8/12*G402,0)</f>
        <v>0</v>
      </c>
      <c r="I402" s="17">
        <f t="shared" si="347"/>
        <v>0</v>
      </c>
      <c r="J402" s="17">
        <f t="shared" si="348"/>
        <v>0</v>
      </c>
      <c r="K402" s="17">
        <f>'1 - Input'!$B$22*(H402-J402)</f>
        <v>0</v>
      </c>
      <c r="L402" s="17">
        <f t="shared" si="349"/>
        <v>0</v>
      </c>
      <c r="M402" s="17">
        <f t="shared" si="350"/>
        <v>0</v>
      </c>
      <c r="N402" s="17">
        <f>IF('1 - Input'!$B$17=1,MAX(0,L402-D402),0)</f>
        <v>0</v>
      </c>
      <c r="O402" s="17">
        <f>IF('1 - Input'!$B$17=1,MAX(0,D402-L402),0)</f>
        <v>4794.7806638029942</v>
      </c>
      <c r="P402" s="17">
        <f t="shared" si="351"/>
        <v>0</v>
      </c>
      <c r="Q402" s="17">
        <f>IF(AND(O402&gt;0,I402&gt;0),O402/(1-'1 - Input'!$B$22*P402),0)</f>
        <v>0</v>
      </c>
      <c r="R402" s="17">
        <f t="shared" si="352"/>
        <v>0</v>
      </c>
      <c r="S402" s="17">
        <f>'1 - Input'!$B$22*P402*R402</f>
        <v>0</v>
      </c>
      <c r="T402" s="17">
        <f t="shared" si="353"/>
        <v>0</v>
      </c>
      <c r="U402" s="17">
        <f t="shared" si="354"/>
        <v>4794.7806638029942</v>
      </c>
      <c r="V402" s="17">
        <f t="shared" si="355"/>
        <v>0</v>
      </c>
      <c r="W402" s="17">
        <f t="shared" si="356"/>
        <v>0</v>
      </c>
      <c r="X402" s="17">
        <f t="shared" si="357"/>
        <v>0</v>
      </c>
      <c r="Y402" s="17">
        <f>IF(MOD(A402,12)=0,W402*'1 - Input'!$B$23,0)</f>
        <v>0</v>
      </c>
      <c r="Z402" s="17">
        <f t="shared" si="358"/>
        <v>0</v>
      </c>
      <c r="AA402" s="17">
        <f>IF(MOD(A402,12)=0,X402*(1-'1 - Input'!$B$23),X402)</f>
        <v>0</v>
      </c>
      <c r="AB402" s="17">
        <f>IF('1 - Input'!$B$17=1,MIN(L402,D402)+T402,L402)</f>
        <v>0</v>
      </c>
      <c r="AC402" s="17">
        <f t="shared" si="392"/>
        <v>590482.93849429931</v>
      </c>
      <c r="AD402" s="17">
        <f t="shared" si="393"/>
        <v>101441.90180685223</v>
      </c>
      <c r="AE402" s="17">
        <f t="shared" si="394"/>
        <v>0</v>
      </c>
      <c r="AF402" s="17">
        <f t="shared" si="395"/>
        <v>174289.24056370757</v>
      </c>
      <c r="AG402" s="17">
        <f t="shared" si="396"/>
        <v>8123.5662772395826</v>
      </c>
      <c r="AH402" s="17">
        <f t="shared" si="397"/>
        <v>719128.04708932852</v>
      </c>
      <c r="AI402" s="15">
        <f t="shared" si="359"/>
        <v>1</v>
      </c>
      <c r="AK402" s="14">
        <v>359</v>
      </c>
      <c r="AL402" s="15">
        <f t="shared" si="360"/>
        <v>30</v>
      </c>
      <c r="AM402" s="16">
        <f>(1+INDEX('1 - Input'!$B$34:$E$63,AL402,'1 - Input'!$B$16))^(1/12)-1</f>
        <v>4.1219243192651689E-3</v>
      </c>
      <c r="AN402" s="17">
        <f>'1 - Input'!$B$7*(1+'1 - Input'!$B$12)^(AL402-1)</f>
        <v>4794.7806638029942</v>
      </c>
      <c r="AO402" s="17">
        <f t="shared" si="398"/>
        <v>0</v>
      </c>
      <c r="AP402" s="17">
        <f t="shared" si="399"/>
        <v>0</v>
      </c>
      <c r="AQ402" s="17">
        <f t="shared" si="361"/>
        <v>0</v>
      </c>
      <c r="AR402" s="17">
        <f>IF(AQ402&gt;0,'1 - Input'!$B$8/12*AQ402,0)</f>
        <v>0</v>
      </c>
      <c r="AS402" s="17">
        <f t="shared" si="362"/>
        <v>0</v>
      </c>
      <c r="AT402" s="17">
        <f t="shared" si="363"/>
        <v>0</v>
      </c>
      <c r="AU402" s="17">
        <f>'1 - Input'!$B$22*(AR402-AT402)</f>
        <v>0</v>
      </c>
      <c r="AV402" s="17">
        <f t="shared" si="364"/>
        <v>0</v>
      </c>
      <c r="AW402" s="17">
        <f t="shared" si="365"/>
        <v>0</v>
      </c>
      <c r="AX402" s="17">
        <f>IF('1 - Input'!$B$17=1,MAX(0,AV402-AN402),0)</f>
        <v>0</v>
      </c>
      <c r="AY402" s="17">
        <f>IF('1 - Input'!$B$17=1,MAX(0,AN402-AV402),0)</f>
        <v>4794.7806638029942</v>
      </c>
      <c r="AZ402" s="17">
        <f t="shared" si="366"/>
        <v>0</v>
      </c>
      <c r="BA402" s="17">
        <f>IF(AND(AY402&gt;0,AS402&gt;0),AY402/(1-'1 - Input'!$B$22*AZ402),0)</f>
        <v>0</v>
      </c>
      <c r="BB402" s="17">
        <f t="shared" si="367"/>
        <v>0</v>
      </c>
      <c r="BC402" s="17">
        <f>'1 - Input'!$B$22*AZ402*BB402</f>
        <v>0</v>
      </c>
      <c r="BD402" s="17">
        <f t="shared" si="368"/>
        <v>0</v>
      </c>
      <c r="BE402" s="17">
        <f t="shared" si="369"/>
        <v>4794.7806638029942</v>
      </c>
      <c r="BF402" s="17">
        <f t="shared" si="370"/>
        <v>0</v>
      </c>
      <c r="BG402" s="17">
        <f t="shared" si="371"/>
        <v>0</v>
      </c>
      <c r="BH402" s="17">
        <f t="shared" si="372"/>
        <v>0</v>
      </c>
      <c r="BI402" s="17">
        <f>IF(MOD(AK402,12)=0,BG402*'1 - Input'!$B$23,0)</f>
        <v>0</v>
      </c>
      <c r="BJ402" s="17">
        <f t="shared" si="373"/>
        <v>0</v>
      </c>
      <c r="BK402" s="17">
        <f>IF(MOD(AK402,12)=0,BH402*(1-'1 - Input'!$B$23),BH402)</f>
        <v>0</v>
      </c>
      <c r="BL402" s="17">
        <f>IF('1 - Input'!$B$17=1,MIN(AV402,AN402)+BD402,AV402)</f>
        <v>0</v>
      </c>
      <c r="BM402" s="17">
        <f t="shared" si="400"/>
        <v>590482.93849429931</v>
      </c>
      <c r="BN402" s="17">
        <f t="shared" si="401"/>
        <v>101441.90180685223</v>
      </c>
      <c r="BO402" s="17">
        <f t="shared" si="402"/>
        <v>0</v>
      </c>
      <c r="BP402" s="17">
        <f t="shared" si="403"/>
        <v>174289.24056370757</v>
      </c>
      <c r="BQ402" s="17">
        <f t="shared" si="404"/>
        <v>8123.5662772395826</v>
      </c>
      <c r="BR402" s="17">
        <f t="shared" si="405"/>
        <v>719128.04708932852</v>
      </c>
      <c r="BS402" s="15">
        <f t="shared" si="374"/>
        <v>1</v>
      </c>
      <c r="BU402" s="14">
        <v>359</v>
      </c>
      <c r="BV402" s="15">
        <f t="shared" si="375"/>
        <v>30</v>
      </c>
      <c r="BW402" s="16">
        <f>(1+INDEX('1 - Input'!$B$34:$E$63,BV402,'1 - Input'!$B$16))^(1/12)-1</f>
        <v>4.1219243192651689E-3</v>
      </c>
      <c r="BX402" s="17">
        <f>'1 - Input'!$B$7*(1+'1 - Input'!$B$12)^(BV402-1)</f>
        <v>4794.7806638029942</v>
      </c>
      <c r="BY402" s="17">
        <f t="shared" si="406"/>
        <v>0</v>
      </c>
      <c r="BZ402" s="17">
        <f t="shared" si="407"/>
        <v>0</v>
      </c>
      <c r="CA402" s="17">
        <f t="shared" si="376"/>
        <v>0</v>
      </c>
      <c r="CB402" s="17">
        <f>IF(CA402&gt;0,'1 - Input'!$B$8/12*CA402,0)</f>
        <v>0</v>
      </c>
      <c r="CC402" s="17">
        <f t="shared" si="377"/>
        <v>0</v>
      </c>
      <c r="CD402" s="17">
        <f t="shared" si="378"/>
        <v>0</v>
      </c>
      <c r="CE402" s="17">
        <f>'1 - Input'!$B$22*(CB402-CD402)</f>
        <v>0</v>
      </c>
      <c r="CF402" s="17">
        <f t="shared" si="379"/>
        <v>0</v>
      </c>
      <c r="CG402" s="17">
        <f t="shared" si="380"/>
        <v>0</v>
      </c>
      <c r="CH402" s="17">
        <f>IF('1 - Input'!$B$17=1,MAX(0,CF402-BX402),0)</f>
        <v>0</v>
      </c>
      <c r="CI402" s="17">
        <f>IF('1 - Input'!$B$17=1,MAX(0,BX402-CF402),0)</f>
        <v>4794.7806638029942</v>
      </c>
      <c r="CJ402" s="17">
        <f t="shared" si="381"/>
        <v>0</v>
      </c>
      <c r="CK402" s="17">
        <f>IF(AND(CI402&gt;0,CC402&gt;0),CI402/(1-'1 - Input'!$B$22*CJ402),0)</f>
        <v>0</v>
      </c>
      <c r="CL402" s="17">
        <f t="shared" si="382"/>
        <v>0</v>
      </c>
      <c r="CM402" s="17">
        <f>'1 - Input'!$B$22*CJ402*CL402</f>
        <v>0</v>
      </c>
      <c r="CN402" s="17">
        <f t="shared" si="383"/>
        <v>0</v>
      </c>
      <c r="CO402" s="17">
        <f t="shared" si="384"/>
        <v>4794.7806638029942</v>
      </c>
      <c r="CP402" s="17">
        <f t="shared" si="385"/>
        <v>0</v>
      </c>
      <c r="CQ402" s="17">
        <f t="shared" si="386"/>
        <v>0</v>
      </c>
      <c r="CR402" s="17">
        <f t="shared" si="387"/>
        <v>0</v>
      </c>
      <c r="CS402" s="17">
        <f>IF(MOD(BU402,12)=0,CQ402*'1 - Input'!$B$23,0)</f>
        <v>0</v>
      </c>
      <c r="CT402" s="17">
        <f t="shared" si="388"/>
        <v>0</v>
      </c>
      <c r="CU402" s="17">
        <f>IF(MOD(BU402,12)=0,CR402*(1-'1 - Input'!$B$23),CR402)</f>
        <v>0</v>
      </c>
      <c r="CV402" s="17">
        <f>IF('1 - Input'!$B$17=1,MIN(CF402,BX402)+CN402,CF402)</f>
        <v>0</v>
      </c>
      <c r="CW402" s="17">
        <f t="shared" si="408"/>
        <v>686605.50041273201</v>
      </c>
      <c r="CX402" s="17">
        <f t="shared" si="409"/>
        <v>6018.3402768167462</v>
      </c>
      <c r="CY402" s="17">
        <f t="shared" si="410"/>
        <v>66518.776160328038</v>
      </c>
      <c r="CZ402" s="17">
        <f t="shared" si="411"/>
        <v>0</v>
      </c>
      <c r="DA402" s="17">
        <f t="shared" si="412"/>
        <v>10954.114452440983</v>
      </c>
      <c r="DB402" s="17">
        <f t="shared" si="413"/>
        <v>623005.48517089791</v>
      </c>
      <c r="DC402" s="15">
        <f t="shared" si="389"/>
        <v>1</v>
      </c>
    </row>
    <row r="403" spans="1:107">
      <c r="A403" s="14">
        <v>360</v>
      </c>
      <c r="B403" s="15">
        <f t="shared" si="345"/>
        <v>30</v>
      </c>
      <c r="C403" s="16">
        <f>(1+INDEX('1 - Input'!$B$34:$E$63,B403,'1 - Input'!$B$16))^(1/12)-1</f>
        <v>4.1219243192651689E-3</v>
      </c>
      <c r="D403" s="17">
        <f>'1 - Input'!$B$7*(1+'1 - Input'!$B$12)^(B403-1)</f>
        <v>4794.7806638029942</v>
      </c>
      <c r="E403" s="17">
        <f t="shared" si="390"/>
        <v>0</v>
      </c>
      <c r="F403" s="17">
        <f t="shared" si="391"/>
        <v>0</v>
      </c>
      <c r="G403" s="17">
        <f t="shared" si="346"/>
        <v>0</v>
      </c>
      <c r="H403" s="17">
        <f>IF(G403&gt;0,'1 - Input'!$B$8/12*G403,0)</f>
        <v>0</v>
      </c>
      <c r="I403" s="17">
        <f t="shared" si="347"/>
        <v>0</v>
      </c>
      <c r="J403" s="17">
        <f t="shared" si="348"/>
        <v>0</v>
      </c>
      <c r="K403" s="17">
        <f>'1 - Input'!$B$22*(H403-J403)</f>
        <v>0</v>
      </c>
      <c r="L403" s="17">
        <f t="shared" si="349"/>
        <v>0</v>
      </c>
      <c r="M403" s="17">
        <f t="shared" si="350"/>
        <v>0</v>
      </c>
      <c r="N403" s="17">
        <f>IF('1 - Input'!$B$17=1,MAX(0,L403-D403),0)</f>
        <v>0</v>
      </c>
      <c r="O403" s="17">
        <f>IF('1 - Input'!$B$17=1,MAX(0,D403-L403),0)</f>
        <v>4794.7806638029942</v>
      </c>
      <c r="P403" s="17">
        <f t="shared" si="351"/>
        <v>0</v>
      </c>
      <c r="Q403" s="17">
        <f>IF(AND(O403&gt;0,I403&gt;0),O403/(1-'1 - Input'!$B$22*P403),0)</f>
        <v>0</v>
      </c>
      <c r="R403" s="17">
        <f t="shared" si="352"/>
        <v>0</v>
      </c>
      <c r="S403" s="17">
        <f>'1 - Input'!$B$22*P403*R403</f>
        <v>0</v>
      </c>
      <c r="T403" s="17">
        <f t="shared" si="353"/>
        <v>0</v>
      </c>
      <c r="U403" s="17">
        <f t="shared" si="354"/>
        <v>4794.7806638029942</v>
      </c>
      <c r="V403" s="17">
        <f t="shared" si="355"/>
        <v>0</v>
      </c>
      <c r="W403" s="17">
        <f t="shared" si="356"/>
        <v>0</v>
      </c>
      <c r="X403" s="17">
        <f t="shared" si="357"/>
        <v>0</v>
      </c>
      <c r="Y403" s="17">
        <f>IF(MOD(A403,12)=0,W403*'1 - Input'!$B$23,0)</f>
        <v>0</v>
      </c>
      <c r="Z403" s="17">
        <f t="shared" si="358"/>
        <v>0</v>
      </c>
      <c r="AA403" s="17">
        <f>IF(MOD(A403,12)=0,X403*(1-'1 - Input'!$B$23),X403)</f>
        <v>0</v>
      </c>
      <c r="AB403" s="17">
        <f>IF('1 - Input'!$B$17=1,MIN(L403,D403)+T403,L403)</f>
        <v>0</v>
      </c>
      <c r="AC403" s="17">
        <f t="shared" si="392"/>
        <v>590482.93849429931</v>
      </c>
      <c r="AD403" s="17">
        <f t="shared" si="393"/>
        <v>101441.90180685223</v>
      </c>
      <c r="AE403" s="17">
        <f t="shared" si="394"/>
        <v>0</v>
      </c>
      <c r="AF403" s="17">
        <f t="shared" si="395"/>
        <v>174289.24056370757</v>
      </c>
      <c r="AG403" s="17">
        <f t="shared" si="396"/>
        <v>8123.5662772395826</v>
      </c>
      <c r="AH403" s="17">
        <f t="shared" si="397"/>
        <v>723922.82775313151</v>
      </c>
      <c r="AI403" s="15">
        <f t="shared" si="359"/>
        <v>1</v>
      </c>
      <c r="AK403" s="14">
        <v>360</v>
      </c>
      <c r="AL403" s="15">
        <f t="shared" si="360"/>
        <v>30</v>
      </c>
      <c r="AM403" s="16">
        <f>(1+INDEX('1 - Input'!$B$34:$E$63,AL403,'1 - Input'!$B$16))^(1/12)-1</f>
        <v>4.1219243192651689E-3</v>
      </c>
      <c r="AN403" s="17">
        <f>'1 - Input'!$B$7*(1+'1 - Input'!$B$12)^(AL403-1)</f>
        <v>4794.7806638029942</v>
      </c>
      <c r="AO403" s="17">
        <f t="shared" si="398"/>
        <v>0</v>
      </c>
      <c r="AP403" s="17">
        <f t="shared" si="399"/>
        <v>0</v>
      </c>
      <c r="AQ403" s="17">
        <f t="shared" si="361"/>
        <v>0</v>
      </c>
      <c r="AR403" s="17">
        <f>IF(AQ403&gt;0,'1 - Input'!$B$8/12*AQ403,0)</f>
        <v>0</v>
      </c>
      <c r="AS403" s="17">
        <f t="shared" si="362"/>
        <v>0</v>
      </c>
      <c r="AT403" s="17">
        <f t="shared" si="363"/>
        <v>0</v>
      </c>
      <c r="AU403" s="17">
        <f>'1 - Input'!$B$22*(AR403-AT403)</f>
        <v>0</v>
      </c>
      <c r="AV403" s="17">
        <f t="shared" si="364"/>
        <v>0</v>
      </c>
      <c r="AW403" s="17">
        <f t="shared" si="365"/>
        <v>0</v>
      </c>
      <c r="AX403" s="17">
        <f>IF('1 - Input'!$B$17=1,MAX(0,AV403-AN403),0)</f>
        <v>0</v>
      </c>
      <c r="AY403" s="17">
        <f>IF('1 - Input'!$B$17=1,MAX(0,AN403-AV403),0)</f>
        <v>4794.7806638029942</v>
      </c>
      <c r="AZ403" s="17">
        <f t="shared" si="366"/>
        <v>0</v>
      </c>
      <c r="BA403" s="17">
        <f>IF(AND(AY403&gt;0,AS403&gt;0),AY403/(1-'1 - Input'!$B$22*AZ403),0)</f>
        <v>0</v>
      </c>
      <c r="BB403" s="17">
        <f t="shared" si="367"/>
        <v>0</v>
      </c>
      <c r="BC403" s="17">
        <f>'1 - Input'!$B$22*AZ403*BB403</f>
        <v>0</v>
      </c>
      <c r="BD403" s="17">
        <f t="shared" si="368"/>
        <v>0</v>
      </c>
      <c r="BE403" s="17">
        <f t="shared" si="369"/>
        <v>4794.7806638029942</v>
      </c>
      <c r="BF403" s="17">
        <f t="shared" si="370"/>
        <v>0</v>
      </c>
      <c r="BG403" s="17">
        <f t="shared" si="371"/>
        <v>0</v>
      </c>
      <c r="BH403" s="17">
        <f t="shared" si="372"/>
        <v>0</v>
      </c>
      <c r="BI403" s="17">
        <f>IF(MOD(AK403,12)=0,BG403*'1 - Input'!$B$23,0)</f>
        <v>0</v>
      </c>
      <c r="BJ403" s="17">
        <f t="shared" si="373"/>
        <v>0</v>
      </c>
      <c r="BK403" s="17">
        <f>IF(MOD(AK403,12)=0,BH403*(1-'1 - Input'!$B$23),BH403)</f>
        <v>0</v>
      </c>
      <c r="BL403" s="17">
        <f>IF('1 - Input'!$B$17=1,MIN(AV403,AN403)+BD403,AV403)</f>
        <v>0</v>
      </c>
      <c r="BM403" s="17">
        <f t="shared" si="400"/>
        <v>590482.93849429931</v>
      </c>
      <c r="BN403" s="17">
        <f t="shared" si="401"/>
        <v>101441.90180685223</v>
      </c>
      <c r="BO403" s="17">
        <f t="shared" si="402"/>
        <v>0</v>
      </c>
      <c r="BP403" s="17">
        <f t="shared" si="403"/>
        <v>174289.24056370757</v>
      </c>
      <c r="BQ403" s="17">
        <f t="shared" si="404"/>
        <v>8123.5662772395826</v>
      </c>
      <c r="BR403" s="17">
        <f t="shared" si="405"/>
        <v>723922.82775313151</v>
      </c>
      <c r="BS403" s="15">
        <f t="shared" si="374"/>
        <v>1</v>
      </c>
      <c r="BU403" s="14">
        <v>360</v>
      </c>
      <c r="BV403" s="15">
        <f t="shared" si="375"/>
        <v>30</v>
      </c>
      <c r="BW403" s="16">
        <f>(1+INDEX('1 - Input'!$B$34:$E$63,BV403,'1 - Input'!$B$16))^(1/12)-1</f>
        <v>4.1219243192651689E-3</v>
      </c>
      <c r="BX403" s="17">
        <f>'1 - Input'!$B$7*(1+'1 - Input'!$B$12)^(BV403-1)</f>
        <v>4794.7806638029942</v>
      </c>
      <c r="BY403" s="17">
        <f t="shared" si="406"/>
        <v>0</v>
      </c>
      <c r="BZ403" s="17">
        <f t="shared" si="407"/>
        <v>0</v>
      </c>
      <c r="CA403" s="17">
        <f t="shared" si="376"/>
        <v>0</v>
      </c>
      <c r="CB403" s="17">
        <f>IF(CA403&gt;0,'1 - Input'!$B$8/12*CA403,0)</f>
        <v>0</v>
      </c>
      <c r="CC403" s="17">
        <f t="shared" si="377"/>
        <v>0</v>
      </c>
      <c r="CD403" s="17">
        <f t="shared" si="378"/>
        <v>0</v>
      </c>
      <c r="CE403" s="17">
        <f>'1 - Input'!$B$22*(CB403-CD403)</f>
        <v>0</v>
      </c>
      <c r="CF403" s="17">
        <f t="shared" si="379"/>
        <v>0</v>
      </c>
      <c r="CG403" s="17">
        <f t="shared" si="380"/>
        <v>0</v>
      </c>
      <c r="CH403" s="17">
        <f>IF('1 - Input'!$B$17=1,MAX(0,CF403-BX403),0)</f>
        <v>0</v>
      </c>
      <c r="CI403" s="17">
        <f>IF('1 - Input'!$B$17=1,MAX(0,BX403-CF403),0)</f>
        <v>4794.7806638029942</v>
      </c>
      <c r="CJ403" s="17">
        <f t="shared" si="381"/>
        <v>0</v>
      </c>
      <c r="CK403" s="17">
        <f>IF(AND(CI403&gt;0,CC403&gt;0),CI403/(1-'1 - Input'!$B$22*CJ403),0)</f>
        <v>0</v>
      </c>
      <c r="CL403" s="17">
        <f t="shared" si="382"/>
        <v>0</v>
      </c>
      <c r="CM403" s="17">
        <f>'1 - Input'!$B$22*CJ403*CL403</f>
        <v>0</v>
      </c>
      <c r="CN403" s="17">
        <f t="shared" si="383"/>
        <v>0</v>
      </c>
      <c r="CO403" s="17">
        <f t="shared" si="384"/>
        <v>4794.7806638029942</v>
      </c>
      <c r="CP403" s="17">
        <f t="shared" si="385"/>
        <v>0</v>
      </c>
      <c r="CQ403" s="17">
        <f t="shared" si="386"/>
        <v>0</v>
      </c>
      <c r="CR403" s="17">
        <f t="shared" si="387"/>
        <v>0</v>
      </c>
      <c r="CS403" s="17">
        <f>IF(MOD(BU403,12)=0,CQ403*'1 - Input'!$B$23,0)</f>
        <v>0</v>
      </c>
      <c r="CT403" s="17">
        <f t="shared" si="388"/>
        <v>0</v>
      </c>
      <c r="CU403" s="17">
        <f>IF(MOD(BU403,12)=0,CR403*(1-'1 - Input'!$B$23),CR403)</f>
        <v>0</v>
      </c>
      <c r="CV403" s="17">
        <f>IF('1 - Input'!$B$17=1,MIN(CF403,BX403)+CN403,CF403)</f>
        <v>0</v>
      </c>
      <c r="CW403" s="17">
        <f t="shared" si="408"/>
        <v>686605.50041273201</v>
      </c>
      <c r="CX403" s="17">
        <f t="shared" si="409"/>
        <v>6018.3402768167462</v>
      </c>
      <c r="CY403" s="17">
        <f t="shared" si="410"/>
        <v>66518.776160328038</v>
      </c>
      <c r="CZ403" s="17">
        <f t="shared" si="411"/>
        <v>0</v>
      </c>
      <c r="DA403" s="17">
        <f t="shared" si="412"/>
        <v>10954.114452440983</v>
      </c>
      <c r="DB403" s="17">
        <f t="shared" si="413"/>
        <v>627800.2658347009</v>
      </c>
      <c r="DC403" s="15">
        <f t="shared" si="389"/>
        <v>1</v>
      </c>
    </row>
  </sheetData>
  <mergeCells count="9">
    <mergeCell ref="A2:L2"/>
    <mergeCell ref="A40:G40"/>
    <mergeCell ref="BU40:CA40"/>
    <mergeCell ref="AK40:AQ40"/>
    <mergeCell ref="A1:L1"/>
    <mergeCell ref="A3:L3"/>
    <mergeCell ref="AA4:AL4"/>
    <mergeCell ref="N4:Y4"/>
    <mergeCell ref="A4:L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03"/>
  <sheetViews>
    <sheetView workbookViewId="0"/>
  </sheetViews>
  <sheetFormatPr defaultRowHeight="15"/>
  <cols>
    <col min="1" max="1" width="21" customWidth="1"/>
    <col min="2" max="13" width="22" customWidth="1"/>
    <col min="14" max="14" width="21" customWidth="1"/>
    <col min="15" max="15" width="17" customWidth="1"/>
    <col min="16" max="17" width="22" customWidth="1"/>
    <col min="18" max="18" width="20" customWidth="1"/>
    <col min="19" max="19" width="22" customWidth="1"/>
    <col min="20" max="20" width="17" customWidth="1"/>
    <col min="21" max="21" width="20" customWidth="1"/>
    <col min="22" max="22" width="22" customWidth="1"/>
    <col min="23" max="23" width="21" customWidth="1"/>
    <col min="24" max="24" width="20" customWidth="1"/>
    <col min="25" max="25" width="17" customWidth="1"/>
    <col min="26" max="26" width="20" customWidth="1"/>
    <col min="27" max="27" width="19" customWidth="1"/>
    <col min="28" max="29" width="17" customWidth="1"/>
    <col min="30" max="32" width="22" customWidth="1"/>
    <col min="33" max="33" width="17" customWidth="1"/>
    <col min="34" max="34" width="22" customWidth="1"/>
    <col min="35" max="35" width="20" customWidth="1"/>
  </cols>
  <sheetData>
    <row r="1" spans="1:12" ht="24.95" customHeight="1">
      <c r="A1" s="24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ht="44.1" customHeight="1">
      <c r="A2" s="22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ht="32.1" customHeight="1">
      <c r="A3" s="27" t="s">
        <v>133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</row>
    <row r="4" spans="1:12" ht="17.25">
      <c r="A4" s="26" t="s">
        <v>134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</row>
    <row r="5" spans="1:12" ht="62.1" customHeight="1">
      <c r="A5" s="5" t="s">
        <v>77</v>
      </c>
      <c r="B5" s="5" t="s">
        <v>86</v>
      </c>
      <c r="C5" s="5" t="s">
        <v>87</v>
      </c>
      <c r="D5" s="5" t="s">
        <v>88</v>
      </c>
      <c r="E5" s="5" t="s">
        <v>89</v>
      </c>
      <c r="F5" s="5" t="s">
        <v>90</v>
      </c>
      <c r="G5" s="5" t="s">
        <v>91</v>
      </c>
      <c r="H5" s="5" t="s">
        <v>92</v>
      </c>
      <c r="I5" s="5" t="s">
        <v>93</v>
      </c>
      <c r="J5" s="5" t="s">
        <v>94</v>
      </c>
      <c r="K5" s="5" t="s">
        <v>95</v>
      </c>
      <c r="L5" s="5" t="s">
        <v>96</v>
      </c>
    </row>
    <row r="6" spans="1:12">
      <c r="A6" s="3">
        <v>1</v>
      </c>
      <c r="B6" s="13">
        <f>INDEX('3 - Accumulo'!$Z$44:$Z$403,12*$A6)</f>
        <v>476789.90088324685</v>
      </c>
      <c r="C6" s="13">
        <f>INDEX('3 - Accumulo'!$AA$44:$AA$403,12*$A6)</f>
        <v>453826.29057990387</v>
      </c>
      <c r="D6" s="13">
        <f>B6/(1+'1 - Input'!$B$12)^$A6</f>
        <v>467441.07929730084</v>
      </c>
      <c r="E6" s="13">
        <f>SUMIFS('3 - Accumulo'!$H$44:$H$403,'3 - Accumulo'!$B$44:$B$403,$A6)</f>
        <v>0</v>
      </c>
      <c r="F6" s="13">
        <f>SUMIFS('3 - Accumulo'!$L$44:$L$403,'3 - Accumulo'!$B$44:$B$403,$A6)</f>
        <v>0</v>
      </c>
      <c r="G6" s="13">
        <f>SUMIFS('3 - Accumulo'!$K$44:$K$403,'3 - Accumulo'!$B$44:$B$403,$A6)</f>
        <v>0</v>
      </c>
      <c r="H6" s="13">
        <f>SUMIFS('3 - Accumulo'!$S$44:$S$403,'3 - Accumulo'!$B$44:$B$403,$A6)</f>
        <v>223.375874417793</v>
      </c>
      <c r="I6" s="13">
        <f>SUMIFS('3 - Accumulo'!$Y$44:$Y$403,'3 - Accumulo'!$B$44:$B$403,$A6)</f>
        <v>955.49078333316004</v>
      </c>
      <c r="J6" s="13">
        <f>INDEX('3 - Accumulo'!$AF$44:$AF$403,12*$A6)</f>
        <v>0</v>
      </c>
      <c r="K6" s="13">
        <f>SUMIFS('3 - Accumulo'!$AB$44:$AB$403,'3 - Accumulo'!$B$44:$B$403,$A6)/12</f>
        <v>2700</v>
      </c>
      <c r="L6" s="13">
        <f>K6/(1+'1 - Input'!$B$12)^($A6-0.5)</f>
        <v>2673.3983660370204</v>
      </c>
    </row>
    <row r="7" spans="1:12">
      <c r="A7" s="3">
        <v>2</v>
      </c>
      <c r="B7" s="13">
        <f>INDEX('3 - Accumulo'!$Z$44:$Z$403,12*$A7)</f>
        <v>465520.49787609332</v>
      </c>
      <c r="C7" s="13">
        <f>INDEX('3 - Accumulo'!$AA$44:$AA$403,12*$A7)</f>
        <v>421758.66677807999</v>
      </c>
      <c r="D7" s="13">
        <f>B7/(1+'1 - Input'!$B$12)^$A7</f>
        <v>447443.76958486479</v>
      </c>
      <c r="E7" s="13">
        <f>SUMIFS('3 - Accumulo'!$H$44:$H$403,'3 - Accumulo'!$B$44:$B$403,$A7)</f>
        <v>0</v>
      </c>
      <c r="F7" s="13">
        <f>SUMIFS('3 - Accumulo'!$L$44:$L$403,'3 - Accumulo'!$B$44:$B$403,$A7)</f>
        <v>0</v>
      </c>
      <c r="G7" s="13">
        <f>SUMIFS('3 - Accumulo'!$K$44:$K$403,'3 - Accumulo'!$B$44:$B$403,$A7)</f>
        <v>0</v>
      </c>
      <c r="H7" s="13">
        <f>SUMIFS('3 - Accumulo'!$S$44:$S$403,'3 - Accumulo'!$B$44:$B$403,$A7)</f>
        <v>641.42138686472651</v>
      </c>
      <c r="I7" s="13">
        <f>SUMIFS('3 - Accumulo'!$Y$44:$Y$403,'3 - Accumulo'!$B$44:$B$403,$A7)</f>
        <v>932.9068093709285</v>
      </c>
      <c r="J7" s="13">
        <f>INDEX('3 - Accumulo'!$AF$44:$AF$403,12*$A7)</f>
        <v>0</v>
      </c>
      <c r="K7" s="13">
        <f>SUMIFS('3 - Accumulo'!$AB$44:$AB$403,'3 - Accumulo'!$B$44:$B$403,$A7)/12</f>
        <v>2754</v>
      </c>
      <c r="L7" s="13">
        <f>K7/(1+'1 - Input'!$B$12)^($A7-0.5)</f>
        <v>2673.3983660370204</v>
      </c>
    </row>
    <row r="8" spans="1:12">
      <c r="A8" s="3">
        <v>3</v>
      </c>
      <c r="B8" s="13">
        <f>INDEX('3 - Accumulo'!$Z$44:$Z$403,12*$A8)</f>
        <v>452596.63102009671</v>
      </c>
      <c r="C8" s="13">
        <f>INDEX('3 - Accumulo'!$AA$44:$AA$403,12*$A8)</f>
        <v>390300.51783380954</v>
      </c>
      <c r="D8" s="13">
        <f>B8/(1+'1 - Input'!$B$12)^$A8</f>
        <v>426491.91395098489</v>
      </c>
      <c r="E8" s="13">
        <f>SUMIFS('3 - Accumulo'!$H$44:$H$403,'3 - Accumulo'!$B$44:$B$403,$A8)</f>
        <v>0</v>
      </c>
      <c r="F8" s="13">
        <f>SUMIFS('3 - Accumulo'!$L$44:$L$403,'3 - Accumulo'!$B$44:$B$403,$A8)</f>
        <v>0</v>
      </c>
      <c r="G8" s="13">
        <f>SUMIFS('3 - Accumulo'!$K$44:$K$403,'3 - Accumulo'!$B$44:$B$403,$A8)</f>
        <v>0</v>
      </c>
      <c r="H8" s="13">
        <f>SUMIFS('3 - Accumulo'!$S$44:$S$403,'3 - Accumulo'!$B$44:$B$403,$A8)</f>
        <v>1065.6403645321634</v>
      </c>
      <c r="I8" s="13">
        <f>SUMIFS('3 - Accumulo'!$Y$44:$Y$403,'3 - Accumulo'!$B$44:$B$403,$A8)</f>
        <v>907.0072765933802</v>
      </c>
      <c r="J8" s="13">
        <f>INDEX('3 - Accumulo'!$AF$44:$AF$403,12*$A8)</f>
        <v>0</v>
      </c>
      <c r="K8" s="13">
        <f>SUMIFS('3 - Accumulo'!$AB$44:$AB$403,'3 - Accumulo'!$B$44:$B$403,$A8)/12</f>
        <v>2809.08</v>
      </c>
      <c r="L8" s="13">
        <f>K8/(1+'1 - Input'!$B$12)^($A8-0.5)</f>
        <v>2673.3983660370204</v>
      </c>
    </row>
    <row r="9" spans="1:12">
      <c r="A9" s="3">
        <v>4</v>
      </c>
      <c r="B9" s="13">
        <f>INDEX('3 - Accumulo'!$Z$44:$Z$403,12*$A9)</f>
        <v>437918.49508101994</v>
      </c>
      <c r="C9" s="13">
        <f>INDEX('3 - Accumulo'!$AA$44:$AA$403,12*$A9)</f>
        <v>359454.31529142393</v>
      </c>
      <c r="D9" s="13">
        <f>B9/(1+'1 - Input'!$B$12)^$A9</f>
        <v>404568.99865301483</v>
      </c>
      <c r="E9" s="13">
        <f>SUMIFS('3 - Accumulo'!$H$44:$H$403,'3 - Accumulo'!$B$44:$B$403,$A9)</f>
        <v>0</v>
      </c>
      <c r="F9" s="13">
        <f>SUMIFS('3 - Accumulo'!$L$44:$L$403,'3 - Accumulo'!$B$44:$B$403,$A9)</f>
        <v>0</v>
      </c>
      <c r="G9" s="13">
        <f>SUMIFS('3 - Accumulo'!$K$44:$K$403,'3 - Accumulo'!$B$44:$B$403,$A9)</f>
        <v>0</v>
      </c>
      <c r="H9" s="13">
        <f>SUMIFS('3 - Accumulo'!$S$44:$S$403,'3 - Accumulo'!$B$44:$B$403,$A9)</f>
        <v>1495.8031845709061</v>
      </c>
      <c r="I9" s="13">
        <f>SUMIFS('3 - Accumulo'!$Y$44:$Y$403,'3 - Accumulo'!$B$44:$B$403,$A9)</f>
        <v>877.59217451106201</v>
      </c>
      <c r="J9" s="13">
        <f>INDEX('3 - Accumulo'!$AF$44:$AF$403,12*$A9)</f>
        <v>0</v>
      </c>
      <c r="K9" s="13">
        <f>SUMIFS('3 - Accumulo'!$AB$44:$AB$403,'3 - Accumulo'!$B$44:$B$403,$A9)/12</f>
        <v>2865.2615999999994</v>
      </c>
      <c r="L9" s="13">
        <f>K9/(1+'1 - Input'!$B$12)^($A9-0.5)</f>
        <v>2673.39836603702</v>
      </c>
    </row>
    <row r="10" spans="1:12">
      <c r="A10" s="3">
        <v>5</v>
      </c>
      <c r="B10" s="13">
        <f>INDEX('3 - Accumulo'!$Z$44:$Z$403,12*$A10)</f>
        <v>421381.39734671195</v>
      </c>
      <c r="C10" s="13">
        <f>INDEX('3 - Accumulo'!$AA$44:$AA$403,12*$A10)</f>
        <v>329221.64199743263</v>
      </c>
      <c r="D10" s="13">
        <f>B10/(1+'1 - Input'!$B$12)^$A10</f>
        <v>381658.114266099</v>
      </c>
      <c r="E10" s="13">
        <f>SUMIFS('3 - Accumulo'!$H$44:$H$403,'3 - Accumulo'!$B$44:$B$403,$A10)</f>
        <v>0</v>
      </c>
      <c r="F10" s="13">
        <f>SUMIFS('3 - Accumulo'!$L$44:$L$403,'3 - Accumulo'!$B$44:$B$403,$A10)</f>
        <v>0</v>
      </c>
      <c r="G10" s="13">
        <f>SUMIFS('3 - Accumulo'!$K$44:$K$403,'3 - Accumulo'!$B$44:$B$403,$A10)</f>
        <v>0</v>
      </c>
      <c r="H10" s="13">
        <f>SUMIFS('3 - Accumulo'!$S$44:$S$403,'3 - Accumulo'!$B$44:$B$403,$A10)</f>
        <v>1931.691607975541</v>
      </c>
      <c r="I10" s="13">
        <f>SUMIFS('3 - Accumulo'!$Y$44:$Y$403,'3 - Accumulo'!$B$44:$B$403,$A10)</f>
        <v>844.45169808960316</v>
      </c>
      <c r="J10" s="13">
        <f>INDEX('3 - Accumulo'!$AF$44:$AF$403,12*$A10)</f>
        <v>0</v>
      </c>
      <c r="K10" s="13">
        <f>SUMIFS('3 - Accumulo'!$AB$44:$AB$403,'3 - Accumulo'!$B$44:$B$403,$A10)/12</f>
        <v>2922.5668320000004</v>
      </c>
      <c r="L10" s="13">
        <f>K10/(1+'1 - Input'!$B$12)^($A10-0.5)</f>
        <v>2673.3983660370209</v>
      </c>
    </row>
    <row r="11" spans="1:12">
      <c r="A11" s="3">
        <v>6</v>
      </c>
      <c r="B11" s="13">
        <f>INDEX('3 - Accumulo'!$Z$44:$Z$403,12*$A11)</f>
        <v>402875.50268146285</v>
      </c>
      <c r="C11" s="13">
        <f>INDEX('3 - Accumulo'!$AA$44:$AA$403,12*$A11)</f>
        <v>299603.22341403243</v>
      </c>
      <c r="D11" s="13">
        <f>B11/(1+'1 - Input'!$B$12)^$A11</f>
        <v>357741.91696501547</v>
      </c>
      <c r="E11" s="13">
        <f>SUMIFS('3 - Accumulo'!$H$44:$H$403,'3 - Accumulo'!$B$44:$B$403,$A11)</f>
        <v>0</v>
      </c>
      <c r="F11" s="13">
        <f>SUMIFS('3 - Accumulo'!$L$44:$L$403,'3 - Accumulo'!$B$44:$B$403,$A11)</f>
        <v>0</v>
      </c>
      <c r="G11" s="13">
        <f>SUMIFS('3 - Accumulo'!$K$44:$K$403,'3 - Accumulo'!$B$44:$B$403,$A11)</f>
        <v>0</v>
      </c>
      <c r="H11" s="13">
        <f>SUMIFS('3 - Accumulo'!$S$44:$S$403,'3 - Accumulo'!$B$44:$B$403,$A11)</f>
        <v>2373.0996519242058</v>
      </c>
      <c r="I11" s="13">
        <f>SUMIFS('3 - Accumulo'!$Y$44:$Y$403,'3 - Accumulo'!$B$44:$B$403,$A11)</f>
        <v>807.36573683659901</v>
      </c>
      <c r="J11" s="13">
        <f>INDEX('3 - Accumulo'!$AF$44:$AF$403,12*$A11)</f>
        <v>0</v>
      </c>
      <c r="K11" s="13">
        <f>SUMIFS('3 - Accumulo'!$AB$44:$AB$403,'3 - Accumulo'!$B$44:$B$403,$A11)/12</f>
        <v>2981.0181686399997</v>
      </c>
      <c r="L11" s="13">
        <f>K11/(1+'1 - Input'!$B$12)^($A11-0.5)</f>
        <v>2673.3983660370204</v>
      </c>
    </row>
    <row r="12" spans="1:12">
      <c r="A12" s="3">
        <v>7</v>
      </c>
      <c r="B12" s="13">
        <f>INDEX('3 - Accumulo'!$Z$44:$Z$403,12*$A12)</f>
        <v>382285.56533467746</v>
      </c>
      <c r="C12" s="13">
        <f>INDEX('3 - Accumulo'!$AA$44:$AA$403,12*$A12)</f>
        <v>270598.9609140199</v>
      </c>
      <c r="D12" s="13">
        <f>B12/(1+'1 - Input'!$B$12)^$A12</f>
        <v>332802.59003927786</v>
      </c>
      <c r="E12" s="13">
        <f>SUMIFS('3 - Accumulo'!$H$44:$H$403,'3 - Accumulo'!$B$44:$B$403,$A12)</f>
        <v>0</v>
      </c>
      <c r="F12" s="13">
        <f>SUMIFS('3 - Accumulo'!$L$44:$L$403,'3 - Accumulo'!$B$44:$B$403,$A12)</f>
        <v>0</v>
      </c>
      <c r="G12" s="13">
        <f>SUMIFS('3 - Accumulo'!$K$44:$K$403,'3 - Accumulo'!$B$44:$B$403,$A12)</f>
        <v>0</v>
      </c>
      <c r="H12" s="13">
        <f>SUMIFS('3 - Accumulo'!$S$44:$S$403,'3 - Accumulo'!$B$44:$B$403,$A12)</f>
        <v>2819.8343465474068</v>
      </c>
      <c r="I12" s="13">
        <f>SUMIFS('3 - Accumulo'!$Y$44:$Y$403,'3 - Accumulo'!$B$44:$B$403,$A12)</f>
        <v>766.10333734404298</v>
      </c>
      <c r="J12" s="13">
        <f>INDEX('3 - Accumulo'!$AF$44:$AF$403,12*$A12)</f>
        <v>0</v>
      </c>
      <c r="K12" s="13">
        <f>SUMIFS('3 - Accumulo'!$AB$44:$AB$403,'3 - Accumulo'!$B$44:$B$403,$A12)/12</f>
        <v>3040.6385320127997</v>
      </c>
      <c r="L12" s="13">
        <f>K12/(1+'1 - Input'!$B$12)^($A12-0.5)</f>
        <v>2673.39836603702</v>
      </c>
    </row>
    <row r="13" spans="1:12">
      <c r="A13" s="3">
        <v>8</v>
      </c>
      <c r="B13" s="13">
        <f>INDEX('3 - Accumulo'!$Z$44:$Z$403,12*$A13)</f>
        <v>359490.64697505219</v>
      </c>
      <c r="C13" s="13">
        <f>INDEX('3 - Accumulo'!$AA$44:$AA$403,12*$A13)</f>
        <v>242207.96672906904</v>
      </c>
      <c r="D13" s="13">
        <f>B13/(1+'1 - Input'!$B$12)^$A13</f>
        <v>306821.80572611064</v>
      </c>
      <c r="E13" s="13">
        <f>SUMIFS('3 - Accumulo'!$H$44:$H$403,'3 - Accumulo'!$B$44:$B$403,$A13)</f>
        <v>0</v>
      </c>
      <c r="F13" s="13">
        <f>SUMIFS('3 - Accumulo'!$L$44:$L$403,'3 - Accumulo'!$B$44:$B$403,$A13)</f>
        <v>0</v>
      </c>
      <c r="G13" s="13">
        <f>SUMIFS('3 - Accumulo'!$K$44:$K$403,'3 - Accumulo'!$B$44:$B$403,$A13)</f>
        <v>0</v>
      </c>
      <c r="H13" s="13">
        <f>SUMIFS('3 - Accumulo'!$S$44:$S$403,'3 - Accumulo'!$B$44:$B$403,$A13)</f>
        <v>3271.7163783473202</v>
      </c>
      <c r="I13" s="13">
        <f>SUMIFS('3 - Accumulo'!$Y$44:$Y$403,'3 - Accumulo'!$B$44:$B$403,$A13)</f>
        <v>720.42213822655754</v>
      </c>
      <c r="J13" s="13">
        <f>INDEX('3 - Accumulo'!$AF$44:$AF$403,12*$A13)</f>
        <v>0</v>
      </c>
      <c r="K13" s="13">
        <f>SUMIFS('3 - Accumulo'!$AB$44:$AB$403,'3 - Accumulo'!$B$44:$B$403,$A13)/12</f>
        <v>3101.4513026530553</v>
      </c>
      <c r="L13" s="13">
        <f>K13/(1+'1 - Input'!$B$12)^($A13-0.5)</f>
        <v>2673.39836603702</v>
      </c>
    </row>
    <row r="14" spans="1:12">
      <c r="A14" s="3">
        <v>9</v>
      </c>
      <c r="B14" s="13">
        <f>INDEX('3 - Accumulo'!$Z$44:$Z$403,12*$A14)</f>
        <v>334363.82039235294</v>
      </c>
      <c r="C14" s="13">
        <f>INDEX('3 - Accumulo'!$AA$44:$AA$403,12*$A14)</f>
        <v>214428.60023341578</v>
      </c>
      <c r="D14" s="13">
        <f>B14/(1+'1 - Input'!$B$12)^$A14</f>
        <v>279780.6874306011</v>
      </c>
      <c r="E14" s="13">
        <f>SUMIFS('3 - Accumulo'!$H$44:$H$403,'3 - Accumulo'!$B$44:$B$403,$A14)</f>
        <v>0</v>
      </c>
      <c r="F14" s="13">
        <f>SUMIFS('3 - Accumulo'!$L$44:$L$403,'3 - Accumulo'!$B$44:$B$403,$A14)</f>
        <v>0</v>
      </c>
      <c r="G14" s="13">
        <f>SUMIFS('3 - Accumulo'!$K$44:$K$403,'3 - Accumulo'!$B$44:$B$403,$A14)</f>
        <v>0</v>
      </c>
      <c r="H14" s="13">
        <f>SUMIFS('3 - Accumulo'!$S$44:$S$403,'3 - Accumulo'!$B$44:$B$403,$A14)</f>
        <v>3728.5806236002059</v>
      </c>
      <c r="I14" s="13">
        <f>SUMIFS('3 - Accumulo'!$Y$44:$Y$403,'3 - Accumulo'!$B$44:$B$403,$A14)</f>
        <v>670.06777633738068</v>
      </c>
      <c r="J14" s="13">
        <f>INDEX('3 - Accumulo'!$AF$44:$AF$403,12*$A14)</f>
        <v>0</v>
      </c>
      <c r="K14" s="13">
        <f>SUMIFS('3 - Accumulo'!$AB$44:$AB$403,'3 - Accumulo'!$B$44:$B$403,$A14)/12</f>
        <v>3163.4803287061163</v>
      </c>
      <c r="L14" s="13">
        <f>K14/(1+'1 - Input'!$B$12)^($A14-0.5)</f>
        <v>2673.3983660370195</v>
      </c>
    </row>
    <row r="15" spans="1:12">
      <c r="A15" s="3">
        <v>10</v>
      </c>
      <c r="B15" s="13">
        <f>INDEX('3 - Accumulo'!$Z$44:$Z$403,12*$A15)</f>
        <v>306771.85827740905</v>
      </c>
      <c r="C15" s="13">
        <f>INDEX('3 - Accumulo'!$AA$44:$AA$403,12*$A15)</f>
        <v>187258.50525777097</v>
      </c>
      <c r="D15" s="13">
        <f>B15/(1+'1 - Input'!$B$12)^$A15</f>
        <v>251659.77238741459</v>
      </c>
      <c r="E15" s="13">
        <f>SUMIFS('3 - Accumulo'!$H$44:$H$403,'3 - Accumulo'!$B$44:$B$403,$A15)</f>
        <v>0</v>
      </c>
      <c r="F15" s="13">
        <f>SUMIFS('3 - Accumulo'!$L$44:$L$403,'3 - Accumulo'!$B$44:$B$403,$A15)</f>
        <v>0</v>
      </c>
      <c r="G15" s="13">
        <f>SUMIFS('3 - Accumulo'!$K$44:$K$403,'3 - Accumulo'!$B$44:$B$403,$A15)</f>
        <v>0</v>
      </c>
      <c r="H15" s="13">
        <f>SUMIFS('3 - Accumulo'!$S$44:$S$403,'3 - Accumulo'!$B$44:$B$403,$A15)</f>
        <v>4190.2765760330249</v>
      </c>
      <c r="I15" s="13">
        <f>SUMIFS('3 - Accumulo'!$Y$44:$Y$403,'3 - Accumulo'!$B$44:$B$403,$A15)</f>
        <v>614.77326308098009</v>
      </c>
      <c r="J15" s="13">
        <f>INDEX('3 - Accumulo'!$AF$44:$AF$403,12*$A15)</f>
        <v>0</v>
      </c>
      <c r="K15" s="13">
        <f>SUMIFS('3 - Accumulo'!$AB$44:$AB$403,'3 - Accumulo'!$B$44:$B$403,$A15)/12</f>
        <v>3226.7499352802402</v>
      </c>
      <c r="L15" s="13">
        <f>K15/(1+'1 - Input'!$B$12)^($A15-0.5)</f>
        <v>2673.3983660370209</v>
      </c>
    </row>
    <row r="16" spans="1:12">
      <c r="A16" s="3">
        <v>11</v>
      </c>
      <c r="B16" s="13">
        <f>INDEX('3 - Accumulo'!$Z$44:$Z$403,12*$A16)</f>
        <v>276574.9064571138</v>
      </c>
      <c r="C16" s="13">
        <f>INDEX('3 - Accumulo'!$AA$44:$AA$403,12*$A16)</f>
        <v>160694.64814332806</v>
      </c>
      <c r="D16" s="13">
        <f>B16/(1+'1 - Input'!$B$12)^$A16</f>
        <v>222438.97480414066</v>
      </c>
      <c r="E16" s="13">
        <f>SUMIFS('3 - Accumulo'!$H$44:$H$403,'3 - Accumulo'!$B$44:$B$403,$A16)</f>
        <v>0</v>
      </c>
      <c r="F16" s="13">
        <f>SUMIFS('3 - Accumulo'!$L$44:$L$403,'3 - Accumulo'!$B$44:$B$403,$A16)</f>
        <v>0</v>
      </c>
      <c r="G16" s="13">
        <f>SUMIFS('3 - Accumulo'!$K$44:$K$403,'3 - Accumulo'!$B$44:$B$403,$A16)</f>
        <v>0</v>
      </c>
      <c r="H16" s="13">
        <f>SUMIFS('3 - Accumulo'!$S$44:$S$403,'3 - Accumulo'!$B$44:$B$403,$A16)</f>
        <v>4656.6686738702347</v>
      </c>
      <c r="I16" s="13">
        <f>SUMIFS('3 - Accumulo'!$Y$44:$Y$403,'3 - Accumulo'!$B$44:$B$403,$A16)</f>
        <v>554.25832957337434</v>
      </c>
      <c r="J16" s="13">
        <f>INDEX('3 - Accumulo'!$AF$44:$AF$403,12*$A16)</f>
        <v>0</v>
      </c>
      <c r="K16" s="13">
        <f>SUMIFS('3 - Accumulo'!$AB$44:$AB$403,'3 - Accumulo'!$B$44:$B$403,$A16)/12</f>
        <v>3291.284933985844</v>
      </c>
      <c r="L16" s="13">
        <f>K16/(1+'1 - Input'!$B$12)^($A16-0.5)</f>
        <v>2673.3983660370195</v>
      </c>
    </row>
    <row r="17" spans="1:12">
      <c r="A17" s="3">
        <v>12</v>
      </c>
      <c r="B17" s="13">
        <f>INDEX('3 - Accumulo'!$Z$44:$Z$403,12*$A17)</f>
        <v>243626.14092507889</v>
      </c>
      <c r="C17" s="13">
        <f>INDEX('3 - Accumulo'!$AA$44:$AA$403,12*$A17)</f>
        <v>134733.35626259571</v>
      </c>
      <c r="D17" s="13">
        <f>B17/(1+'1 - Input'!$B$12)^$A17</f>
        <v>192097.54951271959</v>
      </c>
      <c r="E17" s="13">
        <f>SUMIFS('3 - Accumulo'!$H$44:$H$403,'3 - Accumulo'!$B$44:$B$403,$A17)</f>
        <v>0</v>
      </c>
      <c r="F17" s="13">
        <f>SUMIFS('3 - Accumulo'!$L$44:$L$403,'3 - Accumulo'!$B$44:$B$403,$A17)</f>
        <v>0</v>
      </c>
      <c r="G17" s="13">
        <f>SUMIFS('3 - Accumulo'!$K$44:$K$403,'3 - Accumulo'!$B$44:$B$403,$A17)</f>
        <v>0</v>
      </c>
      <c r="H17" s="13">
        <f>SUMIFS('3 - Accumulo'!$S$44:$S$403,'3 - Accumulo'!$B$44:$B$403,$A17)</f>
        <v>5127.6365320002842</v>
      </c>
      <c r="I17" s="13">
        <f>SUMIFS('3 - Accumulo'!$Y$44:$Y$403,'3 - Accumulo'!$B$44:$B$403,$A17)</f>
        <v>488.22873932881544</v>
      </c>
      <c r="J17" s="13">
        <f>INDEX('3 - Accumulo'!$AF$44:$AF$403,12*$A17)</f>
        <v>0</v>
      </c>
      <c r="K17" s="13">
        <f>SUMIFS('3 - Accumulo'!$AB$44:$AB$403,'3 - Accumulo'!$B$44:$B$403,$A17)/12</f>
        <v>3357.1106326655595</v>
      </c>
      <c r="L17" s="13">
        <f>K17/(1+'1 - Input'!$B$12)^($A17-0.5)</f>
        <v>2673.3983660370186</v>
      </c>
    </row>
    <row r="18" spans="1:12">
      <c r="A18" s="3">
        <v>13</v>
      </c>
      <c r="B18" s="13">
        <f>INDEX('3 - Accumulo'!$Z$44:$Z$403,12*$A18)</f>
        <v>207771.40797017954</v>
      </c>
      <c r="C18" s="13">
        <f>INDEX('3 - Accumulo'!$AA$44:$AA$403,12*$A18)</f>
        <v>109370.35675206143</v>
      </c>
      <c r="D18" s="13">
        <f>B18/(1+'1 - Input'!$B$12)^$A18</f>
        <v>160614.05614262621</v>
      </c>
      <c r="E18" s="13">
        <f>SUMIFS('3 - Accumulo'!$H$44:$H$403,'3 - Accumulo'!$B$44:$B$403,$A18)</f>
        <v>0</v>
      </c>
      <c r="F18" s="13">
        <f>SUMIFS('3 - Accumulo'!$L$44:$L$403,'3 - Accumulo'!$B$44:$B$403,$A18)</f>
        <v>0</v>
      </c>
      <c r="G18" s="13">
        <f>SUMIFS('3 - Accumulo'!$K$44:$K$403,'3 - Accumulo'!$B$44:$B$403,$A18)</f>
        <v>0</v>
      </c>
      <c r="H18" s="13">
        <f>SUMIFS('3 - Accumulo'!$S$44:$S$403,'3 - Accumulo'!$B$44:$B$403,$A18)</f>
        <v>5603.0750855193119</v>
      </c>
      <c r="I18" s="13">
        <f>SUMIFS('3 - Accumulo'!$Y$44:$Y$403,'3 - Accumulo'!$B$44:$B$403,$A18)</f>
        <v>416.37556707450813</v>
      </c>
      <c r="J18" s="13">
        <f>INDEX('3 - Accumulo'!$AF$44:$AF$403,12*$A18)</f>
        <v>0</v>
      </c>
      <c r="K18" s="13">
        <f>SUMIFS('3 - Accumulo'!$AB$44:$AB$403,'3 - Accumulo'!$B$44:$B$403,$A18)/12</f>
        <v>3424.252845318872</v>
      </c>
      <c r="L18" s="13">
        <f>K18/(1+'1 - Input'!$B$12)^($A18-0.5)</f>
        <v>2673.39836603702</v>
      </c>
    </row>
    <row r="19" spans="1:12">
      <c r="A19" s="3">
        <v>14</v>
      </c>
      <c r="B19" s="13">
        <f>INDEX('3 - Accumulo'!$Z$44:$Z$403,12*$A19)</f>
        <v>168848.84666457595</v>
      </c>
      <c r="C19" s="13">
        <f>INDEX('3 - Accumulo'!$AA$44:$AA$403,12*$A19)</f>
        <v>84600.815220980265</v>
      </c>
      <c r="D19" s="13">
        <f>B19/(1+'1 - Input'!$B$12)^$A19</f>
        <v>127966.32381761981</v>
      </c>
      <c r="E19" s="13">
        <f>SUMIFS('3 - Accumulo'!$H$44:$H$403,'3 - Accumulo'!$B$44:$B$403,$A19)</f>
        <v>0</v>
      </c>
      <c r="F19" s="13">
        <f>SUMIFS('3 - Accumulo'!$L$44:$L$403,'3 - Accumulo'!$B$44:$B$403,$A19)</f>
        <v>0</v>
      </c>
      <c r="G19" s="13">
        <f>SUMIFS('3 - Accumulo'!$K$44:$K$403,'3 - Accumulo'!$B$44:$B$403,$A19)</f>
        <v>0</v>
      </c>
      <c r="H19" s="13">
        <f>SUMIFS('3 - Accumulo'!$S$44:$S$403,'3 - Accumulo'!$B$44:$B$403,$A19)</f>
        <v>6082.8946512793964</v>
      </c>
      <c r="I19" s="13">
        <f>SUMIFS('3 - Accumulo'!$Y$44:$Y$403,'3 - Accumulo'!$B$44:$B$403,$A19)</f>
        <v>338.37444221357907</v>
      </c>
      <c r="J19" s="13">
        <f>INDEX('3 - Accumulo'!$AF$44:$AF$403,12*$A19)</f>
        <v>0</v>
      </c>
      <c r="K19" s="13">
        <f>SUMIFS('3 - Accumulo'!$AB$44:$AB$403,'3 - Accumulo'!$B$44:$B$403,$A19)/12</f>
        <v>3492.7379022252499</v>
      </c>
      <c r="L19" s="13">
        <f>K19/(1+'1 - Input'!$B$12)^($A19-0.5)</f>
        <v>2673.39836603702</v>
      </c>
    </row>
    <row r="20" spans="1:12">
      <c r="A20" s="3">
        <v>15</v>
      </c>
      <c r="B20" s="13">
        <f>INDEX('3 - Accumulo'!$Z$44:$Z$403,12*$A20)</f>
        <v>126688.49292991968</v>
      </c>
      <c r="C20" s="13">
        <f>INDEX('3 - Accumulo'!$AA$44:$AA$403,12*$A20)</f>
        <v>60419.374220519298</v>
      </c>
      <c r="D20" s="13">
        <f>B20/(1+'1 - Input'!$B$12)^$A20</f>
        <v>94131.4163669767</v>
      </c>
      <c r="E20" s="13">
        <f>SUMIFS('3 - Accumulo'!$H$44:$H$403,'3 - Accumulo'!$B$44:$B$403,$A20)</f>
        <v>0</v>
      </c>
      <c r="F20" s="13">
        <f>SUMIFS('3 - Accumulo'!$L$44:$L$403,'3 - Accumulo'!$B$44:$B$403,$A20)</f>
        <v>0</v>
      </c>
      <c r="G20" s="13">
        <f>SUMIFS('3 - Accumulo'!$K$44:$K$403,'3 - Accumulo'!$B$44:$B$403,$A20)</f>
        <v>0</v>
      </c>
      <c r="H20" s="13">
        <f>SUMIFS('3 - Accumulo'!$S$44:$S$403,'3 - Accumulo'!$B$44:$B$403,$A20)</f>
        <v>6567.020914310533</v>
      </c>
      <c r="I20" s="13">
        <f>SUMIFS('3 - Accumulo'!$Y$44:$Y$403,'3 - Accumulo'!$B$44:$B$403,$A20)</f>
        <v>253.88475537058054</v>
      </c>
      <c r="J20" s="13">
        <f>INDEX('3 - Accumulo'!$AF$44:$AF$403,12*$A20)</f>
        <v>0</v>
      </c>
      <c r="K20" s="13">
        <f>SUMIFS('3 - Accumulo'!$AB$44:$AB$403,'3 - Accumulo'!$B$44:$B$403,$A20)/12</f>
        <v>3562.5926602697559</v>
      </c>
      <c r="L20" s="13">
        <f>K20/(1+'1 - Input'!$B$12)^($A20-0.5)</f>
        <v>2673.3983660370209</v>
      </c>
    </row>
    <row r="21" spans="1:12">
      <c r="A21" s="3">
        <v>16</v>
      </c>
      <c r="B21" s="13">
        <f>INDEX('3 - Accumulo'!$Z$44:$Z$403,12*$A21)</f>
        <v>81111.86435537292</v>
      </c>
      <c r="C21" s="13">
        <f>INDEX('3 - Accumulo'!$AA$44:$AA$403,12*$A21)</f>
        <v>36820.191277733931</v>
      </c>
      <c r="D21" s="13">
        <f>B21/(1+'1 - Input'!$B$12)^$A21</f>
        <v>59085.598032228234</v>
      </c>
      <c r="E21" s="13">
        <f>SUMIFS('3 - Accumulo'!$H$44:$H$403,'3 - Accumulo'!$B$44:$B$403,$A21)</f>
        <v>0</v>
      </c>
      <c r="F21" s="13">
        <f>SUMIFS('3 - Accumulo'!$L$44:$L$403,'3 - Accumulo'!$B$44:$B$403,$A21)</f>
        <v>0</v>
      </c>
      <c r="G21" s="13">
        <f>SUMIFS('3 - Accumulo'!$K$44:$K$403,'3 - Accumulo'!$B$44:$B$403,$A21)</f>
        <v>0</v>
      </c>
      <c r="H21" s="13">
        <f>SUMIFS('3 - Accumulo'!$S$44:$S$403,'3 - Accumulo'!$B$44:$B$403,$A21)</f>
        <v>7055.3948461095833</v>
      </c>
      <c r="I21" s="13">
        <f>SUMIFS('3 - Accumulo'!$Y$44:$Y$403,'3 - Accumulo'!$B$44:$B$403,$A21)</f>
        <v>162.54882636347278</v>
      </c>
      <c r="J21" s="13">
        <f>INDEX('3 - Accumulo'!$AF$44:$AF$403,12*$A21)</f>
        <v>0</v>
      </c>
      <c r="K21" s="13">
        <f>SUMIFS('3 - Accumulo'!$AB$44:$AB$403,'3 - Accumulo'!$B$44:$B$403,$A21)/12</f>
        <v>3633.8445134751478</v>
      </c>
      <c r="L21" s="13">
        <f>K21/(1+'1 - Input'!$B$12)^($A21-0.5)</f>
        <v>2673.3983660370181</v>
      </c>
    </row>
    <row r="22" spans="1:12">
      <c r="A22" s="3">
        <v>17</v>
      </c>
      <c r="B22" s="13">
        <f>INDEX('3 - Accumulo'!$Z$44:$Z$403,12*$A22)</f>
        <v>31931.524893781992</v>
      </c>
      <c r="C22" s="13">
        <f>INDEX('3 - Accumulo'!$AA$44:$AA$403,12*$A22)</f>
        <v>13796.976319113641</v>
      </c>
      <c r="D22" s="13">
        <f>B22/(1+'1 - Input'!$B$12)^$A22</f>
        <v>22804.29964155623</v>
      </c>
      <c r="E22" s="13">
        <f>SUMIFS('3 - Accumulo'!$H$44:$H$403,'3 - Accumulo'!$B$44:$B$403,$A22)</f>
        <v>0</v>
      </c>
      <c r="F22" s="13">
        <f>SUMIFS('3 - Accumulo'!$L$44:$L$403,'3 - Accumulo'!$B$44:$B$403,$A22)</f>
        <v>0</v>
      </c>
      <c r="G22" s="13">
        <f>SUMIFS('3 - Accumulo'!$K$44:$K$403,'3 - Accumulo'!$B$44:$B$403,$A22)</f>
        <v>0</v>
      </c>
      <c r="H22" s="13">
        <f>SUMIFS('3 - Accumulo'!$S$44:$S$403,'3 - Accumulo'!$B$44:$B$403,$A22)</f>
        <v>7547.9725618088814</v>
      </c>
      <c r="I22" s="13">
        <f>SUMIFS('3 - Accumulo'!$Y$44:$Y$403,'3 - Accumulo'!$B$44:$B$403,$A22)</f>
        <v>63.99103185126652</v>
      </c>
      <c r="J22" s="13">
        <f>INDEX('3 - Accumulo'!$AF$44:$AF$403,12*$A22)</f>
        <v>0</v>
      </c>
      <c r="K22" s="13">
        <f>SUMIFS('3 - Accumulo'!$AB$44:$AB$403,'3 - Accumulo'!$B$44:$B$403,$A22)/12</f>
        <v>3706.5214037446531</v>
      </c>
      <c r="L22" s="13">
        <f>K22/(1+'1 - Input'!$B$12)^($A22-0.5)</f>
        <v>2673.39836603702</v>
      </c>
    </row>
    <row r="23" spans="1:12">
      <c r="A23" s="3">
        <v>18</v>
      </c>
      <c r="B23" s="13">
        <f>INDEX('3 - Accumulo'!$Z$44:$Z$403,12*$A23)</f>
        <v>0</v>
      </c>
      <c r="C23" s="13">
        <f>INDEX('3 - Accumulo'!$AA$44:$AA$403,12*$A23)</f>
        <v>0</v>
      </c>
      <c r="D23" s="13">
        <f>B23/(1+'1 - Input'!$B$12)^$A23</f>
        <v>0</v>
      </c>
      <c r="E23" s="13">
        <f>SUMIFS('3 - Accumulo'!$H$44:$H$403,'3 - Accumulo'!$B$44:$B$403,$A23)</f>
        <v>0</v>
      </c>
      <c r="F23" s="13">
        <f>SUMIFS('3 - Accumulo'!$L$44:$L$403,'3 - Accumulo'!$B$44:$B$403,$A23)</f>
        <v>0</v>
      </c>
      <c r="G23" s="13">
        <f>SUMIFS('3 - Accumulo'!$K$44:$K$403,'3 - Accumulo'!$B$44:$B$403,$A23)</f>
        <v>0</v>
      </c>
      <c r="H23" s="13">
        <f>SUMIFS('3 - Accumulo'!$S$44:$S$403,'3 - Accumulo'!$B$44:$B$403,$A23)</f>
        <v>4858.3116151352551</v>
      </c>
      <c r="I23" s="13">
        <f>SUMIFS('3 - Accumulo'!$Y$44:$Y$403,'3 - Accumulo'!$B$44:$B$403,$A23)</f>
        <v>0</v>
      </c>
      <c r="J23" s="13">
        <f>INDEX('3 - Accumulo'!$AF$44:$AF$403,12*$A23)</f>
        <v>0</v>
      </c>
      <c r="K23" s="13">
        <f>SUMIFS('3 - Accumulo'!$AB$44:$AB$403,'3 - Accumulo'!$B$44:$B$403,$A23)/12</f>
        <v>2302.0398840287289</v>
      </c>
      <c r="L23" s="13">
        <f>K23/(1+'1 - Input'!$B$12)^($A23-0.5)</f>
        <v>1627.8329606332827</v>
      </c>
    </row>
    <row r="24" spans="1:12">
      <c r="A24" s="3">
        <v>19</v>
      </c>
      <c r="B24" s="13">
        <f>INDEX('3 - Accumulo'!$Z$44:$Z$403,12*$A24)</f>
        <v>0</v>
      </c>
      <c r="C24" s="13">
        <f>INDEX('3 - Accumulo'!$AA$44:$AA$403,12*$A24)</f>
        <v>0</v>
      </c>
      <c r="D24" s="13">
        <f>B24/(1+'1 - Input'!$B$12)^$A24</f>
        <v>0</v>
      </c>
      <c r="E24" s="13">
        <f>SUMIFS('3 - Accumulo'!$H$44:$H$403,'3 - Accumulo'!$B$44:$B$403,$A24)</f>
        <v>0</v>
      </c>
      <c r="F24" s="13">
        <f>SUMIFS('3 - Accumulo'!$L$44:$L$403,'3 - Accumulo'!$B$44:$B$403,$A24)</f>
        <v>0</v>
      </c>
      <c r="G24" s="13">
        <f>SUMIFS('3 - Accumulo'!$K$44:$K$403,'3 - Accumulo'!$B$44:$B$403,$A24)</f>
        <v>0</v>
      </c>
      <c r="H24" s="13">
        <f>SUMIFS('3 - Accumulo'!$S$44:$S$403,'3 - Accumulo'!$B$44:$B$403,$A24)</f>
        <v>0</v>
      </c>
      <c r="I24" s="13">
        <f>SUMIFS('3 - Accumulo'!$Y$44:$Y$403,'3 - Accumulo'!$B$44:$B$403,$A24)</f>
        <v>0</v>
      </c>
      <c r="J24" s="13">
        <f>INDEX('3 - Accumulo'!$AF$44:$AF$403,12*$A24)</f>
        <v>0</v>
      </c>
      <c r="K24" s="13">
        <f>SUMIFS('3 - Accumulo'!$AB$44:$AB$403,'3 - Accumulo'!$B$44:$B$403,$A24)/12</f>
        <v>0</v>
      </c>
      <c r="L24" s="13">
        <f>K24/(1+'1 - Input'!$B$12)^($A24-0.5)</f>
        <v>0</v>
      </c>
    </row>
    <row r="25" spans="1:12">
      <c r="A25" s="3">
        <v>20</v>
      </c>
      <c r="B25" s="13">
        <f>INDEX('3 - Accumulo'!$Z$44:$Z$403,12*$A25)</f>
        <v>0</v>
      </c>
      <c r="C25" s="13">
        <f>INDEX('3 - Accumulo'!$AA$44:$AA$403,12*$A25)</f>
        <v>0</v>
      </c>
      <c r="D25" s="13">
        <f>B25/(1+'1 - Input'!$B$12)^$A25</f>
        <v>0</v>
      </c>
      <c r="E25" s="13">
        <f>SUMIFS('3 - Accumulo'!$H$44:$H$403,'3 - Accumulo'!$B$44:$B$403,$A25)</f>
        <v>0</v>
      </c>
      <c r="F25" s="13">
        <f>SUMIFS('3 - Accumulo'!$L$44:$L$403,'3 - Accumulo'!$B$44:$B$403,$A25)</f>
        <v>0</v>
      </c>
      <c r="G25" s="13">
        <f>SUMIFS('3 - Accumulo'!$K$44:$K$403,'3 - Accumulo'!$B$44:$B$403,$A25)</f>
        <v>0</v>
      </c>
      <c r="H25" s="13">
        <f>SUMIFS('3 - Accumulo'!$S$44:$S$403,'3 - Accumulo'!$B$44:$B$403,$A25)</f>
        <v>0</v>
      </c>
      <c r="I25" s="13">
        <f>SUMIFS('3 - Accumulo'!$Y$44:$Y$403,'3 - Accumulo'!$B$44:$B$403,$A25)</f>
        <v>0</v>
      </c>
      <c r="J25" s="13">
        <f>INDEX('3 - Accumulo'!$AF$44:$AF$403,12*$A25)</f>
        <v>0</v>
      </c>
      <c r="K25" s="13">
        <f>SUMIFS('3 - Accumulo'!$AB$44:$AB$403,'3 - Accumulo'!$B$44:$B$403,$A25)/12</f>
        <v>0</v>
      </c>
      <c r="L25" s="13">
        <f>K25/(1+'1 - Input'!$B$12)^($A25-0.5)</f>
        <v>0</v>
      </c>
    </row>
    <row r="26" spans="1:12">
      <c r="A26" s="3">
        <v>21</v>
      </c>
      <c r="B26" s="13">
        <f>INDEX('3 - Accumulo'!$Z$44:$Z$403,12*$A26)</f>
        <v>0</v>
      </c>
      <c r="C26" s="13">
        <f>INDEX('3 - Accumulo'!$AA$44:$AA$403,12*$A26)</f>
        <v>0</v>
      </c>
      <c r="D26" s="13">
        <f>B26/(1+'1 - Input'!$B$12)^$A26</f>
        <v>0</v>
      </c>
      <c r="E26" s="13">
        <f>SUMIFS('3 - Accumulo'!$H$44:$H$403,'3 - Accumulo'!$B$44:$B$403,$A26)</f>
        <v>0</v>
      </c>
      <c r="F26" s="13">
        <f>SUMIFS('3 - Accumulo'!$L$44:$L$403,'3 - Accumulo'!$B$44:$B$403,$A26)</f>
        <v>0</v>
      </c>
      <c r="G26" s="13">
        <f>SUMIFS('3 - Accumulo'!$K$44:$K$403,'3 - Accumulo'!$B$44:$B$403,$A26)</f>
        <v>0</v>
      </c>
      <c r="H26" s="13">
        <f>SUMIFS('3 - Accumulo'!$S$44:$S$403,'3 - Accumulo'!$B$44:$B$403,$A26)</f>
        <v>0</v>
      </c>
      <c r="I26" s="13">
        <f>SUMIFS('3 - Accumulo'!$Y$44:$Y$403,'3 - Accumulo'!$B$44:$B$403,$A26)</f>
        <v>0</v>
      </c>
      <c r="J26" s="13">
        <f>INDEX('3 - Accumulo'!$AF$44:$AF$403,12*$A26)</f>
        <v>0</v>
      </c>
      <c r="K26" s="13">
        <f>SUMIFS('3 - Accumulo'!$AB$44:$AB$403,'3 - Accumulo'!$B$44:$B$403,$A26)/12</f>
        <v>0</v>
      </c>
      <c r="L26" s="13">
        <f>K26/(1+'1 - Input'!$B$12)^($A26-0.5)</f>
        <v>0</v>
      </c>
    </row>
    <row r="27" spans="1:12">
      <c r="A27" s="3">
        <v>22</v>
      </c>
      <c r="B27" s="13">
        <f>INDEX('3 - Accumulo'!$Z$44:$Z$403,12*$A27)</f>
        <v>0</v>
      </c>
      <c r="C27" s="13">
        <f>INDEX('3 - Accumulo'!$AA$44:$AA$403,12*$A27)</f>
        <v>0</v>
      </c>
      <c r="D27" s="13">
        <f>B27/(1+'1 - Input'!$B$12)^$A27</f>
        <v>0</v>
      </c>
      <c r="E27" s="13">
        <f>SUMIFS('3 - Accumulo'!$H$44:$H$403,'3 - Accumulo'!$B$44:$B$403,$A27)</f>
        <v>0</v>
      </c>
      <c r="F27" s="13">
        <f>SUMIFS('3 - Accumulo'!$L$44:$L$403,'3 - Accumulo'!$B$44:$B$403,$A27)</f>
        <v>0</v>
      </c>
      <c r="G27" s="13">
        <f>SUMIFS('3 - Accumulo'!$K$44:$K$403,'3 - Accumulo'!$B$44:$B$403,$A27)</f>
        <v>0</v>
      </c>
      <c r="H27" s="13">
        <f>SUMIFS('3 - Accumulo'!$S$44:$S$403,'3 - Accumulo'!$B$44:$B$403,$A27)</f>
        <v>0</v>
      </c>
      <c r="I27" s="13">
        <f>SUMIFS('3 - Accumulo'!$Y$44:$Y$403,'3 - Accumulo'!$B$44:$B$403,$A27)</f>
        <v>0</v>
      </c>
      <c r="J27" s="13">
        <f>INDEX('3 - Accumulo'!$AF$44:$AF$403,12*$A27)</f>
        <v>0</v>
      </c>
      <c r="K27" s="13">
        <f>SUMIFS('3 - Accumulo'!$AB$44:$AB$403,'3 - Accumulo'!$B$44:$B$403,$A27)/12</f>
        <v>0</v>
      </c>
      <c r="L27" s="13">
        <f>K27/(1+'1 - Input'!$B$12)^($A27-0.5)</f>
        <v>0</v>
      </c>
    </row>
    <row r="28" spans="1:12">
      <c r="A28" s="3">
        <v>23</v>
      </c>
      <c r="B28" s="13">
        <f>INDEX('3 - Accumulo'!$Z$44:$Z$403,12*$A28)</f>
        <v>0</v>
      </c>
      <c r="C28" s="13">
        <f>INDEX('3 - Accumulo'!$AA$44:$AA$403,12*$A28)</f>
        <v>0</v>
      </c>
      <c r="D28" s="13">
        <f>B28/(1+'1 - Input'!$B$12)^$A28</f>
        <v>0</v>
      </c>
      <c r="E28" s="13">
        <f>SUMIFS('3 - Accumulo'!$H$44:$H$403,'3 - Accumulo'!$B$44:$B$403,$A28)</f>
        <v>0</v>
      </c>
      <c r="F28" s="13">
        <f>SUMIFS('3 - Accumulo'!$L$44:$L$403,'3 - Accumulo'!$B$44:$B$403,$A28)</f>
        <v>0</v>
      </c>
      <c r="G28" s="13">
        <f>SUMIFS('3 - Accumulo'!$K$44:$K$403,'3 - Accumulo'!$B$44:$B$403,$A28)</f>
        <v>0</v>
      </c>
      <c r="H28" s="13">
        <f>SUMIFS('3 - Accumulo'!$S$44:$S$403,'3 - Accumulo'!$B$44:$B$403,$A28)</f>
        <v>0</v>
      </c>
      <c r="I28" s="13">
        <f>SUMIFS('3 - Accumulo'!$Y$44:$Y$403,'3 - Accumulo'!$B$44:$B$403,$A28)</f>
        <v>0</v>
      </c>
      <c r="J28" s="13">
        <f>INDEX('3 - Accumulo'!$AF$44:$AF$403,12*$A28)</f>
        <v>0</v>
      </c>
      <c r="K28" s="13">
        <f>SUMIFS('3 - Accumulo'!$AB$44:$AB$403,'3 - Accumulo'!$B$44:$B$403,$A28)/12</f>
        <v>0</v>
      </c>
      <c r="L28" s="13">
        <f>K28/(1+'1 - Input'!$B$12)^($A28-0.5)</f>
        <v>0</v>
      </c>
    </row>
    <row r="29" spans="1:12">
      <c r="A29" s="3">
        <v>24</v>
      </c>
      <c r="B29" s="13">
        <f>INDEX('3 - Accumulo'!$Z$44:$Z$403,12*$A29)</f>
        <v>0</v>
      </c>
      <c r="C29" s="13">
        <f>INDEX('3 - Accumulo'!$AA$44:$AA$403,12*$A29)</f>
        <v>0</v>
      </c>
      <c r="D29" s="13">
        <f>B29/(1+'1 - Input'!$B$12)^$A29</f>
        <v>0</v>
      </c>
      <c r="E29" s="13">
        <f>SUMIFS('3 - Accumulo'!$H$44:$H$403,'3 - Accumulo'!$B$44:$B$403,$A29)</f>
        <v>0</v>
      </c>
      <c r="F29" s="13">
        <f>SUMIFS('3 - Accumulo'!$L$44:$L$403,'3 - Accumulo'!$B$44:$B$403,$A29)</f>
        <v>0</v>
      </c>
      <c r="G29" s="13">
        <f>SUMIFS('3 - Accumulo'!$K$44:$K$403,'3 - Accumulo'!$B$44:$B$403,$A29)</f>
        <v>0</v>
      </c>
      <c r="H29" s="13">
        <f>SUMIFS('3 - Accumulo'!$S$44:$S$403,'3 - Accumulo'!$B$44:$B$403,$A29)</f>
        <v>0</v>
      </c>
      <c r="I29" s="13">
        <f>SUMIFS('3 - Accumulo'!$Y$44:$Y$403,'3 - Accumulo'!$B$44:$B$403,$A29)</f>
        <v>0</v>
      </c>
      <c r="J29" s="13">
        <f>INDEX('3 - Accumulo'!$AF$44:$AF$403,12*$A29)</f>
        <v>0</v>
      </c>
      <c r="K29" s="13">
        <f>SUMIFS('3 - Accumulo'!$AB$44:$AB$403,'3 - Accumulo'!$B$44:$B$403,$A29)/12</f>
        <v>0</v>
      </c>
      <c r="L29" s="13">
        <f>K29/(1+'1 - Input'!$B$12)^($A29-0.5)</f>
        <v>0</v>
      </c>
    </row>
    <row r="30" spans="1:12">
      <c r="A30" s="3">
        <v>25</v>
      </c>
      <c r="B30" s="13">
        <f>INDEX('3 - Accumulo'!$Z$44:$Z$403,12*$A30)</f>
        <v>0</v>
      </c>
      <c r="C30" s="13">
        <f>INDEX('3 - Accumulo'!$AA$44:$AA$403,12*$A30)</f>
        <v>0</v>
      </c>
      <c r="D30" s="13">
        <f>B30/(1+'1 - Input'!$B$12)^$A30</f>
        <v>0</v>
      </c>
      <c r="E30" s="13">
        <f>SUMIFS('3 - Accumulo'!$H$44:$H$403,'3 - Accumulo'!$B$44:$B$403,$A30)</f>
        <v>0</v>
      </c>
      <c r="F30" s="13">
        <f>SUMIFS('3 - Accumulo'!$L$44:$L$403,'3 - Accumulo'!$B$44:$B$403,$A30)</f>
        <v>0</v>
      </c>
      <c r="G30" s="13">
        <f>SUMIFS('3 - Accumulo'!$K$44:$K$403,'3 - Accumulo'!$B$44:$B$403,$A30)</f>
        <v>0</v>
      </c>
      <c r="H30" s="13">
        <f>SUMIFS('3 - Accumulo'!$S$44:$S$403,'3 - Accumulo'!$B$44:$B$403,$A30)</f>
        <v>0</v>
      </c>
      <c r="I30" s="13">
        <f>SUMIFS('3 - Accumulo'!$Y$44:$Y$403,'3 - Accumulo'!$B$44:$B$403,$A30)</f>
        <v>0</v>
      </c>
      <c r="J30" s="13">
        <f>INDEX('3 - Accumulo'!$AF$44:$AF$403,12*$A30)</f>
        <v>0</v>
      </c>
      <c r="K30" s="13">
        <f>SUMIFS('3 - Accumulo'!$AB$44:$AB$403,'3 - Accumulo'!$B$44:$B$403,$A30)/12</f>
        <v>0</v>
      </c>
      <c r="L30" s="13">
        <f>K30/(1+'1 - Input'!$B$12)^($A30-0.5)</f>
        <v>0</v>
      </c>
    </row>
    <row r="31" spans="1:12">
      <c r="A31" s="3">
        <v>26</v>
      </c>
      <c r="B31" s="13">
        <f>INDEX('3 - Accumulo'!$Z$44:$Z$403,12*$A31)</f>
        <v>0</v>
      </c>
      <c r="C31" s="13">
        <f>INDEX('3 - Accumulo'!$AA$44:$AA$403,12*$A31)</f>
        <v>0</v>
      </c>
      <c r="D31" s="13">
        <f>B31/(1+'1 - Input'!$B$12)^$A31</f>
        <v>0</v>
      </c>
      <c r="E31" s="13">
        <f>SUMIFS('3 - Accumulo'!$H$44:$H$403,'3 - Accumulo'!$B$44:$B$403,$A31)</f>
        <v>0</v>
      </c>
      <c r="F31" s="13">
        <f>SUMIFS('3 - Accumulo'!$L$44:$L$403,'3 - Accumulo'!$B$44:$B$403,$A31)</f>
        <v>0</v>
      </c>
      <c r="G31" s="13">
        <f>SUMIFS('3 - Accumulo'!$K$44:$K$403,'3 - Accumulo'!$B$44:$B$403,$A31)</f>
        <v>0</v>
      </c>
      <c r="H31" s="13">
        <f>SUMIFS('3 - Accumulo'!$S$44:$S$403,'3 - Accumulo'!$B$44:$B$403,$A31)</f>
        <v>0</v>
      </c>
      <c r="I31" s="13">
        <f>SUMIFS('3 - Accumulo'!$Y$44:$Y$403,'3 - Accumulo'!$B$44:$B$403,$A31)</f>
        <v>0</v>
      </c>
      <c r="J31" s="13">
        <f>INDEX('3 - Accumulo'!$AF$44:$AF$403,12*$A31)</f>
        <v>0</v>
      </c>
      <c r="K31" s="13">
        <f>SUMIFS('3 - Accumulo'!$AB$44:$AB$403,'3 - Accumulo'!$B$44:$B$403,$A31)/12</f>
        <v>0</v>
      </c>
      <c r="L31" s="13">
        <f>K31/(1+'1 - Input'!$B$12)^($A31-0.5)</f>
        <v>0</v>
      </c>
    </row>
    <row r="32" spans="1:12">
      <c r="A32" s="3">
        <v>27</v>
      </c>
      <c r="B32" s="13">
        <f>INDEX('3 - Accumulo'!$Z$44:$Z$403,12*$A32)</f>
        <v>0</v>
      </c>
      <c r="C32" s="13">
        <f>INDEX('3 - Accumulo'!$AA$44:$AA$403,12*$A32)</f>
        <v>0</v>
      </c>
      <c r="D32" s="13">
        <f>B32/(1+'1 - Input'!$B$12)^$A32</f>
        <v>0</v>
      </c>
      <c r="E32" s="13">
        <f>SUMIFS('3 - Accumulo'!$H$44:$H$403,'3 - Accumulo'!$B$44:$B$403,$A32)</f>
        <v>0</v>
      </c>
      <c r="F32" s="13">
        <f>SUMIFS('3 - Accumulo'!$L$44:$L$403,'3 - Accumulo'!$B$44:$B$403,$A32)</f>
        <v>0</v>
      </c>
      <c r="G32" s="13">
        <f>SUMIFS('3 - Accumulo'!$K$44:$K$403,'3 - Accumulo'!$B$44:$B$403,$A32)</f>
        <v>0</v>
      </c>
      <c r="H32" s="13">
        <f>SUMIFS('3 - Accumulo'!$S$44:$S$403,'3 - Accumulo'!$B$44:$B$403,$A32)</f>
        <v>0</v>
      </c>
      <c r="I32" s="13">
        <f>SUMIFS('3 - Accumulo'!$Y$44:$Y$403,'3 - Accumulo'!$B$44:$B$403,$A32)</f>
        <v>0</v>
      </c>
      <c r="J32" s="13">
        <f>INDEX('3 - Accumulo'!$AF$44:$AF$403,12*$A32)</f>
        <v>0</v>
      </c>
      <c r="K32" s="13">
        <f>SUMIFS('3 - Accumulo'!$AB$44:$AB$403,'3 - Accumulo'!$B$44:$B$403,$A32)/12</f>
        <v>0</v>
      </c>
      <c r="L32" s="13">
        <f>K32/(1+'1 - Input'!$B$12)^($A32-0.5)</f>
        <v>0</v>
      </c>
    </row>
    <row r="33" spans="1:35">
      <c r="A33" s="3">
        <v>28</v>
      </c>
      <c r="B33" s="13">
        <f>INDEX('3 - Accumulo'!$Z$44:$Z$403,12*$A33)</f>
        <v>0</v>
      </c>
      <c r="C33" s="13">
        <f>INDEX('3 - Accumulo'!$AA$44:$AA$403,12*$A33)</f>
        <v>0</v>
      </c>
      <c r="D33" s="13">
        <f>B33/(1+'1 - Input'!$B$12)^$A33</f>
        <v>0</v>
      </c>
      <c r="E33" s="13">
        <f>SUMIFS('3 - Accumulo'!$H$44:$H$403,'3 - Accumulo'!$B$44:$B$403,$A33)</f>
        <v>0</v>
      </c>
      <c r="F33" s="13">
        <f>SUMIFS('3 - Accumulo'!$L$44:$L$403,'3 - Accumulo'!$B$44:$B$403,$A33)</f>
        <v>0</v>
      </c>
      <c r="G33" s="13">
        <f>SUMIFS('3 - Accumulo'!$K$44:$K$403,'3 - Accumulo'!$B$44:$B$403,$A33)</f>
        <v>0</v>
      </c>
      <c r="H33" s="13">
        <f>SUMIFS('3 - Accumulo'!$S$44:$S$403,'3 - Accumulo'!$B$44:$B$403,$A33)</f>
        <v>0</v>
      </c>
      <c r="I33" s="13">
        <f>SUMIFS('3 - Accumulo'!$Y$44:$Y$403,'3 - Accumulo'!$B$44:$B$403,$A33)</f>
        <v>0</v>
      </c>
      <c r="J33" s="13">
        <f>INDEX('3 - Accumulo'!$AF$44:$AF$403,12*$A33)</f>
        <v>0</v>
      </c>
      <c r="K33" s="13">
        <f>SUMIFS('3 - Accumulo'!$AB$44:$AB$403,'3 - Accumulo'!$B$44:$B$403,$A33)/12</f>
        <v>0</v>
      </c>
      <c r="L33" s="13">
        <f>K33/(1+'1 - Input'!$B$12)^($A33-0.5)</f>
        <v>0</v>
      </c>
    </row>
    <row r="34" spans="1:35">
      <c r="A34" s="3">
        <v>29</v>
      </c>
      <c r="B34" s="13">
        <f>INDEX('3 - Accumulo'!$Z$44:$Z$403,12*$A34)</f>
        <v>0</v>
      </c>
      <c r="C34" s="13">
        <f>INDEX('3 - Accumulo'!$AA$44:$AA$403,12*$A34)</f>
        <v>0</v>
      </c>
      <c r="D34" s="13">
        <f>B34/(1+'1 - Input'!$B$12)^$A34</f>
        <v>0</v>
      </c>
      <c r="E34" s="13">
        <f>SUMIFS('3 - Accumulo'!$H$44:$H$403,'3 - Accumulo'!$B$44:$B$403,$A34)</f>
        <v>0</v>
      </c>
      <c r="F34" s="13">
        <f>SUMIFS('3 - Accumulo'!$L$44:$L$403,'3 - Accumulo'!$B$44:$B$403,$A34)</f>
        <v>0</v>
      </c>
      <c r="G34" s="13">
        <f>SUMIFS('3 - Accumulo'!$K$44:$K$403,'3 - Accumulo'!$B$44:$B$403,$A34)</f>
        <v>0</v>
      </c>
      <c r="H34" s="13">
        <f>SUMIFS('3 - Accumulo'!$S$44:$S$403,'3 - Accumulo'!$B$44:$B$403,$A34)</f>
        <v>0</v>
      </c>
      <c r="I34" s="13">
        <f>SUMIFS('3 - Accumulo'!$Y$44:$Y$403,'3 - Accumulo'!$B$44:$B$403,$A34)</f>
        <v>0</v>
      </c>
      <c r="J34" s="13">
        <f>INDEX('3 - Accumulo'!$AF$44:$AF$403,12*$A34)</f>
        <v>0</v>
      </c>
      <c r="K34" s="13">
        <f>SUMIFS('3 - Accumulo'!$AB$44:$AB$403,'3 - Accumulo'!$B$44:$B$403,$A34)/12</f>
        <v>0</v>
      </c>
      <c r="L34" s="13">
        <f>K34/(1+'1 - Input'!$B$12)^($A34-0.5)</f>
        <v>0</v>
      </c>
    </row>
    <row r="35" spans="1:35">
      <c r="A35" s="3">
        <v>30</v>
      </c>
      <c r="B35" s="13">
        <f>INDEX('3 - Accumulo'!$Z$44:$Z$403,12*$A35)</f>
        <v>0</v>
      </c>
      <c r="C35" s="13">
        <f>INDEX('3 - Accumulo'!$AA$44:$AA$403,12*$A35)</f>
        <v>0</v>
      </c>
      <c r="D35" s="13">
        <f>B35/(1+'1 - Input'!$B$12)^$A35</f>
        <v>0</v>
      </c>
      <c r="E35" s="13">
        <f>SUMIFS('3 - Accumulo'!$H$44:$H$403,'3 - Accumulo'!$B$44:$B$403,$A35)</f>
        <v>0</v>
      </c>
      <c r="F35" s="13">
        <f>SUMIFS('3 - Accumulo'!$L$44:$L$403,'3 - Accumulo'!$B$44:$B$403,$A35)</f>
        <v>0</v>
      </c>
      <c r="G35" s="13">
        <f>SUMIFS('3 - Accumulo'!$K$44:$K$403,'3 - Accumulo'!$B$44:$B$403,$A35)</f>
        <v>0</v>
      </c>
      <c r="H35" s="13">
        <f>SUMIFS('3 - Accumulo'!$S$44:$S$403,'3 - Accumulo'!$B$44:$B$403,$A35)</f>
        <v>0</v>
      </c>
      <c r="I35" s="13">
        <f>SUMIFS('3 - Accumulo'!$Y$44:$Y$403,'3 - Accumulo'!$B$44:$B$403,$A35)</f>
        <v>0</v>
      </c>
      <c r="J35" s="13">
        <f>INDEX('3 - Accumulo'!$AF$44:$AF$403,12*$A35)</f>
        <v>0</v>
      </c>
      <c r="K35" s="13">
        <f>SUMIFS('3 - Accumulo'!$AB$44:$AB$403,'3 - Accumulo'!$B$44:$B$403,$A35)/12</f>
        <v>0</v>
      </c>
      <c r="L35" s="13">
        <f>K35/(1+'1 - Input'!$B$12)^($A35-0.5)</f>
        <v>0</v>
      </c>
    </row>
    <row r="40" spans="1:35" ht="17.25">
      <c r="A40" s="26" t="s">
        <v>135</v>
      </c>
      <c r="B40" s="23"/>
      <c r="C40" s="23"/>
      <c r="D40" s="23"/>
      <c r="E40" s="23"/>
      <c r="F40" s="23"/>
      <c r="G40" s="23"/>
    </row>
    <row r="41" spans="1:35">
      <c r="A41" s="6" t="s">
        <v>100</v>
      </c>
      <c r="B41" s="12">
        <f>0</f>
        <v>0</v>
      </c>
    </row>
    <row r="43" spans="1:35" ht="48" customHeight="1">
      <c r="A43" s="5" t="s">
        <v>101</v>
      </c>
      <c r="B43" s="5" t="s">
        <v>77</v>
      </c>
      <c r="C43" s="5" t="s">
        <v>102</v>
      </c>
      <c r="D43" s="5" t="s">
        <v>103</v>
      </c>
      <c r="E43" s="5" t="s">
        <v>104</v>
      </c>
      <c r="F43" s="5" t="s">
        <v>105</v>
      </c>
      <c r="G43" s="5" t="s">
        <v>106</v>
      </c>
      <c r="H43" s="5" t="s">
        <v>107</v>
      </c>
      <c r="I43" s="5" t="s">
        <v>108</v>
      </c>
      <c r="J43" s="5" t="s">
        <v>109</v>
      </c>
      <c r="K43" s="5" t="s">
        <v>110</v>
      </c>
      <c r="L43" s="5" t="s">
        <v>111</v>
      </c>
      <c r="M43" s="5" t="s">
        <v>112</v>
      </c>
      <c r="N43" s="5" t="s">
        <v>113</v>
      </c>
      <c r="O43" s="5" t="s">
        <v>114</v>
      </c>
      <c r="P43" s="5" t="s">
        <v>115</v>
      </c>
      <c r="Q43" s="5" t="s">
        <v>116</v>
      </c>
      <c r="R43" s="5" t="s">
        <v>117</v>
      </c>
      <c r="S43" s="5" t="s">
        <v>118</v>
      </c>
      <c r="T43" s="5" t="s">
        <v>119</v>
      </c>
      <c r="U43" s="5" t="s">
        <v>120</v>
      </c>
      <c r="V43" s="5" t="s">
        <v>121</v>
      </c>
      <c r="W43" s="5" t="s">
        <v>122</v>
      </c>
      <c r="X43" s="5" t="s">
        <v>123</v>
      </c>
      <c r="Y43" s="5" t="s">
        <v>93</v>
      </c>
      <c r="Z43" s="5" t="s">
        <v>124</v>
      </c>
      <c r="AA43" s="5" t="s">
        <v>125</v>
      </c>
      <c r="AB43" s="5" t="s">
        <v>126</v>
      </c>
      <c r="AC43" s="5" t="s">
        <v>127</v>
      </c>
      <c r="AD43" s="5" t="s">
        <v>128</v>
      </c>
      <c r="AE43" s="5" t="s">
        <v>129</v>
      </c>
      <c r="AF43" s="5" t="s">
        <v>94</v>
      </c>
      <c r="AG43" s="5" t="s">
        <v>130</v>
      </c>
      <c r="AH43" s="5" t="s">
        <v>131</v>
      </c>
      <c r="AI43" s="5" t="s">
        <v>132</v>
      </c>
    </row>
    <row r="44" spans="1:35">
      <c r="A44" s="14">
        <v>1</v>
      </c>
      <c r="B44" s="15">
        <f t="shared" ref="B44:B107" si="0">ROUNDUP(A44/12,0)</f>
        <v>1</v>
      </c>
      <c r="C44" s="16">
        <f>(1+INDEX('1 - Input'!$B$34:$E$63,B44,'1 - Input'!$B$16))^(1/12)-1</f>
        <v>4.1219243192651689E-3</v>
      </c>
      <c r="D44" s="17">
        <f>'1 - Input'!$B$7*(1+'1 - Input'!$B$12)^(B44-1)</f>
        <v>2700</v>
      </c>
      <c r="E44" s="17">
        <f>'1 - Input'!$B$6</f>
        <v>486500</v>
      </c>
      <c r="F44" s="17">
        <f>'1 - Input'!$B$6*'1 - Input'!$B$15</f>
        <v>486500</v>
      </c>
      <c r="G44" s="17">
        <f t="shared" ref="G44:G107" si="1">E44*(1+C44)</f>
        <v>488505.3161813225</v>
      </c>
      <c r="H44" s="17">
        <f>0</f>
        <v>0</v>
      </c>
      <c r="I44" s="17">
        <f t="shared" ref="I44:I107" si="2">G44-H44</f>
        <v>488505.3161813225</v>
      </c>
      <c r="J44" s="17">
        <f t="shared" ref="J44:J107" si="3">MIN($B$41*H44,F44)</f>
        <v>0</v>
      </c>
      <c r="K44" s="17">
        <f>'1 - Input'!$B$22*(H44-J44)</f>
        <v>0</v>
      </c>
      <c r="L44" s="17">
        <f t="shared" ref="L44:L107" si="4">H44-K44</f>
        <v>0</v>
      </c>
      <c r="M44" s="17">
        <f t="shared" ref="M44:M107" si="5">F44-J44</f>
        <v>486500</v>
      </c>
      <c r="N44" s="17">
        <f>0</f>
        <v>0</v>
      </c>
      <c r="O44" s="17">
        <f t="shared" ref="O44:O107" si="6">D44</f>
        <v>2700</v>
      </c>
      <c r="P44" s="17">
        <f t="shared" ref="P44:P107" si="7">IF(I44&gt;0,MAX(0,1-M44/I44),0)</f>
        <v>4.1050038042537151E-3</v>
      </c>
      <c r="Q44" s="17">
        <f>IF(AND(O44&gt;0,I44&gt;0),O44/(1-'1 - Input'!$B$22*P44),0)</f>
        <v>2702.8847916115265</v>
      </c>
      <c r="R44" s="17">
        <f t="shared" ref="R44:R107" si="8">MIN(Q44,I44)</f>
        <v>2702.8847916115265</v>
      </c>
      <c r="S44" s="17">
        <f>'1 - Input'!$B$22*P44*R44</f>
        <v>2.8847916115264547</v>
      </c>
      <c r="T44" s="17">
        <f t="shared" ref="T44:T107" si="9">R44-S44</f>
        <v>2700</v>
      </c>
      <c r="U44" s="17">
        <f t="shared" ref="U44:U107" si="10">O44-T44</f>
        <v>0</v>
      </c>
      <c r="V44" s="17">
        <f t="shared" ref="V44:V107" si="11">IF(I44&gt;0,R44*MAX(0,M44/I44-1),0)</f>
        <v>0</v>
      </c>
      <c r="W44" s="17">
        <f t="shared" ref="W44:W107" si="12">I44-R44+N44</f>
        <v>485802.43138971098</v>
      </c>
      <c r="X44" s="17">
        <f t="shared" ref="X44:X107" si="13">IF(R44&gt;0,M44*(1-R44/I44),M44)+N44</f>
        <v>483808.2105607405</v>
      </c>
      <c r="Y44" s="17">
        <f>IF(MOD(A44,12)=0,W44*'1 - Input'!$B$23,0)</f>
        <v>0</v>
      </c>
      <c r="Z44" s="17">
        <f t="shared" ref="Z44:Z107" si="14">W44-Y44</f>
        <v>485802.43138971098</v>
      </c>
      <c r="AA44" s="17">
        <f>IF(MOD(A44,12)=0,X44*(1-'1 - Input'!$B$23),X44)</f>
        <v>483808.2105607405</v>
      </c>
      <c r="AB44" s="17">
        <f t="shared" ref="AB44:AB107" si="15">T44</f>
        <v>2700</v>
      </c>
      <c r="AC44" s="17">
        <f>AB44</f>
        <v>2700</v>
      </c>
      <c r="AD44" s="17">
        <f>K44</f>
        <v>0</v>
      </c>
      <c r="AE44" s="17">
        <f>S44</f>
        <v>2.8847916115264547</v>
      </c>
      <c r="AF44" s="17">
        <f>V44</f>
        <v>0</v>
      </c>
      <c r="AG44" s="17">
        <f>Y44</f>
        <v>0</v>
      </c>
      <c r="AH44" s="17">
        <f>U44</f>
        <v>0</v>
      </c>
      <c r="AI44" s="15">
        <f t="shared" ref="AI44:AI107" si="16">IF(W44&lt;=0.000001,1,0)</f>
        <v>0</v>
      </c>
    </row>
    <row r="45" spans="1:35">
      <c r="A45" s="14">
        <v>2</v>
      </c>
      <c r="B45" s="15">
        <f t="shared" si="0"/>
        <v>1</v>
      </c>
      <c r="C45" s="16">
        <f>(1+INDEX('1 - Input'!$B$34:$E$63,B45,'1 - Input'!$B$16))^(1/12)-1</f>
        <v>4.1219243192651689E-3</v>
      </c>
      <c r="D45" s="17">
        <f>'1 - Input'!$B$7*(1+'1 - Input'!$B$12)^(B45-1)</f>
        <v>2700</v>
      </c>
      <c r="E45" s="17">
        <f t="shared" ref="E45:E108" si="17">Z44</f>
        <v>485802.43138971098</v>
      </c>
      <c r="F45" s="17">
        <f t="shared" ref="F45:F108" si="18">AA44</f>
        <v>483808.2105607405</v>
      </c>
      <c r="G45" s="17">
        <f t="shared" si="1"/>
        <v>487804.87224601436</v>
      </c>
      <c r="H45" s="17">
        <f>0</f>
        <v>0</v>
      </c>
      <c r="I45" s="17">
        <f t="shared" si="2"/>
        <v>487804.87224601436</v>
      </c>
      <c r="J45" s="17">
        <f t="shared" si="3"/>
        <v>0</v>
      </c>
      <c r="K45" s="17">
        <f>'1 - Input'!$B$22*(H45-J45)</f>
        <v>0</v>
      </c>
      <c r="L45" s="17">
        <f t="shared" si="4"/>
        <v>0</v>
      </c>
      <c r="M45" s="17">
        <f t="shared" si="5"/>
        <v>483808.2105607405</v>
      </c>
      <c r="N45" s="17">
        <f>0</f>
        <v>0</v>
      </c>
      <c r="O45" s="17">
        <f t="shared" si="6"/>
        <v>2700</v>
      </c>
      <c r="P45" s="17">
        <f t="shared" si="7"/>
        <v>8.1931565522744831E-3</v>
      </c>
      <c r="Q45" s="17">
        <f>IF(AND(O45&gt;0,I45&gt;0),O45/(1-'1 - Input'!$B$22*P45),0)</f>
        <v>2705.7638742239014</v>
      </c>
      <c r="R45" s="17">
        <f t="shared" si="8"/>
        <v>2705.7638742239014</v>
      </c>
      <c r="S45" s="17">
        <f>'1 - Input'!$B$22*P45*R45</f>
        <v>5.7638742239013387</v>
      </c>
      <c r="T45" s="17">
        <f t="shared" si="9"/>
        <v>2700</v>
      </c>
      <c r="U45" s="17">
        <f t="shared" si="10"/>
        <v>0</v>
      </c>
      <c r="V45" s="17">
        <f t="shared" si="11"/>
        <v>0</v>
      </c>
      <c r="W45" s="17">
        <f t="shared" si="12"/>
        <v>485099.10837179044</v>
      </c>
      <c r="X45" s="17">
        <f t="shared" si="13"/>
        <v>481124.61543353158</v>
      </c>
      <c r="Y45" s="17">
        <f>IF(MOD(A45,12)=0,W45*'1 - Input'!$B$23,0)</f>
        <v>0</v>
      </c>
      <c r="Z45" s="17">
        <f t="shared" si="14"/>
        <v>485099.10837179044</v>
      </c>
      <c r="AA45" s="17">
        <f>IF(MOD(A45,12)=0,X45*(1-'1 - Input'!$B$23),X45)</f>
        <v>481124.61543353158</v>
      </c>
      <c r="AB45" s="17">
        <f t="shared" si="15"/>
        <v>2700</v>
      </c>
      <c r="AC45" s="17">
        <f t="shared" ref="AC45:AC108" si="19">AC44+AB45</f>
        <v>5400</v>
      </c>
      <c r="AD45" s="17">
        <f t="shared" ref="AD45:AD108" si="20">AD44+K45</f>
        <v>0</v>
      </c>
      <c r="AE45" s="17">
        <f t="shared" ref="AE45:AE108" si="21">AE44+S45</f>
        <v>8.6486658354277939</v>
      </c>
      <c r="AF45" s="17">
        <f t="shared" ref="AF45:AF108" si="22">AF44+V45</f>
        <v>0</v>
      </c>
      <c r="AG45" s="17">
        <f t="shared" ref="AG45:AG108" si="23">AG44+Y45</f>
        <v>0</v>
      </c>
      <c r="AH45" s="17">
        <f t="shared" ref="AH45:AH108" si="24">AH44+U45</f>
        <v>0</v>
      </c>
      <c r="AI45" s="15">
        <f t="shared" si="16"/>
        <v>0</v>
      </c>
    </row>
    <row r="46" spans="1:35">
      <c r="A46" s="14">
        <v>3</v>
      </c>
      <c r="B46" s="15">
        <f t="shared" si="0"/>
        <v>1</v>
      </c>
      <c r="C46" s="16">
        <f>(1+INDEX('1 - Input'!$B$34:$E$63,B46,'1 - Input'!$B$16))^(1/12)-1</f>
        <v>4.1219243192651689E-3</v>
      </c>
      <c r="D46" s="17">
        <f>'1 - Input'!$B$7*(1+'1 - Input'!$B$12)^(B46-1)</f>
        <v>2700</v>
      </c>
      <c r="E46" s="17">
        <f t="shared" si="17"/>
        <v>485099.10837179044</v>
      </c>
      <c r="F46" s="17">
        <f t="shared" si="18"/>
        <v>481124.61543353158</v>
      </c>
      <c r="G46" s="17">
        <f t="shared" si="1"/>
        <v>487098.65018384199</v>
      </c>
      <c r="H46" s="17">
        <f>0</f>
        <v>0</v>
      </c>
      <c r="I46" s="17">
        <f t="shared" si="2"/>
        <v>487098.65018384199</v>
      </c>
      <c r="J46" s="17">
        <f t="shared" si="3"/>
        <v>0</v>
      </c>
      <c r="K46" s="17">
        <f>'1 - Input'!$B$22*(H46-J46)</f>
        <v>0</v>
      </c>
      <c r="L46" s="17">
        <f t="shared" si="4"/>
        <v>0</v>
      </c>
      <c r="M46" s="17">
        <f t="shared" si="5"/>
        <v>481124.61543353158</v>
      </c>
      <c r="N46" s="17">
        <f>0</f>
        <v>0</v>
      </c>
      <c r="O46" s="17">
        <f t="shared" si="6"/>
        <v>2700</v>
      </c>
      <c r="P46" s="17">
        <f t="shared" si="7"/>
        <v>1.2264527417712334E-2</v>
      </c>
      <c r="Q46" s="17">
        <f>IF(AND(O46&gt;0,I46&gt;0),O46/(1-'1 - Input'!$B$22*P46),0)</f>
        <v>2708.6372404821377</v>
      </c>
      <c r="R46" s="17">
        <f t="shared" si="8"/>
        <v>2708.6372404821377</v>
      </c>
      <c r="S46" s="17">
        <f>'1 - Input'!$B$22*P46*R46</f>
        <v>8.6372404821377629</v>
      </c>
      <c r="T46" s="17">
        <f t="shared" si="9"/>
        <v>2700</v>
      </c>
      <c r="U46" s="17">
        <f t="shared" si="10"/>
        <v>0</v>
      </c>
      <c r="V46" s="17">
        <f t="shared" si="11"/>
        <v>0</v>
      </c>
      <c r="W46" s="17">
        <f t="shared" si="12"/>
        <v>484390.01294335985</v>
      </c>
      <c r="X46" s="17">
        <f t="shared" si="13"/>
        <v>478449.19834874995</v>
      </c>
      <c r="Y46" s="17">
        <f>IF(MOD(A46,12)=0,W46*'1 - Input'!$B$23,0)</f>
        <v>0</v>
      </c>
      <c r="Z46" s="17">
        <f t="shared" si="14"/>
        <v>484390.01294335985</v>
      </c>
      <c r="AA46" s="17">
        <f>IF(MOD(A46,12)=0,X46*(1-'1 - Input'!$B$23),X46)</f>
        <v>478449.19834874995</v>
      </c>
      <c r="AB46" s="17">
        <f t="shared" si="15"/>
        <v>2700</v>
      </c>
      <c r="AC46" s="17">
        <f t="shared" si="19"/>
        <v>8100</v>
      </c>
      <c r="AD46" s="17">
        <f t="shared" si="20"/>
        <v>0</v>
      </c>
      <c r="AE46" s="17">
        <f t="shared" si="21"/>
        <v>17.285906317565555</v>
      </c>
      <c r="AF46" s="17">
        <f t="shared" si="22"/>
        <v>0</v>
      </c>
      <c r="AG46" s="17">
        <f t="shared" si="23"/>
        <v>0</v>
      </c>
      <c r="AH46" s="17">
        <f t="shared" si="24"/>
        <v>0</v>
      </c>
      <c r="AI46" s="15">
        <f t="shared" si="16"/>
        <v>0</v>
      </c>
    </row>
    <row r="47" spans="1:35">
      <c r="A47" s="14">
        <v>4</v>
      </c>
      <c r="B47" s="15">
        <f t="shared" si="0"/>
        <v>1</v>
      </c>
      <c r="C47" s="16">
        <f>(1+INDEX('1 - Input'!$B$34:$E$63,B47,'1 - Input'!$B$16))^(1/12)-1</f>
        <v>4.1219243192651689E-3</v>
      </c>
      <c r="D47" s="17">
        <f>'1 - Input'!$B$7*(1+'1 - Input'!$B$12)^(B47-1)</f>
        <v>2700</v>
      </c>
      <c r="E47" s="17">
        <f t="shared" si="17"/>
        <v>484390.01294335985</v>
      </c>
      <c r="F47" s="17">
        <f t="shared" si="18"/>
        <v>478449.19834874995</v>
      </c>
      <c r="G47" s="17">
        <f t="shared" si="1"/>
        <v>486386.63191772025</v>
      </c>
      <c r="H47" s="17">
        <f>0</f>
        <v>0</v>
      </c>
      <c r="I47" s="17">
        <f t="shared" si="2"/>
        <v>486386.63191772025</v>
      </c>
      <c r="J47" s="17">
        <f t="shared" si="3"/>
        <v>0</v>
      </c>
      <c r="K47" s="17">
        <f>'1 - Input'!$B$22*(H47-J47)</f>
        <v>0</v>
      </c>
      <c r="L47" s="17">
        <f t="shared" si="4"/>
        <v>0</v>
      </c>
      <c r="M47" s="17">
        <f t="shared" si="5"/>
        <v>478449.19834874995</v>
      </c>
      <c r="N47" s="17">
        <f>0</f>
        <v>0</v>
      </c>
      <c r="O47" s="17">
        <f t="shared" si="6"/>
        <v>2700</v>
      </c>
      <c r="P47" s="17">
        <f t="shared" si="7"/>
        <v>1.6319185290258997E-2</v>
      </c>
      <c r="Q47" s="17">
        <f>IF(AND(O47&gt;0,I47&gt;0),O47/(1-'1 - Input'!$B$22*P47),0)</f>
        <v>2711.504883156957</v>
      </c>
      <c r="R47" s="17">
        <f t="shared" si="8"/>
        <v>2711.504883156957</v>
      </c>
      <c r="S47" s="17">
        <f>'1 - Input'!$B$22*P47*R47</f>
        <v>11.504883156956918</v>
      </c>
      <c r="T47" s="17">
        <f t="shared" si="9"/>
        <v>2700</v>
      </c>
      <c r="U47" s="17">
        <f t="shared" si="10"/>
        <v>0</v>
      </c>
      <c r="V47" s="17">
        <f t="shared" si="11"/>
        <v>0</v>
      </c>
      <c r="W47" s="17">
        <f t="shared" si="12"/>
        <v>483675.12703456328</v>
      </c>
      <c r="X47" s="17">
        <f t="shared" si="13"/>
        <v>475781.94301619666</v>
      </c>
      <c r="Y47" s="17">
        <f>IF(MOD(A47,12)=0,W47*'1 - Input'!$B$23,0)</f>
        <v>0</v>
      </c>
      <c r="Z47" s="17">
        <f t="shared" si="14"/>
        <v>483675.12703456328</v>
      </c>
      <c r="AA47" s="17">
        <f>IF(MOD(A47,12)=0,X47*(1-'1 - Input'!$B$23),X47)</f>
        <v>475781.94301619666</v>
      </c>
      <c r="AB47" s="17">
        <f t="shared" si="15"/>
        <v>2700</v>
      </c>
      <c r="AC47" s="17">
        <f t="shared" si="19"/>
        <v>10800</v>
      </c>
      <c r="AD47" s="17">
        <f t="shared" si="20"/>
        <v>0</v>
      </c>
      <c r="AE47" s="17">
        <f t="shared" si="21"/>
        <v>28.790789474522473</v>
      </c>
      <c r="AF47" s="17">
        <f t="shared" si="22"/>
        <v>0</v>
      </c>
      <c r="AG47" s="17">
        <f t="shared" si="23"/>
        <v>0</v>
      </c>
      <c r="AH47" s="17">
        <f t="shared" si="24"/>
        <v>0</v>
      </c>
      <c r="AI47" s="15">
        <f t="shared" si="16"/>
        <v>0</v>
      </c>
    </row>
    <row r="48" spans="1:35">
      <c r="A48" s="14">
        <v>5</v>
      </c>
      <c r="B48" s="15">
        <f t="shared" si="0"/>
        <v>1</v>
      </c>
      <c r="C48" s="16">
        <f>(1+INDEX('1 - Input'!$B$34:$E$63,B48,'1 - Input'!$B$16))^(1/12)-1</f>
        <v>4.1219243192651689E-3</v>
      </c>
      <c r="D48" s="17">
        <f>'1 - Input'!$B$7*(1+'1 - Input'!$B$12)^(B48-1)</f>
        <v>2700</v>
      </c>
      <c r="E48" s="17">
        <f t="shared" si="17"/>
        <v>483675.12703456328</v>
      </c>
      <c r="F48" s="17">
        <f t="shared" si="18"/>
        <v>475781.94301619666</v>
      </c>
      <c r="G48" s="17">
        <f t="shared" si="1"/>
        <v>485668.79930331069</v>
      </c>
      <c r="H48" s="17">
        <f>0</f>
        <v>0</v>
      </c>
      <c r="I48" s="17">
        <f t="shared" si="2"/>
        <v>485668.79930331069</v>
      </c>
      <c r="J48" s="17">
        <f t="shared" si="3"/>
        <v>0</v>
      </c>
      <c r="K48" s="17">
        <f>'1 - Input'!$B$22*(H48-J48)</f>
        <v>0</v>
      </c>
      <c r="L48" s="17">
        <f t="shared" si="4"/>
        <v>0</v>
      </c>
      <c r="M48" s="17">
        <f t="shared" si="5"/>
        <v>475781.94301619666</v>
      </c>
      <c r="N48" s="17">
        <f>0</f>
        <v>0</v>
      </c>
      <c r="O48" s="17">
        <f t="shared" si="6"/>
        <v>2700</v>
      </c>
      <c r="P48" s="17">
        <f t="shared" si="7"/>
        <v>2.0357198776813856E-2</v>
      </c>
      <c r="Q48" s="17">
        <f>IF(AND(O48&gt;0,I48&gt;0),O48/(1-'1 - Input'!$B$22*P48),0)</f>
        <v>2714.3667951445041</v>
      </c>
      <c r="R48" s="17">
        <f t="shared" si="8"/>
        <v>2714.3667951445041</v>
      </c>
      <c r="S48" s="17">
        <f>'1 - Input'!$B$22*P48*R48</f>
        <v>14.36679514450436</v>
      </c>
      <c r="T48" s="17">
        <f t="shared" si="9"/>
        <v>2699.9999999999995</v>
      </c>
      <c r="U48" s="17">
        <f t="shared" si="10"/>
        <v>0</v>
      </c>
      <c r="V48" s="17">
        <f t="shared" si="11"/>
        <v>0</v>
      </c>
      <c r="W48" s="17">
        <f t="shared" si="12"/>
        <v>482954.43250816618</v>
      </c>
      <c r="X48" s="17">
        <f t="shared" si="13"/>
        <v>473122.83312545408</v>
      </c>
      <c r="Y48" s="17">
        <f>IF(MOD(A48,12)=0,W48*'1 - Input'!$B$23,0)</f>
        <v>0</v>
      </c>
      <c r="Z48" s="17">
        <f t="shared" si="14"/>
        <v>482954.43250816618</v>
      </c>
      <c r="AA48" s="17">
        <f>IF(MOD(A48,12)=0,X48*(1-'1 - Input'!$B$23),X48)</f>
        <v>473122.83312545408</v>
      </c>
      <c r="AB48" s="17">
        <f t="shared" si="15"/>
        <v>2699.9999999999995</v>
      </c>
      <c r="AC48" s="17">
        <f t="shared" si="19"/>
        <v>13500</v>
      </c>
      <c r="AD48" s="17">
        <f t="shared" si="20"/>
        <v>0</v>
      </c>
      <c r="AE48" s="17">
        <f t="shared" si="21"/>
        <v>43.157584619026835</v>
      </c>
      <c r="AF48" s="17">
        <f t="shared" si="22"/>
        <v>0</v>
      </c>
      <c r="AG48" s="17">
        <f t="shared" si="23"/>
        <v>0</v>
      </c>
      <c r="AH48" s="17">
        <f t="shared" si="24"/>
        <v>0</v>
      </c>
      <c r="AI48" s="15">
        <f t="shared" si="16"/>
        <v>0</v>
      </c>
    </row>
    <row r="49" spans="1:35">
      <c r="A49" s="14">
        <v>6</v>
      </c>
      <c r="B49" s="15">
        <f t="shared" si="0"/>
        <v>1</v>
      </c>
      <c r="C49" s="16">
        <f>(1+INDEX('1 - Input'!$B$34:$E$63,B49,'1 - Input'!$B$16))^(1/12)-1</f>
        <v>4.1219243192651689E-3</v>
      </c>
      <c r="D49" s="17">
        <f>'1 - Input'!$B$7*(1+'1 - Input'!$B$12)^(B49-1)</f>
        <v>2700</v>
      </c>
      <c r="E49" s="17">
        <f t="shared" si="17"/>
        <v>482954.43250816618</v>
      </c>
      <c r="F49" s="17">
        <f t="shared" si="18"/>
        <v>473122.83312545408</v>
      </c>
      <c r="G49" s="17">
        <f t="shared" si="1"/>
        <v>484945.13412861852</v>
      </c>
      <c r="H49" s="17">
        <f>0</f>
        <v>0</v>
      </c>
      <c r="I49" s="17">
        <f t="shared" si="2"/>
        <v>484945.13412861852</v>
      </c>
      <c r="J49" s="17">
        <f t="shared" si="3"/>
        <v>0</v>
      </c>
      <c r="K49" s="17">
        <f>'1 - Input'!$B$22*(H49-J49)</f>
        <v>0</v>
      </c>
      <c r="L49" s="17">
        <f t="shared" si="4"/>
        <v>0</v>
      </c>
      <c r="M49" s="17">
        <f t="shared" si="5"/>
        <v>473122.83312545408</v>
      </c>
      <c r="N49" s="17">
        <f>0</f>
        <v>0</v>
      </c>
      <c r="O49" s="17">
        <f t="shared" si="6"/>
        <v>2700</v>
      </c>
      <c r="P49" s="17">
        <f t="shared" si="7"/>
        <v>2.437863620264491E-2</v>
      </c>
      <c r="Q49" s="17">
        <f>IF(AND(O49&gt;0,I49&gt;0),O49/(1-'1 - Input'!$B$22*P49),0)</f>
        <v>2717.2229694660618</v>
      </c>
      <c r="R49" s="17">
        <f t="shared" si="8"/>
        <v>2717.2229694660618</v>
      </c>
      <c r="S49" s="17">
        <f>'1 - Input'!$B$22*P49*R49</f>
        <v>17.222969466061745</v>
      </c>
      <c r="T49" s="17">
        <f t="shared" si="9"/>
        <v>2700</v>
      </c>
      <c r="U49" s="17">
        <f t="shared" si="10"/>
        <v>0</v>
      </c>
      <c r="V49" s="17">
        <f t="shared" si="11"/>
        <v>0</v>
      </c>
      <c r="W49" s="17">
        <f t="shared" si="12"/>
        <v>482227.91115915246</v>
      </c>
      <c r="X49" s="17">
        <f t="shared" si="13"/>
        <v>470471.85234624211</v>
      </c>
      <c r="Y49" s="17">
        <f>IF(MOD(A49,12)=0,W49*'1 - Input'!$B$23,0)</f>
        <v>0</v>
      </c>
      <c r="Z49" s="17">
        <f t="shared" si="14"/>
        <v>482227.91115915246</v>
      </c>
      <c r="AA49" s="17">
        <f>IF(MOD(A49,12)=0,X49*(1-'1 - Input'!$B$23),X49)</f>
        <v>470471.85234624211</v>
      </c>
      <c r="AB49" s="17">
        <f t="shared" si="15"/>
        <v>2700</v>
      </c>
      <c r="AC49" s="17">
        <f t="shared" si="19"/>
        <v>16200</v>
      </c>
      <c r="AD49" s="17">
        <f t="shared" si="20"/>
        <v>0</v>
      </c>
      <c r="AE49" s="17">
        <f t="shared" si="21"/>
        <v>60.380554085088576</v>
      </c>
      <c r="AF49" s="17">
        <f t="shared" si="22"/>
        <v>0</v>
      </c>
      <c r="AG49" s="17">
        <f t="shared" si="23"/>
        <v>0</v>
      </c>
      <c r="AH49" s="17">
        <f t="shared" si="24"/>
        <v>0</v>
      </c>
      <c r="AI49" s="15">
        <f t="shared" si="16"/>
        <v>0</v>
      </c>
    </row>
    <row r="50" spans="1:35">
      <c r="A50" s="14">
        <v>7</v>
      </c>
      <c r="B50" s="15">
        <f t="shared" si="0"/>
        <v>1</v>
      </c>
      <c r="C50" s="16">
        <f>(1+INDEX('1 - Input'!$B$34:$E$63,B50,'1 - Input'!$B$16))^(1/12)-1</f>
        <v>4.1219243192651689E-3</v>
      </c>
      <c r="D50" s="17">
        <f>'1 - Input'!$B$7*(1+'1 - Input'!$B$12)^(B50-1)</f>
        <v>2700</v>
      </c>
      <c r="E50" s="17">
        <f t="shared" si="17"/>
        <v>482227.91115915246</v>
      </c>
      <c r="F50" s="17">
        <f t="shared" si="18"/>
        <v>470471.85234624211</v>
      </c>
      <c r="G50" s="17">
        <f t="shared" si="1"/>
        <v>484215.61811358779</v>
      </c>
      <c r="H50" s="17">
        <f>0</f>
        <v>0</v>
      </c>
      <c r="I50" s="17">
        <f t="shared" si="2"/>
        <v>484215.61811358779</v>
      </c>
      <c r="J50" s="17">
        <f t="shared" si="3"/>
        <v>0</v>
      </c>
      <c r="K50" s="17">
        <f>'1 - Input'!$B$22*(H50-J50)</f>
        <v>0</v>
      </c>
      <c r="L50" s="17">
        <f t="shared" si="4"/>
        <v>0</v>
      </c>
      <c r="M50" s="17">
        <f t="shared" si="5"/>
        <v>470471.85234624211</v>
      </c>
      <c r="N50" s="17">
        <f>0</f>
        <v>0</v>
      </c>
      <c r="O50" s="17">
        <f t="shared" si="6"/>
        <v>2700</v>
      </c>
      <c r="P50" s="17">
        <f t="shared" si="7"/>
        <v>2.8383565612544182E-2</v>
      </c>
      <c r="Q50" s="17">
        <f>IF(AND(O50&gt;0,I50&gt;0),O50/(1-'1 - Input'!$B$22*P50),0)</f>
        <v>2720.0733992677538</v>
      </c>
      <c r="R50" s="17">
        <f t="shared" si="8"/>
        <v>2720.0733992677538</v>
      </c>
      <c r="S50" s="17">
        <f>'1 - Input'!$B$22*P50*R50</f>
        <v>20.073399267753619</v>
      </c>
      <c r="T50" s="17">
        <f t="shared" si="9"/>
        <v>2700</v>
      </c>
      <c r="U50" s="17">
        <f t="shared" si="10"/>
        <v>0</v>
      </c>
      <c r="V50" s="17">
        <f t="shared" si="11"/>
        <v>0</v>
      </c>
      <c r="W50" s="17">
        <f t="shared" si="12"/>
        <v>481495.54471432004</v>
      </c>
      <c r="X50" s="17">
        <f t="shared" si="13"/>
        <v>467828.9843287734</v>
      </c>
      <c r="Y50" s="17">
        <f>IF(MOD(A50,12)=0,W50*'1 - Input'!$B$23,0)</f>
        <v>0</v>
      </c>
      <c r="Z50" s="17">
        <f t="shared" si="14"/>
        <v>481495.54471432004</v>
      </c>
      <c r="AA50" s="17">
        <f>IF(MOD(A50,12)=0,X50*(1-'1 - Input'!$B$23),X50)</f>
        <v>467828.9843287734</v>
      </c>
      <c r="AB50" s="17">
        <f t="shared" si="15"/>
        <v>2700</v>
      </c>
      <c r="AC50" s="17">
        <f t="shared" si="19"/>
        <v>18900</v>
      </c>
      <c r="AD50" s="17">
        <f t="shared" si="20"/>
        <v>0</v>
      </c>
      <c r="AE50" s="17">
        <f t="shared" si="21"/>
        <v>80.453953352842191</v>
      </c>
      <c r="AF50" s="17">
        <f t="shared" si="22"/>
        <v>0</v>
      </c>
      <c r="AG50" s="17">
        <f t="shared" si="23"/>
        <v>0</v>
      </c>
      <c r="AH50" s="17">
        <f t="shared" si="24"/>
        <v>0</v>
      </c>
      <c r="AI50" s="15">
        <f t="shared" si="16"/>
        <v>0</v>
      </c>
    </row>
    <row r="51" spans="1:35">
      <c r="A51" s="14">
        <v>8</v>
      </c>
      <c r="B51" s="15">
        <f t="shared" si="0"/>
        <v>1</v>
      </c>
      <c r="C51" s="16">
        <f>(1+INDEX('1 - Input'!$B$34:$E$63,B51,'1 - Input'!$B$16))^(1/12)-1</f>
        <v>4.1219243192651689E-3</v>
      </c>
      <c r="D51" s="17">
        <f>'1 - Input'!$B$7*(1+'1 - Input'!$B$12)^(B51-1)</f>
        <v>2700</v>
      </c>
      <c r="E51" s="17">
        <f t="shared" si="17"/>
        <v>481495.54471432004</v>
      </c>
      <c r="F51" s="17">
        <f t="shared" si="18"/>
        <v>467828.9843287734</v>
      </c>
      <c r="G51" s="17">
        <f t="shared" si="1"/>
        <v>483480.23290969583</v>
      </c>
      <c r="H51" s="17">
        <f>0</f>
        <v>0</v>
      </c>
      <c r="I51" s="17">
        <f t="shared" si="2"/>
        <v>483480.23290969583</v>
      </c>
      <c r="J51" s="17">
        <f t="shared" si="3"/>
        <v>0</v>
      </c>
      <c r="K51" s="17">
        <f>'1 - Input'!$B$22*(H51-J51)</f>
        <v>0</v>
      </c>
      <c r="L51" s="17">
        <f t="shared" si="4"/>
        <v>0</v>
      </c>
      <c r="M51" s="17">
        <f t="shared" si="5"/>
        <v>467828.9843287734</v>
      </c>
      <c r="N51" s="17">
        <f>0</f>
        <v>0</v>
      </c>
      <c r="O51" s="17">
        <f t="shared" si="6"/>
        <v>2700</v>
      </c>
      <c r="P51" s="17">
        <f t="shared" si="7"/>
        <v>3.2372054771980241E-2</v>
      </c>
      <c r="Q51" s="17">
        <f>IF(AND(O51&gt;0,I51&gt;0),O51/(1-'1 - Input'!$B$22*P51),0)</f>
        <v>2722.9180778202513</v>
      </c>
      <c r="R51" s="17">
        <f t="shared" si="8"/>
        <v>2722.9180778202513</v>
      </c>
      <c r="S51" s="17">
        <f>'1 - Input'!$B$22*P51*R51</f>
        <v>22.918077820251206</v>
      </c>
      <c r="T51" s="17">
        <f t="shared" si="9"/>
        <v>2700</v>
      </c>
      <c r="U51" s="17">
        <f t="shared" si="10"/>
        <v>0</v>
      </c>
      <c r="V51" s="17">
        <f t="shared" si="11"/>
        <v>0</v>
      </c>
      <c r="W51" s="17">
        <f t="shared" si="12"/>
        <v>480757.31483187556</v>
      </c>
      <c r="X51" s="17">
        <f t="shared" si="13"/>
        <v>465194.21270410792</v>
      </c>
      <c r="Y51" s="17">
        <f>IF(MOD(A51,12)=0,W51*'1 - Input'!$B$23,0)</f>
        <v>0</v>
      </c>
      <c r="Z51" s="17">
        <f t="shared" si="14"/>
        <v>480757.31483187556</v>
      </c>
      <c r="AA51" s="17">
        <f>IF(MOD(A51,12)=0,X51*(1-'1 - Input'!$B$23),X51)</f>
        <v>465194.21270410792</v>
      </c>
      <c r="AB51" s="17">
        <f t="shared" si="15"/>
        <v>2700</v>
      </c>
      <c r="AC51" s="17">
        <f t="shared" si="19"/>
        <v>21600</v>
      </c>
      <c r="AD51" s="17">
        <f t="shared" si="20"/>
        <v>0</v>
      </c>
      <c r="AE51" s="17">
        <f t="shared" si="21"/>
        <v>103.3720311730934</v>
      </c>
      <c r="AF51" s="17">
        <f t="shared" si="22"/>
        <v>0</v>
      </c>
      <c r="AG51" s="17">
        <f t="shared" si="23"/>
        <v>0</v>
      </c>
      <c r="AH51" s="17">
        <f t="shared" si="24"/>
        <v>0</v>
      </c>
      <c r="AI51" s="15">
        <f t="shared" si="16"/>
        <v>0</v>
      </c>
    </row>
    <row r="52" spans="1:35">
      <c r="A52" s="14">
        <v>9</v>
      </c>
      <c r="B52" s="15">
        <f t="shared" si="0"/>
        <v>1</v>
      </c>
      <c r="C52" s="16">
        <f>(1+INDEX('1 - Input'!$B$34:$E$63,B52,'1 - Input'!$B$16))^(1/12)-1</f>
        <v>4.1219243192651689E-3</v>
      </c>
      <c r="D52" s="17">
        <f>'1 - Input'!$B$7*(1+'1 - Input'!$B$12)^(B52-1)</f>
        <v>2700</v>
      </c>
      <c r="E52" s="17">
        <f t="shared" si="17"/>
        <v>480757.31483187556</v>
      </c>
      <c r="F52" s="17">
        <f t="shared" si="18"/>
        <v>465194.21270410792</v>
      </c>
      <c r="G52" s="17">
        <f t="shared" si="1"/>
        <v>482738.96009954566</v>
      </c>
      <c r="H52" s="17">
        <f>0</f>
        <v>0</v>
      </c>
      <c r="I52" s="17">
        <f t="shared" si="2"/>
        <v>482738.96009954566</v>
      </c>
      <c r="J52" s="17">
        <f t="shared" si="3"/>
        <v>0</v>
      </c>
      <c r="K52" s="17">
        <f>'1 - Input'!$B$22*(H52-J52)</f>
        <v>0</v>
      </c>
      <c r="L52" s="17">
        <f t="shared" si="4"/>
        <v>0</v>
      </c>
      <c r="M52" s="17">
        <f t="shared" si="5"/>
        <v>465194.21270410792</v>
      </c>
      <c r="N52" s="17">
        <f>0</f>
        <v>0</v>
      </c>
      <c r="O52" s="17">
        <f t="shared" si="6"/>
        <v>2700</v>
      </c>
      <c r="P52" s="17">
        <f t="shared" si="7"/>
        <v>3.63441711682434E-2</v>
      </c>
      <c r="Q52" s="17">
        <f>IF(AND(O52&gt;0,I52&gt;0),O52/(1-'1 - Input'!$B$22*P52),0)</f>
        <v>2725.75699851847</v>
      </c>
      <c r="R52" s="17">
        <f t="shared" si="8"/>
        <v>2725.75699851847</v>
      </c>
      <c r="S52" s="17">
        <f>'1 - Input'!$B$22*P52*R52</f>
        <v>25.756998518470088</v>
      </c>
      <c r="T52" s="17">
        <f t="shared" si="9"/>
        <v>2700</v>
      </c>
      <c r="U52" s="17">
        <f t="shared" si="10"/>
        <v>0</v>
      </c>
      <c r="V52" s="17">
        <f t="shared" si="11"/>
        <v>0</v>
      </c>
      <c r="W52" s="17">
        <f t="shared" si="12"/>
        <v>480013.20310102717</v>
      </c>
      <c r="X52" s="17">
        <f t="shared" si="13"/>
        <v>462567.52108450665</v>
      </c>
      <c r="Y52" s="17">
        <f>IF(MOD(A52,12)=0,W52*'1 - Input'!$B$23,0)</f>
        <v>0</v>
      </c>
      <c r="Z52" s="17">
        <f t="shared" si="14"/>
        <v>480013.20310102717</v>
      </c>
      <c r="AA52" s="17">
        <f>IF(MOD(A52,12)=0,X52*(1-'1 - Input'!$B$23),X52)</f>
        <v>462567.52108450665</v>
      </c>
      <c r="AB52" s="17">
        <f t="shared" si="15"/>
        <v>2700</v>
      </c>
      <c r="AC52" s="17">
        <f t="shared" si="19"/>
        <v>24300</v>
      </c>
      <c r="AD52" s="17">
        <f t="shared" si="20"/>
        <v>0</v>
      </c>
      <c r="AE52" s="17">
        <f t="shared" si="21"/>
        <v>129.12902969156349</v>
      </c>
      <c r="AF52" s="17">
        <f t="shared" si="22"/>
        <v>0</v>
      </c>
      <c r="AG52" s="17">
        <f t="shared" si="23"/>
        <v>0</v>
      </c>
      <c r="AH52" s="17">
        <f t="shared" si="24"/>
        <v>0</v>
      </c>
      <c r="AI52" s="15">
        <f t="shared" si="16"/>
        <v>0</v>
      </c>
    </row>
    <row r="53" spans="1:35">
      <c r="A53" s="14">
        <v>10</v>
      </c>
      <c r="B53" s="15">
        <f t="shared" si="0"/>
        <v>1</v>
      </c>
      <c r="C53" s="16">
        <f>(1+INDEX('1 - Input'!$B$34:$E$63,B53,'1 - Input'!$B$16))^(1/12)-1</f>
        <v>4.1219243192651689E-3</v>
      </c>
      <c r="D53" s="17">
        <f>'1 - Input'!$B$7*(1+'1 - Input'!$B$12)^(B53-1)</f>
        <v>2700</v>
      </c>
      <c r="E53" s="17">
        <f t="shared" si="17"/>
        <v>480013.20310102717</v>
      </c>
      <c r="F53" s="17">
        <f t="shared" si="18"/>
        <v>462567.52108450665</v>
      </c>
      <c r="G53" s="17">
        <f t="shared" si="1"/>
        <v>481991.78119645768</v>
      </c>
      <c r="H53" s="17">
        <f>0</f>
        <v>0</v>
      </c>
      <c r="I53" s="17">
        <f t="shared" si="2"/>
        <v>481991.78119645768</v>
      </c>
      <c r="J53" s="17">
        <f t="shared" si="3"/>
        <v>0</v>
      </c>
      <c r="K53" s="17">
        <f>'1 - Input'!$B$22*(H53-J53)</f>
        <v>0</v>
      </c>
      <c r="L53" s="17">
        <f t="shared" si="4"/>
        <v>0</v>
      </c>
      <c r="M53" s="17">
        <f t="shared" si="5"/>
        <v>462567.52108450665</v>
      </c>
      <c r="N53" s="17">
        <f>0</f>
        <v>0</v>
      </c>
      <c r="O53" s="17">
        <f t="shared" si="6"/>
        <v>2700</v>
      </c>
      <c r="P53" s="17">
        <f t="shared" si="7"/>
        <v>4.0299982011589131E-2</v>
      </c>
      <c r="Q53" s="17">
        <f>IF(AND(O53&gt;0,I53&gt;0),O53/(1-'1 - Input'!$B$22*P53),0)</f>
        <v>2728.5901548812658</v>
      </c>
      <c r="R53" s="17">
        <f t="shared" si="8"/>
        <v>2728.5901548812658</v>
      </c>
      <c r="S53" s="17">
        <f>'1 - Input'!$B$22*P53*R53</f>
        <v>28.590154881265693</v>
      </c>
      <c r="T53" s="17">
        <f t="shared" si="9"/>
        <v>2700</v>
      </c>
      <c r="U53" s="17">
        <f t="shared" si="10"/>
        <v>0</v>
      </c>
      <c r="V53" s="17">
        <f t="shared" si="11"/>
        <v>0</v>
      </c>
      <c r="W53" s="17">
        <f t="shared" si="12"/>
        <v>479263.19104157644</v>
      </c>
      <c r="X53" s="17">
        <f t="shared" si="13"/>
        <v>459948.89306378411</v>
      </c>
      <c r="Y53" s="17">
        <f>IF(MOD(A53,12)=0,W53*'1 - Input'!$B$23,0)</f>
        <v>0</v>
      </c>
      <c r="Z53" s="17">
        <f t="shared" si="14"/>
        <v>479263.19104157644</v>
      </c>
      <c r="AA53" s="17">
        <f>IF(MOD(A53,12)=0,X53*(1-'1 - Input'!$B$23),X53)</f>
        <v>459948.89306378411</v>
      </c>
      <c r="AB53" s="17">
        <f t="shared" si="15"/>
        <v>2700</v>
      </c>
      <c r="AC53" s="17">
        <f t="shared" si="19"/>
        <v>27000</v>
      </c>
      <c r="AD53" s="17">
        <f t="shared" si="20"/>
        <v>0</v>
      </c>
      <c r="AE53" s="17">
        <f t="shared" si="21"/>
        <v>157.71918457282919</v>
      </c>
      <c r="AF53" s="17">
        <f t="shared" si="22"/>
        <v>0</v>
      </c>
      <c r="AG53" s="17">
        <f t="shared" si="23"/>
        <v>0</v>
      </c>
      <c r="AH53" s="17">
        <f t="shared" si="24"/>
        <v>0</v>
      </c>
      <c r="AI53" s="15">
        <f t="shared" si="16"/>
        <v>0</v>
      </c>
    </row>
    <row r="54" spans="1:35">
      <c r="A54" s="14">
        <v>11</v>
      </c>
      <c r="B54" s="15">
        <f t="shared" si="0"/>
        <v>1</v>
      </c>
      <c r="C54" s="16">
        <f>(1+INDEX('1 - Input'!$B$34:$E$63,B54,'1 - Input'!$B$16))^(1/12)-1</f>
        <v>4.1219243192651689E-3</v>
      </c>
      <c r="D54" s="17">
        <f>'1 - Input'!$B$7*(1+'1 - Input'!$B$12)^(B54-1)</f>
        <v>2700</v>
      </c>
      <c r="E54" s="17">
        <f t="shared" si="17"/>
        <v>479263.19104157644</v>
      </c>
      <c r="F54" s="17">
        <f t="shared" si="18"/>
        <v>459948.89306378411</v>
      </c>
      <c r="G54" s="17">
        <f t="shared" si="1"/>
        <v>481238.67764405935</v>
      </c>
      <c r="H54" s="17">
        <f>0</f>
        <v>0</v>
      </c>
      <c r="I54" s="17">
        <f t="shared" si="2"/>
        <v>481238.67764405935</v>
      </c>
      <c r="J54" s="17">
        <f t="shared" si="3"/>
        <v>0</v>
      </c>
      <c r="K54" s="17">
        <f>'1 - Input'!$B$22*(H54-J54)</f>
        <v>0</v>
      </c>
      <c r="L54" s="17">
        <f t="shared" si="4"/>
        <v>0</v>
      </c>
      <c r="M54" s="17">
        <f t="shared" si="5"/>
        <v>459948.89306378411</v>
      </c>
      <c r="N54" s="17">
        <f>0</f>
        <v>0</v>
      </c>
      <c r="O54" s="17">
        <f t="shared" si="6"/>
        <v>2700</v>
      </c>
      <c r="P54" s="17">
        <f t="shared" si="7"/>
        <v>4.4239554236373935E-2</v>
      </c>
      <c r="Q54" s="17">
        <f>IF(AND(O54&gt;0,I54&gt;0),O54/(1-'1 - Input'!$B$22*P54),0)</f>
        <v>2731.4175405511228</v>
      </c>
      <c r="R54" s="17">
        <f t="shared" si="8"/>
        <v>2731.4175405511228</v>
      </c>
      <c r="S54" s="17">
        <f>'1 - Input'!$B$22*P54*R54</f>
        <v>31.417540551122567</v>
      </c>
      <c r="T54" s="17">
        <f t="shared" si="9"/>
        <v>2700</v>
      </c>
      <c r="U54" s="17">
        <f t="shared" si="10"/>
        <v>0</v>
      </c>
      <c r="V54" s="17">
        <f t="shared" si="11"/>
        <v>0</v>
      </c>
      <c r="W54" s="17">
        <f t="shared" si="12"/>
        <v>478507.26010350825</v>
      </c>
      <c r="X54" s="17">
        <f t="shared" si="13"/>
        <v>457338.31221766036</v>
      </c>
      <c r="Y54" s="17">
        <f>IF(MOD(A54,12)=0,W54*'1 - Input'!$B$23,0)</f>
        <v>0</v>
      </c>
      <c r="Z54" s="17">
        <f t="shared" si="14"/>
        <v>478507.26010350825</v>
      </c>
      <c r="AA54" s="17">
        <f>IF(MOD(A54,12)=0,X54*(1-'1 - Input'!$B$23),X54)</f>
        <v>457338.31221766036</v>
      </c>
      <c r="AB54" s="17">
        <f t="shared" si="15"/>
        <v>2700</v>
      </c>
      <c r="AC54" s="17">
        <f t="shared" si="19"/>
        <v>29700</v>
      </c>
      <c r="AD54" s="17">
        <f t="shared" si="20"/>
        <v>0</v>
      </c>
      <c r="AE54" s="17">
        <f t="shared" si="21"/>
        <v>189.13672512395175</v>
      </c>
      <c r="AF54" s="17">
        <f t="shared" si="22"/>
        <v>0</v>
      </c>
      <c r="AG54" s="17">
        <f t="shared" si="23"/>
        <v>0</v>
      </c>
      <c r="AH54" s="17">
        <f t="shared" si="24"/>
        <v>0</v>
      </c>
      <c r="AI54" s="15">
        <f t="shared" si="16"/>
        <v>0</v>
      </c>
    </row>
    <row r="55" spans="1:35">
      <c r="A55" s="14">
        <v>12</v>
      </c>
      <c r="B55" s="15">
        <f t="shared" si="0"/>
        <v>1</v>
      </c>
      <c r="C55" s="16">
        <f>(1+INDEX('1 - Input'!$B$34:$E$63,B55,'1 - Input'!$B$16))^(1/12)-1</f>
        <v>4.1219243192651689E-3</v>
      </c>
      <c r="D55" s="17">
        <f>'1 - Input'!$B$7*(1+'1 - Input'!$B$12)^(B55-1)</f>
        <v>2700</v>
      </c>
      <c r="E55" s="17">
        <f t="shared" si="17"/>
        <v>478507.26010350825</v>
      </c>
      <c r="F55" s="17">
        <f t="shared" si="18"/>
        <v>457338.31221766036</v>
      </c>
      <c r="G55" s="17">
        <f t="shared" si="1"/>
        <v>480479.63081587385</v>
      </c>
      <c r="H55" s="17">
        <f>0</f>
        <v>0</v>
      </c>
      <c r="I55" s="17">
        <f t="shared" si="2"/>
        <v>480479.63081587385</v>
      </c>
      <c r="J55" s="17">
        <f t="shared" si="3"/>
        <v>0</v>
      </c>
      <c r="K55" s="17">
        <f>'1 - Input'!$B$22*(H55-J55)</f>
        <v>0</v>
      </c>
      <c r="L55" s="17">
        <f t="shared" si="4"/>
        <v>0</v>
      </c>
      <c r="M55" s="17">
        <f t="shared" si="5"/>
        <v>457338.31221766036</v>
      </c>
      <c r="N55" s="17">
        <f>0</f>
        <v>0</v>
      </c>
      <c r="O55" s="17">
        <f t="shared" si="6"/>
        <v>2700</v>
      </c>
      <c r="P55" s="17">
        <f t="shared" si="7"/>
        <v>4.8162954502188993E-2</v>
      </c>
      <c r="Q55" s="17">
        <f>IF(AND(O55&gt;0,I55&gt;0),O55/(1-'1 - Input'!$B$22*P55),0)</f>
        <v>2734.2391492938414</v>
      </c>
      <c r="R55" s="17">
        <f t="shared" si="8"/>
        <v>2734.2391492938414</v>
      </c>
      <c r="S55" s="17">
        <f>'1 - Input'!$B$22*P55*R55</f>
        <v>34.239149293841237</v>
      </c>
      <c r="T55" s="17">
        <f t="shared" si="9"/>
        <v>2700</v>
      </c>
      <c r="U55" s="17">
        <f t="shared" si="10"/>
        <v>0</v>
      </c>
      <c r="V55" s="17">
        <f t="shared" si="11"/>
        <v>0</v>
      </c>
      <c r="W55" s="17">
        <f t="shared" si="12"/>
        <v>477745.39166657999</v>
      </c>
      <c r="X55" s="17">
        <f t="shared" si="13"/>
        <v>454735.76210411207</v>
      </c>
      <c r="Y55" s="17">
        <f>IF(MOD(A55,12)=0,W55*'1 - Input'!$B$23,0)</f>
        <v>955.49078333316004</v>
      </c>
      <c r="Z55" s="17">
        <f t="shared" si="14"/>
        <v>476789.90088324685</v>
      </c>
      <c r="AA55" s="17">
        <f>IF(MOD(A55,12)=0,X55*(1-'1 - Input'!$B$23),X55)</f>
        <v>453826.29057990387</v>
      </c>
      <c r="AB55" s="17">
        <f t="shared" si="15"/>
        <v>2700</v>
      </c>
      <c r="AC55" s="17">
        <f t="shared" si="19"/>
        <v>32400</v>
      </c>
      <c r="AD55" s="17">
        <f t="shared" si="20"/>
        <v>0</v>
      </c>
      <c r="AE55" s="17">
        <f t="shared" si="21"/>
        <v>223.375874417793</v>
      </c>
      <c r="AF55" s="17">
        <f t="shared" si="22"/>
        <v>0</v>
      </c>
      <c r="AG55" s="17">
        <f t="shared" si="23"/>
        <v>955.49078333316004</v>
      </c>
      <c r="AH55" s="17">
        <f t="shared" si="24"/>
        <v>0</v>
      </c>
      <c r="AI55" s="15">
        <f t="shared" si="16"/>
        <v>0</v>
      </c>
    </row>
    <row r="56" spans="1:35">
      <c r="A56" s="14">
        <v>13</v>
      </c>
      <c r="B56" s="15">
        <f t="shared" si="0"/>
        <v>2</v>
      </c>
      <c r="C56" s="16">
        <f>(1+INDEX('1 - Input'!$B$34:$E$63,B56,'1 - Input'!$B$16))^(1/12)-1</f>
        <v>4.1219243192651689E-3</v>
      </c>
      <c r="D56" s="17">
        <f>'1 - Input'!$B$7*(1+'1 - Input'!$B$12)^(B56-1)</f>
        <v>2754</v>
      </c>
      <c r="E56" s="17">
        <f t="shared" si="17"/>
        <v>476789.90088324685</v>
      </c>
      <c r="F56" s="17">
        <f t="shared" si="18"/>
        <v>453826.29057990387</v>
      </c>
      <c r="G56" s="17">
        <f t="shared" si="1"/>
        <v>478755.19277087756</v>
      </c>
      <c r="H56" s="17">
        <f>0</f>
        <v>0</v>
      </c>
      <c r="I56" s="17">
        <f t="shared" si="2"/>
        <v>478755.19277087756</v>
      </c>
      <c r="J56" s="17">
        <f t="shared" si="3"/>
        <v>0</v>
      </c>
      <c r="K56" s="17">
        <f>'1 - Input'!$B$22*(H56-J56)</f>
        <v>0</v>
      </c>
      <c r="L56" s="17">
        <f t="shared" si="4"/>
        <v>0</v>
      </c>
      <c r="M56" s="17">
        <f t="shared" si="5"/>
        <v>453826.29057990387</v>
      </c>
      <c r="N56" s="17">
        <f>0</f>
        <v>0</v>
      </c>
      <c r="O56" s="17">
        <f t="shared" si="6"/>
        <v>2754</v>
      </c>
      <c r="P56" s="17">
        <f t="shared" si="7"/>
        <v>5.207024919498715E-2</v>
      </c>
      <c r="Q56" s="17">
        <f>IF(AND(O56&gt;0,I56&gt;0),O56/(1-'1 - Input'!$B$22*P56),0)</f>
        <v>2791.7960744981838</v>
      </c>
      <c r="R56" s="17">
        <f t="shared" si="8"/>
        <v>2791.7960744981838</v>
      </c>
      <c r="S56" s="17">
        <f>'1 - Input'!$B$22*P56*R56</f>
        <v>37.796074498183913</v>
      </c>
      <c r="T56" s="17">
        <f t="shared" si="9"/>
        <v>2754</v>
      </c>
      <c r="U56" s="17">
        <f t="shared" si="10"/>
        <v>0</v>
      </c>
      <c r="V56" s="17">
        <f t="shared" si="11"/>
        <v>0</v>
      </c>
      <c r="W56" s="17">
        <f t="shared" si="12"/>
        <v>475963.39669637935</v>
      </c>
      <c r="X56" s="17">
        <f t="shared" si="13"/>
        <v>451179.8640227064</v>
      </c>
      <c r="Y56" s="17">
        <f>IF(MOD(A56,12)=0,W56*'1 - Input'!$B$23,0)</f>
        <v>0</v>
      </c>
      <c r="Z56" s="17">
        <f t="shared" si="14"/>
        <v>475963.39669637935</v>
      </c>
      <c r="AA56" s="17">
        <f>IF(MOD(A56,12)=0,X56*(1-'1 - Input'!$B$23),X56)</f>
        <v>451179.8640227064</v>
      </c>
      <c r="AB56" s="17">
        <f t="shared" si="15"/>
        <v>2754</v>
      </c>
      <c r="AC56" s="17">
        <f t="shared" si="19"/>
        <v>35154</v>
      </c>
      <c r="AD56" s="17">
        <f t="shared" si="20"/>
        <v>0</v>
      </c>
      <c r="AE56" s="17">
        <f t="shared" si="21"/>
        <v>261.17194891597694</v>
      </c>
      <c r="AF56" s="17">
        <f t="shared" si="22"/>
        <v>0</v>
      </c>
      <c r="AG56" s="17">
        <f t="shared" si="23"/>
        <v>955.49078333316004</v>
      </c>
      <c r="AH56" s="17">
        <f t="shared" si="24"/>
        <v>0</v>
      </c>
      <c r="AI56" s="15">
        <f t="shared" si="16"/>
        <v>0</v>
      </c>
    </row>
    <row r="57" spans="1:35">
      <c r="A57" s="14">
        <v>14</v>
      </c>
      <c r="B57" s="15">
        <f t="shared" si="0"/>
        <v>2</v>
      </c>
      <c r="C57" s="16">
        <f>(1+INDEX('1 - Input'!$B$34:$E$63,B57,'1 - Input'!$B$16))^(1/12)-1</f>
        <v>4.1219243192651689E-3</v>
      </c>
      <c r="D57" s="17">
        <f>'1 - Input'!$B$7*(1+'1 - Input'!$B$12)^(B57-1)</f>
        <v>2754</v>
      </c>
      <c r="E57" s="17">
        <f t="shared" si="17"/>
        <v>475963.39669637935</v>
      </c>
      <c r="F57" s="17">
        <f t="shared" si="18"/>
        <v>451179.8640227064</v>
      </c>
      <c r="G57" s="17">
        <f t="shared" si="1"/>
        <v>477925.28179630224</v>
      </c>
      <c r="H57" s="17">
        <f>0</f>
        <v>0</v>
      </c>
      <c r="I57" s="17">
        <f t="shared" si="2"/>
        <v>477925.28179630224</v>
      </c>
      <c r="J57" s="17">
        <f t="shared" si="3"/>
        <v>0</v>
      </c>
      <c r="K57" s="17">
        <f>'1 - Input'!$B$22*(H57-J57)</f>
        <v>0</v>
      </c>
      <c r="L57" s="17">
        <f t="shared" si="4"/>
        <v>0</v>
      </c>
      <c r="M57" s="17">
        <f t="shared" si="5"/>
        <v>451179.8640227064</v>
      </c>
      <c r="N57" s="17">
        <f>0</f>
        <v>0</v>
      </c>
      <c r="O57" s="17">
        <f t="shared" si="6"/>
        <v>2754</v>
      </c>
      <c r="P57" s="17">
        <f t="shared" si="7"/>
        <v>5.5961504428207021E-2</v>
      </c>
      <c r="Q57" s="17">
        <f>IF(AND(O57&gt;0,I57&gt;0),O57/(1-'1 - Input'!$B$22*P57),0)</f>
        <v>2794.6623119092455</v>
      </c>
      <c r="R57" s="17">
        <f t="shared" si="8"/>
        <v>2794.6623119092455</v>
      </c>
      <c r="S57" s="17">
        <f>'1 - Input'!$B$22*P57*R57</f>
        <v>40.662311909245652</v>
      </c>
      <c r="T57" s="17">
        <f t="shared" si="9"/>
        <v>2754</v>
      </c>
      <c r="U57" s="17">
        <f t="shared" si="10"/>
        <v>0</v>
      </c>
      <c r="V57" s="17">
        <f t="shared" si="11"/>
        <v>0</v>
      </c>
      <c r="W57" s="17">
        <f t="shared" si="12"/>
        <v>475130.61948439298</v>
      </c>
      <c r="X57" s="17">
        <f t="shared" si="13"/>
        <v>448541.59521814046</v>
      </c>
      <c r="Y57" s="17">
        <f>IF(MOD(A57,12)=0,W57*'1 - Input'!$B$23,0)</f>
        <v>0</v>
      </c>
      <c r="Z57" s="17">
        <f t="shared" si="14"/>
        <v>475130.61948439298</v>
      </c>
      <c r="AA57" s="17">
        <f>IF(MOD(A57,12)=0,X57*(1-'1 - Input'!$B$23),X57)</f>
        <v>448541.59521814046</v>
      </c>
      <c r="AB57" s="17">
        <f t="shared" si="15"/>
        <v>2754</v>
      </c>
      <c r="AC57" s="17">
        <f t="shared" si="19"/>
        <v>37908</v>
      </c>
      <c r="AD57" s="17">
        <f t="shared" si="20"/>
        <v>0</v>
      </c>
      <c r="AE57" s="17">
        <f t="shared" si="21"/>
        <v>301.8342608252226</v>
      </c>
      <c r="AF57" s="17">
        <f t="shared" si="22"/>
        <v>0</v>
      </c>
      <c r="AG57" s="17">
        <f t="shared" si="23"/>
        <v>955.49078333316004</v>
      </c>
      <c r="AH57" s="17">
        <f t="shared" si="24"/>
        <v>0</v>
      </c>
      <c r="AI57" s="15">
        <f t="shared" si="16"/>
        <v>0</v>
      </c>
    </row>
    <row r="58" spans="1:35">
      <c r="A58" s="14">
        <v>15</v>
      </c>
      <c r="B58" s="15">
        <f t="shared" si="0"/>
        <v>2</v>
      </c>
      <c r="C58" s="16">
        <f>(1+INDEX('1 - Input'!$B$34:$E$63,B58,'1 - Input'!$B$16))^(1/12)-1</f>
        <v>4.1219243192651689E-3</v>
      </c>
      <c r="D58" s="17">
        <f>'1 - Input'!$B$7*(1+'1 - Input'!$B$12)^(B58-1)</f>
        <v>2754</v>
      </c>
      <c r="E58" s="17">
        <f t="shared" si="17"/>
        <v>475130.61948439298</v>
      </c>
      <c r="F58" s="17">
        <f t="shared" si="18"/>
        <v>448541.59521814046</v>
      </c>
      <c r="G58" s="17">
        <f t="shared" si="1"/>
        <v>477089.07193967322</v>
      </c>
      <c r="H58" s="17">
        <f>0</f>
        <v>0</v>
      </c>
      <c r="I58" s="17">
        <f t="shared" si="2"/>
        <v>477089.07193967322</v>
      </c>
      <c r="J58" s="17">
        <f t="shared" si="3"/>
        <v>0</v>
      </c>
      <c r="K58" s="17">
        <f>'1 - Input'!$B$22*(H58-J58)</f>
        <v>0</v>
      </c>
      <c r="L58" s="17">
        <f t="shared" si="4"/>
        <v>0</v>
      </c>
      <c r="M58" s="17">
        <f t="shared" si="5"/>
        <v>448541.59521814046</v>
      </c>
      <c r="N58" s="17">
        <f>0</f>
        <v>0</v>
      </c>
      <c r="O58" s="17">
        <f t="shared" si="6"/>
        <v>2754</v>
      </c>
      <c r="P58" s="17">
        <f t="shared" si="7"/>
        <v>5.9836786043890977E-2</v>
      </c>
      <c r="Q58" s="17">
        <f>IF(AND(O58&gt;0,I58&gt;0),O58/(1-'1 - Input'!$B$22*P58),0)</f>
        <v>2797.5226385294027</v>
      </c>
      <c r="R58" s="17">
        <f t="shared" si="8"/>
        <v>2797.5226385294027</v>
      </c>
      <c r="S58" s="17">
        <f>'1 - Input'!$B$22*P58*R58</f>
        <v>43.522638529402556</v>
      </c>
      <c r="T58" s="17">
        <f t="shared" si="9"/>
        <v>2754</v>
      </c>
      <c r="U58" s="17">
        <f t="shared" si="10"/>
        <v>0</v>
      </c>
      <c r="V58" s="17">
        <f t="shared" si="11"/>
        <v>0</v>
      </c>
      <c r="W58" s="17">
        <f t="shared" si="12"/>
        <v>474291.54930114379</v>
      </c>
      <c r="X58" s="17">
        <f t="shared" si="13"/>
        <v>445911.46734318568</v>
      </c>
      <c r="Y58" s="17">
        <f>IF(MOD(A58,12)=0,W58*'1 - Input'!$B$23,0)</f>
        <v>0</v>
      </c>
      <c r="Z58" s="17">
        <f t="shared" si="14"/>
        <v>474291.54930114379</v>
      </c>
      <c r="AA58" s="17">
        <f>IF(MOD(A58,12)=0,X58*(1-'1 - Input'!$B$23),X58)</f>
        <v>445911.46734318568</v>
      </c>
      <c r="AB58" s="17">
        <f t="shared" si="15"/>
        <v>2754</v>
      </c>
      <c r="AC58" s="17">
        <f t="shared" si="19"/>
        <v>40662</v>
      </c>
      <c r="AD58" s="17">
        <f t="shared" si="20"/>
        <v>0</v>
      </c>
      <c r="AE58" s="17">
        <f t="shared" si="21"/>
        <v>345.35689935462517</v>
      </c>
      <c r="AF58" s="17">
        <f t="shared" si="22"/>
        <v>0</v>
      </c>
      <c r="AG58" s="17">
        <f t="shared" si="23"/>
        <v>955.49078333316004</v>
      </c>
      <c r="AH58" s="17">
        <f t="shared" si="24"/>
        <v>0</v>
      </c>
      <c r="AI58" s="15">
        <f t="shared" si="16"/>
        <v>0</v>
      </c>
    </row>
    <row r="59" spans="1:35">
      <c r="A59" s="14">
        <v>16</v>
      </c>
      <c r="B59" s="15">
        <f t="shared" si="0"/>
        <v>2</v>
      </c>
      <c r="C59" s="16">
        <f>(1+INDEX('1 - Input'!$B$34:$E$63,B59,'1 - Input'!$B$16))^(1/12)-1</f>
        <v>4.1219243192651689E-3</v>
      </c>
      <c r="D59" s="17">
        <f>'1 - Input'!$B$7*(1+'1 - Input'!$B$12)^(B59-1)</f>
        <v>2754</v>
      </c>
      <c r="E59" s="17">
        <f t="shared" si="17"/>
        <v>474291.54930114379</v>
      </c>
      <c r="F59" s="17">
        <f t="shared" si="18"/>
        <v>445911.46734318568</v>
      </c>
      <c r="G59" s="17">
        <f t="shared" si="1"/>
        <v>476246.54317263013</v>
      </c>
      <c r="H59" s="17">
        <f>0</f>
        <v>0</v>
      </c>
      <c r="I59" s="17">
        <f t="shared" si="2"/>
        <v>476246.54317263013</v>
      </c>
      <c r="J59" s="17">
        <f t="shared" si="3"/>
        <v>0</v>
      </c>
      <c r="K59" s="17">
        <f>'1 - Input'!$B$22*(H59-J59)</f>
        <v>0</v>
      </c>
      <c r="L59" s="17">
        <f t="shared" si="4"/>
        <v>0</v>
      </c>
      <c r="M59" s="17">
        <f t="shared" si="5"/>
        <v>445911.46734318568</v>
      </c>
      <c r="N59" s="17">
        <f>0</f>
        <v>0</v>
      </c>
      <c r="O59" s="17">
        <f t="shared" si="6"/>
        <v>2754</v>
      </c>
      <c r="P59" s="17">
        <f t="shared" si="7"/>
        <v>6.3696159613800263E-2</v>
      </c>
      <c r="Q59" s="17">
        <f>IF(AND(O59&gt;0,I59&gt;0),O59/(1-'1 - Input'!$B$22*P59),0)</f>
        <v>2800.3770484996139</v>
      </c>
      <c r="R59" s="17">
        <f t="shared" si="8"/>
        <v>2800.3770484996139</v>
      </c>
      <c r="S59" s="17">
        <f>'1 - Input'!$B$22*P59*R59</f>
        <v>46.377048499614112</v>
      </c>
      <c r="T59" s="17">
        <f t="shared" si="9"/>
        <v>2754</v>
      </c>
      <c r="U59" s="17">
        <f t="shared" si="10"/>
        <v>0</v>
      </c>
      <c r="V59" s="17">
        <f t="shared" si="11"/>
        <v>0</v>
      </c>
      <c r="W59" s="17">
        <f t="shared" si="12"/>
        <v>473446.16612413054</v>
      </c>
      <c r="X59" s="17">
        <f t="shared" si="13"/>
        <v>443289.46355814609</v>
      </c>
      <c r="Y59" s="17">
        <f>IF(MOD(A59,12)=0,W59*'1 - Input'!$B$23,0)</f>
        <v>0</v>
      </c>
      <c r="Z59" s="17">
        <f t="shared" si="14"/>
        <v>473446.16612413054</v>
      </c>
      <c r="AA59" s="17">
        <f>IF(MOD(A59,12)=0,X59*(1-'1 - Input'!$B$23),X59)</f>
        <v>443289.46355814609</v>
      </c>
      <c r="AB59" s="17">
        <f t="shared" si="15"/>
        <v>2754</v>
      </c>
      <c r="AC59" s="17">
        <f t="shared" si="19"/>
        <v>43416</v>
      </c>
      <c r="AD59" s="17">
        <f t="shared" si="20"/>
        <v>0</v>
      </c>
      <c r="AE59" s="17">
        <f t="shared" si="21"/>
        <v>391.73394785423926</v>
      </c>
      <c r="AF59" s="17">
        <f t="shared" si="22"/>
        <v>0</v>
      </c>
      <c r="AG59" s="17">
        <f t="shared" si="23"/>
        <v>955.49078333316004</v>
      </c>
      <c r="AH59" s="17">
        <f t="shared" si="24"/>
        <v>0</v>
      </c>
      <c r="AI59" s="15">
        <f t="shared" si="16"/>
        <v>0</v>
      </c>
    </row>
    <row r="60" spans="1:35">
      <c r="A60" s="14">
        <v>17</v>
      </c>
      <c r="B60" s="15">
        <f t="shared" si="0"/>
        <v>2</v>
      </c>
      <c r="C60" s="16">
        <f>(1+INDEX('1 - Input'!$B$34:$E$63,B60,'1 - Input'!$B$16))^(1/12)-1</f>
        <v>4.1219243192651689E-3</v>
      </c>
      <c r="D60" s="17">
        <f>'1 - Input'!$B$7*(1+'1 - Input'!$B$12)^(B60-1)</f>
        <v>2754</v>
      </c>
      <c r="E60" s="17">
        <f t="shared" si="17"/>
        <v>473446.16612413054</v>
      </c>
      <c r="F60" s="17">
        <f t="shared" si="18"/>
        <v>443289.46355814609</v>
      </c>
      <c r="G60" s="17">
        <f t="shared" si="1"/>
        <v>475397.67539014044</v>
      </c>
      <c r="H60" s="17">
        <f>0</f>
        <v>0</v>
      </c>
      <c r="I60" s="17">
        <f t="shared" si="2"/>
        <v>475397.67539014044</v>
      </c>
      <c r="J60" s="17">
        <f t="shared" si="3"/>
        <v>0</v>
      </c>
      <c r="K60" s="17">
        <f>'1 - Input'!$B$22*(H60-J60)</f>
        <v>0</v>
      </c>
      <c r="L60" s="17">
        <f t="shared" si="4"/>
        <v>0</v>
      </c>
      <c r="M60" s="17">
        <f t="shared" si="5"/>
        <v>443289.46355814609</v>
      </c>
      <c r="N60" s="17">
        <f>0</f>
        <v>0</v>
      </c>
      <c r="O60" s="17">
        <f t="shared" si="6"/>
        <v>2754</v>
      </c>
      <c r="P60" s="17">
        <f t="shared" si="7"/>
        <v>6.7539690440523104E-2</v>
      </c>
      <c r="Q60" s="17">
        <f>IF(AND(O60&gt;0,I60&gt;0),O60/(1-'1 - Input'!$B$22*P60),0)</f>
        <v>2803.2255360849581</v>
      </c>
      <c r="R60" s="17">
        <f t="shared" si="8"/>
        <v>2803.2255360849581</v>
      </c>
      <c r="S60" s="17">
        <f>'1 - Input'!$B$22*P60*R60</f>
        <v>49.225536084958357</v>
      </c>
      <c r="T60" s="17">
        <f t="shared" si="9"/>
        <v>2753.9999999999995</v>
      </c>
      <c r="U60" s="17">
        <f t="shared" si="10"/>
        <v>0</v>
      </c>
      <c r="V60" s="17">
        <f t="shared" si="11"/>
        <v>0</v>
      </c>
      <c r="W60" s="17">
        <f t="shared" si="12"/>
        <v>472594.44985405548</v>
      </c>
      <c r="X60" s="17">
        <f t="shared" si="13"/>
        <v>440675.56700700324</v>
      </c>
      <c r="Y60" s="17">
        <f>IF(MOD(A60,12)=0,W60*'1 - Input'!$B$23,0)</f>
        <v>0</v>
      </c>
      <c r="Z60" s="17">
        <f t="shared" si="14"/>
        <v>472594.44985405548</v>
      </c>
      <c r="AA60" s="17">
        <f>IF(MOD(A60,12)=0,X60*(1-'1 - Input'!$B$23),X60)</f>
        <v>440675.56700700324</v>
      </c>
      <c r="AB60" s="17">
        <f t="shared" si="15"/>
        <v>2753.9999999999995</v>
      </c>
      <c r="AC60" s="17">
        <f t="shared" si="19"/>
        <v>46170</v>
      </c>
      <c r="AD60" s="17">
        <f t="shared" si="20"/>
        <v>0</v>
      </c>
      <c r="AE60" s="17">
        <f t="shared" si="21"/>
        <v>440.95948393919764</v>
      </c>
      <c r="AF60" s="17">
        <f t="shared" si="22"/>
        <v>0</v>
      </c>
      <c r="AG60" s="17">
        <f t="shared" si="23"/>
        <v>955.49078333316004</v>
      </c>
      <c r="AH60" s="17">
        <f t="shared" si="24"/>
        <v>0</v>
      </c>
      <c r="AI60" s="15">
        <f t="shared" si="16"/>
        <v>0</v>
      </c>
    </row>
    <row r="61" spans="1:35">
      <c r="A61" s="14">
        <v>18</v>
      </c>
      <c r="B61" s="15">
        <f t="shared" si="0"/>
        <v>2</v>
      </c>
      <c r="C61" s="16">
        <f>(1+INDEX('1 - Input'!$B$34:$E$63,B61,'1 - Input'!$B$16))^(1/12)-1</f>
        <v>4.1219243192651689E-3</v>
      </c>
      <c r="D61" s="17">
        <f>'1 - Input'!$B$7*(1+'1 - Input'!$B$12)^(B61-1)</f>
        <v>2754</v>
      </c>
      <c r="E61" s="17">
        <f t="shared" si="17"/>
        <v>472594.44985405548</v>
      </c>
      <c r="F61" s="17">
        <f t="shared" si="18"/>
        <v>440675.56700700324</v>
      </c>
      <c r="G61" s="17">
        <f t="shared" si="1"/>
        <v>474542.44841005863</v>
      </c>
      <c r="H61" s="17">
        <f>0</f>
        <v>0</v>
      </c>
      <c r="I61" s="17">
        <f t="shared" si="2"/>
        <v>474542.44841005863</v>
      </c>
      <c r="J61" s="17">
        <f t="shared" si="3"/>
        <v>0</v>
      </c>
      <c r="K61" s="17">
        <f>'1 - Input'!$B$22*(H61-J61)</f>
        <v>0</v>
      </c>
      <c r="L61" s="17">
        <f t="shared" si="4"/>
        <v>0</v>
      </c>
      <c r="M61" s="17">
        <f t="shared" si="5"/>
        <v>440675.56700700324</v>
      </c>
      <c r="N61" s="17">
        <f>0</f>
        <v>0</v>
      </c>
      <c r="O61" s="17">
        <f t="shared" si="6"/>
        <v>2754</v>
      </c>
      <c r="P61" s="17">
        <f t="shared" si="7"/>
        <v>7.1367443558580379E-2</v>
      </c>
      <c r="Q61" s="17">
        <f>IF(AND(O61&gt;0,I61&gt;0),O61/(1-'1 - Input'!$B$22*P61),0)</f>
        <v>2806.0680956742876</v>
      </c>
      <c r="R61" s="17">
        <f t="shared" si="8"/>
        <v>2806.0680956742876</v>
      </c>
      <c r="S61" s="17">
        <f>'1 - Input'!$B$22*P61*R61</f>
        <v>52.06809567428764</v>
      </c>
      <c r="T61" s="17">
        <f t="shared" si="9"/>
        <v>2754</v>
      </c>
      <c r="U61" s="17">
        <f t="shared" si="10"/>
        <v>0</v>
      </c>
      <c r="V61" s="17">
        <f t="shared" si="11"/>
        <v>0</v>
      </c>
      <c r="W61" s="17">
        <f t="shared" si="12"/>
        <v>471736.38031438435</v>
      </c>
      <c r="X61" s="17">
        <f t="shared" si="13"/>
        <v>438069.76081776852</v>
      </c>
      <c r="Y61" s="17">
        <f>IF(MOD(A61,12)=0,W61*'1 - Input'!$B$23,0)</f>
        <v>0</v>
      </c>
      <c r="Z61" s="17">
        <f t="shared" si="14"/>
        <v>471736.38031438435</v>
      </c>
      <c r="AA61" s="17">
        <f>IF(MOD(A61,12)=0,X61*(1-'1 - Input'!$B$23),X61)</f>
        <v>438069.76081776852</v>
      </c>
      <c r="AB61" s="17">
        <f t="shared" si="15"/>
        <v>2754</v>
      </c>
      <c r="AC61" s="17">
        <f t="shared" si="19"/>
        <v>48924</v>
      </c>
      <c r="AD61" s="17">
        <f t="shared" si="20"/>
        <v>0</v>
      </c>
      <c r="AE61" s="17">
        <f t="shared" si="21"/>
        <v>493.02757961348527</v>
      </c>
      <c r="AF61" s="17">
        <f t="shared" si="22"/>
        <v>0</v>
      </c>
      <c r="AG61" s="17">
        <f t="shared" si="23"/>
        <v>955.49078333316004</v>
      </c>
      <c r="AH61" s="17">
        <f t="shared" si="24"/>
        <v>0</v>
      </c>
      <c r="AI61" s="15">
        <f t="shared" si="16"/>
        <v>0</v>
      </c>
    </row>
    <row r="62" spans="1:35">
      <c r="A62" s="14">
        <v>19</v>
      </c>
      <c r="B62" s="15">
        <f t="shared" si="0"/>
        <v>2</v>
      </c>
      <c r="C62" s="16">
        <f>(1+INDEX('1 - Input'!$B$34:$E$63,B62,'1 - Input'!$B$16))^(1/12)-1</f>
        <v>4.1219243192651689E-3</v>
      </c>
      <c r="D62" s="17">
        <f>'1 - Input'!$B$7*(1+'1 - Input'!$B$12)^(B62-1)</f>
        <v>2754</v>
      </c>
      <c r="E62" s="17">
        <f t="shared" si="17"/>
        <v>471736.38031438435</v>
      </c>
      <c r="F62" s="17">
        <f t="shared" si="18"/>
        <v>438069.76081776852</v>
      </c>
      <c r="G62" s="17">
        <f t="shared" si="1"/>
        <v>473680.84197268431</v>
      </c>
      <c r="H62" s="17">
        <f>0</f>
        <v>0</v>
      </c>
      <c r="I62" s="17">
        <f t="shared" si="2"/>
        <v>473680.84197268431</v>
      </c>
      <c r="J62" s="17">
        <f t="shared" si="3"/>
        <v>0</v>
      </c>
      <c r="K62" s="17">
        <f>'1 - Input'!$B$22*(H62-J62)</f>
        <v>0</v>
      </c>
      <c r="L62" s="17">
        <f t="shared" si="4"/>
        <v>0</v>
      </c>
      <c r="M62" s="17">
        <f t="shared" si="5"/>
        <v>438069.76081776852</v>
      </c>
      <c r="N62" s="17">
        <f>0</f>
        <v>0</v>
      </c>
      <c r="O62" s="17">
        <f t="shared" si="6"/>
        <v>2754</v>
      </c>
      <c r="P62" s="17">
        <f t="shared" si="7"/>
        <v>7.5179483735526187E-2</v>
      </c>
      <c r="Q62" s="17">
        <f>IF(AND(O62&gt;0,I62&gt;0),O62/(1-'1 - Input'!$B$22*P62),0)</f>
        <v>2808.9047217798802</v>
      </c>
      <c r="R62" s="17">
        <f t="shared" si="8"/>
        <v>2808.9047217798802</v>
      </c>
      <c r="S62" s="17">
        <f>'1 - Input'!$B$22*P62*R62</f>
        <v>54.904721779880234</v>
      </c>
      <c r="T62" s="17">
        <f t="shared" si="9"/>
        <v>2754</v>
      </c>
      <c r="U62" s="17">
        <f t="shared" si="10"/>
        <v>0</v>
      </c>
      <c r="V62" s="17">
        <f t="shared" si="11"/>
        <v>0</v>
      </c>
      <c r="W62" s="17">
        <f t="shared" si="12"/>
        <v>470871.93725090445</v>
      </c>
      <c r="X62" s="17">
        <f t="shared" si="13"/>
        <v>435472.02810283436</v>
      </c>
      <c r="Y62" s="17">
        <f>IF(MOD(A62,12)=0,W62*'1 - Input'!$B$23,0)</f>
        <v>0</v>
      </c>
      <c r="Z62" s="17">
        <f t="shared" si="14"/>
        <v>470871.93725090445</v>
      </c>
      <c r="AA62" s="17">
        <f>IF(MOD(A62,12)=0,X62*(1-'1 - Input'!$B$23),X62)</f>
        <v>435472.02810283436</v>
      </c>
      <c r="AB62" s="17">
        <f t="shared" si="15"/>
        <v>2754</v>
      </c>
      <c r="AC62" s="17">
        <f t="shared" si="19"/>
        <v>51678</v>
      </c>
      <c r="AD62" s="17">
        <f t="shared" si="20"/>
        <v>0</v>
      </c>
      <c r="AE62" s="17">
        <f t="shared" si="21"/>
        <v>547.93230139336549</v>
      </c>
      <c r="AF62" s="17">
        <f t="shared" si="22"/>
        <v>0</v>
      </c>
      <c r="AG62" s="17">
        <f t="shared" si="23"/>
        <v>955.49078333316004</v>
      </c>
      <c r="AH62" s="17">
        <f t="shared" si="24"/>
        <v>0</v>
      </c>
      <c r="AI62" s="15">
        <f t="shared" si="16"/>
        <v>0</v>
      </c>
    </row>
    <row r="63" spans="1:35">
      <c r="A63" s="14">
        <v>20</v>
      </c>
      <c r="B63" s="15">
        <f t="shared" si="0"/>
        <v>2</v>
      </c>
      <c r="C63" s="16">
        <f>(1+INDEX('1 - Input'!$B$34:$E$63,B63,'1 - Input'!$B$16))^(1/12)-1</f>
        <v>4.1219243192651689E-3</v>
      </c>
      <c r="D63" s="17">
        <f>'1 - Input'!$B$7*(1+'1 - Input'!$B$12)^(B63-1)</f>
        <v>2754</v>
      </c>
      <c r="E63" s="17">
        <f t="shared" si="17"/>
        <v>470871.93725090445</v>
      </c>
      <c r="F63" s="17">
        <f t="shared" si="18"/>
        <v>435472.02810283436</v>
      </c>
      <c r="G63" s="17">
        <f t="shared" si="1"/>
        <v>472812.83574031846</v>
      </c>
      <c r="H63" s="17">
        <f>0</f>
        <v>0</v>
      </c>
      <c r="I63" s="17">
        <f t="shared" si="2"/>
        <v>472812.83574031846</v>
      </c>
      <c r="J63" s="17">
        <f t="shared" si="3"/>
        <v>0</v>
      </c>
      <c r="K63" s="17">
        <f>'1 - Input'!$B$22*(H63-J63)</f>
        <v>0</v>
      </c>
      <c r="L63" s="17">
        <f t="shared" si="4"/>
        <v>0</v>
      </c>
      <c r="M63" s="17">
        <f t="shared" si="5"/>
        <v>435472.02810283436</v>
      </c>
      <c r="N63" s="17">
        <f>0</f>
        <v>0</v>
      </c>
      <c r="O63" s="17">
        <f t="shared" si="6"/>
        <v>2754</v>
      </c>
      <c r="P63" s="17">
        <f t="shared" si="7"/>
        <v>7.8975875473043855E-2</v>
      </c>
      <c r="Q63" s="17">
        <f>IF(AND(O63&gt;0,I63&gt;0),O63/(1-'1 - Input'!$B$22*P63),0)</f>
        <v>2811.7354090370882</v>
      </c>
      <c r="R63" s="17">
        <f t="shared" si="8"/>
        <v>2811.7354090370882</v>
      </c>
      <c r="S63" s="17">
        <f>'1 - Input'!$B$22*P63*R63</f>
        <v>57.735409037087891</v>
      </c>
      <c r="T63" s="17">
        <f t="shared" si="9"/>
        <v>2754.0000000000005</v>
      </c>
      <c r="U63" s="17">
        <f t="shared" si="10"/>
        <v>0</v>
      </c>
      <c r="V63" s="17">
        <f t="shared" si="11"/>
        <v>0</v>
      </c>
      <c r="W63" s="17">
        <f t="shared" si="12"/>
        <v>470001.10033128137</v>
      </c>
      <c r="X63" s="17">
        <f t="shared" si="13"/>
        <v>432882.35195932456</v>
      </c>
      <c r="Y63" s="17">
        <f>IF(MOD(A63,12)=0,W63*'1 - Input'!$B$23,0)</f>
        <v>0</v>
      </c>
      <c r="Z63" s="17">
        <f t="shared" si="14"/>
        <v>470001.10033128137</v>
      </c>
      <c r="AA63" s="17">
        <f>IF(MOD(A63,12)=0,X63*(1-'1 - Input'!$B$23),X63)</f>
        <v>432882.35195932456</v>
      </c>
      <c r="AB63" s="17">
        <f t="shared" si="15"/>
        <v>2754.0000000000005</v>
      </c>
      <c r="AC63" s="17">
        <f t="shared" si="19"/>
        <v>54432</v>
      </c>
      <c r="AD63" s="17">
        <f t="shared" si="20"/>
        <v>0</v>
      </c>
      <c r="AE63" s="17">
        <f t="shared" si="21"/>
        <v>605.66771043045333</v>
      </c>
      <c r="AF63" s="17">
        <f t="shared" si="22"/>
        <v>0</v>
      </c>
      <c r="AG63" s="17">
        <f t="shared" si="23"/>
        <v>955.49078333316004</v>
      </c>
      <c r="AH63" s="17">
        <f t="shared" si="24"/>
        <v>0</v>
      </c>
      <c r="AI63" s="15">
        <f t="shared" si="16"/>
        <v>0</v>
      </c>
    </row>
    <row r="64" spans="1:35">
      <c r="A64" s="14">
        <v>21</v>
      </c>
      <c r="B64" s="15">
        <f t="shared" si="0"/>
        <v>2</v>
      </c>
      <c r="C64" s="16">
        <f>(1+INDEX('1 - Input'!$B$34:$E$63,B64,'1 - Input'!$B$16))^(1/12)-1</f>
        <v>4.1219243192651689E-3</v>
      </c>
      <c r="D64" s="17">
        <f>'1 - Input'!$B$7*(1+'1 - Input'!$B$12)^(B64-1)</f>
        <v>2754</v>
      </c>
      <c r="E64" s="17">
        <f t="shared" si="17"/>
        <v>470001.10033128137</v>
      </c>
      <c r="F64" s="17">
        <f t="shared" si="18"/>
        <v>432882.35195932456</v>
      </c>
      <c r="G64" s="17">
        <f t="shared" si="1"/>
        <v>471938.40929681825</v>
      </c>
      <c r="H64" s="17">
        <f>0</f>
        <v>0</v>
      </c>
      <c r="I64" s="17">
        <f t="shared" si="2"/>
        <v>471938.40929681825</v>
      </c>
      <c r="J64" s="17">
        <f t="shared" si="3"/>
        <v>0</v>
      </c>
      <c r="K64" s="17">
        <f>'1 - Input'!$B$22*(H64-J64)</f>
        <v>0</v>
      </c>
      <c r="L64" s="17">
        <f t="shared" si="4"/>
        <v>0</v>
      </c>
      <c r="M64" s="17">
        <f t="shared" si="5"/>
        <v>432882.35195932456</v>
      </c>
      <c r="N64" s="17">
        <f>0</f>
        <v>0</v>
      </c>
      <c r="O64" s="17">
        <f t="shared" si="6"/>
        <v>2754</v>
      </c>
      <c r="P64" s="17">
        <f t="shared" si="7"/>
        <v>8.2756683008036291E-2</v>
      </c>
      <c r="Q64" s="17">
        <f>IF(AND(O64&gt;0,I64&gt;0),O64/(1-'1 - Input'!$B$22*P64),0)</f>
        <v>2814.5601522039788</v>
      </c>
      <c r="R64" s="17">
        <f t="shared" si="8"/>
        <v>2814.5601522039788</v>
      </c>
      <c r="S64" s="17">
        <f>'1 - Input'!$B$22*P64*R64</f>
        <v>60.560152203978717</v>
      </c>
      <c r="T64" s="17">
        <f t="shared" si="9"/>
        <v>2754</v>
      </c>
      <c r="U64" s="17">
        <f t="shared" si="10"/>
        <v>0</v>
      </c>
      <c r="V64" s="17">
        <f t="shared" si="11"/>
        <v>0</v>
      </c>
      <c r="W64" s="17">
        <f t="shared" si="12"/>
        <v>469123.8491446143</v>
      </c>
      <c r="X64" s="17">
        <f t="shared" si="13"/>
        <v>430300.71546944353</v>
      </c>
      <c r="Y64" s="17">
        <f>IF(MOD(A64,12)=0,W64*'1 - Input'!$B$23,0)</f>
        <v>0</v>
      </c>
      <c r="Z64" s="17">
        <f t="shared" si="14"/>
        <v>469123.8491446143</v>
      </c>
      <c r="AA64" s="17">
        <f>IF(MOD(A64,12)=0,X64*(1-'1 - Input'!$B$23),X64)</f>
        <v>430300.71546944353</v>
      </c>
      <c r="AB64" s="17">
        <f t="shared" si="15"/>
        <v>2754</v>
      </c>
      <c r="AC64" s="17">
        <f t="shared" si="19"/>
        <v>57186</v>
      </c>
      <c r="AD64" s="17">
        <f t="shared" si="20"/>
        <v>0</v>
      </c>
      <c r="AE64" s="17">
        <f t="shared" si="21"/>
        <v>666.22786263443209</v>
      </c>
      <c r="AF64" s="17">
        <f t="shared" si="22"/>
        <v>0</v>
      </c>
      <c r="AG64" s="17">
        <f t="shared" si="23"/>
        <v>955.49078333316004</v>
      </c>
      <c r="AH64" s="17">
        <f t="shared" si="24"/>
        <v>0</v>
      </c>
      <c r="AI64" s="15">
        <f t="shared" si="16"/>
        <v>0</v>
      </c>
    </row>
    <row r="65" spans="1:35">
      <c r="A65" s="14">
        <v>22</v>
      </c>
      <c r="B65" s="15">
        <f t="shared" si="0"/>
        <v>2</v>
      </c>
      <c r="C65" s="16">
        <f>(1+INDEX('1 - Input'!$B$34:$E$63,B65,'1 - Input'!$B$16))^(1/12)-1</f>
        <v>4.1219243192651689E-3</v>
      </c>
      <c r="D65" s="17">
        <f>'1 - Input'!$B$7*(1+'1 - Input'!$B$12)^(B65-1)</f>
        <v>2754</v>
      </c>
      <c r="E65" s="17">
        <f t="shared" si="17"/>
        <v>469123.8491446143</v>
      </c>
      <c r="F65" s="17">
        <f t="shared" si="18"/>
        <v>430300.71546944353</v>
      </c>
      <c r="G65" s="17">
        <f t="shared" si="1"/>
        <v>471057.54214715079</v>
      </c>
      <c r="H65" s="17">
        <f>0</f>
        <v>0</v>
      </c>
      <c r="I65" s="17">
        <f t="shared" si="2"/>
        <v>471057.54214715079</v>
      </c>
      <c r="J65" s="17">
        <f t="shared" si="3"/>
        <v>0</v>
      </c>
      <c r="K65" s="17">
        <f>'1 - Input'!$B$22*(H65-J65)</f>
        <v>0</v>
      </c>
      <c r="L65" s="17">
        <f t="shared" si="4"/>
        <v>0</v>
      </c>
      <c r="M65" s="17">
        <f t="shared" si="5"/>
        <v>430300.71546944353</v>
      </c>
      <c r="N65" s="17">
        <f>0</f>
        <v>0</v>
      </c>
      <c r="O65" s="17">
        <f t="shared" si="6"/>
        <v>2754</v>
      </c>
      <c r="P65" s="17">
        <f t="shared" si="7"/>
        <v>8.6521970313714891E-2</v>
      </c>
      <c r="Q65" s="17">
        <f>IF(AND(O65&gt;0,I65&gt;0),O65/(1-'1 - Input'!$B$22*P65),0)</f>
        <v>2817.3789461609786</v>
      </c>
      <c r="R65" s="17">
        <f t="shared" si="8"/>
        <v>2817.3789461609786</v>
      </c>
      <c r="S65" s="17">
        <f>'1 - Input'!$B$22*P65*R65</f>
        <v>63.378946160978643</v>
      </c>
      <c r="T65" s="17">
        <f t="shared" si="9"/>
        <v>2754</v>
      </c>
      <c r="U65" s="17">
        <f t="shared" si="10"/>
        <v>0</v>
      </c>
      <c r="V65" s="17">
        <f t="shared" si="11"/>
        <v>0</v>
      </c>
      <c r="W65" s="17">
        <f t="shared" si="12"/>
        <v>468240.16320098983</v>
      </c>
      <c r="X65" s="17">
        <f t="shared" si="13"/>
        <v>427727.1017008248</v>
      </c>
      <c r="Y65" s="17">
        <f>IF(MOD(A65,12)=0,W65*'1 - Input'!$B$23,0)</f>
        <v>0</v>
      </c>
      <c r="Z65" s="17">
        <f t="shared" si="14"/>
        <v>468240.16320098983</v>
      </c>
      <c r="AA65" s="17">
        <f>IF(MOD(A65,12)=0,X65*(1-'1 - Input'!$B$23),X65)</f>
        <v>427727.1017008248</v>
      </c>
      <c r="AB65" s="17">
        <f t="shared" si="15"/>
        <v>2754</v>
      </c>
      <c r="AC65" s="17">
        <f t="shared" si="19"/>
        <v>59940</v>
      </c>
      <c r="AD65" s="17">
        <f t="shared" si="20"/>
        <v>0</v>
      </c>
      <c r="AE65" s="17">
        <f t="shared" si="21"/>
        <v>729.60680879541076</v>
      </c>
      <c r="AF65" s="17">
        <f t="shared" si="22"/>
        <v>0</v>
      </c>
      <c r="AG65" s="17">
        <f t="shared" si="23"/>
        <v>955.49078333316004</v>
      </c>
      <c r="AH65" s="17">
        <f t="shared" si="24"/>
        <v>0</v>
      </c>
      <c r="AI65" s="15">
        <f t="shared" si="16"/>
        <v>0</v>
      </c>
    </row>
    <row r="66" spans="1:35">
      <c r="A66" s="14">
        <v>23</v>
      </c>
      <c r="B66" s="15">
        <f t="shared" si="0"/>
        <v>2</v>
      </c>
      <c r="C66" s="16">
        <f>(1+INDEX('1 - Input'!$B$34:$E$63,B66,'1 - Input'!$B$16))^(1/12)-1</f>
        <v>4.1219243192651689E-3</v>
      </c>
      <c r="D66" s="17">
        <f>'1 - Input'!$B$7*(1+'1 - Input'!$B$12)^(B66-1)</f>
        <v>2754</v>
      </c>
      <c r="E66" s="17">
        <f t="shared" si="17"/>
        <v>468240.16320098983</v>
      </c>
      <c r="F66" s="17">
        <f t="shared" si="18"/>
        <v>427727.1017008248</v>
      </c>
      <c r="G66" s="17">
        <f t="shared" si="1"/>
        <v>470170.21371694468</v>
      </c>
      <c r="H66" s="17">
        <f>0</f>
        <v>0</v>
      </c>
      <c r="I66" s="17">
        <f t="shared" si="2"/>
        <v>470170.21371694468</v>
      </c>
      <c r="J66" s="17">
        <f t="shared" si="3"/>
        <v>0</v>
      </c>
      <c r="K66" s="17">
        <f>'1 - Input'!$B$22*(H66-J66)</f>
        <v>0</v>
      </c>
      <c r="L66" s="17">
        <f t="shared" si="4"/>
        <v>0</v>
      </c>
      <c r="M66" s="17">
        <f t="shared" si="5"/>
        <v>427727.1017008248</v>
      </c>
      <c r="N66" s="17">
        <f>0</f>
        <v>0</v>
      </c>
      <c r="O66" s="17">
        <f t="shared" si="6"/>
        <v>2754</v>
      </c>
      <c r="P66" s="17">
        <f t="shared" si="7"/>
        <v>9.0271801100679228E-2</v>
      </c>
      <c r="Q66" s="17">
        <f>IF(AND(O66&gt;0,I66&gt;0),O66/(1-'1 - Input'!$B$22*P66),0)</f>
        <v>2820.1917859105056</v>
      </c>
      <c r="R66" s="17">
        <f t="shared" si="8"/>
        <v>2820.1917859105056</v>
      </c>
      <c r="S66" s="17">
        <f>'1 - Input'!$B$22*P66*R66</f>
        <v>66.191785910505445</v>
      </c>
      <c r="T66" s="17">
        <f t="shared" si="9"/>
        <v>2754</v>
      </c>
      <c r="U66" s="17">
        <f t="shared" si="10"/>
        <v>0</v>
      </c>
      <c r="V66" s="17">
        <f t="shared" si="11"/>
        <v>0</v>
      </c>
      <c r="W66" s="17">
        <f t="shared" si="12"/>
        <v>467350.02193103416</v>
      </c>
      <c r="X66" s="17">
        <f t="shared" si="13"/>
        <v>425161.49370687775</v>
      </c>
      <c r="Y66" s="17">
        <f>IF(MOD(A66,12)=0,W66*'1 - Input'!$B$23,0)</f>
        <v>0</v>
      </c>
      <c r="Z66" s="17">
        <f t="shared" si="14"/>
        <v>467350.02193103416</v>
      </c>
      <c r="AA66" s="17">
        <f>IF(MOD(A66,12)=0,X66*(1-'1 - Input'!$B$23),X66)</f>
        <v>425161.49370687775</v>
      </c>
      <c r="AB66" s="17">
        <f t="shared" si="15"/>
        <v>2754</v>
      </c>
      <c r="AC66" s="17">
        <f t="shared" si="19"/>
        <v>62694</v>
      </c>
      <c r="AD66" s="17">
        <f t="shared" si="20"/>
        <v>0</v>
      </c>
      <c r="AE66" s="17">
        <f t="shared" si="21"/>
        <v>795.79859470591623</v>
      </c>
      <c r="AF66" s="17">
        <f t="shared" si="22"/>
        <v>0</v>
      </c>
      <c r="AG66" s="17">
        <f t="shared" si="23"/>
        <v>955.49078333316004</v>
      </c>
      <c r="AH66" s="17">
        <f t="shared" si="24"/>
        <v>0</v>
      </c>
      <c r="AI66" s="15">
        <f t="shared" si="16"/>
        <v>0</v>
      </c>
    </row>
    <row r="67" spans="1:35">
      <c r="A67" s="14">
        <v>24</v>
      </c>
      <c r="B67" s="15">
        <f t="shared" si="0"/>
        <v>2</v>
      </c>
      <c r="C67" s="16">
        <f>(1+INDEX('1 - Input'!$B$34:$E$63,B67,'1 - Input'!$B$16))^(1/12)-1</f>
        <v>4.1219243192651689E-3</v>
      </c>
      <c r="D67" s="17">
        <f>'1 - Input'!$B$7*(1+'1 - Input'!$B$12)^(B67-1)</f>
        <v>2754</v>
      </c>
      <c r="E67" s="17">
        <f t="shared" si="17"/>
        <v>467350.02193103416</v>
      </c>
      <c r="F67" s="17">
        <f t="shared" si="18"/>
        <v>425161.49370687775</v>
      </c>
      <c r="G67" s="17">
        <f t="shared" si="1"/>
        <v>469276.4033520408</v>
      </c>
      <c r="H67" s="17">
        <f>0</f>
        <v>0</v>
      </c>
      <c r="I67" s="17">
        <f t="shared" si="2"/>
        <v>469276.4033520408</v>
      </c>
      <c r="J67" s="17">
        <f t="shared" si="3"/>
        <v>0</v>
      </c>
      <c r="K67" s="17">
        <f>'1 - Input'!$B$22*(H67-J67)</f>
        <v>0</v>
      </c>
      <c r="L67" s="17">
        <f t="shared" si="4"/>
        <v>0</v>
      </c>
      <c r="M67" s="17">
        <f t="shared" si="5"/>
        <v>425161.49370687775</v>
      </c>
      <c r="N67" s="17">
        <f>0</f>
        <v>0</v>
      </c>
      <c r="O67" s="17">
        <f t="shared" si="6"/>
        <v>2754</v>
      </c>
      <c r="P67" s="17">
        <f t="shared" si="7"/>
        <v>9.4006238817997856E-2</v>
      </c>
      <c r="Q67" s="17">
        <f>IF(AND(O67&gt;0,I67&gt;0),O67/(1-'1 - Input'!$B$22*P67),0)</f>
        <v>2822.9986665766032</v>
      </c>
      <c r="R67" s="17">
        <f t="shared" si="8"/>
        <v>2822.9986665766032</v>
      </c>
      <c r="S67" s="17">
        <f>'1 - Input'!$B$22*P67*R67</f>
        <v>68.998666576603313</v>
      </c>
      <c r="T67" s="17">
        <f t="shared" si="9"/>
        <v>2754</v>
      </c>
      <c r="U67" s="17">
        <f t="shared" si="10"/>
        <v>0</v>
      </c>
      <c r="V67" s="17">
        <f t="shared" si="11"/>
        <v>0</v>
      </c>
      <c r="W67" s="17">
        <f t="shared" si="12"/>
        <v>466453.40468546422</v>
      </c>
      <c r="X67" s="17">
        <f t="shared" si="13"/>
        <v>422603.87452713423</v>
      </c>
      <c r="Y67" s="17">
        <f>IF(MOD(A67,12)=0,W67*'1 - Input'!$B$23,0)</f>
        <v>932.9068093709285</v>
      </c>
      <c r="Z67" s="17">
        <f t="shared" si="14"/>
        <v>465520.49787609332</v>
      </c>
      <c r="AA67" s="17">
        <f>IF(MOD(A67,12)=0,X67*(1-'1 - Input'!$B$23),X67)</f>
        <v>421758.66677807999</v>
      </c>
      <c r="AB67" s="17">
        <f t="shared" si="15"/>
        <v>2754</v>
      </c>
      <c r="AC67" s="17">
        <f t="shared" si="19"/>
        <v>65448</v>
      </c>
      <c r="AD67" s="17">
        <f t="shared" si="20"/>
        <v>0</v>
      </c>
      <c r="AE67" s="17">
        <f t="shared" si="21"/>
        <v>864.79726128251957</v>
      </c>
      <c r="AF67" s="17">
        <f t="shared" si="22"/>
        <v>0</v>
      </c>
      <c r="AG67" s="17">
        <f t="shared" si="23"/>
        <v>1888.3975927040885</v>
      </c>
      <c r="AH67" s="17">
        <f t="shared" si="24"/>
        <v>0</v>
      </c>
      <c r="AI67" s="15">
        <f t="shared" si="16"/>
        <v>0</v>
      </c>
    </row>
    <row r="68" spans="1:35">
      <c r="A68" s="14">
        <v>25</v>
      </c>
      <c r="B68" s="15">
        <f t="shared" si="0"/>
        <v>3</v>
      </c>
      <c r="C68" s="16">
        <f>(1+INDEX('1 - Input'!$B$34:$E$63,B68,'1 - Input'!$B$16))^(1/12)-1</f>
        <v>4.1219243192651689E-3</v>
      </c>
      <c r="D68" s="17">
        <f>'1 - Input'!$B$7*(1+'1 - Input'!$B$12)^(B68-1)</f>
        <v>2809.08</v>
      </c>
      <c r="E68" s="17">
        <f t="shared" si="17"/>
        <v>465520.49787609332</v>
      </c>
      <c r="F68" s="17">
        <f t="shared" si="18"/>
        <v>421758.66677807999</v>
      </c>
      <c r="G68" s="17">
        <f t="shared" si="1"/>
        <v>467439.33813740523</v>
      </c>
      <c r="H68" s="17">
        <f>0</f>
        <v>0</v>
      </c>
      <c r="I68" s="17">
        <f t="shared" si="2"/>
        <v>467439.33813740523</v>
      </c>
      <c r="J68" s="17">
        <f t="shared" si="3"/>
        <v>0</v>
      </c>
      <c r="K68" s="17">
        <f>'1 - Input'!$B$22*(H68-J68)</f>
        <v>0</v>
      </c>
      <c r="L68" s="17">
        <f t="shared" si="4"/>
        <v>0</v>
      </c>
      <c r="M68" s="17">
        <f t="shared" si="5"/>
        <v>421758.66677807999</v>
      </c>
      <c r="N68" s="17">
        <f>0</f>
        <v>0</v>
      </c>
      <c r="O68" s="17">
        <f t="shared" si="6"/>
        <v>2809.08</v>
      </c>
      <c r="P68" s="17">
        <f t="shared" si="7"/>
        <v>9.7725346654280232E-2</v>
      </c>
      <c r="Q68" s="17">
        <f>IF(AND(O68&gt;0,I68&gt;0),O68/(1-'1 - Input'!$B$22*P68),0)</f>
        <v>2882.3155750726619</v>
      </c>
      <c r="R68" s="17">
        <f t="shared" si="8"/>
        <v>2882.3155750726619</v>
      </c>
      <c r="S68" s="17">
        <f>'1 - Input'!$B$22*P68*R68</f>
        <v>73.235575072661803</v>
      </c>
      <c r="T68" s="17">
        <f t="shared" si="9"/>
        <v>2809.08</v>
      </c>
      <c r="U68" s="17">
        <f t="shared" si="10"/>
        <v>0</v>
      </c>
      <c r="V68" s="17">
        <f t="shared" si="11"/>
        <v>0</v>
      </c>
      <c r="W68" s="17">
        <f t="shared" si="12"/>
        <v>464557.02256233257</v>
      </c>
      <c r="X68" s="17">
        <f t="shared" si="13"/>
        <v>419158.02649174834</v>
      </c>
      <c r="Y68" s="17">
        <f>IF(MOD(A68,12)=0,W68*'1 - Input'!$B$23,0)</f>
        <v>0</v>
      </c>
      <c r="Z68" s="17">
        <f t="shared" si="14"/>
        <v>464557.02256233257</v>
      </c>
      <c r="AA68" s="17">
        <f>IF(MOD(A68,12)=0,X68*(1-'1 - Input'!$B$23),X68)</f>
        <v>419158.02649174834</v>
      </c>
      <c r="AB68" s="17">
        <f t="shared" si="15"/>
        <v>2809.08</v>
      </c>
      <c r="AC68" s="17">
        <f t="shared" si="19"/>
        <v>68257.08</v>
      </c>
      <c r="AD68" s="17">
        <f t="shared" si="20"/>
        <v>0</v>
      </c>
      <c r="AE68" s="17">
        <f t="shared" si="21"/>
        <v>938.03283635518142</v>
      </c>
      <c r="AF68" s="17">
        <f t="shared" si="22"/>
        <v>0</v>
      </c>
      <c r="AG68" s="17">
        <f t="shared" si="23"/>
        <v>1888.3975927040885</v>
      </c>
      <c r="AH68" s="17">
        <f t="shared" si="24"/>
        <v>0</v>
      </c>
      <c r="AI68" s="15">
        <f t="shared" si="16"/>
        <v>0</v>
      </c>
    </row>
    <row r="69" spans="1:35">
      <c r="A69" s="14">
        <v>26</v>
      </c>
      <c r="B69" s="15">
        <f t="shared" si="0"/>
        <v>3</v>
      </c>
      <c r="C69" s="16">
        <f>(1+INDEX('1 - Input'!$B$34:$E$63,B69,'1 - Input'!$B$16))^(1/12)-1</f>
        <v>4.1219243192651689E-3</v>
      </c>
      <c r="D69" s="17">
        <f>'1 - Input'!$B$7*(1+'1 - Input'!$B$12)^(B69-1)</f>
        <v>2809.08</v>
      </c>
      <c r="E69" s="17">
        <f t="shared" si="17"/>
        <v>464557.02256233257</v>
      </c>
      <c r="F69" s="17">
        <f t="shared" si="18"/>
        <v>419158.02649174834</v>
      </c>
      <c r="G69" s="17">
        <f t="shared" si="1"/>
        <v>466471.89145131764</v>
      </c>
      <c r="H69" s="17">
        <f>0</f>
        <v>0</v>
      </c>
      <c r="I69" s="17">
        <f t="shared" si="2"/>
        <v>466471.89145131764</v>
      </c>
      <c r="J69" s="17">
        <f t="shared" si="3"/>
        <v>0</v>
      </c>
      <c r="K69" s="17">
        <f>'1 - Input'!$B$22*(H69-J69)</f>
        <v>0</v>
      </c>
      <c r="L69" s="17">
        <f t="shared" si="4"/>
        <v>0</v>
      </c>
      <c r="M69" s="17">
        <f t="shared" si="5"/>
        <v>419158.02649174834</v>
      </c>
      <c r="N69" s="17">
        <f>0</f>
        <v>0</v>
      </c>
      <c r="O69" s="17">
        <f t="shared" si="6"/>
        <v>2809.08</v>
      </c>
      <c r="P69" s="17">
        <f t="shared" si="7"/>
        <v>0.10142918753874608</v>
      </c>
      <c r="Q69" s="17">
        <f>IF(AND(O69&gt;0,I69&gt;0),O69/(1-'1 - Input'!$B$22*P69),0)</f>
        <v>2885.1664223957955</v>
      </c>
      <c r="R69" s="17">
        <f t="shared" si="8"/>
        <v>2885.1664223957955</v>
      </c>
      <c r="S69" s="17">
        <f>'1 - Input'!$B$22*P69*R69</f>
        <v>76.086422395795822</v>
      </c>
      <c r="T69" s="17">
        <f t="shared" si="9"/>
        <v>2809.0799999999995</v>
      </c>
      <c r="U69" s="17">
        <f t="shared" si="10"/>
        <v>0</v>
      </c>
      <c r="V69" s="17">
        <f t="shared" si="11"/>
        <v>0</v>
      </c>
      <c r="W69" s="17">
        <f t="shared" si="12"/>
        <v>463586.72502892185</v>
      </c>
      <c r="X69" s="17">
        <f t="shared" si="13"/>
        <v>416565.50015549024</v>
      </c>
      <c r="Y69" s="17">
        <f>IF(MOD(A69,12)=0,W69*'1 - Input'!$B$23,0)</f>
        <v>0</v>
      </c>
      <c r="Z69" s="17">
        <f t="shared" si="14"/>
        <v>463586.72502892185</v>
      </c>
      <c r="AA69" s="17">
        <f>IF(MOD(A69,12)=0,X69*(1-'1 - Input'!$B$23),X69)</f>
        <v>416565.50015549024</v>
      </c>
      <c r="AB69" s="17">
        <f t="shared" si="15"/>
        <v>2809.0799999999995</v>
      </c>
      <c r="AC69" s="17">
        <f t="shared" si="19"/>
        <v>71066.16</v>
      </c>
      <c r="AD69" s="17">
        <f t="shared" si="20"/>
        <v>0</v>
      </c>
      <c r="AE69" s="17">
        <f t="shared" si="21"/>
        <v>1014.1192587509772</v>
      </c>
      <c r="AF69" s="17">
        <f t="shared" si="22"/>
        <v>0</v>
      </c>
      <c r="AG69" s="17">
        <f t="shared" si="23"/>
        <v>1888.3975927040885</v>
      </c>
      <c r="AH69" s="17">
        <f t="shared" si="24"/>
        <v>0</v>
      </c>
      <c r="AI69" s="15">
        <f t="shared" si="16"/>
        <v>0</v>
      </c>
    </row>
    <row r="70" spans="1:35">
      <c r="A70" s="14">
        <v>27</v>
      </c>
      <c r="B70" s="15">
        <f t="shared" si="0"/>
        <v>3</v>
      </c>
      <c r="C70" s="16">
        <f>(1+INDEX('1 - Input'!$B$34:$E$63,B70,'1 - Input'!$B$16))^(1/12)-1</f>
        <v>4.1219243192651689E-3</v>
      </c>
      <c r="D70" s="17">
        <f>'1 - Input'!$B$7*(1+'1 - Input'!$B$12)^(B70-1)</f>
        <v>2809.08</v>
      </c>
      <c r="E70" s="17">
        <f t="shared" si="17"/>
        <v>463586.72502892185</v>
      </c>
      <c r="F70" s="17">
        <f t="shared" si="18"/>
        <v>416565.50015549024</v>
      </c>
      <c r="G70" s="17">
        <f t="shared" si="1"/>
        <v>465497.59442490706</v>
      </c>
      <c r="H70" s="17">
        <f>0</f>
        <v>0</v>
      </c>
      <c r="I70" s="17">
        <f t="shared" si="2"/>
        <v>465497.59442490706</v>
      </c>
      <c r="J70" s="17">
        <f t="shared" si="3"/>
        <v>0</v>
      </c>
      <c r="K70" s="17">
        <f>'1 - Input'!$B$22*(H70-J70)</f>
        <v>0</v>
      </c>
      <c r="L70" s="17">
        <f t="shared" si="4"/>
        <v>0</v>
      </c>
      <c r="M70" s="17">
        <f t="shared" si="5"/>
        <v>416565.50015549024</v>
      </c>
      <c r="N70" s="17">
        <f>0</f>
        <v>0</v>
      </c>
      <c r="O70" s="17">
        <f t="shared" si="6"/>
        <v>2809.08</v>
      </c>
      <c r="P70" s="17">
        <f t="shared" si="7"/>
        <v>0.10511782414229087</v>
      </c>
      <c r="Q70" s="17">
        <f>IF(AND(O70&gt;0,I70&gt;0),O70/(1-'1 - Input'!$B$22*P70),0)</f>
        <v>2888.0111772739501</v>
      </c>
      <c r="R70" s="17">
        <f t="shared" si="8"/>
        <v>2888.0111772739501</v>
      </c>
      <c r="S70" s="17">
        <f>'1 - Input'!$B$22*P70*R70</f>
        <v>78.931177273949913</v>
      </c>
      <c r="T70" s="17">
        <f t="shared" si="9"/>
        <v>2809.0800000000004</v>
      </c>
      <c r="U70" s="17">
        <f t="shared" si="10"/>
        <v>0</v>
      </c>
      <c r="V70" s="17">
        <f t="shared" si="11"/>
        <v>0</v>
      </c>
      <c r="W70" s="17">
        <f t="shared" si="12"/>
        <v>462609.58324763313</v>
      </c>
      <c r="X70" s="17">
        <f t="shared" si="13"/>
        <v>413981.07042926992</v>
      </c>
      <c r="Y70" s="17">
        <f>IF(MOD(A70,12)=0,W70*'1 - Input'!$B$23,0)</f>
        <v>0</v>
      </c>
      <c r="Z70" s="17">
        <f t="shared" si="14"/>
        <v>462609.58324763313</v>
      </c>
      <c r="AA70" s="17">
        <f>IF(MOD(A70,12)=0,X70*(1-'1 - Input'!$B$23),X70)</f>
        <v>413981.07042926992</v>
      </c>
      <c r="AB70" s="17">
        <f t="shared" si="15"/>
        <v>2809.0800000000004</v>
      </c>
      <c r="AC70" s="17">
        <f t="shared" si="19"/>
        <v>73875.240000000005</v>
      </c>
      <c r="AD70" s="17">
        <f t="shared" si="20"/>
        <v>0</v>
      </c>
      <c r="AE70" s="17">
        <f t="shared" si="21"/>
        <v>1093.0504360249272</v>
      </c>
      <c r="AF70" s="17">
        <f t="shared" si="22"/>
        <v>0</v>
      </c>
      <c r="AG70" s="17">
        <f t="shared" si="23"/>
        <v>1888.3975927040885</v>
      </c>
      <c r="AH70" s="17">
        <f t="shared" si="24"/>
        <v>0</v>
      </c>
      <c r="AI70" s="15">
        <f t="shared" si="16"/>
        <v>0</v>
      </c>
    </row>
    <row r="71" spans="1:35">
      <c r="A71" s="14">
        <v>28</v>
      </c>
      <c r="B71" s="15">
        <f t="shared" si="0"/>
        <v>3</v>
      </c>
      <c r="C71" s="16">
        <f>(1+INDEX('1 - Input'!$B$34:$E$63,B71,'1 - Input'!$B$16))^(1/12)-1</f>
        <v>4.1219243192651689E-3</v>
      </c>
      <c r="D71" s="17">
        <f>'1 - Input'!$B$7*(1+'1 - Input'!$B$12)^(B71-1)</f>
        <v>2809.08</v>
      </c>
      <c r="E71" s="17">
        <f t="shared" si="17"/>
        <v>462609.58324763313</v>
      </c>
      <c r="F71" s="17">
        <f t="shared" si="18"/>
        <v>413981.07042926992</v>
      </c>
      <c r="G71" s="17">
        <f t="shared" si="1"/>
        <v>464516.42493914667</v>
      </c>
      <c r="H71" s="17">
        <f>0</f>
        <v>0</v>
      </c>
      <c r="I71" s="17">
        <f t="shared" si="2"/>
        <v>464516.42493914667</v>
      </c>
      <c r="J71" s="17">
        <f t="shared" si="3"/>
        <v>0</v>
      </c>
      <c r="K71" s="17">
        <f>'1 - Input'!$B$22*(H71-J71)</f>
        <v>0</v>
      </c>
      <c r="L71" s="17">
        <f t="shared" si="4"/>
        <v>0</v>
      </c>
      <c r="M71" s="17">
        <f t="shared" si="5"/>
        <v>413981.07042926992</v>
      </c>
      <c r="N71" s="17">
        <f>0</f>
        <v>0</v>
      </c>
      <c r="O71" s="17">
        <f t="shared" si="6"/>
        <v>2809.08</v>
      </c>
      <c r="P71" s="17">
        <f t="shared" si="7"/>
        <v>0.10879131887854576</v>
      </c>
      <c r="Q71" s="17">
        <f>IF(AND(O71&gt;0,I71&gt;0),O71/(1-'1 - Input'!$B$22*P71),0)</f>
        <v>2890.8498352260581</v>
      </c>
      <c r="R71" s="17">
        <f t="shared" si="8"/>
        <v>2890.8498352260581</v>
      </c>
      <c r="S71" s="17">
        <f>'1 - Input'!$B$22*P71*R71</f>
        <v>81.769835226058092</v>
      </c>
      <c r="T71" s="17">
        <f t="shared" si="9"/>
        <v>2809.08</v>
      </c>
      <c r="U71" s="17">
        <f t="shared" si="10"/>
        <v>0</v>
      </c>
      <c r="V71" s="17">
        <f t="shared" si="11"/>
        <v>0</v>
      </c>
      <c r="W71" s="17">
        <f t="shared" si="12"/>
        <v>461625.57510392059</v>
      </c>
      <c r="X71" s="17">
        <f t="shared" si="13"/>
        <v>411404.71996029792</v>
      </c>
      <c r="Y71" s="17">
        <f>IF(MOD(A71,12)=0,W71*'1 - Input'!$B$23,0)</f>
        <v>0</v>
      </c>
      <c r="Z71" s="17">
        <f t="shared" si="14"/>
        <v>461625.57510392059</v>
      </c>
      <c r="AA71" s="17">
        <f>IF(MOD(A71,12)=0,X71*(1-'1 - Input'!$B$23),X71)</f>
        <v>411404.71996029792</v>
      </c>
      <c r="AB71" s="17">
        <f t="shared" si="15"/>
        <v>2809.08</v>
      </c>
      <c r="AC71" s="17">
        <f t="shared" si="19"/>
        <v>76684.320000000007</v>
      </c>
      <c r="AD71" s="17">
        <f t="shared" si="20"/>
        <v>0</v>
      </c>
      <c r="AE71" s="17">
        <f t="shared" si="21"/>
        <v>1174.8202712509853</v>
      </c>
      <c r="AF71" s="17">
        <f t="shared" si="22"/>
        <v>0</v>
      </c>
      <c r="AG71" s="17">
        <f t="shared" si="23"/>
        <v>1888.3975927040885</v>
      </c>
      <c r="AH71" s="17">
        <f t="shared" si="24"/>
        <v>0</v>
      </c>
      <c r="AI71" s="15">
        <f t="shared" si="16"/>
        <v>0</v>
      </c>
    </row>
    <row r="72" spans="1:35">
      <c r="A72" s="14">
        <v>29</v>
      </c>
      <c r="B72" s="15">
        <f t="shared" si="0"/>
        <v>3</v>
      </c>
      <c r="C72" s="16">
        <f>(1+INDEX('1 - Input'!$B$34:$E$63,B72,'1 - Input'!$B$16))^(1/12)-1</f>
        <v>4.1219243192651689E-3</v>
      </c>
      <c r="D72" s="17">
        <f>'1 - Input'!$B$7*(1+'1 - Input'!$B$12)^(B72-1)</f>
        <v>2809.08</v>
      </c>
      <c r="E72" s="17">
        <f t="shared" si="17"/>
        <v>461625.57510392059</v>
      </c>
      <c r="F72" s="17">
        <f t="shared" si="18"/>
        <v>411404.71996029792</v>
      </c>
      <c r="G72" s="17">
        <f t="shared" si="1"/>
        <v>463528.3607883362</v>
      </c>
      <c r="H72" s="17">
        <f>0</f>
        <v>0</v>
      </c>
      <c r="I72" s="17">
        <f t="shared" si="2"/>
        <v>463528.3607883362</v>
      </c>
      <c r="J72" s="17">
        <f t="shared" si="3"/>
        <v>0</v>
      </c>
      <c r="K72" s="17">
        <f>'1 - Input'!$B$22*(H72-J72)</f>
        <v>0</v>
      </c>
      <c r="L72" s="17">
        <f t="shared" si="4"/>
        <v>0</v>
      </c>
      <c r="M72" s="17">
        <f t="shared" si="5"/>
        <v>411404.71996029792</v>
      </c>
      <c r="N72" s="17">
        <f>0</f>
        <v>0</v>
      </c>
      <c r="O72" s="17">
        <f t="shared" si="6"/>
        <v>2809.08</v>
      </c>
      <c r="P72" s="17">
        <f t="shared" si="7"/>
        <v>0.11244973390493318</v>
      </c>
      <c r="Q72" s="17">
        <f>IF(AND(O72&gt;0,I72&gt;0),O72/(1-'1 - Input'!$B$22*P72),0)</f>
        <v>2893.6823918931827</v>
      </c>
      <c r="R72" s="17">
        <f t="shared" si="8"/>
        <v>2893.6823918931827</v>
      </c>
      <c r="S72" s="17">
        <f>'1 - Input'!$B$22*P72*R72</f>
        <v>84.602391893182528</v>
      </c>
      <c r="T72" s="17">
        <f t="shared" si="9"/>
        <v>2809.0800000000004</v>
      </c>
      <c r="U72" s="17">
        <f t="shared" si="10"/>
        <v>0</v>
      </c>
      <c r="V72" s="17">
        <f t="shared" si="11"/>
        <v>0</v>
      </c>
      <c r="W72" s="17">
        <f t="shared" si="12"/>
        <v>460634.67839644302</v>
      </c>
      <c r="X72" s="17">
        <f t="shared" si="13"/>
        <v>408836.43138337851</v>
      </c>
      <c r="Y72" s="17">
        <f>IF(MOD(A72,12)=0,W72*'1 - Input'!$B$23,0)</f>
        <v>0</v>
      </c>
      <c r="Z72" s="17">
        <f t="shared" si="14"/>
        <v>460634.67839644302</v>
      </c>
      <c r="AA72" s="17">
        <f>IF(MOD(A72,12)=0,X72*(1-'1 - Input'!$B$23),X72)</f>
        <v>408836.43138337851</v>
      </c>
      <c r="AB72" s="17">
        <f t="shared" si="15"/>
        <v>2809.0800000000004</v>
      </c>
      <c r="AC72" s="17">
        <f t="shared" si="19"/>
        <v>79493.400000000009</v>
      </c>
      <c r="AD72" s="17">
        <f t="shared" si="20"/>
        <v>0</v>
      </c>
      <c r="AE72" s="17">
        <f t="shared" si="21"/>
        <v>1259.4226631441679</v>
      </c>
      <c r="AF72" s="17">
        <f t="shared" si="22"/>
        <v>0</v>
      </c>
      <c r="AG72" s="17">
        <f t="shared" si="23"/>
        <v>1888.3975927040885</v>
      </c>
      <c r="AH72" s="17">
        <f t="shared" si="24"/>
        <v>0</v>
      </c>
      <c r="AI72" s="15">
        <f t="shared" si="16"/>
        <v>0</v>
      </c>
    </row>
    <row r="73" spans="1:35">
      <c r="A73" s="14">
        <v>30</v>
      </c>
      <c r="B73" s="15">
        <f t="shared" si="0"/>
        <v>3</v>
      </c>
      <c r="C73" s="16">
        <f>(1+INDEX('1 - Input'!$B$34:$E$63,B73,'1 - Input'!$B$16))^(1/12)-1</f>
        <v>4.1219243192651689E-3</v>
      </c>
      <c r="D73" s="17">
        <f>'1 - Input'!$B$7*(1+'1 - Input'!$B$12)^(B73-1)</f>
        <v>2809.08</v>
      </c>
      <c r="E73" s="17">
        <f t="shared" si="17"/>
        <v>460634.67839644302</v>
      </c>
      <c r="F73" s="17">
        <f t="shared" si="18"/>
        <v>408836.43138337851</v>
      </c>
      <c r="G73" s="17">
        <f t="shared" si="1"/>
        <v>462533.37967962219</v>
      </c>
      <c r="H73" s="17">
        <f>0</f>
        <v>0</v>
      </c>
      <c r="I73" s="17">
        <f t="shared" si="2"/>
        <v>462533.37967962219</v>
      </c>
      <c r="J73" s="17">
        <f t="shared" si="3"/>
        <v>0</v>
      </c>
      <c r="K73" s="17">
        <f>'1 - Input'!$B$22*(H73-J73)</f>
        <v>0</v>
      </c>
      <c r="L73" s="17">
        <f t="shared" si="4"/>
        <v>0</v>
      </c>
      <c r="M73" s="17">
        <f t="shared" si="5"/>
        <v>408836.43138337851</v>
      </c>
      <c r="N73" s="17">
        <f>0</f>
        <v>0</v>
      </c>
      <c r="O73" s="17">
        <f t="shared" si="6"/>
        <v>2809.08</v>
      </c>
      <c r="P73" s="17">
        <f t="shared" si="7"/>
        <v>0.11609313112371988</v>
      </c>
      <c r="Q73" s="17">
        <f>IF(AND(O73&gt;0,I73&gt;0),O73/(1-'1 - Input'!$B$22*P73),0)</f>
        <v>2896.5088430381179</v>
      </c>
      <c r="R73" s="17">
        <f t="shared" si="8"/>
        <v>2896.5088430381179</v>
      </c>
      <c r="S73" s="17">
        <f>'1 - Input'!$B$22*P73*R73</f>
        <v>87.428843038117989</v>
      </c>
      <c r="T73" s="17">
        <f t="shared" si="9"/>
        <v>2809.08</v>
      </c>
      <c r="U73" s="17">
        <f t="shared" si="10"/>
        <v>0</v>
      </c>
      <c r="V73" s="17">
        <f t="shared" si="11"/>
        <v>0</v>
      </c>
      <c r="W73" s="17">
        <f t="shared" si="12"/>
        <v>459636.87083658407</v>
      </c>
      <c r="X73" s="17">
        <f t="shared" si="13"/>
        <v>406276.18732125626</v>
      </c>
      <c r="Y73" s="17">
        <f>IF(MOD(A73,12)=0,W73*'1 - Input'!$B$23,0)</f>
        <v>0</v>
      </c>
      <c r="Z73" s="17">
        <f t="shared" si="14"/>
        <v>459636.87083658407</v>
      </c>
      <c r="AA73" s="17">
        <f>IF(MOD(A73,12)=0,X73*(1-'1 - Input'!$B$23),X73)</f>
        <v>406276.18732125626</v>
      </c>
      <c r="AB73" s="17">
        <f t="shared" si="15"/>
        <v>2809.08</v>
      </c>
      <c r="AC73" s="17">
        <f t="shared" si="19"/>
        <v>82302.48000000001</v>
      </c>
      <c r="AD73" s="17">
        <f t="shared" si="20"/>
        <v>0</v>
      </c>
      <c r="AE73" s="17">
        <f t="shared" si="21"/>
        <v>1346.8515061822859</v>
      </c>
      <c r="AF73" s="17">
        <f t="shared" si="22"/>
        <v>0</v>
      </c>
      <c r="AG73" s="17">
        <f t="shared" si="23"/>
        <v>1888.3975927040885</v>
      </c>
      <c r="AH73" s="17">
        <f t="shared" si="24"/>
        <v>0</v>
      </c>
      <c r="AI73" s="15">
        <f t="shared" si="16"/>
        <v>0</v>
      </c>
    </row>
    <row r="74" spans="1:35">
      <c r="A74" s="14">
        <v>31</v>
      </c>
      <c r="B74" s="15">
        <f t="shared" si="0"/>
        <v>3</v>
      </c>
      <c r="C74" s="16">
        <f>(1+INDEX('1 - Input'!$B$34:$E$63,B74,'1 - Input'!$B$16))^(1/12)-1</f>
        <v>4.1219243192651689E-3</v>
      </c>
      <c r="D74" s="17">
        <f>'1 - Input'!$B$7*(1+'1 - Input'!$B$12)^(B74-1)</f>
        <v>2809.08</v>
      </c>
      <c r="E74" s="17">
        <f t="shared" si="17"/>
        <v>459636.87083658407</v>
      </c>
      <c r="F74" s="17">
        <f t="shared" si="18"/>
        <v>406276.18732125626</v>
      </c>
      <c r="G74" s="17">
        <f t="shared" si="1"/>
        <v>461531.45923251635</v>
      </c>
      <c r="H74" s="17">
        <f>0</f>
        <v>0</v>
      </c>
      <c r="I74" s="17">
        <f t="shared" si="2"/>
        <v>461531.45923251635</v>
      </c>
      <c r="J74" s="17">
        <f t="shared" si="3"/>
        <v>0</v>
      </c>
      <c r="K74" s="17">
        <f>'1 - Input'!$B$22*(H74-J74)</f>
        <v>0</v>
      </c>
      <c r="L74" s="17">
        <f t="shared" si="4"/>
        <v>0</v>
      </c>
      <c r="M74" s="17">
        <f t="shared" si="5"/>
        <v>406276.18732125626</v>
      </c>
      <c r="N74" s="17">
        <f>0</f>
        <v>0</v>
      </c>
      <c r="O74" s="17">
        <f t="shared" si="6"/>
        <v>2809.08</v>
      </c>
      <c r="P74" s="17">
        <f t="shared" si="7"/>
        <v>0.11972157218306301</v>
      </c>
      <c r="Q74" s="17">
        <f>IF(AND(O74&gt;0,I74&gt;0),O74/(1-'1 - Input'!$B$22*P74),0)</f>
        <v>2899.3291845449908</v>
      </c>
      <c r="R74" s="17">
        <f t="shared" si="8"/>
        <v>2899.3291845449908</v>
      </c>
      <c r="S74" s="17">
        <f>'1 - Input'!$B$22*P74*R74</f>
        <v>90.249184544990726</v>
      </c>
      <c r="T74" s="17">
        <f t="shared" si="9"/>
        <v>2809.08</v>
      </c>
      <c r="U74" s="17">
        <f t="shared" si="10"/>
        <v>0</v>
      </c>
      <c r="V74" s="17">
        <f t="shared" si="11"/>
        <v>0</v>
      </c>
      <c r="W74" s="17">
        <f t="shared" si="12"/>
        <v>458632.13004797138</v>
      </c>
      <c r="X74" s="17">
        <f t="shared" si="13"/>
        <v>403723.97038496123</v>
      </c>
      <c r="Y74" s="17">
        <f>IF(MOD(A74,12)=0,W74*'1 - Input'!$B$23,0)</f>
        <v>0</v>
      </c>
      <c r="Z74" s="17">
        <f t="shared" si="14"/>
        <v>458632.13004797138</v>
      </c>
      <c r="AA74" s="17">
        <f>IF(MOD(A74,12)=0,X74*(1-'1 - Input'!$B$23),X74)</f>
        <v>403723.97038496123</v>
      </c>
      <c r="AB74" s="17">
        <f t="shared" si="15"/>
        <v>2809.08</v>
      </c>
      <c r="AC74" s="17">
        <f t="shared" si="19"/>
        <v>85111.560000000012</v>
      </c>
      <c r="AD74" s="17">
        <f t="shared" si="20"/>
        <v>0</v>
      </c>
      <c r="AE74" s="17">
        <f t="shared" si="21"/>
        <v>1437.1006907272767</v>
      </c>
      <c r="AF74" s="17">
        <f t="shared" si="22"/>
        <v>0</v>
      </c>
      <c r="AG74" s="17">
        <f t="shared" si="23"/>
        <v>1888.3975927040885</v>
      </c>
      <c r="AH74" s="17">
        <f t="shared" si="24"/>
        <v>0</v>
      </c>
      <c r="AI74" s="15">
        <f t="shared" si="16"/>
        <v>0</v>
      </c>
    </row>
    <row r="75" spans="1:35">
      <c r="A75" s="14">
        <v>32</v>
      </c>
      <c r="B75" s="15">
        <f t="shared" si="0"/>
        <v>3</v>
      </c>
      <c r="C75" s="16">
        <f>(1+INDEX('1 - Input'!$B$34:$E$63,B75,'1 - Input'!$B$16))^(1/12)-1</f>
        <v>4.1219243192651689E-3</v>
      </c>
      <c r="D75" s="17">
        <f>'1 - Input'!$B$7*(1+'1 - Input'!$B$12)^(B75-1)</f>
        <v>2809.08</v>
      </c>
      <c r="E75" s="17">
        <f t="shared" si="17"/>
        <v>458632.13004797138</v>
      </c>
      <c r="F75" s="17">
        <f t="shared" si="18"/>
        <v>403723.97038496123</v>
      </c>
      <c r="G75" s="17">
        <f t="shared" si="1"/>
        <v>460522.57697841252</v>
      </c>
      <c r="H75" s="17">
        <f>0</f>
        <v>0</v>
      </c>
      <c r="I75" s="17">
        <f t="shared" si="2"/>
        <v>460522.57697841252</v>
      </c>
      <c r="J75" s="17">
        <f t="shared" si="3"/>
        <v>0</v>
      </c>
      <c r="K75" s="17">
        <f>'1 - Input'!$B$22*(H75-J75)</f>
        <v>0</v>
      </c>
      <c r="L75" s="17">
        <f t="shared" si="4"/>
        <v>0</v>
      </c>
      <c r="M75" s="17">
        <f t="shared" si="5"/>
        <v>403723.97038496123</v>
      </c>
      <c r="N75" s="17">
        <f>0</f>
        <v>0</v>
      </c>
      <c r="O75" s="17">
        <f t="shared" si="6"/>
        <v>2809.08</v>
      </c>
      <c r="P75" s="17">
        <f t="shared" si="7"/>
        <v>0.12333511847805412</v>
      </c>
      <c r="Q75" s="17">
        <f>IF(AND(O75&gt;0,I75&gt;0),O75/(1-'1 - Input'!$B$22*P75),0)</f>
        <v>2902.1434124188559</v>
      </c>
      <c r="R75" s="17">
        <f t="shared" si="8"/>
        <v>2902.1434124188559</v>
      </c>
      <c r="S75" s="17">
        <f>'1 - Input'!$B$22*P75*R75</f>
        <v>93.063412418855819</v>
      </c>
      <c r="T75" s="17">
        <f t="shared" si="9"/>
        <v>2809.08</v>
      </c>
      <c r="U75" s="17">
        <f t="shared" si="10"/>
        <v>0</v>
      </c>
      <c r="V75" s="17">
        <f t="shared" si="11"/>
        <v>0</v>
      </c>
      <c r="W75" s="17">
        <f t="shared" si="12"/>
        <v>457620.43356599368</v>
      </c>
      <c r="X75" s="17">
        <f t="shared" si="13"/>
        <v>401179.76317415334</v>
      </c>
      <c r="Y75" s="17">
        <f>IF(MOD(A75,12)=0,W75*'1 - Input'!$B$23,0)</f>
        <v>0</v>
      </c>
      <c r="Z75" s="17">
        <f t="shared" si="14"/>
        <v>457620.43356599368</v>
      </c>
      <c r="AA75" s="17">
        <f>IF(MOD(A75,12)=0,X75*(1-'1 - Input'!$B$23),X75)</f>
        <v>401179.76317415334</v>
      </c>
      <c r="AB75" s="17">
        <f t="shared" si="15"/>
        <v>2809.08</v>
      </c>
      <c r="AC75" s="17">
        <f t="shared" si="19"/>
        <v>87920.640000000014</v>
      </c>
      <c r="AD75" s="17">
        <f t="shared" si="20"/>
        <v>0</v>
      </c>
      <c r="AE75" s="17">
        <f t="shared" si="21"/>
        <v>1530.1641031461327</v>
      </c>
      <c r="AF75" s="17">
        <f t="shared" si="22"/>
        <v>0</v>
      </c>
      <c r="AG75" s="17">
        <f t="shared" si="23"/>
        <v>1888.3975927040885</v>
      </c>
      <c r="AH75" s="17">
        <f t="shared" si="24"/>
        <v>0</v>
      </c>
      <c r="AI75" s="15">
        <f t="shared" si="16"/>
        <v>0</v>
      </c>
    </row>
    <row r="76" spans="1:35">
      <c r="A76" s="14">
        <v>33</v>
      </c>
      <c r="B76" s="15">
        <f t="shared" si="0"/>
        <v>3</v>
      </c>
      <c r="C76" s="16">
        <f>(1+INDEX('1 - Input'!$B$34:$E$63,B76,'1 - Input'!$B$16))^(1/12)-1</f>
        <v>4.1219243192651689E-3</v>
      </c>
      <c r="D76" s="17">
        <f>'1 - Input'!$B$7*(1+'1 - Input'!$B$12)^(B76-1)</f>
        <v>2809.08</v>
      </c>
      <c r="E76" s="17">
        <f t="shared" si="17"/>
        <v>457620.43356599368</v>
      </c>
      <c r="F76" s="17">
        <f t="shared" si="18"/>
        <v>401179.76317415334</v>
      </c>
      <c r="G76" s="17">
        <f t="shared" si="1"/>
        <v>459506.71036010201</v>
      </c>
      <c r="H76" s="17">
        <f>0</f>
        <v>0</v>
      </c>
      <c r="I76" s="17">
        <f t="shared" si="2"/>
        <v>459506.71036010201</v>
      </c>
      <c r="J76" s="17">
        <f t="shared" si="3"/>
        <v>0</v>
      </c>
      <c r="K76" s="17">
        <f>'1 - Input'!$B$22*(H76-J76)</f>
        <v>0</v>
      </c>
      <c r="L76" s="17">
        <f t="shared" si="4"/>
        <v>0</v>
      </c>
      <c r="M76" s="17">
        <f t="shared" si="5"/>
        <v>401179.76317415334</v>
      </c>
      <c r="N76" s="17">
        <f>0</f>
        <v>0</v>
      </c>
      <c r="O76" s="17">
        <f t="shared" si="6"/>
        <v>2809.08</v>
      </c>
      <c r="P76" s="17">
        <f t="shared" si="7"/>
        <v>0.12693383115175738</v>
      </c>
      <c r="Q76" s="17">
        <f>IF(AND(O76&gt;0,I76&gt;0),O76/(1-'1 - Input'!$B$22*P76),0)</f>
        <v>2904.9515227852899</v>
      </c>
      <c r="R76" s="17">
        <f t="shared" si="8"/>
        <v>2904.9515227852899</v>
      </c>
      <c r="S76" s="17">
        <f>'1 - Input'!$B$22*P76*R76</f>
        <v>95.871522785289812</v>
      </c>
      <c r="T76" s="17">
        <f t="shared" si="9"/>
        <v>2809.08</v>
      </c>
      <c r="U76" s="17">
        <f t="shared" si="10"/>
        <v>0</v>
      </c>
      <c r="V76" s="17">
        <f t="shared" si="11"/>
        <v>0</v>
      </c>
      <c r="W76" s="17">
        <f t="shared" si="12"/>
        <v>456601.75883731671</v>
      </c>
      <c r="X76" s="17">
        <f t="shared" si="13"/>
        <v>398643.54827746534</v>
      </c>
      <c r="Y76" s="17">
        <f>IF(MOD(A76,12)=0,W76*'1 - Input'!$B$23,0)</f>
        <v>0</v>
      </c>
      <c r="Z76" s="17">
        <f t="shared" si="14"/>
        <v>456601.75883731671</v>
      </c>
      <c r="AA76" s="17">
        <f>IF(MOD(A76,12)=0,X76*(1-'1 - Input'!$B$23),X76)</f>
        <v>398643.54827746534</v>
      </c>
      <c r="AB76" s="17">
        <f t="shared" si="15"/>
        <v>2809.08</v>
      </c>
      <c r="AC76" s="17">
        <f t="shared" si="19"/>
        <v>90729.720000000016</v>
      </c>
      <c r="AD76" s="17">
        <f t="shared" si="20"/>
        <v>0</v>
      </c>
      <c r="AE76" s="17">
        <f t="shared" si="21"/>
        <v>1626.0356259314226</v>
      </c>
      <c r="AF76" s="17">
        <f t="shared" si="22"/>
        <v>0</v>
      </c>
      <c r="AG76" s="17">
        <f t="shared" si="23"/>
        <v>1888.3975927040885</v>
      </c>
      <c r="AH76" s="17">
        <f t="shared" si="24"/>
        <v>0</v>
      </c>
      <c r="AI76" s="15">
        <f t="shared" si="16"/>
        <v>0</v>
      </c>
    </row>
    <row r="77" spans="1:35">
      <c r="A77" s="14">
        <v>34</v>
      </c>
      <c r="B77" s="15">
        <f t="shared" si="0"/>
        <v>3</v>
      </c>
      <c r="C77" s="16">
        <f>(1+INDEX('1 - Input'!$B$34:$E$63,B77,'1 - Input'!$B$16))^(1/12)-1</f>
        <v>4.1219243192651689E-3</v>
      </c>
      <c r="D77" s="17">
        <f>'1 - Input'!$B$7*(1+'1 - Input'!$B$12)^(B77-1)</f>
        <v>2809.08</v>
      </c>
      <c r="E77" s="17">
        <f t="shared" si="17"/>
        <v>456601.75883731671</v>
      </c>
      <c r="F77" s="17">
        <f t="shared" si="18"/>
        <v>398643.54827746534</v>
      </c>
      <c r="G77" s="17">
        <f t="shared" si="1"/>
        <v>458483.83673128748</v>
      </c>
      <c r="H77" s="17">
        <f>0</f>
        <v>0</v>
      </c>
      <c r="I77" s="17">
        <f t="shared" si="2"/>
        <v>458483.83673128748</v>
      </c>
      <c r="J77" s="17">
        <f t="shared" si="3"/>
        <v>0</v>
      </c>
      <c r="K77" s="17">
        <f>'1 - Input'!$B$22*(H77-J77)</f>
        <v>0</v>
      </c>
      <c r="L77" s="17">
        <f t="shared" si="4"/>
        <v>0</v>
      </c>
      <c r="M77" s="17">
        <f t="shared" si="5"/>
        <v>398643.54827746534</v>
      </c>
      <c r="N77" s="17">
        <f>0</f>
        <v>0</v>
      </c>
      <c r="O77" s="17">
        <f t="shared" si="6"/>
        <v>2809.08</v>
      </c>
      <c r="P77" s="17">
        <f t="shared" si="7"/>
        <v>0.13051777109624452</v>
      </c>
      <c r="Q77" s="17">
        <f>IF(AND(O77&gt;0,I77&gt;0),O77/(1-'1 - Input'!$B$22*P77),0)</f>
        <v>2907.7535118899809</v>
      </c>
      <c r="R77" s="17">
        <f t="shared" si="8"/>
        <v>2907.7535118899809</v>
      </c>
      <c r="S77" s="17">
        <f>'1 - Input'!$B$22*P77*R77</f>
        <v>98.673511889980986</v>
      </c>
      <c r="T77" s="17">
        <f t="shared" si="9"/>
        <v>2809.08</v>
      </c>
      <c r="U77" s="17">
        <f t="shared" si="10"/>
        <v>0</v>
      </c>
      <c r="V77" s="17">
        <f t="shared" si="11"/>
        <v>0</v>
      </c>
      <c r="W77" s="17">
        <f t="shared" si="12"/>
        <v>455576.08321939752</v>
      </c>
      <c r="X77" s="17">
        <f t="shared" si="13"/>
        <v>396115.30827284453</v>
      </c>
      <c r="Y77" s="17">
        <f>IF(MOD(A77,12)=0,W77*'1 - Input'!$B$23,0)</f>
        <v>0</v>
      </c>
      <c r="Z77" s="17">
        <f t="shared" si="14"/>
        <v>455576.08321939752</v>
      </c>
      <c r="AA77" s="17">
        <f>IF(MOD(A77,12)=0,X77*(1-'1 - Input'!$B$23),X77)</f>
        <v>396115.30827284453</v>
      </c>
      <c r="AB77" s="17">
        <f t="shared" si="15"/>
        <v>2809.08</v>
      </c>
      <c r="AC77" s="17">
        <f t="shared" si="19"/>
        <v>93538.800000000017</v>
      </c>
      <c r="AD77" s="17">
        <f t="shared" si="20"/>
        <v>0</v>
      </c>
      <c r="AE77" s="17">
        <f t="shared" si="21"/>
        <v>1724.7091378214036</v>
      </c>
      <c r="AF77" s="17">
        <f t="shared" si="22"/>
        <v>0</v>
      </c>
      <c r="AG77" s="17">
        <f t="shared" si="23"/>
        <v>1888.3975927040885</v>
      </c>
      <c r="AH77" s="17">
        <f t="shared" si="24"/>
        <v>0</v>
      </c>
      <c r="AI77" s="15">
        <f t="shared" si="16"/>
        <v>0</v>
      </c>
    </row>
    <row r="78" spans="1:35">
      <c r="A78" s="14">
        <v>35</v>
      </c>
      <c r="B78" s="15">
        <f t="shared" si="0"/>
        <v>3</v>
      </c>
      <c r="C78" s="16">
        <f>(1+INDEX('1 - Input'!$B$34:$E$63,B78,'1 - Input'!$B$16))^(1/12)-1</f>
        <v>4.1219243192651689E-3</v>
      </c>
      <c r="D78" s="17">
        <f>'1 - Input'!$B$7*(1+'1 - Input'!$B$12)^(B78-1)</f>
        <v>2809.08</v>
      </c>
      <c r="E78" s="17">
        <f t="shared" si="17"/>
        <v>455576.08321939752</v>
      </c>
      <c r="F78" s="17">
        <f t="shared" si="18"/>
        <v>396115.30827284453</v>
      </c>
      <c r="G78" s="17">
        <f t="shared" si="1"/>
        <v>457453.93335609511</v>
      </c>
      <c r="H78" s="17">
        <f>0</f>
        <v>0</v>
      </c>
      <c r="I78" s="17">
        <f t="shared" si="2"/>
        <v>457453.93335609511</v>
      </c>
      <c r="J78" s="17">
        <f t="shared" si="3"/>
        <v>0</v>
      </c>
      <c r="K78" s="17">
        <f>'1 - Input'!$B$22*(H78-J78)</f>
        <v>0</v>
      </c>
      <c r="L78" s="17">
        <f t="shared" si="4"/>
        <v>0</v>
      </c>
      <c r="M78" s="17">
        <f t="shared" si="5"/>
        <v>396115.30827284453</v>
      </c>
      <c r="N78" s="17">
        <f>0</f>
        <v>0</v>
      </c>
      <c r="O78" s="17">
        <f t="shared" si="6"/>
        <v>2809.08</v>
      </c>
      <c r="P78" s="17">
        <f t="shared" si="7"/>
        <v>0.13408699895362541</v>
      </c>
      <c r="Q78" s="17">
        <f>IF(AND(O78&gt;0,I78&gt;0),O78/(1-'1 - Input'!$B$22*P78),0)</f>
        <v>2910.5493760983159</v>
      </c>
      <c r="R78" s="17">
        <f t="shared" si="8"/>
        <v>2910.5493760983159</v>
      </c>
      <c r="S78" s="17">
        <f>'1 - Input'!$B$22*P78*R78</f>
        <v>101.46937609831619</v>
      </c>
      <c r="T78" s="17">
        <f t="shared" si="9"/>
        <v>2809.0799999999995</v>
      </c>
      <c r="U78" s="17">
        <f t="shared" si="10"/>
        <v>0</v>
      </c>
      <c r="V78" s="17">
        <f t="shared" si="11"/>
        <v>0</v>
      </c>
      <c r="W78" s="17">
        <f t="shared" si="12"/>
        <v>454543.38397999678</v>
      </c>
      <c r="X78" s="17">
        <f t="shared" si="13"/>
        <v>393595.02572789358</v>
      </c>
      <c r="Y78" s="17">
        <f>IF(MOD(A78,12)=0,W78*'1 - Input'!$B$23,0)</f>
        <v>0</v>
      </c>
      <c r="Z78" s="17">
        <f t="shared" si="14"/>
        <v>454543.38397999678</v>
      </c>
      <c r="AA78" s="17">
        <f>IF(MOD(A78,12)=0,X78*(1-'1 - Input'!$B$23),X78)</f>
        <v>393595.02572789358</v>
      </c>
      <c r="AB78" s="17">
        <f t="shared" si="15"/>
        <v>2809.0799999999995</v>
      </c>
      <c r="AC78" s="17">
        <f t="shared" si="19"/>
        <v>96347.880000000019</v>
      </c>
      <c r="AD78" s="17">
        <f t="shared" si="20"/>
        <v>0</v>
      </c>
      <c r="AE78" s="17">
        <f t="shared" si="21"/>
        <v>1826.1785139197198</v>
      </c>
      <c r="AF78" s="17">
        <f t="shared" si="22"/>
        <v>0</v>
      </c>
      <c r="AG78" s="17">
        <f t="shared" si="23"/>
        <v>1888.3975927040885</v>
      </c>
      <c r="AH78" s="17">
        <f t="shared" si="24"/>
        <v>0</v>
      </c>
      <c r="AI78" s="15">
        <f t="shared" si="16"/>
        <v>0</v>
      </c>
    </row>
    <row r="79" spans="1:35">
      <c r="A79" s="14">
        <v>36</v>
      </c>
      <c r="B79" s="15">
        <f t="shared" si="0"/>
        <v>3</v>
      </c>
      <c r="C79" s="16">
        <f>(1+INDEX('1 - Input'!$B$34:$E$63,B79,'1 - Input'!$B$16))^(1/12)-1</f>
        <v>4.1219243192651689E-3</v>
      </c>
      <c r="D79" s="17">
        <f>'1 - Input'!$B$7*(1+'1 - Input'!$B$12)^(B79-1)</f>
        <v>2809.08</v>
      </c>
      <c r="E79" s="17">
        <f t="shared" si="17"/>
        <v>454543.38397999678</v>
      </c>
      <c r="F79" s="17">
        <f t="shared" si="18"/>
        <v>393595.02572789358</v>
      </c>
      <c r="G79" s="17">
        <f t="shared" si="1"/>
        <v>456416.97740858502</v>
      </c>
      <c r="H79" s="17">
        <f>0</f>
        <v>0</v>
      </c>
      <c r="I79" s="17">
        <f t="shared" si="2"/>
        <v>456416.97740858502</v>
      </c>
      <c r="J79" s="17">
        <f t="shared" si="3"/>
        <v>0</v>
      </c>
      <c r="K79" s="17">
        <f>'1 - Input'!$B$22*(H79-J79)</f>
        <v>0</v>
      </c>
      <c r="L79" s="17">
        <f t="shared" si="4"/>
        <v>0</v>
      </c>
      <c r="M79" s="17">
        <f t="shared" si="5"/>
        <v>393595.02572789358</v>
      </c>
      <c r="N79" s="17">
        <f>0</f>
        <v>0</v>
      </c>
      <c r="O79" s="17">
        <f t="shared" si="6"/>
        <v>2809.08</v>
      </c>
      <c r="P79" s="17">
        <f t="shared" si="7"/>
        <v>0.13764157511707364</v>
      </c>
      <c r="Q79" s="17">
        <f>IF(AND(O79&gt;0,I79&gt;0),O79/(1-'1 - Input'!$B$22*P79),0)</f>
        <v>2913.3391118949635</v>
      </c>
      <c r="R79" s="17">
        <f t="shared" si="8"/>
        <v>2913.3391118949635</v>
      </c>
      <c r="S79" s="17">
        <f>'1 - Input'!$B$22*P79*R79</f>
        <v>104.25911189496379</v>
      </c>
      <c r="T79" s="17">
        <f t="shared" si="9"/>
        <v>2809.0799999999995</v>
      </c>
      <c r="U79" s="17">
        <f t="shared" si="10"/>
        <v>0</v>
      </c>
      <c r="V79" s="17">
        <f t="shared" si="11"/>
        <v>0</v>
      </c>
      <c r="W79" s="17">
        <f t="shared" si="12"/>
        <v>453503.63829669007</v>
      </c>
      <c r="X79" s="17">
        <f t="shared" si="13"/>
        <v>391082.68320020998</v>
      </c>
      <c r="Y79" s="17">
        <f>IF(MOD(A79,12)=0,W79*'1 - Input'!$B$23,0)</f>
        <v>907.0072765933802</v>
      </c>
      <c r="Z79" s="17">
        <f t="shared" si="14"/>
        <v>452596.63102009671</v>
      </c>
      <c r="AA79" s="17">
        <f>IF(MOD(A79,12)=0,X79*(1-'1 - Input'!$B$23),X79)</f>
        <v>390300.51783380954</v>
      </c>
      <c r="AB79" s="17">
        <f t="shared" si="15"/>
        <v>2809.0799999999995</v>
      </c>
      <c r="AC79" s="17">
        <f t="shared" si="19"/>
        <v>99156.960000000021</v>
      </c>
      <c r="AD79" s="17">
        <f t="shared" si="20"/>
        <v>0</v>
      </c>
      <c r="AE79" s="17">
        <f t="shared" si="21"/>
        <v>1930.4376258146835</v>
      </c>
      <c r="AF79" s="17">
        <f t="shared" si="22"/>
        <v>0</v>
      </c>
      <c r="AG79" s="17">
        <f t="shared" si="23"/>
        <v>2795.4048692974688</v>
      </c>
      <c r="AH79" s="17">
        <f t="shared" si="24"/>
        <v>0</v>
      </c>
      <c r="AI79" s="15">
        <f t="shared" si="16"/>
        <v>0</v>
      </c>
    </row>
    <row r="80" spans="1:35">
      <c r="A80" s="14">
        <v>37</v>
      </c>
      <c r="B80" s="15">
        <f t="shared" si="0"/>
        <v>4</v>
      </c>
      <c r="C80" s="16">
        <f>(1+INDEX('1 - Input'!$B$34:$E$63,B80,'1 - Input'!$B$16))^(1/12)-1</f>
        <v>4.1219243192651689E-3</v>
      </c>
      <c r="D80" s="17">
        <f>'1 - Input'!$B$7*(1+'1 - Input'!$B$12)^(B80-1)</f>
        <v>2865.2615999999998</v>
      </c>
      <c r="E80" s="17">
        <f t="shared" si="17"/>
        <v>452596.63102009671</v>
      </c>
      <c r="F80" s="17">
        <f t="shared" si="18"/>
        <v>390300.51783380954</v>
      </c>
      <c r="G80" s="17">
        <f t="shared" si="1"/>
        <v>454462.20008031593</v>
      </c>
      <c r="H80" s="17">
        <f>0</f>
        <v>0</v>
      </c>
      <c r="I80" s="17">
        <f t="shared" si="2"/>
        <v>454462.20008031593</v>
      </c>
      <c r="J80" s="17">
        <f t="shared" si="3"/>
        <v>0</v>
      </c>
      <c r="K80" s="17">
        <f>'1 - Input'!$B$22*(H80-J80)</f>
        <v>0</v>
      </c>
      <c r="L80" s="17">
        <f t="shared" si="4"/>
        <v>0</v>
      </c>
      <c r="M80" s="17">
        <f t="shared" si="5"/>
        <v>390300.51783380954</v>
      </c>
      <c r="N80" s="17">
        <f>0</f>
        <v>0</v>
      </c>
      <c r="O80" s="17">
        <f t="shared" si="6"/>
        <v>2865.2615999999998</v>
      </c>
      <c r="P80" s="17">
        <f t="shared" si="7"/>
        <v>0.14118155973184843</v>
      </c>
      <c r="Q80" s="17">
        <f>IF(AND(O80&gt;0,I80&gt;0),O80/(1-'1 - Input'!$B$22*P80),0)</f>
        <v>2974.4451702011229</v>
      </c>
      <c r="R80" s="17">
        <f t="shared" si="8"/>
        <v>2974.4451702011229</v>
      </c>
      <c r="S80" s="17">
        <f>'1 - Input'!$B$22*P80*R80</f>
        <v>109.18357020112305</v>
      </c>
      <c r="T80" s="17">
        <f t="shared" si="9"/>
        <v>2865.2615999999998</v>
      </c>
      <c r="U80" s="17">
        <f t="shared" si="10"/>
        <v>0</v>
      </c>
      <c r="V80" s="17">
        <f t="shared" si="11"/>
        <v>0</v>
      </c>
      <c r="W80" s="17">
        <f t="shared" si="12"/>
        <v>451487.7549101148</v>
      </c>
      <c r="X80" s="17">
        <f t="shared" si="13"/>
        <v>387746.00947207428</v>
      </c>
      <c r="Y80" s="17">
        <f>IF(MOD(A80,12)=0,W80*'1 - Input'!$B$23,0)</f>
        <v>0</v>
      </c>
      <c r="Z80" s="17">
        <f t="shared" si="14"/>
        <v>451487.7549101148</v>
      </c>
      <c r="AA80" s="17">
        <f>IF(MOD(A80,12)=0,X80*(1-'1 - Input'!$B$23),X80)</f>
        <v>387746.00947207428</v>
      </c>
      <c r="AB80" s="17">
        <f t="shared" si="15"/>
        <v>2865.2615999999998</v>
      </c>
      <c r="AC80" s="17">
        <f t="shared" si="19"/>
        <v>102022.22160000002</v>
      </c>
      <c r="AD80" s="17">
        <f t="shared" si="20"/>
        <v>0</v>
      </c>
      <c r="AE80" s="17">
        <f t="shared" si="21"/>
        <v>2039.6211960158066</v>
      </c>
      <c r="AF80" s="17">
        <f t="shared" si="22"/>
        <v>0</v>
      </c>
      <c r="AG80" s="17">
        <f t="shared" si="23"/>
        <v>2795.4048692974688</v>
      </c>
      <c r="AH80" s="17">
        <f t="shared" si="24"/>
        <v>0</v>
      </c>
      <c r="AI80" s="15">
        <f t="shared" si="16"/>
        <v>0</v>
      </c>
    </row>
    <row r="81" spans="1:35">
      <c r="A81" s="14">
        <v>38</v>
      </c>
      <c r="B81" s="15">
        <f t="shared" si="0"/>
        <v>4</v>
      </c>
      <c r="C81" s="16">
        <f>(1+INDEX('1 - Input'!$B$34:$E$63,B81,'1 - Input'!$B$16))^(1/12)-1</f>
        <v>4.1219243192651689E-3</v>
      </c>
      <c r="D81" s="17">
        <f>'1 - Input'!$B$7*(1+'1 - Input'!$B$12)^(B81-1)</f>
        <v>2865.2615999999998</v>
      </c>
      <c r="E81" s="17">
        <f t="shared" si="17"/>
        <v>451487.7549101148</v>
      </c>
      <c r="F81" s="17">
        <f t="shared" si="18"/>
        <v>387746.00947207428</v>
      </c>
      <c r="G81" s="17">
        <f t="shared" si="1"/>
        <v>453348.75326692924</v>
      </c>
      <c r="H81" s="17">
        <f>0</f>
        <v>0</v>
      </c>
      <c r="I81" s="17">
        <f t="shared" si="2"/>
        <v>453348.75326692924</v>
      </c>
      <c r="J81" s="17">
        <f t="shared" si="3"/>
        <v>0</v>
      </c>
      <c r="K81" s="17">
        <f>'1 - Input'!$B$22*(H81-J81)</f>
        <v>0</v>
      </c>
      <c r="L81" s="17">
        <f t="shared" si="4"/>
        <v>0</v>
      </c>
      <c r="M81" s="17">
        <f t="shared" si="5"/>
        <v>387746.00947207428</v>
      </c>
      <c r="N81" s="17">
        <f>0</f>
        <v>0</v>
      </c>
      <c r="O81" s="17">
        <f t="shared" si="6"/>
        <v>2865.2615999999998</v>
      </c>
      <c r="P81" s="17">
        <f t="shared" si="7"/>
        <v>0.14470701269631248</v>
      </c>
      <c r="Q81" s="17">
        <f>IF(AND(O81&gt;0,I81&gt;0),O81/(1-'1 - Input'!$B$22*P81),0)</f>
        <v>2977.2781884814708</v>
      </c>
      <c r="R81" s="17">
        <f t="shared" si="8"/>
        <v>2977.2781884814708</v>
      </c>
      <c r="S81" s="17">
        <f>'1 - Input'!$B$22*P81*R81</f>
        <v>112.01658848147103</v>
      </c>
      <c r="T81" s="17">
        <f t="shared" si="9"/>
        <v>2865.2615999999998</v>
      </c>
      <c r="U81" s="17">
        <f t="shared" si="10"/>
        <v>0</v>
      </c>
      <c r="V81" s="17">
        <f t="shared" si="11"/>
        <v>0</v>
      </c>
      <c r="W81" s="17">
        <f t="shared" si="12"/>
        <v>450371.47507844778</v>
      </c>
      <c r="X81" s="17">
        <f t="shared" si="13"/>
        <v>385199.56431621389</v>
      </c>
      <c r="Y81" s="17">
        <f>IF(MOD(A81,12)=0,W81*'1 - Input'!$B$23,0)</f>
        <v>0</v>
      </c>
      <c r="Z81" s="17">
        <f t="shared" si="14"/>
        <v>450371.47507844778</v>
      </c>
      <c r="AA81" s="17">
        <f>IF(MOD(A81,12)=0,X81*(1-'1 - Input'!$B$23),X81)</f>
        <v>385199.56431621389</v>
      </c>
      <c r="AB81" s="17">
        <f t="shared" si="15"/>
        <v>2865.2615999999998</v>
      </c>
      <c r="AC81" s="17">
        <f t="shared" si="19"/>
        <v>104887.48320000002</v>
      </c>
      <c r="AD81" s="17">
        <f t="shared" si="20"/>
        <v>0</v>
      </c>
      <c r="AE81" s="17">
        <f t="shared" si="21"/>
        <v>2151.6377844972776</v>
      </c>
      <c r="AF81" s="17">
        <f t="shared" si="22"/>
        <v>0</v>
      </c>
      <c r="AG81" s="17">
        <f t="shared" si="23"/>
        <v>2795.4048692974688</v>
      </c>
      <c r="AH81" s="17">
        <f t="shared" si="24"/>
        <v>0</v>
      </c>
      <c r="AI81" s="15">
        <f t="shared" si="16"/>
        <v>0</v>
      </c>
    </row>
    <row r="82" spans="1:35">
      <c r="A82" s="14">
        <v>39</v>
      </c>
      <c r="B82" s="15">
        <f t="shared" si="0"/>
        <v>4</v>
      </c>
      <c r="C82" s="16">
        <f>(1+INDEX('1 - Input'!$B$34:$E$63,B82,'1 - Input'!$B$16))^(1/12)-1</f>
        <v>4.1219243192651689E-3</v>
      </c>
      <c r="D82" s="17">
        <f>'1 - Input'!$B$7*(1+'1 - Input'!$B$12)^(B82-1)</f>
        <v>2865.2615999999998</v>
      </c>
      <c r="E82" s="17">
        <f t="shared" si="17"/>
        <v>450371.47507844778</v>
      </c>
      <c r="F82" s="17">
        <f t="shared" si="18"/>
        <v>385199.56431621389</v>
      </c>
      <c r="G82" s="17">
        <f t="shared" si="1"/>
        <v>452227.87221427698</v>
      </c>
      <c r="H82" s="17">
        <f>0</f>
        <v>0</v>
      </c>
      <c r="I82" s="17">
        <f t="shared" si="2"/>
        <v>452227.87221427698</v>
      </c>
      <c r="J82" s="17">
        <f t="shared" si="3"/>
        <v>0</v>
      </c>
      <c r="K82" s="17">
        <f>'1 - Input'!$B$22*(H82-J82)</f>
        <v>0</v>
      </c>
      <c r="L82" s="17">
        <f t="shared" si="4"/>
        <v>0</v>
      </c>
      <c r="M82" s="17">
        <f t="shared" si="5"/>
        <v>385199.56431621389</v>
      </c>
      <c r="N82" s="17">
        <f>0</f>
        <v>0</v>
      </c>
      <c r="O82" s="17">
        <f t="shared" si="6"/>
        <v>2865.2615999999998</v>
      </c>
      <c r="P82" s="17">
        <f t="shared" si="7"/>
        <v>0.14821799366294564</v>
      </c>
      <c r="Q82" s="17">
        <f>IF(AND(O82&gt;0,I82&gt;0),O82/(1-'1 - Input'!$B$22*P82),0)</f>
        <v>2980.1049457506888</v>
      </c>
      <c r="R82" s="17">
        <f t="shared" si="8"/>
        <v>2980.1049457506888</v>
      </c>
      <c r="S82" s="17">
        <f>'1 - Input'!$B$22*P82*R82</f>
        <v>114.84334575068901</v>
      </c>
      <c r="T82" s="17">
        <f t="shared" si="9"/>
        <v>2865.2615999999998</v>
      </c>
      <c r="U82" s="17">
        <f t="shared" si="10"/>
        <v>0</v>
      </c>
      <c r="V82" s="17">
        <f t="shared" si="11"/>
        <v>0</v>
      </c>
      <c r="W82" s="17">
        <f t="shared" si="12"/>
        <v>449247.76726852631</v>
      </c>
      <c r="X82" s="17">
        <f t="shared" si="13"/>
        <v>382661.16454642738</v>
      </c>
      <c r="Y82" s="17">
        <f>IF(MOD(A82,12)=0,W82*'1 - Input'!$B$23,0)</f>
        <v>0</v>
      </c>
      <c r="Z82" s="17">
        <f t="shared" si="14"/>
        <v>449247.76726852631</v>
      </c>
      <c r="AA82" s="17">
        <f>IF(MOD(A82,12)=0,X82*(1-'1 - Input'!$B$23),X82)</f>
        <v>382661.16454642738</v>
      </c>
      <c r="AB82" s="17">
        <f t="shared" si="15"/>
        <v>2865.2615999999998</v>
      </c>
      <c r="AC82" s="17">
        <f t="shared" si="19"/>
        <v>107752.74480000001</v>
      </c>
      <c r="AD82" s="17">
        <f t="shared" si="20"/>
        <v>0</v>
      </c>
      <c r="AE82" s="17">
        <f t="shared" si="21"/>
        <v>2266.4811302479666</v>
      </c>
      <c r="AF82" s="17">
        <f t="shared" si="22"/>
        <v>0</v>
      </c>
      <c r="AG82" s="17">
        <f t="shared" si="23"/>
        <v>2795.4048692974688</v>
      </c>
      <c r="AH82" s="17">
        <f t="shared" si="24"/>
        <v>0</v>
      </c>
      <c r="AI82" s="15">
        <f t="shared" si="16"/>
        <v>0</v>
      </c>
    </row>
    <row r="83" spans="1:35">
      <c r="A83" s="14">
        <v>40</v>
      </c>
      <c r="B83" s="15">
        <f t="shared" si="0"/>
        <v>4</v>
      </c>
      <c r="C83" s="16">
        <f>(1+INDEX('1 - Input'!$B$34:$E$63,B83,'1 - Input'!$B$16))^(1/12)-1</f>
        <v>4.1219243192651689E-3</v>
      </c>
      <c r="D83" s="17">
        <f>'1 - Input'!$B$7*(1+'1 - Input'!$B$12)^(B83-1)</f>
        <v>2865.2615999999998</v>
      </c>
      <c r="E83" s="17">
        <f t="shared" si="17"/>
        <v>449247.76726852631</v>
      </c>
      <c r="F83" s="17">
        <f t="shared" si="18"/>
        <v>382661.16454642738</v>
      </c>
      <c r="G83" s="17">
        <f t="shared" si="1"/>
        <v>451099.532565806</v>
      </c>
      <c r="H83" s="17">
        <f>0</f>
        <v>0</v>
      </c>
      <c r="I83" s="17">
        <f t="shared" si="2"/>
        <v>451099.532565806</v>
      </c>
      <c r="J83" s="17">
        <f t="shared" si="3"/>
        <v>0</v>
      </c>
      <c r="K83" s="17">
        <f>'1 - Input'!$B$22*(H83-J83)</f>
        <v>0</v>
      </c>
      <c r="L83" s="17">
        <f t="shared" si="4"/>
        <v>0</v>
      </c>
      <c r="M83" s="17">
        <f t="shared" si="5"/>
        <v>382661.16454642738</v>
      </c>
      <c r="N83" s="17">
        <f>0</f>
        <v>0</v>
      </c>
      <c r="O83" s="17">
        <f t="shared" si="6"/>
        <v>2865.2615999999998</v>
      </c>
      <c r="P83" s="17">
        <f t="shared" si="7"/>
        <v>0.15171456203935418</v>
      </c>
      <c r="Q83" s="17">
        <f>IF(AND(O83&gt;0,I83&gt;0),O83/(1-'1 - Input'!$B$22*P83),0)</f>
        <v>2982.9254389054945</v>
      </c>
      <c r="R83" s="17">
        <f t="shared" si="8"/>
        <v>2982.9254389054945</v>
      </c>
      <c r="S83" s="17">
        <f>'1 - Input'!$B$22*P83*R83</f>
        <v>117.66383890549483</v>
      </c>
      <c r="T83" s="17">
        <f t="shared" si="9"/>
        <v>2865.2615999999998</v>
      </c>
      <c r="U83" s="17">
        <f t="shared" si="10"/>
        <v>0</v>
      </c>
      <c r="V83" s="17">
        <f t="shared" si="11"/>
        <v>0</v>
      </c>
      <c r="W83" s="17">
        <f t="shared" si="12"/>
        <v>448116.60712690052</v>
      </c>
      <c r="X83" s="17">
        <f t="shared" si="13"/>
        <v>380130.79233408149</v>
      </c>
      <c r="Y83" s="17">
        <f>IF(MOD(A83,12)=0,W83*'1 - Input'!$B$23,0)</f>
        <v>0</v>
      </c>
      <c r="Z83" s="17">
        <f t="shared" si="14"/>
        <v>448116.60712690052</v>
      </c>
      <c r="AA83" s="17">
        <f>IF(MOD(A83,12)=0,X83*(1-'1 - Input'!$B$23),X83)</f>
        <v>380130.79233408149</v>
      </c>
      <c r="AB83" s="17">
        <f t="shared" si="15"/>
        <v>2865.2615999999998</v>
      </c>
      <c r="AC83" s="17">
        <f t="shared" si="19"/>
        <v>110618.00640000001</v>
      </c>
      <c r="AD83" s="17">
        <f t="shared" si="20"/>
        <v>0</v>
      </c>
      <c r="AE83" s="17">
        <f t="shared" si="21"/>
        <v>2384.1449691534613</v>
      </c>
      <c r="AF83" s="17">
        <f t="shared" si="22"/>
        <v>0</v>
      </c>
      <c r="AG83" s="17">
        <f t="shared" si="23"/>
        <v>2795.4048692974688</v>
      </c>
      <c r="AH83" s="17">
        <f t="shared" si="24"/>
        <v>0</v>
      </c>
      <c r="AI83" s="15">
        <f t="shared" si="16"/>
        <v>0</v>
      </c>
    </row>
    <row r="84" spans="1:35">
      <c r="A84" s="14">
        <v>41</v>
      </c>
      <c r="B84" s="15">
        <f t="shared" si="0"/>
        <v>4</v>
      </c>
      <c r="C84" s="16">
        <f>(1+INDEX('1 - Input'!$B$34:$E$63,B84,'1 - Input'!$B$16))^(1/12)-1</f>
        <v>4.1219243192651689E-3</v>
      </c>
      <c r="D84" s="17">
        <f>'1 - Input'!$B$7*(1+'1 - Input'!$B$12)^(B84-1)</f>
        <v>2865.2615999999998</v>
      </c>
      <c r="E84" s="17">
        <f t="shared" si="17"/>
        <v>448116.60712690052</v>
      </c>
      <c r="F84" s="17">
        <f t="shared" si="18"/>
        <v>380130.79233408149</v>
      </c>
      <c r="G84" s="17">
        <f t="shared" si="1"/>
        <v>449963.70986768347</v>
      </c>
      <c r="H84" s="17">
        <f>0</f>
        <v>0</v>
      </c>
      <c r="I84" s="17">
        <f t="shared" si="2"/>
        <v>449963.70986768347</v>
      </c>
      <c r="J84" s="17">
        <f t="shared" si="3"/>
        <v>0</v>
      </c>
      <c r="K84" s="17">
        <f>'1 - Input'!$B$22*(H84-J84)</f>
        <v>0</v>
      </c>
      <c r="L84" s="17">
        <f t="shared" si="4"/>
        <v>0</v>
      </c>
      <c r="M84" s="17">
        <f t="shared" si="5"/>
        <v>380130.79233408149</v>
      </c>
      <c r="N84" s="17">
        <f>0</f>
        <v>0</v>
      </c>
      <c r="O84" s="17">
        <f t="shared" si="6"/>
        <v>2865.2615999999998</v>
      </c>
      <c r="P84" s="17">
        <f t="shared" si="7"/>
        <v>0.15519677698927559</v>
      </c>
      <c r="Q84" s="17">
        <f>IF(AND(O84&gt;0,I84&gt;0),O84/(1-'1 - Input'!$B$22*P84),0)</f>
        <v>2985.739664962101</v>
      </c>
      <c r="R84" s="17">
        <f t="shared" si="8"/>
        <v>2985.739664962101</v>
      </c>
      <c r="S84" s="17">
        <f>'1 - Input'!$B$22*P84*R84</f>
        <v>120.47806496210097</v>
      </c>
      <c r="T84" s="17">
        <f t="shared" si="9"/>
        <v>2865.2615999999998</v>
      </c>
      <c r="U84" s="17">
        <f t="shared" si="10"/>
        <v>0</v>
      </c>
      <c r="V84" s="17">
        <f t="shared" si="11"/>
        <v>0</v>
      </c>
      <c r="W84" s="17">
        <f t="shared" si="12"/>
        <v>446977.97020272136</v>
      </c>
      <c r="X84" s="17">
        <f t="shared" si="13"/>
        <v>377608.42984205054</v>
      </c>
      <c r="Y84" s="17">
        <f>IF(MOD(A84,12)=0,W84*'1 - Input'!$B$23,0)</f>
        <v>0</v>
      </c>
      <c r="Z84" s="17">
        <f t="shared" si="14"/>
        <v>446977.97020272136</v>
      </c>
      <c r="AA84" s="17">
        <f>IF(MOD(A84,12)=0,X84*(1-'1 - Input'!$B$23),X84)</f>
        <v>377608.42984205054</v>
      </c>
      <c r="AB84" s="17">
        <f t="shared" si="15"/>
        <v>2865.2615999999998</v>
      </c>
      <c r="AC84" s="17">
        <f t="shared" si="19"/>
        <v>113483.26800000001</v>
      </c>
      <c r="AD84" s="17">
        <f t="shared" si="20"/>
        <v>0</v>
      </c>
      <c r="AE84" s="17">
        <f t="shared" si="21"/>
        <v>2504.6230341155624</v>
      </c>
      <c r="AF84" s="17">
        <f t="shared" si="22"/>
        <v>0</v>
      </c>
      <c r="AG84" s="17">
        <f t="shared" si="23"/>
        <v>2795.4048692974688</v>
      </c>
      <c r="AH84" s="17">
        <f t="shared" si="24"/>
        <v>0</v>
      </c>
      <c r="AI84" s="15">
        <f t="shared" si="16"/>
        <v>0</v>
      </c>
    </row>
    <row r="85" spans="1:35">
      <c r="A85" s="14">
        <v>42</v>
      </c>
      <c r="B85" s="15">
        <f t="shared" si="0"/>
        <v>4</v>
      </c>
      <c r="C85" s="16">
        <f>(1+INDEX('1 - Input'!$B$34:$E$63,B85,'1 - Input'!$B$16))^(1/12)-1</f>
        <v>4.1219243192651689E-3</v>
      </c>
      <c r="D85" s="17">
        <f>'1 - Input'!$B$7*(1+'1 - Input'!$B$12)^(B85-1)</f>
        <v>2865.2615999999998</v>
      </c>
      <c r="E85" s="17">
        <f t="shared" si="17"/>
        <v>446977.97020272136</v>
      </c>
      <c r="F85" s="17">
        <f t="shared" si="18"/>
        <v>377608.42984205054</v>
      </c>
      <c r="G85" s="17">
        <f t="shared" si="1"/>
        <v>448820.37956827576</v>
      </c>
      <c r="H85" s="17">
        <f>0</f>
        <v>0</v>
      </c>
      <c r="I85" s="17">
        <f t="shared" si="2"/>
        <v>448820.37956827576</v>
      </c>
      <c r="J85" s="17">
        <f t="shared" si="3"/>
        <v>0</v>
      </c>
      <c r="K85" s="17">
        <f>'1 - Input'!$B$22*(H85-J85)</f>
        <v>0</v>
      </c>
      <c r="L85" s="17">
        <f t="shared" si="4"/>
        <v>0</v>
      </c>
      <c r="M85" s="17">
        <f t="shared" si="5"/>
        <v>377608.42984205054</v>
      </c>
      <c r="N85" s="17">
        <f>0</f>
        <v>0</v>
      </c>
      <c r="O85" s="17">
        <f t="shared" si="6"/>
        <v>2865.2615999999998</v>
      </c>
      <c r="P85" s="17">
        <f t="shared" si="7"/>
        <v>0.15866469743358047</v>
      </c>
      <c r="Q85" s="17">
        <f>IF(AND(O85&gt;0,I85&gt;0),O85/(1-'1 - Input'!$B$22*P85),0)</f>
        <v>2988.5476210557713</v>
      </c>
      <c r="R85" s="17">
        <f t="shared" si="8"/>
        <v>2988.5476210557713</v>
      </c>
      <c r="S85" s="17">
        <f>'1 - Input'!$B$22*P85*R85</f>
        <v>123.28602105577177</v>
      </c>
      <c r="T85" s="17">
        <f t="shared" si="9"/>
        <v>2865.2615999999994</v>
      </c>
      <c r="U85" s="17">
        <f t="shared" si="10"/>
        <v>0</v>
      </c>
      <c r="V85" s="17">
        <f t="shared" si="11"/>
        <v>0</v>
      </c>
      <c r="W85" s="17">
        <f t="shared" si="12"/>
        <v>445831.83194721997</v>
      </c>
      <c r="X85" s="17">
        <f t="shared" si="13"/>
        <v>375094.05922505545</v>
      </c>
      <c r="Y85" s="17">
        <f>IF(MOD(A85,12)=0,W85*'1 - Input'!$B$23,0)</f>
        <v>0</v>
      </c>
      <c r="Z85" s="17">
        <f t="shared" si="14"/>
        <v>445831.83194721997</v>
      </c>
      <c r="AA85" s="17">
        <f>IF(MOD(A85,12)=0,X85*(1-'1 - Input'!$B$23),X85)</f>
        <v>375094.05922505545</v>
      </c>
      <c r="AB85" s="17">
        <f t="shared" si="15"/>
        <v>2865.2615999999994</v>
      </c>
      <c r="AC85" s="17">
        <f t="shared" si="19"/>
        <v>116348.52960000001</v>
      </c>
      <c r="AD85" s="17">
        <f t="shared" si="20"/>
        <v>0</v>
      </c>
      <c r="AE85" s="17">
        <f t="shared" si="21"/>
        <v>2627.9090551713343</v>
      </c>
      <c r="AF85" s="17">
        <f t="shared" si="22"/>
        <v>0</v>
      </c>
      <c r="AG85" s="17">
        <f t="shared" si="23"/>
        <v>2795.4048692974688</v>
      </c>
      <c r="AH85" s="17">
        <f t="shared" si="24"/>
        <v>0</v>
      </c>
      <c r="AI85" s="15">
        <f t="shared" si="16"/>
        <v>0</v>
      </c>
    </row>
    <row r="86" spans="1:35">
      <c r="A86" s="14">
        <v>43</v>
      </c>
      <c r="B86" s="15">
        <f t="shared" si="0"/>
        <v>4</v>
      </c>
      <c r="C86" s="16">
        <f>(1+INDEX('1 - Input'!$B$34:$E$63,B86,'1 - Input'!$B$16))^(1/12)-1</f>
        <v>4.1219243192651689E-3</v>
      </c>
      <c r="D86" s="17">
        <f>'1 - Input'!$B$7*(1+'1 - Input'!$B$12)^(B86-1)</f>
        <v>2865.2615999999998</v>
      </c>
      <c r="E86" s="17">
        <f t="shared" si="17"/>
        <v>445831.83194721997</v>
      </c>
      <c r="F86" s="17">
        <f t="shared" si="18"/>
        <v>375094.05922505545</v>
      </c>
      <c r="G86" s="17">
        <f t="shared" si="1"/>
        <v>447669.51701762574</v>
      </c>
      <c r="H86" s="17">
        <f>0</f>
        <v>0</v>
      </c>
      <c r="I86" s="17">
        <f t="shared" si="2"/>
        <v>447669.51701762574</v>
      </c>
      <c r="J86" s="17">
        <f t="shared" si="3"/>
        <v>0</v>
      </c>
      <c r="K86" s="17">
        <f>'1 - Input'!$B$22*(H86-J86)</f>
        <v>0</v>
      </c>
      <c r="L86" s="17">
        <f t="shared" si="4"/>
        <v>0</v>
      </c>
      <c r="M86" s="17">
        <f t="shared" si="5"/>
        <v>375094.05922505545</v>
      </c>
      <c r="N86" s="17">
        <f>0</f>
        <v>0</v>
      </c>
      <c r="O86" s="17">
        <f t="shared" si="6"/>
        <v>2865.2615999999998</v>
      </c>
      <c r="P86" s="17">
        <f t="shared" si="7"/>
        <v>0.16211838205126849</v>
      </c>
      <c r="Q86" s="17">
        <f>IF(AND(O86&gt;0,I86&gt;0),O86/(1-'1 - Input'!$B$22*P86),0)</f>
        <v>2991.3493044403758</v>
      </c>
      <c r="R86" s="17">
        <f t="shared" si="8"/>
        <v>2991.3493044403758</v>
      </c>
      <c r="S86" s="17">
        <f>'1 - Input'!$B$22*P86*R86</f>
        <v>126.08770444037589</v>
      </c>
      <c r="T86" s="17">
        <f t="shared" si="9"/>
        <v>2865.2615999999998</v>
      </c>
      <c r="U86" s="17">
        <f t="shared" si="10"/>
        <v>0</v>
      </c>
      <c r="V86" s="17">
        <f t="shared" si="11"/>
        <v>0</v>
      </c>
      <c r="W86" s="17">
        <f t="shared" si="12"/>
        <v>444678.16771318536</v>
      </c>
      <c r="X86" s="17">
        <f t="shared" si="13"/>
        <v>372587.66263000114</v>
      </c>
      <c r="Y86" s="17">
        <f>IF(MOD(A86,12)=0,W86*'1 - Input'!$B$23,0)</f>
        <v>0</v>
      </c>
      <c r="Z86" s="17">
        <f t="shared" si="14"/>
        <v>444678.16771318536</v>
      </c>
      <c r="AA86" s="17">
        <f>IF(MOD(A86,12)=0,X86*(1-'1 - Input'!$B$23),X86)</f>
        <v>372587.66263000114</v>
      </c>
      <c r="AB86" s="17">
        <f t="shared" si="15"/>
        <v>2865.2615999999998</v>
      </c>
      <c r="AC86" s="17">
        <f t="shared" si="19"/>
        <v>119213.79120000001</v>
      </c>
      <c r="AD86" s="17">
        <f t="shared" si="20"/>
        <v>0</v>
      </c>
      <c r="AE86" s="17">
        <f t="shared" si="21"/>
        <v>2753.9967596117103</v>
      </c>
      <c r="AF86" s="17">
        <f t="shared" si="22"/>
        <v>0</v>
      </c>
      <c r="AG86" s="17">
        <f t="shared" si="23"/>
        <v>2795.4048692974688</v>
      </c>
      <c r="AH86" s="17">
        <f t="shared" si="24"/>
        <v>0</v>
      </c>
      <c r="AI86" s="15">
        <f t="shared" si="16"/>
        <v>0</v>
      </c>
    </row>
    <row r="87" spans="1:35">
      <c r="A87" s="14">
        <v>44</v>
      </c>
      <c r="B87" s="15">
        <f t="shared" si="0"/>
        <v>4</v>
      </c>
      <c r="C87" s="16">
        <f>(1+INDEX('1 - Input'!$B$34:$E$63,B87,'1 - Input'!$B$16))^(1/12)-1</f>
        <v>4.1219243192651689E-3</v>
      </c>
      <c r="D87" s="17">
        <f>'1 - Input'!$B$7*(1+'1 - Input'!$B$12)^(B87-1)</f>
        <v>2865.2615999999998</v>
      </c>
      <c r="E87" s="17">
        <f t="shared" si="17"/>
        <v>444678.16771318536</v>
      </c>
      <c r="F87" s="17">
        <f t="shared" si="18"/>
        <v>372587.66263000114</v>
      </c>
      <c r="G87" s="17">
        <f t="shared" si="1"/>
        <v>446511.09746692859</v>
      </c>
      <c r="H87" s="17">
        <f>0</f>
        <v>0</v>
      </c>
      <c r="I87" s="17">
        <f t="shared" si="2"/>
        <v>446511.09746692859</v>
      </c>
      <c r="J87" s="17">
        <f t="shared" si="3"/>
        <v>0</v>
      </c>
      <c r="K87" s="17">
        <f>'1 - Input'!$B$22*(H87-J87)</f>
        <v>0</v>
      </c>
      <c r="L87" s="17">
        <f t="shared" si="4"/>
        <v>0</v>
      </c>
      <c r="M87" s="17">
        <f t="shared" si="5"/>
        <v>372587.66263000114</v>
      </c>
      <c r="N87" s="17">
        <f>0</f>
        <v>0</v>
      </c>
      <c r="O87" s="17">
        <f t="shared" si="6"/>
        <v>2865.2615999999998</v>
      </c>
      <c r="P87" s="17">
        <f t="shared" si="7"/>
        <v>0.16555788928046222</v>
      </c>
      <c r="Q87" s="17">
        <f>IF(AND(O87&gt;0,I87&gt;0),O87/(1-'1 - Input'!$B$22*P87),0)</f>
        <v>2994.1447124879369</v>
      </c>
      <c r="R87" s="17">
        <f t="shared" si="8"/>
        <v>2994.1447124879369</v>
      </c>
      <c r="S87" s="17">
        <f>'1 - Input'!$B$22*P87*R87</f>
        <v>128.88311248793741</v>
      </c>
      <c r="T87" s="17">
        <f t="shared" si="9"/>
        <v>2865.2615999999994</v>
      </c>
      <c r="U87" s="17">
        <f t="shared" si="10"/>
        <v>0</v>
      </c>
      <c r="V87" s="17">
        <f t="shared" si="11"/>
        <v>0</v>
      </c>
      <c r="W87" s="17">
        <f t="shared" si="12"/>
        <v>443516.95275444066</v>
      </c>
      <c r="X87" s="17">
        <f t="shared" si="13"/>
        <v>370089.22219631297</v>
      </c>
      <c r="Y87" s="17">
        <f>IF(MOD(A87,12)=0,W87*'1 - Input'!$B$23,0)</f>
        <v>0</v>
      </c>
      <c r="Z87" s="17">
        <f t="shared" si="14"/>
        <v>443516.95275444066</v>
      </c>
      <c r="AA87" s="17">
        <f>IF(MOD(A87,12)=0,X87*(1-'1 - Input'!$B$23),X87)</f>
        <v>370089.22219631297</v>
      </c>
      <c r="AB87" s="17">
        <f t="shared" si="15"/>
        <v>2865.2615999999994</v>
      </c>
      <c r="AC87" s="17">
        <f t="shared" si="19"/>
        <v>122079.0528</v>
      </c>
      <c r="AD87" s="17">
        <f t="shared" si="20"/>
        <v>0</v>
      </c>
      <c r="AE87" s="17">
        <f t="shared" si="21"/>
        <v>2882.8798720996479</v>
      </c>
      <c r="AF87" s="17">
        <f t="shared" si="22"/>
        <v>0</v>
      </c>
      <c r="AG87" s="17">
        <f t="shared" si="23"/>
        <v>2795.4048692974688</v>
      </c>
      <c r="AH87" s="17">
        <f t="shared" si="24"/>
        <v>0</v>
      </c>
      <c r="AI87" s="15">
        <f t="shared" si="16"/>
        <v>0</v>
      </c>
    </row>
    <row r="88" spans="1:35">
      <c r="A88" s="14">
        <v>45</v>
      </c>
      <c r="B88" s="15">
        <f t="shared" si="0"/>
        <v>4</v>
      </c>
      <c r="C88" s="16">
        <f>(1+INDEX('1 - Input'!$B$34:$E$63,B88,'1 - Input'!$B$16))^(1/12)-1</f>
        <v>4.1219243192651689E-3</v>
      </c>
      <c r="D88" s="17">
        <f>'1 - Input'!$B$7*(1+'1 - Input'!$B$12)^(B88-1)</f>
        <v>2865.2615999999998</v>
      </c>
      <c r="E88" s="17">
        <f t="shared" si="17"/>
        <v>443516.95275444066</v>
      </c>
      <c r="F88" s="17">
        <f t="shared" si="18"/>
        <v>370089.22219631297</v>
      </c>
      <c r="G88" s="17">
        <f t="shared" si="1"/>
        <v>445345.09606800554</v>
      </c>
      <c r="H88" s="17">
        <f>0</f>
        <v>0</v>
      </c>
      <c r="I88" s="17">
        <f t="shared" si="2"/>
        <v>445345.09606800554</v>
      </c>
      <c r="J88" s="17">
        <f t="shared" si="3"/>
        <v>0</v>
      </c>
      <c r="K88" s="17">
        <f>'1 - Input'!$B$22*(H88-J88)</f>
        <v>0</v>
      </c>
      <c r="L88" s="17">
        <f t="shared" si="4"/>
        <v>0</v>
      </c>
      <c r="M88" s="17">
        <f t="shared" si="5"/>
        <v>370089.22219631297</v>
      </c>
      <c r="N88" s="17">
        <f>0</f>
        <v>0</v>
      </c>
      <c r="O88" s="17">
        <f t="shared" si="6"/>
        <v>2865.2615999999998</v>
      </c>
      <c r="P88" s="17">
        <f t="shared" si="7"/>
        <v>0.16898327731939544</v>
      </c>
      <c r="Q88" s="17">
        <f>IF(AND(O88&gt;0,I88&gt;0),O88/(1-'1 - Input'!$B$22*P88),0)</f>
        <v>2996.9338426881832</v>
      </c>
      <c r="R88" s="17">
        <f t="shared" si="8"/>
        <v>2996.9338426881832</v>
      </c>
      <c r="S88" s="17">
        <f>'1 - Input'!$B$22*P88*R88</f>
        <v>131.67224268818327</v>
      </c>
      <c r="T88" s="17">
        <f t="shared" si="9"/>
        <v>2865.2615999999998</v>
      </c>
      <c r="U88" s="17">
        <f t="shared" si="10"/>
        <v>0</v>
      </c>
      <c r="V88" s="17">
        <f t="shared" si="11"/>
        <v>0</v>
      </c>
      <c r="W88" s="17">
        <f t="shared" si="12"/>
        <v>442348.16222531738</v>
      </c>
      <c r="X88" s="17">
        <f t="shared" si="13"/>
        <v>367598.72005627165</v>
      </c>
      <c r="Y88" s="17">
        <f>IF(MOD(A88,12)=0,W88*'1 - Input'!$B$23,0)</f>
        <v>0</v>
      </c>
      <c r="Z88" s="17">
        <f t="shared" si="14"/>
        <v>442348.16222531738</v>
      </c>
      <c r="AA88" s="17">
        <f>IF(MOD(A88,12)=0,X88*(1-'1 - Input'!$B$23),X88)</f>
        <v>367598.72005627165</v>
      </c>
      <c r="AB88" s="17">
        <f t="shared" si="15"/>
        <v>2865.2615999999998</v>
      </c>
      <c r="AC88" s="17">
        <f t="shared" si="19"/>
        <v>124944.3144</v>
      </c>
      <c r="AD88" s="17">
        <f t="shared" si="20"/>
        <v>0</v>
      </c>
      <c r="AE88" s="17">
        <f t="shared" si="21"/>
        <v>3014.5521147878312</v>
      </c>
      <c r="AF88" s="17">
        <f t="shared" si="22"/>
        <v>0</v>
      </c>
      <c r="AG88" s="17">
        <f t="shared" si="23"/>
        <v>2795.4048692974688</v>
      </c>
      <c r="AH88" s="17">
        <f t="shared" si="24"/>
        <v>0</v>
      </c>
      <c r="AI88" s="15">
        <f t="shared" si="16"/>
        <v>0</v>
      </c>
    </row>
    <row r="89" spans="1:35">
      <c r="A89" s="14">
        <v>46</v>
      </c>
      <c r="B89" s="15">
        <f t="shared" si="0"/>
        <v>4</v>
      </c>
      <c r="C89" s="16">
        <f>(1+INDEX('1 - Input'!$B$34:$E$63,B89,'1 - Input'!$B$16))^(1/12)-1</f>
        <v>4.1219243192651689E-3</v>
      </c>
      <c r="D89" s="17">
        <f>'1 - Input'!$B$7*(1+'1 - Input'!$B$12)^(B89-1)</f>
        <v>2865.2615999999998</v>
      </c>
      <c r="E89" s="17">
        <f t="shared" si="17"/>
        <v>442348.16222531738</v>
      </c>
      <c r="F89" s="17">
        <f t="shared" si="18"/>
        <v>367598.72005627165</v>
      </c>
      <c r="G89" s="17">
        <f t="shared" si="1"/>
        <v>444171.48787277617</v>
      </c>
      <c r="H89" s="17">
        <f>0</f>
        <v>0</v>
      </c>
      <c r="I89" s="17">
        <f t="shared" si="2"/>
        <v>444171.48787277617</v>
      </c>
      <c r="J89" s="17">
        <f t="shared" si="3"/>
        <v>0</v>
      </c>
      <c r="K89" s="17">
        <f>'1 - Input'!$B$22*(H89-J89)</f>
        <v>0</v>
      </c>
      <c r="L89" s="17">
        <f t="shared" si="4"/>
        <v>0</v>
      </c>
      <c r="M89" s="17">
        <f t="shared" si="5"/>
        <v>367598.72005627165</v>
      </c>
      <c r="N89" s="17">
        <f>0</f>
        <v>0</v>
      </c>
      <c r="O89" s="17">
        <f t="shared" si="6"/>
        <v>2865.2615999999998</v>
      </c>
      <c r="P89" s="17">
        <f t="shared" si="7"/>
        <v>0.17239460412739782</v>
      </c>
      <c r="Q89" s="17">
        <f>IF(AND(O89&gt;0,I89&gt;0),O89/(1-'1 - Input'!$B$22*P89),0)</f>
        <v>2999.7166926480872</v>
      </c>
      <c r="R89" s="17">
        <f t="shared" si="8"/>
        <v>2999.7166926480872</v>
      </c>
      <c r="S89" s="17">
        <f>'1 - Input'!$B$22*P89*R89</f>
        <v>134.45509264808766</v>
      </c>
      <c r="T89" s="17">
        <f t="shared" si="9"/>
        <v>2865.2615999999998</v>
      </c>
      <c r="U89" s="17">
        <f t="shared" si="10"/>
        <v>0</v>
      </c>
      <c r="V89" s="17">
        <f t="shared" si="11"/>
        <v>0</v>
      </c>
      <c r="W89" s="17">
        <f t="shared" si="12"/>
        <v>441171.7711801281</v>
      </c>
      <c r="X89" s="17">
        <f t="shared" si="13"/>
        <v>365116.13833534694</v>
      </c>
      <c r="Y89" s="17">
        <f>IF(MOD(A89,12)=0,W89*'1 - Input'!$B$23,0)</f>
        <v>0</v>
      </c>
      <c r="Z89" s="17">
        <f t="shared" si="14"/>
        <v>441171.7711801281</v>
      </c>
      <c r="AA89" s="17">
        <f>IF(MOD(A89,12)=0,X89*(1-'1 - Input'!$B$23),X89)</f>
        <v>365116.13833534694</v>
      </c>
      <c r="AB89" s="17">
        <f t="shared" si="15"/>
        <v>2865.2615999999998</v>
      </c>
      <c r="AC89" s="17">
        <f t="shared" si="19"/>
        <v>127809.576</v>
      </c>
      <c r="AD89" s="17">
        <f t="shared" si="20"/>
        <v>0</v>
      </c>
      <c r="AE89" s="17">
        <f t="shared" si="21"/>
        <v>3149.0072074359186</v>
      </c>
      <c r="AF89" s="17">
        <f t="shared" si="22"/>
        <v>0</v>
      </c>
      <c r="AG89" s="17">
        <f t="shared" si="23"/>
        <v>2795.4048692974688</v>
      </c>
      <c r="AH89" s="17">
        <f t="shared" si="24"/>
        <v>0</v>
      </c>
      <c r="AI89" s="15">
        <f t="shared" si="16"/>
        <v>0</v>
      </c>
    </row>
    <row r="90" spans="1:35">
      <c r="A90" s="14">
        <v>47</v>
      </c>
      <c r="B90" s="15">
        <f t="shared" si="0"/>
        <v>4</v>
      </c>
      <c r="C90" s="16">
        <f>(1+INDEX('1 - Input'!$B$34:$E$63,B90,'1 - Input'!$B$16))^(1/12)-1</f>
        <v>4.1219243192651689E-3</v>
      </c>
      <c r="D90" s="17">
        <f>'1 - Input'!$B$7*(1+'1 - Input'!$B$12)^(B90-1)</f>
        <v>2865.2615999999998</v>
      </c>
      <c r="E90" s="17">
        <f t="shared" si="17"/>
        <v>441171.7711801281</v>
      </c>
      <c r="F90" s="17">
        <f t="shared" si="18"/>
        <v>365116.13833534694</v>
      </c>
      <c r="G90" s="17">
        <f t="shared" si="1"/>
        <v>442990.24783272878</v>
      </c>
      <c r="H90" s="17">
        <f>0</f>
        <v>0</v>
      </c>
      <c r="I90" s="17">
        <f t="shared" si="2"/>
        <v>442990.24783272878</v>
      </c>
      <c r="J90" s="17">
        <f t="shared" si="3"/>
        <v>0</v>
      </c>
      <c r="K90" s="17">
        <f>'1 - Input'!$B$22*(H90-J90)</f>
        <v>0</v>
      </c>
      <c r="L90" s="17">
        <f t="shared" si="4"/>
        <v>0</v>
      </c>
      <c r="M90" s="17">
        <f t="shared" si="5"/>
        <v>365116.13833534694</v>
      </c>
      <c r="N90" s="17">
        <f>0</f>
        <v>0</v>
      </c>
      <c r="O90" s="17">
        <f t="shared" si="6"/>
        <v>2865.2615999999998</v>
      </c>
      <c r="P90" s="17">
        <f t="shared" si="7"/>
        <v>0.1757919274258759</v>
      </c>
      <c r="Q90" s="17">
        <f>IF(AND(O90&gt;0,I90&gt;0),O90/(1-'1 - Input'!$B$22*P90),0)</f>
        <v>3002.4932600914144</v>
      </c>
      <c r="R90" s="17">
        <f t="shared" si="8"/>
        <v>3002.4932600914144</v>
      </c>
      <c r="S90" s="17">
        <f>'1 - Input'!$B$22*P90*R90</f>
        <v>137.23166009141457</v>
      </c>
      <c r="T90" s="17">
        <f t="shared" si="9"/>
        <v>2865.2615999999998</v>
      </c>
      <c r="U90" s="17">
        <f t="shared" si="10"/>
        <v>0</v>
      </c>
      <c r="V90" s="17">
        <f t="shared" si="11"/>
        <v>0</v>
      </c>
      <c r="W90" s="17">
        <f t="shared" si="12"/>
        <v>439987.75457263738</v>
      </c>
      <c r="X90" s="17">
        <f t="shared" si="13"/>
        <v>362641.45915253018</v>
      </c>
      <c r="Y90" s="17">
        <f>IF(MOD(A90,12)=0,W90*'1 - Input'!$B$23,0)</f>
        <v>0</v>
      </c>
      <c r="Z90" s="17">
        <f t="shared" si="14"/>
        <v>439987.75457263738</v>
      </c>
      <c r="AA90" s="17">
        <f>IF(MOD(A90,12)=0,X90*(1-'1 - Input'!$B$23),X90)</f>
        <v>362641.45915253018</v>
      </c>
      <c r="AB90" s="17">
        <f t="shared" si="15"/>
        <v>2865.2615999999998</v>
      </c>
      <c r="AC90" s="17">
        <f t="shared" si="19"/>
        <v>130674.8376</v>
      </c>
      <c r="AD90" s="17">
        <f t="shared" si="20"/>
        <v>0</v>
      </c>
      <c r="AE90" s="17">
        <f t="shared" si="21"/>
        <v>3286.2388675273332</v>
      </c>
      <c r="AF90" s="17">
        <f t="shared" si="22"/>
        <v>0</v>
      </c>
      <c r="AG90" s="17">
        <f t="shared" si="23"/>
        <v>2795.4048692974688</v>
      </c>
      <c r="AH90" s="17">
        <f t="shared" si="24"/>
        <v>0</v>
      </c>
      <c r="AI90" s="15">
        <f t="shared" si="16"/>
        <v>0</v>
      </c>
    </row>
    <row r="91" spans="1:35">
      <c r="A91" s="14">
        <v>48</v>
      </c>
      <c r="B91" s="15">
        <f t="shared" si="0"/>
        <v>4</v>
      </c>
      <c r="C91" s="16">
        <f>(1+INDEX('1 - Input'!$B$34:$E$63,B91,'1 - Input'!$B$16))^(1/12)-1</f>
        <v>4.1219243192651689E-3</v>
      </c>
      <c r="D91" s="17">
        <f>'1 - Input'!$B$7*(1+'1 - Input'!$B$12)^(B91-1)</f>
        <v>2865.2615999999998</v>
      </c>
      <c r="E91" s="17">
        <f t="shared" si="17"/>
        <v>439987.75457263738</v>
      </c>
      <c r="F91" s="17">
        <f t="shared" si="18"/>
        <v>362641.45915253018</v>
      </c>
      <c r="G91" s="17">
        <f t="shared" si="1"/>
        <v>441801.35079838923</v>
      </c>
      <c r="H91" s="17">
        <f>0</f>
        <v>0</v>
      </c>
      <c r="I91" s="17">
        <f t="shared" si="2"/>
        <v>441801.35079838923</v>
      </c>
      <c r="J91" s="17">
        <f t="shared" si="3"/>
        <v>0</v>
      </c>
      <c r="K91" s="17">
        <f>'1 - Input'!$B$22*(H91-J91)</f>
        <v>0</v>
      </c>
      <c r="L91" s="17">
        <f t="shared" si="4"/>
        <v>0</v>
      </c>
      <c r="M91" s="17">
        <f t="shared" si="5"/>
        <v>362641.45915253018</v>
      </c>
      <c r="N91" s="17">
        <f>0</f>
        <v>0</v>
      </c>
      <c r="O91" s="17">
        <f t="shared" si="6"/>
        <v>2865.2615999999998</v>
      </c>
      <c r="P91" s="17">
        <f t="shared" si="7"/>
        <v>0.17917530469928944</v>
      </c>
      <c r="Q91" s="17">
        <f>IF(AND(O91&gt;0,I91&gt;0),O91/(1-'1 - Input'!$B$22*P91),0)</f>
        <v>3005.2635428582562</v>
      </c>
      <c r="R91" s="17">
        <f t="shared" si="8"/>
        <v>3005.2635428582562</v>
      </c>
      <c r="S91" s="17">
        <f>'1 - Input'!$B$22*P91*R91</f>
        <v>140.00194285825648</v>
      </c>
      <c r="T91" s="17">
        <f t="shared" si="9"/>
        <v>2865.2615999999998</v>
      </c>
      <c r="U91" s="17">
        <f t="shared" si="10"/>
        <v>0</v>
      </c>
      <c r="V91" s="17">
        <f t="shared" si="11"/>
        <v>0</v>
      </c>
      <c r="W91" s="17">
        <f t="shared" si="12"/>
        <v>438796.08725553099</v>
      </c>
      <c r="X91" s="17">
        <f t="shared" si="13"/>
        <v>360174.66462066525</v>
      </c>
      <c r="Y91" s="17">
        <f>IF(MOD(A91,12)=0,W91*'1 - Input'!$B$23,0)</f>
        <v>877.59217451106201</v>
      </c>
      <c r="Z91" s="17">
        <f t="shared" si="14"/>
        <v>437918.49508101994</v>
      </c>
      <c r="AA91" s="17">
        <f>IF(MOD(A91,12)=0,X91*(1-'1 - Input'!$B$23),X91)</f>
        <v>359454.31529142393</v>
      </c>
      <c r="AB91" s="17">
        <f t="shared" si="15"/>
        <v>2865.2615999999998</v>
      </c>
      <c r="AC91" s="17">
        <f t="shared" si="19"/>
        <v>133540.0992</v>
      </c>
      <c r="AD91" s="17">
        <f t="shared" si="20"/>
        <v>0</v>
      </c>
      <c r="AE91" s="17">
        <f t="shared" si="21"/>
        <v>3426.2408103855896</v>
      </c>
      <c r="AF91" s="17">
        <f t="shared" si="22"/>
        <v>0</v>
      </c>
      <c r="AG91" s="17">
        <f t="shared" si="23"/>
        <v>3672.9970438085311</v>
      </c>
      <c r="AH91" s="17">
        <f t="shared" si="24"/>
        <v>0</v>
      </c>
      <c r="AI91" s="15">
        <f t="shared" si="16"/>
        <v>0</v>
      </c>
    </row>
    <row r="92" spans="1:35">
      <c r="A92" s="14">
        <v>49</v>
      </c>
      <c r="B92" s="15">
        <f t="shared" si="0"/>
        <v>5</v>
      </c>
      <c r="C92" s="16">
        <f>(1+INDEX('1 - Input'!$B$34:$E$63,B92,'1 - Input'!$B$16))^(1/12)-1</f>
        <v>4.1219243192651689E-3</v>
      </c>
      <c r="D92" s="17">
        <f>'1 - Input'!$B$7*(1+'1 - Input'!$B$12)^(B92-1)</f>
        <v>2922.566832</v>
      </c>
      <c r="E92" s="17">
        <f t="shared" si="17"/>
        <v>437918.49508101994</v>
      </c>
      <c r="F92" s="17">
        <f t="shared" si="18"/>
        <v>359454.31529142393</v>
      </c>
      <c r="G92" s="17">
        <f t="shared" si="1"/>
        <v>439723.56197575037</v>
      </c>
      <c r="H92" s="17">
        <f>0</f>
        <v>0</v>
      </c>
      <c r="I92" s="17">
        <f t="shared" si="2"/>
        <v>439723.56197575037</v>
      </c>
      <c r="J92" s="17">
        <f t="shared" si="3"/>
        <v>0</v>
      </c>
      <c r="K92" s="17">
        <f>'1 - Input'!$B$22*(H92-J92)</f>
        <v>0</v>
      </c>
      <c r="L92" s="17">
        <f t="shared" si="4"/>
        <v>0</v>
      </c>
      <c r="M92" s="17">
        <f t="shared" si="5"/>
        <v>359454.31529142393</v>
      </c>
      <c r="N92" s="17">
        <f>0</f>
        <v>0</v>
      </c>
      <c r="O92" s="17">
        <f t="shared" si="6"/>
        <v>2922.566832</v>
      </c>
      <c r="P92" s="17">
        <f t="shared" si="7"/>
        <v>0.18254479319612416</v>
      </c>
      <c r="Q92" s="17">
        <f>IF(AND(O92&gt;0,I92&gt;0),O92/(1-'1 - Input'!$B$22*P92),0)</f>
        <v>3068.1880896826624</v>
      </c>
      <c r="R92" s="17">
        <f t="shared" si="8"/>
        <v>3068.1880896826624</v>
      </c>
      <c r="S92" s="17">
        <f>'1 - Input'!$B$22*P92*R92</f>
        <v>145.62125768266256</v>
      </c>
      <c r="T92" s="17">
        <f t="shared" si="9"/>
        <v>2922.566832</v>
      </c>
      <c r="U92" s="17">
        <f t="shared" si="10"/>
        <v>0</v>
      </c>
      <c r="V92" s="17">
        <f t="shared" si="11"/>
        <v>0</v>
      </c>
      <c r="W92" s="17">
        <f t="shared" si="12"/>
        <v>436655.37388606771</v>
      </c>
      <c r="X92" s="17">
        <f t="shared" si="13"/>
        <v>356946.20896205923</v>
      </c>
      <c r="Y92" s="17">
        <f>IF(MOD(A92,12)=0,W92*'1 - Input'!$B$23,0)</f>
        <v>0</v>
      </c>
      <c r="Z92" s="17">
        <f t="shared" si="14"/>
        <v>436655.37388606771</v>
      </c>
      <c r="AA92" s="17">
        <f>IF(MOD(A92,12)=0,X92*(1-'1 - Input'!$B$23),X92)</f>
        <v>356946.20896205923</v>
      </c>
      <c r="AB92" s="17">
        <f t="shared" si="15"/>
        <v>2922.566832</v>
      </c>
      <c r="AC92" s="17">
        <f t="shared" si="19"/>
        <v>136462.66603200001</v>
      </c>
      <c r="AD92" s="17">
        <f t="shared" si="20"/>
        <v>0</v>
      </c>
      <c r="AE92" s="17">
        <f t="shared" si="21"/>
        <v>3571.862068068252</v>
      </c>
      <c r="AF92" s="17">
        <f t="shared" si="22"/>
        <v>0</v>
      </c>
      <c r="AG92" s="17">
        <f t="shared" si="23"/>
        <v>3672.9970438085311</v>
      </c>
      <c r="AH92" s="17">
        <f t="shared" si="24"/>
        <v>0</v>
      </c>
      <c r="AI92" s="15">
        <f t="shared" si="16"/>
        <v>0</v>
      </c>
    </row>
    <row r="93" spans="1:35">
      <c r="A93" s="14">
        <v>50</v>
      </c>
      <c r="B93" s="15">
        <f t="shared" si="0"/>
        <v>5</v>
      </c>
      <c r="C93" s="16">
        <f>(1+INDEX('1 - Input'!$B$34:$E$63,B93,'1 - Input'!$B$16))^(1/12)-1</f>
        <v>4.1219243192651689E-3</v>
      </c>
      <c r="D93" s="17">
        <f>'1 - Input'!$B$7*(1+'1 - Input'!$B$12)^(B93-1)</f>
        <v>2922.566832</v>
      </c>
      <c r="E93" s="17">
        <f t="shared" si="17"/>
        <v>436655.37388606771</v>
      </c>
      <c r="F93" s="17">
        <f t="shared" si="18"/>
        <v>356946.20896205923</v>
      </c>
      <c r="G93" s="17">
        <f t="shared" si="1"/>
        <v>438455.23429082654</v>
      </c>
      <c r="H93" s="17">
        <f>0</f>
        <v>0</v>
      </c>
      <c r="I93" s="17">
        <f t="shared" si="2"/>
        <v>438455.23429082654</v>
      </c>
      <c r="J93" s="17">
        <f t="shared" si="3"/>
        <v>0</v>
      </c>
      <c r="K93" s="17">
        <f>'1 - Input'!$B$22*(H93-J93)</f>
        <v>0</v>
      </c>
      <c r="L93" s="17">
        <f t="shared" si="4"/>
        <v>0</v>
      </c>
      <c r="M93" s="17">
        <f t="shared" si="5"/>
        <v>356946.20896205923</v>
      </c>
      <c r="N93" s="17">
        <f>0</f>
        <v>0</v>
      </c>
      <c r="O93" s="17">
        <f t="shared" si="6"/>
        <v>2922.566832</v>
      </c>
      <c r="P93" s="17">
        <f t="shared" si="7"/>
        <v>0.1859004499298611</v>
      </c>
      <c r="Q93" s="17">
        <f>IF(AND(O93&gt;0,I93&gt;0),O93/(1-'1 - Input'!$B$22*P93),0)</f>
        <v>3071.0009512277502</v>
      </c>
      <c r="R93" s="17">
        <f t="shared" si="8"/>
        <v>3071.0009512277502</v>
      </c>
      <c r="S93" s="17">
        <f>'1 - Input'!$B$22*P93*R93</f>
        <v>148.43411922775024</v>
      </c>
      <c r="T93" s="17">
        <f t="shared" si="9"/>
        <v>2922.566832</v>
      </c>
      <c r="U93" s="17">
        <f t="shared" si="10"/>
        <v>0</v>
      </c>
      <c r="V93" s="17">
        <f t="shared" si="11"/>
        <v>0</v>
      </c>
      <c r="W93" s="17">
        <f t="shared" si="12"/>
        <v>435384.23333959881</v>
      </c>
      <c r="X93" s="17">
        <f t="shared" si="13"/>
        <v>354446.10846939974</v>
      </c>
      <c r="Y93" s="17">
        <f>IF(MOD(A93,12)=0,W93*'1 - Input'!$B$23,0)</f>
        <v>0</v>
      </c>
      <c r="Z93" s="17">
        <f t="shared" si="14"/>
        <v>435384.23333959881</v>
      </c>
      <c r="AA93" s="17">
        <f>IF(MOD(A93,12)=0,X93*(1-'1 - Input'!$B$23),X93)</f>
        <v>354446.10846939974</v>
      </c>
      <c r="AB93" s="17">
        <f t="shared" si="15"/>
        <v>2922.566832</v>
      </c>
      <c r="AC93" s="17">
        <f t="shared" si="19"/>
        <v>139385.23286400002</v>
      </c>
      <c r="AD93" s="17">
        <f t="shared" si="20"/>
        <v>0</v>
      </c>
      <c r="AE93" s="17">
        <f t="shared" si="21"/>
        <v>3720.2961872960022</v>
      </c>
      <c r="AF93" s="17">
        <f t="shared" si="22"/>
        <v>0</v>
      </c>
      <c r="AG93" s="17">
        <f t="shared" si="23"/>
        <v>3672.9970438085311</v>
      </c>
      <c r="AH93" s="17">
        <f t="shared" si="24"/>
        <v>0</v>
      </c>
      <c r="AI93" s="15">
        <f t="shared" si="16"/>
        <v>0</v>
      </c>
    </row>
    <row r="94" spans="1:35">
      <c r="A94" s="14">
        <v>51</v>
      </c>
      <c r="B94" s="15">
        <f t="shared" si="0"/>
        <v>5</v>
      </c>
      <c r="C94" s="16">
        <f>(1+INDEX('1 - Input'!$B$34:$E$63,B94,'1 - Input'!$B$16))^(1/12)-1</f>
        <v>4.1219243192651689E-3</v>
      </c>
      <c r="D94" s="17">
        <f>'1 - Input'!$B$7*(1+'1 - Input'!$B$12)^(B94-1)</f>
        <v>2922.566832</v>
      </c>
      <c r="E94" s="17">
        <f t="shared" si="17"/>
        <v>435384.23333959881</v>
      </c>
      <c r="F94" s="17">
        <f t="shared" si="18"/>
        <v>354446.10846939974</v>
      </c>
      <c r="G94" s="17">
        <f t="shared" si="1"/>
        <v>437178.8541992259</v>
      </c>
      <c r="H94" s="17">
        <f>0</f>
        <v>0</v>
      </c>
      <c r="I94" s="17">
        <f t="shared" si="2"/>
        <v>437178.8541992259</v>
      </c>
      <c r="J94" s="17">
        <f t="shared" si="3"/>
        <v>0</v>
      </c>
      <c r="K94" s="17">
        <f>'1 - Input'!$B$22*(H94-J94)</f>
        <v>0</v>
      </c>
      <c r="L94" s="17">
        <f t="shared" si="4"/>
        <v>0</v>
      </c>
      <c r="M94" s="17">
        <f t="shared" si="5"/>
        <v>354446.10846939974</v>
      </c>
      <c r="N94" s="17">
        <f>0</f>
        <v>0</v>
      </c>
      <c r="O94" s="17">
        <f t="shared" si="6"/>
        <v>2922.566832</v>
      </c>
      <c r="P94" s="17">
        <f t="shared" si="7"/>
        <v>0.18924233167994031</v>
      </c>
      <c r="Q94" s="17">
        <f>IF(AND(O94&gt;0,I94&gt;0),O94/(1-'1 - Input'!$B$22*P94),0)</f>
        <v>3073.8073965006984</v>
      </c>
      <c r="R94" s="17">
        <f t="shared" si="8"/>
        <v>3073.8073965006984</v>
      </c>
      <c r="S94" s="17">
        <f>'1 - Input'!$B$22*P94*R94</f>
        <v>151.24056450069813</v>
      </c>
      <c r="T94" s="17">
        <f t="shared" si="9"/>
        <v>2922.5668320000004</v>
      </c>
      <c r="U94" s="17">
        <f t="shared" si="10"/>
        <v>0</v>
      </c>
      <c r="V94" s="17">
        <f t="shared" si="11"/>
        <v>0</v>
      </c>
      <c r="W94" s="17">
        <f t="shared" si="12"/>
        <v>434105.04680272518</v>
      </c>
      <c r="X94" s="17">
        <f t="shared" si="13"/>
        <v>351953.99555174785</v>
      </c>
      <c r="Y94" s="17">
        <f>IF(MOD(A94,12)=0,W94*'1 - Input'!$B$23,0)</f>
        <v>0</v>
      </c>
      <c r="Z94" s="17">
        <f t="shared" si="14"/>
        <v>434105.04680272518</v>
      </c>
      <c r="AA94" s="17">
        <f>IF(MOD(A94,12)=0,X94*(1-'1 - Input'!$B$23),X94)</f>
        <v>351953.99555174785</v>
      </c>
      <c r="AB94" s="17">
        <f t="shared" si="15"/>
        <v>2922.5668320000004</v>
      </c>
      <c r="AC94" s="17">
        <f t="shared" si="19"/>
        <v>142307.79969600003</v>
      </c>
      <c r="AD94" s="17">
        <f t="shared" si="20"/>
        <v>0</v>
      </c>
      <c r="AE94" s="17">
        <f t="shared" si="21"/>
        <v>3871.5367517967002</v>
      </c>
      <c r="AF94" s="17">
        <f t="shared" si="22"/>
        <v>0</v>
      </c>
      <c r="AG94" s="17">
        <f t="shared" si="23"/>
        <v>3672.9970438085311</v>
      </c>
      <c r="AH94" s="17">
        <f t="shared" si="24"/>
        <v>0</v>
      </c>
      <c r="AI94" s="15">
        <f t="shared" si="16"/>
        <v>0</v>
      </c>
    </row>
    <row r="95" spans="1:35">
      <c r="A95" s="14">
        <v>52</v>
      </c>
      <c r="B95" s="15">
        <f t="shared" si="0"/>
        <v>5</v>
      </c>
      <c r="C95" s="16">
        <f>(1+INDEX('1 - Input'!$B$34:$E$63,B95,'1 - Input'!$B$16))^(1/12)-1</f>
        <v>4.1219243192651689E-3</v>
      </c>
      <c r="D95" s="17">
        <f>'1 - Input'!$B$7*(1+'1 - Input'!$B$12)^(B95-1)</f>
        <v>2922.566832</v>
      </c>
      <c r="E95" s="17">
        <f t="shared" si="17"/>
        <v>434105.04680272518</v>
      </c>
      <c r="F95" s="17">
        <f t="shared" si="18"/>
        <v>351953.99555174785</v>
      </c>
      <c r="G95" s="17">
        <f t="shared" si="1"/>
        <v>435894.39495225705</v>
      </c>
      <c r="H95" s="17">
        <f>0</f>
        <v>0</v>
      </c>
      <c r="I95" s="17">
        <f t="shared" si="2"/>
        <v>435894.39495225705</v>
      </c>
      <c r="J95" s="17">
        <f t="shared" si="3"/>
        <v>0</v>
      </c>
      <c r="K95" s="17">
        <f>'1 - Input'!$B$22*(H95-J95)</f>
        <v>0</v>
      </c>
      <c r="L95" s="17">
        <f t="shared" si="4"/>
        <v>0</v>
      </c>
      <c r="M95" s="17">
        <f t="shared" si="5"/>
        <v>351953.99555174785</v>
      </c>
      <c r="N95" s="17">
        <f>0</f>
        <v>0</v>
      </c>
      <c r="O95" s="17">
        <f t="shared" si="6"/>
        <v>2922.566832</v>
      </c>
      <c r="P95" s="17">
        <f t="shared" si="7"/>
        <v>0.19257049499272194</v>
      </c>
      <c r="Q95" s="17">
        <f>IF(AND(O95&gt;0,I95&gt;0),O95/(1-'1 - Input'!$B$22*P95),0)</f>
        <v>3076.6074237682678</v>
      </c>
      <c r="R95" s="17">
        <f t="shared" si="8"/>
        <v>3076.6074237682678</v>
      </c>
      <c r="S95" s="17">
        <f>'1 - Input'!$B$22*P95*R95</f>
        <v>154.04059176826797</v>
      </c>
      <c r="T95" s="17">
        <f t="shared" si="9"/>
        <v>2922.566832</v>
      </c>
      <c r="U95" s="17">
        <f t="shared" si="10"/>
        <v>0</v>
      </c>
      <c r="V95" s="17">
        <f t="shared" si="11"/>
        <v>0</v>
      </c>
      <c r="W95" s="17">
        <f t="shared" si="12"/>
        <v>432817.78752848879</v>
      </c>
      <c r="X95" s="17">
        <f t="shared" si="13"/>
        <v>349469.85194247292</v>
      </c>
      <c r="Y95" s="17">
        <f>IF(MOD(A95,12)=0,W95*'1 - Input'!$B$23,0)</f>
        <v>0</v>
      </c>
      <c r="Z95" s="17">
        <f t="shared" si="14"/>
        <v>432817.78752848879</v>
      </c>
      <c r="AA95" s="17">
        <f>IF(MOD(A95,12)=0,X95*(1-'1 - Input'!$B$23),X95)</f>
        <v>349469.85194247292</v>
      </c>
      <c r="AB95" s="17">
        <f t="shared" si="15"/>
        <v>2922.566832</v>
      </c>
      <c r="AC95" s="17">
        <f t="shared" si="19"/>
        <v>145230.36652800004</v>
      </c>
      <c r="AD95" s="17">
        <f t="shared" si="20"/>
        <v>0</v>
      </c>
      <c r="AE95" s="17">
        <f t="shared" si="21"/>
        <v>4025.577343564968</v>
      </c>
      <c r="AF95" s="17">
        <f t="shared" si="22"/>
        <v>0</v>
      </c>
      <c r="AG95" s="17">
        <f t="shared" si="23"/>
        <v>3672.9970438085311</v>
      </c>
      <c r="AH95" s="17">
        <f t="shared" si="24"/>
        <v>0</v>
      </c>
      <c r="AI95" s="15">
        <f t="shared" si="16"/>
        <v>0</v>
      </c>
    </row>
    <row r="96" spans="1:35">
      <c r="A96" s="14">
        <v>53</v>
      </c>
      <c r="B96" s="15">
        <f t="shared" si="0"/>
        <v>5</v>
      </c>
      <c r="C96" s="16">
        <f>(1+INDEX('1 - Input'!$B$34:$E$63,B96,'1 - Input'!$B$16))^(1/12)-1</f>
        <v>4.1219243192651689E-3</v>
      </c>
      <c r="D96" s="17">
        <f>'1 - Input'!$B$7*(1+'1 - Input'!$B$12)^(B96-1)</f>
        <v>2922.566832</v>
      </c>
      <c r="E96" s="17">
        <f t="shared" si="17"/>
        <v>432817.78752848879</v>
      </c>
      <c r="F96" s="17">
        <f t="shared" si="18"/>
        <v>349469.85194247292</v>
      </c>
      <c r="G96" s="17">
        <f t="shared" si="1"/>
        <v>434601.82969271298</v>
      </c>
      <c r="H96" s="17">
        <f>0</f>
        <v>0</v>
      </c>
      <c r="I96" s="17">
        <f t="shared" si="2"/>
        <v>434601.82969271298</v>
      </c>
      <c r="J96" s="17">
        <f t="shared" si="3"/>
        <v>0</v>
      </c>
      <c r="K96" s="17">
        <f>'1 - Input'!$B$22*(H96-J96)</f>
        <v>0</v>
      </c>
      <c r="L96" s="17">
        <f t="shared" si="4"/>
        <v>0</v>
      </c>
      <c r="M96" s="17">
        <f t="shared" si="5"/>
        <v>349469.85194247292</v>
      </c>
      <c r="N96" s="17">
        <f>0</f>
        <v>0</v>
      </c>
      <c r="O96" s="17">
        <f t="shared" si="6"/>
        <v>2922.566832</v>
      </c>
      <c r="P96" s="17">
        <f t="shared" si="7"/>
        <v>0.19588499618244359</v>
      </c>
      <c r="Q96" s="17">
        <f>IF(AND(O96&gt;0,I96&gt;0),O96/(1-'1 - Input'!$B$22*P96),0)</f>
        <v>3079.4010314134871</v>
      </c>
      <c r="R96" s="17">
        <f t="shared" si="8"/>
        <v>3079.4010314134871</v>
      </c>
      <c r="S96" s="17">
        <f>'1 - Input'!$B$22*P96*R96</f>
        <v>156.8341994134874</v>
      </c>
      <c r="T96" s="17">
        <f t="shared" si="9"/>
        <v>2922.5668319999995</v>
      </c>
      <c r="U96" s="17">
        <f t="shared" si="10"/>
        <v>0</v>
      </c>
      <c r="V96" s="17">
        <f t="shared" si="11"/>
        <v>0</v>
      </c>
      <c r="W96" s="17">
        <f t="shared" si="12"/>
        <v>431522.42866129952</v>
      </c>
      <c r="X96" s="17">
        <f t="shared" si="13"/>
        <v>346993.65937034209</v>
      </c>
      <c r="Y96" s="17">
        <f>IF(MOD(A96,12)=0,W96*'1 - Input'!$B$23,0)</f>
        <v>0</v>
      </c>
      <c r="Z96" s="17">
        <f t="shared" si="14"/>
        <v>431522.42866129952</v>
      </c>
      <c r="AA96" s="17">
        <f>IF(MOD(A96,12)=0,X96*(1-'1 - Input'!$B$23),X96)</f>
        <v>346993.65937034209</v>
      </c>
      <c r="AB96" s="17">
        <f t="shared" si="15"/>
        <v>2922.5668319999995</v>
      </c>
      <c r="AC96" s="17">
        <f t="shared" si="19"/>
        <v>148152.93336000005</v>
      </c>
      <c r="AD96" s="17">
        <f t="shared" si="20"/>
        <v>0</v>
      </c>
      <c r="AE96" s="17">
        <f t="shared" si="21"/>
        <v>4182.4115429784551</v>
      </c>
      <c r="AF96" s="17">
        <f t="shared" si="22"/>
        <v>0</v>
      </c>
      <c r="AG96" s="17">
        <f t="shared" si="23"/>
        <v>3672.9970438085311</v>
      </c>
      <c r="AH96" s="17">
        <f t="shared" si="24"/>
        <v>0</v>
      </c>
      <c r="AI96" s="15">
        <f t="shared" si="16"/>
        <v>0</v>
      </c>
    </row>
    <row r="97" spans="1:35">
      <c r="A97" s="14">
        <v>54</v>
      </c>
      <c r="B97" s="15">
        <f t="shared" si="0"/>
        <v>5</v>
      </c>
      <c r="C97" s="16">
        <f>(1+INDEX('1 - Input'!$B$34:$E$63,B97,'1 - Input'!$B$16))^(1/12)-1</f>
        <v>4.1219243192651689E-3</v>
      </c>
      <c r="D97" s="17">
        <f>'1 - Input'!$B$7*(1+'1 - Input'!$B$12)^(B97-1)</f>
        <v>2922.566832</v>
      </c>
      <c r="E97" s="17">
        <f t="shared" si="17"/>
        <v>431522.42866129952</v>
      </c>
      <c r="F97" s="17">
        <f t="shared" si="18"/>
        <v>346993.65937034209</v>
      </c>
      <c r="G97" s="17">
        <f t="shared" si="1"/>
        <v>433301.13145430689</v>
      </c>
      <c r="H97" s="17">
        <f>0</f>
        <v>0</v>
      </c>
      <c r="I97" s="17">
        <f t="shared" si="2"/>
        <v>433301.13145430689</v>
      </c>
      <c r="J97" s="17">
        <f t="shared" si="3"/>
        <v>0</v>
      </c>
      <c r="K97" s="17">
        <f>'1 - Input'!$B$22*(H97-J97)</f>
        <v>0</v>
      </c>
      <c r="L97" s="17">
        <f t="shared" si="4"/>
        <v>0</v>
      </c>
      <c r="M97" s="17">
        <f t="shared" si="5"/>
        <v>346993.65937034209</v>
      </c>
      <c r="N97" s="17">
        <f>0</f>
        <v>0</v>
      </c>
      <c r="O97" s="17">
        <f t="shared" si="6"/>
        <v>2922.566832</v>
      </c>
      <c r="P97" s="17">
        <f t="shared" si="7"/>
        <v>0.19918589133217213</v>
      </c>
      <c r="Q97" s="17">
        <f>IF(AND(O97&gt;0,I97&gt;0),O97/(1-'1 - Input'!$B$22*P97),0)</f>
        <v>3082.1882179351628</v>
      </c>
      <c r="R97" s="17">
        <f t="shared" si="8"/>
        <v>3082.1882179351628</v>
      </c>
      <c r="S97" s="17">
        <f>'1 - Input'!$B$22*P97*R97</f>
        <v>159.621385935163</v>
      </c>
      <c r="T97" s="17">
        <f t="shared" si="9"/>
        <v>2922.566832</v>
      </c>
      <c r="U97" s="17">
        <f t="shared" si="10"/>
        <v>0</v>
      </c>
      <c r="V97" s="17">
        <f t="shared" si="11"/>
        <v>0</v>
      </c>
      <c r="W97" s="17">
        <f t="shared" si="12"/>
        <v>430218.94323637174</v>
      </c>
      <c r="X97" s="17">
        <f t="shared" si="13"/>
        <v>344525.39955984987</v>
      </c>
      <c r="Y97" s="17">
        <f>IF(MOD(A97,12)=0,W97*'1 - Input'!$B$23,0)</f>
        <v>0</v>
      </c>
      <c r="Z97" s="17">
        <f t="shared" si="14"/>
        <v>430218.94323637174</v>
      </c>
      <c r="AA97" s="17">
        <f>IF(MOD(A97,12)=0,X97*(1-'1 - Input'!$B$23),X97)</f>
        <v>344525.39955984987</v>
      </c>
      <c r="AB97" s="17">
        <f t="shared" si="15"/>
        <v>2922.566832</v>
      </c>
      <c r="AC97" s="17">
        <f t="shared" si="19"/>
        <v>151075.50019200006</v>
      </c>
      <c r="AD97" s="17">
        <f t="shared" si="20"/>
        <v>0</v>
      </c>
      <c r="AE97" s="17">
        <f t="shared" si="21"/>
        <v>4342.032928913618</v>
      </c>
      <c r="AF97" s="17">
        <f t="shared" si="22"/>
        <v>0</v>
      </c>
      <c r="AG97" s="17">
        <f t="shared" si="23"/>
        <v>3672.9970438085311</v>
      </c>
      <c r="AH97" s="17">
        <f t="shared" si="24"/>
        <v>0</v>
      </c>
      <c r="AI97" s="15">
        <f t="shared" si="16"/>
        <v>0</v>
      </c>
    </row>
    <row r="98" spans="1:35">
      <c r="A98" s="14">
        <v>55</v>
      </c>
      <c r="B98" s="15">
        <f t="shared" si="0"/>
        <v>5</v>
      </c>
      <c r="C98" s="16">
        <f>(1+INDEX('1 - Input'!$B$34:$E$63,B98,'1 - Input'!$B$16))^(1/12)-1</f>
        <v>4.1219243192651689E-3</v>
      </c>
      <c r="D98" s="17">
        <f>'1 - Input'!$B$7*(1+'1 - Input'!$B$12)^(B98-1)</f>
        <v>2922.566832</v>
      </c>
      <c r="E98" s="17">
        <f t="shared" si="17"/>
        <v>430218.94323637174</v>
      </c>
      <c r="F98" s="17">
        <f t="shared" si="18"/>
        <v>344525.39955984987</v>
      </c>
      <c r="G98" s="17">
        <f t="shared" si="1"/>
        <v>431992.27316110628</v>
      </c>
      <c r="H98" s="17">
        <f>0</f>
        <v>0</v>
      </c>
      <c r="I98" s="17">
        <f t="shared" si="2"/>
        <v>431992.27316110628</v>
      </c>
      <c r="J98" s="17">
        <f t="shared" si="3"/>
        <v>0</v>
      </c>
      <c r="K98" s="17">
        <f>'1 - Input'!$B$22*(H98-J98)</f>
        <v>0</v>
      </c>
      <c r="L98" s="17">
        <f t="shared" si="4"/>
        <v>0</v>
      </c>
      <c r="M98" s="17">
        <f t="shared" si="5"/>
        <v>344525.39955984987</v>
      </c>
      <c r="N98" s="17">
        <f>0</f>
        <v>0</v>
      </c>
      <c r="O98" s="17">
        <f t="shared" si="6"/>
        <v>2922.566832</v>
      </c>
      <c r="P98" s="17">
        <f t="shared" si="7"/>
        <v>0.20247323629475356</v>
      </c>
      <c r="Q98" s="17">
        <f>IF(AND(O98&gt;0,I98&gt;0),O98/(1-'1 - Input'!$B$22*P98),0)</f>
        <v>3084.9689819473929</v>
      </c>
      <c r="R98" s="17">
        <f t="shared" si="8"/>
        <v>3084.9689819473929</v>
      </c>
      <c r="S98" s="17">
        <f>'1 - Input'!$B$22*P98*R98</f>
        <v>162.40214994739316</v>
      </c>
      <c r="T98" s="17">
        <f t="shared" si="9"/>
        <v>2922.5668319999995</v>
      </c>
      <c r="U98" s="17">
        <f t="shared" si="10"/>
        <v>0</v>
      </c>
      <c r="V98" s="17">
        <f t="shared" si="11"/>
        <v>0</v>
      </c>
      <c r="W98" s="17">
        <f t="shared" si="12"/>
        <v>428907.30417915888</v>
      </c>
      <c r="X98" s="17">
        <f t="shared" si="13"/>
        <v>342065.0542315463</v>
      </c>
      <c r="Y98" s="17">
        <f>IF(MOD(A98,12)=0,W98*'1 - Input'!$B$23,0)</f>
        <v>0</v>
      </c>
      <c r="Z98" s="17">
        <f t="shared" si="14"/>
        <v>428907.30417915888</v>
      </c>
      <c r="AA98" s="17">
        <f>IF(MOD(A98,12)=0,X98*(1-'1 - Input'!$B$23),X98)</f>
        <v>342065.0542315463</v>
      </c>
      <c r="AB98" s="17">
        <f t="shared" si="15"/>
        <v>2922.5668319999995</v>
      </c>
      <c r="AC98" s="17">
        <f t="shared" si="19"/>
        <v>153998.06702400008</v>
      </c>
      <c r="AD98" s="17">
        <f t="shared" si="20"/>
        <v>0</v>
      </c>
      <c r="AE98" s="17">
        <f t="shared" si="21"/>
        <v>4504.4350788610109</v>
      </c>
      <c r="AF98" s="17">
        <f t="shared" si="22"/>
        <v>0</v>
      </c>
      <c r="AG98" s="17">
        <f t="shared" si="23"/>
        <v>3672.9970438085311</v>
      </c>
      <c r="AH98" s="17">
        <f t="shared" si="24"/>
        <v>0</v>
      </c>
      <c r="AI98" s="15">
        <f t="shared" si="16"/>
        <v>0</v>
      </c>
    </row>
    <row r="99" spans="1:35">
      <c r="A99" s="14">
        <v>56</v>
      </c>
      <c r="B99" s="15">
        <f t="shared" si="0"/>
        <v>5</v>
      </c>
      <c r="C99" s="16">
        <f>(1+INDEX('1 - Input'!$B$34:$E$63,B99,'1 - Input'!$B$16))^(1/12)-1</f>
        <v>4.1219243192651689E-3</v>
      </c>
      <c r="D99" s="17">
        <f>'1 - Input'!$B$7*(1+'1 - Input'!$B$12)^(B99-1)</f>
        <v>2922.566832</v>
      </c>
      <c r="E99" s="17">
        <f t="shared" si="17"/>
        <v>428907.30417915888</v>
      </c>
      <c r="F99" s="17">
        <f t="shared" si="18"/>
        <v>342065.0542315463</v>
      </c>
      <c r="G99" s="17">
        <f t="shared" si="1"/>
        <v>430675.22762696544</v>
      </c>
      <c r="H99" s="17">
        <f>0</f>
        <v>0</v>
      </c>
      <c r="I99" s="17">
        <f t="shared" si="2"/>
        <v>430675.22762696544</v>
      </c>
      <c r="J99" s="17">
        <f t="shared" si="3"/>
        <v>0</v>
      </c>
      <c r="K99" s="17">
        <f>'1 - Input'!$B$22*(H99-J99)</f>
        <v>0</v>
      </c>
      <c r="L99" s="17">
        <f t="shared" si="4"/>
        <v>0</v>
      </c>
      <c r="M99" s="17">
        <f t="shared" si="5"/>
        <v>342065.0542315463</v>
      </c>
      <c r="N99" s="17">
        <f>0</f>
        <v>0</v>
      </c>
      <c r="O99" s="17">
        <f t="shared" si="6"/>
        <v>2922.566832</v>
      </c>
      <c r="P99" s="17">
        <f t="shared" si="7"/>
        <v>0.20574708669375785</v>
      </c>
      <c r="Q99" s="17">
        <f>IF(AND(O99&gt;0,I99&gt;0),O99/(1-'1 - Input'!$B$22*P99),0)</f>
        <v>3087.743322179077</v>
      </c>
      <c r="R99" s="17">
        <f t="shared" si="8"/>
        <v>3087.743322179077</v>
      </c>
      <c r="S99" s="17">
        <f>'1 - Input'!$B$22*P99*R99</f>
        <v>165.17649017907712</v>
      </c>
      <c r="T99" s="17">
        <f t="shared" si="9"/>
        <v>2922.566832</v>
      </c>
      <c r="U99" s="17">
        <f t="shared" si="10"/>
        <v>0</v>
      </c>
      <c r="V99" s="17">
        <f t="shared" si="11"/>
        <v>0</v>
      </c>
      <c r="W99" s="17">
        <f t="shared" si="12"/>
        <v>427587.48430478637</v>
      </c>
      <c r="X99" s="17">
        <f t="shared" si="13"/>
        <v>339612.60510236368</v>
      </c>
      <c r="Y99" s="17">
        <f>IF(MOD(A99,12)=0,W99*'1 - Input'!$B$23,0)</f>
        <v>0</v>
      </c>
      <c r="Z99" s="17">
        <f t="shared" si="14"/>
        <v>427587.48430478637</v>
      </c>
      <c r="AA99" s="17">
        <f>IF(MOD(A99,12)=0,X99*(1-'1 - Input'!$B$23),X99)</f>
        <v>339612.60510236368</v>
      </c>
      <c r="AB99" s="17">
        <f t="shared" si="15"/>
        <v>2922.566832</v>
      </c>
      <c r="AC99" s="17">
        <f t="shared" si="19"/>
        <v>156920.63385600009</v>
      </c>
      <c r="AD99" s="17">
        <f t="shared" si="20"/>
        <v>0</v>
      </c>
      <c r="AE99" s="17">
        <f t="shared" si="21"/>
        <v>4669.6115690400884</v>
      </c>
      <c r="AF99" s="17">
        <f t="shared" si="22"/>
        <v>0</v>
      </c>
      <c r="AG99" s="17">
        <f t="shared" si="23"/>
        <v>3672.9970438085311</v>
      </c>
      <c r="AH99" s="17">
        <f t="shared" si="24"/>
        <v>0</v>
      </c>
      <c r="AI99" s="15">
        <f t="shared" si="16"/>
        <v>0</v>
      </c>
    </row>
    <row r="100" spans="1:35">
      <c r="A100" s="14">
        <v>57</v>
      </c>
      <c r="B100" s="15">
        <f t="shared" si="0"/>
        <v>5</v>
      </c>
      <c r="C100" s="16">
        <f>(1+INDEX('1 - Input'!$B$34:$E$63,B100,'1 - Input'!$B$16))^(1/12)-1</f>
        <v>4.1219243192651689E-3</v>
      </c>
      <c r="D100" s="17">
        <f>'1 - Input'!$B$7*(1+'1 - Input'!$B$12)^(B100-1)</f>
        <v>2922.566832</v>
      </c>
      <c r="E100" s="17">
        <f t="shared" si="17"/>
        <v>427587.48430478637</v>
      </c>
      <c r="F100" s="17">
        <f t="shared" si="18"/>
        <v>339612.60510236368</v>
      </c>
      <c r="G100" s="17">
        <f t="shared" si="1"/>
        <v>429349.96755495569</v>
      </c>
      <c r="H100" s="17">
        <f>0</f>
        <v>0</v>
      </c>
      <c r="I100" s="17">
        <f t="shared" si="2"/>
        <v>429349.96755495569</v>
      </c>
      <c r="J100" s="17">
        <f t="shared" si="3"/>
        <v>0</v>
      </c>
      <c r="K100" s="17">
        <f>'1 - Input'!$B$22*(H100-J100)</f>
        <v>0</v>
      </c>
      <c r="L100" s="17">
        <f t="shared" si="4"/>
        <v>0</v>
      </c>
      <c r="M100" s="17">
        <f t="shared" si="5"/>
        <v>339612.60510236368</v>
      </c>
      <c r="N100" s="17">
        <f>0</f>
        <v>0</v>
      </c>
      <c r="O100" s="17">
        <f t="shared" si="6"/>
        <v>2922.566832</v>
      </c>
      <c r="P100" s="17">
        <f t="shared" si="7"/>
        <v>0.20900749792441953</v>
      </c>
      <c r="Q100" s="17">
        <f>IF(AND(O100&gt;0,I100&gt;0),O100/(1-'1 - Input'!$B$22*P100),0)</f>
        <v>3090.5112374734217</v>
      </c>
      <c r="R100" s="17">
        <f t="shared" si="8"/>
        <v>3090.5112374734217</v>
      </c>
      <c r="S100" s="17">
        <f>'1 - Input'!$B$22*P100*R100</f>
        <v>167.94440547342157</v>
      </c>
      <c r="T100" s="17">
        <f t="shared" si="9"/>
        <v>2922.566832</v>
      </c>
      <c r="U100" s="17">
        <f t="shared" si="10"/>
        <v>0</v>
      </c>
      <c r="V100" s="17">
        <f t="shared" si="11"/>
        <v>0</v>
      </c>
      <c r="W100" s="17">
        <f t="shared" si="12"/>
        <v>426259.45631748228</v>
      </c>
      <c r="X100" s="17">
        <f t="shared" si="13"/>
        <v>337168.0338859419</v>
      </c>
      <c r="Y100" s="17">
        <f>IF(MOD(A100,12)=0,W100*'1 - Input'!$B$23,0)</f>
        <v>0</v>
      </c>
      <c r="Z100" s="17">
        <f t="shared" si="14"/>
        <v>426259.45631748228</v>
      </c>
      <c r="AA100" s="17">
        <f>IF(MOD(A100,12)=0,X100*(1-'1 - Input'!$B$23),X100)</f>
        <v>337168.0338859419</v>
      </c>
      <c r="AB100" s="17">
        <f t="shared" si="15"/>
        <v>2922.566832</v>
      </c>
      <c r="AC100" s="17">
        <f t="shared" si="19"/>
        <v>159843.2006880001</v>
      </c>
      <c r="AD100" s="17">
        <f t="shared" si="20"/>
        <v>0</v>
      </c>
      <c r="AE100" s="17">
        <f t="shared" si="21"/>
        <v>4837.5559745135097</v>
      </c>
      <c r="AF100" s="17">
        <f t="shared" si="22"/>
        <v>0</v>
      </c>
      <c r="AG100" s="17">
        <f t="shared" si="23"/>
        <v>3672.9970438085311</v>
      </c>
      <c r="AH100" s="17">
        <f t="shared" si="24"/>
        <v>0</v>
      </c>
      <c r="AI100" s="15">
        <f t="shared" si="16"/>
        <v>0</v>
      </c>
    </row>
    <row r="101" spans="1:35">
      <c r="A101" s="14">
        <v>58</v>
      </c>
      <c r="B101" s="15">
        <f t="shared" si="0"/>
        <v>5</v>
      </c>
      <c r="C101" s="16">
        <f>(1+INDEX('1 - Input'!$B$34:$E$63,B101,'1 - Input'!$B$16))^(1/12)-1</f>
        <v>4.1219243192651689E-3</v>
      </c>
      <c r="D101" s="17">
        <f>'1 - Input'!$B$7*(1+'1 - Input'!$B$12)^(B101-1)</f>
        <v>2922.566832</v>
      </c>
      <c r="E101" s="17">
        <f t="shared" si="17"/>
        <v>426259.45631748228</v>
      </c>
      <c r="F101" s="17">
        <f t="shared" si="18"/>
        <v>337168.0338859419</v>
      </c>
      <c r="G101" s="17">
        <f t="shared" si="1"/>
        <v>428016.46553679404</v>
      </c>
      <c r="H101" s="17">
        <f>0</f>
        <v>0</v>
      </c>
      <c r="I101" s="17">
        <f t="shared" si="2"/>
        <v>428016.46553679404</v>
      </c>
      <c r="J101" s="17">
        <f t="shared" si="3"/>
        <v>0</v>
      </c>
      <c r="K101" s="17">
        <f>'1 - Input'!$B$22*(H101-J101)</f>
        <v>0</v>
      </c>
      <c r="L101" s="17">
        <f t="shared" si="4"/>
        <v>0</v>
      </c>
      <c r="M101" s="17">
        <f t="shared" si="5"/>
        <v>337168.0338859419</v>
      </c>
      <c r="N101" s="17">
        <f>0</f>
        <v>0</v>
      </c>
      <c r="O101" s="17">
        <f t="shared" si="6"/>
        <v>2922.566832</v>
      </c>
      <c r="P101" s="17">
        <f t="shared" si="7"/>
        <v>0.21225452515457599</v>
      </c>
      <c r="Q101" s="17">
        <f>IF(AND(O101&gt;0,I101&gt;0),O101/(1-'1 - Input'!$B$22*P101),0)</f>
        <v>3093.2727267874461</v>
      </c>
      <c r="R101" s="17">
        <f t="shared" si="8"/>
        <v>3093.2727267874461</v>
      </c>
      <c r="S101" s="17">
        <f>'1 - Input'!$B$22*P101*R101</f>
        <v>170.70589478744617</v>
      </c>
      <c r="T101" s="17">
        <f t="shared" si="9"/>
        <v>2922.566832</v>
      </c>
      <c r="U101" s="17">
        <f t="shared" si="10"/>
        <v>0</v>
      </c>
      <c r="V101" s="17">
        <f t="shared" si="11"/>
        <v>0</v>
      </c>
      <c r="W101" s="17">
        <f t="shared" si="12"/>
        <v>424923.19281000661</v>
      </c>
      <c r="X101" s="17">
        <f t="shared" si="13"/>
        <v>334731.32229295233</v>
      </c>
      <c r="Y101" s="17">
        <f>IF(MOD(A101,12)=0,W101*'1 - Input'!$B$23,0)</f>
        <v>0</v>
      </c>
      <c r="Z101" s="17">
        <f t="shared" si="14"/>
        <v>424923.19281000661</v>
      </c>
      <c r="AA101" s="17">
        <f>IF(MOD(A101,12)=0,X101*(1-'1 - Input'!$B$23),X101)</f>
        <v>334731.32229295233</v>
      </c>
      <c r="AB101" s="17">
        <f t="shared" si="15"/>
        <v>2922.566832</v>
      </c>
      <c r="AC101" s="17">
        <f t="shared" si="19"/>
        <v>162765.76752000011</v>
      </c>
      <c r="AD101" s="17">
        <f t="shared" si="20"/>
        <v>0</v>
      </c>
      <c r="AE101" s="17">
        <f t="shared" si="21"/>
        <v>5008.2618693009563</v>
      </c>
      <c r="AF101" s="17">
        <f t="shared" si="22"/>
        <v>0</v>
      </c>
      <c r="AG101" s="17">
        <f t="shared" si="23"/>
        <v>3672.9970438085311</v>
      </c>
      <c r="AH101" s="17">
        <f t="shared" si="24"/>
        <v>0</v>
      </c>
      <c r="AI101" s="15">
        <f t="shared" si="16"/>
        <v>0</v>
      </c>
    </row>
    <row r="102" spans="1:35">
      <c r="A102" s="14">
        <v>59</v>
      </c>
      <c r="B102" s="15">
        <f t="shared" si="0"/>
        <v>5</v>
      </c>
      <c r="C102" s="16">
        <f>(1+INDEX('1 - Input'!$B$34:$E$63,B102,'1 - Input'!$B$16))^(1/12)-1</f>
        <v>4.1219243192651689E-3</v>
      </c>
      <c r="D102" s="17">
        <f>'1 - Input'!$B$7*(1+'1 - Input'!$B$12)^(B102-1)</f>
        <v>2922.566832</v>
      </c>
      <c r="E102" s="17">
        <f t="shared" si="17"/>
        <v>424923.19281000661</v>
      </c>
      <c r="F102" s="17">
        <f t="shared" si="18"/>
        <v>334731.32229295233</v>
      </c>
      <c r="G102" s="17">
        <f t="shared" si="1"/>
        <v>426674.69405226997</v>
      </c>
      <c r="H102" s="17">
        <f>0</f>
        <v>0</v>
      </c>
      <c r="I102" s="17">
        <f t="shared" si="2"/>
        <v>426674.69405226997</v>
      </c>
      <c r="J102" s="17">
        <f t="shared" si="3"/>
        <v>0</v>
      </c>
      <c r="K102" s="17">
        <f>'1 - Input'!$B$22*(H102-J102)</f>
        <v>0</v>
      </c>
      <c r="L102" s="17">
        <f t="shared" si="4"/>
        <v>0</v>
      </c>
      <c r="M102" s="17">
        <f t="shared" si="5"/>
        <v>334731.32229295233</v>
      </c>
      <c r="N102" s="17">
        <f>0</f>
        <v>0</v>
      </c>
      <c r="O102" s="17">
        <f t="shared" si="6"/>
        <v>2922.566832</v>
      </c>
      <c r="P102" s="17">
        <f t="shared" si="7"/>
        <v>0.21548822332560003</v>
      </c>
      <c r="Q102" s="17">
        <f>IF(AND(O102&gt;0,I102&gt;0),O102/(1-'1 - Input'!$B$22*P102),0)</f>
        <v>3096.0277891914852</v>
      </c>
      <c r="R102" s="17">
        <f t="shared" si="8"/>
        <v>3096.0277891914852</v>
      </c>
      <c r="S102" s="17">
        <f>'1 - Input'!$B$22*P102*R102</f>
        <v>173.46095719148522</v>
      </c>
      <c r="T102" s="17">
        <f t="shared" si="9"/>
        <v>2922.566832</v>
      </c>
      <c r="U102" s="17">
        <f t="shared" si="10"/>
        <v>0</v>
      </c>
      <c r="V102" s="17">
        <f t="shared" si="11"/>
        <v>0</v>
      </c>
      <c r="W102" s="17">
        <f t="shared" si="12"/>
        <v>423578.66626307851</v>
      </c>
      <c r="X102" s="17">
        <f t="shared" si="13"/>
        <v>332302.45203142043</v>
      </c>
      <c r="Y102" s="17">
        <f>IF(MOD(A102,12)=0,W102*'1 - Input'!$B$23,0)</f>
        <v>0</v>
      </c>
      <c r="Z102" s="17">
        <f t="shared" si="14"/>
        <v>423578.66626307851</v>
      </c>
      <c r="AA102" s="17">
        <f>IF(MOD(A102,12)=0,X102*(1-'1 - Input'!$B$23),X102)</f>
        <v>332302.45203142043</v>
      </c>
      <c r="AB102" s="17">
        <f t="shared" si="15"/>
        <v>2922.566832</v>
      </c>
      <c r="AC102" s="17">
        <f t="shared" si="19"/>
        <v>165688.33435200012</v>
      </c>
      <c r="AD102" s="17">
        <f t="shared" si="20"/>
        <v>0</v>
      </c>
      <c r="AE102" s="17">
        <f t="shared" si="21"/>
        <v>5181.7228264924415</v>
      </c>
      <c r="AF102" s="17">
        <f t="shared" si="22"/>
        <v>0</v>
      </c>
      <c r="AG102" s="17">
        <f t="shared" si="23"/>
        <v>3672.9970438085311</v>
      </c>
      <c r="AH102" s="17">
        <f t="shared" si="24"/>
        <v>0</v>
      </c>
      <c r="AI102" s="15">
        <f t="shared" si="16"/>
        <v>0</v>
      </c>
    </row>
    <row r="103" spans="1:35">
      <c r="A103" s="14">
        <v>60</v>
      </c>
      <c r="B103" s="15">
        <f t="shared" si="0"/>
        <v>5</v>
      </c>
      <c r="C103" s="16">
        <f>(1+INDEX('1 - Input'!$B$34:$E$63,B103,'1 - Input'!$B$16))^(1/12)-1</f>
        <v>4.1219243192651689E-3</v>
      </c>
      <c r="D103" s="17">
        <f>'1 - Input'!$B$7*(1+'1 - Input'!$B$12)^(B103-1)</f>
        <v>2922.566832</v>
      </c>
      <c r="E103" s="17">
        <f t="shared" si="17"/>
        <v>423578.66626307851</v>
      </c>
      <c r="F103" s="17">
        <f t="shared" si="18"/>
        <v>332302.45203142043</v>
      </c>
      <c r="G103" s="17">
        <f t="shared" si="1"/>
        <v>425324.62546867022</v>
      </c>
      <c r="H103" s="17">
        <f>0</f>
        <v>0</v>
      </c>
      <c r="I103" s="17">
        <f t="shared" si="2"/>
        <v>425324.62546867022</v>
      </c>
      <c r="J103" s="17">
        <f t="shared" si="3"/>
        <v>0</v>
      </c>
      <c r="K103" s="17">
        <f>'1 - Input'!$B$22*(H103-J103)</f>
        <v>0</v>
      </c>
      <c r="L103" s="17">
        <f t="shared" si="4"/>
        <v>0</v>
      </c>
      <c r="M103" s="17">
        <f t="shared" si="5"/>
        <v>332302.45203142043</v>
      </c>
      <c r="N103" s="17">
        <f>0</f>
        <v>0</v>
      </c>
      <c r="O103" s="17">
        <f t="shared" si="6"/>
        <v>2922.566832</v>
      </c>
      <c r="P103" s="17">
        <f t="shared" si="7"/>
        <v>0.21870864715333038</v>
      </c>
      <c r="Q103" s="17">
        <f>IF(AND(O103&gt;0,I103&gt;0),O103/(1-'1 - Input'!$B$22*P103),0)</f>
        <v>3098.7764238686887</v>
      </c>
      <c r="R103" s="17">
        <f t="shared" si="8"/>
        <v>3098.7764238686887</v>
      </c>
      <c r="S103" s="17">
        <f>'1 - Input'!$B$22*P103*R103</f>
        <v>176.20959186868856</v>
      </c>
      <c r="T103" s="17">
        <f t="shared" si="9"/>
        <v>2922.566832</v>
      </c>
      <c r="U103" s="17">
        <f t="shared" si="10"/>
        <v>0</v>
      </c>
      <c r="V103" s="17">
        <f t="shared" si="11"/>
        <v>0</v>
      </c>
      <c r="W103" s="17">
        <f t="shared" si="12"/>
        <v>422225.84904480155</v>
      </c>
      <c r="X103" s="17">
        <f t="shared" si="13"/>
        <v>329881.4048070467</v>
      </c>
      <c r="Y103" s="17">
        <f>IF(MOD(A103,12)=0,W103*'1 - Input'!$B$23,0)</f>
        <v>844.45169808960316</v>
      </c>
      <c r="Z103" s="17">
        <f t="shared" si="14"/>
        <v>421381.39734671195</v>
      </c>
      <c r="AA103" s="17">
        <f>IF(MOD(A103,12)=0,X103*(1-'1 - Input'!$B$23),X103)</f>
        <v>329221.64199743263</v>
      </c>
      <c r="AB103" s="17">
        <f t="shared" si="15"/>
        <v>2922.566832</v>
      </c>
      <c r="AC103" s="17">
        <f t="shared" si="19"/>
        <v>168610.90118400013</v>
      </c>
      <c r="AD103" s="17">
        <f t="shared" si="20"/>
        <v>0</v>
      </c>
      <c r="AE103" s="17">
        <f t="shared" si="21"/>
        <v>5357.9324183611297</v>
      </c>
      <c r="AF103" s="17">
        <f t="shared" si="22"/>
        <v>0</v>
      </c>
      <c r="AG103" s="17">
        <f t="shared" si="23"/>
        <v>4517.4487418981344</v>
      </c>
      <c r="AH103" s="17">
        <f t="shared" si="24"/>
        <v>0</v>
      </c>
      <c r="AI103" s="15">
        <f t="shared" si="16"/>
        <v>0</v>
      </c>
    </row>
    <row r="104" spans="1:35">
      <c r="A104" s="14">
        <v>61</v>
      </c>
      <c r="B104" s="15">
        <f t="shared" si="0"/>
        <v>6</v>
      </c>
      <c r="C104" s="16">
        <f>(1+INDEX('1 - Input'!$B$34:$E$63,B104,'1 - Input'!$B$16))^(1/12)-1</f>
        <v>4.1219243192651689E-3</v>
      </c>
      <c r="D104" s="17">
        <f>'1 - Input'!$B$7*(1+'1 - Input'!$B$12)^(B104-1)</f>
        <v>2981.0181686400001</v>
      </c>
      <c r="E104" s="17">
        <f t="shared" si="17"/>
        <v>421381.39734671195</v>
      </c>
      <c r="F104" s="17">
        <f t="shared" si="18"/>
        <v>329221.64199743263</v>
      </c>
      <c r="G104" s="17">
        <f t="shared" si="1"/>
        <v>423118.29957612132</v>
      </c>
      <c r="H104" s="17">
        <f>0</f>
        <v>0</v>
      </c>
      <c r="I104" s="17">
        <f t="shared" si="2"/>
        <v>423118.29957612132</v>
      </c>
      <c r="J104" s="17">
        <f t="shared" si="3"/>
        <v>0</v>
      </c>
      <c r="K104" s="17">
        <f>'1 - Input'!$B$22*(H104-J104)</f>
        <v>0</v>
      </c>
      <c r="L104" s="17">
        <f t="shared" si="4"/>
        <v>0</v>
      </c>
      <c r="M104" s="17">
        <f t="shared" si="5"/>
        <v>329221.64199743263</v>
      </c>
      <c r="N104" s="17">
        <f>0</f>
        <v>0</v>
      </c>
      <c r="O104" s="17">
        <f t="shared" si="6"/>
        <v>2981.0181686400001</v>
      </c>
      <c r="P104" s="17">
        <f t="shared" si="7"/>
        <v>0.22191585112899659</v>
      </c>
      <c r="Q104" s="17">
        <f>IF(AND(O104&gt;0,I104&gt;0),O104/(1-'1 - Input'!$B$22*P104),0)</f>
        <v>3163.5490027168094</v>
      </c>
      <c r="R104" s="17">
        <f t="shared" si="8"/>
        <v>3163.5490027168094</v>
      </c>
      <c r="S104" s="17">
        <f>'1 - Input'!$B$22*P104*R104</f>
        <v>182.53083407680916</v>
      </c>
      <c r="T104" s="17">
        <f t="shared" si="9"/>
        <v>2981.0181686400001</v>
      </c>
      <c r="U104" s="17">
        <f t="shared" si="10"/>
        <v>0</v>
      </c>
      <c r="V104" s="17">
        <f t="shared" si="11"/>
        <v>0</v>
      </c>
      <c r="W104" s="17">
        <f t="shared" si="12"/>
        <v>419954.75057340454</v>
      </c>
      <c r="X104" s="17">
        <f t="shared" si="13"/>
        <v>326760.13466424204</v>
      </c>
      <c r="Y104" s="17">
        <f>IF(MOD(A104,12)=0,W104*'1 - Input'!$B$23,0)</f>
        <v>0</v>
      </c>
      <c r="Z104" s="17">
        <f t="shared" si="14"/>
        <v>419954.75057340454</v>
      </c>
      <c r="AA104" s="17">
        <f>IF(MOD(A104,12)=0,X104*(1-'1 - Input'!$B$23),X104)</f>
        <v>326760.13466424204</v>
      </c>
      <c r="AB104" s="17">
        <f t="shared" si="15"/>
        <v>2981.0181686400001</v>
      </c>
      <c r="AC104" s="17">
        <f t="shared" si="19"/>
        <v>171591.91935264014</v>
      </c>
      <c r="AD104" s="17">
        <f t="shared" si="20"/>
        <v>0</v>
      </c>
      <c r="AE104" s="17">
        <f t="shared" si="21"/>
        <v>5540.4632524379385</v>
      </c>
      <c r="AF104" s="17">
        <f t="shared" si="22"/>
        <v>0</v>
      </c>
      <c r="AG104" s="17">
        <f t="shared" si="23"/>
        <v>4517.4487418981344</v>
      </c>
      <c r="AH104" s="17">
        <f t="shared" si="24"/>
        <v>0</v>
      </c>
      <c r="AI104" s="15">
        <f t="shared" si="16"/>
        <v>0</v>
      </c>
    </row>
    <row r="105" spans="1:35">
      <c r="A105" s="14">
        <v>62</v>
      </c>
      <c r="B105" s="15">
        <f t="shared" si="0"/>
        <v>6</v>
      </c>
      <c r="C105" s="16">
        <f>(1+INDEX('1 - Input'!$B$34:$E$63,B105,'1 - Input'!$B$16))^(1/12)-1</f>
        <v>4.1219243192651689E-3</v>
      </c>
      <c r="D105" s="17">
        <f>'1 - Input'!$B$7*(1+'1 - Input'!$B$12)^(B105-1)</f>
        <v>2981.0181686400001</v>
      </c>
      <c r="E105" s="17">
        <f t="shared" si="17"/>
        <v>419954.75057340454</v>
      </c>
      <c r="F105" s="17">
        <f t="shared" si="18"/>
        <v>326760.13466424204</v>
      </c>
      <c r="G105" s="17">
        <f t="shared" si="1"/>
        <v>421685.77227278397</v>
      </c>
      <c r="H105" s="17">
        <f>0</f>
        <v>0</v>
      </c>
      <c r="I105" s="17">
        <f t="shared" si="2"/>
        <v>421685.77227278397</v>
      </c>
      <c r="J105" s="17">
        <f t="shared" si="3"/>
        <v>0</v>
      </c>
      <c r="K105" s="17">
        <f>'1 - Input'!$B$22*(H105-J105)</f>
        <v>0</v>
      </c>
      <c r="L105" s="17">
        <f t="shared" si="4"/>
        <v>0</v>
      </c>
      <c r="M105" s="17">
        <f t="shared" si="5"/>
        <v>326760.13466424204</v>
      </c>
      <c r="N105" s="17">
        <f>0</f>
        <v>0</v>
      </c>
      <c r="O105" s="17">
        <f t="shared" si="6"/>
        <v>2981.0181686400001</v>
      </c>
      <c r="P105" s="17">
        <f t="shared" si="7"/>
        <v>0.22510988952014144</v>
      </c>
      <c r="Q105" s="17">
        <f>IF(AND(O105&gt;0,I105&gt;0),O105/(1-'1 - Input'!$B$22*P105),0)</f>
        <v>3166.3394954829728</v>
      </c>
      <c r="R105" s="17">
        <f t="shared" si="8"/>
        <v>3166.3394954829728</v>
      </c>
      <c r="S105" s="17">
        <f>'1 - Input'!$B$22*P105*R105</f>
        <v>185.32132684297241</v>
      </c>
      <c r="T105" s="17">
        <f t="shared" si="9"/>
        <v>2981.0181686400006</v>
      </c>
      <c r="U105" s="17">
        <f t="shared" si="10"/>
        <v>0</v>
      </c>
      <c r="V105" s="17">
        <f t="shared" si="11"/>
        <v>0</v>
      </c>
      <c r="W105" s="17">
        <f t="shared" si="12"/>
        <v>418519.432777301</v>
      </c>
      <c r="X105" s="17">
        <f t="shared" si="13"/>
        <v>324306.56950277049</v>
      </c>
      <c r="Y105" s="17">
        <f>IF(MOD(A105,12)=0,W105*'1 - Input'!$B$23,0)</f>
        <v>0</v>
      </c>
      <c r="Z105" s="17">
        <f t="shared" si="14"/>
        <v>418519.432777301</v>
      </c>
      <c r="AA105" s="17">
        <f>IF(MOD(A105,12)=0,X105*(1-'1 - Input'!$B$23),X105)</f>
        <v>324306.56950277049</v>
      </c>
      <c r="AB105" s="17">
        <f t="shared" si="15"/>
        <v>2981.0181686400006</v>
      </c>
      <c r="AC105" s="17">
        <f t="shared" si="19"/>
        <v>174572.93752128014</v>
      </c>
      <c r="AD105" s="17">
        <f t="shared" si="20"/>
        <v>0</v>
      </c>
      <c r="AE105" s="17">
        <f t="shared" si="21"/>
        <v>5725.7845792809112</v>
      </c>
      <c r="AF105" s="17">
        <f t="shared" si="22"/>
        <v>0</v>
      </c>
      <c r="AG105" s="17">
        <f t="shared" si="23"/>
        <v>4517.4487418981344</v>
      </c>
      <c r="AH105" s="17">
        <f t="shared" si="24"/>
        <v>0</v>
      </c>
      <c r="AI105" s="15">
        <f t="shared" si="16"/>
        <v>0</v>
      </c>
    </row>
    <row r="106" spans="1:35">
      <c r="A106" s="14">
        <v>63</v>
      </c>
      <c r="B106" s="15">
        <f t="shared" si="0"/>
        <v>6</v>
      </c>
      <c r="C106" s="16">
        <f>(1+INDEX('1 - Input'!$B$34:$E$63,B106,'1 - Input'!$B$16))^(1/12)-1</f>
        <v>4.1219243192651689E-3</v>
      </c>
      <c r="D106" s="17">
        <f>'1 - Input'!$B$7*(1+'1 - Input'!$B$12)^(B106-1)</f>
        <v>2981.0181686400001</v>
      </c>
      <c r="E106" s="17">
        <f t="shared" si="17"/>
        <v>418519.432777301</v>
      </c>
      <c r="F106" s="17">
        <f t="shared" si="18"/>
        <v>324306.56950277049</v>
      </c>
      <c r="G106" s="17">
        <f t="shared" si="1"/>
        <v>420244.53820535081</v>
      </c>
      <c r="H106" s="17">
        <f>0</f>
        <v>0</v>
      </c>
      <c r="I106" s="17">
        <f t="shared" si="2"/>
        <v>420244.53820535081</v>
      </c>
      <c r="J106" s="17">
        <f t="shared" si="3"/>
        <v>0</v>
      </c>
      <c r="K106" s="17">
        <f>'1 - Input'!$B$22*(H106-J106)</f>
        <v>0</v>
      </c>
      <c r="L106" s="17">
        <f t="shared" si="4"/>
        <v>0</v>
      </c>
      <c r="M106" s="17">
        <f t="shared" si="5"/>
        <v>324306.56950277049</v>
      </c>
      <c r="N106" s="17">
        <f>0</f>
        <v>0</v>
      </c>
      <c r="O106" s="17">
        <f t="shared" si="6"/>
        <v>2981.0181686400001</v>
      </c>
      <c r="P106" s="17">
        <f t="shared" si="7"/>
        <v>0.22829081637153992</v>
      </c>
      <c r="Q106" s="17">
        <f>IF(AND(O106&gt;0,I106&gt;0),O106/(1-'1 - Input'!$B$22*P106),0)</f>
        <v>3169.1234301534982</v>
      </c>
      <c r="R106" s="17">
        <f t="shared" si="8"/>
        <v>3169.1234301534982</v>
      </c>
      <c r="S106" s="17">
        <f>'1 - Input'!$B$22*P106*R106</f>
        <v>188.10526151349842</v>
      </c>
      <c r="T106" s="17">
        <f t="shared" si="9"/>
        <v>2981.0181686399997</v>
      </c>
      <c r="U106" s="17">
        <f t="shared" si="10"/>
        <v>0</v>
      </c>
      <c r="V106" s="17">
        <f t="shared" si="11"/>
        <v>0</v>
      </c>
      <c r="W106" s="17">
        <f t="shared" si="12"/>
        <v>417075.41477519734</v>
      </c>
      <c r="X106" s="17">
        <f t="shared" si="13"/>
        <v>321860.92784766894</v>
      </c>
      <c r="Y106" s="17">
        <f>IF(MOD(A106,12)=0,W106*'1 - Input'!$B$23,0)</f>
        <v>0</v>
      </c>
      <c r="Z106" s="17">
        <f t="shared" si="14"/>
        <v>417075.41477519734</v>
      </c>
      <c r="AA106" s="17">
        <f>IF(MOD(A106,12)=0,X106*(1-'1 - Input'!$B$23),X106)</f>
        <v>321860.92784766894</v>
      </c>
      <c r="AB106" s="17">
        <f t="shared" si="15"/>
        <v>2981.0181686399997</v>
      </c>
      <c r="AC106" s="17">
        <f t="shared" si="19"/>
        <v>177553.95568992014</v>
      </c>
      <c r="AD106" s="17">
        <f t="shared" si="20"/>
        <v>0</v>
      </c>
      <c r="AE106" s="17">
        <f t="shared" si="21"/>
        <v>5913.8898407944098</v>
      </c>
      <c r="AF106" s="17">
        <f t="shared" si="22"/>
        <v>0</v>
      </c>
      <c r="AG106" s="17">
        <f t="shared" si="23"/>
        <v>4517.4487418981344</v>
      </c>
      <c r="AH106" s="17">
        <f t="shared" si="24"/>
        <v>0</v>
      </c>
      <c r="AI106" s="15">
        <f t="shared" si="16"/>
        <v>0</v>
      </c>
    </row>
    <row r="107" spans="1:35">
      <c r="A107" s="14">
        <v>64</v>
      </c>
      <c r="B107" s="15">
        <f t="shared" si="0"/>
        <v>6</v>
      </c>
      <c r="C107" s="16">
        <f>(1+INDEX('1 - Input'!$B$34:$E$63,B107,'1 - Input'!$B$16))^(1/12)-1</f>
        <v>4.1219243192651689E-3</v>
      </c>
      <c r="D107" s="17">
        <f>'1 - Input'!$B$7*(1+'1 - Input'!$B$12)^(B107-1)</f>
        <v>2981.0181686400001</v>
      </c>
      <c r="E107" s="17">
        <f t="shared" si="17"/>
        <v>417075.41477519734</v>
      </c>
      <c r="F107" s="17">
        <f t="shared" si="18"/>
        <v>321860.92784766894</v>
      </c>
      <c r="G107" s="17">
        <f t="shared" si="1"/>
        <v>418794.56807032682</v>
      </c>
      <c r="H107" s="17">
        <f>0</f>
        <v>0</v>
      </c>
      <c r="I107" s="17">
        <f t="shared" si="2"/>
        <v>418794.56807032682</v>
      </c>
      <c r="J107" s="17">
        <f t="shared" si="3"/>
        <v>0</v>
      </c>
      <c r="K107" s="17">
        <f>'1 - Input'!$B$22*(H107-J107)</f>
        <v>0</v>
      </c>
      <c r="L107" s="17">
        <f t="shared" si="4"/>
        <v>0</v>
      </c>
      <c r="M107" s="17">
        <f t="shared" si="5"/>
        <v>321860.92784766894</v>
      </c>
      <c r="N107" s="17">
        <f>0</f>
        <v>0</v>
      </c>
      <c r="O107" s="17">
        <f t="shared" si="6"/>
        <v>2981.0181686400001</v>
      </c>
      <c r="P107" s="17">
        <f t="shared" si="7"/>
        <v>0.23145868550611226</v>
      </c>
      <c r="Q107" s="17">
        <f>IF(AND(O107&gt;0,I107&gt;0),O107/(1-'1 - Input'!$B$22*P107),0)</f>
        <v>3171.9008063503434</v>
      </c>
      <c r="R107" s="17">
        <f t="shared" si="8"/>
        <v>3171.9008063503434</v>
      </c>
      <c r="S107" s="17">
        <f>'1 - Input'!$B$22*P107*R107</f>
        <v>190.88263771034329</v>
      </c>
      <c r="T107" s="17">
        <f t="shared" si="9"/>
        <v>2981.0181686400001</v>
      </c>
      <c r="U107" s="17">
        <f t="shared" si="10"/>
        <v>0</v>
      </c>
      <c r="V107" s="17">
        <f t="shared" si="11"/>
        <v>0</v>
      </c>
      <c r="W107" s="17">
        <f t="shared" si="12"/>
        <v>415622.66726397647</v>
      </c>
      <c r="X107" s="17">
        <f t="shared" si="13"/>
        <v>319423.19103251223</v>
      </c>
      <c r="Y107" s="17">
        <f>IF(MOD(A107,12)=0,W107*'1 - Input'!$B$23,0)</f>
        <v>0</v>
      </c>
      <c r="Z107" s="17">
        <f t="shared" si="14"/>
        <v>415622.66726397647</v>
      </c>
      <c r="AA107" s="17">
        <f>IF(MOD(A107,12)=0,X107*(1-'1 - Input'!$B$23),X107)</f>
        <v>319423.19103251223</v>
      </c>
      <c r="AB107" s="17">
        <f t="shared" si="15"/>
        <v>2981.0181686400001</v>
      </c>
      <c r="AC107" s="17">
        <f t="shared" si="19"/>
        <v>180534.97385856014</v>
      </c>
      <c r="AD107" s="17">
        <f t="shared" si="20"/>
        <v>0</v>
      </c>
      <c r="AE107" s="17">
        <f t="shared" si="21"/>
        <v>6104.7724785047531</v>
      </c>
      <c r="AF107" s="17">
        <f t="shared" si="22"/>
        <v>0</v>
      </c>
      <c r="AG107" s="17">
        <f t="shared" si="23"/>
        <v>4517.4487418981344</v>
      </c>
      <c r="AH107" s="17">
        <f t="shared" si="24"/>
        <v>0</v>
      </c>
      <c r="AI107" s="15">
        <f t="shared" si="16"/>
        <v>0</v>
      </c>
    </row>
    <row r="108" spans="1:35">
      <c r="A108" s="14">
        <v>65</v>
      </c>
      <c r="B108" s="15">
        <f t="shared" ref="B108:B171" si="25">ROUNDUP(A108/12,0)</f>
        <v>6</v>
      </c>
      <c r="C108" s="16">
        <f>(1+INDEX('1 - Input'!$B$34:$E$63,B108,'1 - Input'!$B$16))^(1/12)-1</f>
        <v>4.1219243192651689E-3</v>
      </c>
      <c r="D108" s="17">
        <f>'1 - Input'!$B$7*(1+'1 - Input'!$B$12)^(B108-1)</f>
        <v>2981.0181686400001</v>
      </c>
      <c r="E108" s="17">
        <f t="shared" si="17"/>
        <v>415622.66726397647</v>
      </c>
      <c r="F108" s="17">
        <f t="shared" si="18"/>
        <v>319423.19103251223</v>
      </c>
      <c r="G108" s="17">
        <f t="shared" ref="G108:G171" si="26">E108*(1+C108)</f>
        <v>417335.83244380972</v>
      </c>
      <c r="H108" s="17">
        <f>0</f>
        <v>0</v>
      </c>
      <c r="I108" s="17">
        <f t="shared" ref="I108:I171" si="27">G108-H108</f>
        <v>417335.83244380972</v>
      </c>
      <c r="J108" s="17">
        <f t="shared" ref="J108:J171" si="28">MIN($B$41*H108,F108)</f>
        <v>0</v>
      </c>
      <c r="K108" s="17">
        <f>'1 - Input'!$B$22*(H108-J108)</f>
        <v>0</v>
      </c>
      <c r="L108" s="17">
        <f t="shared" ref="L108:L171" si="29">H108-K108</f>
        <v>0</v>
      </c>
      <c r="M108" s="17">
        <f t="shared" ref="M108:M171" si="30">F108-J108</f>
        <v>319423.19103251223</v>
      </c>
      <c r="N108" s="17">
        <f>0</f>
        <v>0</v>
      </c>
      <c r="O108" s="17">
        <f t="shared" ref="O108:O171" si="31">D108</f>
        <v>2981.0181686400001</v>
      </c>
      <c r="P108" s="17">
        <f t="shared" ref="P108:P171" si="32">IF(I108&gt;0,MAX(0,1-M108/I108),0)</f>
        <v>0.23461355052583577</v>
      </c>
      <c r="Q108" s="17">
        <f>IF(AND(O108&gt;0,I108&gt;0),O108/(1-'1 - Input'!$B$22*P108),0)</f>
        <v>3174.6716238079534</v>
      </c>
      <c r="R108" s="17">
        <f t="shared" ref="R108:R171" si="33">MIN(Q108,I108)</f>
        <v>3174.6716238079534</v>
      </c>
      <c r="S108" s="17">
        <f>'1 - Input'!$B$22*P108*R108</f>
        <v>193.65345516795315</v>
      </c>
      <c r="T108" s="17">
        <f t="shared" ref="T108:T171" si="34">R108-S108</f>
        <v>2981.0181686400001</v>
      </c>
      <c r="U108" s="17">
        <f t="shared" ref="U108:U171" si="35">O108-T108</f>
        <v>0</v>
      </c>
      <c r="V108" s="17">
        <f t="shared" ref="V108:V171" si="36">IF(I108&gt;0,R108*MAX(0,M108/I108-1),0)</f>
        <v>0</v>
      </c>
      <c r="W108" s="17">
        <f t="shared" ref="W108:W171" si="37">I108-R108+N108</f>
        <v>414161.16082000174</v>
      </c>
      <c r="X108" s="17">
        <f t="shared" ref="X108:X171" si="38">IF(R108&gt;0,M108*(1-R108/I108),M108)+N108</f>
        <v>316993.34039011947</v>
      </c>
      <c r="Y108" s="17">
        <f>IF(MOD(A108,12)=0,W108*'1 - Input'!$B$23,0)</f>
        <v>0</v>
      </c>
      <c r="Z108" s="17">
        <f t="shared" ref="Z108:Z171" si="39">W108-Y108</f>
        <v>414161.16082000174</v>
      </c>
      <c r="AA108" s="17">
        <f>IF(MOD(A108,12)=0,X108*(1-'1 - Input'!$B$23),X108)</f>
        <v>316993.34039011947</v>
      </c>
      <c r="AB108" s="17">
        <f t="shared" ref="AB108:AB171" si="40">T108</f>
        <v>2981.0181686400001</v>
      </c>
      <c r="AC108" s="17">
        <f t="shared" si="19"/>
        <v>183515.99202720015</v>
      </c>
      <c r="AD108" s="17">
        <f t="shared" si="20"/>
        <v>0</v>
      </c>
      <c r="AE108" s="17">
        <f t="shared" si="21"/>
        <v>6298.4259336727064</v>
      </c>
      <c r="AF108" s="17">
        <f t="shared" si="22"/>
        <v>0</v>
      </c>
      <c r="AG108" s="17">
        <f t="shared" si="23"/>
        <v>4517.4487418981344</v>
      </c>
      <c r="AH108" s="17">
        <f t="shared" si="24"/>
        <v>0</v>
      </c>
      <c r="AI108" s="15">
        <f t="shared" ref="AI108:AI171" si="41">IF(W108&lt;=0.000001,1,0)</f>
        <v>0</v>
      </c>
    </row>
    <row r="109" spans="1:35">
      <c r="A109" s="14">
        <v>66</v>
      </c>
      <c r="B109" s="15">
        <f t="shared" si="25"/>
        <v>6</v>
      </c>
      <c r="C109" s="16">
        <f>(1+INDEX('1 - Input'!$B$34:$E$63,B109,'1 - Input'!$B$16))^(1/12)-1</f>
        <v>4.1219243192651689E-3</v>
      </c>
      <c r="D109" s="17">
        <f>'1 - Input'!$B$7*(1+'1 - Input'!$B$12)^(B109-1)</f>
        <v>2981.0181686400001</v>
      </c>
      <c r="E109" s="17">
        <f t="shared" ref="E109:E172" si="42">Z108</f>
        <v>414161.16082000174</v>
      </c>
      <c r="F109" s="17">
        <f t="shared" ref="F109:F172" si="43">AA108</f>
        <v>316993.34039011947</v>
      </c>
      <c r="G109" s="17">
        <f t="shared" si="26"/>
        <v>415868.30178088078</v>
      </c>
      <c r="H109" s="17">
        <f>0</f>
        <v>0</v>
      </c>
      <c r="I109" s="17">
        <f t="shared" si="27"/>
        <v>415868.30178088078</v>
      </c>
      <c r="J109" s="17">
        <f t="shared" si="28"/>
        <v>0</v>
      </c>
      <c r="K109" s="17">
        <f>'1 - Input'!$B$22*(H109-J109)</f>
        <v>0</v>
      </c>
      <c r="L109" s="17">
        <f t="shared" si="29"/>
        <v>0</v>
      </c>
      <c r="M109" s="17">
        <f t="shared" si="30"/>
        <v>316993.34039011947</v>
      </c>
      <c r="N109" s="17">
        <f>0</f>
        <v>0</v>
      </c>
      <c r="O109" s="17">
        <f t="shared" si="31"/>
        <v>2981.0181686400001</v>
      </c>
      <c r="P109" s="17">
        <f t="shared" si="32"/>
        <v>0.23775546481265142</v>
      </c>
      <c r="Q109" s="17">
        <f>IF(AND(O109&gt;0,I109&gt;0),O109/(1-'1 - Input'!$B$22*P109),0)</f>
        <v>3177.4358823727416</v>
      </c>
      <c r="R109" s="17">
        <f t="shared" si="33"/>
        <v>3177.4358823727416</v>
      </c>
      <c r="S109" s="17">
        <f>'1 - Input'!$B$22*P109*R109</f>
        <v>196.41771373274139</v>
      </c>
      <c r="T109" s="17">
        <f t="shared" si="34"/>
        <v>2981.0181686400001</v>
      </c>
      <c r="U109" s="17">
        <f t="shared" si="35"/>
        <v>0</v>
      </c>
      <c r="V109" s="17">
        <f t="shared" si="36"/>
        <v>0</v>
      </c>
      <c r="W109" s="17">
        <f t="shared" si="37"/>
        <v>412690.86589850805</v>
      </c>
      <c r="X109" s="17">
        <f t="shared" si="38"/>
        <v>314571.35725287267</v>
      </c>
      <c r="Y109" s="17">
        <f>IF(MOD(A109,12)=0,W109*'1 - Input'!$B$23,0)</f>
        <v>0</v>
      </c>
      <c r="Z109" s="17">
        <f t="shared" si="39"/>
        <v>412690.86589850805</v>
      </c>
      <c r="AA109" s="17">
        <f>IF(MOD(A109,12)=0,X109*(1-'1 - Input'!$B$23),X109)</f>
        <v>314571.35725287267</v>
      </c>
      <c r="AB109" s="17">
        <f t="shared" si="40"/>
        <v>2981.0181686400001</v>
      </c>
      <c r="AC109" s="17">
        <f t="shared" ref="AC109:AC172" si="44">AC108+AB109</f>
        <v>186497.01019584015</v>
      </c>
      <c r="AD109" s="17">
        <f t="shared" ref="AD109:AD172" si="45">AD108+K109</f>
        <v>0</v>
      </c>
      <c r="AE109" s="17">
        <f t="shared" ref="AE109:AE172" si="46">AE108+S109</f>
        <v>6494.8436474054479</v>
      </c>
      <c r="AF109" s="17">
        <f t="shared" ref="AF109:AF172" si="47">AF108+V109</f>
        <v>0</v>
      </c>
      <c r="AG109" s="17">
        <f t="shared" ref="AG109:AG172" si="48">AG108+Y109</f>
        <v>4517.4487418981344</v>
      </c>
      <c r="AH109" s="17">
        <f t="shared" ref="AH109:AH172" si="49">AH108+U109</f>
        <v>0</v>
      </c>
      <c r="AI109" s="15">
        <f t="shared" si="41"/>
        <v>0</v>
      </c>
    </row>
    <row r="110" spans="1:35">
      <c r="A110" s="14">
        <v>67</v>
      </c>
      <c r="B110" s="15">
        <f t="shared" si="25"/>
        <v>6</v>
      </c>
      <c r="C110" s="16">
        <f>(1+INDEX('1 - Input'!$B$34:$E$63,B110,'1 - Input'!$B$16))^(1/12)-1</f>
        <v>4.1219243192651689E-3</v>
      </c>
      <c r="D110" s="17">
        <f>'1 - Input'!$B$7*(1+'1 - Input'!$B$12)^(B110-1)</f>
        <v>2981.0181686400001</v>
      </c>
      <c r="E110" s="17">
        <f t="shared" si="42"/>
        <v>412690.86589850805</v>
      </c>
      <c r="F110" s="17">
        <f t="shared" si="43"/>
        <v>314571.35725287267</v>
      </c>
      <c r="G110" s="17">
        <f t="shared" si="26"/>
        <v>414391.94641499373</v>
      </c>
      <c r="H110" s="17">
        <f>0</f>
        <v>0</v>
      </c>
      <c r="I110" s="17">
        <f t="shared" si="27"/>
        <v>414391.94641499373</v>
      </c>
      <c r="J110" s="17">
        <f t="shared" si="28"/>
        <v>0</v>
      </c>
      <c r="K110" s="17">
        <f>'1 - Input'!$B$22*(H110-J110)</f>
        <v>0</v>
      </c>
      <c r="L110" s="17">
        <f t="shared" si="29"/>
        <v>0</v>
      </c>
      <c r="M110" s="17">
        <f t="shared" si="30"/>
        <v>314571.35725287267</v>
      </c>
      <c r="N110" s="17">
        <f>0</f>
        <v>0</v>
      </c>
      <c r="O110" s="17">
        <f t="shared" si="31"/>
        <v>2981.0181686400001</v>
      </c>
      <c r="P110" s="17">
        <f t="shared" si="32"/>
        <v>0.24088448152936714</v>
      </c>
      <c r="Q110" s="17">
        <f>IF(AND(O110&gt;0,I110&gt;0),O110/(1-'1 - Input'!$B$22*P110),0)</f>
        <v>3180.1935820025642</v>
      </c>
      <c r="R110" s="17">
        <f t="shared" si="33"/>
        <v>3180.1935820025642</v>
      </c>
      <c r="S110" s="17">
        <f>'1 - Input'!$B$22*P110*R110</f>
        <v>199.17541336256426</v>
      </c>
      <c r="T110" s="17">
        <f t="shared" si="34"/>
        <v>2981.0181686400001</v>
      </c>
      <c r="U110" s="17">
        <f t="shared" si="35"/>
        <v>0</v>
      </c>
      <c r="V110" s="17">
        <f t="shared" si="36"/>
        <v>0</v>
      </c>
      <c r="W110" s="17">
        <f t="shared" si="37"/>
        <v>411211.75283299119</v>
      </c>
      <c r="X110" s="17">
        <f t="shared" si="38"/>
        <v>312157.22295303381</v>
      </c>
      <c r="Y110" s="17">
        <f>IF(MOD(A110,12)=0,W110*'1 - Input'!$B$23,0)</f>
        <v>0</v>
      </c>
      <c r="Z110" s="17">
        <f t="shared" si="39"/>
        <v>411211.75283299119</v>
      </c>
      <c r="AA110" s="17">
        <f>IF(MOD(A110,12)=0,X110*(1-'1 - Input'!$B$23),X110)</f>
        <v>312157.22295303381</v>
      </c>
      <c r="AB110" s="17">
        <f t="shared" si="40"/>
        <v>2981.0181686400001</v>
      </c>
      <c r="AC110" s="17">
        <f t="shared" si="44"/>
        <v>189478.02836448015</v>
      </c>
      <c r="AD110" s="17">
        <f t="shared" si="45"/>
        <v>0</v>
      </c>
      <c r="AE110" s="17">
        <f t="shared" si="46"/>
        <v>6694.0190607680124</v>
      </c>
      <c r="AF110" s="17">
        <f t="shared" si="47"/>
        <v>0</v>
      </c>
      <c r="AG110" s="17">
        <f t="shared" si="48"/>
        <v>4517.4487418981344</v>
      </c>
      <c r="AH110" s="17">
        <f t="shared" si="49"/>
        <v>0</v>
      </c>
      <c r="AI110" s="15">
        <f t="shared" si="41"/>
        <v>0</v>
      </c>
    </row>
    <row r="111" spans="1:35">
      <c r="A111" s="14">
        <v>68</v>
      </c>
      <c r="B111" s="15">
        <f t="shared" si="25"/>
        <v>6</v>
      </c>
      <c r="C111" s="16">
        <f>(1+INDEX('1 - Input'!$B$34:$E$63,B111,'1 - Input'!$B$16))^(1/12)-1</f>
        <v>4.1219243192651689E-3</v>
      </c>
      <c r="D111" s="17">
        <f>'1 - Input'!$B$7*(1+'1 - Input'!$B$12)^(B111-1)</f>
        <v>2981.0181686400001</v>
      </c>
      <c r="E111" s="17">
        <f t="shared" si="42"/>
        <v>411211.75283299119</v>
      </c>
      <c r="F111" s="17">
        <f t="shared" si="43"/>
        <v>312157.22295303381</v>
      </c>
      <c r="G111" s="17">
        <f t="shared" si="26"/>
        <v>412906.73655736115</v>
      </c>
      <c r="H111" s="17">
        <f>0</f>
        <v>0</v>
      </c>
      <c r="I111" s="17">
        <f t="shared" si="27"/>
        <v>412906.73655736115</v>
      </c>
      <c r="J111" s="17">
        <f t="shared" si="28"/>
        <v>0</v>
      </c>
      <c r="K111" s="17">
        <f>'1 - Input'!$B$22*(H111-J111)</f>
        <v>0</v>
      </c>
      <c r="L111" s="17">
        <f t="shared" si="29"/>
        <v>0</v>
      </c>
      <c r="M111" s="17">
        <f t="shared" si="30"/>
        <v>312157.22295303381</v>
      </c>
      <c r="N111" s="17">
        <f>0</f>
        <v>0</v>
      </c>
      <c r="O111" s="17">
        <f t="shared" si="31"/>
        <v>2981.0181686400001</v>
      </c>
      <c r="P111" s="17">
        <f t="shared" si="32"/>
        <v>0.24400065362055723</v>
      </c>
      <c r="Q111" s="17">
        <f>IF(AND(O111&gt;0,I111&gt;0),O111/(1-'1 - Input'!$B$22*P111),0)</f>
        <v>3182.9447227661944</v>
      </c>
      <c r="R111" s="17">
        <f t="shared" si="33"/>
        <v>3182.9447227661944</v>
      </c>
      <c r="S111" s="17">
        <f>'1 - Input'!$B$22*P111*R111</f>
        <v>201.92655412619425</v>
      </c>
      <c r="T111" s="17">
        <f t="shared" si="34"/>
        <v>2981.0181686400001</v>
      </c>
      <c r="U111" s="17">
        <f t="shared" si="35"/>
        <v>0</v>
      </c>
      <c r="V111" s="17">
        <f t="shared" si="36"/>
        <v>0</v>
      </c>
      <c r="W111" s="17">
        <f t="shared" si="37"/>
        <v>409723.79183459497</v>
      </c>
      <c r="X111" s="17">
        <f t="shared" si="38"/>
        <v>309750.9188230607</v>
      </c>
      <c r="Y111" s="17">
        <f>IF(MOD(A111,12)=0,W111*'1 - Input'!$B$23,0)</f>
        <v>0</v>
      </c>
      <c r="Z111" s="17">
        <f t="shared" si="39"/>
        <v>409723.79183459497</v>
      </c>
      <c r="AA111" s="17">
        <f>IF(MOD(A111,12)=0,X111*(1-'1 - Input'!$B$23),X111)</f>
        <v>309750.9188230607</v>
      </c>
      <c r="AB111" s="17">
        <f t="shared" si="40"/>
        <v>2981.0181686400001</v>
      </c>
      <c r="AC111" s="17">
        <f t="shared" si="44"/>
        <v>192459.04653312016</v>
      </c>
      <c r="AD111" s="17">
        <f t="shared" si="45"/>
        <v>0</v>
      </c>
      <c r="AE111" s="17">
        <f t="shared" si="46"/>
        <v>6895.9456148942063</v>
      </c>
      <c r="AF111" s="17">
        <f t="shared" si="47"/>
        <v>0</v>
      </c>
      <c r="AG111" s="17">
        <f t="shared" si="48"/>
        <v>4517.4487418981344</v>
      </c>
      <c r="AH111" s="17">
        <f t="shared" si="49"/>
        <v>0</v>
      </c>
      <c r="AI111" s="15">
        <f t="shared" si="41"/>
        <v>0</v>
      </c>
    </row>
    <row r="112" spans="1:35">
      <c r="A112" s="14">
        <v>69</v>
      </c>
      <c r="B112" s="15">
        <f t="shared" si="25"/>
        <v>6</v>
      </c>
      <c r="C112" s="16">
        <f>(1+INDEX('1 - Input'!$B$34:$E$63,B112,'1 - Input'!$B$16))^(1/12)-1</f>
        <v>4.1219243192651689E-3</v>
      </c>
      <c r="D112" s="17">
        <f>'1 - Input'!$B$7*(1+'1 - Input'!$B$12)^(B112-1)</f>
        <v>2981.0181686400001</v>
      </c>
      <c r="E112" s="17">
        <f t="shared" si="42"/>
        <v>409723.79183459497</v>
      </c>
      <c r="F112" s="17">
        <f t="shared" si="43"/>
        <v>309750.9188230607</v>
      </c>
      <c r="G112" s="17">
        <f t="shared" si="26"/>
        <v>411412.6422963395</v>
      </c>
      <c r="H112" s="17">
        <f>0</f>
        <v>0</v>
      </c>
      <c r="I112" s="17">
        <f t="shared" si="27"/>
        <v>411412.6422963395</v>
      </c>
      <c r="J112" s="17">
        <f t="shared" si="28"/>
        <v>0</v>
      </c>
      <c r="K112" s="17">
        <f>'1 - Input'!$B$22*(H112-J112)</f>
        <v>0</v>
      </c>
      <c r="L112" s="17">
        <f t="shared" si="29"/>
        <v>0</v>
      </c>
      <c r="M112" s="17">
        <f t="shared" si="30"/>
        <v>309750.9188230607</v>
      </c>
      <c r="N112" s="17">
        <f>0</f>
        <v>0</v>
      </c>
      <c r="O112" s="17">
        <f t="shared" si="31"/>
        <v>2981.0181686400001</v>
      </c>
      <c r="P112" s="17">
        <f t="shared" si="32"/>
        <v>0.24710403381345802</v>
      </c>
      <c r="Q112" s="17">
        <f>IF(AND(O112&gt;0,I112&gt;0),O112/(1-'1 - Input'!$B$22*P112),0)</f>
        <v>3185.6893048427919</v>
      </c>
      <c r="R112" s="17">
        <f t="shared" si="33"/>
        <v>3185.6893048427919</v>
      </c>
      <c r="S112" s="17">
        <f>'1 - Input'!$B$22*P112*R112</f>
        <v>204.67113620279167</v>
      </c>
      <c r="T112" s="17">
        <f t="shared" si="34"/>
        <v>2981.0181686400001</v>
      </c>
      <c r="U112" s="17">
        <f t="shared" si="35"/>
        <v>0</v>
      </c>
      <c r="V112" s="17">
        <f t="shared" si="36"/>
        <v>0</v>
      </c>
      <c r="W112" s="17">
        <f t="shared" si="37"/>
        <v>408226.95299149671</v>
      </c>
      <c r="X112" s="17">
        <f t="shared" si="38"/>
        <v>307352.42619592097</v>
      </c>
      <c r="Y112" s="17">
        <f>IF(MOD(A112,12)=0,W112*'1 - Input'!$B$23,0)</f>
        <v>0</v>
      </c>
      <c r="Z112" s="17">
        <f t="shared" si="39"/>
        <v>408226.95299149671</v>
      </c>
      <c r="AA112" s="17">
        <f>IF(MOD(A112,12)=0,X112*(1-'1 - Input'!$B$23),X112)</f>
        <v>307352.42619592097</v>
      </c>
      <c r="AB112" s="17">
        <f t="shared" si="40"/>
        <v>2981.0181686400001</v>
      </c>
      <c r="AC112" s="17">
        <f t="shared" si="44"/>
        <v>195440.06470176016</v>
      </c>
      <c r="AD112" s="17">
        <f t="shared" si="45"/>
        <v>0</v>
      </c>
      <c r="AE112" s="17">
        <f t="shared" si="46"/>
        <v>7100.6167510969981</v>
      </c>
      <c r="AF112" s="17">
        <f t="shared" si="47"/>
        <v>0</v>
      </c>
      <c r="AG112" s="17">
        <f t="shared" si="48"/>
        <v>4517.4487418981344</v>
      </c>
      <c r="AH112" s="17">
        <f t="shared" si="49"/>
        <v>0</v>
      </c>
      <c r="AI112" s="15">
        <f t="shared" si="41"/>
        <v>0</v>
      </c>
    </row>
    <row r="113" spans="1:35">
      <c r="A113" s="14">
        <v>70</v>
      </c>
      <c r="B113" s="15">
        <f t="shared" si="25"/>
        <v>6</v>
      </c>
      <c r="C113" s="16">
        <f>(1+INDEX('1 - Input'!$B$34:$E$63,B113,'1 - Input'!$B$16))^(1/12)-1</f>
        <v>4.1219243192651689E-3</v>
      </c>
      <c r="D113" s="17">
        <f>'1 - Input'!$B$7*(1+'1 - Input'!$B$12)^(B113-1)</f>
        <v>2981.0181686400001</v>
      </c>
      <c r="E113" s="17">
        <f t="shared" si="42"/>
        <v>408226.95299149671</v>
      </c>
      <c r="F113" s="17">
        <f t="shared" si="43"/>
        <v>307352.42619592097</v>
      </c>
      <c r="G113" s="17">
        <f t="shared" si="26"/>
        <v>409909.63359681191</v>
      </c>
      <c r="H113" s="17">
        <f>0</f>
        <v>0</v>
      </c>
      <c r="I113" s="17">
        <f t="shared" si="27"/>
        <v>409909.63359681191</v>
      </c>
      <c r="J113" s="17">
        <f t="shared" si="28"/>
        <v>0</v>
      </c>
      <c r="K113" s="17">
        <f>'1 - Input'!$B$22*(H113-J113)</f>
        <v>0</v>
      </c>
      <c r="L113" s="17">
        <f t="shared" si="29"/>
        <v>0</v>
      </c>
      <c r="M113" s="17">
        <f t="shared" si="30"/>
        <v>307352.42619592097</v>
      </c>
      <c r="N113" s="17">
        <f>0</f>
        <v>0</v>
      </c>
      <c r="O113" s="17">
        <f t="shared" si="31"/>
        <v>2981.0181686400001</v>
      </c>
      <c r="P113" s="17">
        <f t="shared" si="32"/>
        <v>0.25019467461886113</v>
      </c>
      <c r="Q113" s="17">
        <f>IF(AND(O113&gt;0,I113&gt;0),O113/(1-'1 - Input'!$B$22*P113),0)</f>
        <v>3188.4273285213753</v>
      </c>
      <c r="R113" s="17">
        <f t="shared" si="33"/>
        <v>3188.4273285213753</v>
      </c>
      <c r="S113" s="17">
        <f>'1 - Input'!$B$22*P113*R113</f>
        <v>207.40915988137544</v>
      </c>
      <c r="T113" s="17">
        <f t="shared" si="34"/>
        <v>2981.0181686400001</v>
      </c>
      <c r="U113" s="17">
        <f t="shared" si="35"/>
        <v>0</v>
      </c>
      <c r="V113" s="17">
        <f t="shared" si="36"/>
        <v>0</v>
      </c>
      <c r="W113" s="17">
        <f t="shared" si="37"/>
        <v>406721.20626829052</v>
      </c>
      <c r="X113" s="17">
        <f t="shared" si="38"/>
        <v>304961.72640540486</v>
      </c>
      <c r="Y113" s="17">
        <f>IF(MOD(A113,12)=0,W113*'1 - Input'!$B$23,0)</f>
        <v>0</v>
      </c>
      <c r="Z113" s="17">
        <f t="shared" si="39"/>
        <v>406721.20626829052</v>
      </c>
      <c r="AA113" s="17">
        <f>IF(MOD(A113,12)=0,X113*(1-'1 - Input'!$B$23),X113)</f>
        <v>304961.72640540486</v>
      </c>
      <c r="AB113" s="17">
        <f t="shared" si="40"/>
        <v>2981.0181686400001</v>
      </c>
      <c r="AC113" s="17">
        <f t="shared" si="44"/>
        <v>198421.08287040016</v>
      </c>
      <c r="AD113" s="17">
        <f t="shared" si="45"/>
        <v>0</v>
      </c>
      <c r="AE113" s="17">
        <f t="shared" si="46"/>
        <v>7308.0259109783738</v>
      </c>
      <c r="AF113" s="17">
        <f t="shared" si="47"/>
        <v>0</v>
      </c>
      <c r="AG113" s="17">
        <f t="shared" si="48"/>
        <v>4517.4487418981344</v>
      </c>
      <c r="AH113" s="17">
        <f t="shared" si="49"/>
        <v>0</v>
      </c>
      <c r="AI113" s="15">
        <f t="shared" si="41"/>
        <v>0</v>
      </c>
    </row>
    <row r="114" spans="1:35">
      <c r="A114" s="14">
        <v>71</v>
      </c>
      <c r="B114" s="15">
        <f t="shared" si="25"/>
        <v>6</v>
      </c>
      <c r="C114" s="16">
        <f>(1+INDEX('1 - Input'!$B$34:$E$63,B114,'1 - Input'!$B$16))^(1/12)-1</f>
        <v>4.1219243192651689E-3</v>
      </c>
      <c r="D114" s="17">
        <f>'1 - Input'!$B$7*(1+'1 - Input'!$B$12)^(B114-1)</f>
        <v>2981.0181686400001</v>
      </c>
      <c r="E114" s="17">
        <f t="shared" si="42"/>
        <v>406721.20626829052</v>
      </c>
      <c r="F114" s="17">
        <f t="shared" si="43"/>
        <v>304961.72640540486</v>
      </c>
      <c r="G114" s="17">
        <f t="shared" si="26"/>
        <v>408397.68029956863</v>
      </c>
      <c r="H114" s="17">
        <f>0</f>
        <v>0</v>
      </c>
      <c r="I114" s="17">
        <f t="shared" si="27"/>
        <v>408397.68029956863</v>
      </c>
      <c r="J114" s="17">
        <f t="shared" si="28"/>
        <v>0</v>
      </c>
      <c r="K114" s="17">
        <f>'1 - Input'!$B$22*(H114-J114)</f>
        <v>0</v>
      </c>
      <c r="L114" s="17">
        <f t="shared" si="29"/>
        <v>0</v>
      </c>
      <c r="M114" s="17">
        <f t="shared" si="30"/>
        <v>304961.72640540486</v>
      </c>
      <c r="N114" s="17">
        <f>0</f>
        <v>0</v>
      </c>
      <c r="O114" s="17">
        <f t="shared" si="31"/>
        <v>2981.0181686400001</v>
      </c>
      <c r="P114" s="17">
        <f t="shared" si="32"/>
        <v>0.25327262833200037</v>
      </c>
      <c r="Q114" s="17">
        <f>IF(AND(O114&gt;0,I114&gt;0),O114/(1-'1 - Input'!$B$22*P114),0)</f>
        <v>3191.1587942002898</v>
      </c>
      <c r="R114" s="17">
        <f t="shared" si="33"/>
        <v>3191.1587942002898</v>
      </c>
      <c r="S114" s="17">
        <f>'1 - Input'!$B$22*P114*R114</f>
        <v>210.14062556028998</v>
      </c>
      <c r="T114" s="17">
        <f t="shared" si="34"/>
        <v>2981.0181686399997</v>
      </c>
      <c r="U114" s="17">
        <f t="shared" si="35"/>
        <v>0</v>
      </c>
      <c r="V114" s="17">
        <f t="shared" si="36"/>
        <v>0</v>
      </c>
      <c r="W114" s="17">
        <f t="shared" si="37"/>
        <v>405206.52150536835</v>
      </c>
      <c r="X114" s="17">
        <f t="shared" si="38"/>
        <v>302578.80078643648</v>
      </c>
      <c r="Y114" s="17">
        <f>IF(MOD(A114,12)=0,W114*'1 - Input'!$B$23,0)</f>
        <v>0</v>
      </c>
      <c r="Z114" s="17">
        <f t="shared" si="39"/>
        <v>405206.52150536835</v>
      </c>
      <c r="AA114" s="17">
        <f>IF(MOD(A114,12)=0,X114*(1-'1 - Input'!$B$23),X114)</f>
        <v>302578.80078643648</v>
      </c>
      <c r="AB114" s="17">
        <f t="shared" si="40"/>
        <v>2981.0181686399997</v>
      </c>
      <c r="AC114" s="17">
        <f t="shared" si="44"/>
        <v>201402.10103904016</v>
      </c>
      <c r="AD114" s="17">
        <f t="shared" si="45"/>
        <v>0</v>
      </c>
      <c r="AE114" s="17">
        <f t="shared" si="46"/>
        <v>7518.1665365386634</v>
      </c>
      <c r="AF114" s="17">
        <f t="shared" si="47"/>
        <v>0</v>
      </c>
      <c r="AG114" s="17">
        <f t="shared" si="48"/>
        <v>4517.4487418981344</v>
      </c>
      <c r="AH114" s="17">
        <f t="shared" si="49"/>
        <v>0</v>
      </c>
      <c r="AI114" s="15">
        <f t="shared" si="41"/>
        <v>0</v>
      </c>
    </row>
    <row r="115" spans="1:35">
      <c r="A115" s="14">
        <v>72</v>
      </c>
      <c r="B115" s="15">
        <f t="shared" si="25"/>
        <v>6</v>
      </c>
      <c r="C115" s="16">
        <f>(1+INDEX('1 - Input'!$B$34:$E$63,B115,'1 - Input'!$B$16))^(1/12)-1</f>
        <v>4.1219243192651689E-3</v>
      </c>
      <c r="D115" s="17">
        <f>'1 - Input'!$B$7*(1+'1 - Input'!$B$12)^(B115-1)</f>
        <v>2981.0181686400001</v>
      </c>
      <c r="E115" s="17">
        <f t="shared" si="42"/>
        <v>405206.52150536835</v>
      </c>
      <c r="F115" s="17">
        <f t="shared" si="43"/>
        <v>302578.80078643648</v>
      </c>
      <c r="G115" s="17">
        <f t="shared" si="26"/>
        <v>406876.75212068617</v>
      </c>
      <c r="H115" s="17">
        <f>0</f>
        <v>0</v>
      </c>
      <c r="I115" s="17">
        <f t="shared" si="27"/>
        <v>406876.75212068617</v>
      </c>
      <c r="J115" s="17">
        <f t="shared" si="28"/>
        <v>0</v>
      </c>
      <c r="K115" s="17">
        <f>'1 - Input'!$B$22*(H115-J115)</f>
        <v>0</v>
      </c>
      <c r="L115" s="17">
        <f t="shared" si="29"/>
        <v>0</v>
      </c>
      <c r="M115" s="17">
        <f t="shared" si="30"/>
        <v>302578.80078643648</v>
      </c>
      <c r="N115" s="17">
        <f>0</f>
        <v>0</v>
      </c>
      <c r="O115" s="17">
        <f t="shared" si="31"/>
        <v>2981.0181686400001</v>
      </c>
      <c r="P115" s="17">
        <f t="shared" si="32"/>
        <v>0.25633794703343793</v>
      </c>
      <c r="Q115" s="17">
        <f>IF(AND(O115&gt;0,I115&gt;0),O115/(1-'1 - Input'!$B$22*P115),0)</f>
        <v>3193.8837023866727</v>
      </c>
      <c r="R115" s="17">
        <f t="shared" si="33"/>
        <v>3193.8837023866727</v>
      </c>
      <c r="S115" s="17">
        <f>'1 - Input'!$B$22*P115*R115</f>
        <v>212.86553374667247</v>
      </c>
      <c r="T115" s="17">
        <f t="shared" si="34"/>
        <v>2981.0181686400001</v>
      </c>
      <c r="U115" s="17">
        <f t="shared" si="35"/>
        <v>0</v>
      </c>
      <c r="V115" s="17">
        <f t="shared" si="36"/>
        <v>0</v>
      </c>
      <c r="W115" s="17">
        <f t="shared" si="37"/>
        <v>403682.86841829948</v>
      </c>
      <c r="X115" s="17">
        <f t="shared" si="38"/>
        <v>300203.6306753832</v>
      </c>
      <c r="Y115" s="17">
        <f>IF(MOD(A115,12)=0,W115*'1 - Input'!$B$23,0)</f>
        <v>807.36573683659901</v>
      </c>
      <c r="Z115" s="17">
        <f t="shared" si="39"/>
        <v>402875.50268146285</v>
      </c>
      <c r="AA115" s="17">
        <f>IF(MOD(A115,12)=0,X115*(1-'1 - Input'!$B$23),X115)</f>
        <v>299603.22341403243</v>
      </c>
      <c r="AB115" s="17">
        <f t="shared" si="40"/>
        <v>2981.0181686400001</v>
      </c>
      <c r="AC115" s="17">
        <f t="shared" si="44"/>
        <v>204383.11920768017</v>
      </c>
      <c r="AD115" s="17">
        <f t="shared" si="45"/>
        <v>0</v>
      </c>
      <c r="AE115" s="17">
        <f t="shared" si="46"/>
        <v>7731.032070285336</v>
      </c>
      <c r="AF115" s="17">
        <f t="shared" si="47"/>
        <v>0</v>
      </c>
      <c r="AG115" s="17">
        <f t="shared" si="48"/>
        <v>5324.8144787347337</v>
      </c>
      <c r="AH115" s="17">
        <f t="shared" si="49"/>
        <v>0</v>
      </c>
      <c r="AI115" s="15">
        <f t="shared" si="41"/>
        <v>0</v>
      </c>
    </row>
    <row r="116" spans="1:35">
      <c r="A116" s="14">
        <v>73</v>
      </c>
      <c r="B116" s="15">
        <f t="shared" si="25"/>
        <v>7</v>
      </c>
      <c r="C116" s="16">
        <f>(1+INDEX('1 - Input'!$B$34:$E$63,B116,'1 - Input'!$B$16))^(1/12)-1</f>
        <v>4.1219243192651689E-3</v>
      </c>
      <c r="D116" s="17">
        <f>'1 - Input'!$B$7*(1+'1 - Input'!$B$12)^(B116-1)</f>
        <v>3040.6385320128002</v>
      </c>
      <c r="E116" s="17">
        <f t="shared" si="42"/>
        <v>402875.50268146285</v>
      </c>
      <c r="F116" s="17">
        <f t="shared" si="43"/>
        <v>299603.22341403243</v>
      </c>
      <c r="G116" s="17">
        <f t="shared" si="26"/>
        <v>404536.12501360173</v>
      </c>
      <c r="H116" s="17">
        <f>0</f>
        <v>0</v>
      </c>
      <c r="I116" s="17">
        <f t="shared" si="27"/>
        <v>404536.12501360173</v>
      </c>
      <c r="J116" s="17">
        <f t="shared" si="28"/>
        <v>0</v>
      </c>
      <c r="K116" s="17">
        <f>'1 - Input'!$B$22*(H116-J116)</f>
        <v>0</v>
      </c>
      <c r="L116" s="17">
        <f t="shared" si="29"/>
        <v>0</v>
      </c>
      <c r="M116" s="17">
        <f t="shared" si="30"/>
        <v>299603.22341403243</v>
      </c>
      <c r="N116" s="17">
        <f>0</f>
        <v>0</v>
      </c>
      <c r="O116" s="17">
        <f t="shared" si="31"/>
        <v>3040.6385320128002</v>
      </c>
      <c r="P116" s="17">
        <f t="shared" si="32"/>
        <v>0.25939068258994458</v>
      </c>
      <c r="Q116" s="17">
        <f>IF(AND(O116&gt;0,I116&gt;0),O116/(1-'1 - Input'!$B$22*P116),0)</f>
        <v>3260.5340947698355</v>
      </c>
      <c r="R116" s="17">
        <f t="shared" si="33"/>
        <v>3260.5340947698355</v>
      </c>
      <c r="S116" s="17">
        <f>'1 - Input'!$B$22*P116*R116</f>
        <v>219.89556275703504</v>
      </c>
      <c r="T116" s="17">
        <f t="shared" si="34"/>
        <v>3040.6385320128006</v>
      </c>
      <c r="U116" s="17">
        <f t="shared" si="35"/>
        <v>0</v>
      </c>
      <c r="V116" s="17">
        <f t="shared" si="36"/>
        <v>0</v>
      </c>
      <c r="W116" s="17">
        <f t="shared" si="37"/>
        <v>401275.59091883188</v>
      </c>
      <c r="X116" s="17">
        <f t="shared" si="38"/>
        <v>297188.44148371276</v>
      </c>
      <c r="Y116" s="17">
        <f>IF(MOD(A116,12)=0,W116*'1 - Input'!$B$23,0)</f>
        <v>0</v>
      </c>
      <c r="Z116" s="17">
        <f t="shared" si="39"/>
        <v>401275.59091883188</v>
      </c>
      <c r="AA116" s="17">
        <f>IF(MOD(A116,12)=0,X116*(1-'1 - Input'!$B$23),X116)</f>
        <v>297188.44148371276</v>
      </c>
      <c r="AB116" s="17">
        <f t="shared" si="40"/>
        <v>3040.6385320128006</v>
      </c>
      <c r="AC116" s="17">
        <f t="shared" si="44"/>
        <v>207423.75773969296</v>
      </c>
      <c r="AD116" s="17">
        <f t="shared" si="45"/>
        <v>0</v>
      </c>
      <c r="AE116" s="17">
        <f t="shared" si="46"/>
        <v>7950.9276330423709</v>
      </c>
      <c r="AF116" s="17">
        <f t="shared" si="47"/>
        <v>0</v>
      </c>
      <c r="AG116" s="17">
        <f t="shared" si="48"/>
        <v>5324.8144787347337</v>
      </c>
      <c r="AH116" s="17">
        <f t="shared" si="49"/>
        <v>0</v>
      </c>
      <c r="AI116" s="15">
        <f t="shared" si="41"/>
        <v>0</v>
      </c>
    </row>
    <row r="117" spans="1:35">
      <c r="A117" s="14">
        <v>74</v>
      </c>
      <c r="B117" s="15">
        <f t="shared" si="25"/>
        <v>7</v>
      </c>
      <c r="C117" s="16">
        <f>(1+INDEX('1 - Input'!$B$34:$E$63,B117,'1 - Input'!$B$16))^(1/12)-1</f>
        <v>4.1219243192651689E-3</v>
      </c>
      <c r="D117" s="17">
        <f>'1 - Input'!$B$7*(1+'1 - Input'!$B$12)^(B117-1)</f>
        <v>3040.6385320128002</v>
      </c>
      <c r="E117" s="17">
        <f t="shared" si="42"/>
        <v>401275.59091883188</v>
      </c>
      <c r="F117" s="17">
        <f t="shared" si="43"/>
        <v>297188.44148371276</v>
      </c>
      <c r="G117" s="17">
        <f t="shared" si="26"/>
        <v>402929.61853576772</v>
      </c>
      <c r="H117" s="17">
        <f>0</f>
        <v>0</v>
      </c>
      <c r="I117" s="17">
        <f t="shared" si="27"/>
        <v>402929.61853576772</v>
      </c>
      <c r="J117" s="17">
        <f t="shared" si="28"/>
        <v>0</v>
      </c>
      <c r="K117" s="17">
        <f>'1 - Input'!$B$22*(H117-J117)</f>
        <v>0</v>
      </c>
      <c r="L117" s="17">
        <f t="shared" si="29"/>
        <v>0</v>
      </c>
      <c r="M117" s="17">
        <f t="shared" si="30"/>
        <v>297188.44148371276</v>
      </c>
      <c r="N117" s="17">
        <f>0</f>
        <v>0</v>
      </c>
      <c r="O117" s="17">
        <f t="shared" si="31"/>
        <v>3040.6385320128002</v>
      </c>
      <c r="P117" s="17">
        <f t="shared" si="32"/>
        <v>0.2624308866553785</v>
      </c>
      <c r="Q117" s="17">
        <f>IF(AND(O117&gt;0,I117&gt;0),O117/(1-'1 - Input'!$B$22*P117),0)</f>
        <v>3263.3001258281602</v>
      </c>
      <c r="R117" s="17">
        <f t="shared" si="33"/>
        <v>3263.3001258281602</v>
      </c>
      <c r="S117" s="17">
        <f>'1 - Input'!$B$22*P117*R117</f>
        <v>222.66159381536002</v>
      </c>
      <c r="T117" s="17">
        <f t="shared" si="34"/>
        <v>3040.6385320128002</v>
      </c>
      <c r="U117" s="17">
        <f t="shared" si="35"/>
        <v>0</v>
      </c>
      <c r="V117" s="17">
        <f t="shared" si="36"/>
        <v>0</v>
      </c>
      <c r="W117" s="17">
        <f t="shared" si="37"/>
        <v>399666.31840993953</v>
      </c>
      <c r="X117" s="17">
        <f t="shared" si="38"/>
        <v>294781.53210332827</v>
      </c>
      <c r="Y117" s="17">
        <f>IF(MOD(A117,12)=0,W117*'1 - Input'!$B$23,0)</f>
        <v>0</v>
      </c>
      <c r="Z117" s="17">
        <f t="shared" si="39"/>
        <v>399666.31840993953</v>
      </c>
      <c r="AA117" s="17">
        <f>IF(MOD(A117,12)=0,X117*(1-'1 - Input'!$B$23),X117)</f>
        <v>294781.53210332827</v>
      </c>
      <c r="AB117" s="17">
        <f t="shared" si="40"/>
        <v>3040.6385320128002</v>
      </c>
      <c r="AC117" s="17">
        <f t="shared" si="44"/>
        <v>210464.39627170574</v>
      </c>
      <c r="AD117" s="17">
        <f t="shared" si="45"/>
        <v>0</v>
      </c>
      <c r="AE117" s="17">
        <f t="shared" si="46"/>
        <v>8173.5892268577309</v>
      </c>
      <c r="AF117" s="17">
        <f t="shared" si="47"/>
        <v>0</v>
      </c>
      <c r="AG117" s="17">
        <f t="shared" si="48"/>
        <v>5324.8144787347337</v>
      </c>
      <c r="AH117" s="17">
        <f t="shared" si="49"/>
        <v>0</v>
      </c>
      <c r="AI117" s="15">
        <f t="shared" si="41"/>
        <v>0</v>
      </c>
    </row>
    <row r="118" spans="1:35">
      <c r="A118" s="14">
        <v>75</v>
      </c>
      <c r="B118" s="15">
        <f t="shared" si="25"/>
        <v>7</v>
      </c>
      <c r="C118" s="16">
        <f>(1+INDEX('1 - Input'!$B$34:$E$63,B118,'1 - Input'!$B$16))^(1/12)-1</f>
        <v>4.1219243192651689E-3</v>
      </c>
      <c r="D118" s="17">
        <f>'1 - Input'!$B$7*(1+'1 - Input'!$B$12)^(B118-1)</f>
        <v>3040.6385320128002</v>
      </c>
      <c r="E118" s="17">
        <f t="shared" si="42"/>
        <v>399666.31840993953</v>
      </c>
      <c r="F118" s="17">
        <f t="shared" si="43"/>
        <v>294781.53210332827</v>
      </c>
      <c r="G118" s="17">
        <f t="shared" si="26"/>
        <v>401313.71272738464</v>
      </c>
      <c r="H118" s="17">
        <f>0</f>
        <v>0</v>
      </c>
      <c r="I118" s="17">
        <f t="shared" si="27"/>
        <v>401313.71272738464</v>
      </c>
      <c r="J118" s="17">
        <f t="shared" si="28"/>
        <v>0</v>
      </c>
      <c r="K118" s="17">
        <f>'1 - Input'!$B$22*(H118-J118)</f>
        <v>0</v>
      </c>
      <c r="L118" s="17">
        <f t="shared" si="29"/>
        <v>0</v>
      </c>
      <c r="M118" s="17">
        <f t="shared" si="30"/>
        <v>294781.53210332827</v>
      </c>
      <c r="N118" s="17">
        <f>0</f>
        <v>0</v>
      </c>
      <c r="O118" s="17">
        <f t="shared" si="31"/>
        <v>3040.6385320128002</v>
      </c>
      <c r="P118" s="17">
        <f t="shared" si="32"/>
        <v>0.26545861067155829</v>
      </c>
      <c r="Q118" s="17">
        <f>IF(AND(O118&gt;0,I118&gt;0),O118/(1-'1 - Input'!$B$22*P118),0)</f>
        <v>3266.0594704562827</v>
      </c>
      <c r="R118" s="17">
        <f t="shared" si="33"/>
        <v>3266.0594704562827</v>
      </c>
      <c r="S118" s="17">
        <f>'1 - Input'!$B$22*P118*R118</f>
        <v>225.42093844348264</v>
      </c>
      <c r="T118" s="17">
        <f t="shared" si="34"/>
        <v>3040.6385320128002</v>
      </c>
      <c r="U118" s="17">
        <f t="shared" si="35"/>
        <v>0</v>
      </c>
      <c r="V118" s="17">
        <f t="shared" si="36"/>
        <v>0</v>
      </c>
      <c r="W118" s="17">
        <f t="shared" si="37"/>
        <v>398047.65325692837</v>
      </c>
      <c r="X118" s="17">
        <f t="shared" si="38"/>
        <v>292382.47624226997</v>
      </c>
      <c r="Y118" s="17">
        <f>IF(MOD(A118,12)=0,W118*'1 - Input'!$B$23,0)</f>
        <v>0</v>
      </c>
      <c r="Z118" s="17">
        <f t="shared" si="39"/>
        <v>398047.65325692837</v>
      </c>
      <c r="AA118" s="17">
        <f>IF(MOD(A118,12)=0,X118*(1-'1 - Input'!$B$23),X118)</f>
        <v>292382.47624226997</v>
      </c>
      <c r="AB118" s="17">
        <f t="shared" si="40"/>
        <v>3040.6385320128002</v>
      </c>
      <c r="AC118" s="17">
        <f t="shared" si="44"/>
        <v>213505.03480371853</v>
      </c>
      <c r="AD118" s="17">
        <f t="shared" si="45"/>
        <v>0</v>
      </c>
      <c r="AE118" s="17">
        <f t="shared" si="46"/>
        <v>8399.0101653012134</v>
      </c>
      <c r="AF118" s="17">
        <f t="shared" si="47"/>
        <v>0</v>
      </c>
      <c r="AG118" s="17">
        <f t="shared" si="48"/>
        <v>5324.8144787347337</v>
      </c>
      <c r="AH118" s="17">
        <f t="shared" si="49"/>
        <v>0</v>
      </c>
      <c r="AI118" s="15">
        <f t="shared" si="41"/>
        <v>0</v>
      </c>
    </row>
    <row r="119" spans="1:35">
      <c r="A119" s="14">
        <v>76</v>
      </c>
      <c r="B119" s="15">
        <f t="shared" si="25"/>
        <v>7</v>
      </c>
      <c r="C119" s="16">
        <f>(1+INDEX('1 - Input'!$B$34:$E$63,B119,'1 - Input'!$B$16))^(1/12)-1</f>
        <v>4.1219243192651689E-3</v>
      </c>
      <c r="D119" s="17">
        <f>'1 - Input'!$B$7*(1+'1 - Input'!$B$12)^(B119-1)</f>
        <v>3040.6385320128002</v>
      </c>
      <c r="E119" s="17">
        <f t="shared" si="42"/>
        <v>398047.65325692837</v>
      </c>
      <c r="F119" s="17">
        <f t="shared" si="43"/>
        <v>292382.47624226997</v>
      </c>
      <c r="G119" s="17">
        <f t="shared" si="26"/>
        <v>399688.37555911456</v>
      </c>
      <c r="H119" s="17">
        <f>0</f>
        <v>0</v>
      </c>
      <c r="I119" s="17">
        <f t="shared" si="27"/>
        <v>399688.37555911456</v>
      </c>
      <c r="J119" s="17">
        <f t="shared" si="28"/>
        <v>0</v>
      </c>
      <c r="K119" s="17">
        <f>'1 - Input'!$B$22*(H119-J119)</f>
        <v>0</v>
      </c>
      <c r="L119" s="17">
        <f t="shared" si="29"/>
        <v>0</v>
      </c>
      <c r="M119" s="17">
        <f t="shared" si="30"/>
        <v>292382.47624226997</v>
      </c>
      <c r="N119" s="17">
        <f>0</f>
        <v>0</v>
      </c>
      <c r="O119" s="17">
        <f t="shared" si="31"/>
        <v>3040.6385320128002</v>
      </c>
      <c r="P119" s="17">
        <f t="shared" si="32"/>
        <v>0.26847390586913344</v>
      </c>
      <c r="Q119" s="17">
        <f>IF(AND(O119&gt;0,I119&gt;0),O119/(1-'1 - Input'!$B$22*P119),0)</f>
        <v>3268.8121296098789</v>
      </c>
      <c r="R119" s="17">
        <f t="shared" si="33"/>
        <v>3268.8121296098789</v>
      </c>
      <c r="S119" s="17">
        <f>'1 - Input'!$B$22*P119*R119</f>
        <v>228.1735975970787</v>
      </c>
      <c r="T119" s="17">
        <f t="shared" si="34"/>
        <v>3040.6385320128002</v>
      </c>
      <c r="U119" s="17">
        <f t="shared" si="35"/>
        <v>0</v>
      </c>
      <c r="V119" s="17">
        <f t="shared" si="36"/>
        <v>0</v>
      </c>
      <c r="W119" s="17">
        <f t="shared" si="37"/>
        <v>396419.56342950469</v>
      </c>
      <c r="X119" s="17">
        <f t="shared" si="38"/>
        <v>289991.25487264886</v>
      </c>
      <c r="Y119" s="17">
        <f>IF(MOD(A119,12)=0,W119*'1 - Input'!$B$23,0)</f>
        <v>0</v>
      </c>
      <c r="Z119" s="17">
        <f t="shared" si="39"/>
        <v>396419.56342950469</v>
      </c>
      <c r="AA119" s="17">
        <f>IF(MOD(A119,12)=0,X119*(1-'1 - Input'!$B$23),X119)</f>
        <v>289991.25487264886</v>
      </c>
      <c r="AB119" s="17">
        <f t="shared" si="40"/>
        <v>3040.6385320128002</v>
      </c>
      <c r="AC119" s="17">
        <f t="shared" si="44"/>
        <v>216545.67333573132</v>
      </c>
      <c r="AD119" s="17">
        <f t="shared" si="45"/>
        <v>0</v>
      </c>
      <c r="AE119" s="17">
        <f t="shared" si="46"/>
        <v>8627.1837628982921</v>
      </c>
      <c r="AF119" s="17">
        <f t="shared" si="47"/>
        <v>0</v>
      </c>
      <c r="AG119" s="17">
        <f t="shared" si="48"/>
        <v>5324.8144787347337</v>
      </c>
      <c r="AH119" s="17">
        <f t="shared" si="49"/>
        <v>0</v>
      </c>
      <c r="AI119" s="15">
        <f t="shared" si="41"/>
        <v>0</v>
      </c>
    </row>
    <row r="120" spans="1:35">
      <c r="A120" s="14">
        <v>77</v>
      </c>
      <c r="B120" s="15">
        <f t="shared" si="25"/>
        <v>7</v>
      </c>
      <c r="C120" s="16">
        <f>(1+INDEX('1 - Input'!$B$34:$E$63,B120,'1 - Input'!$B$16))^(1/12)-1</f>
        <v>4.1219243192651689E-3</v>
      </c>
      <c r="D120" s="17">
        <f>'1 - Input'!$B$7*(1+'1 - Input'!$B$12)^(B120-1)</f>
        <v>3040.6385320128002</v>
      </c>
      <c r="E120" s="17">
        <f t="shared" si="42"/>
        <v>396419.56342950469</v>
      </c>
      <c r="F120" s="17">
        <f t="shared" si="43"/>
        <v>289991.25487264886</v>
      </c>
      <c r="G120" s="17">
        <f t="shared" si="26"/>
        <v>398053.57486863725</v>
      </c>
      <c r="H120" s="17">
        <f>0</f>
        <v>0</v>
      </c>
      <c r="I120" s="17">
        <f t="shared" si="27"/>
        <v>398053.57486863725</v>
      </c>
      <c r="J120" s="17">
        <f t="shared" si="28"/>
        <v>0</v>
      </c>
      <c r="K120" s="17">
        <f>'1 - Input'!$B$22*(H120-J120)</f>
        <v>0</v>
      </c>
      <c r="L120" s="17">
        <f t="shared" si="29"/>
        <v>0</v>
      </c>
      <c r="M120" s="17">
        <f t="shared" si="30"/>
        <v>289991.25487264886</v>
      </c>
      <c r="N120" s="17">
        <f>0</f>
        <v>0</v>
      </c>
      <c r="O120" s="17">
        <f t="shared" si="31"/>
        <v>3040.6385320128002</v>
      </c>
      <c r="P120" s="17">
        <f t="shared" si="32"/>
        <v>0.27147682326845157</v>
      </c>
      <c r="Q120" s="17">
        <f>IF(AND(O120&gt;0,I120&gt;0),O120/(1-'1 - Input'!$B$22*P120),0)</f>
        <v>3271.5581043528459</v>
      </c>
      <c r="R120" s="17">
        <f t="shared" si="33"/>
        <v>3271.5581043528459</v>
      </c>
      <c r="S120" s="17">
        <f>'1 - Input'!$B$22*P120*R120</f>
        <v>230.91957234004568</v>
      </c>
      <c r="T120" s="17">
        <f t="shared" si="34"/>
        <v>3040.6385320128002</v>
      </c>
      <c r="U120" s="17">
        <f t="shared" si="35"/>
        <v>0</v>
      </c>
      <c r="V120" s="17">
        <f t="shared" si="36"/>
        <v>0</v>
      </c>
      <c r="W120" s="17">
        <f t="shared" si="37"/>
        <v>394782.0167642844</v>
      </c>
      <c r="X120" s="17">
        <f t="shared" si="38"/>
        <v>287607.84896960389</v>
      </c>
      <c r="Y120" s="17">
        <f>IF(MOD(A120,12)=0,W120*'1 - Input'!$B$23,0)</f>
        <v>0</v>
      </c>
      <c r="Z120" s="17">
        <f t="shared" si="39"/>
        <v>394782.0167642844</v>
      </c>
      <c r="AA120" s="17">
        <f>IF(MOD(A120,12)=0,X120*(1-'1 - Input'!$B$23),X120)</f>
        <v>287607.84896960389</v>
      </c>
      <c r="AB120" s="17">
        <f t="shared" si="40"/>
        <v>3040.6385320128002</v>
      </c>
      <c r="AC120" s="17">
        <f t="shared" si="44"/>
        <v>219586.31186774411</v>
      </c>
      <c r="AD120" s="17">
        <f t="shared" si="45"/>
        <v>0</v>
      </c>
      <c r="AE120" s="17">
        <f t="shared" si="46"/>
        <v>8858.1033352383383</v>
      </c>
      <c r="AF120" s="17">
        <f t="shared" si="47"/>
        <v>0</v>
      </c>
      <c r="AG120" s="17">
        <f t="shared" si="48"/>
        <v>5324.8144787347337</v>
      </c>
      <c r="AH120" s="17">
        <f t="shared" si="49"/>
        <v>0</v>
      </c>
      <c r="AI120" s="15">
        <f t="shared" si="41"/>
        <v>0</v>
      </c>
    </row>
    <row r="121" spans="1:35">
      <c r="A121" s="14">
        <v>78</v>
      </c>
      <c r="B121" s="15">
        <f t="shared" si="25"/>
        <v>7</v>
      </c>
      <c r="C121" s="16">
        <f>(1+INDEX('1 - Input'!$B$34:$E$63,B121,'1 - Input'!$B$16))^(1/12)-1</f>
        <v>4.1219243192651689E-3</v>
      </c>
      <c r="D121" s="17">
        <f>'1 - Input'!$B$7*(1+'1 - Input'!$B$12)^(B121-1)</f>
        <v>3040.6385320128002</v>
      </c>
      <c r="E121" s="17">
        <f t="shared" si="42"/>
        <v>394782.0167642844</v>
      </c>
      <c r="F121" s="17">
        <f t="shared" si="43"/>
        <v>287607.84896960389</v>
      </c>
      <c r="G121" s="17">
        <f t="shared" si="26"/>
        <v>396409.27835999365</v>
      </c>
      <c r="H121" s="17">
        <f>0</f>
        <v>0</v>
      </c>
      <c r="I121" s="17">
        <f t="shared" si="27"/>
        <v>396409.27835999365</v>
      </c>
      <c r="J121" s="17">
        <f t="shared" si="28"/>
        <v>0</v>
      </c>
      <c r="K121" s="17">
        <f>'1 - Input'!$B$22*(H121-J121)</f>
        <v>0</v>
      </c>
      <c r="L121" s="17">
        <f t="shared" si="29"/>
        <v>0</v>
      </c>
      <c r="M121" s="17">
        <f t="shared" si="30"/>
        <v>287607.84896960389</v>
      </c>
      <c r="N121" s="17">
        <f>0</f>
        <v>0</v>
      </c>
      <c r="O121" s="17">
        <f t="shared" si="31"/>
        <v>3040.6385320128002</v>
      </c>
      <c r="P121" s="17">
        <f t="shared" si="32"/>
        <v>0.2744674136804216</v>
      </c>
      <c r="Q121" s="17">
        <f>IF(AND(O121&gt;0,I121&gt;0),O121/(1-'1 - Input'!$B$22*P121),0)</f>
        <v>3274.2973958567491</v>
      </c>
      <c r="R121" s="17">
        <f t="shared" si="33"/>
        <v>3274.2973958567491</v>
      </c>
      <c r="S121" s="17">
        <f>'1 - Input'!$B$22*P121*R121</f>
        <v>233.65886384394881</v>
      </c>
      <c r="T121" s="17">
        <f t="shared" si="34"/>
        <v>3040.6385320128002</v>
      </c>
      <c r="U121" s="17">
        <f t="shared" si="35"/>
        <v>0</v>
      </c>
      <c r="V121" s="17">
        <f t="shared" si="36"/>
        <v>0</v>
      </c>
      <c r="W121" s="17">
        <f t="shared" si="37"/>
        <v>393134.98096413689</v>
      </c>
      <c r="X121" s="17">
        <f t="shared" si="38"/>
        <v>285232.2395116085</v>
      </c>
      <c r="Y121" s="17">
        <f>IF(MOD(A121,12)=0,W121*'1 - Input'!$B$23,0)</f>
        <v>0</v>
      </c>
      <c r="Z121" s="17">
        <f t="shared" si="39"/>
        <v>393134.98096413689</v>
      </c>
      <c r="AA121" s="17">
        <f>IF(MOD(A121,12)=0,X121*(1-'1 - Input'!$B$23),X121)</f>
        <v>285232.2395116085</v>
      </c>
      <c r="AB121" s="17">
        <f t="shared" si="40"/>
        <v>3040.6385320128002</v>
      </c>
      <c r="AC121" s="17">
        <f t="shared" si="44"/>
        <v>222626.9503997569</v>
      </c>
      <c r="AD121" s="17">
        <f t="shared" si="45"/>
        <v>0</v>
      </c>
      <c r="AE121" s="17">
        <f t="shared" si="46"/>
        <v>9091.7621990822863</v>
      </c>
      <c r="AF121" s="17">
        <f t="shared" si="47"/>
        <v>0</v>
      </c>
      <c r="AG121" s="17">
        <f t="shared" si="48"/>
        <v>5324.8144787347337</v>
      </c>
      <c r="AH121" s="17">
        <f t="shared" si="49"/>
        <v>0</v>
      </c>
      <c r="AI121" s="15">
        <f t="shared" si="41"/>
        <v>0</v>
      </c>
    </row>
    <row r="122" spans="1:35">
      <c r="A122" s="14">
        <v>79</v>
      </c>
      <c r="B122" s="15">
        <f t="shared" si="25"/>
        <v>7</v>
      </c>
      <c r="C122" s="16">
        <f>(1+INDEX('1 - Input'!$B$34:$E$63,B122,'1 - Input'!$B$16))^(1/12)-1</f>
        <v>4.1219243192651689E-3</v>
      </c>
      <c r="D122" s="17">
        <f>'1 - Input'!$B$7*(1+'1 - Input'!$B$12)^(B122-1)</f>
        <v>3040.6385320128002</v>
      </c>
      <c r="E122" s="17">
        <f t="shared" si="42"/>
        <v>393134.98096413689</v>
      </c>
      <c r="F122" s="17">
        <f t="shared" si="43"/>
        <v>285232.2395116085</v>
      </c>
      <c r="G122" s="17">
        <f t="shared" si="26"/>
        <v>394755.45360292681</v>
      </c>
      <c r="H122" s="17">
        <f>0</f>
        <v>0</v>
      </c>
      <c r="I122" s="17">
        <f t="shared" si="27"/>
        <v>394755.45360292681</v>
      </c>
      <c r="J122" s="17">
        <f t="shared" si="28"/>
        <v>0</v>
      </c>
      <c r="K122" s="17">
        <f>'1 - Input'!$B$22*(H122-J122)</f>
        <v>0</v>
      </c>
      <c r="L122" s="17">
        <f t="shared" si="29"/>
        <v>0</v>
      </c>
      <c r="M122" s="17">
        <f t="shared" si="30"/>
        <v>285232.2395116085</v>
      </c>
      <c r="N122" s="17">
        <f>0</f>
        <v>0</v>
      </c>
      <c r="O122" s="17">
        <f t="shared" si="31"/>
        <v>3040.6385320128002</v>
      </c>
      <c r="P122" s="17">
        <f t="shared" si="32"/>
        <v>0.27744572770737341</v>
      </c>
      <c r="Q122" s="17">
        <f>IF(AND(O122&gt;0,I122&gt;0),O122/(1-'1 - Input'!$B$22*P122),0)</f>
        <v>3277.0300054002655</v>
      </c>
      <c r="R122" s="17">
        <f t="shared" si="33"/>
        <v>3277.0300054002655</v>
      </c>
      <c r="S122" s="17">
        <f>'1 - Input'!$B$22*P122*R122</f>
        <v>236.39147338746537</v>
      </c>
      <c r="T122" s="17">
        <f t="shared" si="34"/>
        <v>3040.6385320128002</v>
      </c>
      <c r="U122" s="17">
        <f t="shared" si="35"/>
        <v>0</v>
      </c>
      <c r="V122" s="17">
        <f t="shared" si="36"/>
        <v>0</v>
      </c>
      <c r="W122" s="17">
        <f t="shared" si="37"/>
        <v>391478.42359752656</v>
      </c>
      <c r="X122" s="17">
        <f t="shared" si="38"/>
        <v>282864.40748077544</v>
      </c>
      <c r="Y122" s="17">
        <f>IF(MOD(A122,12)=0,W122*'1 - Input'!$B$23,0)</f>
        <v>0</v>
      </c>
      <c r="Z122" s="17">
        <f t="shared" si="39"/>
        <v>391478.42359752656</v>
      </c>
      <c r="AA122" s="17">
        <f>IF(MOD(A122,12)=0,X122*(1-'1 - Input'!$B$23),X122)</f>
        <v>282864.40748077544</v>
      </c>
      <c r="AB122" s="17">
        <f t="shared" si="40"/>
        <v>3040.6385320128002</v>
      </c>
      <c r="AC122" s="17">
        <f t="shared" si="44"/>
        <v>225667.58893176969</v>
      </c>
      <c r="AD122" s="17">
        <f t="shared" si="45"/>
        <v>0</v>
      </c>
      <c r="AE122" s="17">
        <f t="shared" si="46"/>
        <v>9328.1536724697526</v>
      </c>
      <c r="AF122" s="17">
        <f t="shared" si="47"/>
        <v>0</v>
      </c>
      <c r="AG122" s="17">
        <f t="shared" si="48"/>
        <v>5324.8144787347337</v>
      </c>
      <c r="AH122" s="17">
        <f t="shared" si="49"/>
        <v>0</v>
      </c>
      <c r="AI122" s="15">
        <f t="shared" si="41"/>
        <v>0</v>
      </c>
    </row>
    <row r="123" spans="1:35">
      <c r="A123" s="14">
        <v>80</v>
      </c>
      <c r="B123" s="15">
        <f t="shared" si="25"/>
        <v>7</v>
      </c>
      <c r="C123" s="16">
        <f>(1+INDEX('1 - Input'!$B$34:$E$63,B123,'1 - Input'!$B$16))^(1/12)-1</f>
        <v>4.1219243192651689E-3</v>
      </c>
      <c r="D123" s="17">
        <f>'1 - Input'!$B$7*(1+'1 - Input'!$B$12)^(B123-1)</f>
        <v>3040.6385320128002</v>
      </c>
      <c r="E123" s="17">
        <f t="shared" si="42"/>
        <v>391478.42359752656</v>
      </c>
      <c r="F123" s="17">
        <f t="shared" si="43"/>
        <v>282864.40748077544</v>
      </c>
      <c r="G123" s="17">
        <f t="shared" si="26"/>
        <v>393092.06803222082</v>
      </c>
      <c r="H123" s="17">
        <f>0</f>
        <v>0</v>
      </c>
      <c r="I123" s="17">
        <f t="shared" si="27"/>
        <v>393092.06803222082</v>
      </c>
      <c r="J123" s="17">
        <f t="shared" si="28"/>
        <v>0</v>
      </c>
      <c r="K123" s="17">
        <f>'1 - Input'!$B$22*(H123-J123)</f>
        <v>0</v>
      </c>
      <c r="L123" s="17">
        <f t="shared" si="29"/>
        <v>0</v>
      </c>
      <c r="M123" s="17">
        <f t="shared" si="30"/>
        <v>282864.40748077544</v>
      </c>
      <c r="N123" s="17">
        <f>0</f>
        <v>0</v>
      </c>
      <c r="O123" s="17">
        <f t="shared" si="31"/>
        <v>3040.6385320128002</v>
      </c>
      <c r="P123" s="17">
        <f t="shared" si="32"/>
        <v>0.28041181574391438</v>
      </c>
      <c r="Q123" s="17">
        <f>IF(AND(O123&gt;0,I123&gt;0),O123/(1-'1 - Input'!$B$22*P123),0)</f>
        <v>3279.7559343686285</v>
      </c>
      <c r="R123" s="17">
        <f t="shared" si="33"/>
        <v>3279.7559343686285</v>
      </c>
      <c r="S123" s="17">
        <f>'1 - Input'!$B$22*P123*R123</f>
        <v>239.11740235582823</v>
      </c>
      <c r="T123" s="17">
        <f t="shared" si="34"/>
        <v>3040.6385320128002</v>
      </c>
      <c r="U123" s="17">
        <f t="shared" si="35"/>
        <v>0</v>
      </c>
      <c r="V123" s="17">
        <f t="shared" si="36"/>
        <v>0</v>
      </c>
      <c r="W123" s="17">
        <f t="shared" si="37"/>
        <v>389812.31209785218</v>
      </c>
      <c r="X123" s="17">
        <f t="shared" si="38"/>
        <v>280504.33386315999</v>
      </c>
      <c r="Y123" s="17">
        <f>IF(MOD(A123,12)=0,W123*'1 - Input'!$B$23,0)</f>
        <v>0</v>
      </c>
      <c r="Z123" s="17">
        <f t="shared" si="39"/>
        <v>389812.31209785218</v>
      </c>
      <c r="AA123" s="17">
        <f>IF(MOD(A123,12)=0,X123*(1-'1 - Input'!$B$23),X123)</f>
        <v>280504.33386315999</v>
      </c>
      <c r="AB123" s="17">
        <f t="shared" si="40"/>
        <v>3040.6385320128002</v>
      </c>
      <c r="AC123" s="17">
        <f t="shared" si="44"/>
        <v>228708.22746378247</v>
      </c>
      <c r="AD123" s="17">
        <f t="shared" si="45"/>
        <v>0</v>
      </c>
      <c r="AE123" s="17">
        <f t="shared" si="46"/>
        <v>9567.2710748255813</v>
      </c>
      <c r="AF123" s="17">
        <f t="shared" si="47"/>
        <v>0</v>
      </c>
      <c r="AG123" s="17">
        <f t="shared" si="48"/>
        <v>5324.8144787347337</v>
      </c>
      <c r="AH123" s="17">
        <f t="shared" si="49"/>
        <v>0</v>
      </c>
      <c r="AI123" s="15">
        <f t="shared" si="41"/>
        <v>0</v>
      </c>
    </row>
    <row r="124" spans="1:35">
      <c r="A124" s="14">
        <v>81</v>
      </c>
      <c r="B124" s="15">
        <f t="shared" si="25"/>
        <v>7</v>
      </c>
      <c r="C124" s="16">
        <f>(1+INDEX('1 - Input'!$B$34:$E$63,B124,'1 - Input'!$B$16))^(1/12)-1</f>
        <v>4.1219243192651689E-3</v>
      </c>
      <c r="D124" s="17">
        <f>'1 - Input'!$B$7*(1+'1 - Input'!$B$12)^(B124-1)</f>
        <v>3040.6385320128002</v>
      </c>
      <c r="E124" s="17">
        <f t="shared" si="42"/>
        <v>389812.31209785218</v>
      </c>
      <c r="F124" s="17">
        <f t="shared" si="43"/>
        <v>280504.33386315999</v>
      </c>
      <c r="G124" s="17">
        <f t="shared" si="26"/>
        <v>391419.08894703729</v>
      </c>
      <c r="H124" s="17">
        <f>0</f>
        <v>0</v>
      </c>
      <c r="I124" s="17">
        <f t="shared" si="27"/>
        <v>391419.08894703729</v>
      </c>
      <c r="J124" s="17">
        <f t="shared" si="28"/>
        <v>0</v>
      </c>
      <c r="K124" s="17">
        <f>'1 - Input'!$B$22*(H124-J124)</f>
        <v>0</v>
      </c>
      <c r="L124" s="17">
        <f t="shared" si="29"/>
        <v>0</v>
      </c>
      <c r="M124" s="17">
        <f t="shared" si="30"/>
        <v>280504.33386315999</v>
      </c>
      <c r="N124" s="17">
        <f>0</f>
        <v>0</v>
      </c>
      <c r="O124" s="17">
        <f t="shared" si="31"/>
        <v>3040.6385320128002</v>
      </c>
      <c r="P124" s="17">
        <f t="shared" si="32"/>
        <v>0.2833657279777817</v>
      </c>
      <c r="Q124" s="17">
        <f>IF(AND(O124&gt;0,I124&gt;0),O124/(1-'1 - Input'!$B$22*P124),0)</f>
        <v>3282.4751842530673</v>
      </c>
      <c r="R124" s="17">
        <f t="shared" si="33"/>
        <v>3282.4751842530673</v>
      </c>
      <c r="S124" s="17">
        <f>'1 - Input'!$B$22*P124*R124</f>
        <v>241.83665224026711</v>
      </c>
      <c r="T124" s="17">
        <f t="shared" si="34"/>
        <v>3040.6385320128002</v>
      </c>
      <c r="U124" s="17">
        <f t="shared" si="35"/>
        <v>0</v>
      </c>
      <c r="V124" s="17">
        <f t="shared" si="36"/>
        <v>0</v>
      </c>
      <c r="W124" s="17">
        <f t="shared" si="37"/>
        <v>388136.61376278423</v>
      </c>
      <c r="X124" s="17">
        <f t="shared" si="38"/>
        <v>278151.99964906182</v>
      </c>
      <c r="Y124" s="17">
        <f>IF(MOD(A124,12)=0,W124*'1 - Input'!$B$23,0)</f>
        <v>0</v>
      </c>
      <c r="Z124" s="17">
        <f t="shared" si="39"/>
        <v>388136.61376278423</v>
      </c>
      <c r="AA124" s="17">
        <f>IF(MOD(A124,12)=0,X124*(1-'1 - Input'!$B$23),X124)</f>
        <v>278151.99964906182</v>
      </c>
      <c r="AB124" s="17">
        <f t="shared" si="40"/>
        <v>3040.6385320128002</v>
      </c>
      <c r="AC124" s="17">
        <f t="shared" si="44"/>
        <v>231748.86599579526</v>
      </c>
      <c r="AD124" s="17">
        <f t="shared" si="45"/>
        <v>0</v>
      </c>
      <c r="AE124" s="17">
        <f t="shared" si="46"/>
        <v>9809.1077270658479</v>
      </c>
      <c r="AF124" s="17">
        <f t="shared" si="47"/>
        <v>0</v>
      </c>
      <c r="AG124" s="17">
        <f t="shared" si="48"/>
        <v>5324.8144787347337</v>
      </c>
      <c r="AH124" s="17">
        <f t="shared" si="49"/>
        <v>0</v>
      </c>
      <c r="AI124" s="15">
        <f t="shared" si="41"/>
        <v>0</v>
      </c>
    </row>
    <row r="125" spans="1:35">
      <c r="A125" s="14">
        <v>82</v>
      </c>
      <c r="B125" s="15">
        <f t="shared" si="25"/>
        <v>7</v>
      </c>
      <c r="C125" s="16">
        <f>(1+INDEX('1 - Input'!$B$34:$E$63,B125,'1 - Input'!$B$16))^(1/12)-1</f>
        <v>4.1219243192651689E-3</v>
      </c>
      <c r="D125" s="17">
        <f>'1 - Input'!$B$7*(1+'1 - Input'!$B$12)^(B125-1)</f>
        <v>3040.6385320128002</v>
      </c>
      <c r="E125" s="17">
        <f t="shared" si="42"/>
        <v>388136.61376278423</v>
      </c>
      <c r="F125" s="17">
        <f t="shared" si="43"/>
        <v>278151.99964906182</v>
      </c>
      <c r="G125" s="17">
        <f t="shared" si="26"/>
        <v>389736.48351025028</v>
      </c>
      <c r="H125" s="17">
        <f>0</f>
        <v>0</v>
      </c>
      <c r="I125" s="17">
        <f t="shared" si="27"/>
        <v>389736.48351025028</v>
      </c>
      <c r="J125" s="17">
        <f t="shared" si="28"/>
        <v>0</v>
      </c>
      <c r="K125" s="17">
        <f>'1 - Input'!$B$22*(H125-J125)</f>
        <v>0</v>
      </c>
      <c r="L125" s="17">
        <f t="shared" si="29"/>
        <v>0</v>
      </c>
      <c r="M125" s="17">
        <f t="shared" si="30"/>
        <v>278151.99964906182</v>
      </c>
      <c r="N125" s="17">
        <f>0</f>
        <v>0</v>
      </c>
      <c r="O125" s="17">
        <f t="shared" si="31"/>
        <v>3040.6385320128002</v>
      </c>
      <c r="P125" s="17">
        <f t="shared" si="32"/>
        <v>0.28630751439069146</v>
      </c>
      <c r="Q125" s="17">
        <f>IF(AND(O125&gt;0,I125&gt;0),O125/(1-'1 - Input'!$B$22*P125),0)</f>
        <v>3285.187756650249</v>
      </c>
      <c r="R125" s="17">
        <f t="shared" si="33"/>
        <v>3285.187756650249</v>
      </c>
      <c r="S125" s="17">
        <f>'1 - Input'!$B$22*P125*R125</f>
        <v>244.54922463744882</v>
      </c>
      <c r="T125" s="17">
        <f t="shared" si="34"/>
        <v>3040.6385320128002</v>
      </c>
      <c r="U125" s="17">
        <f t="shared" si="35"/>
        <v>0</v>
      </c>
      <c r="V125" s="17">
        <f t="shared" si="36"/>
        <v>0</v>
      </c>
      <c r="W125" s="17">
        <f t="shared" si="37"/>
        <v>386451.29575360002</v>
      </c>
      <c r="X125" s="17">
        <f t="shared" si="38"/>
        <v>275807.38583332486</v>
      </c>
      <c r="Y125" s="17">
        <f>IF(MOD(A125,12)=0,W125*'1 - Input'!$B$23,0)</f>
        <v>0</v>
      </c>
      <c r="Z125" s="17">
        <f t="shared" si="39"/>
        <v>386451.29575360002</v>
      </c>
      <c r="AA125" s="17">
        <f>IF(MOD(A125,12)=0,X125*(1-'1 - Input'!$B$23),X125)</f>
        <v>275807.38583332486</v>
      </c>
      <c r="AB125" s="17">
        <f t="shared" si="40"/>
        <v>3040.6385320128002</v>
      </c>
      <c r="AC125" s="17">
        <f t="shared" si="44"/>
        <v>234789.50452780805</v>
      </c>
      <c r="AD125" s="17">
        <f t="shared" si="45"/>
        <v>0</v>
      </c>
      <c r="AE125" s="17">
        <f t="shared" si="46"/>
        <v>10053.656951703297</v>
      </c>
      <c r="AF125" s="17">
        <f t="shared" si="47"/>
        <v>0</v>
      </c>
      <c r="AG125" s="17">
        <f t="shared" si="48"/>
        <v>5324.8144787347337</v>
      </c>
      <c r="AH125" s="17">
        <f t="shared" si="49"/>
        <v>0</v>
      </c>
      <c r="AI125" s="15">
        <f t="shared" si="41"/>
        <v>0</v>
      </c>
    </row>
    <row r="126" spans="1:35">
      <c r="A126" s="14">
        <v>83</v>
      </c>
      <c r="B126" s="15">
        <f t="shared" si="25"/>
        <v>7</v>
      </c>
      <c r="C126" s="16">
        <f>(1+INDEX('1 - Input'!$B$34:$E$63,B126,'1 - Input'!$B$16))^(1/12)-1</f>
        <v>4.1219243192651689E-3</v>
      </c>
      <c r="D126" s="17">
        <f>'1 - Input'!$B$7*(1+'1 - Input'!$B$12)^(B126-1)</f>
        <v>3040.6385320128002</v>
      </c>
      <c r="E126" s="17">
        <f t="shared" si="42"/>
        <v>386451.29575360002</v>
      </c>
      <c r="F126" s="17">
        <f t="shared" si="43"/>
        <v>275807.38583332486</v>
      </c>
      <c r="G126" s="17">
        <f t="shared" si="26"/>
        <v>388044.21874777833</v>
      </c>
      <c r="H126" s="17">
        <f>0</f>
        <v>0</v>
      </c>
      <c r="I126" s="17">
        <f t="shared" si="27"/>
        <v>388044.21874777833</v>
      </c>
      <c r="J126" s="17">
        <f t="shared" si="28"/>
        <v>0</v>
      </c>
      <c r="K126" s="17">
        <f>'1 - Input'!$B$22*(H126-J126)</f>
        <v>0</v>
      </c>
      <c r="L126" s="17">
        <f t="shared" si="29"/>
        <v>0</v>
      </c>
      <c r="M126" s="17">
        <f t="shared" si="30"/>
        <v>275807.38583332486</v>
      </c>
      <c r="N126" s="17">
        <f>0</f>
        <v>0</v>
      </c>
      <c r="O126" s="17">
        <f t="shared" si="31"/>
        <v>3040.6385320128002</v>
      </c>
      <c r="P126" s="17">
        <f t="shared" si="32"/>
        <v>0.2892372247591849</v>
      </c>
      <c r="Q126" s="17">
        <f>IF(AND(O126&gt;0,I126&gt;0),O126/(1-'1 - Input'!$B$22*P126),0)</f>
        <v>3287.8936532617172</v>
      </c>
      <c r="R126" s="17">
        <f t="shared" si="33"/>
        <v>3287.8936532617172</v>
      </c>
      <c r="S126" s="17">
        <f>'1 - Input'!$B$22*P126*R126</f>
        <v>247.25512124891679</v>
      </c>
      <c r="T126" s="17">
        <f t="shared" si="34"/>
        <v>3040.6385320128002</v>
      </c>
      <c r="U126" s="17">
        <f t="shared" si="35"/>
        <v>0</v>
      </c>
      <c r="V126" s="17">
        <f t="shared" si="36"/>
        <v>0</v>
      </c>
      <c r="W126" s="17">
        <f t="shared" si="37"/>
        <v>384756.32509451662</v>
      </c>
      <c r="X126" s="17">
        <f t="shared" si="38"/>
        <v>273470.47341563588</v>
      </c>
      <c r="Y126" s="17">
        <f>IF(MOD(A126,12)=0,W126*'1 - Input'!$B$23,0)</f>
        <v>0</v>
      </c>
      <c r="Z126" s="17">
        <f t="shared" si="39"/>
        <v>384756.32509451662</v>
      </c>
      <c r="AA126" s="17">
        <f>IF(MOD(A126,12)=0,X126*(1-'1 - Input'!$B$23),X126)</f>
        <v>273470.47341563588</v>
      </c>
      <c r="AB126" s="17">
        <f t="shared" si="40"/>
        <v>3040.6385320128002</v>
      </c>
      <c r="AC126" s="17">
        <f t="shared" si="44"/>
        <v>237830.14305982084</v>
      </c>
      <c r="AD126" s="17">
        <f t="shared" si="45"/>
        <v>0</v>
      </c>
      <c r="AE126" s="17">
        <f t="shared" si="46"/>
        <v>10300.912072952213</v>
      </c>
      <c r="AF126" s="17">
        <f t="shared" si="47"/>
        <v>0</v>
      </c>
      <c r="AG126" s="17">
        <f t="shared" si="48"/>
        <v>5324.8144787347337</v>
      </c>
      <c r="AH126" s="17">
        <f t="shared" si="49"/>
        <v>0</v>
      </c>
      <c r="AI126" s="15">
        <f t="shared" si="41"/>
        <v>0</v>
      </c>
    </row>
    <row r="127" spans="1:35">
      <c r="A127" s="14">
        <v>84</v>
      </c>
      <c r="B127" s="15">
        <f t="shared" si="25"/>
        <v>7</v>
      </c>
      <c r="C127" s="16">
        <f>(1+INDEX('1 - Input'!$B$34:$E$63,B127,'1 - Input'!$B$16))^(1/12)-1</f>
        <v>4.1219243192651689E-3</v>
      </c>
      <c r="D127" s="17">
        <f>'1 - Input'!$B$7*(1+'1 - Input'!$B$12)^(B127-1)</f>
        <v>3040.6385320128002</v>
      </c>
      <c r="E127" s="17">
        <f t="shared" si="42"/>
        <v>384756.32509451662</v>
      </c>
      <c r="F127" s="17">
        <f t="shared" si="43"/>
        <v>273470.47341563588</v>
      </c>
      <c r="G127" s="17">
        <f t="shared" si="26"/>
        <v>386342.26154791482</v>
      </c>
      <c r="H127" s="17">
        <f>0</f>
        <v>0</v>
      </c>
      <c r="I127" s="17">
        <f t="shared" si="27"/>
        <v>386342.26154791482</v>
      </c>
      <c r="J127" s="17">
        <f t="shared" si="28"/>
        <v>0</v>
      </c>
      <c r="K127" s="17">
        <f>'1 - Input'!$B$22*(H127-J127)</f>
        <v>0</v>
      </c>
      <c r="L127" s="17">
        <f t="shared" si="29"/>
        <v>0</v>
      </c>
      <c r="M127" s="17">
        <f t="shared" si="30"/>
        <v>273470.47341563588</v>
      </c>
      <c r="N127" s="17">
        <f>0</f>
        <v>0</v>
      </c>
      <c r="O127" s="17">
        <f t="shared" si="31"/>
        <v>3040.6385320128002</v>
      </c>
      <c r="P127" s="17">
        <f t="shared" si="32"/>
        <v>0.29215490865547045</v>
      </c>
      <c r="Q127" s="17">
        <f>IF(AND(O127&gt;0,I127&gt;0),O127/(1-'1 - Input'!$B$22*P127),0)</f>
        <v>3290.5928758933292</v>
      </c>
      <c r="R127" s="17">
        <f t="shared" si="33"/>
        <v>3290.5928758933292</v>
      </c>
      <c r="S127" s="17">
        <f>'1 - Input'!$B$22*P127*R127</f>
        <v>249.95434388052891</v>
      </c>
      <c r="T127" s="17">
        <f t="shared" si="34"/>
        <v>3040.6385320128002</v>
      </c>
      <c r="U127" s="17">
        <f t="shared" si="35"/>
        <v>0</v>
      </c>
      <c r="V127" s="17">
        <f t="shared" si="36"/>
        <v>0</v>
      </c>
      <c r="W127" s="17">
        <f t="shared" si="37"/>
        <v>383051.66867202148</v>
      </c>
      <c r="X127" s="17">
        <f t="shared" si="38"/>
        <v>271141.24340082152</v>
      </c>
      <c r="Y127" s="17">
        <f>IF(MOD(A127,12)=0,W127*'1 - Input'!$B$23,0)</f>
        <v>766.10333734404298</v>
      </c>
      <c r="Z127" s="17">
        <f t="shared" si="39"/>
        <v>382285.56533467746</v>
      </c>
      <c r="AA127" s="17">
        <f>IF(MOD(A127,12)=0,X127*(1-'1 - Input'!$B$23),X127)</f>
        <v>270598.9609140199</v>
      </c>
      <c r="AB127" s="17">
        <f t="shared" si="40"/>
        <v>3040.6385320128002</v>
      </c>
      <c r="AC127" s="17">
        <f t="shared" si="44"/>
        <v>240870.78159183363</v>
      </c>
      <c r="AD127" s="17">
        <f t="shared" si="45"/>
        <v>0</v>
      </c>
      <c r="AE127" s="17">
        <f t="shared" si="46"/>
        <v>10550.866416832741</v>
      </c>
      <c r="AF127" s="17">
        <f t="shared" si="47"/>
        <v>0</v>
      </c>
      <c r="AG127" s="17">
        <f t="shared" si="48"/>
        <v>6090.9178160787769</v>
      </c>
      <c r="AH127" s="17">
        <f t="shared" si="49"/>
        <v>0</v>
      </c>
      <c r="AI127" s="15">
        <f t="shared" si="41"/>
        <v>0</v>
      </c>
    </row>
    <row r="128" spans="1:35">
      <c r="A128" s="14">
        <v>85</v>
      </c>
      <c r="B128" s="15">
        <f t="shared" si="25"/>
        <v>8</v>
      </c>
      <c r="C128" s="16">
        <f>(1+INDEX('1 - Input'!$B$34:$E$63,B128,'1 - Input'!$B$16))^(1/12)-1</f>
        <v>4.1219243192651689E-3</v>
      </c>
      <c r="D128" s="17">
        <f>'1 - Input'!$B$7*(1+'1 - Input'!$B$12)^(B128-1)</f>
        <v>3101.4513026530553</v>
      </c>
      <c r="E128" s="17">
        <f t="shared" si="42"/>
        <v>382285.56533467746</v>
      </c>
      <c r="F128" s="17">
        <f t="shared" si="43"/>
        <v>270598.9609140199</v>
      </c>
      <c r="G128" s="17">
        <f t="shared" si="26"/>
        <v>383861.31750333449</v>
      </c>
      <c r="H128" s="17">
        <f>0</f>
        <v>0</v>
      </c>
      <c r="I128" s="17">
        <f t="shared" si="27"/>
        <v>383861.31750333449</v>
      </c>
      <c r="J128" s="17">
        <f t="shared" si="28"/>
        <v>0</v>
      </c>
      <c r="K128" s="17">
        <f>'1 - Input'!$B$22*(H128-J128)</f>
        <v>0</v>
      </c>
      <c r="L128" s="17">
        <f t="shared" si="29"/>
        <v>0</v>
      </c>
      <c r="M128" s="17">
        <f t="shared" si="30"/>
        <v>270598.9609140199</v>
      </c>
      <c r="N128" s="17">
        <f>0</f>
        <v>0</v>
      </c>
      <c r="O128" s="17">
        <f t="shared" si="31"/>
        <v>3101.4513026530553</v>
      </c>
      <c r="P128" s="17">
        <f t="shared" si="32"/>
        <v>0.29506061544826201</v>
      </c>
      <c r="Q128" s="17">
        <f>IF(AND(O128&gt;0,I128&gt;0),O128/(1-'1 - Input'!$B$22*P128),0)</f>
        <v>3359.151134983787</v>
      </c>
      <c r="R128" s="17">
        <f t="shared" si="33"/>
        <v>3359.151134983787</v>
      </c>
      <c r="S128" s="17">
        <f>'1 - Input'!$B$22*P128*R128</f>
        <v>257.69983233073145</v>
      </c>
      <c r="T128" s="17">
        <f t="shared" si="34"/>
        <v>3101.4513026530553</v>
      </c>
      <c r="U128" s="17">
        <f t="shared" si="35"/>
        <v>0</v>
      </c>
      <c r="V128" s="17">
        <f t="shared" si="36"/>
        <v>0</v>
      </c>
      <c r="W128" s="17">
        <f t="shared" si="37"/>
        <v>380502.16636835068</v>
      </c>
      <c r="X128" s="17">
        <f t="shared" si="38"/>
        <v>268230.96298030816</v>
      </c>
      <c r="Y128" s="17">
        <f>IF(MOD(A128,12)=0,W128*'1 - Input'!$B$23,0)</f>
        <v>0</v>
      </c>
      <c r="Z128" s="17">
        <f t="shared" si="39"/>
        <v>380502.16636835068</v>
      </c>
      <c r="AA128" s="17">
        <f>IF(MOD(A128,12)=0,X128*(1-'1 - Input'!$B$23),X128)</f>
        <v>268230.96298030816</v>
      </c>
      <c r="AB128" s="17">
        <f t="shared" si="40"/>
        <v>3101.4513026530553</v>
      </c>
      <c r="AC128" s="17">
        <f t="shared" si="44"/>
        <v>243972.23289448669</v>
      </c>
      <c r="AD128" s="17">
        <f t="shared" si="45"/>
        <v>0</v>
      </c>
      <c r="AE128" s="17">
        <f t="shared" si="46"/>
        <v>10808.566249163472</v>
      </c>
      <c r="AF128" s="17">
        <f t="shared" si="47"/>
        <v>0</v>
      </c>
      <c r="AG128" s="17">
        <f t="shared" si="48"/>
        <v>6090.9178160787769</v>
      </c>
      <c r="AH128" s="17">
        <f t="shared" si="49"/>
        <v>0</v>
      </c>
      <c r="AI128" s="15">
        <f t="shared" si="41"/>
        <v>0</v>
      </c>
    </row>
    <row r="129" spans="1:35">
      <c r="A129" s="14">
        <v>86</v>
      </c>
      <c r="B129" s="15">
        <f t="shared" si="25"/>
        <v>8</v>
      </c>
      <c r="C129" s="16">
        <f>(1+INDEX('1 - Input'!$B$34:$E$63,B129,'1 - Input'!$B$16))^(1/12)-1</f>
        <v>4.1219243192651689E-3</v>
      </c>
      <c r="D129" s="17">
        <f>'1 - Input'!$B$7*(1+'1 - Input'!$B$12)^(B129-1)</f>
        <v>3101.4513026530553</v>
      </c>
      <c r="E129" s="17">
        <f t="shared" si="42"/>
        <v>380502.16636835068</v>
      </c>
      <c r="F129" s="17">
        <f t="shared" si="43"/>
        <v>268230.96298030816</v>
      </c>
      <c r="G129" s="17">
        <f t="shared" si="26"/>
        <v>382070.56750143744</v>
      </c>
      <c r="H129" s="17">
        <f>0</f>
        <v>0</v>
      </c>
      <c r="I129" s="17">
        <f t="shared" si="27"/>
        <v>382070.56750143744</v>
      </c>
      <c r="J129" s="17">
        <f t="shared" si="28"/>
        <v>0</v>
      </c>
      <c r="K129" s="17">
        <f>'1 - Input'!$B$22*(H129-J129)</f>
        <v>0</v>
      </c>
      <c r="L129" s="17">
        <f t="shared" si="29"/>
        <v>0</v>
      </c>
      <c r="M129" s="17">
        <f t="shared" si="30"/>
        <v>268230.96298030816</v>
      </c>
      <c r="N129" s="17">
        <f>0</f>
        <v>0</v>
      </c>
      <c r="O129" s="17">
        <f t="shared" si="31"/>
        <v>3101.4513026530553</v>
      </c>
      <c r="P129" s="17">
        <f t="shared" si="32"/>
        <v>0.29795439430361514</v>
      </c>
      <c r="Q129" s="17">
        <f>IF(AND(O129&gt;0,I129&gt;0),O129/(1-'1 - Input'!$B$22*P129),0)</f>
        <v>3361.8907330977777</v>
      </c>
      <c r="R129" s="17">
        <f t="shared" si="33"/>
        <v>3361.8907330977777</v>
      </c>
      <c r="S129" s="17">
        <f>'1 - Input'!$B$22*P129*R129</f>
        <v>260.43943044472212</v>
      </c>
      <c r="T129" s="17">
        <f t="shared" si="34"/>
        <v>3101.4513026530558</v>
      </c>
      <c r="U129" s="17">
        <f t="shared" si="35"/>
        <v>0</v>
      </c>
      <c r="V129" s="17">
        <f t="shared" si="36"/>
        <v>0</v>
      </c>
      <c r="W129" s="17">
        <f t="shared" si="37"/>
        <v>378708.67676833965</v>
      </c>
      <c r="X129" s="17">
        <f t="shared" si="38"/>
        <v>265870.7623643055</v>
      </c>
      <c r="Y129" s="17">
        <f>IF(MOD(A129,12)=0,W129*'1 - Input'!$B$23,0)</f>
        <v>0</v>
      </c>
      <c r="Z129" s="17">
        <f t="shared" si="39"/>
        <v>378708.67676833965</v>
      </c>
      <c r="AA129" s="17">
        <f>IF(MOD(A129,12)=0,X129*(1-'1 - Input'!$B$23),X129)</f>
        <v>265870.7623643055</v>
      </c>
      <c r="AB129" s="17">
        <f t="shared" si="40"/>
        <v>3101.4513026530558</v>
      </c>
      <c r="AC129" s="17">
        <f t="shared" si="44"/>
        <v>247073.68419713975</v>
      </c>
      <c r="AD129" s="17">
        <f t="shared" si="45"/>
        <v>0</v>
      </c>
      <c r="AE129" s="17">
        <f t="shared" si="46"/>
        <v>11069.005679608194</v>
      </c>
      <c r="AF129" s="17">
        <f t="shared" si="47"/>
        <v>0</v>
      </c>
      <c r="AG129" s="17">
        <f t="shared" si="48"/>
        <v>6090.9178160787769</v>
      </c>
      <c r="AH129" s="17">
        <f t="shared" si="49"/>
        <v>0</v>
      </c>
      <c r="AI129" s="15">
        <f t="shared" si="41"/>
        <v>0</v>
      </c>
    </row>
    <row r="130" spans="1:35">
      <c r="A130" s="14">
        <v>87</v>
      </c>
      <c r="B130" s="15">
        <f t="shared" si="25"/>
        <v>8</v>
      </c>
      <c r="C130" s="16">
        <f>(1+INDEX('1 - Input'!$B$34:$E$63,B130,'1 - Input'!$B$16))^(1/12)-1</f>
        <v>4.1219243192651689E-3</v>
      </c>
      <c r="D130" s="17">
        <f>'1 - Input'!$B$7*(1+'1 - Input'!$B$12)^(B130-1)</f>
        <v>3101.4513026530553</v>
      </c>
      <c r="E130" s="17">
        <f t="shared" si="42"/>
        <v>378708.67676833965</v>
      </c>
      <c r="F130" s="17">
        <f t="shared" si="43"/>
        <v>265870.7623643055</v>
      </c>
      <c r="G130" s="17">
        <f t="shared" si="26"/>
        <v>380269.6852730278</v>
      </c>
      <c r="H130" s="17">
        <f>0</f>
        <v>0</v>
      </c>
      <c r="I130" s="17">
        <f t="shared" si="27"/>
        <v>380269.6852730278</v>
      </c>
      <c r="J130" s="17">
        <f t="shared" si="28"/>
        <v>0</v>
      </c>
      <c r="K130" s="17">
        <f>'1 - Input'!$B$22*(H130-J130)</f>
        <v>0</v>
      </c>
      <c r="L130" s="17">
        <f t="shared" si="29"/>
        <v>0</v>
      </c>
      <c r="M130" s="17">
        <f t="shared" si="30"/>
        <v>265870.7623643055</v>
      </c>
      <c r="N130" s="17">
        <f>0</f>
        <v>0</v>
      </c>
      <c r="O130" s="17">
        <f t="shared" si="31"/>
        <v>3101.4513026530553</v>
      </c>
      <c r="P130" s="17">
        <f t="shared" si="32"/>
        <v>0.3008362941857583</v>
      </c>
      <c r="Q130" s="17">
        <f>IF(AND(O130&gt;0,I130&gt;0),O130/(1-'1 - Input'!$B$22*P130),0)</f>
        <v>3364.6235299108907</v>
      </c>
      <c r="R130" s="17">
        <f t="shared" si="33"/>
        <v>3364.6235299108907</v>
      </c>
      <c r="S130" s="17">
        <f>'1 - Input'!$B$22*P130*R130</f>
        <v>263.17222725783535</v>
      </c>
      <c r="T130" s="17">
        <f t="shared" si="34"/>
        <v>3101.4513026530553</v>
      </c>
      <c r="U130" s="17">
        <f t="shared" si="35"/>
        <v>0</v>
      </c>
      <c r="V130" s="17">
        <f t="shared" si="36"/>
        <v>0</v>
      </c>
      <c r="W130" s="17">
        <f t="shared" si="37"/>
        <v>376905.06174311694</v>
      </c>
      <c r="X130" s="17">
        <f t="shared" si="38"/>
        <v>263518.33970846317</v>
      </c>
      <c r="Y130" s="17">
        <f>IF(MOD(A130,12)=0,W130*'1 - Input'!$B$23,0)</f>
        <v>0</v>
      </c>
      <c r="Z130" s="17">
        <f t="shared" si="39"/>
        <v>376905.06174311694</v>
      </c>
      <c r="AA130" s="17">
        <f>IF(MOD(A130,12)=0,X130*(1-'1 - Input'!$B$23),X130)</f>
        <v>263518.33970846317</v>
      </c>
      <c r="AB130" s="17">
        <f t="shared" si="40"/>
        <v>3101.4513026530553</v>
      </c>
      <c r="AC130" s="17">
        <f t="shared" si="44"/>
        <v>250175.13549979281</v>
      </c>
      <c r="AD130" s="17">
        <f t="shared" si="45"/>
        <v>0</v>
      </c>
      <c r="AE130" s="17">
        <f t="shared" si="46"/>
        <v>11332.177906866029</v>
      </c>
      <c r="AF130" s="17">
        <f t="shared" si="47"/>
        <v>0</v>
      </c>
      <c r="AG130" s="17">
        <f t="shared" si="48"/>
        <v>6090.9178160787769</v>
      </c>
      <c r="AH130" s="17">
        <f t="shared" si="49"/>
        <v>0</v>
      </c>
      <c r="AI130" s="15">
        <f t="shared" si="41"/>
        <v>0</v>
      </c>
    </row>
    <row r="131" spans="1:35">
      <c r="A131" s="14">
        <v>88</v>
      </c>
      <c r="B131" s="15">
        <f t="shared" si="25"/>
        <v>8</v>
      </c>
      <c r="C131" s="16">
        <f>(1+INDEX('1 - Input'!$B$34:$E$63,B131,'1 - Input'!$B$16))^(1/12)-1</f>
        <v>4.1219243192651689E-3</v>
      </c>
      <c r="D131" s="17">
        <f>'1 - Input'!$B$7*(1+'1 - Input'!$B$12)^(B131-1)</f>
        <v>3101.4513026530553</v>
      </c>
      <c r="E131" s="17">
        <f t="shared" si="42"/>
        <v>376905.06174311694</v>
      </c>
      <c r="F131" s="17">
        <f t="shared" si="43"/>
        <v>263518.33970846317</v>
      </c>
      <c r="G131" s="17">
        <f t="shared" si="26"/>
        <v>378458.63588317001</v>
      </c>
      <c r="H131" s="17">
        <f>0</f>
        <v>0</v>
      </c>
      <c r="I131" s="17">
        <f t="shared" si="27"/>
        <v>378458.63588317001</v>
      </c>
      <c r="J131" s="17">
        <f t="shared" si="28"/>
        <v>0</v>
      </c>
      <c r="K131" s="17">
        <f>'1 - Input'!$B$22*(H131-J131)</f>
        <v>0</v>
      </c>
      <c r="L131" s="17">
        <f t="shared" si="29"/>
        <v>0</v>
      </c>
      <c r="M131" s="17">
        <f t="shared" si="30"/>
        <v>263518.33970846317</v>
      </c>
      <c r="N131" s="17">
        <f>0</f>
        <v>0</v>
      </c>
      <c r="O131" s="17">
        <f t="shared" si="31"/>
        <v>3101.4513026530553</v>
      </c>
      <c r="P131" s="17">
        <f t="shared" si="32"/>
        <v>0.30370636385792193</v>
      </c>
      <c r="Q131" s="17">
        <f>IF(AND(O131&gt;0,I131&gt;0),O131/(1-'1 - Input'!$B$22*P131),0)</f>
        <v>3367.3495276849453</v>
      </c>
      <c r="R131" s="17">
        <f t="shared" si="33"/>
        <v>3367.3495276849453</v>
      </c>
      <c r="S131" s="17">
        <f>'1 - Input'!$B$22*P131*R131</f>
        <v>265.89822503189026</v>
      </c>
      <c r="T131" s="17">
        <f t="shared" si="34"/>
        <v>3101.4513026530549</v>
      </c>
      <c r="U131" s="17">
        <f t="shared" si="35"/>
        <v>0</v>
      </c>
      <c r="V131" s="17">
        <f t="shared" si="36"/>
        <v>0</v>
      </c>
      <c r="W131" s="17">
        <f t="shared" si="37"/>
        <v>375091.28635548503</v>
      </c>
      <c r="X131" s="17">
        <f t="shared" si="38"/>
        <v>261173.6756616701</v>
      </c>
      <c r="Y131" s="17">
        <f>IF(MOD(A131,12)=0,W131*'1 - Input'!$B$23,0)</f>
        <v>0</v>
      </c>
      <c r="Z131" s="17">
        <f t="shared" si="39"/>
        <v>375091.28635548503</v>
      </c>
      <c r="AA131" s="17">
        <f>IF(MOD(A131,12)=0,X131*(1-'1 - Input'!$B$23),X131)</f>
        <v>261173.6756616701</v>
      </c>
      <c r="AB131" s="17">
        <f t="shared" si="40"/>
        <v>3101.4513026530549</v>
      </c>
      <c r="AC131" s="17">
        <f t="shared" si="44"/>
        <v>253276.58680244588</v>
      </c>
      <c r="AD131" s="17">
        <f t="shared" si="45"/>
        <v>0</v>
      </c>
      <c r="AE131" s="17">
        <f t="shared" si="46"/>
        <v>11598.076131897918</v>
      </c>
      <c r="AF131" s="17">
        <f t="shared" si="47"/>
        <v>0</v>
      </c>
      <c r="AG131" s="17">
        <f t="shared" si="48"/>
        <v>6090.9178160787769</v>
      </c>
      <c r="AH131" s="17">
        <f t="shared" si="49"/>
        <v>0</v>
      </c>
      <c r="AI131" s="15">
        <f t="shared" si="41"/>
        <v>0</v>
      </c>
    </row>
    <row r="132" spans="1:35">
      <c r="A132" s="14">
        <v>89</v>
      </c>
      <c r="B132" s="15">
        <f t="shared" si="25"/>
        <v>8</v>
      </c>
      <c r="C132" s="16">
        <f>(1+INDEX('1 - Input'!$B$34:$E$63,B132,'1 - Input'!$B$16))^(1/12)-1</f>
        <v>4.1219243192651689E-3</v>
      </c>
      <c r="D132" s="17">
        <f>'1 - Input'!$B$7*(1+'1 - Input'!$B$12)^(B132-1)</f>
        <v>3101.4513026530553</v>
      </c>
      <c r="E132" s="17">
        <f t="shared" si="42"/>
        <v>375091.28635548503</v>
      </c>
      <c r="F132" s="17">
        <f t="shared" si="43"/>
        <v>261173.6756616701</v>
      </c>
      <c r="G132" s="17">
        <f t="shared" si="26"/>
        <v>376637.38425065816</v>
      </c>
      <c r="H132" s="17">
        <f>0</f>
        <v>0</v>
      </c>
      <c r="I132" s="17">
        <f t="shared" si="27"/>
        <v>376637.38425065816</v>
      </c>
      <c r="J132" s="17">
        <f t="shared" si="28"/>
        <v>0</v>
      </c>
      <c r="K132" s="17">
        <f>'1 - Input'!$B$22*(H132-J132)</f>
        <v>0</v>
      </c>
      <c r="L132" s="17">
        <f t="shared" si="29"/>
        <v>0</v>
      </c>
      <c r="M132" s="17">
        <f t="shared" si="30"/>
        <v>261173.6756616701</v>
      </c>
      <c r="N132" s="17">
        <f>0</f>
        <v>0</v>
      </c>
      <c r="O132" s="17">
        <f t="shared" si="31"/>
        <v>3101.4513026530553</v>
      </c>
      <c r="P132" s="17">
        <f t="shared" si="32"/>
        <v>0.30656465188316284</v>
      </c>
      <c r="Q132" s="17">
        <f>IF(AND(O132&gt;0,I132&gt;0),O132/(1-'1 - Input'!$B$22*P132),0)</f>
        <v>3370.0687287852775</v>
      </c>
      <c r="R132" s="17">
        <f t="shared" si="33"/>
        <v>3370.0687287852775</v>
      </c>
      <c r="S132" s="17">
        <f>'1 - Input'!$B$22*P132*R132</f>
        <v>268.61742613222185</v>
      </c>
      <c r="T132" s="17">
        <f t="shared" si="34"/>
        <v>3101.4513026530558</v>
      </c>
      <c r="U132" s="17">
        <f t="shared" si="35"/>
        <v>0</v>
      </c>
      <c r="V132" s="17">
        <f t="shared" si="36"/>
        <v>0</v>
      </c>
      <c r="W132" s="17">
        <f t="shared" si="37"/>
        <v>373267.31552187289</v>
      </c>
      <c r="X132" s="17">
        <f t="shared" si="38"/>
        <v>258836.75087954721</v>
      </c>
      <c r="Y132" s="17">
        <f>IF(MOD(A132,12)=0,W132*'1 - Input'!$B$23,0)</f>
        <v>0</v>
      </c>
      <c r="Z132" s="17">
        <f t="shared" si="39"/>
        <v>373267.31552187289</v>
      </c>
      <c r="AA132" s="17">
        <f>IF(MOD(A132,12)=0,X132*(1-'1 - Input'!$B$23),X132)</f>
        <v>258836.75087954721</v>
      </c>
      <c r="AB132" s="17">
        <f t="shared" si="40"/>
        <v>3101.4513026530558</v>
      </c>
      <c r="AC132" s="17">
        <f t="shared" si="44"/>
        <v>256378.03810509894</v>
      </c>
      <c r="AD132" s="17">
        <f t="shared" si="45"/>
        <v>0</v>
      </c>
      <c r="AE132" s="17">
        <f t="shared" si="46"/>
        <v>11866.69355803014</v>
      </c>
      <c r="AF132" s="17">
        <f t="shared" si="47"/>
        <v>0</v>
      </c>
      <c r="AG132" s="17">
        <f t="shared" si="48"/>
        <v>6090.9178160787769</v>
      </c>
      <c r="AH132" s="17">
        <f t="shared" si="49"/>
        <v>0</v>
      </c>
      <c r="AI132" s="15">
        <f t="shared" si="41"/>
        <v>0</v>
      </c>
    </row>
    <row r="133" spans="1:35">
      <c r="A133" s="14">
        <v>90</v>
      </c>
      <c r="B133" s="15">
        <f t="shared" si="25"/>
        <v>8</v>
      </c>
      <c r="C133" s="16">
        <f>(1+INDEX('1 - Input'!$B$34:$E$63,B133,'1 - Input'!$B$16))^(1/12)-1</f>
        <v>4.1219243192651689E-3</v>
      </c>
      <c r="D133" s="17">
        <f>'1 - Input'!$B$7*(1+'1 - Input'!$B$12)^(B133-1)</f>
        <v>3101.4513026530553</v>
      </c>
      <c r="E133" s="17">
        <f t="shared" si="42"/>
        <v>373267.31552187289</v>
      </c>
      <c r="F133" s="17">
        <f t="shared" si="43"/>
        <v>258836.75087954721</v>
      </c>
      <c r="G133" s="17">
        <f t="shared" si="26"/>
        <v>374805.89514730935</v>
      </c>
      <c r="H133" s="17">
        <f>0</f>
        <v>0</v>
      </c>
      <c r="I133" s="17">
        <f t="shared" si="27"/>
        <v>374805.89514730935</v>
      </c>
      <c r="J133" s="17">
        <f t="shared" si="28"/>
        <v>0</v>
      </c>
      <c r="K133" s="17">
        <f>'1 - Input'!$B$22*(H133-J133)</f>
        <v>0</v>
      </c>
      <c r="L133" s="17">
        <f t="shared" si="29"/>
        <v>0</v>
      </c>
      <c r="M133" s="17">
        <f t="shared" si="30"/>
        <v>258836.75087954721</v>
      </c>
      <c r="N133" s="17">
        <f>0</f>
        <v>0</v>
      </c>
      <c r="O133" s="17">
        <f t="shared" si="31"/>
        <v>3101.4513026530553</v>
      </c>
      <c r="P133" s="17">
        <f t="shared" si="32"/>
        <v>0.30941120662518651</v>
      </c>
      <c r="Q133" s="17">
        <f>IF(AND(O133&gt;0,I133&gt;0),O133/(1-'1 - Input'!$B$22*P133),0)</f>
        <v>3372.7811356801562</v>
      </c>
      <c r="R133" s="17">
        <f t="shared" si="33"/>
        <v>3372.7811356801562</v>
      </c>
      <c r="S133" s="17">
        <f>'1 - Input'!$B$22*P133*R133</f>
        <v>271.32983302710062</v>
      </c>
      <c r="T133" s="17">
        <f t="shared" si="34"/>
        <v>3101.4513026530558</v>
      </c>
      <c r="U133" s="17">
        <f t="shared" si="35"/>
        <v>0</v>
      </c>
      <c r="V133" s="17">
        <f t="shared" si="36"/>
        <v>0</v>
      </c>
      <c r="W133" s="17">
        <f t="shared" si="37"/>
        <v>371433.11401162919</v>
      </c>
      <c r="X133" s="17">
        <f t="shared" si="38"/>
        <v>256507.5460247405</v>
      </c>
      <c r="Y133" s="17">
        <f>IF(MOD(A133,12)=0,W133*'1 - Input'!$B$23,0)</f>
        <v>0</v>
      </c>
      <c r="Z133" s="17">
        <f t="shared" si="39"/>
        <v>371433.11401162919</v>
      </c>
      <c r="AA133" s="17">
        <f>IF(MOD(A133,12)=0,X133*(1-'1 - Input'!$B$23),X133)</f>
        <v>256507.5460247405</v>
      </c>
      <c r="AB133" s="17">
        <f t="shared" si="40"/>
        <v>3101.4513026530558</v>
      </c>
      <c r="AC133" s="17">
        <f t="shared" si="44"/>
        <v>259479.489407752</v>
      </c>
      <c r="AD133" s="17">
        <f t="shared" si="45"/>
        <v>0</v>
      </c>
      <c r="AE133" s="17">
        <f t="shared" si="46"/>
        <v>12138.023391057241</v>
      </c>
      <c r="AF133" s="17">
        <f t="shared" si="47"/>
        <v>0</v>
      </c>
      <c r="AG133" s="17">
        <f t="shared" si="48"/>
        <v>6090.9178160787769</v>
      </c>
      <c r="AH133" s="17">
        <f t="shared" si="49"/>
        <v>0</v>
      </c>
      <c r="AI133" s="15">
        <f t="shared" si="41"/>
        <v>0</v>
      </c>
    </row>
    <row r="134" spans="1:35">
      <c r="A134" s="14">
        <v>91</v>
      </c>
      <c r="B134" s="15">
        <f t="shared" si="25"/>
        <v>8</v>
      </c>
      <c r="C134" s="16">
        <f>(1+INDEX('1 - Input'!$B$34:$E$63,B134,'1 - Input'!$B$16))^(1/12)-1</f>
        <v>4.1219243192651689E-3</v>
      </c>
      <c r="D134" s="17">
        <f>'1 - Input'!$B$7*(1+'1 - Input'!$B$12)^(B134-1)</f>
        <v>3101.4513026530553</v>
      </c>
      <c r="E134" s="17">
        <f t="shared" si="42"/>
        <v>371433.11401162919</v>
      </c>
      <c r="F134" s="17">
        <f t="shared" si="43"/>
        <v>256507.5460247405</v>
      </c>
      <c r="G134" s="17">
        <f t="shared" si="26"/>
        <v>372964.13319725409</v>
      </c>
      <c r="H134" s="17">
        <f>0</f>
        <v>0</v>
      </c>
      <c r="I134" s="17">
        <f t="shared" si="27"/>
        <v>372964.13319725409</v>
      </c>
      <c r="J134" s="17">
        <f t="shared" si="28"/>
        <v>0</v>
      </c>
      <c r="K134" s="17">
        <f>'1 - Input'!$B$22*(H134-J134)</f>
        <v>0</v>
      </c>
      <c r="L134" s="17">
        <f t="shared" si="29"/>
        <v>0</v>
      </c>
      <c r="M134" s="17">
        <f t="shared" si="30"/>
        <v>256507.5460247405</v>
      </c>
      <c r="N134" s="17">
        <f>0</f>
        <v>0</v>
      </c>
      <c r="O134" s="17">
        <f t="shared" si="31"/>
        <v>3101.4513026530553</v>
      </c>
      <c r="P134" s="17">
        <f t="shared" si="32"/>
        <v>0.31224607624916512</v>
      </c>
      <c r="Q134" s="17">
        <f>IF(AND(O134&gt;0,I134&gt;0),O134/(1-'1 - Input'!$B$22*P134),0)</f>
        <v>3375.4867509402075</v>
      </c>
      <c r="R134" s="17">
        <f t="shared" si="33"/>
        <v>3375.4867509402075</v>
      </c>
      <c r="S134" s="17">
        <f>'1 - Input'!$B$22*P134*R134</f>
        <v>274.03544828715189</v>
      </c>
      <c r="T134" s="17">
        <f t="shared" si="34"/>
        <v>3101.4513026530558</v>
      </c>
      <c r="U134" s="17">
        <f t="shared" si="35"/>
        <v>0</v>
      </c>
      <c r="V134" s="17">
        <f t="shared" si="36"/>
        <v>0</v>
      </c>
      <c r="W134" s="17">
        <f t="shared" si="37"/>
        <v>369588.64644631388</v>
      </c>
      <c r="X134" s="17">
        <f t="shared" si="38"/>
        <v>254186.04176721242</v>
      </c>
      <c r="Y134" s="17">
        <f>IF(MOD(A134,12)=0,W134*'1 - Input'!$B$23,0)</f>
        <v>0</v>
      </c>
      <c r="Z134" s="17">
        <f t="shared" si="39"/>
        <v>369588.64644631388</v>
      </c>
      <c r="AA134" s="17">
        <f>IF(MOD(A134,12)=0,X134*(1-'1 - Input'!$B$23),X134)</f>
        <v>254186.04176721242</v>
      </c>
      <c r="AB134" s="17">
        <f t="shared" si="40"/>
        <v>3101.4513026530558</v>
      </c>
      <c r="AC134" s="17">
        <f t="shared" si="44"/>
        <v>262580.94071040506</v>
      </c>
      <c r="AD134" s="17">
        <f t="shared" si="45"/>
        <v>0</v>
      </c>
      <c r="AE134" s="17">
        <f t="shared" si="46"/>
        <v>12412.058839344392</v>
      </c>
      <c r="AF134" s="17">
        <f t="shared" si="47"/>
        <v>0</v>
      </c>
      <c r="AG134" s="17">
        <f t="shared" si="48"/>
        <v>6090.9178160787769</v>
      </c>
      <c r="AH134" s="17">
        <f t="shared" si="49"/>
        <v>0</v>
      </c>
      <c r="AI134" s="15">
        <f t="shared" si="41"/>
        <v>0</v>
      </c>
    </row>
    <row r="135" spans="1:35">
      <c r="A135" s="14">
        <v>92</v>
      </c>
      <c r="B135" s="15">
        <f t="shared" si="25"/>
        <v>8</v>
      </c>
      <c r="C135" s="16">
        <f>(1+INDEX('1 - Input'!$B$34:$E$63,B135,'1 - Input'!$B$16))^(1/12)-1</f>
        <v>4.1219243192651689E-3</v>
      </c>
      <c r="D135" s="17">
        <f>'1 - Input'!$B$7*(1+'1 - Input'!$B$12)^(B135-1)</f>
        <v>3101.4513026530553</v>
      </c>
      <c r="E135" s="17">
        <f t="shared" si="42"/>
        <v>369588.64644631388</v>
      </c>
      <c r="F135" s="17">
        <f t="shared" si="43"/>
        <v>254186.04176721242</v>
      </c>
      <c r="G135" s="17">
        <f t="shared" si="26"/>
        <v>371112.06287622522</v>
      </c>
      <c r="H135" s="17">
        <f>0</f>
        <v>0</v>
      </c>
      <c r="I135" s="17">
        <f t="shared" si="27"/>
        <v>371112.06287622522</v>
      </c>
      <c r="J135" s="17">
        <f t="shared" si="28"/>
        <v>0</v>
      </c>
      <c r="K135" s="17">
        <f>'1 - Input'!$B$22*(H135-J135)</f>
        <v>0</v>
      </c>
      <c r="L135" s="17">
        <f t="shared" si="29"/>
        <v>0</v>
      </c>
      <c r="M135" s="17">
        <f t="shared" si="30"/>
        <v>254186.04176721242</v>
      </c>
      <c r="N135" s="17">
        <f>0</f>
        <v>0</v>
      </c>
      <c r="O135" s="17">
        <f t="shared" si="31"/>
        <v>3101.4513026530553</v>
      </c>
      <c r="P135" s="17">
        <f t="shared" si="32"/>
        <v>0.31506930872255268</v>
      </c>
      <c r="Q135" s="17">
        <f>IF(AND(O135&gt;0,I135&gt;0),O135/(1-'1 - Input'!$B$22*P135),0)</f>
        <v>3378.1855772378285</v>
      </c>
      <c r="R135" s="17">
        <f t="shared" si="33"/>
        <v>3378.1855772378285</v>
      </c>
      <c r="S135" s="17">
        <f>'1 - Input'!$B$22*P135*R135</f>
        <v>276.73427458477329</v>
      </c>
      <c r="T135" s="17">
        <f t="shared" si="34"/>
        <v>3101.4513026530553</v>
      </c>
      <c r="U135" s="17">
        <f t="shared" si="35"/>
        <v>0</v>
      </c>
      <c r="V135" s="17">
        <f t="shared" si="36"/>
        <v>0</v>
      </c>
      <c r="W135" s="17">
        <f t="shared" si="37"/>
        <v>367733.87729898741</v>
      </c>
      <c r="X135" s="17">
        <f t="shared" si="38"/>
        <v>251872.2187845314</v>
      </c>
      <c r="Y135" s="17">
        <f>IF(MOD(A135,12)=0,W135*'1 - Input'!$B$23,0)</f>
        <v>0</v>
      </c>
      <c r="Z135" s="17">
        <f t="shared" si="39"/>
        <v>367733.87729898741</v>
      </c>
      <c r="AA135" s="17">
        <f>IF(MOD(A135,12)=0,X135*(1-'1 - Input'!$B$23),X135)</f>
        <v>251872.2187845314</v>
      </c>
      <c r="AB135" s="17">
        <f t="shared" si="40"/>
        <v>3101.4513026530553</v>
      </c>
      <c r="AC135" s="17">
        <f t="shared" si="44"/>
        <v>265682.39201305812</v>
      </c>
      <c r="AD135" s="17">
        <f t="shared" si="45"/>
        <v>0</v>
      </c>
      <c r="AE135" s="17">
        <f t="shared" si="46"/>
        <v>12688.793113929165</v>
      </c>
      <c r="AF135" s="17">
        <f t="shared" si="47"/>
        <v>0</v>
      </c>
      <c r="AG135" s="17">
        <f t="shared" si="48"/>
        <v>6090.9178160787769</v>
      </c>
      <c r="AH135" s="17">
        <f t="shared" si="49"/>
        <v>0</v>
      </c>
      <c r="AI135" s="15">
        <f t="shared" si="41"/>
        <v>0</v>
      </c>
    </row>
    <row r="136" spans="1:35">
      <c r="A136" s="14">
        <v>93</v>
      </c>
      <c r="B136" s="15">
        <f t="shared" si="25"/>
        <v>8</v>
      </c>
      <c r="C136" s="16">
        <f>(1+INDEX('1 - Input'!$B$34:$E$63,B136,'1 - Input'!$B$16))^(1/12)-1</f>
        <v>4.1219243192651689E-3</v>
      </c>
      <c r="D136" s="17">
        <f>'1 - Input'!$B$7*(1+'1 - Input'!$B$12)^(B136-1)</f>
        <v>3101.4513026530553</v>
      </c>
      <c r="E136" s="17">
        <f t="shared" si="42"/>
        <v>367733.87729898741</v>
      </c>
      <c r="F136" s="17">
        <f t="shared" si="43"/>
        <v>251872.2187845314</v>
      </c>
      <c r="G136" s="17">
        <f t="shared" si="26"/>
        <v>369249.64851084381</v>
      </c>
      <c r="H136" s="17">
        <f>0</f>
        <v>0</v>
      </c>
      <c r="I136" s="17">
        <f t="shared" si="27"/>
        <v>369249.64851084381</v>
      </c>
      <c r="J136" s="17">
        <f t="shared" si="28"/>
        <v>0</v>
      </c>
      <c r="K136" s="17">
        <f>'1 - Input'!$B$22*(H136-J136)</f>
        <v>0</v>
      </c>
      <c r="L136" s="17">
        <f t="shared" si="29"/>
        <v>0</v>
      </c>
      <c r="M136" s="17">
        <f t="shared" si="30"/>
        <v>251872.2187845314</v>
      </c>
      <c r="N136" s="17">
        <f>0</f>
        <v>0</v>
      </c>
      <c r="O136" s="17">
        <f t="shared" si="31"/>
        <v>3101.4513026530553</v>
      </c>
      <c r="P136" s="17">
        <f t="shared" si="32"/>
        <v>0.31788095181589693</v>
      </c>
      <c r="Q136" s="17">
        <f>IF(AND(O136&gt;0,I136&gt;0),O136/(1-'1 - Input'!$B$22*P136),0)</f>
        <v>3380.8776173466076</v>
      </c>
      <c r="R136" s="17">
        <f t="shared" si="33"/>
        <v>3380.8776173466076</v>
      </c>
      <c r="S136" s="17">
        <f>'1 - Input'!$B$22*P136*R136</f>
        <v>279.4263146935524</v>
      </c>
      <c r="T136" s="17">
        <f t="shared" si="34"/>
        <v>3101.4513026530553</v>
      </c>
      <c r="U136" s="17">
        <f t="shared" si="35"/>
        <v>0</v>
      </c>
      <c r="V136" s="17">
        <f t="shared" si="36"/>
        <v>0</v>
      </c>
      <c r="W136" s="17">
        <f t="shared" si="37"/>
        <v>365868.77089349722</v>
      </c>
      <c r="X136" s="17">
        <f t="shared" si="38"/>
        <v>249566.05776216</v>
      </c>
      <c r="Y136" s="17">
        <f>IF(MOD(A136,12)=0,W136*'1 - Input'!$B$23,0)</f>
        <v>0</v>
      </c>
      <c r="Z136" s="17">
        <f t="shared" si="39"/>
        <v>365868.77089349722</v>
      </c>
      <c r="AA136" s="17">
        <f>IF(MOD(A136,12)=0,X136*(1-'1 - Input'!$B$23),X136)</f>
        <v>249566.05776216</v>
      </c>
      <c r="AB136" s="17">
        <f t="shared" si="40"/>
        <v>3101.4513026530553</v>
      </c>
      <c r="AC136" s="17">
        <f t="shared" si="44"/>
        <v>268783.84331571119</v>
      </c>
      <c r="AD136" s="17">
        <f t="shared" si="45"/>
        <v>0</v>
      </c>
      <c r="AE136" s="17">
        <f t="shared" si="46"/>
        <v>12968.219428622717</v>
      </c>
      <c r="AF136" s="17">
        <f t="shared" si="47"/>
        <v>0</v>
      </c>
      <c r="AG136" s="17">
        <f t="shared" si="48"/>
        <v>6090.9178160787769</v>
      </c>
      <c r="AH136" s="17">
        <f t="shared" si="49"/>
        <v>0</v>
      </c>
      <c r="AI136" s="15">
        <f t="shared" si="41"/>
        <v>0</v>
      </c>
    </row>
    <row r="137" spans="1:35">
      <c r="A137" s="14">
        <v>94</v>
      </c>
      <c r="B137" s="15">
        <f t="shared" si="25"/>
        <v>8</v>
      </c>
      <c r="C137" s="16">
        <f>(1+INDEX('1 - Input'!$B$34:$E$63,B137,'1 - Input'!$B$16))^(1/12)-1</f>
        <v>4.1219243192651689E-3</v>
      </c>
      <c r="D137" s="17">
        <f>'1 - Input'!$B$7*(1+'1 - Input'!$B$12)^(B137-1)</f>
        <v>3101.4513026530553</v>
      </c>
      <c r="E137" s="17">
        <f t="shared" si="42"/>
        <v>365868.77089349722</v>
      </c>
      <c r="F137" s="17">
        <f t="shared" si="43"/>
        <v>249566.05776216</v>
      </c>
      <c r="G137" s="17">
        <f t="shared" si="26"/>
        <v>367376.85427790281</v>
      </c>
      <c r="H137" s="17">
        <f>0</f>
        <v>0</v>
      </c>
      <c r="I137" s="17">
        <f t="shared" si="27"/>
        <v>367376.85427790281</v>
      </c>
      <c r="J137" s="17">
        <f t="shared" si="28"/>
        <v>0</v>
      </c>
      <c r="K137" s="17">
        <f>'1 - Input'!$B$22*(H137-J137)</f>
        <v>0</v>
      </c>
      <c r="L137" s="17">
        <f t="shared" si="29"/>
        <v>0</v>
      </c>
      <c r="M137" s="17">
        <f t="shared" si="30"/>
        <v>249566.05776216</v>
      </c>
      <c r="N137" s="17">
        <f>0</f>
        <v>0</v>
      </c>
      <c r="O137" s="17">
        <f t="shared" si="31"/>
        <v>3101.4513026530553</v>
      </c>
      <c r="P137" s="17">
        <f t="shared" si="32"/>
        <v>0.3206810531036467</v>
      </c>
      <c r="Q137" s="17">
        <f>IF(AND(O137&gt;0,I137&gt;0),O137/(1-'1 - Input'!$B$22*P137),0)</f>
        <v>3383.5628741407372</v>
      </c>
      <c r="R137" s="17">
        <f t="shared" si="33"/>
        <v>3383.5628741407372</v>
      </c>
      <c r="S137" s="17">
        <f>'1 - Input'!$B$22*P137*R137</f>
        <v>282.11157148768183</v>
      </c>
      <c r="T137" s="17">
        <f t="shared" si="34"/>
        <v>3101.4513026530553</v>
      </c>
      <c r="U137" s="17">
        <f t="shared" si="35"/>
        <v>0</v>
      </c>
      <c r="V137" s="17">
        <f t="shared" si="36"/>
        <v>0</v>
      </c>
      <c r="W137" s="17">
        <f t="shared" si="37"/>
        <v>363993.29140376206</v>
      </c>
      <c r="X137" s="17">
        <f t="shared" si="38"/>
        <v>247267.53939374111</v>
      </c>
      <c r="Y137" s="17">
        <f>IF(MOD(A137,12)=0,W137*'1 - Input'!$B$23,0)</f>
        <v>0</v>
      </c>
      <c r="Z137" s="17">
        <f t="shared" si="39"/>
        <v>363993.29140376206</v>
      </c>
      <c r="AA137" s="17">
        <f>IF(MOD(A137,12)=0,X137*(1-'1 - Input'!$B$23),X137)</f>
        <v>247267.53939374111</v>
      </c>
      <c r="AB137" s="17">
        <f t="shared" si="40"/>
        <v>3101.4513026530553</v>
      </c>
      <c r="AC137" s="17">
        <f t="shared" si="44"/>
        <v>271885.29461836425</v>
      </c>
      <c r="AD137" s="17">
        <f t="shared" si="45"/>
        <v>0</v>
      </c>
      <c r="AE137" s="17">
        <f t="shared" si="46"/>
        <v>13250.331000110398</v>
      </c>
      <c r="AF137" s="17">
        <f t="shared" si="47"/>
        <v>0</v>
      </c>
      <c r="AG137" s="17">
        <f t="shared" si="48"/>
        <v>6090.9178160787769</v>
      </c>
      <c r="AH137" s="17">
        <f t="shared" si="49"/>
        <v>0</v>
      </c>
      <c r="AI137" s="15">
        <f t="shared" si="41"/>
        <v>0</v>
      </c>
    </row>
    <row r="138" spans="1:35">
      <c r="A138" s="14">
        <v>95</v>
      </c>
      <c r="B138" s="15">
        <f t="shared" si="25"/>
        <v>8</v>
      </c>
      <c r="C138" s="16">
        <f>(1+INDEX('1 - Input'!$B$34:$E$63,B138,'1 - Input'!$B$16))^(1/12)-1</f>
        <v>4.1219243192651689E-3</v>
      </c>
      <c r="D138" s="17">
        <f>'1 - Input'!$B$7*(1+'1 - Input'!$B$12)^(B138-1)</f>
        <v>3101.4513026530553</v>
      </c>
      <c r="E138" s="17">
        <f t="shared" si="42"/>
        <v>363993.29140376206</v>
      </c>
      <c r="F138" s="17">
        <f t="shared" si="43"/>
        <v>247267.53939374111</v>
      </c>
      <c r="G138" s="17">
        <f t="shared" si="26"/>
        <v>365493.64420364861</v>
      </c>
      <c r="H138" s="17">
        <f>0</f>
        <v>0</v>
      </c>
      <c r="I138" s="17">
        <f t="shared" si="27"/>
        <v>365493.64420364861</v>
      </c>
      <c r="J138" s="17">
        <f t="shared" si="28"/>
        <v>0</v>
      </c>
      <c r="K138" s="17">
        <f>'1 - Input'!$B$22*(H138-J138)</f>
        <v>0</v>
      </c>
      <c r="L138" s="17">
        <f t="shared" si="29"/>
        <v>0</v>
      </c>
      <c r="M138" s="17">
        <f t="shared" si="30"/>
        <v>247267.53939374111</v>
      </c>
      <c r="N138" s="17">
        <f>0</f>
        <v>0</v>
      </c>
      <c r="O138" s="17">
        <f t="shared" si="31"/>
        <v>3101.4513026530553</v>
      </c>
      <c r="P138" s="17">
        <f t="shared" si="32"/>
        <v>0.3234696599649578</v>
      </c>
      <c r="Q138" s="17">
        <f>IF(AND(O138&gt;0,I138&gt;0),O138/(1-'1 - Input'!$B$22*P138),0)</f>
        <v>3386.241350594431</v>
      </c>
      <c r="R138" s="17">
        <f t="shared" si="33"/>
        <v>3386.241350594431</v>
      </c>
      <c r="S138" s="17">
        <f>'1 - Input'!$B$22*P138*R138</f>
        <v>284.79004794137558</v>
      </c>
      <c r="T138" s="17">
        <f t="shared" si="34"/>
        <v>3101.4513026530553</v>
      </c>
      <c r="U138" s="17">
        <f t="shared" si="35"/>
        <v>0</v>
      </c>
      <c r="V138" s="17">
        <f t="shared" si="36"/>
        <v>0</v>
      </c>
      <c r="W138" s="17">
        <f t="shared" si="37"/>
        <v>362107.40285305417</v>
      </c>
      <c r="X138" s="17">
        <f t="shared" si="38"/>
        <v>244976.64438138274</v>
      </c>
      <c r="Y138" s="17">
        <f>IF(MOD(A138,12)=0,W138*'1 - Input'!$B$23,0)</f>
        <v>0</v>
      </c>
      <c r="Z138" s="17">
        <f t="shared" si="39"/>
        <v>362107.40285305417</v>
      </c>
      <c r="AA138" s="17">
        <f>IF(MOD(A138,12)=0,X138*(1-'1 - Input'!$B$23),X138)</f>
        <v>244976.64438138274</v>
      </c>
      <c r="AB138" s="17">
        <f t="shared" si="40"/>
        <v>3101.4513026530553</v>
      </c>
      <c r="AC138" s="17">
        <f t="shared" si="44"/>
        <v>274986.74592101731</v>
      </c>
      <c r="AD138" s="17">
        <f t="shared" si="45"/>
        <v>0</v>
      </c>
      <c r="AE138" s="17">
        <f t="shared" si="46"/>
        <v>13535.121048051773</v>
      </c>
      <c r="AF138" s="17">
        <f t="shared" si="47"/>
        <v>0</v>
      </c>
      <c r="AG138" s="17">
        <f t="shared" si="48"/>
        <v>6090.9178160787769</v>
      </c>
      <c r="AH138" s="17">
        <f t="shared" si="49"/>
        <v>0</v>
      </c>
      <c r="AI138" s="15">
        <f t="shared" si="41"/>
        <v>0</v>
      </c>
    </row>
    <row r="139" spans="1:35">
      <c r="A139" s="14">
        <v>96</v>
      </c>
      <c r="B139" s="15">
        <f t="shared" si="25"/>
        <v>8</v>
      </c>
      <c r="C139" s="16">
        <f>(1+INDEX('1 - Input'!$B$34:$E$63,B139,'1 - Input'!$B$16))^(1/12)-1</f>
        <v>4.1219243192651689E-3</v>
      </c>
      <c r="D139" s="17">
        <f>'1 - Input'!$B$7*(1+'1 - Input'!$B$12)^(B139-1)</f>
        <v>3101.4513026530553</v>
      </c>
      <c r="E139" s="17">
        <f t="shared" si="42"/>
        <v>362107.40285305417</v>
      </c>
      <c r="F139" s="17">
        <f t="shared" si="43"/>
        <v>244976.64438138274</v>
      </c>
      <c r="G139" s="17">
        <f t="shared" si="26"/>
        <v>363599.98216306011</v>
      </c>
      <c r="H139" s="17">
        <f>0</f>
        <v>0</v>
      </c>
      <c r="I139" s="17">
        <f t="shared" si="27"/>
        <v>363599.98216306011</v>
      </c>
      <c r="J139" s="17">
        <f t="shared" si="28"/>
        <v>0</v>
      </c>
      <c r="K139" s="17">
        <f>'1 - Input'!$B$22*(H139-J139)</f>
        <v>0</v>
      </c>
      <c r="L139" s="17">
        <f t="shared" si="29"/>
        <v>0</v>
      </c>
      <c r="M139" s="17">
        <f t="shared" si="30"/>
        <v>244976.64438138274</v>
      </c>
      <c r="N139" s="17">
        <f>0</f>
        <v>0</v>
      </c>
      <c r="O139" s="17">
        <f t="shared" si="31"/>
        <v>3101.4513026530553</v>
      </c>
      <c r="P139" s="17">
        <f t="shared" si="32"/>
        <v>0.32624681958449475</v>
      </c>
      <c r="Q139" s="17">
        <f>IF(AND(O139&gt;0,I139&gt;0),O139/(1-'1 - Input'!$B$22*P139),0)</f>
        <v>3388.9130497813389</v>
      </c>
      <c r="R139" s="17">
        <f t="shared" si="33"/>
        <v>3388.9130497813389</v>
      </c>
      <c r="S139" s="17">
        <f>'1 - Input'!$B$22*P139*R139</f>
        <v>287.46174712828366</v>
      </c>
      <c r="T139" s="17">
        <f t="shared" si="34"/>
        <v>3101.4513026530553</v>
      </c>
      <c r="U139" s="17">
        <f t="shared" si="35"/>
        <v>0</v>
      </c>
      <c r="V139" s="17">
        <f t="shared" si="36"/>
        <v>0</v>
      </c>
      <c r="W139" s="17">
        <f t="shared" si="37"/>
        <v>360211.06911327876</v>
      </c>
      <c r="X139" s="17">
        <f t="shared" si="38"/>
        <v>242693.35343594092</v>
      </c>
      <c r="Y139" s="17">
        <f>IF(MOD(A139,12)=0,W139*'1 - Input'!$B$23,0)</f>
        <v>720.42213822655754</v>
      </c>
      <c r="Z139" s="17">
        <f t="shared" si="39"/>
        <v>359490.64697505219</v>
      </c>
      <c r="AA139" s="17">
        <f>IF(MOD(A139,12)=0,X139*(1-'1 - Input'!$B$23),X139)</f>
        <v>242207.96672906904</v>
      </c>
      <c r="AB139" s="17">
        <f t="shared" si="40"/>
        <v>3101.4513026530553</v>
      </c>
      <c r="AC139" s="17">
        <f t="shared" si="44"/>
        <v>278088.19722367037</v>
      </c>
      <c r="AD139" s="17">
        <f t="shared" si="45"/>
        <v>0</v>
      </c>
      <c r="AE139" s="17">
        <f t="shared" si="46"/>
        <v>13822.582795180057</v>
      </c>
      <c r="AF139" s="17">
        <f t="shared" si="47"/>
        <v>0</v>
      </c>
      <c r="AG139" s="17">
        <f t="shared" si="48"/>
        <v>6811.3399543053347</v>
      </c>
      <c r="AH139" s="17">
        <f t="shared" si="49"/>
        <v>0</v>
      </c>
      <c r="AI139" s="15">
        <f t="shared" si="41"/>
        <v>0</v>
      </c>
    </row>
    <row r="140" spans="1:35">
      <c r="A140" s="14">
        <v>97</v>
      </c>
      <c r="B140" s="15">
        <f t="shared" si="25"/>
        <v>9</v>
      </c>
      <c r="C140" s="16">
        <f>(1+INDEX('1 - Input'!$B$34:$E$63,B140,'1 - Input'!$B$16))^(1/12)-1</f>
        <v>4.1219243192651689E-3</v>
      </c>
      <c r="D140" s="17">
        <f>'1 - Input'!$B$7*(1+'1 - Input'!$B$12)^(B140-1)</f>
        <v>3163.4803287061168</v>
      </c>
      <c r="E140" s="17">
        <f t="shared" si="42"/>
        <v>359490.64697505219</v>
      </c>
      <c r="F140" s="17">
        <f t="shared" si="43"/>
        <v>242207.96672906904</v>
      </c>
      <c r="G140" s="17">
        <f t="shared" si="26"/>
        <v>360972.44021536701</v>
      </c>
      <c r="H140" s="17">
        <f>0</f>
        <v>0</v>
      </c>
      <c r="I140" s="17">
        <f t="shared" si="27"/>
        <v>360972.44021536701</v>
      </c>
      <c r="J140" s="17">
        <f t="shared" si="28"/>
        <v>0</v>
      </c>
      <c r="K140" s="17">
        <f>'1 - Input'!$B$22*(H140-J140)</f>
        <v>0</v>
      </c>
      <c r="L140" s="17">
        <f t="shared" si="29"/>
        <v>0</v>
      </c>
      <c r="M140" s="17">
        <f t="shared" si="30"/>
        <v>242207.96672906904</v>
      </c>
      <c r="N140" s="17">
        <f>0</f>
        <v>0</v>
      </c>
      <c r="O140" s="17">
        <f t="shared" si="31"/>
        <v>3163.4803287061168</v>
      </c>
      <c r="P140" s="17">
        <f t="shared" si="32"/>
        <v>0.32901257895322844</v>
      </c>
      <c r="Q140" s="17">
        <f>IF(AND(O140&gt;0,I140&gt;0),O140/(1-'1 - Input'!$B$22*P140),0)</f>
        <v>3459.4095343714398</v>
      </c>
      <c r="R140" s="17">
        <f t="shared" si="33"/>
        <v>3459.4095343714398</v>
      </c>
      <c r="S140" s="17">
        <f>'1 - Input'!$B$22*P140*R140</f>
        <v>295.92920566532302</v>
      </c>
      <c r="T140" s="17">
        <f t="shared" si="34"/>
        <v>3163.4803287061168</v>
      </c>
      <c r="U140" s="17">
        <f t="shared" si="35"/>
        <v>0</v>
      </c>
      <c r="V140" s="17">
        <f t="shared" si="36"/>
        <v>0</v>
      </c>
      <c r="W140" s="17">
        <f t="shared" si="37"/>
        <v>357513.03068099555</v>
      </c>
      <c r="X140" s="17">
        <f t="shared" si="38"/>
        <v>239886.74644725653</v>
      </c>
      <c r="Y140" s="17">
        <f>IF(MOD(A140,12)=0,W140*'1 - Input'!$B$23,0)</f>
        <v>0</v>
      </c>
      <c r="Z140" s="17">
        <f t="shared" si="39"/>
        <v>357513.03068099555</v>
      </c>
      <c r="AA140" s="17">
        <f>IF(MOD(A140,12)=0,X140*(1-'1 - Input'!$B$23),X140)</f>
        <v>239886.74644725653</v>
      </c>
      <c r="AB140" s="17">
        <f t="shared" si="40"/>
        <v>3163.4803287061168</v>
      </c>
      <c r="AC140" s="17">
        <f t="shared" si="44"/>
        <v>281251.67755237647</v>
      </c>
      <c r="AD140" s="17">
        <f t="shared" si="45"/>
        <v>0</v>
      </c>
      <c r="AE140" s="17">
        <f t="shared" si="46"/>
        <v>14118.51200084538</v>
      </c>
      <c r="AF140" s="17">
        <f t="shared" si="47"/>
        <v>0</v>
      </c>
      <c r="AG140" s="17">
        <f t="shared" si="48"/>
        <v>6811.3399543053347</v>
      </c>
      <c r="AH140" s="17">
        <f t="shared" si="49"/>
        <v>0</v>
      </c>
      <c r="AI140" s="15">
        <f t="shared" si="41"/>
        <v>0</v>
      </c>
    </row>
    <row r="141" spans="1:35">
      <c r="A141" s="14">
        <v>98</v>
      </c>
      <c r="B141" s="15">
        <f t="shared" si="25"/>
        <v>9</v>
      </c>
      <c r="C141" s="16">
        <f>(1+INDEX('1 - Input'!$B$34:$E$63,B141,'1 - Input'!$B$16))^(1/12)-1</f>
        <v>4.1219243192651689E-3</v>
      </c>
      <c r="D141" s="17">
        <f>'1 - Input'!$B$7*(1+'1 - Input'!$B$12)^(B141-1)</f>
        <v>3163.4803287061168</v>
      </c>
      <c r="E141" s="17">
        <f t="shared" si="42"/>
        <v>357513.03068099555</v>
      </c>
      <c r="F141" s="17">
        <f t="shared" si="43"/>
        <v>239886.74644725653</v>
      </c>
      <c r="G141" s="17">
        <f t="shared" si="26"/>
        <v>358986.67233661376</v>
      </c>
      <c r="H141" s="17">
        <f>0</f>
        <v>0</v>
      </c>
      <c r="I141" s="17">
        <f t="shared" si="27"/>
        <v>358986.67233661376</v>
      </c>
      <c r="J141" s="17">
        <f t="shared" si="28"/>
        <v>0</v>
      </c>
      <c r="K141" s="17">
        <f>'1 - Input'!$B$22*(H141-J141)</f>
        <v>0</v>
      </c>
      <c r="L141" s="17">
        <f t="shared" si="29"/>
        <v>0</v>
      </c>
      <c r="M141" s="17">
        <f t="shared" si="30"/>
        <v>239886.74644725653</v>
      </c>
      <c r="N141" s="17">
        <f>0</f>
        <v>0</v>
      </c>
      <c r="O141" s="17">
        <f t="shared" si="31"/>
        <v>3163.4803287061168</v>
      </c>
      <c r="P141" s="17">
        <f t="shared" si="32"/>
        <v>0.33176698486923184</v>
      </c>
      <c r="Q141" s="17">
        <f>IF(AND(O141&gt;0,I141&gt;0),O141/(1-'1 - Input'!$B$22*P141),0)</f>
        <v>3462.1208517259179</v>
      </c>
      <c r="R141" s="17">
        <f t="shared" si="33"/>
        <v>3462.1208517259179</v>
      </c>
      <c r="S141" s="17">
        <f>'1 - Input'!$B$22*P141*R141</f>
        <v>298.64052301980121</v>
      </c>
      <c r="T141" s="17">
        <f t="shared" si="34"/>
        <v>3163.4803287061168</v>
      </c>
      <c r="U141" s="17">
        <f t="shared" si="35"/>
        <v>0</v>
      </c>
      <c r="V141" s="17">
        <f t="shared" si="36"/>
        <v>0</v>
      </c>
      <c r="W141" s="17">
        <f t="shared" si="37"/>
        <v>355524.55148488784</v>
      </c>
      <c r="X141" s="17">
        <f t="shared" si="38"/>
        <v>237573.24299176064</v>
      </c>
      <c r="Y141" s="17">
        <f>IF(MOD(A141,12)=0,W141*'1 - Input'!$B$23,0)</f>
        <v>0</v>
      </c>
      <c r="Z141" s="17">
        <f t="shared" si="39"/>
        <v>355524.55148488784</v>
      </c>
      <c r="AA141" s="17">
        <f>IF(MOD(A141,12)=0,X141*(1-'1 - Input'!$B$23),X141)</f>
        <v>237573.24299176064</v>
      </c>
      <c r="AB141" s="17">
        <f t="shared" si="40"/>
        <v>3163.4803287061168</v>
      </c>
      <c r="AC141" s="17">
        <f t="shared" si="44"/>
        <v>284415.15788108256</v>
      </c>
      <c r="AD141" s="17">
        <f t="shared" si="45"/>
        <v>0</v>
      </c>
      <c r="AE141" s="17">
        <f t="shared" si="46"/>
        <v>14417.152523865181</v>
      </c>
      <c r="AF141" s="17">
        <f t="shared" si="47"/>
        <v>0</v>
      </c>
      <c r="AG141" s="17">
        <f t="shared" si="48"/>
        <v>6811.3399543053347</v>
      </c>
      <c r="AH141" s="17">
        <f t="shared" si="49"/>
        <v>0</v>
      </c>
      <c r="AI141" s="15">
        <f t="shared" si="41"/>
        <v>0</v>
      </c>
    </row>
    <row r="142" spans="1:35">
      <c r="A142" s="14">
        <v>99</v>
      </c>
      <c r="B142" s="15">
        <f t="shared" si="25"/>
        <v>9</v>
      </c>
      <c r="C142" s="16">
        <f>(1+INDEX('1 - Input'!$B$34:$E$63,B142,'1 - Input'!$B$16))^(1/12)-1</f>
        <v>4.1219243192651689E-3</v>
      </c>
      <c r="D142" s="17">
        <f>'1 - Input'!$B$7*(1+'1 - Input'!$B$12)^(B142-1)</f>
        <v>3163.4803287061168</v>
      </c>
      <c r="E142" s="17">
        <f t="shared" si="42"/>
        <v>355524.55148488784</v>
      </c>
      <c r="F142" s="17">
        <f t="shared" si="43"/>
        <v>237573.24299176064</v>
      </c>
      <c r="G142" s="17">
        <f t="shared" si="26"/>
        <v>356989.99677974923</v>
      </c>
      <c r="H142" s="17">
        <f>0</f>
        <v>0</v>
      </c>
      <c r="I142" s="17">
        <f t="shared" si="27"/>
        <v>356989.99677974923</v>
      </c>
      <c r="J142" s="17">
        <f t="shared" si="28"/>
        <v>0</v>
      </c>
      <c r="K142" s="17">
        <f>'1 - Input'!$B$22*(H142-J142)</f>
        <v>0</v>
      </c>
      <c r="L142" s="17">
        <f t="shared" si="29"/>
        <v>0</v>
      </c>
      <c r="M142" s="17">
        <f t="shared" si="30"/>
        <v>237573.24299176064</v>
      </c>
      <c r="N142" s="17">
        <f>0</f>
        <v>0</v>
      </c>
      <c r="O142" s="17">
        <f t="shared" si="31"/>
        <v>3163.4803287061168</v>
      </c>
      <c r="P142" s="17">
        <f t="shared" si="32"/>
        <v>0.33451008393847148</v>
      </c>
      <c r="Q142" s="17">
        <f>IF(AND(O142&gt;0,I142&gt;0),O142/(1-'1 - Input'!$B$22*P142),0)</f>
        <v>3464.8252662762061</v>
      </c>
      <c r="R142" s="17">
        <f t="shared" si="33"/>
        <v>3464.8252662762061</v>
      </c>
      <c r="S142" s="17">
        <f>'1 - Input'!$B$22*P142*R142</f>
        <v>301.34493757008954</v>
      </c>
      <c r="T142" s="17">
        <f t="shared" si="34"/>
        <v>3163.4803287061168</v>
      </c>
      <c r="U142" s="17">
        <f t="shared" si="35"/>
        <v>0</v>
      </c>
      <c r="V142" s="17">
        <f t="shared" si="36"/>
        <v>0</v>
      </c>
      <c r="W142" s="17">
        <f t="shared" si="37"/>
        <v>353525.17151347303</v>
      </c>
      <c r="X142" s="17">
        <f t="shared" si="38"/>
        <v>235267.43671613862</v>
      </c>
      <c r="Y142" s="17">
        <f>IF(MOD(A142,12)=0,W142*'1 - Input'!$B$23,0)</f>
        <v>0</v>
      </c>
      <c r="Z142" s="17">
        <f t="shared" si="39"/>
        <v>353525.17151347303</v>
      </c>
      <c r="AA142" s="17">
        <f>IF(MOD(A142,12)=0,X142*(1-'1 - Input'!$B$23),X142)</f>
        <v>235267.43671613862</v>
      </c>
      <c r="AB142" s="17">
        <f t="shared" si="40"/>
        <v>3163.4803287061168</v>
      </c>
      <c r="AC142" s="17">
        <f t="shared" si="44"/>
        <v>287578.63820978865</v>
      </c>
      <c r="AD142" s="17">
        <f t="shared" si="45"/>
        <v>0</v>
      </c>
      <c r="AE142" s="17">
        <f t="shared" si="46"/>
        <v>14718.49746143527</v>
      </c>
      <c r="AF142" s="17">
        <f t="shared" si="47"/>
        <v>0</v>
      </c>
      <c r="AG142" s="17">
        <f t="shared" si="48"/>
        <v>6811.3399543053347</v>
      </c>
      <c r="AH142" s="17">
        <f t="shared" si="49"/>
        <v>0</v>
      </c>
      <c r="AI142" s="15">
        <f t="shared" si="41"/>
        <v>0</v>
      </c>
    </row>
    <row r="143" spans="1:35">
      <c r="A143" s="14">
        <v>100</v>
      </c>
      <c r="B143" s="15">
        <f t="shared" si="25"/>
        <v>9</v>
      </c>
      <c r="C143" s="16">
        <f>(1+INDEX('1 - Input'!$B$34:$E$63,B143,'1 - Input'!$B$16))^(1/12)-1</f>
        <v>4.1219243192651689E-3</v>
      </c>
      <c r="D143" s="17">
        <f>'1 - Input'!$B$7*(1+'1 - Input'!$B$12)^(B143-1)</f>
        <v>3163.4803287061168</v>
      </c>
      <c r="E143" s="17">
        <f t="shared" si="42"/>
        <v>353525.17151347303</v>
      </c>
      <c r="F143" s="17">
        <f t="shared" si="43"/>
        <v>235267.43671613862</v>
      </c>
      <c r="G143" s="17">
        <f t="shared" si="26"/>
        <v>354982.37551540683</v>
      </c>
      <c r="H143" s="17">
        <f>0</f>
        <v>0</v>
      </c>
      <c r="I143" s="17">
        <f t="shared" si="27"/>
        <v>354982.37551540683</v>
      </c>
      <c r="J143" s="17">
        <f t="shared" si="28"/>
        <v>0</v>
      </c>
      <c r="K143" s="17">
        <f>'1 - Input'!$B$22*(H143-J143)</f>
        <v>0</v>
      </c>
      <c r="L143" s="17">
        <f t="shared" si="29"/>
        <v>0</v>
      </c>
      <c r="M143" s="17">
        <f t="shared" si="30"/>
        <v>235267.43671613862</v>
      </c>
      <c r="N143" s="17">
        <f>0</f>
        <v>0</v>
      </c>
      <c r="O143" s="17">
        <f t="shared" si="31"/>
        <v>3163.4803287061168</v>
      </c>
      <c r="P143" s="17">
        <f t="shared" si="32"/>
        <v>0.33724192257559671</v>
      </c>
      <c r="Q143" s="17">
        <f>IF(AND(O143&gt;0,I143&gt;0),O143/(1-'1 - Input'!$B$22*P143),0)</f>
        <v>3467.5227815571398</v>
      </c>
      <c r="R143" s="17">
        <f t="shared" si="33"/>
        <v>3467.5227815571398</v>
      </c>
      <c r="S143" s="17">
        <f>'1 - Input'!$B$22*P143*R143</f>
        <v>304.0424528510228</v>
      </c>
      <c r="T143" s="17">
        <f t="shared" si="34"/>
        <v>3163.4803287061168</v>
      </c>
      <c r="U143" s="17">
        <f t="shared" si="35"/>
        <v>0</v>
      </c>
      <c r="V143" s="17">
        <f t="shared" si="36"/>
        <v>0</v>
      </c>
      <c r="W143" s="17">
        <f t="shared" si="37"/>
        <v>351514.85273384972</v>
      </c>
      <c r="X143" s="17">
        <f t="shared" si="38"/>
        <v>232969.30798400848</v>
      </c>
      <c r="Y143" s="17">
        <f>IF(MOD(A143,12)=0,W143*'1 - Input'!$B$23,0)</f>
        <v>0</v>
      </c>
      <c r="Z143" s="17">
        <f t="shared" si="39"/>
        <v>351514.85273384972</v>
      </c>
      <c r="AA143" s="17">
        <f>IF(MOD(A143,12)=0,X143*(1-'1 - Input'!$B$23),X143)</f>
        <v>232969.30798400848</v>
      </c>
      <c r="AB143" s="17">
        <f t="shared" si="40"/>
        <v>3163.4803287061168</v>
      </c>
      <c r="AC143" s="17">
        <f t="shared" si="44"/>
        <v>290742.11853849475</v>
      </c>
      <c r="AD143" s="17">
        <f t="shared" si="45"/>
        <v>0</v>
      </c>
      <c r="AE143" s="17">
        <f t="shared" si="46"/>
        <v>15022.539914286293</v>
      </c>
      <c r="AF143" s="17">
        <f t="shared" si="47"/>
        <v>0</v>
      </c>
      <c r="AG143" s="17">
        <f t="shared" si="48"/>
        <v>6811.3399543053347</v>
      </c>
      <c r="AH143" s="17">
        <f t="shared" si="49"/>
        <v>0</v>
      </c>
      <c r="AI143" s="15">
        <f t="shared" si="41"/>
        <v>0</v>
      </c>
    </row>
    <row r="144" spans="1:35">
      <c r="A144" s="14">
        <v>101</v>
      </c>
      <c r="B144" s="15">
        <f t="shared" si="25"/>
        <v>9</v>
      </c>
      <c r="C144" s="16">
        <f>(1+INDEX('1 - Input'!$B$34:$E$63,B144,'1 - Input'!$B$16))^(1/12)-1</f>
        <v>4.1219243192651689E-3</v>
      </c>
      <c r="D144" s="17">
        <f>'1 - Input'!$B$7*(1+'1 - Input'!$B$12)^(B144-1)</f>
        <v>3163.4803287061168</v>
      </c>
      <c r="E144" s="17">
        <f t="shared" si="42"/>
        <v>351514.85273384972</v>
      </c>
      <c r="F144" s="17">
        <f t="shared" si="43"/>
        <v>232969.30798400848</v>
      </c>
      <c r="G144" s="17">
        <f t="shared" si="26"/>
        <v>352963.77035391628</v>
      </c>
      <c r="H144" s="17">
        <f>0</f>
        <v>0</v>
      </c>
      <c r="I144" s="17">
        <f t="shared" si="27"/>
        <v>352963.77035391628</v>
      </c>
      <c r="J144" s="17">
        <f t="shared" si="28"/>
        <v>0</v>
      </c>
      <c r="K144" s="17">
        <f>'1 - Input'!$B$22*(H144-J144)</f>
        <v>0</v>
      </c>
      <c r="L144" s="17">
        <f t="shared" si="29"/>
        <v>0</v>
      </c>
      <c r="M144" s="17">
        <f t="shared" si="30"/>
        <v>232969.30798400848</v>
      </c>
      <c r="N144" s="17">
        <f>0</f>
        <v>0</v>
      </c>
      <c r="O144" s="17">
        <f t="shared" si="31"/>
        <v>3163.4803287061168</v>
      </c>
      <c r="P144" s="17">
        <f t="shared" si="32"/>
        <v>0.33996254700472384</v>
      </c>
      <c r="Q144" s="17">
        <f>IF(AND(O144&gt;0,I144&gt;0),O144/(1-'1 - Input'!$B$22*P144),0)</f>
        <v>3470.2134012019801</v>
      </c>
      <c r="R144" s="17">
        <f t="shared" si="33"/>
        <v>3470.2134012019801</v>
      </c>
      <c r="S144" s="17">
        <f>'1 - Input'!$B$22*P144*R144</f>
        <v>306.73307249586321</v>
      </c>
      <c r="T144" s="17">
        <f t="shared" si="34"/>
        <v>3163.4803287061168</v>
      </c>
      <c r="U144" s="17">
        <f t="shared" si="35"/>
        <v>0</v>
      </c>
      <c r="V144" s="17">
        <f t="shared" si="36"/>
        <v>0</v>
      </c>
      <c r="W144" s="17">
        <f t="shared" si="37"/>
        <v>349493.55695271428</v>
      </c>
      <c r="X144" s="17">
        <f t="shared" si="38"/>
        <v>230678.83716932905</v>
      </c>
      <c r="Y144" s="17">
        <f>IF(MOD(A144,12)=0,W144*'1 - Input'!$B$23,0)</f>
        <v>0</v>
      </c>
      <c r="Z144" s="17">
        <f t="shared" si="39"/>
        <v>349493.55695271428</v>
      </c>
      <c r="AA144" s="17">
        <f>IF(MOD(A144,12)=0,X144*(1-'1 - Input'!$B$23),X144)</f>
        <v>230678.83716932905</v>
      </c>
      <c r="AB144" s="17">
        <f t="shared" si="40"/>
        <v>3163.4803287061168</v>
      </c>
      <c r="AC144" s="17">
        <f t="shared" si="44"/>
        <v>293905.59886720084</v>
      </c>
      <c r="AD144" s="17">
        <f t="shared" si="45"/>
        <v>0</v>
      </c>
      <c r="AE144" s="17">
        <f t="shared" si="46"/>
        <v>15329.272986782156</v>
      </c>
      <c r="AF144" s="17">
        <f t="shared" si="47"/>
        <v>0</v>
      </c>
      <c r="AG144" s="17">
        <f t="shared" si="48"/>
        <v>6811.3399543053347</v>
      </c>
      <c r="AH144" s="17">
        <f t="shared" si="49"/>
        <v>0</v>
      </c>
      <c r="AI144" s="15">
        <f t="shared" si="41"/>
        <v>0</v>
      </c>
    </row>
    <row r="145" spans="1:35">
      <c r="A145" s="14">
        <v>102</v>
      </c>
      <c r="B145" s="15">
        <f t="shared" si="25"/>
        <v>9</v>
      </c>
      <c r="C145" s="16">
        <f>(1+INDEX('1 - Input'!$B$34:$E$63,B145,'1 - Input'!$B$16))^(1/12)-1</f>
        <v>4.1219243192651689E-3</v>
      </c>
      <c r="D145" s="17">
        <f>'1 - Input'!$B$7*(1+'1 - Input'!$B$12)^(B145-1)</f>
        <v>3163.4803287061168</v>
      </c>
      <c r="E145" s="17">
        <f t="shared" si="42"/>
        <v>349493.55695271428</v>
      </c>
      <c r="F145" s="17">
        <f t="shared" si="43"/>
        <v>230678.83716932905</v>
      </c>
      <c r="G145" s="17">
        <f t="shared" si="26"/>
        <v>350934.14294454415</v>
      </c>
      <c r="H145" s="17">
        <f>0</f>
        <v>0</v>
      </c>
      <c r="I145" s="17">
        <f t="shared" si="27"/>
        <v>350934.14294454415</v>
      </c>
      <c r="J145" s="17">
        <f t="shared" si="28"/>
        <v>0</v>
      </c>
      <c r="K145" s="17">
        <f>'1 - Input'!$B$22*(H145-J145)</f>
        <v>0</v>
      </c>
      <c r="L145" s="17">
        <f t="shared" si="29"/>
        <v>0</v>
      </c>
      <c r="M145" s="17">
        <f t="shared" si="30"/>
        <v>230678.83716932905</v>
      </c>
      <c r="N145" s="17">
        <f>0</f>
        <v>0</v>
      </c>
      <c r="O145" s="17">
        <f t="shared" si="31"/>
        <v>3163.4803287061168</v>
      </c>
      <c r="P145" s="17">
        <f t="shared" si="32"/>
        <v>0.34267200326021929</v>
      </c>
      <c r="Q145" s="17">
        <f>IF(AND(O145&gt;0,I145&gt;0),O145/(1-'1 - Input'!$B$22*P145),0)</f>
        <v>3472.8971289418173</v>
      </c>
      <c r="R145" s="17">
        <f t="shared" si="33"/>
        <v>3472.8971289418173</v>
      </c>
      <c r="S145" s="17">
        <f>'1 - Input'!$B$22*P145*R145</f>
        <v>309.41680023570075</v>
      </c>
      <c r="T145" s="17">
        <f t="shared" si="34"/>
        <v>3163.4803287061168</v>
      </c>
      <c r="U145" s="17">
        <f t="shared" si="35"/>
        <v>0</v>
      </c>
      <c r="V145" s="17">
        <f t="shared" si="36"/>
        <v>0</v>
      </c>
      <c r="W145" s="17">
        <f t="shared" si="37"/>
        <v>347461.24581560231</v>
      </c>
      <c r="X145" s="17">
        <f t="shared" si="38"/>
        <v>228396.00465667839</v>
      </c>
      <c r="Y145" s="17">
        <f>IF(MOD(A145,12)=0,W145*'1 - Input'!$B$23,0)</f>
        <v>0</v>
      </c>
      <c r="Z145" s="17">
        <f t="shared" si="39"/>
        <v>347461.24581560231</v>
      </c>
      <c r="AA145" s="17">
        <f>IF(MOD(A145,12)=0,X145*(1-'1 - Input'!$B$23),X145)</f>
        <v>228396.00465667839</v>
      </c>
      <c r="AB145" s="17">
        <f t="shared" si="40"/>
        <v>3163.4803287061168</v>
      </c>
      <c r="AC145" s="17">
        <f t="shared" si="44"/>
        <v>297069.07919590693</v>
      </c>
      <c r="AD145" s="17">
        <f t="shared" si="45"/>
        <v>0</v>
      </c>
      <c r="AE145" s="17">
        <f t="shared" si="46"/>
        <v>15638.689787017856</v>
      </c>
      <c r="AF145" s="17">
        <f t="shared" si="47"/>
        <v>0</v>
      </c>
      <c r="AG145" s="17">
        <f t="shared" si="48"/>
        <v>6811.3399543053347</v>
      </c>
      <c r="AH145" s="17">
        <f t="shared" si="49"/>
        <v>0</v>
      </c>
      <c r="AI145" s="15">
        <f t="shared" si="41"/>
        <v>0</v>
      </c>
    </row>
    <row r="146" spans="1:35">
      <c r="A146" s="14">
        <v>103</v>
      </c>
      <c r="B146" s="15">
        <f t="shared" si="25"/>
        <v>9</v>
      </c>
      <c r="C146" s="16">
        <f>(1+INDEX('1 - Input'!$B$34:$E$63,B146,'1 - Input'!$B$16))^(1/12)-1</f>
        <v>4.1219243192651689E-3</v>
      </c>
      <c r="D146" s="17">
        <f>'1 - Input'!$B$7*(1+'1 - Input'!$B$12)^(B146-1)</f>
        <v>3163.4803287061168</v>
      </c>
      <c r="E146" s="17">
        <f t="shared" si="42"/>
        <v>347461.24581560231</v>
      </c>
      <c r="F146" s="17">
        <f t="shared" si="43"/>
        <v>228396.00465667839</v>
      </c>
      <c r="G146" s="17">
        <f t="shared" si="26"/>
        <v>348893.45477473183</v>
      </c>
      <c r="H146" s="17">
        <f>0</f>
        <v>0</v>
      </c>
      <c r="I146" s="17">
        <f t="shared" si="27"/>
        <v>348893.45477473183</v>
      </c>
      <c r="J146" s="17">
        <f t="shared" si="28"/>
        <v>0</v>
      </c>
      <c r="K146" s="17">
        <f>'1 - Input'!$B$22*(H146-J146)</f>
        <v>0</v>
      </c>
      <c r="L146" s="17">
        <f t="shared" si="29"/>
        <v>0</v>
      </c>
      <c r="M146" s="17">
        <f t="shared" si="30"/>
        <v>228396.00465667839</v>
      </c>
      <c r="N146" s="17">
        <f>0</f>
        <v>0</v>
      </c>
      <c r="O146" s="17">
        <f t="shared" si="31"/>
        <v>3163.4803287061168</v>
      </c>
      <c r="P146" s="17">
        <f t="shared" si="32"/>
        <v>0.34537033718747856</v>
      </c>
      <c r="Q146" s="17">
        <f>IF(AND(O146&gt;0,I146&gt;0),O146/(1-'1 - Input'!$B$22*P146),0)</f>
        <v>3475.5739686049678</v>
      </c>
      <c r="R146" s="17">
        <f t="shared" si="33"/>
        <v>3475.5739686049678</v>
      </c>
      <c r="S146" s="17">
        <f>'1 - Input'!$B$22*P146*R146</f>
        <v>312.09363989885139</v>
      </c>
      <c r="T146" s="17">
        <f t="shared" si="34"/>
        <v>3163.4803287061163</v>
      </c>
      <c r="U146" s="17">
        <f t="shared" si="35"/>
        <v>0</v>
      </c>
      <c r="V146" s="17">
        <f t="shared" si="36"/>
        <v>0</v>
      </c>
      <c r="W146" s="17">
        <f t="shared" si="37"/>
        <v>345417.88080612686</v>
      </c>
      <c r="X146" s="17">
        <f t="shared" si="38"/>
        <v>226120.79084153054</v>
      </c>
      <c r="Y146" s="17">
        <f>IF(MOD(A146,12)=0,W146*'1 - Input'!$B$23,0)</f>
        <v>0</v>
      </c>
      <c r="Z146" s="17">
        <f t="shared" si="39"/>
        <v>345417.88080612686</v>
      </c>
      <c r="AA146" s="17">
        <f>IF(MOD(A146,12)=0,X146*(1-'1 - Input'!$B$23),X146)</f>
        <v>226120.79084153054</v>
      </c>
      <c r="AB146" s="17">
        <f t="shared" si="40"/>
        <v>3163.4803287061163</v>
      </c>
      <c r="AC146" s="17">
        <f t="shared" si="44"/>
        <v>300232.55952461303</v>
      </c>
      <c r="AD146" s="17">
        <f t="shared" si="45"/>
        <v>0</v>
      </c>
      <c r="AE146" s="17">
        <f t="shared" si="46"/>
        <v>15950.783426916707</v>
      </c>
      <c r="AF146" s="17">
        <f t="shared" si="47"/>
        <v>0</v>
      </c>
      <c r="AG146" s="17">
        <f t="shared" si="48"/>
        <v>6811.3399543053347</v>
      </c>
      <c r="AH146" s="17">
        <f t="shared" si="49"/>
        <v>0</v>
      </c>
      <c r="AI146" s="15">
        <f t="shared" si="41"/>
        <v>0</v>
      </c>
    </row>
    <row r="147" spans="1:35">
      <c r="A147" s="14">
        <v>104</v>
      </c>
      <c r="B147" s="15">
        <f t="shared" si="25"/>
        <v>9</v>
      </c>
      <c r="C147" s="16">
        <f>(1+INDEX('1 - Input'!$B$34:$E$63,B147,'1 - Input'!$B$16))^(1/12)-1</f>
        <v>4.1219243192651689E-3</v>
      </c>
      <c r="D147" s="17">
        <f>'1 - Input'!$B$7*(1+'1 - Input'!$B$12)^(B147-1)</f>
        <v>3163.4803287061168</v>
      </c>
      <c r="E147" s="17">
        <f t="shared" si="42"/>
        <v>345417.88080612686</v>
      </c>
      <c r="F147" s="17">
        <f t="shared" si="43"/>
        <v>226120.79084153054</v>
      </c>
      <c r="G147" s="17">
        <f t="shared" si="26"/>
        <v>346841.6671693307</v>
      </c>
      <c r="H147" s="17">
        <f>0</f>
        <v>0</v>
      </c>
      <c r="I147" s="17">
        <f t="shared" si="27"/>
        <v>346841.6671693307</v>
      </c>
      <c r="J147" s="17">
        <f t="shared" si="28"/>
        <v>0</v>
      </c>
      <c r="K147" s="17">
        <f>'1 - Input'!$B$22*(H147-J147)</f>
        <v>0</v>
      </c>
      <c r="L147" s="17">
        <f t="shared" si="29"/>
        <v>0</v>
      </c>
      <c r="M147" s="17">
        <f t="shared" si="30"/>
        <v>226120.79084153054</v>
      </c>
      <c r="N147" s="17">
        <f>0</f>
        <v>0</v>
      </c>
      <c r="O147" s="17">
        <f t="shared" si="31"/>
        <v>3163.4803287061168</v>
      </c>
      <c r="P147" s="17">
        <f t="shared" si="32"/>
        <v>0.34805759444370132</v>
      </c>
      <c r="Q147" s="17">
        <f>IF(AND(O147&gt;0,I147&gt;0),O147/(1-'1 - Input'!$B$22*P147),0)</f>
        <v>3478.2439241163715</v>
      </c>
      <c r="R147" s="17">
        <f t="shared" si="33"/>
        <v>3478.2439241163715</v>
      </c>
      <c r="S147" s="17">
        <f>'1 - Input'!$B$22*P147*R147</f>
        <v>314.76359541025471</v>
      </c>
      <c r="T147" s="17">
        <f t="shared" si="34"/>
        <v>3163.4803287061168</v>
      </c>
      <c r="U147" s="17">
        <f t="shared" si="35"/>
        <v>0</v>
      </c>
      <c r="V147" s="17">
        <f t="shared" si="36"/>
        <v>0</v>
      </c>
      <c r="W147" s="17">
        <f t="shared" si="37"/>
        <v>343363.42324521433</v>
      </c>
      <c r="X147" s="17">
        <f t="shared" si="38"/>
        <v>223853.17613053054</v>
      </c>
      <c r="Y147" s="17">
        <f>IF(MOD(A147,12)=0,W147*'1 - Input'!$B$23,0)</f>
        <v>0</v>
      </c>
      <c r="Z147" s="17">
        <f t="shared" si="39"/>
        <v>343363.42324521433</v>
      </c>
      <c r="AA147" s="17">
        <f>IF(MOD(A147,12)=0,X147*(1-'1 - Input'!$B$23),X147)</f>
        <v>223853.17613053054</v>
      </c>
      <c r="AB147" s="17">
        <f t="shared" si="40"/>
        <v>3163.4803287061168</v>
      </c>
      <c r="AC147" s="17">
        <f t="shared" si="44"/>
        <v>303396.03985331912</v>
      </c>
      <c r="AD147" s="17">
        <f t="shared" si="45"/>
        <v>0</v>
      </c>
      <c r="AE147" s="17">
        <f t="shared" si="46"/>
        <v>16265.547022326962</v>
      </c>
      <c r="AF147" s="17">
        <f t="shared" si="47"/>
        <v>0</v>
      </c>
      <c r="AG147" s="17">
        <f t="shared" si="48"/>
        <v>6811.3399543053347</v>
      </c>
      <c r="AH147" s="17">
        <f t="shared" si="49"/>
        <v>0</v>
      </c>
      <c r="AI147" s="15">
        <f t="shared" si="41"/>
        <v>0</v>
      </c>
    </row>
    <row r="148" spans="1:35">
      <c r="A148" s="14">
        <v>105</v>
      </c>
      <c r="B148" s="15">
        <f t="shared" si="25"/>
        <v>9</v>
      </c>
      <c r="C148" s="16">
        <f>(1+INDEX('1 - Input'!$B$34:$E$63,B148,'1 - Input'!$B$16))^(1/12)-1</f>
        <v>4.1219243192651689E-3</v>
      </c>
      <c r="D148" s="17">
        <f>'1 - Input'!$B$7*(1+'1 - Input'!$B$12)^(B148-1)</f>
        <v>3163.4803287061168</v>
      </c>
      <c r="E148" s="17">
        <f t="shared" si="42"/>
        <v>343363.42324521433</v>
      </c>
      <c r="F148" s="17">
        <f t="shared" si="43"/>
        <v>223853.17613053054</v>
      </c>
      <c r="G148" s="17">
        <f t="shared" si="26"/>
        <v>344778.7412898349</v>
      </c>
      <c r="H148" s="17">
        <f>0</f>
        <v>0</v>
      </c>
      <c r="I148" s="17">
        <f t="shared" si="27"/>
        <v>344778.7412898349</v>
      </c>
      <c r="J148" s="17">
        <f t="shared" si="28"/>
        <v>0</v>
      </c>
      <c r="K148" s="17">
        <f>'1 - Input'!$B$22*(H148-J148)</f>
        <v>0</v>
      </c>
      <c r="L148" s="17">
        <f t="shared" si="29"/>
        <v>0</v>
      </c>
      <c r="M148" s="17">
        <f t="shared" si="30"/>
        <v>223853.17613053054</v>
      </c>
      <c r="N148" s="17">
        <f>0</f>
        <v>0</v>
      </c>
      <c r="O148" s="17">
        <f t="shared" si="31"/>
        <v>3163.4803287061168</v>
      </c>
      <c r="P148" s="17">
        <f t="shared" si="32"/>
        <v>0.35073382049866431</v>
      </c>
      <c r="Q148" s="17">
        <f>IF(AND(O148&gt;0,I148&gt;0),O148/(1-'1 - Input'!$B$22*P148),0)</f>
        <v>3480.9069994969882</v>
      </c>
      <c r="R148" s="17">
        <f t="shared" si="33"/>
        <v>3480.9069994969882</v>
      </c>
      <c r="S148" s="17">
        <f>'1 - Input'!$B$22*P148*R148</f>
        <v>317.42667079087147</v>
      </c>
      <c r="T148" s="17">
        <f t="shared" si="34"/>
        <v>3163.4803287061168</v>
      </c>
      <c r="U148" s="17">
        <f t="shared" si="35"/>
        <v>0</v>
      </c>
      <c r="V148" s="17">
        <f t="shared" si="36"/>
        <v>0</v>
      </c>
      <c r="W148" s="17">
        <f t="shared" si="37"/>
        <v>341297.83429033792</v>
      </c>
      <c r="X148" s="17">
        <f t="shared" si="38"/>
        <v>221593.14094176766</v>
      </c>
      <c r="Y148" s="17">
        <f>IF(MOD(A148,12)=0,W148*'1 - Input'!$B$23,0)</f>
        <v>0</v>
      </c>
      <c r="Z148" s="17">
        <f t="shared" si="39"/>
        <v>341297.83429033792</v>
      </c>
      <c r="AA148" s="17">
        <f>IF(MOD(A148,12)=0,X148*(1-'1 - Input'!$B$23),X148)</f>
        <v>221593.14094176766</v>
      </c>
      <c r="AB148" s="17">
        <f t="shared" si="40"/>
        <v>3163.4803287061168</v>
      </c>
      <c r="AC148" s="17">
        <f t="shared" si="44"/>
        <v>306559.52018202521</v>
      </c>
      <c r="AD148" s="17">
        <f t="shared" si="45"/>
        <v>0</v>
      </c>
      <c r="AE148" s="17">
        <f t="shared" si="46"/>
        <v>16582.973693117834</v>
      </c>
      <c r="AF148" s="17">
        <f t="shared" si="47"/>
        <v>0</v>
      </c>
      <c r="AG148" s="17">
        <f t="shared" si="48"/>
        <v>6811.3399543053347</v>
      </c>
      <c r="AH148" s="17">
        <f t="shared" si="49"/>
        <v>0</v>
      </c>
      <c r="AI148" s="15">
        <f t="shared" si="41"/>
        <v>0</v>
      </c>
    </row>
    <row r="149" spans="1:35">
      <c r="A149" s="14">
        <v>106</v>
      </c>
      <c r="B149" s="15">
        <f t="shared" si="25"/>
        <v>9</v>
      </c>
      <c r="C149" s="16">
        <f>(1+INDEX('1 - Input'!$B$34:$E$63,B149,'1 - Input'!$B$16))^(1/12)-1</f>
        <v>4.1219243192651689E-3</v>
      </c>
      <c r="D149" s="17">
        <f>'1 - Input'!$B$7*(1+'1 - Input'!$B$12)^(B149-1)</f>
        <v>3163.4803287061168</v>
      </c>
      <c r="E149" s="17">
        <f t="shared" si="42"/>
        <v>341297.83429033792</v>
      </c>
      <c r="F149" s="17">
        <f t="shared" si="43"/>
        <v>221593.14094176766</v>
      </c>
      <c r="G149" s="17">
        <f t="shared" si="26"/>
        <v>342704.63813361182</v>
      </c>
      <c r="H149" s="17">
        <f>0</f>
        <v>0</v>
      </c>
      <c r="I149" s="17">
        <f t="shared" si="27"/>
        <v>342704.63813361182</v>
      </c>
      <c r="J149" s="17">
        <f t="shared" si="28"/>
        <v>0</v>
      </c>
      <c r="K149" s="17">
        <f>'1 - Input'!$B$22*(H149-J149)</f>
        <v>0</v>
      </c>
      <c r="L149" s="17">
        <f t="shared" si="29"/>
        <v>0</v>
      </c>
      <c r="M149" s="17">
        <f t="shared" si="30"/>
        <v>221593.14094176766</v>
      </c>
      <c r="N149" s="17">
        <f>0</f>
        <v>0</v>
      </c>
      <c r="O149" s="17">
        <f t="shared" si="31"/>
        <v>3163.4803287061168</v>
      </c>
      <c r="P149" s="17">
        <f t="shared" si="32"/>
        <v>0.35339906063549065</v>
      </c>
      <c r="Q149" s="17">
        <f>IF(AND(O149&gt;0,I149&gt;0),O149/(1-'1 - Input'!$B$22*P149),0)</f>
        <v>3483.5631988631976</v>
      </c>
      <c r="R149" s="17">
        <f t="shared" si="33"/>
        <v>3483.5631988631976</v>
      </c>
      <c r="S149" s="17">
        <f>'1 - Input'!$B$22*P149*R149</f>
        <v>320.08287015708095</v>
      </c>
      <c r="T149" s="17">
        <f t="shared" si="34"/>
        <v>3163.4803287061168</v>
      </c>
      <c r="U149" s="17">
        <f t="shared" si="35"/>
        <v>0</v>
      </c>
      <c r="V149" s="17">
        <f t="shared" si="36"/>
        <v>0</v>
      </c>
      <c r="W149" s="17">
        <f t="shared" si="37"/>
        <v>339221.07493474864</v>
      </c>
      <c r="X149" s="17">
        <f t="shared" si="38"/>
        <v>219340.66570504708</v>
      </c>
      <c r="Y149" s="17">
        <f>IF(MOD(A149,12)=0,W149*'1 - Input'!$B$23,0)</f>
        <v>0</v>
      </c>
      <c r="Z149" s="17">
        <f t="shared" si="39"/>
        <v>339221.07493474864</v>
      </c>
      <c r="AA149" s="17">
        <f>IF(MOD(A149,12)=0,X149*(1-'1 - Input'!$B$23),X149)</f>
        <v>219340.66570504708</v>
      </c>
      <c r="AB149" s="17">
        <f t="shared" si="40"/>
        <v>3163.4803287061168</v>
      </c>
      <c r="AC149" s="17">
        <f t="shared" si="44"/>
        <v>309723.0005107313</v>
      </c>
      <c r="AD149" s="17">
        <f t="shared" si="45"/>
        <v>0</v>
      </c>
      <c r="AE149" s="17">
        <f t="shared" si="46"/>
        <v>16903.056563274917</v>
      </c>
      <c r="AF149" s="17">
        <f t="shared" si="47"/>
        <v>0</v>
      </c>
      <c r="AG149" s="17">
        <f t="shared" si="48"/>
        <v>6811.3399543053347</v>
      </c>
      <c r="AH149" s="17">
        <f t="shared" si="49"/>
        <v>0</v>
      </c>
      <c r="AI149" s="15">
        <f t="shared" si="41"/>
        <v>0</v>
      </c>
    </row>
    <row r="150" spans="1:35">
      <c r="A150" s="14">
        <v>107</v>
      </c>
      <c r="B150" s="15">
        <f t="shared" si="25"/>
        <v>9</v>
      </c>
      <c r="C150" s="16">
        <f>(1+INDEX('1 - Input'!$B$34:$E$63,B150,'1 - Input'!$B$16))^(1/12)-1</f>
        <v>4.1219243192651689E-3</v>
      </c>
      <c r="D150" s="17">
        <f>'1 - Input'!$B$7*(1+'1 - Input'!$B$12)^(B150-1)</f>
        <v>3163.4803287061168</v>
      </c>
      <c r="E150" s="17">
        <f t="shared" si="42"/>
        <v>339221.07493474864</v>
      </c>
      <c r="F150" s="17">
        <f t="shared" si="43"/>
        <v>219340.66570504708</v>
      </c>
      <c r="G150" s="17">
        <f t="shared" si="26"/>
        <v>340619.31853312947</v>
      </c>
      <c r="H150" s="17">
        <f>0</f>
        <v>0</v>
      </c>
      <c r="I150" s="17">
        <f t="shared" si="27"/>
        <v>340619.31853312947</v>
      </c>
      <c r="J150" s="17">
        <f t="shared" si="28"/>
        <v>0</v>
      </c>
      <c r="K150" s="17">
        <f>'1 - Input'!$B$22*(H150-J150)</f>
        <v>0</v>
      </c>
      <c r="L150" s="17">
        <f t="shared" si="29"/>
        <v>0</v>
      </c>
      <c r="M150" s="17">
        <f t="shared" si="30"/>
        <v>219340.66570504708</v>
      </c>
      <c r="N150" s="17">
        <f>0</f>
        <v>0</v>
      </c>
      <c r="O150" s="17">
        <f t="shared" si="31"/>
        <v>3163.4803287061168</v>
      </c>
      <c r="P150" s="17">
        <f t="shared" si="32"/>
        <v>0.35605335995141607</v>
      </c>
      <c r="Q150" s="17">
        <f>IF(AND(O150&gt;0,I150&gt;0),O150/(1-'1 - Input'!$B$22*P150),0)</f>
        <v>3486.2125264261949</v>
      </c>
      <c r="R150" s="17">
        <f t="shared" si="33"/>
        <v>3486.2125264261949</v>
      </c>
      <c r="S150" s="17">
        <f>'1 - Input'!$B$22*P150*R150</f>
        <v>322.73219772007803</v>
      </c>
      <c r="T150" s="17">
        <f t="shared" si="34"/>
        <v>3163.4803287061168</v>
      </c>
      <c r="U150" s="17">
        <f t="shared" si="35"/>
        <v>0</v>
      </c>
      <c r="V150" s="17">
        <f t="shared" si="36"/>
        <v>0</v>
      </c>
      <c r="W150" s="17">
        <f t="shared" si="37"/>
        <v>337133.10600670328</v>
      </c>
      <c r="X150" s="17">
        <f t="shared" si="38"/>
        <v>217095.73086215966</v>
      </c>
      <c r="Y150" s="17">
        <f>IF(MOD(A150,12)=0,W150*'1 - Input'!$B$23,0)</f>
        <v>0</v>
      </c>
      <c r="Z150" s="17">
        <f t="shared" si="39"/>
        <v>337133.10600670328</v>
      </c>
      <c r="AA150" s="17">
        <f>IF(MOD(A150,12)=0,X150*(1-'1 - Input'!$B$23),X150)</f>
        <v>217095.73086215966</v>
      </c>
      <c r="AB150" s="17">
        <f t="shared" si="40"/>
        <v>3163.4803287061168</v>
      </c>
      <c r="AC150" s="17">
        <f t="shared" si="44"/>
        <v>312886.4808394374</v>
      </c>
      <c r="AD150" s="17">
        <f t="shared" si="45"/>
        <v>0</v>
      </c>
      <c r="AE150" s="17">
        <f t="shared" si="46"/>
        <v>17225.788760994994</v>
      </c>
      <c r="AF150" s="17">
        <f t="shared" si="47"/>
        <v>0</v>
      </c>
      <c r="AG150" s="17">
        <f t="shared" si="48"/>
        <v>6811.3399543053347</v>
      </c>
      <c r="AH150" s="17">
        <f t="shared" si="49"/>
        <v>0</v>
      </c>
      <c r="AI150" s="15">
        <f t="shared" si="41"/>
        <v>0</v>
      </c>
    </row>
    <row r="151" spans="1:35">
      <c r="A151" s="14">
        <v>108</v>
      </c>
      <c r="B151" s="15">
        <f t="shared" si="25"/>
        <v>9</v>
      </c>
      <c r="C151" s="16">
        <f>(1+INDEX('1 - Input'!$B$34:$E$63,B151,'1 - Input'!$B$16))^(1/12)-1</f>
        <v>4.1219243192651689E-3</v>
      </c>
      <c r="D151" s="17">
        <f>'1 - Input'!$B$7*(1+'1 - Input'!$B$12)^(B151-1)</f>
        <v>3163.4803287061168</v>
      </c>
      <c r="E151" s="17">
        <f t="shared" si="42"/>
        <v>337133.10600670328</v>
      </c>
      <c r="F151" s="17">
        <f t="shared" si="43"/>
        <v>217095.73086215966</v>
      </c>
      <c r="G151" s="17">
        <f t="shared" si="26"/>
        <v>338522.7431551817</v>
      </c>
      <c r="H151" s="17">
        <f>0</f>
        <v>0</v>
      </c>
      <c r="I151" s="17">
        <f t="shared" si="27"/>
        <v>338522.7431551817</v>
      </c>
      <c r="J151" s="17">
        <f t="shared" si="28"/>
        <v>0</v>
      </c>
      <c r="K151" s="17">
        <f>'1 - Input'!$B$22*(H151-J151)</f>
        <v>0</v>
      </c>
      <c r="L151" s="17">
        <f t="shared" si="29"/>
        <v>0</v>
      </c>
      <c r="M151" s="17">
        <f t="shared" si="30"/>
        <v>217095.73086215966</v>
      </c>
      <c r="N151" s="17">
        <f>0</f>
        <v>0</v>
      </c>
      <c r="O151" s="17">
        <f t="shared" si="31"/>
        <v>3163.4803287061168</v>
      </c>
      <c r="P151" s="17">
        <f t="shared" si="32"/>
        <v>0.35869676335855183</v>
      </c>
      <c r="Q151" s="17">
        <f>IF(AND(O151&gt;0,I151&gt;0),O151/(1-'1 - Input'!$B$22*P151),0)</f>
        <v>3488.8549864913857</v>
      </c>
      <c r="R151" s="17">
        <f t="shared" si="33"/>
        <v>3488.8549864913857</v>
      </c>
      <c r="S151" s="17">
        <f>'1 - Input'!$B$22*P151*R151</f>
        <v>325.37465778526911</v>
      </c>
      <c r="T151" s="17">
        <f t="shared" si="34"/>
        <v>3163.4803287061168</v>
      </c>
      <c r="U151" s="17">
        <f t="shared" si="35"/>
        <v>0</v>
      </c>
      <c r="V151" s="17">
        <f t="shared" si="36"/>
        <v>0</v>
      </c>
      <c r="W151" s="17">
        <f t="shared" si="37"/>
        <v>335033.88816869032</v>
      </c>
      <c r="X151" s="17">
        <f t="shared" si="38"/>
        <v>214858.31686715008</v>
      </c>
      <c r="Y151" s="17">
        <f>IF(MOD(A151,12)=0,W151*'1 - Input'!$B$23,0)</f>
        <v>670.06777633738068</v>
      </c>
      <c r="Z151" s="17">
        <f t="shared" si="39"/>
        <v>334363.82039235294</v>
      </c>
      <c r="AA151" s="17">
        <f>IF(MOD(A151,12)=0,X151*(1-'1 - Input'!$B$23),X151)</f>
        <v>214428.60023341578</v>
      </c>
      <c r="AB151" s="17">
        <f t="shared" si="40"/>
        <v>3163.4803287061168</v>
      </c>
      <c r="AC151" s="17">
        <f t="shared" si="44"/>
        <v>316049.96116814349</v>
      </c>
      <c r="AD151" s="17">
        <f t="shared" si="45"/>
        <v>0</v>
      </c>
      <c r="AE151" s="17">
        <f t="shared" si="46"/>
        <v>17551.163418780263</v>
      </c>
      <c r="AF151" s="17">
        <f t="shared" si="47"/>
        <v>0</v>
      </c>
      <c r="AG151" s="17">
        <f t="shared" si="48"/>
        <v>7481.4077306427153</v>
      </c>
      <c r="AH151" s="17">
        <f t="shared" si="49"/>
        <v>0</v>
      </c>
      <c r="AI151" s="15">
        <f t="shared" si="41"/>
        <v>0</v>
      </c>
    </row>
    <row r="152" spans="1:35">
      <c r="A152" s="14">
        <v>109</v>
      </c>
      <c r="B152" s="15">
        <f t="shared" si="25"/>
        <v>10</v>
      </c>
      <c r="C152" s="16">
        <f>(1+INDEX('1 - Input'!$B$34:$E$63,B152,'1 - Input'!$B$16))^(1/12)-1</f>
        <v>4.1219243192651689E-3</v>
      </c>
      <c r="D152" s="17">
        <f>'1 - Input'!$B$7*(1+'1 - Input'!$B$12)^(B152-1)</f>
        <v>3226.7499352802392</v>
      </c>
      <c r="E152" s="17">
        <f t="shared" si="42"/>
        <v>334363.82039235294</v>
      </c>
      <c r="F152" s="17">
        <f t="shared" si="43"/>
        <v>214428.60023341578</v>
      </c>
      <c r="G152" s="17">
        <f t="shared" si="26"/>
        <v>335742.0427551106</v>
      </c>
      <c r="H152" s="17">
        <f>0</f>
        <v>0</v>
      </c>
      <c r="I152" s="17">
        <f t="shared" si="27"/>
        <v>335742.0427551106</v>
      </c>
      <c r="J152" s="17">
        <f t="shared" si="28"/>
        <v>0</v>
      </c>
      <c r="K152" s="17">
        <f>'1 - Input'!$B$22*(H152-J152)</f>
        <v>0</v>
      </c>
      <c r="L152" s="17">
        <f t="shared" si="29"/>
        <v>0</v>
      </c>
      <c r="M152" s="17">
        <f t="shared" si="30"/>
        <v>214428.60023341578</v>
      </c>
      <c r="N152" s="17">
        <f>0</f>
        <v>0</v>
      </c>
      <c r="O152" s="17">
        <f t="shared" si="31"/>
        <v>3226.7499352802392</v>
      </c>
      <c r="P152" s="17">
        <f t="shared" si="32"/>
        <v>0.36132931558464521</v>
      </c>
      <c r="Q152" s="17">
        <f>IF(AND(O152&gt;0,I152&gt;0),O152/(1-'1 - Input'!$B$22*P152),0)</f>
        <v>3561.3203951269415</v>
      </c>
      <c r="R152" s="17">
        <f t="shared" si="33"/>
        <v>3561.3203951269415</v>
      </c>
      <c r="S152" s="17">
        <f>'1 - Input'!$B$22*P152*R152</f>
        <v>334.57045984670253</v>
      </c>
      <c r="T152" s="17">
        <f t="shared" si="34"/>
        <v>3226.7499352802388</v>
      </c>
      <c r="U152" s="17">
        <f t="shared" si="35"/>
        <v>0</v>
      </c>
      <c r="V152" s="17">
        <f t="shared" si="36"/>
        <v>0</v>
      </c>
      <c r="W152" s="17">
        <f t="shared" si="37"/>
        <v>332180.72235998366</v>
      </c>
      <c r="X152" s="17">
        <f t="shared" si="38"/>
        <v>212154.0892992377</v>
      </c>
      <c r="Y152" s="17">
        <f>IF(MOD(A152,12)=0,W152*'1 - Input'!$B$23,0)</f>
        <v>0</v>
      </c>
      <c r="Z152" s="17">
        <f t="shared" si="39"/>
        <v>332180.72235998366</v>
      </c>
      <c r="AA152" s="17">
        <f>IF(MOD(A152,12)=0,X152*(1-'1 - Input'!$B$23),X152)</f>
        <v>212154.0892992377</v>
      </c>
      <c r="AB152" s="17">
        <f t="shared" si="40"/>
        <v>3226.7499352802388</v>
      </c>
      <c r="AC152" s="17">
        <f t="shared" si="44"/>
        <v>319276.71110342373</v>
      </c>
      <c r="AD152" s="17">
        <f t="shared" si="45"/>
        <v>0</v>
      </c>
      <c r="AE152" s="17">
        <f t="shared" si="46"/>
        <v>17885.733878626965</v>
      </c>
      <c r="AF152" s="17">
        <f t="shared" si="47"/>
        <v>0</v>
      </c>
      <c r="AG152" s="17">
        <f t="shared" si="48"/>
        <v>7481.4077306427153</v>
      </c>
      <c r="AH152" s="17">
        <f t="shared" si="49"/>
        <v>0</v>
      </c>
      <c r="AI152" s="15">
        <f t="shared" si="41"/>
        <v>0</v>
      </c>
    </row>
    <row r="153" spans="1:35">
      <c r="A153" s="14">
        <v>110</v>
      </c>
      <c r="B153" s="15">
        <f t="shared" si="25"/>
        <v>10</v>
      </c>
      <c r="C153" s="16">
        <f>(1+INDEX('1 - Input'!$B$34:$E$63,B153,'1 - Input'!$B$16))^(1/12)-1</f>
        <v>4.1219243192651689E-3</v>
      </c>
      <c r="D153" s="17">
        <f>'1 - Input'!$B$7*(1+'1 - Input'!$B$12)^(B153-1)</f>
        <v>3226.7499352802392</v>
      </c>
      <c r="E153" s="17">
        <f t="shared" si="42"/>
        <v>332180.72235998366</v>
      </c>
      <c r="F153" s="17">
        <f t="shared" si="43"/>
        <v>212154.0892992377</v>
      </c>
      <c r="G153" s="17">
        <f t="shared" si="26"/>
        <v>333549.94615787035</v>
      </c>
      <c r="H153" s="17">
        <f>0</f>
        <v>0</v>
      </c>
      <c r="I153" s="17">
        <f t="shared" si="27"/>
        <v>333549.94615787035</v>
      </c>
      <c r="J153" s="17">
        <f t="shared" si="28"/>
        <v>0</v>
      </c>
      <c r="K153" s="17">
        <f>'1 - Input'!$B$22*(H153-J153)</f>
        <v>0</v>
      </c>
      <c r="L153" s="17">
        <f t="shared" si="29"/>
        <v>0</v>
      </c>
      <c r="M153" s="17">
        <f t="shared" si="30"/>
        <v>212154.0892992377</v>
      </c>
      <c r="N153" s="17">
        <f>0</f>
        <v>0</v>
      </c>
      <c r="O153" s="17">
        <f t="shared" si="31"/>
        <v>3226.7499352802392</v>
      </c>
      <c r="P153" s="17">
        <f t="shared" si="32"/>
        <v>0.36395106117383558</v>
      </c>
      <c r="Q153" s="17">
        <f>IF(AND(O153&gt;0,I153&gt;0),O153/(1-'1 - Input'!$B$22*P153),0)</f>
        <v>3564.0017082537624</v>
      </c>
      <c r="R153" s="17">
        <f t="shared" si="33"/>
        <v>3564.0017082537624</v>
      </c>
      <c r="S153" s="17">
        <f>'1 - Input'!$B$22*P153*R153</f>
        <v>337.25177297352309</v>
      </c>
      <c r="T153" s="17">
        <f t="shared" si="34"/>
        <v>3226.7499352802392</v>
      </c>
      <c r="U153" s="17">
        <f t="shared" si="35"/>
        <v>0</v>
      </c>
      <c r="V153" s="17">
        <f t="shared" si="36"/>
        <v>0</v>
      </c>
      <c r="W153" s="17">
        <f t="shared" si="37"/>
        <v>329985.9444496166</v>
      </c>
      <c r="X153" s="17">
        <f t="shared" si="38"/>
        <v>209887.20979472826</v>
      </c>
      <c r="Y153" s="17">
        <f>IF(MOD(A153,12)=0,W153*'1 - Input'!$B$23,0)</f>
        <v>0</v>
      </c>
      <c r="Z153" s="17">
        <f t="shared" si="39"/>
        <v>329985.9444496166</v>
      </c>
      <c r="AA153" s="17">
        <f>IF(MOD(A153,12)=0,X153*(1-'1 - Input'!$B$23),X153)</f>
        <v>209887.20979472826</v>
      </c>
      <c r="AB153" s="17">
        <f t="shared" si="40"/>
        <v>3226.7499352802392</v>
      </c>
      <c r="AC153" s="17">
        <f t="shared" si="44"/>
        <v>322503.46103870397</v>
      </c>
      <c r="AD153" s="17">
        <f t="shared" si="45"/>
        <v>0</v>
      </c>
      <c r="AE153" s="17">
        <f t="shared" si="46"/>
        <v>18222.985651600487</v>
      </c>
      <c r="AF153" s="17">
        <f t="shared" si="47"/>
        <v>0</v>
      </c>
      <c r="AG153" s="17">
        <f t="shared" si="48"/>
        <v>7481.4077306427153</v>
      </c>
      <c r="AH153" s="17">
        <f t="shared" si="49"/>
        <v>0</v>
      </c>
      <c r="AI153" s="15">
        <f t="shared" si="41"/>
        <v>0</v>
      </c>
    </row>
    <row r="154" spans="1:35">
      <c r="A154" s="14">
        <v>111</v>
      </c>
      <c r="B154" s="15">
        <f t="shared" si="25"/>
        <v>10</v>
      </c>
      <c r="C154" s="16">
        <f>(1+INDEX('1 - Input'!$B$34:$E$63,B154,'1 - Input'!$B$16))^(1/12)-1</f>
        <v>4.1219243192651689E-3</v>
      </c>
      <c r="D154" s="17">
        <f>'1 - Input'!$B$7*(1+'1 - Input'!$B$12)^(B154-1)</f>
        <v>3226.7499352802392</v>
      </c>
      <c r="E154" s="17">
        <f t="shared" si="42"/>
        <v>329985.9444496166</v>
      </c>
      <c r="F154" s="17">
        <f t="shared" si="43"/>
        <v>209887.20979472826</v>
      </c>
      <c r="G154" s="17">
        <f t="shared" si="26"/>
        <v>331346.12153905915</v>
      </c>
      <c r="H154" s="17">
        <f>0</f>
        <v>0</v>
      </c>
      <c r="I154" s="17">
        <f t="shared" si="27"/>
        <v>331346.12153905915</v>
      </c>
      <c r="J154" s="17">
        <f t="shared" si="28"/>
        <v>0</v>
      </c>
      <c r="K154" s="17">
        <f>'1 - Input'!$B$22*(H154-J154)</f>
        <v>0</v>
      </c>
      <c r="L154" s="17">
        <f t="shared" si="29"/>
        <v>0</v>
      </c>
      <c r="M154" s="17">
        <f t="shared" si="30"/>
        <v>209887.20979472826</v>
      </c>
      <c r="N154" s="17">
        <f>0</f>
        <v>0</v>
      </c>
      <c r="O154" s="17">
        <f t="shared" si="31"/>
        <v>3226.7499352802392</v>
      </c>
      <c r="P154" s="17">
        <f t="shared" si="32"/>
        <v>0.36656204448740859</v>
      </c>
      <c r="Q154" s="17">
        <f>IF(AND(O154&gt;0,I154&gt;0),O154/(1-'1 - Input'!$B$22*P154),0)</f>
        <v>3566.6760302777825</v>
      </c>
      <c r="R154" s="17">
        <f t="shared" si="33"/>
        <v>3566.6760302777825</v>
      </c>
      <c r="S154" s="17">
        <f>'1 - Input'!$B$22*P154*R154</f>
        <v>339.9260949975432</v>
      </c>
      <c r="T154" s="17">
        <f t="shared" si="34"/>
        <v>3226.7499352802392</v>
      </c>
      <c r="U154" s="17">
        <f t="shared" si="35"/>
        <v>0</v>
      </c>
      <c r="V154" s="17">
        <f t="shared" si="36"/>
        <v>0</v>
      </c>
      <c r="W154" s="17">
        <f t="shared" si="37"/>
        <v>327779.44550878135</v>
      </c>
      <c r="X154" s="17">
        <f t="shared" si="38"/>
        <v>207627.94182213335</v>
      </c>
      <c r="Y154" s="17">
        <f>IF(MOD(A154,12)=0,W154*'1 - Input'!$B$23,0)</f>
        <v>0</v>
      </c>
      <c r="Z154" s="17">
        <f t="shared" si="39"/>
        <v>327779.44550878135</v>
      </c>
      <c r="AA154" s="17">
        <f>IF(MOD(A154,12)=0,X154*(1-'1 - Input'!$B$23),X154)</f>
        <v>207627.94182213335</v>
      </c>
      <c r="AB154" s="17">
        <f t="shared" si="40"/>
        <v>3226.7499352802392</v>
      </c>
      <c r="AC154" s="17">
        <f t="shared" si="44"/>
        <v>325730.21097398421</v>
      </c>
      <c r="AD154" s="17">
        <f t="shared" si="45"/>
        <v>0</v>
      </c>
      <c r="AE154" s="17">
        <f t="shared" si="46"/>
        <v>18562.911746598031</v>
      </c>
      <c r="AF154" s="17">
        <f t="shared" si="47"/>
        <v>0</v>
      </c>
      <c r="AG154" s="17">
        <f t="shared" si="48"/>
        <v>7481.4077306427153</v>
      </c>
      <c r="AH154" s="17">
        <f t="shared" si="49"/>
        <v>0</v>
      </c>
      <c r="AI154" s="15">
        <f t="shared" si="41"/>
        <v>0</v>
      </c>
    </row>
    <row r="155" spans="1:35">
      <c r="A155" s="14">
        <v>112</v>
      </c>
      <c r="B155" s="15">
        <f t="shared" si="25"/>
        <v>10</v>
      </c>
      <c r="C155" s="16">
        <f>(1+INDEX('1 - Input'!$B$34:$E$63,B155,'1 - Input'!$B$16))^(1/12)-1</f>
        <v>4.1219243192651689E-3</v>
      </c>
      <c r="D155" s="17">
        <f>'1 - Input'!$B$7*(1+'1 - Input'!$B$12)^(B155-1)</f>
        <v>3226.7499352802392</v>
      </c>
      <c r="E155" s="17">
        <f t="shared" si="42"/>
        <v>327779.44550878135</v>
      </c>
      <c r="F155" s="17">
        <f t="shared" si="43"/>
        <v>207627.94182213335</v>
      </c>
      <c r="G155" s="17">
        <f t="shared" si="26"/>
        <v>329130.52757657925</v>
      </c>
      <c r="H155" s="17">
        <f>0</f>
        <v>0</v>
      </c>
      <c r="I155" s="17">
        <f t="shared" si="27"/>
        <v>329130.52757657925</v>
      </c>
      <c r="J155" s="17">
        <f t="shared" si="28"/>
        <v>0</v>
      </c>
      <c r="K155" s="17">
        <f>'1 - Input'!$B$22*(H155-J155)</f>
        <v>0</v>
      </c>
      <c r="L155" s="17">
        <f t="shared" si="29"/>
        <v>0</v>
      </c>
      <c r="M155" s="17">
        <f t="shared" si="30"/>
        <v>207627.94182213335</v>
      </c>
      <c r="N155" s="17">
        <f>0</f>
        <v>0</v>
      </c>
      <c r="O155" s="17">
        <f t="shared" si="31"/>
        <v>3226.7499352802392</v>
      </c>
      <c r="P155" s="17">
        <f t="shared" si="32"/>
        <v>0.36916230970454644</v>
      </c>
      <c r="Q155" s="17">
        <f>IF(AND(O155&gt;0,I155&gt;0),O155/(1-'1 - Input'!$B$22*P155),0)</f>
        <v>3569.3433659687407</v>
      </c>
      <c r="R155" s="17">
        <f t="shared" si="33"/>
        <v>3569.3433659687407</v>
      </c>
      <c r="S155" s="17">
        <f>'1 - Input'!$B$22*P155*R155</f>
        <v>342.59343068850137</v>
      </c>
      <c r="T155" s="17">
        <f t="shared" si="34"/>
        <v>3226.7499352802392</v>
      </c>
      <c r="U155" s="17">
        <f t="shared" si="35"/>
        <v>0</v>
      </c>
      <c r="V155" s="17">
        <f t="shared" si="36"/>
        <v>0</v>
      </c>
      <c r="W155" s="17">
        <f t="shared" si="37"/>
        <v>325561.18421061052</v>
      </c>
      <c r="X155" s="17">
        <f t="shared" si="38"/>
        <v>205376.26549727423</v>
      </c>
      <c r="Y155" s="17">
        <f>IF(MOD(A155,12)=0,W155*'1 - Input'!$B$23,0)</f>
        <v>0</v>
      </c>
      <c r="Z155" s="17">
        <f t="shared" si="39"/>
        <v>325561.18421061052</v>
      </c>
      <c r="AA155" s="17">
        <f>IF(MOD(A155,12)=0,X155*(1-'1 - Input'!$B$23),X155)</f>
        <v>205376.26549727423</v>
      </c>
      <c r="AB155" s="17">
        <f t="shared" si="40"/>
        <v>3226.7499352802392</v>
      </c>
      <c r="AC155" s="17">
        <f t="shared" si="44"/>
        <v>328956.96090926445</v>
      </c>
      <c r="AD155" s="17">
        <f t="shared" si="45"/>
        <v>0</v>
      </c>
      <c r="AE155" s="17">
        <f t="shared" si="46"/>
        <v>18905.505177286534</v>
      </c>
      <c r="AF155" s="17">
        <f t="shared" si="47"/>
        <v>0</v>
      </c>
      <c r="AG155" s="17">
        <f t="shared" si="48"/>
        <v>7481.4077306427153</v>
      </c>
      <c r="AH155" s="17">
        <f t="shared" si="49"/>
        <v>0</v>
      </c>
      <c r="AI155" s="15">
        <f t="shared" si="41"/>
        <v>0</v>
      </c>
    </row>
    <row r="156" spans="1:35">
      <c r="A156" s="14">
        <v>113</v>
      </c>
      <c r="B156" s="15">
        <f t="shared" si="25"/>
        <v>10</v>
      </c>
      <c r="C156" s="16">
        <f>(1+INDEX('1 - Input'!$B$34:$E$63,B156,'1 - Input'!$B$16))^(1/12)-1</f>
        <v>4.1219243192651689E-3</v>
      </c>
      <c r="D156" s="17">
        <f>'1 - Input'!$B$7*(1+'1 - Input'!$B$12)^(B156-1)</f>
        <v>3226.7499352802392</v>
      </c>
      <c r="E156" s="17">
        <f t="shared" si="42"/>
        <v>325561.18421061052</v>
      </c>
      <c r="F156" s="17">
        <f t="shared" si="43"/>
        <v>205376.26549727423</v>
      </c>
      <c r="G156" s="17">
        <f t="shared" si="26"/>
        <v>326903.12277321698</v>
      </c>
      <c r="H156" s="17">
        <f>0</f>
        <v>0</v>
      </c>
      <c r="I156" s="17">
        <f t="shared" si="27"/>
        <v>326903.12277321698</v>
      </c>
      <c r="J156" s="17">
        <f t="shared" si="28"/>
        <v>0</v>
      </c>
      <c r="K156" s="17">
        <f>'1 - Input'!$B$22*(H156-J156)</f>
        <v>0</v>
      </c>
      <c r="L156" s="17">
        <f t="shared" si="29"/>
        <v>0</v>
      </c>
      <c r="M156" s="17">
        <f t="shared" si="30"/>
        <v>205376.26549727423</v>
      </c>
      <c r="N156" s="17">
        <f>0</f>
        <v>0</v>
      </c>
      <c r="O156" s="17">
        <f t="shared" si="31"/>
        <v>3226.7499352802392</v>
      </c>
      <c r="P156" s="17">
        <f t="shared" si="32"/>
        <v>0.37175190082307585</v>
      </c>
      <c r="Q156" s="17">
        <f>IF(AND(O156&gt;0,I156&gt;0),O156/(1-'1 - Input'!$B$22*P156),0)</f>
        <v>3572.0037201893906</v>
      </c>
      <c r="R156" s="17">
        <f t="shared" si="33"/>
        <v>3572.0037201893906</v>
      </c>
      <c r="S156" s="17">
        <f>'1 - Input'!$B$22*P156*R156</f>
        <v>345.25378490915114</v>
      </c>
      <c r="T156" s="17">
        <f t="shared" si="34"/>
        <v>3226.7499352802397</v>
      </c>
      <c r="U156" s="17">
        <f t="shared" si="35"/>
        <v>0</v>
      </c>
      <c r="V156" s="17">
        <f t="shared" si="36"/>
        <v>0</v>
      </c>
      <c r="W156" s="17">
        <f t="shared" si="37"/>
        <v>323331.11905302759</v>
      </c>
      <c r="X156" s="17">
        <f t="shared" si="38"/>
        <v>203132.16094981236</v>
      </c>
      <c r="Y156" s="17">
        <f>IF(MOD(A156,12)=0,W156*'1 - Input'!$B$23,0)</f>
        <v>0</v>
      </c>
      <c r="Z156" s="17">
        <f t="shared" si="39"/>
        <v>323331.11905302759</v>
      </c>
      <c r="AA156" s="17">
        <f>IF(MOD(A156,12)=0,X156*(1-'1 - Input'!$B$23),X156)</f>
        <v>203132.16094981236</v>
      </c>
      <c r="AB156" s="17">
        <f t="shared" si="40"/>
        <v>3226.7499352802397</v>
      </c>
      <c r="AC156" s="17">
        <f t="shared" si="44"/>
        <v>332183.71084454469</v>
      </c>
      <c r="AD156" s="17">
        <f t="shared" si="45"/>
        <v>0</v>
      </c>
      <c r="AE156" s="17">
        <f t="shared" si="46"/>
        <v>19250.758962195683</v>
      </c>
      <c r="AF156" s="17">
        <f t="shared" si="47"/>
        <v>0</v>
      </c>
      <c r="AG156" s="17">
        <f t="shared" si="48"/>
        <v>7481.4077306427153</v>
      </c>
      <c r="AH156" s="17">
        <f t="shared" si="49"/>
        <v>0</v>
      </c>
      <c r="AI156" s="15">
        <f t="shared" si="41"/>
        <v>0</v>
      </c>
    </row>
    <row r="157" spans="1:35">
      <c r="A157" s="14">
        <v>114</v>
      </c>
      <c r="B157" s="15">
        <f t="shared" si="25"/>
        <v>10</v>
      </c>
      <c r="C157" s="16">
        <f>(1+INDEX('1 - Input'!$B$34:$E$63,B157,'1 - Input'!$B$16))^(1/12)-1</f>
        <v>4.1219243192651689E-3</v>
      </c>
      <c r="D157" s="17">
        <f>'1 - Input'!$B$7*(1+'1 - Input'!$B$12)^(B157-1)</f>
        <v>3226.7499352802392</v>
      </c>
      <c r="E157" s="17">
        <f t="shared" si="42"/>
        <v>323331.11905302759</v>
      </c>
      <c r="F157" s="17">
        <f t="shared" si="43"/>
        <v>203132.16094981236</v>
      </c>
      <c r="G157" s="17">
        <f t="shared" si="26"/>
        <v>324663.8654558275</v>
      </c>
      <c r="H157" s="17">
        <f>0</f>
        <v>0</v>
      </c>
      <c r="I157" s="17">
        <f t="shared" si="27"/>
        <v>324663.8654558275</v>
      </c>
      <c r="J157" s="17">
        <f t="shared" si="28"/>
        <v>0</v>
      </c>
      <c r="K157" s="17">
        <f>'1 - Input'!$B$22*(H157-J157)</f>
        <v>0</v>
      </c>
      <c r="L157" s="17">
        <f t="shared" si="29"/>
        <v>0</v>
      </c>
      <c r="M157" s="17">
        <f t="shared" si="30"/>
        <v>203132.16094981236</v>
      </c>
      <c r="N157" s="17">
        <f>0</f>
        <v>0</v>
      </c>
      <c r="O157" s="17">
        <f t="shared" si="31"/>
        <v>3226.7499352802392</v>
      </c>
      <c r="P157" s="17">
        <f t="shared" si="32"/>
        <v>0.37433086166021234</v>
      </c>
      <c r="Q157" s="17">
        <f>IF(AND(O157&gt;0,I157&gt;0),O157/(1-'1 - Input'!$B$22*P157),0)</f>
        <v>3574.6570978948835</v>
      </c>
      <c r="R157" s="17">
        <f t="shared" si="33"/>
        <v>3574.6570978948835</v>
      </c>
      <c r="S157" s="17">
        <f>'1 - Input'!$B$22*P157*R157</f>
        <v>347.90716261464434</v>
      </c>
      <c r="T157" s="17">
        <f t="shared" si="34"/>
        <v>3226.7499352802392</v>
      </c>
      <c r="U157" s="17">
        <f t="shared" si="35"/>
        <v>0</v>
      </c>
      <c r="V157" s="17">
        <f t="shared" si="36"/>
        <v>0</v>
      </c>
      <c r="W157" s="17">
        <f t="shared" si="37"/>
        <v>321089.20835793263</v>
      </c>
      <c r="X157" s="17">
        <f t="shared" si="38"/>
        <v>200895.60832351228</v>
      </c>
      <c r="Y157" s="17">
        <f>IF(MOD(A157,12)=0,W157*'1 - Input'!$B$23,0)</f>
        <v>0</v>
      </c>
      <c r="Z157" s="17">
        <f t="shared" si="39"/>
        <v>321089.20835793263</v>
      </c>
      <c r="AA157" s="17">
        <f>IF(MOD(A157,12)=0,X157*(1-'1 - Input'!$B$23),X157)</f>
        <v>200895.60832351228</v>
      </c>
      <c r="AB157" s="17">
        <f t="shared" si="40"/>
        <v>3226.7499352802392</v>
      </c>
      <c r="AC157" s="17">
        <f t="shared" si="44"/>
        <v>335410.46077982493</v>
      </c>
      <c r="AD157" s="17">
        <f t="shared" si="45"/>
        <v>0</v>
      </c>
      <c r="AE157" s="17">
        <f t="shared" si="46"/>
        <v>19598.666124810326</v>
      </c>
      <c r="AF157" s="17">
        <f t="shared" si="47"/>
        <v>0</v>
      </c>
      <c r="AG157" s="17">
        <f t="shared" si="48"/>
        <v>7481.4077306427153</v>
      </c>
      <c r="AH157" s="17">
        <f t="shared" si="49"/>
        <v>0</v>
      </c>
      <c r="AI157" s="15">
        <f t="shared" si="41"/>
        <v>0</v>
      </c>
    </row>
    <row r="158" spans="1:35">
      <c r="A158" s="14">
        <v>115</v>
      </c>
      <c r="B158" s="15">
        <f t="shared" si="25"/>
        <v>10</v>
      </c>
      <c r="C158" s="16">
        <f>(1+INDEX('1 - Input'!$B$34:$E$63,B158,'1 - Input'!$B$16))^(1/12)-1</f>
        <v>4.1219243192651689E-3</v>
      </c>
      <c r="D158" s="17">
        <f>'1 - Input'!$B$7*(1+'1 - Input'!$B$12)^(B158-1)</f>
        <v>3226.7499352802392</v>
      </c>
      <c r="E158" s="17">
        <f t="shared" si="42"/>
        <v>321089.20835793263</v>
      </c>
      <c r="F158" s="17">
        <f t="shared" si="43"/>
        <v>200895.60832351228</v>
      </c>
      <c r="G158" s="17">
        <f t="shared" si="26"/>
        <v>322412.71377451677</v>
      </c>
      <c r="H158" s="17">
        <f>0</f>
        <v>0</v>
      </c>
      <c r="I158" s="17">
        <f t="shared" si="27"/>
        <v>322412.71377451677</v>
      </c>
      <c r="J158" s="17">
        <f t="shared" si="28"/>
        <v>0</v>
      </c>
      <c r="K158" s="17">
        <f>'1 - Input'!$B$22*(H158-J158)</f>
        <v>0</v>
      </c>
      <c r="L158" s="17">
        <f t="shared" si="29"/>
        <v>0</v>
      </c>
      <c r="M158" s="17">
        <f t="shared" si="30"/>
        <v>200895.60832351228</v>
      </c>
      <c r="N158" s="17">
        <f>0</f>
        <v>0</v>
      </c>
      <c r="O158" s="17">
        <f t="shared" si="31"/>
        <v>3226.7499352802392</v>
      </c>
      <c r="P158" s="17">
        <f t="shared" si="32"/>
        <v>0.37689923585330121</v>
      </c>
      <c r="Q158" s="17">
        <f>IF(AND(O158&gt;0,I158&gt;0),O158/(1-'1 - Input'!$B$22*P158),0)</f>
        <v>3577.3035041321532</v>
      </c>
      <c r="R158" s="17">
        <f t="shared" si="33"/>
        <v>3577.3035041321532</v>
      </c>
      <c r="S158" s="17">
        <f>'1 - Input'!$B$22*P158*R158</f>
        <v>350.55356885191378</v>
      </c>
      <c r="T158" s="17">
        <f t="shared" si="34"/>
        <v>3226.7499352802392</v>
      </c>
      <c r="U158" s="17">
        <f t="shared" si="35"/>
        <v>0</v>
      </c>
      <c r="V158" s="17">
        <f t="shared" si="36"/>
        <v>0</v>
      </c>
      <c r="W158" s="17">
        <f t="shared" si="37"/>
        <v>318835.41027038463</v>
      </c>
      <c r="X158" s="17">
        <f t="shared" si="38"/>
        <v>198666.58777650289</v>
      </c>
      <c r="Y158" s="17">
        <f>IF(MOD(A158,12)=0,W158*'1 - Input'!$B$23,0)</f>
        <v>0</v>
      </c>
      <c r="Z158" s="17">
        <f t="shared" si="39"/>
        <v>318835.41027038463</v>
      </c>
      <c r="AA158" s="17">
        <f>IF(MOD(A158,12)=0,X158*(1-'1 - Input'!$B$23),X158)</f>
        <v>198666.58777650289</v>
      </c>
      <c r="AB158" s="17">
        <f t="shared" si="40"/>
        <v>3226.7499352802392</v>
      </c>
      <c r="AC158" s="17">
        <f t="shared" si="44"/>
        <v>338637.21071510518</v>
      </c>
      <c r="AD158" s="17">
        <f t="shared" si="45"/>
        <v>0</v>
      </c>
      <c r="AE158" s="17">
        <f t="shared" si="46"/>
        <v>19949.219693662239</v>
      </c>
      <c r="AF158" s="17">
        <f t="shared" si="47"/>
        <v>0</v>
      </c>
      <c r="AG158" s="17">
        <f t="shared" si="48"/>
        <v>7481.4077306427153</v>
      </c>
      <c r="AH158" s="17">
        <f t="shared" si="49"/>
        <v>0</v>
      </c>
      <c r="AI158" s="15">
        <f t="shared" si="41"/>
        <v>0</v>
      </c>
    </row>
    <row r="159" spans="1:35">
      <c r="A159" s="14">
        <v>116</v>
      </c>
      <c r="B159" s="15">
        <f t="shared" si="25"/>
        <v>10</v>
      </c>
      <c r="C159" s="16">
        <f>(1+INDEX('1 - Input'!$B$34:$E$63,B159,'1 - Input'!$B$16))^(1/12)-1</f>
        <v>4.1219243192651689E-3</v>
      </c>
      <c r="D159" s="17">
        <f>'1 - Input'!$B$7*(1+'1 - Input'!$B$12)^(B159-1)</f>
        <v>3226.7499352802392</v>
      </c>
      <c r="E159" s="17">
        <f t="shared" si="42"/>
        <v>318835.41027038463</v>
      </c>
      <c r="F159" s="17">
        <f t="shared" si="43"/>
        <v>198666.58777650289</v>
      </c>
      <c r="G159" s="17">
        <f t="shared" si="26"/>
        <v>320149.625701821</v>
      </c>
      <c r="H159" s="17">
        <f>0</f>
        <v>0</v>
      </c>
      <c r="I159" s="17">
        <f t="shared" si="27"/>
        <v>320149.625701821</v>
      </c>
      <c r="J159" s="17">
        <f t="shared" si="28"/>
        <v>0</v>
      </c>
      <c r="K159" s="17">
        <f>'1 - Input'!$B$22*(H159-J159)</f>
        <v>0</v>
      </c>
      <c r="L159" s="17">
        <f t="shared" si="29"/>
        <v>0</v>
      </c>
      <c r="M159" s="17">
        <f t="shared" si="30"/>
        <v>198666.58777650289</v>
      </c>
      <c r="N159" s="17">
        <f>0</f>
        <v>0</v>
      </c>
      <c r="O159" s="17">
        <f t="shared" si="31"/>
        <v>3226.7499352802392</v>
      </c>
      <c r="P159" s="17">
        <f t="shared" si="32"/>
        <v>0.3794570668605568</v>
      </c>
      <c r="Q159" s="17">
        <f>IF(AND(O159&gt;0,I159&gt;0),O159/(1-'1 - Input'!$B$22*P159),0)</f>
        <v>3579.9429440392969</v>
      </c>
      <c r="R159" s="17">
        <f t="shared" si="33"/>
        <v>3579.9429440392969</v>
      </c>
      <c r="S159" s="17">
        <f>'1 - Input'!$B$22*P159*R159</f>
        <v>353.19300875905748</v>
      </c>
      <c r="T159" s="17">
        <f t="shared" si="34"/>
        <v>3226.7499352802392</v>
      </c>
      <c r="U159" s="17">
        <f t="shared" si="35"/>
        <v>0</v>
      </c>
      <c r="V159" s="17">
        <f t="shared" si="36"/>
        <v>0</v>
      </c>
      <c r="W159" s="17">
        <f t="shared" si="37"/>
        <v>316569.6827577817</v>
      </c>
      <c r="X159" s="17">
        <f t="shared" si="38"/>
        <v>196445.07948153687</v>
      </c>
      <c r="Y159" s="17">
        <f>IF(MOD(A159,12)=0,W159*'1 - Input'!$B$23,0)</f>
        <v>0</v>
      </c>
      <c r="Z159" s="17">
        <f t="shared" si="39"/>
        <v>316569.6827577817</v>
      </c>
      <c r="AA159" s="17">
        <f>IF(MOD(A159,12)=0,X159*(1-'1 - Input'!$B$23),X159)</f>
        <v>196445.07948153687</v>
      </c>
      <c r="AB159" s="17">
        <f t="shared" si="40"/>
        <v>3226.7499352802392</v>
      </c>
      <c r="AC159" s="17">
        <f t="shared" si="44"/>
        <v>341863.96065038542</v>
      </c>
      <c r="AD159" s="17">
        <f t="shared" si="45"/>
        <v>0</v>
      </c>
      <c r="AE159" s="17">
        <f t="shared" si="46"/>
        <v>20302.412702421298</v>
      </c>
      <c r="AF159" s="17">
        <f t="shared" si="47"/>
        <v>0</v>
      </c>
      <c r="AG159" s="17">
        <f t="shared" si="48"/>
        <v>7481.4077306427153</v>
      </c>
      <c r="AH159" s="17">
        <f t="shared" si="49"/>
        <v>0</v>
      </c>
      <c r="AI159" s="15">
        <f t="shared" si="41"/>
        <v>0</v>
      </c>
    </row>
    <row r="160" spans="1:35">
      <c r="A160" s="14">
        <v>117</v>
      </c>
      <c r="B160" s="15">
        <f t="shared" si="25"/>
        <v>10</v>
      </c>
      <c r="C160" s="16">
        <f>(1+INDEX('1 - Input'!$B$34:$E$63,B160,'1 - Input'!$B$16))^(1/12)-1</f>
        <v>4.1219243192651689E-3</v>
      </c>
      <c r="D160" s="17">
        <f>'1 - Input'!$B$7*(1+'1 - Input'!$B$12)^(B160-1)</f>
        <v>3226.7499352802392</v>
      </c>
      <c r="E160" s="17">
        <f t="shared" si="42"/>
        <v>316569.6827577817</v>
      </c>
      <c r="F160" s="17">
        <f t="shared" si="43"/>
        <v>196445.07948153687</v>
      </c>
      <c r="G160" s="17">
        <f t="shared" si="26"/>
        <v>317874.55903188308</v>
      </c>
      <c r="H160" s="17">
        <f>0</f>
        <v>0</v>
      </c>
      <c r="I160" s="17">
        <f t="shared" si="27"/>
        <v>317874.55903188308</v>
      </c>
      <c r="J160" s="17">
        <f t="shared" si="28"/>
        <v>0</v>
      </c>
      <c r="K160" s="17">
        <f>'1 - Input'!$B$22*(H160-J160)</f>
        <v>0</v>
      </c>
      <c r="L160" s="17">
        <f t="shared" si="29"/>
        <v>0</v>
      </c>
      <c r="M160" s="17">
        <f t="shared" si="30"/>
        <v>196445.07948153687</v>
      </c>
      <c r="N160" s="17">
        <f>0</f>
        <v>0</v>
      </c>
      <c r="O160" s="17">
        <f t="shared" si="31"/>
        <v>3226.7499352802392</v>
      </c>
      <c r="P160" s="17">
        <f t="shared" si="32"/>
        <v>0.38200439796179708</v>
      </c>
      <c r="Q160" s="17">
        <f>IF(AND(O160&gt;0,I160&gt;0),O160/(1-'1 - Input'!$B$22*P160),0)</f>
        <v>3582.5754228449605</v>
      </c>
      <c r="R160" s="17">
        <f t="shared" si="33"/>
        <v>3582.5754228449605</v>
      </c>
      <c r="S160" s="17">
        <f>'1 - Input'!$B$22*P160*R160</f>
        <v>355.82548756472119</v>
      </c>
      <c r="T160" s="17">
        <f t="shared" si="34"/>
        <v>3226.7499352802392</v>
      </c>
      <c r="U160" s="17">
        <f t="shared" si="35"/>
        <v>0</v>
      </c>
      <c r="V160" s="17">
        <f t="shared" si="36"/>
        <v>0</v>
      </c>
      <c r="W160" s="17">
        <f t="shared" si="37"/>
        <v>314291.98360903811</v>
      </c>
      <c r="X160" s="17">
        <f t="shared" si="38"/>
        <v>194231.06362624854</v>
      </c>
      <c r="Y160" s="17">
        <f>IF(MOD(A160,12)=0,W160*'1 - Input'!$B$23,0)</f>
        <v>0</v>
      </c>
      <c r="Z160" s="17">
        <f t="shared" si="39"/>
        <v>314291.98360903811</v>
      </c>
      <c r="AA160" s="17">
        <f>IF(MOD(A160,12)=0,X160*(1-'1 - Input'!$B$23),X160)</f>
        <v>194231.06362624854</v>
      </c>
      <c r="AB160" s="17">
        <f t="shared" si="40"/>
        <v>3226.7499352802392</v>
      </c>
      <c r="AC160" s="17">
        <f t="shared" si="44"/>
        <v>345090.71058566566</v>
      </c>
      <c r="AD160" s="17">
        <f t="shared" si="45"/>
        <v>0</v>
      </c>
      <c r="AE160" s="17">
        <f t="shared" si="46"/>
        <v>20658.238189986019</v>
      </c>
      <c r="AF160" s="17">
        <f t="shared" si="47"/>
        <v>0</v>
      </c>
      <c r="AG160" s="17">
        <f t="shared" si="48"/>
        <v>7481.4077306427153</v>
      </c>
      <c r="AH160" s="17">
        <f t="shared" si="49"/>
        <v>0</v>
      </c>
      <c r="AI160" s="15">
        <f t="shared" si="41"/>
        <v>0</v>
      </c>
    </row>
    <row r="161" spans="1:35">
      <c r="A161" s="14">
        <v>118</v>
      </c>
      <c r="B161" s="15">
        <f t="shared" si="25"/>
        <v>10</v>
      </c>
      <c r="C161" s="16">
        <f>(1+INDEX('1 - Input'!$B$34:$E$63,B161,'1 - Input'!$B$16))^(1/12)-1</f>
        <v>4.1219243192651689E-3</v>
      </c>
      <c r="D161" s="17">
        <f>'1 - Input'!$B$7*(1+'1 - Input'!$B$12)^(B161-1)</f>
        <v>3226.7499352802392</v>
      </c>
      <c r="E161" s="17">
        <f t="shared" si="42"/>
        <v>314291.98360903811</v>
      </c>
      <c r="F161" s="17">
        <f t="shared" si="43"/>
        <v>194231.06362624854</v>
      </c>
      <c r="G161" s="17">
        <f t="shared" si="26"/>
        <v>315587.47137962631</v>
      </c>
      <c r="H161" s="17">
        <f>0</f>
        <v>0</v>
      </c>
      <c r="I161" s="17">
        <f t="shared" si="27"/>
        <v>315587.47137962631</v>
      </c>
      <c r="J161" s="17">
        <f t="shared" si="28"/>
        <v>0</v>
      </c>
      <c r="K161" s="17">
        <f>'1 - Input'!$B$22*(H161-J161)</f>
        <v>0</v>
      </c>
      <c r="L161" s="17">
        <f t="shared" si="29"/>
        <v>0</v>
      </c>
      <c r="M161" s="17">
        <f t="shared" si="30"/>
        <v>194231.06362624854</v>
      </c>
      <c r="N161" s="17">
        <f>0</f>
        <v>0</v>
      </c>
      <c r="O161" s="17">
        <f t="shared" si="31"/>
        <v>3226.7499352802392</v>
      </c>
      <c r="P161" s="17">
        <f t="shared" si="32"/>
        <v>0.38454127225917589</v>
      </c>
      <c r="Q161" s="17">
        <f>IF(AND(O161&gt;0,I161&gt;0),O161/(1-'1 - Input'!$B$22*P161),0)</f>
        <v>3585.2009458677203</v>
      </c>
      <c r="R161" s="17">
        <f t="shared" si="33"/>
        <v>3585.2009458677203</v>
      </c>
      <c r="S161" s="17">
        <f>'1 - Input'!$B$22*P161*R161</f>
        <v>358.45101058748122</v>
      </c>
      <c r="T161" s="17">
        <f t="shared" si="34"/>
        <v>3226.7499352802392</v>
      </c>
      <c r="U161" s="17">
        <f t="shared" si="35"/>
        <v>0</v>
      </c>
      <c r="V161" s="17">
        <f t="shared" si="36"/>
        <v>0</v>
      </c>
      <c r="W161" s="17">
        <f t="shared" si="37"/>
        <v>312002.27043375862</v>
      </c>
      <c r="X161" s="17">
        <f t="shared" si="38"/>
        <v>192024.5204134096</v>
      </c>
      <c r="Y161" s="17">
        <f>IF(MOD(A161,12)=0,W161*'1 - Input'!$B$23,0)</f>
        <v>0</v>
      </c>
      <c r="Z161" s="17">
        <f t="shared" si="39"/>
        <v>312002.27043375862</v>
      </c>
      <c r="AA161" s="17">
        <f>IF(MOD(A161,12)=0,X161*(1-'1 - Input'!$B$23),X161)</f>
        <v>192024.5204134096</v>
      </c>
      <c r="AB161" s="17">
        <f t="shared" si="40"/>
        <v>3226.7499352802392</v>
      </c>
      <c r="AC161" s="17">
        <f t="shared" si="44"/>
        <v>348317.4605209459</v>
      </c>
      <c r="AD161" s="17">
        <f t="shared" si="45"/>
        <v>0</v>
      </c>
      <c r="AE161" s="17">
        <f t="shared" si="46"/>
        <v>21016.689200573499</v>
      </c>
      <c r="AF161" s="17">
        <f t="shared" si="47"/>
        <v>0</v>
      </c>
      <c r="AG161" s="17">
        <f t="shared" si="48"/>
        <v>7481.4077306427153</v>
      </c>
      <c r="AH161" s="17">
        <f t="shared" si="49"/>
        <v>0</v>
      </c>
      <c r="AI161" s="15">
        <f t="shared" si="41"/>
        <v>0</v>
      </c>
    </row>
    <row r="162" spans="1:35">
      <c r="A162" s="14">
        <v>119</v>
      </c>
      <c r="B162" s="15">
        <f t="shared" si="25"/>
        <v>10</v>
      </c>
      <c r="C162" s="16">
        <f>(1+INDEX('1 - Input'!$B$34:$E$63,B162,'1 - Input'!$B$16))^(1/12)-1</f>
        <v>4.1219243192651689E-3</v>
      </c>
      <c r="D162" s="17">
        <f>'1 - Input'!$B$7*(1+'1 - Input'!$B$12)^(B162-1)</f>
        <v>3226.7499352802392</v>
      </c>
      <c r="E162" s="17">
        <f t="shared" si="42"/>
        <v>312002.27043375862</v>
      </c>
      <c r="F162" s="17">
        <f t="shared" si="43"/>
        <v>192024.5204134096</v>
      </c>
      <c r="G162" s="17">
        <f t="shared" si="26"/>
        <v>313288.32017992547</v>
      </c>
      <c r="H162" s="17">
        <f>0</f>
        <v>0</v>
      </c>
      <c r="I162" s="17">
        <f t="shared" si="27"/>
        <v>313288.32017992547</v>
      </c>
      <c r="J162" s="17">
        <f t="shared" si="28"/>
        <v>0</v>
      </c>
      <c r="K162" s="17">
        <f>'1 - Input'!$B$22*(H162-J162)</f>
        <v>0</v>
      </c>
      <c r="L162" s="17">
        <f t="shared" si="29"/>
        <v>0</v>
      </c>
      <c r="M162" s="17">
        <f t="shared" si="30"/>
        <v>192024.5204134096</v>
      </c>
      <c r="N162" s="17">
        <f>0</f>
        <v>0</v>
      </c>
      <c r="O162" s="17">
        <f t="shared" si="31"/>
        <v>3226.7499352802392</v>
      </c>
      <c r="P162" s="17">
        <f t="shared" si="32"/>
        <v>0.38706773267791317</v>
      </c>
      <c r="Q162" s="17">
        <f>IF(AND(O162&gt;0,I162&gt;0),O162/(1-'1 - Input'!$B$22*P162),0)</f>
        <v>3587.8195185154686</v>
      </c>
      <c r="R162" s="17">
        <f t="shared" si="33"/>
        <v>3587.8195185154686</v>
      </c>
      <c r="S162" s="17">
        <f>'1 - Input'!$B$22*P162*R162</f>
        <v>361.06958323522957</v>
      </c>
      <c r="T162" s="17">
        <f t="shared" si="34"/>
        <v>3226.7499352802392</v>
      </c>
      <c r="U162" s="17">
        <f t="shared" si="35"/>
        <v>0</v>
      </c>
      <c r="V162" s="17">
        <f t="shared" si="36"/>
        <v>0</v>
      </c>
      <c r="W162" s="17">
        <f t="shared" si="37"/>
        <v>309700.50066140998</v>
      </c>
      <c r="X162" s="17">
        <f t="shared" si="38"/>
        <v>189825.43006118346</v>
      </c>
      <c r="Y162" s="17">
        <f>IF(MOD(A162,12)=0,W162*'1 - Input'!$B$23,0)</f>
        <v>0</v>
      </c>
      <c r="Z162" s="17">
        <f t="shared" si="39"/>
        <v>309700.50066140998</v>
      </c>
      <c r="AA162" s="17">
        <f>IF(MOD(A162,12)=0,X162*(1-'1 - Input'!$B$23),X162)</f>
        <v>189825.43006118346</v>
      </c>
      <c r="AB162" s="17">
        <f t="shared" si="40"/>
        <v>3226.7499352802392</v>
      </c>
      <c r="AC162" s="17">
        <f t="shared" si="44"/>
        <v>351544.21045622614</v>
      </c>
      <c r="AD162" s="17">
        <f t="shared" si="45"/>
        <v>0</v>
      </c>
      <c r="AE162" s="17">
        <f t="shared" si="46"/>
        <v>21377.758783808727</v>
      </c>
      <c r="AF162" s="17">
        <f t="shared" si="47"/>
        <v>0</v>
      </c>
      <c r="AG162" s="17">
        <f t="shared" si="48"/>
        <v>7481.4077306427153</v>
      </c>
      <c r="AH162" s="17">
        <f t="shared" si="49"/>
        <v>0</v>
      </c>
      <c r="AI162" s="15">
        <f t="shared" si="41"/>
        <v>0</v>
      </c>
    </row>
    <row r="163" spans="1:35">
      <c r="A163" s="14">
        <v>120</v>
      </c>
      <c r="B163" s="15">
        <f t="shared" si="25"/>
        <v>10</v>
      </c>
      <c r="C163" s="16">
        <f>(1+INDEX('1 - Input'!$B$34:$E$63,B163,'1 - Input'!$B$16))^(1/12)-1</f>
        <v>4.1219243192651689E-3</v>
      </c>
      <c r="D163" s="17">
        <f>'1 - Input'!$B$7*(1+'1 - Input'!$B$12)^(B163-1)</f>
        <v>3226.7499352802392</v>
      </c>
      <c r="E163" s="17">
        <f t="shared" si="42"/>
        <v>309700.50066140998</v>
      </c>
      <c r="F163" s="17">
        <f t="shared" si="43"/>
        <v>189825.43006118346</v>
      </c>
      <c r="G163" s="17">
        <f t="shared" si="26"/>
        <v>310977.06268677482</v>
      </c>
      <c r="H163" s="17">
        <f>0</f>
        <v>0</v>
      </c>
      <c r="I163" s="17">
        <f t="shared" si="27"/>
        <v>310977.06268677482</v>
      </c>
      <c r="J163" s="17">
        <f t="shared" si="28"/>
        <v>0</v>
      </c>
      <c r="K163" s="17">
        <f>'1 - Input'!$B$22*(H163-J163)</f>
        <v>0</v>
      </c>
      <c r="L163" s="17">
        <f t="shared" si="29"/>
        <v>0</v>
      </c>
      <c r="M163" s="17">
        <f t="shared" si="30"/>
        <v>189825.43006118346</v>
      </c>
      <c r="N163" s="17">
        <f>0</f>
        <v>0</v>
      </c>
      <c r="O163" s="17">
        <f t="shared" si="31"/>
        <v>3226.7499352802392</v>
      </c>
      <c r="P163" s="17">
        <f t="shared" si="32"/>
        <v>0.38958382196702024</v>
      </c>
      <c r="Q163" s="17">
        <f>IF(AND(O163&gt;0,I163&gt;0),O163/(1-'1 - Input'!$B$22*P163),0)</f>
        <v>3590.431146284795</v>
      </c>
      <c r="R163" s="17">
        <f t="shared" si="33"/>
        <v>3590.431146284795</v>
      </c>
      <c r="S163" s="17">
        <f>'1 - Input'!$B$22*P163*R163</f>
        <v>363.68121100455562</v>
      </c>
      <c r="T163" s="17">
        <f t="shared" si="34"/>
        <v>3226.7499352802392</v>
      </c>
      <c r="U163" s="17">
        <f t="shared" si="35"/>
        <v>0</v>
      </c>
      <c r="V163" s="17">
        <f t="shared" si="36"/>
        <v>0</v>
      </c>
      <c r="W163" s="17">
        <f t="shared" si="37"/>
        <v>307386.63154049002</v>
      </c>
      <c r="X163" s="17">
        <f t="shared" si="38"/>
        <v>187633.77280337774</v>
      </c>
      <c r="Y163" s="17">
        <f>IF(MOD(A163,12)=0,W163*'1 - Input'!$B$23,0)</f>
        <v>614.77326308098009</v>
      </c>
      <c r="Z163" s="17">
        <f t="shared" si="39"/>
        <v>306771.85827740905</v>
      </c>
      <c r="AA163" s="17">
        <f>IF(MOD(A163,12)=0,X163*(1-'1 - Input'!$B$23),X163)</f>
        <v>187258.50525777097</v>
      </c>
      <c r="AB163" s="17">
        <f t="shared" si="40"/>
        <v>3226.7499352802392</v>
      </c>
      <c r="AC163" s="17">
        <f t="shared" si="44"/>
        <v>354770.96039150638</v>
      </c>
      <c r="AD163" s="17">
        <f t="shared" si="45"/>
        <v>0</v>
      </c>
      <c r="AE163" s="17">
        <f t="shared" si="46"/>
        <v>21741.439994813281</v>
      </c>
      <c r="AF163" s="17">
        <f t="shared" si="47"/>
        <v>0</v>
      </c>
      <c r="AG163" s="17">
        <f t="shared" si="48"/>
        <v>8096.1809937236958</v>
      </c>
      <c r="AH163" s="17">
        <f t="shared" si="49"/>
        <v>0</v>
      </c>
      <c r="AI163" s="15">
        <f t="shared" si="41"/>
        <v>0</v>
      </c>
    </row>
    <row r="164" spans="1:35">
      <c r="A164" s="14">
        <v>121</v>
      </c>
      <c r="B164" s="15">
        <f t="shared" si="25"/>
        <v>11</v>
      </c>
      <c r="C164" s="16">
        <f>(1+INDEX('1 - Input'!$B$34:$E$63,B164,'1 - Input'!$B$16))^(1/12)-1</f>
        <v>4.1219243192651689E-3</v>
      </c>
      <c r="D164" s="17">
        <f>'1 - Input'!$B$7*(1+'1 - Input'!$B$12)^(B164-1)</f>
        <v>3291.284933985844</v>
      </c>
      <c r="E164" s="17">
        <f t="shared" si="42"/>
        <v>306771.85827740905</v>
      </c>
      <c r="F164" s="17">
        <f t="shared" si="43"/>
        <v>187258.50525777097</v>
      </c>
      <c r="G164" s="17">
        <f t="shared" si="26"/>
        <v>308036.34866050887</v>
      </c>
      <c r="H164" s="17">
        <f>0</f>
        <v>0</v>
      </c>
      <c r="I164" s="17">
        <f t="shared" si="27"/>
        <v>308036.34866050887</v>
      </c>
      <c r="J164" s="17">
        <f t="shared" si="28"/>
        <v>0</v>
      </c>
      <c r="K164" s="17">
        <f>'1 - Input'!$B$22*(H164-J164)</f>
        <v>0</v>
      </c>
      <c r="L164" s="17">
        <f t="shared" si="29"/>
        <v>0</v>
      </c>
      <c r="M164" s="17">
        <f t="shared" si="30"/>
        <v>187258.50525777097</v>
      </c>
      <c r="N164" s="17">
        <f>0</f>
        <v>0</v>
      </c>
      <c r="O164" s="17">
        <f t="shared" si="31"/>
        <v>3291.284933985844</v>
      </c>
      <c r="P164" s="17">
        <f t="shared" si="32"/>
        <v>0.39208958270002359</v>
      </c>
      <c r="Q164" s="17">
        <f>IF(AND(O164&gt;0,I164&gt;0),O164/(1-'1 - Input'!$B$22*P164),0)</f>
        <v>3664.8965514555766</v>
      </c>
      <c r="R164" s="17">
        <f t="shared" si="33"/>
        <v>3664.8965514555766</v>
      </c>
      <c r="S164" s="17">
        <f>'1 - Input'!$B$22*P164*R164</f>
        <v>373.61161746973289</v>
      </c>
      <c r="T164" s="17">
        <f t="shared" si="34"/>
        <v>3291.284933985844</v>
      </c>
      <c r="U164" s="17">
        <f t="shared" si="35"/>
        <v>0</v>
      </c>
      <c r="V164" s="17">
        <f t="shared" si="36"/>
        <v>0</v>
      </c>
      <c r="W164" s="17">
        <f t="shared" si="37"/>
        <v>304371.45210905327</v>
      </c>
      <c r="X164" s="17">
        <f t="shared" si="38"/>
        <v>185030.57646581437</v>
      </c>
      <c r="Y164" s="17">
        <f>IF(MOD(A164,12)=0,W164*'1 - Input'!$B$23,0)</f>
        <v>0</v>
      </c>
      <c r="Z164" s="17">
        <f t="shared" si="39"/>
        <v>304371.45210905327</v>
      </c>
      <c r="AA164" s="17">
        <f>IF(MOD(A164,12)=0,X164*(1-'1 - Input'!$B$23),X164)</f>
        <v>185030.57646581437</v>
      </c>
      <c r="AB164" s="17">
        <f t="shared" si="40"/>
        <v>3291.284933985844</v>
      </c>
      <c r="AC164" s="17">
        <f t="shared" si="44"/>
        <v>358062.24532549223</v>
      </c>
      <c r="AD164" s="17">
        <f t="shared" si="45"/>
        <v>0</v>
      </c>
      <c r="AE164" s="17">
        <f t="shared" si="46"/>
        <v>22115.051612283016</v>
      </c>
      <c r="AF164" s="17">
        <f t="shared" si="47"/>
        <v>0</v>
      </c>
      <c r="AG164" s="17">
        <f t="shared" si="48"/>
        <v>8096.1809937236958</v>
      </c>
      <c r="AH164" s="17">
        <f t="shared" si="49"/>
        <v>0</v>
      </c>
      <c r="AI164" s="15">
        <f t="shared" si="41"/>
        <v>0</v>
      </c>
    </row>
    <row r="165" spans="1:35">
      <c r="A165" s="14">
        <v>122</v>
      </c>
      <c r="B165" s="15">
        <f t="shared" si="25"/>
        <v>11</v>
      </c>
      <c r="C165" s="16">
        <f>(1+INDEX('1 - Input'!$B$34:$E$63,B165,'1 - Input'!$B$16))^(1/12)-1</f>
        <v>4.1219243192651689E-3</v>
      </c>
      <c r="D165" s="17">
        <f>'1 - Input'!$B$7*(1+'1 - Input'!$B$12)^(B165-1)</f>
        <v>3291.284933985844</v>
      </c>
      <c r="E165" s="17">
        <f t="shared" si="42"/>
        <v>304371.45210905327</v>
      </c>
      <c r="F165" s="17">
        <f t="shared" si="43"/>
        <v>185030.57646581437</v>
      </c>
      <c r="G165" s="17">
        <f t="shared" si="26"/>
        <v>305626.04819959163</v>
      </c>
      <c r="H165" s="17">
        <f>0</f>
        <v>0</v>
      </c>
      <c r="I165" s="17">
        <f t="shared" si="27"/>
        <v>305626.04819959163</v>
      </c>
      <c r="J165" s="17">
        <f t="shared" si="28"/>
        <v>0</v>
      </c>
      <c r="K165" s="17">
        <f>'1 - Input'!$B$22*(H165-J165)</f>
        <v>0</v>
      </c>
      <c r="L165" s="17">
        <f t="shared" si="29"/>
        <v>0</v>
      </c>
      <c r="M165" s="17">
        <f t="shared" si="30"/>
        <v>185030.57646581437</v>
      </c>
      <c r="N165" s="17">
        <f>0</f>
        <v>0</v>
      </c>
      <c r="O165" s="17">
        <f t="shared" si="31"/>
        <v>3291.284933985844</v>
      </c>
      <c r="P165" s="17">
        <f t="shared" si="32"/>
        <v>0.39458505727568538</v>
      </c>
      <c r="Q165" s="17">
        <f>IF(AND(O165&gt;0,I165&gt;0),O165/(1-'1 - Input'!$B$22*P165),0)</f>
        <v>3667.5462614066164</v>
      </c>
      <c r="R165" s="17">
        <f t="shared" si="33"/>
        <v>3667.5462614066164</v>
      </c>
      <c r="S165" s="17">
        <f>'1 - Input'!$B$22*P165*R165</f>
        <v>376.26132742077243</v>
      </c>
      <c r="T165" s="17">
        <f t="shared" si="34"/>
        <v>3291.284933985844</v>
      </c>
      <c r="U165" s="17">
        <f t="shared" si="35"/>
        <v>0</v>
      </c>
      <c r="V165" s="17">
        <f t="shared" si="36"/>
        <v>0</v>
      </c>
      <c r="W165" s="17">
        <f t="shared" si="37"/>
        <v>301958.50193818501</v>
      </c>
      <c r="X165" s="17">
        <f t="shared" si="38"/>
        <v>182810.18915602611</v>
      </c>
      <c r="Y165" s="17">
        <f>IF(MOD(A165,12)=0,W165*'1 - Input'!$B$23,0)</f>
        <v>0</v>
      </c>
      <c r="Z165" s="17">
        <f t="shared" si="39"/>
        <v>301958.50193818501</v>
      </c>
      <c r="AA165" s="17">
        <f>IF(MOD(A165,12)=0,X165*(1-'1 - Input'!$B$23),X165)</f>
        <v>182810.18915602611</v>
      </c>
      <c r="AB165" s="17">
        <f t="shared" si="40"/>
        <v>3291.284933985844</v>
      </c>
      <c r="AC165" s="17">
        <f t="shared" si="44"/>
        <v>361353.53025947808</v>
      </c>
      <c r="AD165" s="17">
        <f t="shared" si="45"/>
        <v>0</v>
      </c>
      <c r="AE165" s="17">
        <f t="shared" si="46"/>
        <v>22491.312939703788</v>
      </c>
      <c r="AF165" s="17">
        <f t="shared" si="47"/>
        <v>0</v>
      </c>
      <c r="AG165" s="17">
        <f t="shared" si="48"/>
        <v>8096.1809937236958</v>
      </c>
      <c r="AH165" s="17">
        <f t="shared" si="49"/>
        <v>0</v>
      </c>
      <c r="AI165" s="15">
        <f t="shared" si="41"/>
        <v>0</v>
      </c>
    </row>
    <row r="166" spans="1:35">
      <c r="A166" s="14">
        <v>123</v>
      </c>
      <c r="B166" s="15">
        <f t="shared" si="25"/>
        <v>11</v>
      </c>
      <c r="C166" s="16">
        <f>(1+INDEX('1 - Input'!$B$34:$E$63,B166,'1 - Input'!$B$16))^(1/12)-1</f>
        <v>4.1219243192651689E-3</v>
      </c>
      <c r="D166" s="17">
        <f>'1 - Input'!$B$7*(1+'1 - Input'!$B$12)^(B166-1)</f>
        <v>3291.284933985844</v>
      </c>
      <c r="E166" s="17">
        <f t="shared" si="42"/>
        <v>301958.50193818501</v>
      </c>
      <c r="F166" s="17">
        <f t="shared" si="43"/>
        <v>182810.18915602611</v>
      </c>
      <c r="G166" s="17">
        <f t="shared" si="26"/>
        <v>303203.15203073289</v>
      </c>
      <c r="H166" s="17">
        <f>0</f>
        <v>0</v>
      </c>
      <c r="I166" s="17">
        <f t="shared" si="27"/>
        <v>303203.15203073289</v>
      </c>
      <c r="J166" s="17">
        <f t="shared" si="28"/>
        <v>0</v>
      </c>
      <c r="K166" s="17">
        <f>'1 - Input'!$B$22*(H166-J166)</f>
        <v>0</v>
      </c>
      <c r="L166" s="17">
        <f t="shared" si="29"/>
        <v>0</v>
      </c>
      <c r="M166" s="17">
        <f t="shared" si="30"/>
        <v>182810.18915602611</v>
      </c>
      <c r="N166" s="17">
        <f>0</f>
        <v>0</v>
      </c>
      <c r="O166" s="17">
        <f t="shared" si="31"/>
        <v>3291.284933985844</v>
      </c>
      <c r="P166" s="17">
        <f t="shared" si="32"/>
        <v>0.39707028791872079</v>
      </c>
      <c r="Q166" s="17">
        <f>IF(AND(O166&gt;0,I166&gt;0),O166/(1-'1 - Input'!$B$22*P166),0)</f>
        <v>3670.1889049377755</v>
      </c>
      <c r="R166" s="17">
        <f t="shared" si="33"/>
        <v>3670.1889049377755</v>
      </c>
      <c r="S166" s="17">
        <f>'1 - Input'!$B$22*P166*R166</f>
        <v>378.90397095193168</v>
      </c>
      <c r="T166" s="17">
        <f t="shared" si="34"/>
        <v>3291.284933985844</v>
      </c>
      <c r="U166" s="17">
        <f t="shared" si="35"/>
        <v>0</v>
      </c>
      <c r="V166" s="17">
        <f t="shared" si="36"/>
        <v>0</v>
      </c>
      <c r="W166" s="17">
        <f t="shared" si="37"/>
        <v>299532.96312579513</v>
      </c>
      <c r="X166" s="17">
        <f t="shared" si="38"/>
        <v>180597.32321628809</v>
      </c>
      <c r="Y166" s="17">
        <f>IF(MOD(A166,12)=0,W166*'1 - Input'!$B$23,0)</f>
        <v>0</v>
      </c>
      <c r="Z166" s="17">
        <f t="shared" si="39"/>
        <v>299532.96312579513</v>
      </c>
      <c r="AA166" s="17">
        <f>IF(MOD(A166,12)=0,X166*(1-'1 - Input'!$B$23),X166)</f>
        <v>180597.32321628809</v>
      </c>
      <c r="AB166" s="17">
        <f t="shared" si="40"/>
        <v>3291.284933985844</v>
      </c>
      <c r="AC166" s="17">
        <f t="shared" si="44"/>
        <v>364644.81519346393</v>
      </c>
      <c r="AD166" s="17">
        <f t="shared" si="45"/>
        <v>0</v>
      </c>
      <c r="AE166" s="17">
        <f t="shared" si="46"/>
        <v>22870.216910655719</v>
      </c>
      <c r="AF166" s="17">
        <f t="shared" si="47"/>
        <v>0</v>
      </c>
      <c r="AG166" s="17">
        <f t="shared" si="48"/>
        <v>8096.1809937236958</v>
      </c>
      <c r="AH166" s="17">
        <f t="shared" si="49"/>
        <v>0</v>
      </c>
      <c r="AI166" s="15">
        <f t="shared" si="41"/>
        <v>0</v>
      </c>
    </row>
    <row r="167" spans="1:35">
      <c r="A167" s="14">
        <v>124</v>
      </c>
      <c r="B167" s="15">
        <f t="shared" si="25"/>
        <v>11</v>
      </c>
      <c r="C167" s="16">
        <f>(1+INDEX('1 - Input'!$B$34:$E$63,B167,'1 - Input'!$B$16))^(1/12)-1</f>
        <v>4.1219243192651689E-3</v>
      </c>
      <c r="D167" s="17">
        <f>'1 - Input'!$B$7*(1+'1 - Input'!$B$12)^(B167-1)</f>
        <v>3291.284933985844</v>
      </c>
      <c r="E167" s="17">
        <f t="shared" si="42"/>
        <v>299532.96312579513</v>
      </c>
      <c r="F167" s="17">
        <f t="shared" si="43"/>
        <v>180597.32321628809</v>
      </c>
      <c r="G167" s="17">
        <f t="shared" si="26"/>
        <v>300767.61533092492</v>
      </c>
      <c r="H167" s="17">
        <f>0</f>
        <v>0</v>
      </c>
      <c r="I167" s="17">
        <f t="shared" si="27"/>
        <v>300767.61533092492</v>
      </c>
      <c r="J167" s="17">
        <f t="shared" si="28"/>
        <v>0</v>
      </c>
      <c r="K167" s="17">
        <f>'1 - Input'!$B$22*(H167-J167)</f>
        <v>0</v>
      </c>
      <c r="L167" s="17">
        <f t="shared" si="29"/>
        <v>0</v>
      </c>
      <c r="M167" s="17">
        <f t="shared" si="30"/>
        <v>180597.32321628809</v>
      </c>
      <c r="N167" s="17">
        <f>0</f>
        <v>0</v>
      </c>
      <c r="O167" s="17">
        <f t="shared" si="31"/>
        <v>3291.284933985844</v>
      </c>
      <c r="P167" s="17">
        <f t="shared" si="32"/>
        <v>0.39954531668051207</v>
      </c>
      <c r="Q167" s="17">
        <f>IF(AND(O167&gt;0,I167&gt;0),O167/(1-'1 - Input'!$B$22*P167),0)</f>
        <v>3672.8244880111793</v>
      </c>
      <c r="R167" s="17">
        <f t="shared" si="33"/>
        <v>3672.8244880111793</v>
      </c>
      <c r="S167" s="17">
        <f>'1 - Input'!$B$22*P167*R167</f>
        <v>381.53955402533524</v>
      </c>
      <c r="T167" s="17">
        <f t="shared" si="34"/>
        <v>3291.284933985844</v>
      </c>
      <c r="U167" s="17">
        <f t="shared" si="35"/>
        <v>0</v>
      </c>
      <c r="V167" s="17">
        <f t="shared" si="36"/>
        <v>0</v>
      </c>
      <c r="W167" s="17">
        <f t="shared" si="37"/>
        <v>297094.79084291373</v>
      </c>
      <c r="X167" s="17">
        <f t="shared" si="38"/>
        <v>178391.95855145127</v>
      </c>
      <c r="Y167" s="17">
        <f>IF(MOD(A167,12)=0,W167*'1 - Input'!$B$23,0)</f>
        <v>0</v>
      </c>
      <c r="Z167" s="17">
        <f t="shared" si="39"/>
        <v>297094.79084291373</v>
      </c>
      <c r="AA167" s="17">
        <f>IF(MOD(A167,12)=0,X167*(1-'1 - Input'!$B$23),X167)</f>
        <v>178391.95855145127</v>
      </c>
      <c r="AB167" s="17">
        <f t="shared" si="40"/>
        <v>3291.284933985844</v>
      </c>
      <c r="AC167" s="17">
        <f t="shared" si="44"/>
        <v>367936.10012744978</v>
      </c>
      <c r="AD167" s="17">
        <f t="shared" si="45"/>
        <v>0</v>
      </c>
      <c r="AE167" s="17">
        <f t="shared" si="46"/>
        <v>23251.756464681053</v>
      </c>
      <c r="AF167" s="17">
        <f t="shared" si="47"/>
        <v>0</v>
      </c>
      <c r="AG167" s="17">
        <f t="shared" si="48"/>
        <v>8096.1809937236958</v>
      </c>
      <c r="AH167" s="17">
        <f t="shared" si="49"/>
        <v>0</v>
      </c>
      <c r="AI167" s="15">
        <f t="shared" si="41"/>
        <v>0</v>
      </c>
    </row>
    <row r="168" spans="1:35">
      <c r="A168" s="14">
        <v>125</v>
      </c>
      <c r="B168" s="15">
        <f t="shared" si="25"/>
        <v>11</v>
      </c>
      <c r="C168" s="16">
        <f>(1+INDEX('1 - Input'!$B$34:$E$63,B168,'1 - Input'!$B$16))^(1/12)-1</f>
        <v>4.1219243192651689E-3</v>
      </c>
      <c r="D168" s="17">
        <f>'1 - Input'!$B$7*(1+'1 - Input'!$B$12)^(B168-1)</f>
        <v>3291.284933985844</v>
      </c>
      <c r="E168" s="17">
        <f t="shared" si="42"/>
        <v>297094.79084291373</v>
      </c>
      <c r="F168" s="17">
        <f t="shared" si="43"/>
        <v>178391.95855145127</v>
      </c>
      <c r="G168" s="17">
        <f t="shared" si="26"/>
        <v>298319.39308641612</v>
      </c>
      <c r="H168" s="17">
        <f>0</f>
        <v>0</v>
      </c>
      <c r="I168" s="17">
        <f t="shared" si="27"/>
        <v>298319.39308641612</v>
      </c>
      <c r="J168" s="17">
        <f t="shared" si="28"/>
        <v>0</v>
      </c>
      <c r="K168" s="17">
        <f>'1 - Input'!$B$22*(H168-J168)</f>
        <v>0</v>
      </c>
      <c r="L168" s="17">
        <f t="shared" si="29"/>
        <v>0</v>
      </c>
      <c r="M168" s="17">
        <f t="shared" si="30"/>
        <v>178391.95855145127</v>
      </c>
      <c r="N168" s="17">
        <f>0</f>
        <v>0</v>
      </c>
      <c r="O168" s="17">
        <f t="shared" si="31"/>
        <v>3291.284933985844</v>
      </c>
      <c r="P168" s="17">
        <f t="shared" si="32"/>
        <v>0.40201018543982048</v>
      </c>
      <c r="Q168" s="17">
        <f>IF(AND(O168&gt;0,I168&gt;0),O168/(1-'1 - Input'!$B$22*P168),0)</f>
        <v>3675.4530166762829</v>
      </c>
      <c r="R168" s="17">
        <f t="shared" si="33"/>
        <v>3675.4530166762829</v>
      </c>
      <c r="S168" s="17">
        <f>'1 - Input'!$B$22*P168*R168</f>
        <v>384.16808269043884</v>
      </c>
      <c r="T168" s="17">
        <f t="shared" si="34"/>
        <v>3291.284933985844</v>
      </c>
      <c r="U168" s="17">
        <f t="shared" si="35"/>
        <v>0</v>
      </c>
      <c r="V168" s="17">
        <f t="shared" si="36"/>
        <v>0</v>
      </c>
      <c r="W168" s="17">
        <f t="shared" si="37"/>
        <v>294643.94006973982</v>
      </c>
      <c r="X168" s="17">
        <f t="shared" si="38"/>
        <v>176194.07508358435</v>
      </c>
      <c r="Y168" s="17">
        <f>IF(MOD(A168,12)=0,W168*'1 - Input'!$B$23,0)</f>
        <v>0</v>
      </c>
      <c r="Z168" s="17">
        <f t="shared" si="39"/>
        <v>294643.94006973982</v>
      </c>
      <c r="AA168" s="17">
        <f>IF(MOD(A168,12)=0,X168*(1-'1 - Input'!$B$23),X168)</f>
        <v>176194.07508358435</v>
      </c>
      <c r="AB168" s="17">
        <f t="shared" si="40"/>
        <v>3291.284933985844</v>
      </c>
      <c r="AC168" s="17">
        <f t="shared" si="44"/>
        <v>371227.38506143563</v>
      </c>
      <c r="AD168" s="17">
        <f t="shared" si="45"/>
        <v>0</v>
      </c>
      <c r="AE168" s="17">
        <f t="shared" si="46"/>
        <v>23635.924547371491</v>
      </c>
      <c r="AF168" s="17">
        <f t="shared" si="47"/>
        <v>0</v>
      </c>
      <c r="AG168" s="17">
        <f t="shared" si="48"/>
        <v>8096.1809937236958</v>
      </c>
      <c r="AH168" s="17">
        <f t="shared" si="49"/>
        <v>0</v>
      </c>
      <c r="AI168" s="15">
        <f t="shared" si="41"/>
        <v>0</v>
      </c>
    </row>
    <row r="169" spans="1:35">
      <c r="A169" s="14">
        <v>126</v>
      </c>
      <c r="B169" s="15">
        <f t="shared" si="25"/>
        <v>11</v>
      </c>
      <c r="C169" s="16">
        <f>(1+INDEX('1 - Input'!$B$34:$E$63,B169,'1 - Input'!$B$16))^(1/12)-1</f>
        <v>4.1219243192651689E-3</v>
      </c>
      <c r="D169" s="17">
        <f>'1 - Input'!$B$7*(1+'1 - Input'!$B$12)^(B169-1)</f>
        <v>3291.284933985844</v>
      </c>
      <c r="E169" s="17">
        <f t="shared" si="42"/>
        <v>294643.94006973982</v>
      </c>
      <c r="F169" s="17">
        <f t="shared" si="43"/>
        <v>176194.07508358435</v>
      </c>
      <c r="G169" s="17">
        <f t="shared" si="26"/>
        <v>295858.44009183737</v>
      </c>
      <c r="H169" s="17">
        <f>0</f>
        <v>0</v>
      </c>
      <c r="I169" s="17">
        <f t="shared" si="27"/>
        <v>295858.44009183737</v>
      </c>
      <c r="J169" s="17">
        <f t="shared" si="28"/>
        <v>0</v>
      </c>
      <c r="K169" s="17">
        <f>'1 - Input'!$B$22*(H169-J169)</f>
        <v>0</v>
      </c>
      <c r="L169" s="17">
        <f t="shared" si="29"/>
        <v>0</v>
      </c>
      <c r="M169" s="17">
        <f t="shared" si="30"/>
        <v>176194.07508358435</v>
      </c>
      <c r="N169" s="17">
        <f>0</f>
        <v>0</v>
      </c>
      <c r="O169" s="17">
        <f t="shared" si="31"/>
        <v>3291.284933985844</v>
      </c>
      <c r="P169" s="17">
        <f t="shared" si="32"/>
        <v>0.40446493590349497</v>
      </c>
      <c r="Q169" s="17">
        <f>IF(AND(O169&gt;0,I169&gt;0),O169/(1-'1 - Input'!$B$22*P169),0)</f>
        <v>3678.0744970692458</v>
      </c>
      <c r="R169" s="17">
        <f t="shared" si="33"/>
        <v>3678.0744970692458</v>
      </c>
      <c r="S169" s="17">
        <f>'1 - Input'!$B$22*P169*R169</f>
        <v>386.7895630834019</v>
      </c>
      <c r="T169" s="17">
        <f t="shared" si="34"/>
        <v>3291.284933985844</v>
      </c>
      <c r="U169" s="17">
        <f t="shared" si="35"/>
        <v>0</v>
      </c>
      <c r="V169" s="17">
        <f t="shared" si="36"/>
        <v>0</v>
      </c>
      <c r="W169" s="17">
        <f t="shared" si="37"/>
        <v>292180.36559476814</v>
      </c>
      <c r="X169" s="17">
        <f t="shared" si="38"/>
        <v>174003.65275222049</v>
      </c>
      <c r="Y169" s="17">
        <f>IF(MOD(A169,12)=0,W169*'1 - Input'!$B$23,0)</f>
        <v>0</v>
      </c>
      <c r="Z169" s="17">
        <f t="shared" si="39"/>
        <v>292180.36559476814</v>
      </c>
      <c r="AA169" s="17">
        <f>IF(MOD(A169,12)=0,X169*(1-'1 - Input'!$B$23),X169)</f>
        <v>174003.65275222049</v>
      </c>
      <c r="AB169" s="17">
        <f t="shared" si="40"/>
        <v>3291.284933985844</v>
      </c>
      <c r="AC169" s="17">
        <f t="shared" si="44"/>
        <v>374518.66999542149</v>
      </c>
      <c r="AD169" s="17">
        <f t="shared" si="45"/>
        <v>0</v>
      </c>
      <c r="AE169" s="17">
        <f t="shared" si="46"/>
        <v>24022.714110454894</v>
      </c>
      <c r="AF169" s="17">
        <f t="shared" si="47"/>
        <v>0</v>
      </c>
      <c r="AG169" s="17">
        <f t="shared" si="48"/>
        <v>8096.1809937236958</v>
      </c>
      <c r="AH169" s="17">
        <f t="shared" si="49"/>
        <v>0</v>
      </c>
      <c r="AI169" s="15">
        <f t="shared" si="41"/>
        <v>0</v>
      </c>
    </row>
    <row r="170" spans="1:35">
      <c r="A170" s="14">
        <v>127</v>
      </c>
      <c r="B170" s="15">
        <f t="shared" si="25"/>
        <v>11</v>
      </c>
      <c r="C170" s="16">
        <f>(1+INDEX('1 - Input'!$B$34:$E$63,B170,'1 - Input'!$B$16))^(1/12)-1</f>
        <v>4.1219243192651689E-3</v>
      </c>
      <c r="D170" s="17">
        <f>'1 - Input'!$B$7*(1+'1 - Input'!$B$12)^(B170-1)</f>
        <v>3291.284933985844</v>
      </c>
      <c r="E170" s="17">
        <f t="shared" si="42"/>
        <v>292180.36559476814</v>
      </c>
      <c r="F170" s="17">
        <f t="shared" si="43"/>
        <v>174003.65275222049</v>
      </c>
      <c r="G170" s="17">
        <f t="shared" si="26"/>
        <v>293384.710949325</v>
      </c>
      <c r="H170" s="17">
        <f>0</f>
        <v>0</v>
      </c>
      <c r="I170" s="17">
        <f t="shared" si="27"/>
        <v>293384.710949325</v>
      </c>
      <c r="J170" s="17">
        <f t="shared" si="28"/>
        <v>0</v>
      </c>
      <c r="K170" s="17">
        <f>'1 - Input'!$B$22*(H170-J170)</f>
        <v>0</v>
      </c>
      <c r="L170" s="17">
        <f t="shared" si="29"/>
        <v>0</v>
      </c>
      <c r="M170" s="17">
        <f t="shared" si="30"/>
        <v>174003.65275222049</v>
      </c>
      <c r="N170" s="17">
        <f>0</f>
        <v>0</v>
      </c>
      <c r="O170" s="17">
        <f t="shared" si="31"/>
        <v>3291.284933985844</v>
      </c>
      <c r="P170" s="17">
        <f t="shared" si="32"/>
        <v>0.4069096096071777</v>
      </c>
      <c r="Q170" s="17">
        <f>IF(AND(O170&gt;0,I170&gt;0),O170/(1-'1 - Input'!$B$22*P170),0)</f>
        <v>3680.6889354123045</v>
      </c>
      <c r="R170" s="17">
        <f t="shared" si="33"/>
        <v>3680.6889354123045</v>
      </c>
      <c r="S170" s="17">
        <f>'1 - Input'!$B$22*P170*R170</f>
        <v>389.40400142646064</v>
      </c>
      <c r="T170" s="17">
        <f t="shared" si="34"/>
        <v>3291.284933985844</v>
      </c>
      <c r="U170" s="17">
        <f t="shared" si="35"/>
        <v>0</v>
      </c>
      <c r="V170" s="17">
        <f t="shared" si="36"/>
        <v>0</v>
      </c>
      <c r="W170" s="17">
        <f t="shared" si="37"/>
        <v>289704.02201391268</v>
      </c>
      <c r="X170" s="17">
        <f t="shared" si="38"/>
        <v>171820.67151460226</v>
      </c>
      <c r="Y170" s="17">
        <f>IF(MOD(A170,12)=0,W170*'1 - Input'!$B$23,0)</f>
        <v>0</v>
      </c>
      <c r="Z170" s="17">
        <f t="shared" si="39"/>
        <v>289704.02201391268</v>
      </c>
      <c r="AA170" s="17">
        <f>IF(MOD(A170,12)=0,X170*(1-'1 - Input'!$B$23),X170)</f>
        <v>171820.67151460226</v>
      </c>
      <c r="AB170" s="17">
        <f t="shared" si="40"/>
        <v>3291.284933985844</v>
      </c>
      <c r="AC170" s="17">
        <f t="shared" si="44"/>
        <v>377809.95492940734</v>
      </c>
      <c r="AD170" s="17">
        <f t="shared" si="45"/>
        <v>0</v>
      </c>
      <c r="AE170" s="17">
        <f t="shared" si="46"/>
        <v>24412.118111881355</v>
      </c>
      <c r="AF170" s="17">
        <f t="shared" si="47"/>
        <v>0</v>
      </c>
      <c r="AG170" s="17">
        <f t="shared" si="48"/>
        <v>8096.1809937236958</v>
      </c>
      <c r="AH170" s="17">
        <f t="shared" si="49"/>
        <v>0</v>
      </c>
      <c r="AI170" s="15">
        <f t="shared" si="41"/>
        <v>0</v>
      </c>
    </row>
    <row r="171" spans="1:35">
      <c r="A171" s="14">
        <v>128</v>
      </c>
      <c r="B171" s="15">
        <f t="shared" si="25"/>
        <v>11</v>
      </c>
      <c r="C171" s="16">
        <f>(1+INDEX('1 - Input'!$B$34:$E$63,B171,'1 - Input'!$B$16))^(1/12)-1</f>
        <v>4.1219243192651689E-3</v>
      </c>
      <c r="D171" s="17">
        <f>'1 - Input'!$B$7*(1+'1 - Input'!$B$12)^(B171-1)</f>
        <v>3291.284933985844</v>
      </c>
      <c r="E171" s="17">
        <f t="shared" si="42"/>
        <v>289704.02201391268</v>
      </c>
      <c r="F171" s="17">
        <f t="shared" si="43"/>
        <v>171820.67151460226</v>
      </c>
      <c r="G171" s="17">
        <f t="shared" si="26"/>
        <v>290898.16006764077</v>
      </c>
      <c r="H171" s="17">
        <f>0</f>
        <v>0</v>
      </c>
      <c r="I171" s="17">
        <f t="shared" si="27"/>
        <v>290898.16006764077</v>
      </c>
      <c r="J171" s="17">
        <f t="shared" si="28"/>
        <v>0</v>
      </c>
      <c r="K171" s="17">
        <f>'1 - Input'!$B$22*(H171-J171)</f>
        <v>0</v>
      </c>
      <c r="L171" s="17">
        <f t="shared" si="29"/>
        <v>0</v>
      </c>
      <c r="M171" s="17">
        <f t="shared" si="30"/>
        <v>171820.67151460226</v>
      </c>
      <c r="N171" s="17">
        <f>0</f>
        <v>0</v>
      </c>
      <c r="O171" s="17">
        <f t="shared" si="31"/>
        <v>3291.284933985844</v>
      </c>
      <c r="P171" s="17">
        <f t="shared" si="32"/>
        <v>0.40934424791600654</v>
      </c>
      <c r="Q171" s="17">
        <f>IF(AND(O171&gt;0,I171&gt;0),O171/(1-'1 - Input'!$B$22*P171),0)</f>
        <v>3683.2963380131446</v>
      </c>
      <c r="R171" s="17">
        <f t="shared" si="33"/>
        <v>3683.2963380131446</v>
      </c>
      <c r="S171" s="17">
        <f>'1 - Input'!$B$22*P171*R171</f>
        <v>392.01140402730067</v>
      </c>
      <c r="T171" s="17">
        <f t="shared" si="34"/>
        <v>3291.284933985844</v>
      </c>
      <c r="U171" s="17">
        <f t="shared" si="35"/>
        <v>0</v>
      </c>
      <c r="V171" s="17">
        <f t="shared" si="36"/>
        <v>0</v>
      </c>
      <c r="W171" s="17">
        <f t="shared" si="37"/>
        <v>287214.86372962763</v>
      </c>
      <c r="X171" s="17">
        <f t="shared" si="38"/>
        <v>169645.11134592487</v>
      </c>
      <c r="Y171" s="17">
        <f>IF(MOD(A171,12)=0,W171*'1 - Input'!$B$23,0)</f>
        <v>0</v>
      </c>
      <c r="Z171" s="17">
        <f t="shared" si="39"/>
        <v>287214.86372962763</v>
      </c>
      <c r="AA171" s="17">
        <f>IF(MOD(A171,12)=0,X171*(1-'1 - Input'!$B$23),X171)</f>
        <v>169645.11134592487</v>
      </c>
      <c r="AB171" s="17">
        <f t="shared" si="40"/>
        <v>3291.284933985844</v>
      </c>
      <c r="AC171" s="17">
        <f t="shared" si="44"/>
        <v>381101.23986339319</v>
      </c>
      <c r="AD171" s="17">
        <f t="shared" si="45"/>
        <v>0</v>
      </c>
      <c r="AE171" s="17">
        <f t="shared" si="46"/>
        <v>24804.129515908655</v>
      </c>
      <c r="AF171" s="17">
        <f t="shared" si="47"/>
        <v>0</v>
      </c>
      <c r="AG171" s="17">
        <f t="shared" si="48"/>
        <v>8096.1809937236958</v>
      </c>
      <c r="AH171" s="17">
        <f t="shared" si="49"/>
        <v>0</v>
      </c>
      <c r="AI171" s="15">
        <f t="shared" si="41"/>
        <v>0</v>
      </c>
    </row>
    <row r="172" spans="1:35">
      <c r="A172" s="14">
        <v>129</v>
      </c>
      <c r="B172" s="15">
        <f t="shared" ref="B172:B235" si="50">ROUNDUP(A172/12,0)</f>
        <v>11</v>
      </c>
      <c r="C172" s="16">
        <f>(1+INDEX('1 - Input'!$B$34:$E$63,B172,'1 - Input'!$B$16))^(1/12)-1</f>
        <v>4.1219243192651689E-3</v>
      </c>
      <c r="D172" s="17">
        <f>'1 - Input'!$B$7*(1+'1 - Input'!$B$12)^(B172-1)</f>
        <v>3291.284933985844</v>
      </c>
      <c r="E172" s="17">
        <f t="shared" si="42"/>
        <v>287214.86372962763</v>
      </c>
      <c r="F172" s="17">
        <f t="shared" si="43"/>
        <v>169645.11134592487</v>
      </c>
      <c r="G172" s="17">
        <f t="shared" ref="G172:G235" si="51">E172*(1+C172)</f>
        <v>288398.74166128918</v>
      </c>
      <c r="H172" s="17">
        <f>0</f>
        <v>0</v>
      </c>
      <c r="I172" s="17">
        <f t="shared" ref="I172:I235" si="52">G172-H172</f>
        <v>288398.74166128918</v>
      </c>
      <c r="J172" s="17">
        <f t="shared" ref="J172:J235" si="53">MIN($B$41*H172,F172)</f>
        <v>0</v>
      </c>
      <c r="K172" s="17">
        <f>'1 - Input'!$B$22*(H172-J172)</f>
        <v>0</v>
      </c>
      <c r="L172" s="17">
        <f t="shared" ref="L172:L235" si="54">H172-K172</f>
        <v>0</v>
      </c>
      <c r="M172" s="17">
        <f t="shared" ref="M172:M235" si="55">F172-J172</f>
        <v>169645.11134592487</v>
      </c>
      <c r="N172" s="17">
        <f>0</f>
        <v>0</v>
      </c>
      <c r="O172" s="17">
        <f t="shared" ref="O172:O235" si="56">D172</f>
        <v>3291.284933985844</v>
      </c>
      <c r="P172" s="17">
        <f t="shared" ref="P172:P235" si="57">IF(I172&gt;0,MAX(0,1-M172/I172),0)</f>
        <v>0.41176889202531575</v>
      </c>
      <c r="Q172" s="17">
        <f>IF(AND(O172&gt;0,I172&gt;0),O172/(1-'1 - Input'!$B$22*P172),0)</f>
        <v>3685.8967112642758</v>
      </c>
      <c r="R172" s="17">
        <f t="shared" ref="R172:R235" si="58">MIN(Q172,I172)</f>
        <v>3685.8967112642758</v>
      </c>
      <c r="S172" s="17">
        <f>'1 - Input'!$B$22*P172*R172</f>
        <v>394.61177727843199</v>
      </c>
      <c r="T172" s="17">
        <f t="shared" ref="T172:T235" si="59">R172-S172</f>
        <v>3291.284933985844</v>
      </c>
      <c r="U172" s="17">
        <f t="shared" ref="U172:U235" si="60">O172-T172</f>
        <v>0</v>
      </c>
      <c r="V172" s="17">
        <f t="shared" ref="V172:V235" si="61">IF(I172&gt;0,R172*MAX(0,M172/I172-1),0)</f>
        <v>0</v>
      </c>
      <c r="W172" s="17">
        <f t="shared" ref="W172:W235" si="62">I172-R172+N172</f>
        <v>284712.84495002491</v>
      </c>
      <c r="X172" s="17">
        <f t="shared" ref="X172:X235" si="63">IF(R172&gt;0,M172*(1-R172/I172),M172)+N172</f>
        <v>167476.95223957766</v>
      </c>
      <c r="Y172" s="17">
        <f>IF(MOD(A172,12)=0,W172*'1 - Input'!$B$23,0)</f>
        <v>0</v>
      </c>
      <c r="Z172" s="17">
        <f t="shared" ref="Z172:Z235" si="64">W172-Y172</f>
        <v>284712.84495002491</v>
      </c>
      <c r="AA172" s="17">
        <f>IF(MOD(A172,12)=0,X172*(1-'1 - Input'!$B$23),X172)</f>
        <v>167476.95223957766</v>
      </c>
      <c r="AB172" s="17">
        <f t="shared" ref="AB172:AB235" si="65">T172</f>
        <v>3291.284933985844</v>
      </c>
      <c r="AC172" s="17">
        <f t="shared" si="44"/>
        <v>384392.52479737904</v>
      </c>
      <c r="AD172" s="17">
        <f t="shared" si="45"/>
        <v>0</v>
      </c>
      <c r="AE172" s="17">
        <f t="shared" si="46"/>
        <v>25198.741293187086</v>
      </c>
      <c r="AF172" s="17">
        <f t="shared" si="47"/>
        <v>0</v>
      </c>
      <c r="AG172" s="17">
        <f t="shared" si="48"/>
        <v>8096.1809937236958</v>
      </c>
      <c r="AH172" s="17">
        <f t="shared" si="49"/>
        <v>0</v>
      </c>
      <c r="AI172" s="15">
        <f t="shared" ref="AI172:AI235" si="66">IF(W172&lt;=0.000001,1,0)</f>
        <v>0</v>
      </c>
    </row>
    <row r="173" spans="1:35">
      <c r="A173" s="14">
        <v>130</v>
      </c>
      <c r="B173" s="15">
        <f t="shared" si="50"/>
        <v>11</v>
      </c>
      <c r="C173" s="16">
        <f>(1+INDEX('1 - Input'!$B$34:$E$63,B173,'1 - Input'!$B$16))^(1/12)-1</f>
        <v>4.1219243192651689E-3</v>
      </c>
      <c r="D173" s="17">
        <f>'1 - Input'!$B$7*(1+'1 - Input'!$B$12)^(B173-1)</f>
        <v>3291.284933985844</v>
      </c>
      <c r="E173" s="17">
        <f t="shared" ref="E173:E236" si="67">Z172</f>
        <v>284712.84495002491</v>
      </c>
      <c r="F173" s="17">
        <f t="shared" ref="F173:F236" si="68">AA172</f>
        <v>167476.95223957766</v>
      </c>
      <c r="G173" s="17">
        <f t="shared" si="51"/>
        <v>285886.4097496316</v>
      </c>
      <c r="H173" s="17">
        <f>0</f>
        <v>0</v>
      </c>
      <c r="I173" s="17">
        <f t="shared" si="52"/>
        <v>285886.4097496316</v>
      </c>
      <c r="J173" s="17">
        <f t="shared" si="53"/>
        <v>0</v>
      </c>
      <c r="K173" s="17">
        <f>'1 - Input'!$B$22*(H173-J173)</f>
        <v>0</v>
      </c>
      <c r="L173" s="17">
        <f t="shared" si="54"/>
        <v>0</v>
      </c>
      <c r="M173" s="17">
        <f t="shared" si="55"/>
        <v>167476.95223957766</v>
      </c>
      <c r="N173" s="17">
        <f>0</f>
        <v>0</v>
      </c>
      <c r="O173" s="17">
        <f t="shared" si="56"/>
        <v>3291.284933985844</v>
      </c>
      <c r="P173" s="17">
        <f t="shared" si="57"/>
        <v>0.41418358296133218</v>
      </c>
      <c r="Q173" s="17">
        <f>IF(AND(O173&gt;0,I173&gt;0),O173/(1-'1 - Input'!$B$22*P173),0)</f>
        <v>3688.4900616424065</v>
      </c>
      <c r="R173" s="17">
        <f t="shared" si="58"/>
        <v>3688.4900616424065</v>
      </c>
      <c r="S173" s="17">
        <f>'1 - Input'!$B$22*P173*R173</f>
        <v>397.20512765656241</v>
      </c>
      <c r="T173" s="17">
        <f t="shared" si="59"/>
        <v>3291.284933985844</v>
      </c>
      <c r="U173" s="17">
        <f t="shared" si="60"/>
        <v>0</v>
      </c>
      <c r="V173" s="17">
        <f t="shared" si="61"/>
        <v>0</v>
      </c>
      <c r="W173" s="17">
        <f t="shared" si="62"/>
        <v>282197.91968798917</v>
      </c>
      <c r="X173" s="17">
        <f t="shared" si="63"/>
        <v>165316.17420738356</v>
      </c>
      <c r="Y173" s="17">
        <f>IF(MOD(A173,12)=0,W173*'1 - Input'!$B$23,0)</f>
        <v>0</v>
      </c>
      <c r="Z173" s="17">
        <f t="shared" si="64"/>
        <v>282197.91968798917</v>
      </c>
      <c r="AA173" s="17">
        <f>IF(MOD(A173,12)=0,X173*(1-'1 - Input'!$B$23),X173)</f>
        <v>165316.17420738356</v>
      </c>
      <c r="AB173" s="17">
        <f t="shared" si="65"/>
        <v>3291.284933985844</v>
      </c>
      <c r="AC173" s="17">
        <f t="shared" ref="AC173:AC236" si="69">AC172+AB173</f>
        <v>387683.80973136489</v>
      </c>
      <c r="AD173" s="17">
        <f t="shared" ref="AD173:AD236" si="70">AD172+K173</f>
        <v>0</v>
      </c>
      <c r="AE173" s="17">
        <f t="shared" ref="AE173:AE236" si="71">AE172+S173</f>
        <v>25595.946420843648</v>
      </c>
      <c r="AF173" s="17">
        <f t="shared" ref="AF173:AF236" si="72">AF172+V173</f>
        <v>0</v>
      </c>
      <c r="AG173" s="17">
        <f t="shared" ref="AG173:AG236" si="73">AG172+Y173</f>
        <v>8096.1809937236958</v>
      </c>
      <c r="AH173" s="17">
        <f t="shared" ref="AH173:AH236" si="74">AH172+U173</f>
        <v>0</v>
      </c>
      <c r="AI173" s="15">
        <f t="shared" si="66"/>
        <v>0</v>
      </c>
    </row>
    <row r="174" spans="1:35">
      <c r="A174" s="14">
        <v>131</v>
      </c>
      <c r="B174" s="15">
        <f t="shared" si="50"/>
        <v>11</v>
      </c>
      <c r="C174" s="16">
        <f>(1+INDEX('1 - Input'!$B$34:$E$63,B174,'1 - Input'!$B$16))^(1/12)-1</f>
        <v>4.1219243192651689E-3</v>
      </c>
      <c r="D174" s="17">
        <f>'1 - Input'!$B$7*(1+'1 - Input'!$B$12)^(B174-1)</f>
        <v>3291.284933985844</v>
      </c>
      <c r="E174" s="17">
        <f t="shared" si="67"/>
        <v>282197.91968798917</v>
      </c>
      <c r="F174" s="17">
        <f t="shared" si="68"/>
        <v>165316.17420738356</v>
      </c>
      <c r="G174" s="17">
        <f t="shared" si="51"/>
        <v>283361.11815599713</v>
      </c>
      <c r="H174" s="17">
        <f>0</f>
        <v>0</v>
      </c>
      <c r="I174" s="17">
        <f t="shared" si="52"/>
        <v>283361.11815599713</v>
      </c>
      <c r="J174" s="17">
        <f t="shared" si="53"/>
        <v>0</v>
      </c>
      <c r="K174" s="17">
        <f>'1 - Input'!$B$22*(H174-J174)</f>
        <v>0</v>
      </c>
      <c r="L174" s="17">
        <f t="shared" si="54"/>
        <v>0</v>
      </c>
      <c r="M174" s="17">
        <f t="shared" si="55"/>
        <v>165316.17420738356</v>
      </c>
      <c r="N174" s="17">
        <f>0</f>
        <v>0</v>
      </c>
      <c r="O174" s="17">
        <f t="shared" si="56"/>
        <v>3291.284933985844</v>
      </c>
      <c r="P174" s="17">
        <f t="shared" si="57"/>
        <v>0.41658836158187018</v>
      </c>
      <c r="Q174" s="17">
        <f>IF(AND(O174&gt;0,I174&gt;0),O174/(1-'1 - Input'!$B$22*P174),0)</f>
        <v>3691.076395707817</v>
      </c>
      <c r="R174" s="17">
        <f t="shared" si="58"/>
        <v>3691.076395707817</v>
      </c>
      <c r="S174" s="17">
        <f>'1 - Input'!$B$22*P174*R174</f>
        <v>399.79146172197295</v>
      </c>
      <c r="T174" s="17">
        <f t="shared" si="59"/>
        <v>3291.284933985844</v>
      </c>
      <c r="U174" s="17">
        <f t="shared" si="60"/>
        <v>0</v>
      </c>
      <c r="V174" s="17">
        <f t="shared" si="61"/>
        <v>0</v>
      </c>
      <c r="W174" s="17">
        <f t="shared" si="62"/>
        <v>279670.04176028928</v>
      </c>
      <c r="X174" s="17">
        <f t="shared" si="63"/>
        <v>163162.75727983718</v>
      </c>
      <c r="Y174" s="17">
        <f>IF(MOD(A174,12)=0,W174*'1 - Input'!$B$23,0)</f>
        <v>0</v>
      </c>
      <c r="Z174" s="17">
        <f t="shared" si="64"/>
        <v>279670.04176028928</v>
      </c>
      <c r="AA174" s="17">
        <f>IF(MOD(A174,12)=0,X174*(1-'1 - Input'!$B$23),X174)</f>
        <v>163162.75727983718</v>
      </c>
      <c r="AB174" s="17">
        <f t="shared" si="65"/>
        <v>3291.284933985844</v>
      </c>
      <c r="AC174" s="17">
        <f t="shared" si="69"/>
        <v>390975.09466535074</v>
      </c>
      <c r="AD174" s="17">
        <f t="shared" si="70"/>
        <v>0</v>
      </c>
      <c r="AE174" s="17">
        <f t="shared" si="71"/>
        <v>25995.73788256562</v>
      </c>
      <c r="AF174" s="17">
        <f t="shared" si="72"/>
        <v>0</v>
      </c>
      <c r="AG174" s="17">
        <f t="shared" si="73"/>
        <v>8096.1809937236958</v>
      </c>
      <c r="AH174" s="17">
        <f t="shared" si="74"/>
        <v>0</v>
      </c>
      <c r="AI174" s="15">
        <f t="shared" si="66"/>
        <v>0</v>
      </c>
    </row>
    <row r="175" spans="1:35">
      <c r="A175" s="14">
        <v>132</v>
      </c>
      <c r="B175" s="15">
        <f t="shared" si="50"/>
        <v>11</v>
      </c>
      <c r="C175" s="16">
        <f>(1+INDEX('1 - Input'!$B$34:$E$63,B175,'1 - Input'!$B$16))^(1/12)-1</f>
        <v>4.1219243192651689E-3</v>
      </c>
      <c r="D175" s="17">
        <f>'1 - Input'!$B$7*(1+'1 - Input'!$B$12)^(B175-1)</f>
        <v>3291.284933985844</v>
      </c>
      <c r="E175" s="17">
        <f t="shared" si="67"/>
        <v>279670.04176028928</v>
      </c>
      <c r="F175" s="17">
        <f t="shared" si="68"/>
        <v>163162.75727983718</v>
      </c>
      <c r="G175" s="17">
        <f t="shared" si="51"/>
        <v>280822.82050679094</v>
      </c>
      <c r="H175" s="17">
        <f>0</f>
        <v>0</v>
      </c>
      <c r="I175" s="17">
        <f t="shared" si="52"/>
        <v>280822.82050679094</v>
      </c>
      <c r="J175" s="17">
        <f t="shared" si="53"/>
        <v>0</v>
      </c>
      <c r="K175" s="17">
        <f>'1 - Input'!$B$22*(H175-J175)</f>
        <v>0</v>
      </c>
      <c r="L175" s="17">
        <f t="shared" si="54"/>
        <v>0</v>
      </c>
      <c r="M175" s="17">
        <f t="shared" si="55"/>
        <v>163162.75727983718</v>
      </c>
      <c r="N175" s="17">
        <f>0</f>
        <v>0</v>
      </c>
      <c r="O175" s="17">
        <f t="shared" si="56"/>
        <v>3291.284933985844</v>
      </c>
      <c r="P175" s="17">
        <f t="shared" si="57"/>
        <v>0.41898326857702251</v>
      </c>
      <c r="Q175" s="17">
        <f>IF(AND(O175&gt;0,I175&gt;0),O175/(1-'1 - Input'!$B$22*P175),0)</f>
        <v>3693.6557201037363</v>
      </c>
      <c r="R175" s="17">
        <f t="shared" si="58"/>
        <v>3693.6557201037363</v>
      </c>
      <c r="S175" s="17">
        <f>'1 - Input'!$B$22*P175*R175</f>
        <v>402.37078611789258</v>
      </c>
      <c r="T175" s="17">
        <f t="shared" si="59"/>
        <v>3291.2849339858435</v>
      </c>
      <c r="U175" s="17">
        <f t="shared" si="60"/>
        <v>0</v>
      </c>
      <c r="V175" s="17">
        <f t="shared" si="61"/>
        <v>0</v>
      </c>
      <c r="W175" s="17">
        <f t="shared" si="62"/>
        <v>277129.16478668718</v>
      </c>
      <c r="X175" s="17">
        <f t="shared" si="63"/>
        <v>161016.68150634074</v>
      </c>
      <c r="Y175" s="17">
        <f>IF(MOD(A175,12)=0,W175*'1 - Input'!$B$23,0)</f>
        <v>554.25832957337434</v>
      </c>
      <c r="Z175" s="17">
        <f t="shared" si="64"/>
        <v>276574.9064571138</v>
      </c>
      <c r="AA175" s="17">
        <f>IF(MOD(A175,12)=0,X175*(1-'1 - Input'!$B$23),X175)</f>
        <v>160694.64814332806</v>
      </c>
      <c r="AB175" s="17">
        <f t="shared" si="65"/>
        <v>3291.2849339858435</v>
      </c>
      <c r="AC175" s="17">
        <f t="shared" si="69"/>
        <v>394266.37959933659</v>
      </c>
      <c r="AD175" s="17">
        <f t="shared" si="70"/>
        <v>0</v>
      </c>
      <c r="AE175" s="17">
        <f t="shared" si="71"/>
        <v>26398.108668683511</v>
      </c>
      <c r="AF175" s="17">
        <f t="shared" si="72"/>
        <v>0</v>
      </c>
      <c r="AG175" s="17">
        <f t="shared" si="73"/>
        <v>8650.4393232970706</v>
      </c>
      <c r="AH175" s="17">
        <f t="shared" si="74"/>
        <v>0</v>
      </c>
      <c r="AI175" s="15">
        <f t="shared" si="66"/>
        <v>0</v>
      </c>
    </row>
    <row r="176" spans="1:35">
      <c r="A176" s="14">
        <v>133</v>
      </c>
      <c r="B176" s="15">
        <f t="shared" si="50"/>
        <v>12</v>
      </c>
      <c r="C176" s="16">
        <f>(1+INDEX('1 - Input'!$B$34:$E$63,B176,'1 - Input'!$B$16))^(1/12)-1</f>
        <v>4.1219243192651689E-3</v>
      </c>
      <c r="D176" s="17">
        <f>'1 - Input'!$B$7*(1+'1 - Input'!$B$12)^(B176-1)</f>
        <v>3357.1106326655604</v>
      </c>
      <c r="E176" s="17">
        <f t="shared" si="67"/>
        <v>276574.9064571138</v>
      </c>
      <c r="F176" s="17">
        <f t="shared" si="68"/>
        <v>160694.64814332806</v>
      </c>
      <c r="G176" s="17">
        <f t="shared" si="51"/>
        <v>277714.92729013786</v>
      </c>
      <c r="H176" s="17">
        <f>0</f>
        <v>0</v>
      </c>
      <c r="I176" s="17">
        <f t="shared" si="52"/>
        <v>277714.92729013786</v>
      </c>
      <c r="J176" s="17">
        <f t="shared" si="53"/>
        <v>0</v>
      </c>
      <c r="K176" s="17">
        <f>'1 - Input'!$B$22*(H176-J176)</f>
        <v>0</v>
      </c>
      <c r="L176" s="17">
        <f t="shared" si="54"/>
        <v>0</v>
      </c>
      <c r="M176" s="17">
        <f t="shared" si="55"/>
        <v>160694.64814332806</v>
      </c>
      <c r="N176" s="17">
        <f>0</f>
        <v>0</v>
      </c>
      <c r="O176" s="17">
        <f t="shared" si="56"/>
        <v>3357.1106326655604</v>
      </c>
      <c r="P176" s="17">
        <f t="shared" si="57"/>
        <v>0.42136834446984872</v>
      </c>
      <c r="Q176" s="17">
        <f>IF(AND(O176&gt;0,I176&gt;0),O176/(1-'1 - Input'!$B$22*P176),0)</f>
        <v>3770.1526023868328</v>
      </c>
      <c r="R176" s="17">
        <f t="shared" si="58"/>
        <v>3770.1526023868328</v>
      </c>
      <c r="S176" s="17">
        <f>'1 - Input'!$B$22*P176*R176</f>
        <v>413.04196972127221</v>
      </c>
      <c r="T176" s="17">
        <f t="shared" si="59"/>
        <v>3357.1106326655604</v>
      </c>
      <c r="U176" s="17">
        <f t="shared" si="60"/>
        <v>0</v>
      </c>
      <c r="V176" s="17">
        <f t="shared" si="61"/>
        <v>0</v>
      </c>
      <c r="W176" s="17">
        <f t="shared" si="62"/>
        <v>273944.77468775102</v>
      </c>
      <c r="X176" s="17">
        <f t="shared" si="63"/>
        <v>158513.11850140765</v>
      </c>
      <c r="Y176" s="17">
        <f>IF(MOD(A176,12)=0,W176*'1 - Input'!$B$23,0)</f>
        <v>0</v>
      </c>
      <c r="Z176" s="17">
        <f t="shared" si="64"/>
        <v>273944.77468775102</v>
      </c>
      <c r="AA176" s="17">
        <f>IF(MOD(A176,12)=0,X176*(1-'1 - Input'!$B$23),X176)</f>
        <v>158513.11850140765</v>
      </c>
      <c r="AB176" s="17">
        <f t="shared" si="65"/>
        <v>3357.1106326655604</v>
      </c>
      <c r="AC176" s="17">
        <f t="shared" si="69"/>
        <v>397623.49023200216</v>
      </c>
      <c r="AD176" s="17">
        <f t="shared" si="70"/>
        <v>0</v>
      </c>
      <c r="AE176" s="17">
        <f t="shared" si="71"/>
        <v>26811.150638404783</v>
      </c>
      <c r="AF176" s="17">
        <f t="shared" si="72"/>
        <v>0</v>
      </c>
      <c r="AG176" s="17">
        <f t="shared" si="73"/>
        <v>8650.4393232970706</v>
      </c>
      <c r="AH176" s="17">
        <f t="shared" si="74"/>
        <v>0</v>
      </c>
      <c r="AI176" s="15">
        <f t="shared" si="66"/>
        <v>0</v>
      </c>
    </row>
    <row r="177" spans="1:35">
      <c r="A177" s="14">
        <v>134</v>
      </c>
      <c r="B177" s="15">
        <f t="shared" si="50"/>
        <v>12</v>
      </c>
      <c r="C177" s="16">
        <f>(1+INDEX('1 - Input'!$B$34:$E$63,B177,'1 - Input'!$B$16))^(1/12)-1</f>
        <v>4.1219243192651689E-3</v>
      </c>
      <c r="D177" s="17">
        <f>'1 - Input'!$B$7*(1+'1 - Input'!$B$12)^(B177-1)</f>
        <v>3357.1106326655604</v>
      </c>
      <c r="E177" s="17">
        <f t="shared" si="67"/>
        <v>273944.77468775102</v>
      </c>
      <c r="F177" s="17">
        <f t="shared" si="68"/>
        <v>158513.11850140765</v>
      </c>
      <c r="G177" s="17">
        <f t="shared" si="51"/>
        <v>275073.95431667205</v>
      </c>
      <c r="H177" s="17">
        <f>0</f>
        <v>0</v>
      </c>
      <c r="I177" s="17">
        <f t="shared" si="52"/>
        <v>275073.95431667205</v>
      </c>
      <c r="J177" s="17">
        <f t="shared" si="53"/>
        <v>0</v>
      </c>
      <c r="K177" s="17">
        <f>'1 - Input'!$B$22*(H177-J177)</f>
        <v>0</v>
      </c>
      <c r="L177" s="17">
        <f t="shared" si="54"/>
        <v>0</v>
      </c>
      <c r="M177" s="17">
        <f t="shared" si="55"/>
        <v>158513.11850140765</v>
      </c>
      <c r="N177" s="17">
        <f>0</f>
        <v>0</v>
      </c>
      <c r="O177" s="17">
        <f t="shared" si="56"/>
        <v>3357.1106326655604</v>
      </c>
      <c r="P177" s="17">
        <f t="shared" si="57"/>
        <v>0.42374362961706158</v>
      </c>
      <c r="Q177" s="17">
        <f>IF(AND(O177&gt;0,I177&gt;0),O177/(1-'1 - Input'!$B$22*P177),0)</f>
        <v>3772.769234208437</v>
      </c>
      <c r="R177" s="17">
        <f t="shared" si="58"/>
        <v>3772.769234208437</v>
      </c>
      <c r="S177" s="17">
        <f>'1 - Input'!$B$22*P177*R177</f>
        <v>415.65860154287685</v>
      </c>
      <c r="T177" s="17">
        <f t="shared" si="59"/>
        <v>3357.1106326655599</v>
      </c>
      <c r="U177" s="17">
        <f t="shared" si="60"/>
        <v>0</v>
      </c>
      <c r="V177" s="17">
        <f t="shared" si="61"/>
        <v>0</v>
      </c>
      <c r="W177" s="17">
        <f t="shared" si="62"/>
        <v>271301.18508246361</v>
      </c>
      <c r="X177" s="17">
        <f t="shared" si="63"/>
        <v>156339.03619621028</v>
      </c>
      <c r="Y177" s="17">
        <f>IF(MOD(A177,12)=0,W177*'1 - Input'!$B$23,0)</f>
        <v>0</v>
      </c>
      <c r="Z177" s="17">
        <f t="shared" si="64"/>
        <v>271301.18508246361</v>
      </c>
      <c r="AA177" s="17">
        <f>IF(MOD(A177,12)=0,X177*(1-'1 - Input'!$B$23),X177)</f>
        <v>156339.03619621028</v>
      </c>
      <c r="AB177" s="17">
        <f t="shared" si="65"/>
        <v>3357.1106326655599</v>
      </c>
      <c r="AC177" s="17">
        <f t="shared" si="69"/>
        <v>400980.60086466774</v>
      </c>
      <c r="AD177" s="17">
        <f t="shared" si="70"/>
        <v>0</v>
      </c>
      <c r="AE177" s="17">
        <f t="shared" si="71"/>
        <v>27226.809239947659</v>
      </c>
      <c r="AF177" s="17">
        <f t="shared" si="72"/>
        <v>0</v>
      </c>
      <c r="AG177" s="17">
        <f t="shared" si="73"/>
        <v>8650.4393232970706</v>
      </c>
      <c r="AH177" s="17">
        <f t="shared" si="74"/>
        <v>0</v>
      </c>
      <c r="AI177" s="15">
        <f t="shared" si="66"/>
        <v>0</v>
      </c>
    </row>
    <row r="178" spans="1:35">
      <c r="A178" s="14">
        <v>135</v>
      </c>
      <c r="B178" s="15">
        <f t="shared" si="50"/>
        <v>12</v>
      </c>
      <c r="C178" s="16">
        <f>(1+INDEX('1 - Input'!$B$34:$E$63,B178,'1 - Input'!$B$16))^(1/12)-1</f>
        <v>4.1219243192651689E-3</v>
      </c>
      <c r="D178" s="17">
        <f>'1 - Input'!$B$7*(1+'1 - Input'!$B$12)^(B178-1)</f>
        <v>3357.1106326655604</v>
      </c>
      <c r="E178" s="17">
        <f t="shared" si="67"/>
        <v>271301.18508246361</v>
      </c>
      <c r="F178" s="17">
        <f t="shared" si="68"/>
        <v>156339.03619621028</v>
      </c>
      <c r="G178" s="17">
        <f t="shared" si="51"/>
        <v>272419.46803510049</v>
      </c>
      <c r="H178" s="17">
        <f>0</f>
        <v>0</v>
      </c>
      <c r="I178" s="17">
        <f t="shared" si="52"/>
        <v>272419.46803510049</v>
      </c>
      <c r="J178" s="17">
        <f t="shared" si="53"/>
        <v>0</v>
      </c>
      <c r="K178" s="17">
        <f>'1 - Input'!$B$22*(H178-J178)</f>
        <v>0</v>
      </c>
      <c r="L178" s="17">
        <f t="shared" si="54"/>
        <v>0</v>
      </c>
      <c r="M178" s="17">
        <f t="shared" si="55"/>
        <v>156339.03619621028</v>
      </c>
      <c r="N178" s="17">
        <f>0</f>
        <v>0</v>
      </c>
      <c r="O178" s="17">
        <f t="shared" si="56"/>
        <v>3357.1106326655604</v>
      </c>
      <c r="P178" s="17">
        <f t="shared" si="57"/>
        <v>0.42610916420970901</v>
      </c>
      <c r="Q178" s="17">
        <f>IF(AND(O178&gt;0,I178&gt;0),O178/(1-'1 - Input'!$B$22*P178),0)</f>
        <v>3775.3787369967235</v>
      </c>
      <c r="R178" s="17">
        <f t="shared" si="58"/>
        <v>3775.3787369967235</v>
      </c>
      <c r="S178" s="17">
        <f>'1 - Input'!$B$22*P178*R178</f>
        <v>418.26810433116299</v>
      </c>
      <c r="T178" s="17">
        <f t="shared" si="59"/>
        <v>3357.1106326655604</v>
      </c>
      <c r="U178" s="17">
        <f t="shared" si="60"/>
        <v>0</v>
      </c>
      <c r="V178" s="17">
        <f t="shared" si="61"/>
        <v>0</v>
      </c>
      <c r="W178" s="17">
        <f t="shared" si="62"/>
        <v>268644.08929810376</v>
      </c>
      <c r="X178" s="17">
        <f t="shared" si="63"/>
        <v>154172.38093741031</v>
      </c>
      <c r="Y178" s="17">
        <f>IF(MOD(A178,12)=0,W178*'1 - Input'!$B$23,0)</f>
        <v>0</v>
      </c>
      <c r="Z178" s="17">
        <f t="shared" si="64"/>
        <v>268644.08929810376</v>
      </c>
      <c r="AA178" s="17">
        <f>IF(MOD(A178,12)=0,X178*(1-'1 - Input'!$B$23),X178)</f>
        <v>154172.38093741031</v>
      </c>
      <c r="AB178" s="17">
        <f t="shared" si="65"/>
        <v>3357.1106326655604</v>
      </c>
      <c r="AC178" s="17">
        <f t="shared" si="69"/>
        <v>404337.71149733331</v>
      </c>
      <c r="AD178" s="17">
        <f t="shared" si="70"/>
        <v>0</v>
      </c>
      <c r="AE178" s="17">
        <f t="shared" si="71"/>
        <v>27645.077344278823</v>
      </c>
      <c r="AF178" s="17">
        <f t="shared" si="72"/>
        <v>0</v>
      </c>
      <c r="AG178" s="17">
        <f t="shared" si="73"/>
        <v>8650.4393232970706</v>
      </c>
      <c r="AH178" s="17">
        <f t="shared" si="74"/>
        <v>0</v>
      </c>
      <c r="AI178" s="15">
        <f t="shared" si="66"/>
        <v>0</v>
      </c>
    </row>
    <row r="179" spans="1:35">
      <c r="A179" s="14">
        <v>136</v>
      </c>
      <c r="B179" s="15">
        <f t="shared" si="50"/>
        <v>12</v>
      </c>
      <c r="C179" s="16">
        <f>(1+INDEX('1 - Input'!$B$34:$E$63,B179,'1 - Input'!$B$16))^(1/12)-1</f>
        <v>4.1219243192651689E-3</v>
      </c>
      <c r="D179" s="17">
        <f>'1 - Input'!$B$7*(1+'1 - Input'!$B$12)^(B179-1)</f>
        <v>3357.1106326655604</v>
      </c>
      <c r="E179" s="17">
        <f t="shared" si="67"/>
        <v>268644.08929810376</v>
      </c>
      <c r="F179" s="17">
        <f t="shared" si="68"/>
        <v>154172.38093741031</v>
      </c>
      <c r="G179" s="17">
        <f t="shared" si="51"/>
        <v>269751.41990300844</v>
      </c>
      <c r="H179" s="17">
        <f>0</f>
        <v>0</v>
      </c>
      <c r="I179" s="17">
        <f t="shared" si="52"/>
        <v>269751.41990300844</v>
      </c>
      <c r="J179" s="17">
        <f t="shared" si="53"/>
        <v>0</v>
      </c>
      <c r="K179" s="17">
        <f>'1 - Input'!$B$22*(H179-J179)</f>
        <v>0</v>
      </c>
      <c r="L179" s="17">
        <f t="shared" si="54"/>
        <v>0</v>
      </c>
      <c r="M179" s="17">
        <f t="shared" si="55"/>
        <v>154172.38093741031</v>
      </c>
      <c r="N179" s="17">
        <f>0</f>
        <v>0</v>
      </c>
      <c r="O179" s="17">
        <f t="shared" si="56"/>
        <v>3357.1106326655604</v>
      </c>
      <c r="P179" s="17">
        <f t="shared" si="57"/>
        <v>0.4284649882738546</v>
      </c>
      <c r="Q179" s="17">
        <f>IF(AND(O179&gt;0,I179&gt;0),O179/(1-'1 - Input'!$B$22*P179),0)</f>
        <v>3777.9811178598534</v>
      </c>
      <c r="R179" s="17">
        <f t="shared" si="58"/>
        <v>3777.9811178598534</v>
      </c>
      <c r="S179" s="17">
        <f>'1 - Input'!$B$22*P179*R179</f>
        <v>420.87048519429322</v>
      </c>
      <c r="T179" s="17">
        <f t="shared" si="59"/>
        <v>3357.1106326655599</v>
      </c>
      <c r="U179" s="17">
        <f t="shared" si="60"/>
        <v>0</v>
      </c>
      <c r="V179" s="17">
        <f t="shared" si="61"/>
        <v>0</v>
      </c>
      <c r="W179" s="17">
        <f t="shared" si="62"/>
        <v>265973.43878514861</v>
      </c>
      <c r="X179" s="17">
        <f t="shared" si="63"/>
        <v>152013.13245491314</v>
      </c>
      <c r="Y179" s="17">
        <f>IF(MOD(A179,12)=0,W179*'1 - Input'!$B$23,0)</f>
        <v>0</v>
      </c>
      <c r="Z179" s="17">
        <f t="shared" si="64"/>
        <v>265973.43878514861</v>
      </c>
      <c r="AA179" s="17">
        <f>IF(MOD(A179,12)=0,X179*(1-'1 - Input'!$B$23),X179)</f>
        <v>152013.13245491314</v>
      </c>
      <c r="AB179" s="17">
        <f t="shared" si="65"/>
        <v>3357.1106326655599</v>
      </c>
      <c r="AC179" s="17">
        <f t="shared" si="69"/>
        <v>407694.82212999888</v>
      </c>
      <c r="AD179" s="17">
        <f t="shared" si="70"/>
        <v>0</v>
      </c>
      <c r="AE179" s="17">
        <f t="shared" si="71"/>
        <v>28065.947829473116</v>
      </c>
      <c r="AF179" s="17">
        <f t="shared" si="72"/>
        <v>0</v>
      </c>
      <c r="AG179" s="17">
        <f t="shared" si="73"/>
        <v>8650.4393232970706</v>
      </c>
      <c r="AH179" s="17">
        <f t="shared" si="74"/>
        <v>0</v>
      </c>
      <c r="AI179" s="15">
        <f t="shared" si="66"/>
        <v>0</v>
      </c>
    </row>
    <row r="180" spans="1:35">
      <c r="A180" s="14">
        <v>137</v>
      </c>
      <c r="B180" s="15">
        <f t="shared" si="50"/>
        <v>12</v>
      </c>
      <c r="C180" s="16">
        <f>(1+INDEX('1 - Input'!$B$34:$E$63,B180,'1 - Input'!$B$16))^(1/12)-1</f>
        <v>4.1219243192651689E-3</v>
      </c>
      <c r="D180" s="17">
        <f>'1 - Input'!$B$7*(1+'1 - Input'!$B$12)^(B180-1)</f>
        <v>3357.1106326655604</v>
      </c>
      <c r="E180" s="17">
        <f t="shared" si="67"/>
        <v>265973.43878514861</v>
      </c>
      <c r="F180" s="17">
        <f t="shared" si="68"/>
        <v>152013.13245491314</v>
      </c>
      <c r="G180" s="17">
        <f t="shared" si="51"/>
        <v>267069.76117075572</v>
      </c>
      <c r="H180" s="17">
        <f>0</f>
        <v>0</v>
      </c>
      <c r="I180" s="17">
        <f t="shared" si="52"/>
        <v>267069.76117075572</v>
      </c>
      <c r="J180" s="17">
        <f t="shared" si="53"/>
        <v>0</v>
      </c>
      <c r="K180" s="17">
        <f>'1 - Input'!$B$22*(H180-J180)</f>
        <v>0</v>
      </c>
      <c r="L180" s="17">
        <f t="shared" si="54"/>
        <v>0</v>
      </c>
      <c r="M180" s="17">
        <f t="shared" si="55"/>
        <v>152013.13245491314</v>
      </c>
      <c r="N180" s="17">
        <f>0</f>
        <v>0</v>
      </c>
      <c r="O180" s="17">
        <f t="shared" si="56"/>
        <v>3357.1106326655604</v>
      </c>
      <c r="P180" s="17">
        <f t="shared" si="57"/>
        <v>0.43081114167125467</v>
      </c>
      <c r="Q180" s="17">
        <f>IF(AND(O180&gt;0,I180&gt;0),O180/(1-'1 - Input'!$B$22*P180),0)</f>
        <v>3780.5763839874217</v>
      </c>
      <c r="R180" s="17">
        <f t="shared" si="58"/>
        <v>3780.5763839874217</v>
      </c>
      <c r="S180" s="17">
        <f>'1 - Input'!$B$22*P180*R180</f>
        <v>423.46575132186126</v>
      </c>
      <c r="T180" s="17">
        <f t="shared" si="59"/>
        <v>3357.1106326655604</v>
      </c>
      <c r="U180" s="17">
        <f t="shared" si="60"/>
        <v>0</v>
      </c>
      <c r="V180" s="17">
        <f t="shared" si="61"/>
        <v>0</v>
      </c>
      <c r="W180" s="17">
        <f t="shared" si="62"/>
        <v>263289.18478676828</v>
      </c>
      <c r="X180" s="17">
        <f t="shared" si="63"/>
        <v>149861.27049908671</v>
      </c>
      <c r="Y180" s="17">
        <f>IF(MOD(A180,12)=0,W180*'1 - Input'!$B$23,0)</f>
        <v>0</v>
      </c>
      <c r="Z180" s="17">
        <f t="shared" si="64"/>
        <v>263289.18478676828</v>
      </c>
      <c r="AA180" s="17">
        <f>IF(MOD(A180,12)=0,X180*(1-'1 - Input'!$B$23),X180)</f>
        <v>149861.27049908671</v>
      </c>
      <c r="AB180" s="17">
        <f t="shared" si="65"/>
        <v>3357.1106326655604</v>
      </c>
      <c r="AC180" s="17">
        <f t="shared" si="69"/>
        <v>411051.93276266445</v>
      </c>
      <c r="AD180" s="17">
        <f t="shared" si="70"/>
        <v>0</v>
      </c>
      <c r="AE180" s="17">
        <f t="shared" si="71"/>
        <v>28489.413580794979</v>
      </c>
      <c r="AF180" s="17">
        <f t="shared" si="72"/>
        <v>0</v>
      </c>
      <c r="AG180" s="17">
        <f t="shared" si="73"/>
        <v>8650.4393232970706</v>
      </c>
      <c r="AH180" s="17">
        <f t="shared" si="74"/>
        <v>0</v>
      </c>
      <c r="AI180" s="15">
        <f t="shared" si="66"/>
        <v>0</v>
      </c>
    </row>
    <row r="181" spans="1:35">
      <c r="A181" s="14">
        <v>138</v>
      </c>
      <c r="B181" s="15">
        <f t="shared" si="50"/>
        <v>12</v>
      </c>
      <c r="C181" s="16">
        <f>(1+INDEX('1 - Input'!$B$34:$E$63,B181,'1 - Input'!$B$16))^(1/12)-1</f>
        <v>4.1219243192651689E-3</v>
      </c>
      <c r="D181" s="17">
        <f>'1 - Input'!$B$7*(1+'1 - Input'!$B$12)^(B181-1)</f>
        <v>3357.1106326655604</v>
      </c>
      <c r="E181" s="17">
        <f t="shared" si="67"/>
        <v>263289.18478676828</v>
      </c>
      <c r="F181" s="17">
        <f t="shared" si="68"/>
        <v>149861.27049908671</v>
      </c>
      <c r="G181" s="17">
        <f t="shared" si="51"/>
        <v>264374.44288054039</v>
      </c>
      <c r="H181" s="17">
        <f>0</f>
        <v>0</v>
      </c>
      <c r="I181" s="17">
        <f t="shared" si="52"/>
        <v>264374.44288054039</v>
      </c>
      <c r="J181" s="17">
        <f t="shared" si="53"/>
        <v>0</v>
      </c>
      <c r="K181" s="17">
        <f>'1 - Input'!$B$22*(H181-J181)</f>
        <v>0</v>
      </c>
      <c r="L181" s="17">
        <f t="shared" si="54"/>
        <v>0</v>
      </c>
      <c r="M181" s="17">
        <f t="shared" si="55"/>
        <v>149861.27049908671</v>
      </c>
      <c r="N181" s="17">
        <f>0</f>
        <v>0</v>
      </c>
      <c r="O181" s="17">
        <f t="shared" si="56"/>
        <v>3357.1106326655604</v>
      </c>
      <c r="P181" s="17">
        <f t="shared" si="57"/>
        <v>0.43314766410003303</v>
      </c>
      <c r="Q181" s="17">
        <f>IF(AND(O181&gt;0,I181&gt;0),O181/(1-'1 - Input'!$B$22*P181),0)</f>
        <v>3783.1645426498185</v>
      </c>
      <c r="R181" s="17">
        <f t="shared" si="58"/>
        <v>3783.1645426498185</v>
      </c>
      <c r="S181" s="17">
        <f>'1 - Input'!$B$22*P181*R181</f>
        <v>426.0539099842581</v>
      </c>
      <c r="T181" s="17">
        <f t="shared" si="59"/>
        <v>3357.1106326655604</v>
      </c>
      <c r="U181" s="17">
        <f t="shared" si="60"/>
        <v>0</v>
      </c>
      <c r="V181" s="17">
        <f t="shared" si="61"/>
        <v>0</v>
      </c>
      <c r="W181" s="17">
        <f t="shared" si="62"/>
        <v>260591.27833789057</v>
      </c>
      <c r="X181" s="17">
        <f t="shared" si="63"/>
        <v>147716.77484099174</v>
      </c>
      <c r="Y181" s="17">
        <f>IF(MOD(A181,12)=0,W181*'1 - Input'!$B$23,0)</f>
        <v>0</v>
      </c>
      <c r="Z181" s="17">
        <f t="shared" si="64"/>
        <v>260591.27833789057</v>
      </c>
      <c r="AA181" s="17">
        <f>IF(MOD(A181,12)=0,X181*(1-'1 - Input'!$B$23),X181)</f>
        <v>147716.77484099174</v>
      </c>
      <c r="AB181" s="17">
        <f t="shared" si="65"/>
        <v>3357.1106326655604</v>
      </c>
      <c r="AC181" s="17">
        <f t="shared" si="69"/>
        <v>414409.04339533002</v>
      </c>
      <c r="AD181" s="17">
        <f t="shared" si="70"/>
        <v>0</v>
      </c>
      <c r="AE181" s="17">
        <f t="shared" si="71"/>
        <v>28915.467490779236</v>
      </c>
      <c r="AF181" s="17">
        <f t="shared" si="72"/>
        <v>0</v>
      </c>
      <c r="AG181" s="17">
        <f t="shared" si="73"/>
        <v>8650.4393232970706</v>
      </c>
      <c r="AH181" s="17">
        <f t="shared" si="74"/>
        <v>0</v>
      </c>
      <c r="AI181" s="15">
        <f t="shared" si="66"/>
        <v>0</v>
      </c>
    </row>
    <row r="182" spans="1:35">
      <c r="A182" s="14">
        <v>139</v>
      </c>
      <c r="B182" s="15">
        <f t="shared" si="50"/>
        <v>12</v>
      </c>
      <c r="C182" s="16">
        <f>(1+INDEX('1 - Input'!$B$34:$E$63,B182,'1 - Input'!$B$16))^(1/12)-1</f>
        <v>4.1219243192651689E-3</v>
      </c>
      <c r="D182" s="17">
        <f>'1 - Input'!$B$7*(1+'1 - Input'!$B$12)^(B182-1)</f>
        <v>3357.1106326655604</v>
      </c>
      <c r="E182" s="17">
        <f t="shared" si="67"/>
        <v>260591.27833789057</v>
      </c>
      <c r="F182" s="17">
        <f t="shared" si="68"/>
        <v>147716.77484099174</v>
      </c>
      <c r="G182" s="17">
        <f t="shared" si="51"/>
        <v>261665.41586545992</v>
      </c>
      <c r="H182" s="17">
        <f>0</f>
        <v>0</v>
      </c>
      <c r="I182" s="17">
        <f t="shared" si="52"/>
        <v>261665.41586545992</v>
      </c>
      <c r="J182" s="17">
        <f t="shared" si="53"/>
        <v>0</v>
      </c>
      <c r="K182" s="17">
        <f>'1 - Input'!$B$22*(H182-J182)</f>
        <v>0</v>
      </c>
      <c r="L182" s="17">
        <f t="shared" si="54"/>
        <v>0</v>
      </c>
      <c r="M182" s="17">
        <f t="shared" si="55"/>
        <v>147716.77484099174</v>
      </c>
      <c r="N182" s="17">
        <f>0</f>
        <v>0</v>
      </c>
      <c r="O182" s="17">
        <f t="shared" si="56"/>
        <v>3357.1106326655604</v>
      </c>
      <c r="P182" s="17">
        <f t="shared" si="57"/>
        <v>0.43547459509535247</v>
      </c>
      <c r="Q182" s="17">
        <f>IF(AND(O182&gt;0,I182&gt;0),O182/(1-'1 - Input'!$B$22*P182),0)</f>
        <v>3785.7456011975996</v>
      </c>
      <c r="R182" s="17">
        <f t="shared" si="58"/>
        <v>3785.7456011975996</v>
      </c>
      <c r="S182" s="17">
        <f>'1 - Input'!$B$22*P182*R182</f>
        <v>428.63496853203947</v>
      </c>
      <c r="T182" s="17">
        <f t="shared" si="59"/>
        <v>3357.1106326655599</v>
      </c>
      <c r="U182" s="17">
        <f t="shared" si="60"/>
        <v>0</v>
      </c>
      <c r="V182" s="17">
        <f t="shared" si="61"/>
        <v>0</v>
      </c>
      <c r="W182" s="17">
        <f t="shared" si="62"/>
        <v>257879.67026426233</v>
      </c>
      <c r="X182" s="17">
        <f t="shared" si="63"/>
        <v>145579.62527260967</v>
      </c>
      <c r="Y182" s="17">
        <f>IF(MOD(A182,12)=0,W182*'1 - Input'!$B$23,0)</f>
        <v>0</v>
      </c>
      <c r="Z182" s="17">
        <f t="shared" si="64"/>
        <v>257879.67026426233</v>
      </c>
      <c r="AA182" s="17">
        <f>IF(MOD(A182,12)=0,X182*(1-'1 - Input'!$B$23),X182)</f>
        <v>145579.62527260967</v>
      </c>
      <c r="AB182" s="17">
        <f t="shared" si="65"/>
        <v>3357.1106326655599</v>
      </c>
      <c r="AC182" s="17">
        <f t="shared" si="69"/>
        <v>417766.1540279956</v>
      </c>
      <c r="AD182" s="17">
        <f t="shared" si="70"/>
        <v>0</v>
      </c>
      <c r="AE182" s="17">
        <f t="shared" si="71"/>
        <v>29344.102459311274</v>
      </c>
      <c r="AF182" s="17">
        <f t="shared" si="72"/>
        <v>0</v>
      </c>
      <c r="AG182" s="17">
        <f t="shared" si="73"/>
        <v>8650.4393232970706</v>
      </c>
      <c r="AH182" s="17">
        <f t="shared" si="74"/>
        <v>0</v>
      </c>
      <c r="AI182" s="15">
        <f t="shared" si="66"/>
        <v>0</v>
      </c>
    </row>
    <row r="183" spans="1:35">
      <c r="A183" s="14">
        <v>140</v>
      </c>
      <c r="B183" s="15">
        <f t="shared" si="50"/>
        <v>12</v>
      </c>
      <c r="C183" s="16">
        <f>(1+INDEX('1 - Input'!$B$34:$E$63,B183,'1 - Input'!$B$16))^(1/12)-1</f>
        <v>4.1219243192651689E-3</v>
      </c>
      <c r="D183" s="17">
        <f>'1 - Input'!$B$7*(1+'1 - Input'!$B$12)^(B183-1)</f>
        <v>3357.1106326655604</v>
      </c>
      <c r="E183" s="17">
        <f t="shared" si="67"/>
        <v>257879.67026426233</v>
      </c>
      <c r="F183" s="17">
        <f t="shared" si="68"/>
        <v>145579.62527260967</v>
      </c>
      <c r="G183" s="17">
        <f t="shared" si="51"/>
        <v>258942.63074856868</v>
      </c>
      <c r="H183" s="17">
        <f>0</f>
        <v>0</v>
      </c>
      <c r="I183" s="17">
        <f t="shared" si="52"/>
        <v>258942.63074856868</v>
      </c>
      <c r="J183" s="17">
        <f t="shared" si="53"/>
        <v>0</v>
      </c>
      <c r="K183" s="17">
        <f>'1 - Input'!$B$22*(H183-J183)</f>
        <v>0</v>
      </c>
      <c r="L183" s="17">
        <f t="shared" si="54"/>
        <v>0</v>
      </c>
      <c r="M183" s="17">
        <f t="shared" si="55"/>
        <v>145579.62527260967</v>
      </c>
      <c r="N183" s="17">
        <f>0</f>
        <v>0</v>
      </c>
      <c r="O183" s="17">
        <f t="shared" si="56"/>
        <v>3357.1106326655604</v>
      </c>
      <c r="P183" s="17">
        <f t="shared" si="57"/>
        <v>0.43779197403008396</v>
      </c>
      <c r="Q183" s="17">
        <f>IF(AND(O183&gt;0,I183&gt;0),O183/(1-'1 - Input'!$B$22*P183),0)</f>
        <v>3788.3195670608557</v>
      </c>
      <c r="R183" s="17">
        <f t="shared" si="58"/>
        <v>3788.3195670608557</v>
      </c>
      <c r="S183" s="17">
        <f>'1 - Input'!$B$22*P183*R183</f>
        <v>431.20893439529493</v>
      </c>
      <c r="T183" s="17">
        <f t="shared" si="59"/>
        <v>3357.1106326655608</v>
      </c>
      <c r="U183" s="17">
        <f t="shared" si="60"/>
        <v>0</v>
      </c>
      <c r="V183" s="17">
        <f t="shared" si="61"/>
        <v>0</v>
      </c>
      <c r="W183" s="17">
        <f t="shared" si="62"/>
        <v>255154.31118150783</v>
      </c>
      <c r="X183" s="17">
        <f t="shared" si="63"/>
        <v>143449.80160706918</v>
      </c>
      <c r="Y183" s="17">
        <f>IF(MOD(A183,12)=0,W183*'1 - Input'!$B$23,0)</f>
        <v>0</v>
      </c>
      <c r="Z183" s="17">
        <f t="shared" si="64"/>
        <v>255154.31118150783</v>
      </c>
      <c r="AA183" s="17">
        <f>IF(MOD(A183,12)=0,X183*(1-'1 - Input'!$B$23),X183)</f>
        <v>143449.80160706918</v>
      </c>
      <c r="AB183" s="17">
        <f t="shared" si="65"/>
        <v>3357.1106326655608</v>
      </c>
      <c r="AC183" s="17">
        <f t="shared" si="69"/>
        <v>421123.26466066117</v>
      </c>
      <c r="AD183" s="17">
        <f t="shared" si="70"/>
        <v>0</v>
      </c>
      <c r="AE183" s="17">
        <f t="shared" si="71"/>
        <v>29775.311393706568</v>
      </c>
      <c r="AF183" s="17">
        <f t="shared" si="72"/>
        <v>0</v>
      </c>
      <c r="AG183" s="17">
        <f t="shared" si="73"/>
        <v>8650.4393232970706</v>
      </c>
      <c r="AH183" s="17">
        <f t="shared" si="74"/>
        <v>0</v>
      </c>
      <c r="AI183" s="15">
        <f t="shared" si="66"/>
        <v>0</v>
      </c>
    </row>
    <row r="184" spans="1:35">
      <c r="A184" s="14">
        <v>141</v>
      </c>
      <c r="B184" s="15">
        <f t="shared" si="50"/>
        <v>12</v>
      </c>
      <c r="C184" s="16">
        <f>(1+INDEX('1 - Input'!$B$34:$E$63,B184,'1 - Input'!$B$16))^(1/12)-1</f>
        <v>4.1219243192651689E-3</v>
      </c>
      <c r="D184" s="17">
        <f>'1 - Input'!$B$7*(1+'1 - Input'!$B$12)^(B184-1)</f>
        <v>3357.1106326655604</v>
      </c>
      <c r="E184" s="17">
        <f t="shared" si="67"/>
        <v>255154.31118150783</v>
      </c>
      <c r="F184" s="17">
        <f t="shared" si="68"/>
        <v>143449.80160706918</v>
      </c>
      <c r="G184" s="17">
        <f t="shared" si="51"/>
        <v>256206.03794193224</v>
      </c>
      <c r="H184" s="17">
        <f>0</f>
        <v>0</v>
      </c>
      <c r="I184" s="17">
        <f t="shared" si="52"/>
        <v>256206.03794193224</v>
      </c>
      <c r="J184" s="17">
        <f t="shared" si="53"/>
        <v>0</v>
      </c>
      <c r="K184" s="17">
        <f>'1 - Input'!$B$22*(H184-J184)</f>
        <v>0</v>
      </c>
      <c r="L184" s="17">
        <f t="shared" si="54"/>
        <v>0</v>
      </c>
      <c r="M184" s="17">
        <f t="shared" si="55"/>
        <v>143449.80160706918</v>
      </c>
      <c r="N184" s="17">
        <f>0</f>
        <v>0</v>
      </c>
      <c r="O184" s="17">
        <f t="shared" si="56"/>
        <v>3357.1106326655604</v>
      </c>
      <c r="P184" s="17">
        <f t="shared" si="57"/>
        <v>0.44009984011547254</v>
      </c>
      <c r="Q184" s="17">
        <f>IF(AND(O184&gt;0,I184&gt;0),O184/(1-'1 - Input'!$B$22*P184),0)</f>
        <v>3790.8864477485763</v>
      </c>
      <c r="R184" s="17">
        <f t="shared" si="58"/>
        <v>3790.8864477485763</v>
      </c>
      <c r="S184" s="17">
        <f>'1 - Input'!$B$22*P184*R184</f>
        <v>433.77581508301563</v>
      </c>
      <c r="T184" s="17">
        <f t="shared" si="59"/>
        <v>3357.1106326655608</v>
      </c>
      <c r="U184" s="17">
        <f t="shared" si="60"/>
        <v>0</v>
      </c>
      <c r="V184" s="17">
        <f t="shared" si="61"/>
        <v>0</v>
      </c>
      <c r="W184" s="17">
        <f t="shared" si="62"/>
        <v>252415.15149418366</v>
      </c>
      <c r="X184" s="17">
        <f t="shared" si="63"/>
        <v>141327.28367887065</v>
      </c>
      <c r="Y184" s="17">
        <f>IF(MOD(A184,12)=0,W184*'1 - Input'!$B$23,0)</f>
        <v>0</v>
      </c>
      <c r="Z184" s="17">
        <f t="shared" si="64"/>
        <v>252415.15149418366</v>
      </c>
      <c r="AA184" s="17">
        <f>IF(MOD(A184,12)=0,X184*(1-'1 - Input'!$B$23),X184)</f>
        <v>141327.28367887065</v>
      </c>
      <c r="AB184" s="17">
        <f t="shared" si="65"/>
        <v>3357.1106326655608</v>
      </c>
      <c r="AC184" s="17">
        <f t="shared" si="69"/>
        <v>424480.37529332674</v>
      </c>
      <c r="AD184" s="17">
        <f t="shared" si="70"/>
        <v>0</v>
      </c>
      <c r="AE184" s="17">
        <f t="shared" si="71"/>
        <v>30209.087208789584</v>
      </c>
      <c r="AF184" s="17">
        <f t="shared" si="72"/>
        <v>0</v>
      </c>
      <c r="AG184" s="17">
        <f t="shared" si="73"/>
        <v>8650.4393232970706</v>
      </c>
      <c r="AH184" s="17">
        <f t="shared" si="74"/>
        <v>0</v>
      </c>
      <c r="AI184" s="15">
        <f t="shared" si="66"/>
        <v>0</v>
      </c>
    </row>
    <row r="185" spans="1:35">
      <c r="A185" s="14">
        <v>142</v>
      </c>
      <c r="B185" s="15">
        <f t="shared" si="50"/>
        <v>12</v>
      </c>
      <c r="C185" s="16">
        <f>(1+INDEX('1 - Input'!$B$34:$E$63,B185,'1 - Input'!$B$16))^(1/12)-1</f>
        <v>4.1219243192651689E-3</v>
      </c>
      <c r="D185" s="17">
        <f>'1 - Input'!$B$7*(1+'1 - Input'!$B$12)^(B185-1)</f>
        <v>3357.1106326655604</v>
      </c>
      <c r="E185" s="17">
        <f t="shared" si="67"/>
        <v>252415.15149418366</v>
      </c>
      <c r="F185" s="17">
        <f t="shared" si="68"/>
        <v>141327.28367887065</v>
      </c>
      <c r="G185" s="17">
        <f t="shared" si="51"/>
        <v>253455.58764567855</v>
      </c>
      <c r="H185" s="17">
        <f>0</f>
        <v>0</v>
      </c>
      <c r="I185" s="17">
        <f t="shared" si="52"/>
        <v>253455.58764567855</v>
      </c>
      <c r="J185" s="17">
        <f t="shared" si="53"/>
        <v>0</v>
      </c>
      <c r="K185" s="17">
        <f>'1 - Input'!$B$22*(H185-J185)</f>
        <v>0</v>
      </c>
      <c r="L185" s="17">
        <f t="shared" si="54"/>
        <v>0</v>
      </c>
      <c r="M185" s="17">
        <f t="shared" si="55"/>
        <v>141327.28367887065</v>
      </c>
      <c r="N185" s="17">
        <f>0</f>
        <v>0</v>
      </c>
      <c r="O185" s="17">
        <f t="shared" si="56"/>
        <v>3357.1106326655604</v>
      </c>
      <c r="P185" s="17">
        <f t="shared" si="57"/>
        <v>0.44239823240180087</v>
      </c>
      <c r="Q185" s="17">
        <f>IF(AND(O185&gt;0,I185&gt;0),O185/(1-'1 - Input'!$B$22*P185),0)</f>
        <v>3793.446250848026</v>
      </c>
      <c r="R185" s="17">
        <f t="shared" si="58"/>
        <v>3793.446250848026</v>
      </c>
      <c r="S185" s="17">
        <f>'1 - Input'!$B$22*P185*R185</f>
        <v>436.3356181824654</v>
      </c>
      <c r="T185" s="17">
        <f t="shared" si="59"/>
        <v>3357.1106326655608</v>
      </c>
      <c r="U185" s="17">
        <f t="shared" si="60"/>
        <v>0</v>
      </c>
      <c r="V185" s="17">
        <f t="shared" si="61"/>
        <v>0</v>
      </c>
      <c r="W185" s="17">
        <f t="shared" si="62"/>
        <v>249662.14139483051</v>
      </c>
      <c r="X185" s="17">
        <f t="shared" si="63"/>
        <v>139212.05134410903</v>
      </c>
      <c r="Y185" s="17">
        <f>IF(MOD(A185,12)=0,W185*'1 - Input'!$B$23,0)</f>
        <v>0</v>
      </c>
      <c r="Z185" s="17">
        <f t="shared" si="64"/>
        <v>249662.14139483051</v>
      </c>
      <c r="AA185" s="17">
        <f>IF(MOD(A185,12)=0,X185*(1-'1 - Input'!$B$23),X185)</f>
        <v>139212.05134410903</v>
      </c>
      <c r="AB185" s="17">
        <f t="shared" si="65"/>
        <v>3357.1106326655608</v>
      </c>
      <c r="AC185" s="17">
        <f t="shared" si="69"/>
        <v>427837.48592599231</v>
      </c>
      <c r="AD185" s="17">
        <f t="shared" si="70"/>
        <v>0</v>
      </c>
      <c r="AE185" s="17">
        <f t="shared" si="71"/>
        <v>30645.422826972048</v>
      </c>
      <c r="AF185" s="17">
        <f t="shared" si="72"/>
        <v>0</v>
      </c>
      <c r="AG185" s="17">
        <f t="shared" si="73"/>
        <v>8650.4393232970706</v>
      </c>
      <c r="AH185" s="17">
        <f t="shared" si="74"/>
        <v>0</v>
      </c>
      <c r="AI185" s="15">
        <f t="shared" si="66"/>
        <v>0</v>
      </c>
    </row>
    <row r="186" spans="1:35">
      <c r="A186" s="14">
        <v>143</v>
      </c>
      <c r="B186" s="15">
        <f t="shared" si="50"/>
        <v>12</v>
      </c>
      <c r="C186" s="16">
        <f>(1+INDEX('1 - Input'!$B$34:$E$63,B186,'1 - Input'!$B$16))^(1/12)-1</f>
        <v>4.1219243192651689E-3</v>
      </c>
      <c r="D186" s="17">
        <f>'1 - Input'!$B$7*(1+'1 - Input'!$B$12)^(B186-1)</f>
        <v>3357.1106326655604</v>
      </c>
      <c r="E186" s="17">
        <f t="shared" si="67"/>
        <v>249662.14139483051</v>
      </c>
      <c r="F186" s="17">
        <f t="shared" si="68"/>
        <v>139212.05134410903</v>
      </c>
      <c r="G186" s="17">
        <f t="shared" si="51"/>
        <v>250691.22984704567</v>
      </c>
      <c r="H186" s="17">
        <f>0</f>
        <v>0</v>
      </c>
      <c r="I186" s="17">
        <f t="shared" si="52"/>
        <v>250691.22984704567</v>
      </c>
      <c r="J186" s="17">
        <f t="shared" si="53"/>
        <v>0</v>
      </c>
      <c r="K186" s="17">
        <f>'1 - Input'!$B$22*(H186-J186)</f>
        <v>0</v>
      </c>
      <c r="L186" s="17">
        <f t="shared" si="54"/>
        <v>0</v>
      </c>
      <c r="M186" s="17">
        <f t="shared" si="55"/>
        <v>139212.05134410903</v>
      </c>
      <c r="N186" s="17">
        <f>0</f>
        <v>0</v>
      </c>
      <c r="O186" s="17">
        <f t="shared" si="56"/>
        <v>3357.1106326655604</v>
      </c>
      <c r="P186" s="17">
        <f t="shared" si="57"/>
        <v>0.44468718977904997</v>
      </c>
      <c r="Q186" s="17">
        <f>IF(AND(O186&gt;0,I186&gt;0),O186/(1-'1 - Input'!$B$22*P186),0)</f>
        <v>3795.998984024111</v>
      </c>
      <c r="R186" s="17">
        <f t="shared" si="58"/>
        <v>3795.998984024111</v>
      </c>
      <c r="S186" s="17">
        <f>'1 - Input'!$B$22*P186*R186</f>
        <v>438.88835135855078</v>
      </c>
      <c r="T186" s="17">
        <f t="shared" si="59"/>
        <v>3357.1106326655604</v>
      </c>
      <c r="U186" s="17">
        <f t="shared" si="60"/>
        <v>0</v>
      </c>
      <c r="V186" s="17">
        <f t="shared" si="61"/>
        <v>0</v>
      </c>
      <c r="W186" s="17">
        <f t="shared" si="62"/>
        <v>246895.23086302157</v>
      </c>
      <c r="X186" s="17">
        <f t="shared" si="63"/>
        <v>137104.08448069473</v>
      </c>
      <c r="Y186" s="17">
        <f>IF(MOD(A186,12)=0,W186*'1 - Input'!$B$23,0)</f>
        <v>0</v>
      </c>
      <c r="Z186" s="17">
        <f t="shared" si="64"/>
        <v>246895.23086302157</v>
      </c>
      <c r="AA186" s="17">
        <f>IF(MOD(A186,12)=0,X186*(1-'1 - Input'!$B$23),X186)</f>
        <v>137104.08448069473</v>
      </c>
      <c r="AB186" s="17">
        <f t="shared" si="65"/>
        <v>3357.1106326655604</v>
      </c>
      <c r="AC186" s="17">
        <f t="shared" si="69"/>
        <v>431194.59655865788</v>
      </c>
      <c r="AD186" s="17">
        <f t="shared" si="70"/>
        <v>0</v>
      </c>
      <c r="AE186" s="17">
        <f t="shared" si="71"/>
        <v>31084.311178330598</v>
      </c>
      <c r="AF186" s="17">
        <f t="shared" si="72"/>
        <v>0</v>
      </c>
      <c r="AG186" s="17">
        <f t="shared" si="73"/>
        <v>8650.4393232970706</v>
      </c>
      <c r="AH186" s="17">
        <f t="shared" si="74"/>
        <v>0</v>
      </c>
      <c r="AI186" s="15">
        <f t="shared" si="66"/>
        <v>0</v>
      </c>
    </row>
    <row r="187" spans="1:35">
      <c r="A187" s="14">
        <v>144</v>
      </c>
      <c r="B187" s="15">
        <f t="shared" si="50"/>
        <v>12</v>
      </c>
      <c r="C187" s="16">
        <f>(1+INDEX('1 - Input'!$B$34:$E$63,B187,'1 - Input'!$B$16))^(1/12)-1</f>
        <v>4.1219243192651689E-3</v>
      </c>
      <c r="D187" s="17">
        <f>'1 - Input'!$B$7*(1+'1 - Input'!$B$12)^(B187-1)</f>
        <v>3357.1106326655604</v>
      </c>
      <c r="E187" s="17">
        <f t="shared" si="67"/>
        <v>246895.23086302157</v>
      </c>
      <c r="F187" s="17">
        <f t="shared" si="68"/>
        <v>137104.08448069473</v>
      </c>
      <c r="G187" s="17">
        <f t="shared" si="51"/>
        <v>247912.91431942646</v>
      </c>
      <c r="H187" s="17">
        <f>0</f>
        <v>0</v>
      </c>
      <c r="I187" s="17">
        <f t="shared" si="52"/>
        <v>247912.91431942646</v>
      </c>
      <c r="J187" s="17">
        <f t="shared" si="53"/>
        <v>0</v>
      </c>
      <c r="K187" s="17">
        <f>'1 - Input'!$B$22*(H187-J187)</f>
        <v>0</v>
      </c>
      <c r="L187" s="17">
        <f t="shared" si="54"/>
        <v>0</v>
      </c>
      <c r="M187" s="17">
        <f t="shared" si="55"/>
        <v>137104.08448069473</v>
      </c>
      <c r="N187" s="17">
        <f>0</f>
        <v>0</v>
      </c>
      <c r="O187" s="17">
        <f t="shared" si="56"/>
        <v>3357.1106326655604</v>
      </c>
      <c r="P187" s="17">
        <f t="shared" si="57"/>
        <v>0.44696675097755789</v>
      </c>
      <c r="Q187" s="17">
        <f>IF(AND(O187&gt;0,I187&gt;0),O187/(1-'1 - Input'!$B$22*P187),0)</f>
        <v>3798.5446550187548</v>
      </c>
      <c r="R187" s="17">
        <f t="shared" si="58"/>
        <v>3798.5446550187548</v>
      </c>
      <c r="S187" s="17">
        <f>'1 - Input'!$B$22*P187*R187</f>
        <v>441.43402235319434</v>
      </c>
      <c r="T187" s="17">
        <f t="shared" si="59"/>
        <v>3357.1106326655604</v>
      </c>
      <c r="U187" s="17">
        <f t="shared" si="60"/>
        <v>0</v>
      </c>
      <c r="V187" s="17">
        <f t="shared" si="61"/>
        <v>0</v>
      </c>
      <c r="W187" s="17">
        <f t="shared" si="62"/>
        <v>244114.36966440771</v>
      </c>
      <c r="X187" s="17">
        <f t="shared" si="63"/>
        <v>135003.36298857286</v>
      </c>
      <c r="Y187" s="17">
        <f>IF(MOD(A187,12)=0,W187*'1 - Input'!$B$23,0)</f>
        <v>488.22873932881544</v>
      </c>
      <c r="Z187" s="17">
        <f t="shared" si="64"/>
        <v>243626.14092507889</v>
      </c>
      <c r="AA187" s="17">
        <f>IF(MOD(A187,12)=0,X187*(1-'1 - Input'!$B$23),X187)</f>
        <v>134733.35626259571</v>
      </c>
      <c r="AB187" s="17">
        <f t="shared" si="65"/>
        <v>3357.1106326655604</v>
      </c>
      <c r="AC187" s="17">
        <f t="shared" si="69"/>
        <v>434551.70719132345</v>
      </c>
      <c r="AD187" s="17">
        <f t="shared" si="70"/>
        <v>0</v>
      </c>
      <c r="AE187" s="17">
        <f t="shared" si="71"/>
        <v>31525.745200683792</v>
      </c>
      <c r="AF187" s="17">
        <f t="shared" si="72"/>
        <v>0</v>
      </c>
      <c r="AG187" s="17">
        <f t="shared" si="73"/>
        <v>9138.6680626258858</v>
      </c>
      <c r="AH187" s="17">
        <f t="shared" si="74"/>
        <v>0</v>
      </c>
      <c r="AI187" s="15">
        <f t="shared" si="66"/>
        <v>0</v>
      </c>
    </row>
    <row r="188" spans="1:35">
      <c r="A188" s="14">
        <v>145</v>
      </c>
      <c r="B188" s="15">
        <f t="shared" si="50"/>
        <v>13</v>
      </c>
      <c r="C188" s="16">
        <f>(1+INDEX('1 - Input'!$B$34:$E$63,B188,'1 - Input'!$B$16))^(1/12)-1</f>
        <v>4.1219243192651689E-3</v>
      </c>
      <c r="D188" s="17">
        <f>'1 - Input'!$B$7*(1+'1 - Input'!$B$12)^(B188-1)</f>
        <v>3424.252845318872</v>
      </c>
      <c r="E188" s="17">
        <f t="shared" si="67"/>
        <v>243626.14092507889</v>
      </c>
      <c r="F188" s="17">
        <f t="shared" si="68"/>
        <v>134733.35626259571</v>
      </c>
      <c r="G188" s="17">
        <f t="shared" si="51"/>
        <v>244630.3494401667</v>
      </c>
      <c r="H188" s="17">
        <f>0</f>
        <v>0</v>
      </c>
      <c r="I188" s="17">
        <f t="shared" si="52"/>
        <v>244630.3494401667</v>
      </c>
      <c r="J188" s="17">
        <f t="shared" si="53"/>
        <v>0</v>
      </c>
      <c r="K188" s="17">
        <f>'1 - Input'!$B$22*(H188-J188)</f>
        <v>0</v>
      </c>
      <c r="L188" s="17">
        <f t="shared" si="54"/>
        <v>0</v>
      </c>
      <c r="M188" s="17">
        <f t="shared" si="55"/>
        <v>134733.35626259571</v>
      </c>
      <c r="N188" s="17">
        <f>0</f>
        <v>0</v>
      </c>
      <c r="O188" s="17">
        <f t="shared" si="56"/>
        <v>3424.252845318872</v>
      </c>
      <c r="P188" s="17">
        <f t="shared" si="57"/>
        <v>0.44923695456867385</v>
      </c>
      <c r="Q188" s="17">
        <f>IF(AND(O188&gt;0,I188&gt;0),O188/(1-'1 - Input'!$B$22*P188),0)</f>
        <v>3877.1049370832716</v>
      </c>
      <c r="R188" s="17">
        <f t="shared" si="58"/>
        <v>3877.1049370832716</v>
      </c>
      <c r="S188" s="17">
        <f>'1 - Input'!$B$22*P188*R188</f>
        <v>452.85209176439929</v>
      </c>
      <c r="T188" s="17">
        <f t="shared" si="59"/>
        <v>3424.2528453188725</v>
      </c>
      <c r="U188" s="17">
        <f t="shared" si="60"/>
        <v>0</v>
      </c>
      <c r="V188" s="17">
        <f t="shared" si="61"/>
        <v>0</v>
      </c>
      <c r="W188" s="17">
        <f t="shared" si="62"/>
        <v>240753.24450308344</v>
      </c>
      <c r="X188" s="17">
        <f t="shared" si="63"/>
        <v>132597.9901399909</v>
      </c>
      <c r="Y188" s="17">
        <f>IF(MOD(A188,12)=0,W188*'1 - Input'!$B$23,0)</f>
        <v>0</v>
      </c>
      <c r="Z188" s="17">
        <f t="shared" si="64"/>
        <v>240753.24450308344</v>
      </c>
      <c r="AA188" s="17">
        <f>IF(MOD(A188,12)=0,X188*(1-'1 - Input'!$B$23),X188)</f>
        <v>132597.9901399909</v>
      </c>
      <c r="AB188" s="17">
        <f t="shared" si="65"/>
        <v>3424.2528453188725</v>
      </c>
      <c r="AC188" s="17">
        <f t="shared" si="69"/>
        <v>437975.96003664233</v>
      </c>
      <c r="AD188" s="17">
        <f t="shared" si="70"/>
        <v>0</v>
      </c>
      <c r="AE188" s="17">
        <f t="shared" si="71"/>
        <v>31978.59729244819</v>
      </c>
      <c r="AF188" s="17">
        <f t="shared" si="72"/>
        <v>0</v>
      </c>
      <c r="AG188" s="17">
        <f t="shared" si="73"/>
        <v>9138.6680626258858</v>
      </c>
      <c r="AH188" s="17">
        <f t="shared" si="74"/>
        <v>0</v>
      </c>
      <c r="AI188" s="15">
        <f t="shared" si="66"/>
        <v>0</v>
      </c>
    </row>
    <row r="189" spans="1:35">
      <c r="A189" s="14">
        <v>146</v>
      </c>
      <c r="B189" s="15">
        <f t="shared" si="50"/>
        <v>13</v>
      </c>
      <c r="C189" s="16">
        <f>(1+INDEX('1 - Input'!$B$34:$E$63,B189,'1 - Input'!$B$16))^(1/12)-1</f>
        <v>4.1219243192651689E-3</v>
      </c>
      <c r="D189" s="17">
        <f>'1 - Input'!$B$7*(1+'1 - Input'!$B$12)^(B189-1)</f>
        <v>3424.252845318872</v>
      </c>
      <c r="E189" s="17">
        <f t="shared" si="67"/>
        <v>240753.24450308344</v>
      </c>
      <c r="F189" s="17">
        <f t="shared" si="68"/>
        <v>132597.9901399909</v>
      </c>
      <c r="G189" s="17">
        <f t="shared" si="51"/>
        <v>241745.6111565427</v>
      </c>
      <c r="H189" s="17">
        <f>0</f>
        <v>0</v>
      </c>
      <c r="I189" s="17">
        <f t="shared" si="52"/>
        <v>241745.6111565427</v>
      </c>
      <c r="J189" s="17">
        <f t="shared" si="53"/>
        <v>0</v>
      </c>
      <c r="K189" s="17">
        <f>'1 - Input'!$B$22*(H189-J189)</f>
        <v>0</v>
      </c>
      <c r="L189" s="17">
        <f t="shared" si="54"/>
        <v>0</v>
      </c>
      <c r="M189" s="17">
        <f t="shared" si="55"/>
        <v>132597.9901399909</v>
      </c>
      <c r="N189" s="17">
        <f>0</f>
        <v>0</v>
      </c>
      <c r="O189" s="17">
        <f t="shared" si="56"/>
        <v>3424.252845318872</v>
      </c>
      <c r="P189" s="17">
        <f t="shared" si="57"/>
        <v>0.45149783896541196</v>
      </c>
      <c r="Q189" s="17">
        <f>IF(AND(O189&gt;0,I189&gt;0),O189/(1-'1 - Input'!$B$22*P189),0)</f>
        <v>3879.6871386489693</v>
      </c>
      <c r="R189" s="17">
        <f t="shared" si="58"/>
        <v>3879.6871386489693</v>
      </c>
      <c r="S189" s="17">
        <f>'1 - Input'!$B$22*P189*R189</f>
        <v>455.43429333009715</v>
      </c>
      <c r="T189" s="17">
        <f t="shared" si="59"/>
        <v>3424.252845318872</v>
      </c>
      <c r="U189" s="17">
        <f t="shared" si="60"/>
        <v>0</v>
      </c>
      <c r="V189" s="17">
        <f t="shared" si="61"/>
        <v>0</v>
      </c>
      <c r="W189" s="17">
        <f t="shared" si="62"/>
        <v>237865.92401789373</v>
      </c>
      <c r="X189" s="17">
        <f t="shared" si="63"/>
        <v>130469.97336030385</v>
      </c>
      <c r="Y189" s="17">
        <f>IF(MOD(A189,12)=0,W189*'1 - Input'!$B$23,0)</f>
        <v>0</v>
      </c>
      <c r="Z189" s="17">
        <f t="shared" si="64"/>
        <v>237865.92401789373</v>
      </c>
      <c r="AA189" s="17">
        <f>IF(MOD(A189,12)=0,X189*(1-'1 - Input'!$B$23),X189)</f>
        <v>130469.97336030385</v>
      </c>
      <c r="AB189" s="17">
        <f t="shared" si="65"/>
        <v>3424.252845318872</v>
      </c>
      <c r="AC189" s="17">
        <f t="shared" si="69"/>
        <v>441400.2128819612</v>
      </c>
      <c r="AD189" s="17">
        <f t="shared" si="70"/>
        <v>0</v>
      </c>
      <c r="AE189" s="17">
        <f t="shared" si="71"/>
        <v>32434.031585778288</v>
      </c>
      <c r="AF189" s="17">
        <f t="shared" si="72"/>
        <v>0</v>
      </c>
      <c r="AG189" s="17">
        <f t="shared" si="73"/>
        <v>9138.6680626258858</v>
      </c>
      <c r="AH189" s="17">
        <f t="shared" si="74"/>
        <v>0</v>
      </c>
      <c r="AI189" s="15">
        <f t="shared" si="66"/>
        <v>0</v>
      </c>
    </row>
    <row r="190" spans="1:35">
      <c r="A190" s="14">
        <v>147</v>
      </c>
      <c r="B190" s="15">
        <f t="shared" si="50"/>
        <v>13</v>
      </c>
      <c r="C190" s="16">
        <f>(1+INDEX('1 - Input'!$B$34:$E$63,B190,'1 - Input'!$B$16))^(1/12)-1</f>
        <v>4.1219243192651689E-3</v>
      </c>
      <c r="D190" s="17">
        <f>'1 - Input'!$B$7*(1+'1 - Input'!$B$12)^(B190-1)</f>
        <v>3424.252845318872</v>
      </c>
      <c r="E190" s="17">
        <f t="shared" si="67"/>
        <v>237865.92401789373</v>
      </c>
      <c r="F190" s="17">
        <f t="shared" si="68"/>
        <v>130469.97336030385</v>
      </c>
      <c r="G190" s="17">
        <f t="shared" si="51"/>
        <v>238846.38935482758</v>
      </c>
      <c r="H190" s="17">
        <f>0</f>
        <v>0</v>
      </c>
      <c r="I190" s="17">
        <f t="shared" si="52"/>
        <v>238846.38935482758</v>
      </c>
      <c r="J190" s="17">
        <f t="shared" si="53"/>
        <v>0</v>
      </c>
      <c r="K190" s="17">
        <f>'1 - Input'!$B$22*(H190-J190)</f>
        <v>0</v>
      </c>
      <c r="L190" s="17">
        <f t="shared" si="54"/>
        <v>0</v>
      </c>
      <c r="M190" s="17">
        <f t="shared" si="55"/>
        <v>130469.97336030385</v>
      </c>
      <c r="N190" s="17">
        <f>0</f>
        <v>0</v>
      </c>
      <c r="O190" s="17">
        <f t="shared" si="56"/>
        <v>3424.252845318872</v>
      </c>
      <c r="P190" s="17">
        <f t="shared" si="57"/>
        <v>0.45374944242310034</v>
      </c>
      <c r="Q190" s="17">
        <f>IF(AND(O190&gt;0,I190&gt;0),O190/(1-'1 - Input'!$B$22*P190),0)</f>
        <v>3882.2621609448147</v>
      </c>
      <c r="R190" s="17">
        <f t="shared" si="58"/>
        <v>3882.2621609448147</v>
      </c>
      <c r="S190" s="17">
        <f>'1 - Input'!$B$22*P190*R190</f>
        <v>458.00931562594269</v>
      </c>
      <c r="T190" s="17">
        <f t="shared" si="59"/>
        <v>3424.252845318872</v>
      </c>
      <c r="U190" s="17">
        <f t="shared" si="60"/>
        <v>0</v>
      </c>
      <c r="V190" s="17">
        <f t="shared" si="61"/>
        <v>0</v>
      </c>
      <c r="W190" s="17">
        <f t="shared" si="62"/>
        <v>234964.12719388277</v>
      </c>
      <c r="X190" s="17">
        <f t="shared" si="63"/>
        <v>128349.28549022805</v>
      </c>
      <c r="Y190" s="17">
        <f>IF(MOD(A190,12)=0,W190*'1 - Input'!$B$23,0)</f>
        <v>0</v>
      </c>
      <c r="Z190" s="17">
        <f t="shared" si="64"/>
        <v>234964.12719388277</v>
      </c>
      <c r="AA190" s="17">
        <f>IF(MOD(A190,12)=0,X190*(1-'1 - Input'!$B$23),X190)</f>
        <v>128349.28549022805</v>
      </c>
      <c r="AB190" s="17">
        <f t="shared" si="65"/>
        <v>3424.252845318872</v>
      </c>
      <c r="AC190" s="17">
        <f t="shared" si="69"/>
        <v>444824.46572728007</v>
      </c>
      <c r="AD190" s="17">
        <f t="shared" si="70"/>
        <v>0</v>
      </c>
      <c r="AE190" s="17">
        <f t="shared" si="71"/>
        <v>32892.040901404231</v>
      </c>
      <c r="AF190" s="17">
        <f t="shared" si="72"/>
        <v>0</v>
      </c>
      <c r="AG190" s="17">
        <f t="shared" si="73"/>
        <v>9138.6680626258858</v>
      </c>
      <c r="AH190" s="17">
        <f t="shared" si="74"/>
        <v>0</v>
      </c>
      <c r="AI190" s="15">
        <f t="shared" si="66"/>
        <v>0</v>
      </c>
    </row>
    <row r="191" spans="1:35">
      <c r="A191" s="14">
        <v>148</v>
      </c>
      <c r="B191" s="15">
        <f t="shared" si="50"/>
        <v>13</v>
      </c>
      <c r="C191" s="16">
        <f>(1+INDEX('1 - Input'!$B$34:$E$63,B191,'1 - Input'!$B$16))^(1/12)-1</f>
        <v>4.1219243192651689E-3</v>
      </c>
      <c r="D191" s="17">
        <f>'1 - Input'!$B$7*(1+'1 - Input'!$B$12)^(B191-1)</f>
        <v>3424.252845318872</v>
      </c>
      <c r="E191" s="17">
        <f t="shared" si="67"/>
        <v>234964.12719388277</v>
      </c>
      <c r="F191" s="17">
        <f t="shared" si="68"/>
        <v>128349.28549022805</v>
      </c>
      <c r="G191" s="17">
        <f t="shared" si="51"/>
        <v>235932.63154391816</v>
      </c>
      <c r="H191" s="17">
        <f>0</f>
        <v>0</v>
      </c>
      <c r="I191" s="17">
        <f t="shared" si="52"/>
        <v>235932.63154391816</v>
      </c>
      <c r="J191" s="17">
        <f t="shared" si="53"/>
        <v>0</v>
      </c>
      <c r="K191" s="17">
        <f>'1 - Input'!$B$22*(H191-J191)</f>
        <v>0</v>
      </c>
      <c r="L191" s="17">
        <f t="shared" si="54"/>
        <v>0</v>
      </c>
      <c r="M191" s="17">
        <f t="shared" si="55"/>
        <v>128349.28549022805</v>
      </c>
      <c r="N191" s="17">
        <f>0</f>
        <v>0</v>
      </c>
      <c r="O191" s="17">
        <f t="shared" si="56"/>
        <v>3424.252845318872</v>
      </c>
      <c r="P191" s="17">
        <f t="shared" si="57"/>
        <v>0.45599180304002918</v>
      </c>
      <c r="Q191" s="17">
        <f>IF(AND(O191&gt;0,I191&gt;0),O191/(1-'1 - Input'!$B$22*P191),0)</f>
        <v>3884.830012175401</v>
      </c>
      <c r="R191" s="17">
        <f t="shared" si="58"/>
        <v>3884.830012175401</v>
      </c>
      <c r="S191" s="17">
        <f>'1 - Input'!$B$22*P191*R191</f>
        <v>460.57716685652866</v>
      </c>
      <c r="T191" s="17">
        <f t="shared" si="59"/>
        <v>3424.2528453188725</v>
      </c>
      <c r="U191" s="17">
        <f t="shared" si="60"/>
        <v>0</v>
      </c>
      <c r="V191" s="17">
        <f t="shared" si="61"/>
        <v>0</v>
      </c>
      <c r="W191" s="17">
        <f t="shared" si="62"/>
        <v>232047.80153174276</v>
      </c>
      <c r="X191" s="17">
        <f t="shared" si="63"/>
        <v>126235.90611980853</v>
      </c>
      <c r="Y191" s="17">
        <f>IF(MOD(A191,12)=0,W191*'1 - Input'!$B$23,0)</f>
        <v>0</v>
      </c>
      <c r="Z191" s="17">
        <f t="shared" si="64"/>
        <v>232047.80153174276</v>
      </c>
      <c r="AA191" s="17">
        <f>IF(MOD(A191,12)=0,X191*(1-'1 - Input'!$B$23),X191)</f>
        <v>126235.90611980853</v>
      </c>
      <c r="AB191" s="17">
        <f t="shared" si="65"/>
        <v>3424.2528453188725</v>
      </c>
      <c r="AC191" s="17">
        <f t="shared" si="69"/>
        <v>448248.71857259894</v>
      </c>
      <c r="AD191" s="17">
        <f t="shared" si="70"/>
        <v>0</v>
      </c>
      <c r="AE191" s="17">
        <f t="shared" si="71"/>
        <v>33352.618068260759</v>
      </c>
      <c r="AF191" s="17">
        <f t="shared" si="72"/>
        <v>0</v>
      </c>
      <c r="AG191" s="17">
        <f t="shared" si="73"/>
        <v>9138.6680626258858</v>
      </c>
      <c r="AH191" s="17">
        <f t="shared" si="74"/>
        <v>0</v>
      </c>
      <c r="AI191" s="15">
        <f t="shared" si="66"/>
        <v>0</v>
      </c>
    </row>
    <row r="192" spans="1:35">
      <c r="A192" s="14">
        <v>149</v>
      </c>
      <c r="B192" s="15">
        <f t="shared" si="50"/>
        <v>13</v>
      </c>
      <c r="C192" s="16">
        <f>(1+INDEX('1 - Input'!$B$34:$E$63,B192,'1 - Input'!$B$16))^(1/12)-1</f>
        <v>4.1219243192651689E-3</v>
      </c>
      <c r="D192" s="17">
        <f>'1 - Input'!$B$7*(1+'1 - Input'!$B$12)^(B192-1)</f>
        <v>3424.252845318872</v>
      </c>
      <c r="E192" s="17">
        <f t="shared" si="67"/>
        <v>232047.80153174276</v>
      </c>
      <c r="F192" s="17">
        <f t="shared" si="68"/>
        <v>126235.90611980853</v>
      </c>
      <c r="G192" s="17">
        <f t="shared" si="51"/>
        <v>233004.28500810848</v>
      </c>
      <c r="H192" s="17">
        <f>0</f>
        <v>0</v>
      </c>
      <c r="I192" s="17">
        <f t="shared" si="52"/>
        <v>233004.28500810848</v>
      </c>
      <c r="J192" s="17">
        <f t="shared" si="53"/>
        <v>0</v>
      </c>
      <c r="K192" s="17">
        <f>'1 - Input'!$B$22*(H192-J192)</f>
        <v>0</v>
      </c>
      <c r="L192" s="17">
        <f t="shared" si="54"/>
        <v>0</v>
      </c>
      <c r="M192" s="17">
        <f t="shared" si="55"/>
        <v>126235.90611980853</v>
      </c>
      <c r="N192" s="17">
        <f>0</f>
        <v>0</v>
      </c>
      <c r="O192" s="17">
        <f t="shared" si="56"/>
        <v>3424.252845318872</v>
      </c>
      <c r="P192" s="17">
        <f t="shared" si="57"/>
        <v>0.4582249587580951</v>
      </c>
      <c r="Q192" s="17">
        <f>IF(AND(O192&gt;0,I192&gt;0),O192/(1-'1 - Input'!$B$22*P192),0)</f>
        <v>3887.3907006206859</v>
      </c>
      <c r="R192" s="17">
        <f t="shared" si="58"/>
        <v>3887.3907006206859</v>
      </c>
      <c r="S192" s="17">
        <f>'1 - Input'!$B$22*P192*R192</f>
        <v>463.13785530181423</v>
      </c>
      <c r="T192" s="17">
        <f t="shared" si="59"/>
        <v>3424.2528453188716</v>
      </c>
      <c r="U192" s="17">
        <f t="shared" si="60"/>
        <v>0</v>
      </c>
      <c r="V192" s="17">
        <f t="shared" si="61"/>
        <v>0</v>
      </c>
      <c r="W192" s="17">
        <f t="shared" si="62"/>
        <v>229116.89430748779</v>
      </c>
      <c r="X192" s="17">
        <f t="shared" si="63"/>
        <v>124129.81486265636</v>
      </c>
      <c r="Y192" s="17">
        <f>IF(MOD(A192,12)=0,W192*'1 - Input'!$B$23,0)</f>
        <v>0</v>
      </c>
      <c r="Z192" s="17">
        <f t="shared" si="64"/>
        <v>229116.89430748779</v>
      </c>
      <c r="AA192" s="17">
        <f>IF(MOD(A192,12)=0,X192*(1-'1 - Input'!$B$23),X192)</f>
        <v>124129.81486265636</v>
      </c>
      <c r="AB192" s="17">
        <f t="shared" si="65"/>
        <v>3424.2528453188716</v>
      </c>
      <c r="AC192" s="17">
        <f t="shared" si="69"/>
        <v>451672.97141791781</v>
      </c>
      <c r="AD192" s="17">
        <f t="shared" si="70"/>
        <v>0</v>
      </c>
      <c r="AE192" s="17">
        <f t="shared" si="71"/>
        <v>33815.755923562574</v>
      </c>
      <c r="AF192" s="17">
        <f t="shared" si="72"/>
        <v>0</v>
      </c>
      <c r="AG192" s="17">
        <f t="shared" si="73"/>
        <v>9138.6680626258858</v>
      </c>
      <c r="AH192" s="17">
        <f t="shared" si="74"/>
        <v>0</v>
      </c>
      <c r="AI192" s="15">
        <f t="shared" si="66"/>
        <v>0</v>
      </c>
    </row>
    <row r="193" spans="1:35">
      <c r="A193" s="14">
        <v>150</v>
      </c>
      <c r="B193" s="15">
        <f t="shared" si="50"/>
        <v>13</v>
      </c>
      <c r="C193" s="16">
        <f>(1+INDEX('1 - Input'!$B$34:$E$63,B193,'1 - Input'!$B$16))^(1/12)-1</f>
        <v>4.1219243192651689E-3</v>
      </c>
      <c r="D193" s="17">
        <f>'1 - Input'!$B$7*(1+'1 - Input'!$B$12)^(B193-1)</f>
        <v>3424.252845318872</v>
      </c>
      <c r="E193" s="17">
        <f t="shared" si="67"/>
        <v>229116.89430748779</v>
      </c>
      <c r="F193" s="17">
        <f t="shared" si="68"/>
        <v>124129.81486265636</v>
      </c>
      <c r="G193" s="17">
        <f t="shared" si="51"/>
        <v>230061.29680608833</v>
      </c>
      <c r="H193" s="17">
        <f>0</f>
        <v>0</v>
      </c>
      <c r="I193" s="17">
        <f t="shared" si="52"/>
        <v>230061.29680608833</v>
      </c>
      <c r="J193" s="17">
        <f t="shared" si="53"/>
        <v>0</v>
      </c>
      <c r="K193" s="17">
        <f>'1 - Input'!$B$22*(H193-J193)</f>
        <v>0</v>
      </c>
      <c r="L193" s="17">
        <f t="shared" si="54"/>
        <v>0</v>
      </c>
      <c r="M193" s="17">
        <f t="shared" si="55"/>
        <v>124129.81486265636</v>
      </c>
      <c r="N193" s="17">
        <f>0</f>
        <v>0</v>
      </c>
      <c r="O193" s="17">
        <f t="shared" si="56"/>
        <v>3424.252845318872</v>
      </c>
      <c r="P193" s="17">
        <f t="shared" si="57"/>
        <v>0.46044894736344288</v>
      </c>
      <c r="Q193" s="17">
        <f>IF(AND(O193&gt;0,I193&gt;0),O193/(1-'1 - Input'!$B$22*P193),0)</f>
        <v>3889.9442346353621</v>
      </c>
      <c r="R193" s="17">
        <f t="shared" si="58"/>
        <v>3889.9442346353621</v>
      </c>
      <c r="S193" s="17">
        <f>'1 - Input'!$B$22*P193*R193</f>
        <v>465.69138931648996</v>
      </c>
      <c r="T193" s="17">
        <f t="shared" si="59"/>
        <v>3424.252845318872</v>
      </c>
      <c r="U193" s="17">
        <f t="shared" si="60"/>
        <v>0</v>
      </c>
      <c r="V193" s="17">
        <f t="shared" si="61"/>
        <v>0</v>
      </c>
      <c r="W193" s="17">
        <f t="shared" si="62"/>
        <v>226171.35257145297</v>
      </c>
      <c r="X193" s="17">
        <f t="shared" si="63"/>
        <v>122030.99135616135</v>
      </c>
      <c r="Y193" s="17">
        <f>IF(MOD(A193,12)=0,W193*'1 - Input'!$B$23,0)</f>
        <v>0</v>
      </c>
      <c r="Z193" s="17">
        <f t="shared" si="64"/>
        <v>226171.35257145297</v>
      </c>
      <c r="AA193" s="17">
        <f>IF(MOD(A193,12)=0,X193*(1-'1 - Input'!$B$23),X193)</f>
        <v>122030.99135616135</v>
      </c>
      <c r="AB193" s="17">
        <f t="shared" si="65"/>
        <v>3424.252845318872</v>
      </c>
      <c r="AC193" s="17">
        <f t="shared" si="69"/>
        <v>455097.22426323668</v>
      </c>
      <c r="AD193" s="17">
        <f t="shared" si="70"/>
        <v>0</v>
      </c>
      <c r="AE193" s="17">
        <f t="shared" si="71"/>
        <v>34281.447312879063</v>
      </c>
      <c r="AF193" s="17">
        <f t="shared" si="72"/>
        <v>0</v>
      </c>
      <c r="AG193" s="17">
        <f t="shared" si="73"/>
        <v>9138.6680626258858</v>
      </c>
      <c r="AH193" s="17">
        <f t="shared" si="74"/>
        <v>0</v>
      </c>
      <c r="AI193" s="15">
        <f t="shared" si="66"/>
        <v>0</v>
      </c>
    </row>
    <row r="194" spans="1:35">
      <c r="A194" s="14">
        <v>151</v>
      </c>
      <c r="B194" s="15">
        <f t="shared" si="50"/>
        <v>13</v>
      </c>
      <c r="C194" s="16">
        <f>(1+INDEX('1 - Input'!$B$34:$E$63,B194,'1 - Input'!$B$16))^(1/12)-1</f>
        <v>4.1219243192651689E-3</v>
      </c>
      <c r="D194" s="17">
        <f>'1 - Input'!$B$7*(1+'1 - Input'!$B$12)^(B194-1)</f>
        <v>3424.252845318872</v>
      </c>
      <c r="E194" s="17">
        <f t="shared" si="67"/>
        <v>226171.35257145297</v>
      </c>
      <c r="F194" s="17">
        <f t="shared" si="68"/>
        <v>122030.99135616135</v>
      </c>
      <c r="G194" s="17">
        <f t="shared" si="51"/>
        <v>227103.61376993833</v>
      </c>
      <c r="H194" s="17">
        <f>0</f>
        <v>0</v>
      </c>
      <c r="I194" s="17">
        <f t="shared" si="52"/>
        <v>227103.61376993833</v>
      </c>
      <c r="J194" s="17">
        <f t="shared" si="53"/>
        <v>0</v>
      </c>
      <c r="K194" s="17">
        <f>'1 - Input'!$B$22*(H194-J194)</f>
        <v>0</v>
      </c>
      <c r="L194" s="17">
        <f t="shared" si="54"/>
        <v>0</v>
      </c>
      <c r="M194" s="17">
        <f t="shared" si="55"/>
        <v>122030.99135616135</v>
      </c>
      <c r="N194" s="17">
        <f>0</f>
        <v>0</v>
      </c>
      <c r="O194" s="17">
        <f t="shared" si="56"/>
        <v>3424.252845318872</v>
      </c>
      <c r="P194" s="17">
        <f t="shared" si="57"/>
        <v>0.46266380648710503</v>
      </c>
      <c r="Q194" s="17">
        <f>IF(AND(O194&gt;0,I194&gt;0),O194/(1-'1 - Input'!$B$22*P194),0)</f>
        <v>3892.4906226482162</v>
      </c>
      <c r="R194" s="17">
        <f t="shared" si="58"/>
        <v>3892.4906226482162</v>
      </c>
      <c r="S194" s="17">
        <f>'1 - Input'!$B$22*P194*R194</f>
        <v>468.23777732934417</v>
      </c>
      <c r="T194" s="17">
        <f t="shared" si="59"/>
        <v>3424.252845318872</v>
      </c>
      <c r="U194" s="17">
        <f t="shared" si="60"/>
        <v>0</v>
      </c>
      <c r="V194" s="17">
        <f t="shared" si="61"/>
        <v>0</v>
      </c>
      <c r="W194" s="17">
        <f t="shared" si="62"/>
        <v>223211.12314729011</v>
      </c>
      <c r="X194" s="17">
        <f t="shared" si="63"/>
        <v>119939.41526170292</v>
      </c>
      <c r="Y194" s="17">
        <f>IF(MOD(A194,12)=0,W194*'1 - Input'!$B$23,0)</f>
        <v>0</v>
      </c>
      <c r="Z194" s="17">
        <f t="shared" si="64"/>
        <v>223211.12314729011</v>
      </c>
      <c r="AA194" s="17">
        <f>IF(MOD(A194,12)=0,X194*(1-'1 - Input'!$B$23),X194)</f>
        <v>119939.41526170292</v>
      </c>
      <c r="AB194" s="17">
        <f t="shared" si="65"/>
        <v>3424.252845318872</v>
      </c>
      <c r="AC194" s="17">
        <f t="shared" si="69"/>
        <v>458521.47710855555</v>
      </c>
      <c r="AD194" s="17">
        <f t="shared" si="70"/>
        <v>0</v>
      </c>
      <c r="AE194" s="17">
        <f t="shared" si="71"/>
        <v>34749.685090208404</v>
      </c>
      <c r="AF194" s="17">
        <f t="shared" si="72"/>
        <v>0</v>
      </c>
      <c r="AG194" s="17">
        <f t="shared" si="73"/>
        <v>9138.6680626258858</v>
      </c>
      <c r="AH194" s="17">
        <f t="shared" si="74"/>
        <v>0</v>
      </c>
      <c r="AI194" s="15">
        <f t="shared" si="66"/>
        <v>0</v>
      </c>
    </row>
    <row r="195" spans="1:35">
      <c r="A195" s="14">
        <v>152</v>
      </c>
      <c r="B195" s="15">
        <f t="shared" si="50"/>
        <v>13</v>
      </c>
      <c r="C195" s="16">
        <f>(1+INDEX('1 - Input'!$B$34:$E$63,B195,'1 - Input'!$B$16))^(1/12)-1</f>
        <v>4.1219243192651689E-3</v>
      </c>
      <c r="D195" s="17">
        <f>'1 - Input'!$B$7*(1+'1 - Input'!$B$12)^(B195-1)</f>
        <v>3424.252845318872</v>
      </c>
      <c r="E195" s="17">
        <f t="shared" si="67"/>
        <v>223211.12314729011</v>
      </c>
      <c r="F195" s="17">
        <f t="shared" si="68"/>
        <v>119939.41526170292</v>
      </c>
      <c r="G195" s="17">
        <f t="shared" si="51"/>
        <v>224131.18250412142</v>
      </c>
      <c r="H195" s="17">
        <f>0</f>
        <v>0</v>
      </c>
      <c r="I195" s="17">
        <f t="shared" si="52"/>
        <v>224131.18250412142</v>
      </c>
      <c r="J195" s="17">
        <f t="shared" si="53"/>
        <v>0</v>
      </c>
      <c r="K195" s="17">
        <f>'1 - Input'!$B$22*(H195-J195)</f>
        <v>0</v>
      </c>
      <c r="L195" s="17">
        <f t="shared" si="54"/>
        <v>0</v>
      </c>
      <c r="M195" s="17">
        <f t="shared" si="55"/>
        <v>119939.41526170292</v>
      </c>
      <c r="N195" s="17">
        <f>0</f>
        <v>0</v>
      </c>
      <c r="O195" s="17">
        <f t="shared" si="56"/>
        <v>3424.252845318872</v>
      </c>
      <c r="P195" s="17">
        <f t="shared" si="57"/>
        <v>0.46486957360563863</v>
      </c>
      <c r="Q195" s="17">
        <f>IF(AND(O195&gt;0,I195&gt;0),O195/(1-'1 - Input'!$B$22*P195),0)</f>
        <v>3895.029873161503</v>
      </c>
      <c r="R195" s="17">
        <f t="shared" si="58"/>
        <v>3895.029873161503</v>
      </c>
      <c r="S195" s="17">
        <f>'1 - Input'!$B$22*P195*R195</f>
        <v>470.7770278426313</v>
      </c>
      <c r="T195" s="17">
        <f t="shared" si="59"/>
        <v>3424.2528453188716</v>
      </c>
      <c r="U195" s="17">
        <f t="shared" si="60"/>
        <v>0</v>
      </c>
      <c r="V195" s="17">
        <f t="shared" si="61"/>
        <v>0</v>
      </c>
      <c r="W195" s="17">
        <f t="shared" si="62"/>
        <v>220236.15263095993</v>
      </c>
      <c r="X195" s="17">
        <f t="shared" si="63"/>
        <v>117855.06626485923</v>
      </c>
      <c r="Y195" s="17">
        <f>IF(MOD(A195,12)=0,W195*'1 - Input'!$B$23,0)</f>
        <v>0</v>
      </c>
      <c r="Z195" s="17">
        <f t="shared" si="64"/>
        <v>220236.15263095993</v>
      </c>
      <c r="AA195" s="17">
        <f>IF(MOD(A195,12)=0,X195*(1-'1 - Input'!$B$23),X195)</f>
        <v>117855.06626485923</v>
      </c>
      <c r="AB195" s="17">
        <f t="shared" si="65"/>
        <v>3424.2528453188716</v>
      </c>
      <c r="AC195" s="17">
        <f t="shared" si="69"/>
        <v>461945.72995387443</v>
      </c>
      <c r="AD195" s="17">
        <f t="shared" si="70"/>
        <v>0</v>
      </c>
      <c r="AE195" s="17">
        <f t="shared" si="71"/>
        <v>35220.462118051037</v>
      </c>
      <c r="AF195" s="17">
        <f t="shared" si="72"/>
        <v>0</v>
      </c>
      <c r="AG195" s="17">
        <f t="shared" si="73"/>
        <v>9138.6680626258858</v>
      </c>
      <c r="AH195" s="17">
        <f t="shared" si="74"/>
        <v>0</v>
      </c>
      <c r="AI195" s="15">
        <f t="shared" si="66"/>
        <v>0</v>
      </c>
    </row>
    <row r="196" spans="1:35">
      <c r="A196" s="14">
        <v>153</v>
      </c>
      <c r="B196" s="15">
        <f t="shared" si="50"/>
        <v>13</v>
      </c>
      <c r="C196" s="16">
        <f>(1+INDEX('1 - Input'!$B$34:$E$63,B196,'1 - Input'!$B$16))^(1/12)-1</f>
        <v>4.1219243192651689E-3</v>
      </c>
      <c r="D196" s="17">
        <f>'1 - Input'!$B$7*(1+'1 - Input'!$B$12)^(B196-1)</f>
        <v>3424.252845318872</v>
      </c>
      <c r="E196" s="17">
        <f t="shared" si="67"/>
        <v>220236.15263095993</v>
      </c>
      <c r="F196" s="17">
        <f t="shared" si="68"/>
        <v>117855.06626485923</v>
      </c>
      <c r="G196" s="17">
        <f t="shared" si="51"/>
        <v>221143.94938447088</v>
      </c>
      <c r="H196" s="17">
        <f>0</f>
        <v>0</v>
      </c>
      <c r="I196" s="17">
        <f t="shared" si="52"/>
        <v>221143.94938447088</v>
      </c>
      <c r="J196" s="17">
        <f t="shared" si="53"/>
        <v>0</v>
      </c>
      <c r="K196" s="17">
        <f>'1 - Input'!$B$22*(H196-J196)</f>
        <v>0</v>
      </c>
      <c r="L196" s="17">
        <f t="shared" si="54"/>
        <v>0</v>
      </c>
      <c r="M196" s="17">
        <f t="shared" si="55"/>
        <v>117855.06626485923</v>
      </c>
      <c r="N196" s="17">
        <f>0</f>
        <v>0</v>
      </c>
      <c r="O196" s="17">
        <f t="shared" si="56"/>
        <v>3424.252845318872</v>
      </c>
      <c r="P196" s="17">
        <f t="shared" si="57"/>
        <v>0.46706628604175948</v>
      </c>
      <c r="Q196" s="17">
        <f>IF(AND(O196&gt;0,I196&gt;0),O196/(1-'1 - Input'!$B$22*P196),0)</f>
        <v>3897.5619947503128</v>
      </c>
      <c r="R196" s="17">
        <f t="shared" si="58"/>
        <v>3897.5619947503128</v>
      </c>
      <c r="S196" s="17">
        <f>'1 - Input'!$B$22*P196*R196</f>
        <v>473.30914943144052</v>
      </c>
      <c r="T196" s="17">
        <f t="shared" si="59"/>
        <v>3424.2528453188725</v>
      </c>
      <c r="U196" s="17">
        <f t="shared" si="60"/>
        <v>0</v>
      </c>
      <c r="V196" s="17">
        <f t="shared" si="61"/>
        <v>0</v>
      </c>
      <c r="W196" s="17">
        <f t="shared" si="62"/>
        <v>217246.38738972056</v>
      </c>
      <c r="X196" s="17">
        <f t="shared" si="63"/>
        <v>115777.92407561446</v>
      </c>
      <c r="Y196" s="17">
        <f>IF(MOD(A196,12)=0,W196*'1 - Input'!$B$23,0)</f>
        <v>0</v>
      </c>
      <c r="Z196" s="17">
        <f t="shared" si="64"/>
        <v>217246.38738972056</v>
      </c>
      <c r="AA196" s="17">
        <f>IF(MOD(A196,12)=0,X196*(1-'1 - Input'!$B$23),X196)</f>
        <v>115777.92407561446</v>
      </c>
      <c r="AB196" s="17">
        <f t="shared" si="65"/>
        <v>3424.2528453188725</v>
      </c>
      <c r="AC196" s="17">
        <f t="shared" si="69"/>
        <v>465369.9827991933</v>
      </c>
      <c r="AD196" s="17">
        <f t="shared" si="70"/>
        <v>0</v>
      </c>
      <c r="AE196" s="17">
        <f t="shared" si="71"/>
        <v>35693.77126748248</v>
      </c>
      <c r="AF196" s="17">
        <f t="shared" si="72"/>
        <v>0</v>
      </c>
      <c r="AG196" s="17">
        <f t="shared" si="73"/>
        <v>9138.6680626258858</v>
      </c>
      <c r="AH196" s="17">
        <f t="shared" si="74"/>
        <v>0</v>
      </c>
      <c r="AI196" s="15">
        <f t="shared" si="66"/>
        <v>0</v>
      </c>
    </row>
    <row r="197" spans="1:35">
      <c r="A197" s="14">
        <v>154</v>
      </c>
      <c r="B197" s="15">
        <f t="shared" si="50"/>
        <v>13</v>
      </c>
      <c r="C197" s="16">
        <f>(1+INDEX('1 - Input'!$B$34:$E$63,B197,'1 - Input'!$B$16))^(1/12)-1</f>
        <v>4.1219243192651689E-3</v>
      </c>
      <c r="D197" s="17">
        <f>'1 - Input'!$B$7*(1+'1 - Input'!$B$12)^(B197-1)</f>
        <v>3424.252845318872</v>
      </c>
      <c r="E197" s="17">
        <f t="shared" si="67"/>
        <v>217246.38738972056</v>
      </c>
      <c r="F197" s="17">
        <f t="shared" si="68"/>
        <v>115777.92407561446</v>
      </c>
      <c r="G197" s="17">
        <f t="shared" si="51"/>
        <v>218141.86055717475</v>
      </c>
      <c r="H197" s="17">
        <f>0</f>
        <v>0</v>
      </c>
      <c r="I197" s="17">
        <f t="shared" si="52"/>
        <v>218141.86055717475</v>
      </c>
      <c r="J197" s="17">
        <f t="shared" si="53"/>
        <v>0</v>
      </c>
      <c r="K197" s="17">
        <f>'1 - Input'!$B$22*(H197-J197)</f>
        <v>0</v>
      </c>
      <c r="L197" s="17">
        <f t="shared" si="54"/>
        <v>0</v>
      </c>
      <c r="M197" s="17">
        <f t="shared" si="55"/>
        <v>115777.92407561446</v>
      </c>
      <c r="N197" s="17">
        <f>0</f>
        <v>0</v>
      </c>
      <c r="O197" s="17">
        <f t="shared" si="56"/>
        <v>3424.252845318872</v>
      </c>
      <c r="P197" s="17">
        <f t="shared" si="57"/>
        <v>0.46925398096497306</v>
      </c>
      <c r="Q197" s="17">
        <f>IF(AND(O197&gt;0,I197&gt;0),O197/(1-'1 - Input'!$B$22*P197),0)</f>
        <v>3900.0869960619366</v>
      </c>
      <c r="R197" s="17">
        <f t="shared" si="58"/>
        <v>3900.0869960619366</v>
      </c>
      <c r="S197" s="17">
        <f>'1 - Input'!$B$22*P197*R197</f>
        <v>475.83415074306464</v>
      </c>
      <c r="T197" s="17">
        <f t="shared" si="59"/>
        <v>3424.252845318872</v>
      </c>
      <c r="U197" s="17">
        <f t="shared" si="60"/>
        <v>0</v>
      </c>
      <c r="V197" s="17">
        <f t="shared" si="61"/>
        <v>0</v>
      </c>
      <c r="W197" s="17">
        <f t="shared" si="62"/>
        <v>214241.77356111282</v>
      </c>
      <c r="X197" s="17">
        <f t="shared" si="63"/>
        <v>113707.9684285643</v>
      </c>
      <c r="Y197" s="17">
        <f>IF(MOD(A197,12)=0,W197*'1 - Input'!$B$23,0)</f>
        <v>0</v>
      </c>
      <c r="Z197" s="17">
        <f t="shared" si="64"/>
        <v>214241.77356111282</v>
      </c>
      <c r="AA197" s="17">
        <f>IF(MOD(A197,12)=0,X197*(1-'1 - Input'!$B$23),X197)</f>
        <v>113707.9684285643</v>
      </c>
      <c r="AB197" s="17">
        <f t="shared" si="65"/>
        <v>3424.252845318872</v>
      </c>
      <c r="AC197" s="17">
        <f t="shared" si="69"/>
        <v>468794.23564451217</v>
      </c>
      <c r="AD197" s="17">
        <f t="shared" si="70"/>
        <v>0</v>
      </c>
      <c r="AE197" s="17">
        <f t="shared" si="71"/>
        <v>36169.605418225547</v>
      </c>
      <c r="AF197" s="17">
        <f t="shared" si="72"/>
        <v>0</v>
      </c>
      <c r="AG197" s="17">
        <f t="shared" si="73"/>
        <v>9138.6680626258858</v>
      </c>
      <c r="AH197" s="17">
        <f t="shared" si="74"/>
        <v>0</v>
      </c>
      <c r="AI197" s="15">
        <f t="shared" si="66"/>
        <v>0</v>
      </c>
    </row>
    <row r="198" spans="1:35">
      <c r="A198" s="14">
        <v>155</v>
      </c>
      <c r="B198" s="15">
        <f t="shared" si="50"/>
        <v>13</v>
      </c>
      <c r="C198" s="16">
        <f>(1+INDEX('1 - Input'!$B$34:$E$63,B198,'1 - Input'!$B$16))^(1/12)-1</f>
        <v>4.1219243192651689E-3</v>
      </c>
      <c r="D198" s="17">
        <f>'1 - Input'!$B$7*(1+'1 - Input'!$B$12)^(B198-1)</f>
        <v>3424.252845318872</v>
      </c>
      <c r="E198" s="17">
        <f t="shared" si="67"/>
        <v>214241.77356111282</v>
      </c>
      <c r="F198" s="17">
        <f t="shared" si="68"/>
        <v>113707.9684285643</v>
      </c>
      <c r="G198" s="17">
        <f t="shared" si="51"/>
        <v>215124.86193775685</v>
      </c>
      <c r="H198" s="17">
        <f>0</f>
        <v>0</v>
      </c>
      <c r="I198" s="17">
        <f t="shared" si="52"/>
        <v>215124.86193775685</v>
      </c>
      <c r="J198" s="17">
        <f t="shared" si="53"/>
        <v>0</v>
      </c>
      <c r="K198" s="17">
        <f>'1 - Input'!$B$22*(H198-J198)</f>
        <v>0</v>
      </c>
      <c r="L198" s="17">
        <f t="shared" si="54"/>
        <v>0</v>
      </c>
      <c r="M198" s="17">
        <f t="shared" si="55"/>
        <v>113707.9684285643</v>
      </c>
      <c r="N198" s="17">
        <f>0</f>
        <v>0</v>
      </c>
      <c r="O198" s="17">
        <f t="shared" si="56"/>
        <v>3424.252845318872</v>
      </c>
      <c r="P198" s="17">
        <f t="shared" si="57"/>
        <v>0.47143269539220445</v>
      </c>
      <c r="Q198" s="17">
        <f>IF(AND(O198&gt;0,I198&gt;0),O198/(1-'1 - Input'!$B$22*P198),0)</f>
        <v>3902.6048858152453</v>
      </c>
      <c r="R198" s="17">
        <f t="shared" si="58"/>
        <v>3902.6048858152453</v>
      </c>
      <c r="S198" s="17">
        <f>'1 - Input'!$B$22*P198*R198</f>
        <v>478.35204049637349</v>
      </c>
      <c r="T198" s="17">
        <f t="shared" si="59"/>
        <v>3424.252845318872</v>
      </c>
      <c r="U198" s="17">
        <f t="shared" si="60"/>
        <v>0</v>
      </c>
      <c r="V198" s="17">
        <f t="shared" si="61"/>
        <v>0</v>
      </c>
      <c r="W198" s="17">
        <f t="shared" si="62"/>
        <v>211222.25705194162</v>
      </c>
      <c r="X198" s="17">
        <f t="shared" si="63"/>
        <v>111645.17908311973</v>
      </c>
      <c r="Y198" s="17">
        <f>IF(MOD(A198,12)=0,W198*'1 - Input'!$B$23,0)</f>
        <v>0</v>
      </c>
      <c r="Z198" s="17">
        <f t="shared" si="64"/>
        <v>211222.25705194162</v>
      </c>
      <c r="AA198" s="17">
        <f>IF(MOD(A198,12)=0,X198*(1-'1 - Input'!$B$23),X198)</f>
        <v>111645.17908311973</v>
      </c>
      <c r="AB198" s="17">
        <f t="shared" si="65"/>
        <v>3424.252845318872</v>
      </c>
      <c r="AC198" s="17">
        <f t="shared" si="69"/>
        <v>472218.48848983104</v>
      </c>
      <c r="AD198" s="17">
        <f t="shared" si="70"/>
        <v>0</v>
      </c>
      <c r="AE198" s="17">
        <f t="shared" si="71"/>
        <v>36647.957458721918</v>
      </c>
      <c r="AF198" s="17">
        <f t="shared" si="72"/>
        <v>0</v>
      </c>
      <c r="AG198" s="17">
        <f t="shared" si="73"/>
        <v>9138.6680626258858</v>
      </c>
      <c r="AH198" s="17">
        <f t="shared" si="74"/>
        <v>0</v>
      </c>
      <c r="AI198" s="15">
        <f t="shared" si="66"/>
        <v>0</v>
      </c>
    </row>
    <row r="199" spans="1:35">
      <c r="A199" s="14">
        <v>156</v>
      </c>
      <c r="B199" s="15">
        <f t="shared" si="50"/>
        <v>13</v>
      </c>
      <c r="C199" s="16">
        <f>(1+INDEX('1 - Input'!$B$34:$E$63,B199,'1 - Input'!$B$16))^(1/12)-1</f>
        <v>4.1219243192651689E-3</v>
      </c>
      <c r="D199" s="17">
        <f>'1 - Input'!$B$7*(1+'1 - Input'!$B$12)^(B199-1)</f>
        <v>3424.252845318872</v>
      </c>
      <c r="E199" s="17">
        <f t="shared" si="67"/>
        <v>211222.25705194162</v>
      </c>
      <c r="F199" s="17">
        <f t="shared" si="68"/>
        <v>111645.17908311973</v>
      </c>
      <c r="G199" s="17">
        <f t="shared" si="51"/>
        <v>212092.89921005411</v>
      </c>
      <c r="H199" s="17">
        <f>0</f>
        <v>0</v>
      </c>
      <c r="I199" s="17">
        <f t="shared" si="52"/>
        <v>212092.89921005411</v>
      </c>
      <c r="J199" s="17">
        <f t="shared" si="53"/>
        <v>0</v>
      </c>
      <c r="K199" s="17">
        <f>'1 - Input'!$B$22*(H199-J199)</f>
        <v>0</v>
      </c>
      <c r="L199" s="17">
        <f t="shared" si="54"/>
        <v>0</v>
      </c>
      <c r="M199" s="17">
        <f t="shared" si="55"/>
        <v>111645.17908311973</v>
      </c>
      <c r="N199" s="17">
        <f>0</f>
        <v>0</v>
      </c>
      <c r="O199" s="17">
        <f t="shared" si="56"/>
        <v>3424.252845318872</v>
      </c>
      <c r="P199" s="17">
        <f t="shared" si="57"/>
        <v>0.47360246618842361</v>
      </c>
      <c r="Q199" s="17">
        <f>IF(AND(O199&gt;0,I199&gt;0),O199/(1-'1 - Input'!$B$22*P199),0)</f>
        <v>3905.1156728000569</v>
      </c>
      <c r="R199" s="17">
        <f t="shared" si="58"/>
        <v>3905.1156728000569</v>
      </c>
      <c r="S199" s="17">
        <f>'1 - Input'!$B$22*P199*R199</f>
        <v>480.86282748118481</v>
      </c>
      <c r="T199" s="17">
        <f t="shared" si="59"/>
        <v>3424.252845318872</v>
      </c>
      <c r="U199" s="17">
        <f t="shared" si="60"/>
        <v>0</v>
      </c>
      <c r="V199" s="17">
        <f t="shared" si="61"/>
        <v>0</v>
      </c>
      <c r="W199" s="17">
        <f t="shared" si="62"/>
        <v>208187.78353725406</v>
      </c>
      <c r="X199" s="17">
        <f t="shared" si="63"/>
        <v>109589.53582370885</v>
      </c>
      <c r="Y199" s="17">
        <f>IF(MOD(A199,12)=0,W199*'1 - Input'!$B$23,0)</f>
        <v>416.37556707450813</v>
      </c>
      <c r="Z199" s="17">
        <f t="shared" si="64"/>
        <v>207771.40797017954</v>
      </c>
      <c r="AA199" s="17">
        <f>IF(MOD(A199,12)=0,X199*(1-'1 - Input'!$B$23),X199)</f>
        <v>109370.35675206143</v>
      </c>
      <c r="AB199" s="17">
        <f t="shared" si="65"/>
        <v>3424.252845318872</v>
      </c>
      <c r="AC199" s="17">
        <f t="shared" si="69"/>
        <v>475642.74133514991</v>
      </c>
      <c r="AD199" s="17">
        <f t="shared" si="70"/>
        <v>0</v>
      </c>
      <c r="AE199" s="17">
        <f t="shared" si="71"/>
        <v>37128.820286203103</v>
      </c>
      <c r="AF199" s="17">
        <f t="shared" si="72"/>
        <v>0</v>
      </c>
      <c r="AG199" s="17">
        <f t="shared" si="73"/>
        <v>9555.0436297003944</v>
      </c>
      <c r="AH199" s="17">
        <f t="shared" si="74"/>
        <v>0</v>
      </c>
      <c r="AI199" s="15">
        <f t="shared" si="66"/>
        <v>0</v>
      </c>
    </row>
    <row r="200" spans="1:35">
      <c r="A200" s="14">
        <v>157</v>
      </c>
      <c r="B200" s="15">
        <f t="shared" si="50"/>
        <v>14</v>
      </c>
      <c r="C200" s="16">
        <f>(1+INDEX('1 - Input'!$B$34:$E$63,B200,'1 - Input'!$B$16))^(1/12)-1</f>
        <v>4.1219243192651689E-3</v>
      </c>
      <c r="D200" s="17">
        <f>'1 - Input'!$B$7*(1+'1 - Input'!$B$12)^(B200-1)</f>
        <v>3492.7379022252494</v>
      </c>
      <c r="E200" s="17">
        <f t="shared" si="67"/>
        <v>207771.40797017954</v>
      </c>
      <c r="F200" s="17">
        <f t="shared" si="68"/>
        <v>109370.35675206143</v>
      </c>
      <c r="G200" s="17">
        <f t="shared" si="51"/>
        <v>208627.82598953979</v>
      </c>
      <c r="H200" s="17">
        <f>0</f>
        <v>0</v>
      </c>
      <c r="I200" s="17">
        <f t="shared" si="52"/>
        <v>208627.82598953979</v>
      </c>
      <c r="J200" s="17">
        <f t="shared" si="53"/>
        <v>0</v>
      </c>
      <c r="K200" s="17">
        <f>'1 - Input'!$B$22*(H200-J200)</f>
        <v>0</v>
      </c>
      <c r="L200" s="17">
        <f t="shared" si="54"/>
        <v>0</v>
      </c>
      <c r="M200" s="17">
        <f t="shared" si="55"/>
        <v>109370.35675206143</v>
      </c>
      <c r="N200" s="17">
        <f>0</f>
        <v>0</v>
      </c>
      <c r="O200" s="17">
        <f t="shared" si="56"/>
        <v>3492.7379022252494</v>
      </c>
      <c r="P200" s="17">
        <f t="shared" si="57"/>
        <v>0.4757633300672699</v>
      </c>
      <c r="Q200" s="17">
        <f>IF(AND(O200&gt;0,I200&gt;0),O200/(1-'1 - Input'!$B$22*P200),0)</f>
        <v>3985.7717531940407</v>
      </c>
      <c r="R200" s="17">
        <f t="shared" si="58"/>
        <v>3985.7717531940407</v>
      </c>
      <c r="S200" s="17">
        <f>'1 - Input'!$B$22*P200*R200</f>
        <v>493.03385096879094</v>
      </c>
      <c r="T200" s="17">
        <f t="shared" si="59"/>
        <v>3492.7379022252499</v>
      </c>
      <c r="U200" s="17">
        <f t="shared" si="60"/>
        <v>0</v>
      </c>
      <c r="V200" s="17">
        <f t="shared" si="61"/>
        <v>0</v>
      </c>
      <c r="W200" s="17">
        <f t="shared" si="62"/>
        <v>204642.05423634575</v>
      </c>
      <c r="X200" s="17">
        <f t="shared" si="63"/>
        <v>107280.86904105505</v>
      </c>
      <c r="Y200" s="17">
        <f>IF(MOD(A200,12)=0,W200*'1 - Input'!$B$23,0)</f>
        <v>0</v>
      </c>
      <c r="Z200" s="17">
        <f t="shared" si="64"/>
        <v>204642.05423634575</v>
      </c>
      <c r="AA200" s="17">
        <f>IF(MOD(A200,12)=0,X200*(1-'1 - Input'!$B$23),X200)</f>
        <v>107280.86904105505</v>
      </c>
      <c r="AB200" s="17">
        <f t="shared" si="65"/>
        <v>3492.7379022252499</v>
      </c>
      <c r="AC200" s="17">
        <f t="shared" si="69"/>
        <v>479135.47923737514</v>
      </c>
      <c r="AD200" s="17">
        <f t="shared" si="70"/>
        <v>0</v>
      </c>
      <c r="AE200" s="17">
        <f t="shared" si="71"/>
        <v>37621.854137171897</v>
      </c>
      <c r="AF200" s="17">
        <f t="shared" si="72"/>
        <v>0</v>
      </c>
      <c r="AG200" s="17">
        <f t="shared" si="73"/>
        <v>9555.0436297003944</v>
      </c>
      <c r="AH200" s="17">
        <f t="shared" si="74"/>
        <v>0</v>
      </c>
      <c r="AI200" s="15">
        <f t="shared" si="66"/>
        <v>0</v>
      </c>
    </row>
    <row r="201" spans="1:35">
      <c r="A201" s="14">
        <v>158</v>
      </c>
      <c r="B201" s="15">
        <f t="shared" si="50"/>
        <v>14</v>
      </c>
      <c r="C201" s="16">
        <f>(1+INDEX('1 - Input'!$B$34:$E$63,B201,'1 - Input'!$B$16))^(1/12)-1</f>
        <v>4.1219243192651689E-3</v>
      </c>
      <c r="D201" s="17">
        <f>'1 - Input'!$B$7*(1+'1 - Input'!$B$12)^(B201-1)</f>
        <v>3492.7379022252494</v>
      </c>
      <c r="E201" s="17">
        <f t="shared" si="67"/>
        <v>204642.05423634575</v>
      </c>
      <c r="F201" s="17">
        <f t="shared" si="68"/>
        <v>107280.86904105505</v>
      </c>
      <c r="G201" s="17">
        <f t="shared" si="51"/>
        <v>205485.57329644694</v>
      </c>
      <c r="H201" s="17">
        <f>0</f>
        <v>0</v>
      </c>
      <c r="I201" s="17">
        <f t="shared" si="52"/>
        <v>205485.57329644694</v>
      </c>
      <c r="J201" s="17">
        <f t="shared" si="53"/>
        <v>0</v>
      </c>
      <c r="K201" s="17">
        <f>'1 - Input'!$B$22*(H201-J201)</f>
        <v>0</v>
      </c>
      <c r="L201" s="17">
        <f t="shared" si="54"/>
        <v>0</v>
      </c>
      <c r="M201" s="17">
        <f t="shared" si="55"/>
        <v>107280.86904105505</v>
      </c>
      <c r="N201" s="17">
        <f>0</f>
        <v>0</v>
      </c>
      <c r="O201" s="17">
        <f t="shared" si="56"/>
        <v>3492.7379022252494</v>
      </c>
      <c r="P201" s="17">
        <f t="shared" si="57"/>
        <v>0.4779153235916731</v>
      </c>
      <c r="Q201" s="17">
        <f>IF(AND(O201&gt;0,I201&gt;0),O201/(1-'1 - Input'!$B$22*P201),0)</f>
        <v>3988.3182934539323</v>
      </c>
      <c r="R201" s="17">
        <f t="shared" si="58"/>
        <v>3988.3182934539323</v>
      </c>
      <c r="S201" s="17">
        <f>'1 - Input'!$B$22*P201*R201</f>
        <v>495.58039122868263</v>
      </c>
      <c r="T201" s="17">
        <f t="shared" si="59"/>
        <v>3492.7379022252499</v>
      </c>
      <c r="U201" s="17">
        <f t="shared" si="60"/>
        <v>0</v>
      </c>
      <c r="V201" s="17">
        <f t="shared" si="61"/>
        <v>0</v>
      </c>
      <c r="W201" s="17">
        <f t="shared" si="62"/>
        <v>201497.25500299301</v>
      </c>
      <c r="X201" s="17">
        <f t="shared" si="63"/>
        <v>105198.62917540374</v>
      </c>
      <c r="Y201" s="17">
        <f>IF(MOD(A201,12)=0,W201*'1 - Input'!$B$23,0)</f>
        <v>0</v>
      </c>
      <c r="Z201" s="17">
        <f t="shared" si="64"/>
        <v>201497.25500299301</v>
      </c>
      <c r="AA201" s="17">
        <f>IF(MOD(A201,12)=0,X201*(1-'1 - Input'!$B$23),X201)</f>
        <v>105198.62917540374</v>
      </c>
      <c r="AB201" s="17">
        <f t="shared" si="65"/>
        <v>3492.7379022252499</v>
      </c>
      <c r="AC201" s="17">
        <f t="shared" si="69"/>
        <v>482628.21713960037</v>
      </c>
      <c r="AD201" s="17">
        <f t="shared" si="70"/>
        <v>0</v>
      </c>
      <c r="AE201" s="17">
        <f t="shared" si="71"/>
        <v>38117.434528400576</v>
      </c>
      <c r="AF201" s="17">
        <f t="shared" si="72"/>
        <v>0</v>
      </c>
      <c r="AG201" s="17">
        <f t="shared" si="73"/>
        <v>9555.0436297003944</v>
      </c>
      <c r="AH201" s="17">
        <f t="shared" si="74"/>
        <v>0</v>
      </c>
      <c r="AI201" s="15">
        <f t="shared" si="66"/>
        <v>0</v>
      </c>
    </row>
    <row r="202" spans="1:35">
      <c r="A202" s="14">
        <v>159</v>
      </c>
      <c r="B202" s="15">
        <f t="shared" si="50"/>
        <v>14</v>
      </c>
      <c r="C202" s="16">
        <f>(1+INDEX('1 - Input'!$B$34:$E$63,B202,'1 - Input'!$B$16))^(1/12)-1</f>
        <v>4.1219243192651689E-3</v>
      </c>
      <c r="D202" s="17">
        <f>'1 - Input'!$B$7*(1+'1 - Input'!$B$12)^(B202-1)</f>
        <v>3492.7379022252494</v>
      </c>
      <c r="E202" s="17">
        <f t="shared" si="67"/>
        <v>201497.25500299301</v>
      </c>
      <c r="F202" s="17">
        <f t="shared" si="68"/>
        <v>105198.62917540374</v>
      </c>
      <c r="G202" s="17">
        <f t="shared" si="51"/>
        <v>202327.81143865502</v>
      </c>
      <c r="H202" s="17">
        <f>0</f>
        <v>0</v>
      </c>
      <c r="I202" s="17">
        <f t="shared" si="52"/>
        <v>202327.81143865502</v>
      </c>
      <c r="J202" s="17">
        <f t="shared" si="53"/>
        <v>0</v>
      </c>
      <c r="K202" s="17">
        <f>'1 - Input'!$B$22*(H202-J202)</f>
        <v>0</v>
      </c>
      <c r="L202" s="17">
        <f t="shared" si="54"/>
        <v>0</v>
      </c>
      <c r="M202" s="17">
        <f t="shared" si="55"/>
        <v>105198.62917540374</v>
      </c>
      <c r="N202" s="17">
        <f>0</f>
        <v>0</v>
      </c>
      <c r="O202" s="17">
        <f t="shared" si="56"/>
        <v>3492.7379022252494</v>
      </c>
      <c r="P202" s="17">
        <f t="shared" si="57"/>
        <v>0.48005848317447186</v>
      </c>
      <c r="Q202" s="17">
        <f>IF(AND(O202&gt;0,I202&gt;0),O202/(1-'1 - Input'!$B$22*P202),0)</f>
        <v>3990.8576162146219</v>
      </c>
      <c r="R202" s="17">
        <f t="shared" si="58"/>
        <v>3990.8576162146219</v>
      </c>
      <c r="S202" s="17">
        <f>'1 - Input'!$B$22*P202*R202</f>
        <v>498.11971398937283</v>
      </c>
      <c r="T202" s="17">
        <f t="shared" si="59"/>
        <v>3492.7379022252489</v>
      </c>
      <c r="U202" s="17">
        <f t="shared" si="60"/>
        <v>0</v>
      </c>
      <c r="V202" s="17">
        <f t="shared" si="61"/>
        <v>0</v>
      </c>
      <c r="W202" s="17">
        <f t="shared" si="62"/>
        <v>198336.95382244038</v>
      </c>
      <c r="X202" s="17">
        <f t="shared" si="63"/>
        <v>103123.6166129944</v>
      </c>
      <c r="Y202" s="17">
        <f>IF(MOD(A202,12)=0,W202*'1 - Input'!$B$23,0)</f>
        <v>0</v>
      </c>
      <c r="Z202" s="17">
        <f t="shared" si="64"/>
        <v>198336.95382244038</v>
      </c>
      <c r="AA202" s="17">
        <f>IF(MOD(A202,12)=0,X202*(1-'1 - Input'!$B$23),X202)</f>
        <v>103123.6166129944</v>
      </c>
      <c r="AB202" s="17">
        <f t="shared" si="65"/>
        <v>3492.7379022252489</v>
      </c>
      <c r="AC202" s="17">
        <f t="shared" si="69"/>
        <v>486120.9550418256</v>
      </c>
      <c r="AD202" s="17">
        <f t="shared" si="70"/>
        <v>0</v>
      </c>
      <c r="AE202" s="17">
        <f t="shared" si="71"/>
        <v>38615.554242389946</v>
      </c>
      <c r="AF202" s="17">
        <f t="shared" si="72"/>
        <v>0</v>
      </c>
      <c r="AG202" s="17">
        <f t="shared" si="73"/>
        <v>9555.0436297003944</v>
      </c>
      <c r="AH202" s="17">
        <f t="shared" si="74"/>
        <v>0</v>
      </c>
      <c r="AI202" s="15">
        <f t="shared" si="66"/>
        <v>0</v>
      </c>
    </row>
    <row r="203" spans="1:35">
      <c r="A203" s="14">
        <v>160</v>
      </c>
      <c r="B203" s="15">
        <f t="shared" si="50"/>
        <v>14</v>
      </c>
      <c r="C203" s="16">
        <f>(1+INDEX('1 - Input'!$B$34:$E$63,B203,'1 - Input'!$B$16))^(1/12)-1</f>
        <v>4.1219243192651689E-3</v>
      </c>
      <c r="D203" s="17">
        <f>'1 - Input'!$B$7*(1+'1 - Input'!$B$12)^(B203-1)</f>
        <v>3492.7379022252494</v>
      </c>
      <c r="E203" s="17">
        <f t="shared" si="67"/>
        <v>198336.95382244038</v>
      </c>
      <c r="F203" s="17">
        <f t="shared" si="68"/>
        <v>103123.6166129944</v>
      </c>
      <c r="G203" s="17">
        <f t="shared" si="51"/>
        <v>199154.48373581006</v>
      </c>
      <c r="H203" s="17">
        <f>0</f>
        <v>0</v>
      </c>
      <c r="I203" s="17">
        <f t="shared" si="52"/>
        <v>199154.48373581006</v>
      </c>
      <c r="J203" s="17">
        <f t="shared" si="53"/>
        <v>0</v>
      </c>
      <c r="K203" s="17">
        <f>'1 - Input'!$B$22*(H203-J203)</f>
        <v>0</v>
      </c>
      <c r="L203" s="17">
        <f t="shared" si="54"/>
        <v>0</v>
      </c>
      <c r="M203" s="17">
        <f t="shared" si="55"/>
        <v>103123.6166129944</v>
      </c>
      <c r="N203" s="17">
        <f>0</f>
        <v>0</v>
      </c>
      <c r="O203" s="17">
        <f t="shared" si="56"/>
        <v>3492.7379022252494</v>
      </c>
      <c r="P203" s="17">
        <f t="shared" si="57"/>
        <v>0.48219284507903004</v>
      </c>
      <c r="Q203" s="17">
        <f>IF(AND(O203&gt;0,I203&gt;0),O203/(1-'1 - Input'!$B$22*P203),0)</f>
        <v>3993.3897307248208</v>
      </c>
      <c r="R203" s="17">
        <f t="shared" si="58"/>
        <v>3993.3897307248208</v>
      </c>
      <c r="S203" s="17">
        <f>'1 - Input'!$B$22*P203*R203</f>
        <v>500.65182849957159</v>
      </c>
      <c r="T203" s="17">
        <f t="shared" si="59"/>
        <v>3492.7379022252489</v>
      </c>
      <c r="U203" s="17">
        <f t="shared" si="60"/>
        <v>0</v>
      </c>
      <c r="V203" s="17">
        <f t="shared" si="61"/>
        <v>0</v>
      </c>
      <c r="W203" s="17">
        <f t="shared" si="62"/>
        <v>195161.09400508524</v>
      </c>
      <c r="X203" s="17">
        <f t="shared" si="63"/>
        <v>101055.81083803716</v>
      </c>
      <c r="Y203" s="17">
        <f>IF(MOD(A203,12)=0,W203*'1 - Input'!$B$23,0)</f>
        <v>0</v>
      </c>
      <c r="Z203" s="17">
        <f t="shared" si="64"/>
        <v>195161.09400508524</v>
      </c>
      <c r="AA203" s="17">
        <f>IF(MOD(A203,12)=0,X203*(1-'1 - Input'!$B$23),X203)</f>
        <v>101055.81083803716</v>
      </c>
      <c r="AB203" s="17">
        <f t="shared" si="65"/>
        <v>3492.7379022252489</v>
      </c>
      <c r="AC203" s="17">
        <f t="shared" si="69"/>
        <v>489613.69294405082</v>
      </c>
      <c r="AD203" s="17">
        <f t="shared" si="70"/>
        <v>0</v>
      </c>
      <c r="AE203" s="17">
        <f t="shared" si="71"/>
        <v>39116.206070889515</v>
      </c>
      <c r="AF203" s="17">
        <f t="shared" si="72"/>
        <v>0</v>
      </c>
      <c r="AG203" s="17">
        <f t="shared" si="73"/>
        <v>9555.0436297003944</v>
      </c>
      <c r="AH203" s="17">
        <f t="shared" si="74"/>
        <v>0</v>
      </c>
      <c r="AI203" s="15">
        <f t="shared" si="66"/>
        <v>0</v>
      </c>
    </row>
    <row r="204" spans="1:35">
      <c r="A204" s="14">
        <v>161</v>
      </c>
      <c r="B204" s="15">
        <f t="shared" si="50"/>
        <v>14</v>
      </c>
      <c r="C204" s="16">
        <f>(1+INDEX('1 - Input'!$B$34:$E$63,B204,'1 - Input'!$B$16))^(1/12)-1</f>
        <v>4.1219243192651689E-3</v>
      </c>
      <c r="D204" s="17">
        <f>'1 - Input'!$B$7*(1+'1 - Input'!$B$12)^(B204-1)</f>
        <v>3492.7379022252494</v>
      </c>
      <c r="E204" s="17">
        <f t="shared" si="67"/>
        <v>195161.09400508524</v>
      </c>
      <c r="F204" s="17">
        <f t="shared" si="68"/>
        <v>101055.81083803716</v>
      </c>
      <c r="G204" s="17">
        <f t="shared" si="51"/>
        <v>195965.53326463921</v>
      </c>
      <c r="H204" s="17">
        <f>0</f>
        <v>0</v>
      </c>
      <c r="I204" s="17">
        <f t="shared" si="52"/>
        <v>195965.53326463921</v>
      </c>
      <c r="J204" s="17">
        <f t="shared" si="53"/>
        <v>0</v>
      </c>
      <c r="K204" s="17">
        <f>'1 - Input'!$B$22*(H204-J204)</f>
        <v>0</v>
      </c>
      <c r="L204" s="17">
        <f t="shared" si="54"/>
        <v>0</v>
      </c>
      <c r="M204" s="17">
        <f t="shared" si="55"/>
        <v>101055.81083803716</v>
      </c>
      <c r="N204" s="17">
        <f>0</f>
        <v>0</v>
      </c>
      <c r="O204" s="17">
        <f t="shared" si="56"/>
        <v>3492.7379022252494</v>
      </c>
      <c r="P204" s="17">
        <f t="shared" si="57"/>
        <v>0.48431844541985047</v>
      </c>
      <c r="Q204" s="17">
        <f>IF(AND(O204&gt;0,I204&gt;0),O204/(1-'1 - Input'!$B$22*P204),0)</f>
        <v>3995.9146463024258</v>
      </c>
      <c r="R204" s="17">
        <f t="shared" si="58"/>
        <v>3995.9146463024258</v>
      </c>
      <c r="S204" s="17">
        <f>'1 - Input'!$B$22*P204*R204</f>
        <v>503.17674407717669</v>
      </c>
      <c r="T204" s="17">
        <f t="shared" si="59"/>
        <v>3492.7379022252489</v>
      </c>
      <c r="U204" s="17">
        <f t="shared" si="60"/>
        <v>0</v>
      </c>
      <c r="V204" s="17">
        <f t="shared" si="61"/>
        <v>0</v>
      </c>
      <c r="W204" s="17">
        <f t="shared" si="62"/>
        <v>191969.61861833677</v>
      </c>
      <c r="X204" s="17">
        <f t="shared" si="63"/>
        <v>98995.191361262332</v>
      </c>
      <c r="Y204" s="17">
        <f>IF(MOD(A204,12)=0,W204*'1 - Input'!$B$23,0)</f>
        <v>0</v>
      </c>
      <c r="Z204" s="17">
        <f t="shared" si="64"/>
        <v>191969.61861833677</v>
      </c>
      <c r="AA204" s="17">
        <f>IF(MOD(A204,12)=0,X204*(1-'1 - Input'!$B$23),X204)</f>
        <v>98995.191361262332</v>
      </c>
      <c r="AB204" s="17">
        <f t="shared" si="65"/>
        <v>3492.7379022252489</v>
      </c>
      <c r="AC204" s="17">
        <f t="shared" si="69"/>
        <v>493106.43084627605</v>
      </c>
      <c r="AD204" s="17">
        <f t="shared" si="70"/>
        <v>0</v>
      </c>
      <c r="AE204" s="17">
        <f t="shared" si="71"/>
        <v>39619.382814966695</v>
      </c>
      <c r="AF204" s="17">
        <f t="shared" si="72"/>
        <v>0</v>
      </c>
      <c r="AG204" s="17">
        <f t="shared" si="73"/>
        <v>9555.0436297003944</v>
      </c>
      <c r="AH204" s="17">
        <f t="shared" si="74"/>
        <v>0</v>
      </c>
      <c r="AI204" s="15">
        <f t="shared" si="66"/>
        <v>0</v>
      </c>
    </row>
    <row r="205" spans="1:35">
      <c r="A205" s="14">
        <v>162</v>
      </c>
      <c r="B205" s="15">
        <f t="shared" si="50"/>
        <v>14</v>
      </c>
      <c r="C205" s="16">
        <f>(1+INDEX('1 - Input'!$B$34:$E$63,B205,'1 - Input'!$B$16))^(1/12)-1</f>
        <v>4.1219243192651689E-3</v>
      </c>
      <c r="D205" s="17">
        <f>'1 - Input'!$B$7*(1+'1 - Input'!$B$12)^(B205-1)</f>
        <v>3492.7379022252494</v>
      </c>
      <c r="E205" s="17">
        <f t="shared" si="67"/>
        <v>191969.61861833677</v>
      </c>
      <c r="F205" s="17">
        <f t="shared" si="68"/>
        <v>98995.191361262332</v>
      </c>
      <c r="G205" s="17">
        <f t="shared" si="51"/>
        <v>192760.90285787976</v>
      </c>
      <c r="H205" s="17">
        <f>0</f>
        <v>0</v>
      </c>
      <c r="I205" s="17">
        <f t="shared" si="52"/>
        <v>192760.90285787976</v>
      </c>
      <c r="J205" s="17">
        <f t="shared" si="53"/>
        <v>0</v>
      </c>
      <c r="K205" s="17">
        <f>'1 - Input'!$B$22*(H205-J205)</f>
        <v>0</v>
      </c>
      <c r="L205" s="17">
        <f t="shared" si="54"/>
        <v>0</v>
      </c>
      <c r="M205" s="17">
        <f t="shared" si="55"/>
        <v>98995.191361262332</v>
      </c>
      <c r="N205" s="17">
        <f>0</f>
        <v>0</v>
      </c>
      <c r="O205" s="17">
        <f t="shared" si="56"/>
        <v>3492.7379022252494</v>
      </c>
      <c r="P205" s="17">
        <f t="shared" si="57"/>
        <v>0.48643532016318547</v>
      </c>
      <c r="Q205" s="17">
        <f>IF(AND(O205&gt;0,I205&gt;0),O205/(1-'1 - Input'!$B$22*P205),0)</f>
        <v>3998.4323723338903</v>
      </c>
      <c r="R205" s="17">
        <f t="shared" si="58"/>
        <v>3998.4323723338903</v>
      </c>
      <c r="S205" s="17">
        <f>'1 - Input'!$B$22*P205*R205</f>
        <v>505.69447010864116</v>
      </c>
      <c r="T205" s="17">
        <f t="shared" si="59"/>
        <v>3492.7379022252489</v>
      </c>
      <c r="U205" s="17">
        <f t="shared" si="60"/>
        <v>0</v>
      </c>
      <c r="V205" s="17">
        <f t="shared" si="61"/>
        <v>0</v>
      </c>
      <c r="W205" s="17">
        <f t="shared" si="62"/>
        <v>188762.47048554587</v>
      </c>
      <c r="X205" s="17">
        <f t="shared" si="63"/>
        <v>96941.737720115518</v>
      </c>
      <c r="Y205" s="17">
        <f>IF(MOD(A205,12)=0,W205*'1 - Input'!$B$23,0)</f>
        <v>0</v>
      </c>
      <c r="Z205" s="17">
        <f t="shared" si="64"/>
        <v>188762.47048554587</v>
      </c>
      <c r="AA205" s="17">
        <f>IF(MOD(A205,12)=0,X205*(1-'1 - Input'!$B$23),X205)</f>
        <v>96941.737720115518</v>
      </c>
      <c r="AB205" s="17">
        <f t="shared" si="65"/>
        <v>3492.7379022252489</v>
      </c>
      <c r="AC205" s="17">
        <f t="shared" si="69"/>
        <v>496599.16874850128</v>
      </c>
      <c r="AD205" s="17">
        <f t="shared" si="70"/>
        <v>0</v>
      </c>
      <c r="AE205" s="17">
        <f t="shared" si="71"/>
        <v>40125.077285075335</v>
      </c>
      <c r="AF205" s="17">
        <f t="shared" si="72"/>
        <v>0</v>
      </c>
      <c r="AG205" s="17">
        <f t="shared" si="73"/>
        <v>9555.0436297003944</v>
      </c>
      <c r="AH205" s="17">
        <f t="shared" si="74"/>
        <v>0</v>
      </c>
      <c r="AI205" s="15">
        <f t="shared" si="66"/>
        <v>0</v>
      </c>
    </row>
    <row r="206" spans="1:35">
      <c r="A206" s="14">
        <v>163</v>
      </c>
      <c r="B206" s="15">
        <f t="shared" si="50"/>
        <v>14</v>
      </c>
      <c r="C206" s="16">
        <f>(1+INDEX('1 - Input'!$B$34:$E$63,B206,'1 - Input'!$B$16))^(1/12)-1</f>
        <v>4.1219243192651689E-3</v>
      </c>
      <c r="D206" s="17">
        <f>'1 - Input'!$B$7*(1+'1 - Input'!$B$12)^(B206-1)</f>
        <v>3492.7379022252494</v>
      </c>
      <c r="E206" s="17">
        <f t="shared" si="67"/>
        <v>188762.47048554587</v>
      </c>
      <c r="F206" s="17">
        <f t="shared" si="68"/>
        <v>96941.737720115518</v>
      </c>
      <c r="G206" s="17">
        <f t="shared" si="51"/>
        <v>189540.53510320481</v>
      </c>
      <c r="H206" s="17">
        <f>0</f>
        <v>0</v>
      </c>
      <c r="I206" s="17">
        <f t="shared" si="52"/>
        <v>189540.53510320481</v>
      </c>
      <c r="J206" s="17">
        <f t="shared" si="53"/>
        <v>0</v>
      </c>
      <c r="K206" s="17">
        <f>'1 - Input'!$B$22*(H206-J206)</f>
        <v>0</v>
      </c>
      <c r="L206" s="17">
        <f t="shared" si="54"/>
        <v>0</v>
      </c>
      <c r="M206" s="17">
        <f t="shared" si="55"/>
        <v>96941.737720115518</v>
      </c>
      <c r="N206" s="17">
        <f>0</f>
        <v>0</v>
      </c>
      <c r="O206" s="17">
        <f t="shared" si="56"/>
        <v>3492.7379022252494</v>
      </c>
      <c r="P206" s="17">
        <f t="shared" si="57"/>
        <v>0.48854350512764588</v>
      </c>
      <c r="Q206" s="17">
        <f>IF(AND(O206&gt;0,I206&gt;0),O206/(1-'1 - Input'!$B$22*P206),0)</f>
        <v>4000.942918273593</v>
      </c>
      <c r="R206" s="17">
        <f t="shared" si="58"/>
        <v>4000.942918273593</v>
      </c>
      <c r="S206" s="17">
        <f>'1 - Input'!$B$22*P206*R206</f>
        <v>508.20501604834362</v>
      </c>
      <c r="T206" s="17">
        <f t="shared" si="59"/>
        <v>3492.7379022252494</v>
      </c>
      <c r="U206" s="17">
        <f t="shared" si="60"/>
        <v>0</v>
      </c>
      <c r="V206" s="17">
        <f t="shared" si="61"/>
        <v>0</v>
      </c>
      <c r="W206" s="17">
        <f t="shared" si="62"/>
        <v>185539.59218493121</v>
      </c>
      <c r="X206" s="17">
        <f t="shared" si="63"/>
        <v>94895.429478950944</v>
      </c>
      <c r="Y206" s="17">
        <f>IF(MOD(A206,12)=0,W206*'1 - Input'!$B$23,0)</f>
        <v>0</v>
      </c>
      <c r="Z206" s="17">
        <f t="shared" si="64"/>
        <v>185539.59218493121</v>
      </c>
      <c r="AA206" s="17">
        <f>IF(MOD(A206,12)=0,X206*(1-'1 - Input'!$B$23),X206)</f>
        <v>94895.429478950944</v>
      </c>
      <c r="AB206" s="17">
        <f t="shared" si="65"/>
        <v>3492.7379022252494</v>
      </c>
      <c r="AC206" s="17">
        <f t="shared" si="69"/>
        <v>500091.90665072651</v>
      </c>
      <c r="AD206" s="17">
        <f t="shared" si="70"/>
        <v>0</v>
      </c>
      <c r="AE206" s="17">
        <f t="shared" si="71"/>
        <v>40633.282301123676</v>
      </c>
      <c r="AF206" s="17">
        <f t="shared" si="72"/>
        <v>0</v>
      </c>
      <c r="AG206" s="17">
        <f t="shared" si="73"/>
        <v>9555.0436297003944</v>
      </c>
      <c r="AH206" s="17">
        <f t="shared" si="74"/>
        <v>0</v>
      </c>
      <c r="AI206" s="15">
        <f t="shared" si="66"/>
        <v>0</v>
      </c>
    </row>
    <row r="207" spans="1:35">
      <c r="A207" s="14">
        <v>164</v>
      </c>
      <c r="B207" s="15">
        <f t="shared" si="50"/>
        <v>14</v>
      </c>
      <c r="C207" s="16">
        <f>(1+INDEX('1 - Input'!$B$34:$E$63,B207,'1 - Input'!$B$16))^(1/12)-1</f>
        <v>4.1219243192651689E-3</v>
      </c>
      <c r="D207" s="17">
        <f>'1 - Input'!$B$7*(1+'1 - Input'!$B$12)^(B207-1)</f>
        <v>3492.7379022252494</v>
      </c>
      <c r="E207" s="17">
        <f t="shared" si="67"/>
        <v>185539.59218493121</v>
      </c>
      <c r="F207" s="17">
        <f t="shared" si="68"/>
        <v>94895.429478950944</v>
      </c>
      <c r="G207" s="17">
        <f t="shared" si="51"/>
        <v>186304.37234214484</v>
      </c>
      <c r="H207" s="17">
        <f>0</f>
        <v>0</v>
      </c>
      <c r="I207" s="17">
        <f t="shared" si="52"/>
        <v>186304.37234214484</v>
      </c>
      <c r="J207" s="17">
        <f t="shared" si="53"/>
        <v>0</v>
      </c>
      <c r="K207" s="17">
        <f>'1 - Input'!$B$22*(H207-J207)</f>
        <v>0</v>
      </c>
      <c r="L207" s="17">
        <f t="shared" si="54"/>
        <v>0</v>
      </c>
      <c r="M207" s="17">
        <f t="shared" si="55"/>
        <v>94895.429478950944</v>
      </c>
      <c r="N207" s="17">
        <f>0</f>
        <v>0</v>
      </c>
      <c r="O207" s="17">
        <f t="shared" si="56"/>
        <v>3492.7379022252494</v>
      </c>
      <c r="P207" s="17">
        <f t="shared" si="57"/>
        <v>0.49064303598480719</v>
      </c>
      <c r="Q207" s="17">
        <f>IF(AND(O207&gt;0,I207&gt;0),O207/(1-'1 - Input'!$B$22*P207),0)</f>
        <v>4003.4462936432087</v>
      </c>
      <c r="R207" s="17">
        <f t="shared" si="58"/>
        <v>4003.4462936432087</v>
      </c>
      <c r="S207" s="17">
        <f>'1 - Input'!$B$22*P207*R207</f>
        <v>510.70839141795926</v>
      </c>
      <c r="T207" s="17">
        <f t="shared" si="59"/>
        <v>3492.7379022252494</v>
      </c>
      <c r="U207" s="17">
        <f t="shared" si="60"/>
        <v>0</v>
      </c>
      <c r="V207" s="17">
        <f t="shared" si="61"/>
        <v>0</v>
      </c>
      <c r="W207" s="17">
        <f t="shared" si="62"/>
        <v>182300.92604850163</v>
      </c>
      <c r="X207" s="17">
        <f t="shared" si="63"/>
        <v>92856.246229222961</v>
      </c>
      <c r="Y207" s="17">
        <f>IF(MOD(A207,12)=0,W207*'1 - Input'!$B$23,0)</f>
        <v>0</v>
      </c>
      <c r="Z207" s="17">
        <f t="shared" si="64"/>
        <v>182300.92604850163</v>
      </c>
      <c r="AA207" s="17">
        <f>IF(MOD(A207,12)=0,X207*(1-'1 - Input'!$B$23),X207)</f>
        <v>92856.246229222961</v>
      </c>
      <c r="AB207" s="17">
        <f t="shared" si="65"/>
        <v>3492.7379022252494</v>
      </c>
      <c r="AC207" s="17">
        <f t="shared" si="69"/>
        <v>503584.64455295174</v>
      </c>
      <c r="AD207" s="17">
        <f t="shared" si="70"/>
        <v>0</v>
      </c>
      <c r="AE207" s="17">
        <f t="shared" si="71"/>
        <v>41143.990692541636</v>
      </c>
      <c r="AF207" s="17">
        <f t="shared" si="72"/>
        <v>0</v>
      </c>
      <c r="AG207" s="17">
        <f t="shared" si="73"/>
        <v>9555.0436297003944</v>
      </c>
      <c r="AH207" s="17">
        <f t="shared" si="74"/>
        <v>0</v>
      </c>
      <c r="AI207" s="15">
        <f t="shared" si="66"/>
        <v>0</v>
      </c>
    </row>
    <row r="208" spans="1:35">
      <c r="A208" s="14">
        <v>165</v>
      </c>
      <c r="B208" s="15">
        <f t="shared" si="50"/>
        <v>14</v>
      </c>
      <c r="C208" s="16">
        <f>(1+INDEX('1 - Input'!$B$34:$E$63,B208,'1 - Input'!$B$16))^(1/12)-1</f>
        <v>4.1219243192651689E-3</v>
      </c>
      <c r="D208" s="17">
        <f>'1 - Input'!$B$7*(1+'1 - Input'!$B$12)^(B208-1)</f>
        <v>3492.7379022252494</v>
      </c>
      <c r="E208" s="17">
        <f t="shared" si="67"/>
        <v>182300.92604850163</v>
      </c>
      <c r="F208" s="17">
        <f t="shared" si="68"/>
        <v>92856.246229222961</v>
      </c>
      <c r="G208" s="17">
        <f t="shared" si="51"/>
        <v>183052.3566690055</v>
      </c>
      <c r="H208" s="17">
        <f>0</f>
        <v>0</v>
      </c>
      <c r="I208" s="17">
        <f t="shared" si="52"/>
        <v>183052.3566690055</v>
      </c>
      <c r="J208" s="17">
        <f t="shared" si="53"/>
        <v>0</v>
      </c>
      <c r="K208" s="17">
        <f>'1 - Input'!$B$22*(H208-J208)</f>
        <v>0</v>
      </c>
      <c r="L208" s="17">
        <f t="shared" si="54"/>
        <v>0</v>
      </c>
      <c r="M208" s="17">
        <f t="shared" si="55"/>
        <v>92856.246229222961</v>
      </c>
      <c r="N208" s="17">
        <f>0</f>
        <v>0</v>
      </c>
      <c r="O208" s="17">
        <f t="shared" si="56"/>
        <v>3492.7379022252494</v>
      </c>
      <c r="P208" s="17">
        <f t="shared" si="57"/>
        <v>0.49273394825981276</v>
      </c>
      <c r="Q208" s="17">
        <f>IF(AND(O208&gt;0,I208&gt;0),O208/(1-'1 - Input'!$B$22*P208),0)</f>
        <v>4005.9425080310821</v>
      </c>
      <c r="R208" s="17">
        <f t="shared" si="58"/>
        <v>4005.9425080310821</v>
      </c>
      <c r="S208" s="17">
        <f>'1 - Input'!$B$22*P208*R208</f>
        <v>513.20460580583267</v>
      </c>
      <c r="T208" s="17">
        <f t="shared" si="59"/>
        <v>3492.7379022252494</v>
      </c>
      <c r="U208" s="17">
        <f t="shared" si="60"/>
        <v>0</v>
      </c>
      <c r="V208" s="17">
        <f t="shared" si="61"/>
        <v>0</v>
      </c>
      <c r="W208" s="17">
        <f t="shared" si="62"/>
        <v>179046.41416097441</v>
      </c>
      <c r="X208" s="17">
        <f t="shared" si="63"/>
        <v>90824.167589675853</v>
      </c>
      <c r="Y208" s="17">
        <f>IF(MOD(A208,12)=0,W208*'1 - Input'!$B$23,0)</f>
        <v>0</v>
      </c>
      <c r="Z208" s="17">
        <f t="shared" si="64"/>
        <v>179046.41416097441</v>
      </c>
      <c r="AA208" s="17">
        <f>IF(MOD(A208,12)=0,X208*(1-'1 - Input'!$B$23),X208)</f>
        <v>90824.167589675853</v>
      </c>
      <c r="AB208" s="17">
        <f t="shared" si="65"/>
        <v>3492.7379022252494</v>
      </c>
      <c r="AC208" s="17">
        <f t="shared" si="69"/>
        <v>507077.38245517696</v>
      </c>
      <c r="AD208" s="17">
        <f t="shared" si="70"/>
        <v>0</v>
      </c>
      <c r="AE208" s="17">
        <f t="shared" si="71"/>
        <v>41657.195298347469</v>
      </c>
      <c r="AF208" s="17">
        <f t="shared" si="72"/>
        <v>0</v>
      </c>
      <c r="AG208" s="17">
        <f t="shared" si="73"/>
        <v>9555.0436297003944</v>
      </c>
      <c r="AH208" s="17">
        <f t="shared" si="74"/>
        <v>0</v>
      </c>
      <c r="AI208" s="15">
        <f t="shared" si="66"/>
        <v>0</v>
      </c>
    </row>
    <row r="209" spans="1:35">
      <c r="A209" s="14">
        <v>166</v>
      </c>
      <c r="B209" s="15">
        <f t="shared" si="50"/>
        <v>14</v>
      </c>
      <c r="C209" s="16">
        <f>(1+INDEX('1 - Input'!$B$34:$E$63,B209,'1 - Input'!$B$16))^(1/12)-1</f>
        <v>4.1219243192651689E-3</v>
      </c>
      <c r="D209" s="17">
        <f>'1 - Input'!$B$7*(1+'1 - Input'!$B$12)^(B209-1)</f>
        <v>3492.7379022252494</v>
      </c>
      <c r="E209" s="17">
        <f t="shared" si="67"/>
        <v>179046.41416097441</v>
      </c>
      <c r="F209" s="17">
        <f t="shared" si="68"/>
        <v>90824.167589675853</v>
      </c>
      <c r="G209" s="17">
        <f t="shared" si="51"/>
        <v>179784.42992978176</v>
      </c>
      <c r="H209" s="17">
        <f>0</f>
        <v>0</v>
      </c>
      <c r="I209" s="17">
        <f t="shared" si="52"/>
        <v>179784.42992978176</v>
      </c>
      <c r="J209" s="17">
        <f t="shared" si="53"/>
        <v>0</v>
      </c>
      <c r="K209" s="17">
        <f>'1 - Input'!$B$22*(H209-J209)</f>
        <v>0</v>
      </c>
      <c r="L209" s="17">
        <f t="shared" si="54"/>
        <v>0</v>
      </c>
      <c r="M209" s="17">
        <f t="shared" si="55"/>
        <v>90824.167589675853</v>
      </c>
      <c r="N209" s="17">
        <f>0</f>
        <v>0</v>
      </c>
      <c r="O209" s="17">
        <f t="shared" si="56"/>
        <v>3492.7379022252494</v>
      </c>
      <c r="P209" s="17">
        <f t="shared" si="57"/>
        <v>0.49481627733197497</v>
      </c>
      <c r="Q209" s="17">
        <f>IF(AND(O209&gt;0,I209&gt;0),O209/(1-'1 - Input'!$B$22*P209),0)</f>
        <v>4008.4315710916007</v>
      </c>
      <c r="R209" s="17">
        <f t="shared" si="58"/>
        <v>4008.4315710916007</v>
      </c>
      <c r="S209" s="17">
        <f>'1 - Input'!$B$22*P209*R209</f>
        <v>515.69366886635146</v>
      </c>
      <c r="T209" s="17">
        <f t="shared" si="59"/>
        <v>3492.7379022252494</v>
      </c>
      <c r="U209" s="17">
        <f t="shared" si="60"/>
        <v>0</v>
      </c>
      <c r="V209" s="17">
        <f t="shared" si="61"/>
        <v>0</v>
      </c>
      <c r="W209" s="17">
        <f t="shared" si="62"/>
        <v>175775.99835869015</v>
      </c>
      <c r="X209" s="17">
        <f t="shared" si="63"/>
        <v>88799.173206531763</v>
      </c>
      <c r="Y209" s="17">
        <f>IF(MOD(A209,12)=0,W209*'1 - Input'!$B$23,0)</f>
        <v>0</v>
      </c>
      <c r="Z209" s="17">
        <f t="shared" si="64"/>
        <v>175775.99835869015</v>
      </c>
      <c r="AA209" s="17">
        <f>IF(MOD(A209,12)=0,X209*(1-'1 - Input'!$B$23),X209)</f>
        <v>88799.173206531763</v>
      </c>
      <c r="AB209" s="17">
        <f t="shared" si="65"/>
        <v>3492.7379022252494</v>
      </c>
      <c r="AC209" s="17">
        <f t="shared" si="69"/>
        <v>510570.12035740219</v>
      </c>
      <c r="AD209" s="17">
        <f t="shared" si="70"/>
        <v>0</v>
      </c>
      <c r="AE209" s="17">
        <f t="shared" si="71"/>
        <v>42172.888967213818</v>
      </c>
      <c r="AF209" s="17">
        <f t="shared" si="72"/>
        <v>0</v>
      </c>
      <c r="AG209" s="17">
        <f t="shared" si="73"/>
        <v>9555.0436297003944</v>
      </c>
      <c r="AH209" s="17">
        <f t="shared" si="74"/>
        <v>0</v>
      </c>
      <c r="AI209" s="15">
        <f t="shared" si="66"/>
        <v>0</v>
      </c>
    </row>
    <row r="210" spans="1:35">
      <c r="A210" s="14">
        <v>167</v>
      </c>
      <c r="B210" s="15">
        <f t="shared" si="50"/>
        <v>14</v>
      </c>
      <c r="C210" s="16">
        <f>(1+INDEX('1 - Input'!$B$34:$E$63,B210,'1 - Input'!$B$16))^(1/12)-1</f>
        <v>4.1219243192651689E-3</v>
      </c>
      <c r="D210" s="17">
        <f>'1 - Input'!$B$7*(1+'1 - Input'!$B$12)^(B210-1)</f>
        <v>3492.7379022252494</v>
      </c>
      <c r="E210" s="17">
        <f t="shared" si="67"/>
        <v>175775.99835869015</v>
      </c>
      <c r="F210" s="17">
        <f t="shared" si="68"/>
        <v>88799.173206531763</v>
      </c>
      <c r="G210" s="17">
        <f t="shared" si="51"/>
        <v>176500.53372106794</v>
      </c>
      <c r="H210" s="17">
        <f>0</f>
        <v>0</v>
      </c>
      <c r="I210" s="17">
        <f t="shared" si="52"/>
        <v>176500.53372106794</v>
      </c>
      <c r="J210" s="17">
        <f t="shared" si="53"/>
        <v>0</v>
      </c>
      <c r="K210" s="17">
        <f>'1 - Input'!$B$22*(H210-J210)</f>
        <v>0</v>
      </c>
      <c r="L210" s="17">
        <f t="shared" si="54"/>
        <v>0</v>
      </c>
      <c r="M210" s="17">
        <f t="shared" si="55"/>
        <v>88799.173206531763</v>
      </c>
      <c r="N210" s="17">
        <f>0</f>
        <v>0</v>
      </c>
      <c r="O210" s="17">
        <f t="shared" si="56"/>
        <v>3492.7379022252494</v>
      </c>
      <c r="P210" s="17">
        <f t="shared" si="57"/>
        <v>0.49689005843537415</v>
      </c>
      <c r="Q210" s="17">
        <f>IF(AND(O210&gt;0,I210&gt;0),O210/(1-'1 - Input'!$B$22*P210),0)</f>
        <v>4010.9134925445724</v>
      </c>
      <c r="R210" s="17">
        <f t="shared" si="58"/>
        <v>4010.9134925445724</v>
      </c>
      <c r="S210" s="17">
        <f>'1 - Input'!$B$22*P210*R210</f>
        <v>518.17559031932285</v>
      </c>
      <c r="T210" s="17">
        <f t="shared" si="59"/>
        <v>3492.7379022252494</v>
      </c>
      <c r="U210" s="17">
        <f t="shared" si="60"/>
        <v>0</v>
      </c>
      <c r="V210" s="17">
        <f t="shared" si="61"/>
        <v>0</v>
      </c>
      <c r="W210" s="17">
        <f t="shared" si="62"/>
        <v>172489.62022852336</v>
      </c>
      <c r="X210" s="17">
        <f t="shared" si="63"/>
        <v>86781.242753676896</v>
      </c>
      <c r="Y210" s="17">
        <f>IF(MOD(A210,12)=0,W210*'1 - Input'!$B$23,0)</f>
        <v>0</v>
      </c>
      <c r="Z210" s="17">
        <f t="shared" si="64"/>
        <v>172489.62022852336</v>
      </c>
      <c r="AA210" s="17">
        <f>IF(MOD(A210,12)=0,X210*(1-'1 - Input'!$B$23),X210)</f>
        <v>86781.242753676896</v>
      </c>
      <c r="AB210" s="17">
        <f t="shared" si="65"/>
        <v>3492.7379022252494</v>
      </c>
      <c r="AC210" s="17">
        <f t="shared" si="69"/>
        <v>514062.85825962742</v>
      </c>
      <c r="AD210" s="17">
        <f t="shared" si="70"/>
        <v>0</v>
      </c>
      <c r="AE210" s="17">
        <f t="shared" si="71"/>
        <v>42691.064557533144</v>
      </c>
      <c r="AF210" s="17">
        <f t="shared" si="72"/>
        <v>0</v>
      </c>
      <c r="AG210" s="17">
        <f t="shared" si="73"/>
        <v>9555.0436297003944</v>
      </c>
      <c r="AH210" s="17">
        <f t="shared" si="74"/>
        <v>0</v>
      </c>
      <c r="AI210" s="15">
        <f t="shared" si="66"/>
        <v>0</v>
      </c>
    </row>
    <row r="211" spans="1:35">
      <c r="A211" s="14">
        <v>168</v>
      </c>
      <c r="B211" s="15">
        <f t="shared" si="50"/>
        <v>14</v>
      </c>
      <c r="C211" s="16">
        <f>(1+INDEX('1 - Input'!$B$34:$E$63,B211,'1 - Input'!$B$16))^(1/12)-1</f>
        <v>4.1219243192651689E-3</v>
      </c>
      <c r="D211" s="17">
        <f>'1 - Input'!$B$7*(1+'1 - Input'!$B$12)^(B211-1)</f>
        <v>3492.7379022252494</v>
      </c>
      <c r="E211" s="17">
        <f t="shared" si="67"/>
        <v>172489.62022852336</v>
      </c>
      <c r="F211" s="17">
        <f t="shared" si="68"/>
        <v>86781.242753676896</v>
      </c>
      <c r="G211" s="17">
        <f t="shared" si="51"/>
        <v>173200.60938896413</v>
      </c>
      <c r="H211" s="17">
        <f>0</f>
        <v>0</v>
      </c>
      <c r="I211" s="17">
        <f t="shared" si="52"/>
        <v>173200.60938896413</v>
      </c>
      <c r="J211" s="17">
        <f t="shared" si="53"/>
        <v>0</v>
      </c>
      <c r="K211" s="17">
        <f>'1 - Input'!$B$22*(H211-J211)</f>
        <v>0</v>
      </c>
      <c r="L211" s="17">
        <f t="shared" si="54"/>
        <v>0</v>
      </c>
      <c r="M211" s="17">
        <f t="shared" si="55"/>
        <v>86781.242753676896</v>
      </c>
      <c r="N211" s="17">
        <f>0</f>
        <v>0</v>
      </c>
      <c r="O211" s="17">
        <f t="shared" si="56"/>
        <v>3492.7379022252494</v>
      </c>
      <c r="P211" s="17">
        <f t="shared" si="57"/>
        <v>0.49895532665945486</v>
      </c>
      <c r="Q211" s="17">
        <f>IF(AND(O211&gt;0,I211&gt;0),O211/(1-'1 - Input'!$B$22*P211),0)</f>
        <v>4013.3882821746001</v>
      </c>
      <c r="R211" s="17">
        <f t="shared" si="58"/>
        <v>4013.3882821746001</v>
      </c>
      <c r="S211" s="17">
        <f>'1 - Input'!$B$22*P211*R211</f>
        <v>520.65037994935062</v>
      </c>
      <c r="T211" s="17">
        <f t="shared" si="59"/>
        <v>3492.7379022252494</v>
      </c>
      <c r="U211" s="17">
        <f t="shared" si="60"/>
        <v>0</v>
      </c>
      <c r="V211" s="17">
        <f t="shared" si="61"/>
        <v>0</v>
      </c>
      <c r="W211" s="17">
        <f t="shared" si="62"/>
        <v>169187.22110678954</v>
      </c>
      <c r="X211" s="17">
        <f t="shared" si="63"/>
        <v>84770.355932845952</v>
      </c>
      <c r="Y211" s="17">
        <f>IF(MOD(A211,12)=0,W211*'1 - Input'!$B$23,0)</f>
        <v>338.37444221357907</v>
      </c>
      <c r="Z211" s="17">
        <f t="shared" si="64"/>
        <v>168848.84666457595</v>
      </c>
      <c r="AA211" s="17">
        <f>IF(MOD(A211,12)=0,X211*(1-'1 - Input'!$B$23),X211)</f>
        <v>84600.815220980265</v>
      </c>
      <c r="AB211" s="17">
        <f t="shared" si="65"/>
        <v>3492.7379022252494</v>
      </c>
      <c r="AC211" s="17">
        <f t="shared" si="69"/>
        <v>517555.59616185265</v>
      </c>
      <c r="AD211" s="17">
        <f t="shared" si="70"/>
        <v>0</v>
      </c>
      <c r="AE211" s="17">
        <f t="shared" si="71"/>
        <v>43211.714937482495</v>
      </c>
      <c r="AF211" s="17">
        <f t="shared" si="72"/>
        <v>0</v>
      </c>
      <c r="AG211" s="17">
        <f t="shared" si="73"/>
        <v>9893.4180719139731</v>
      </c>
      <c r="AH211" s="17">
        <f t="shared" si="74"/>
        <v>0</v>
      </c>
      <c r="AI211" s="15">
        <f t="shared" si="66"/>
        <v>0</v>
      </c>
    </row>
    <row r="212" spans="1:35">
      <c r="A212" s="14">
        <v>169</v>
      </c>
      <c r="B212" s="15">
        <f t="shared" si="50"/>
        <v>15</v>
      </c>
      <c r="C212" s="16">
        <f>(1+INDEX('1 - Input'!$B$34:$E$63,B212,'1 - Input'!$B$16))^(1/12)-1</f>
        <v>4.1219243192651689E-3</v>
      </c>
      <c r="D212" s="17">
        <f>'1 - Input'!$B$7*(1+'1 - Input'!$B$12)^(B212-1)</f>
        <v>3562.592660269755</v>
      </c>
      <c r="E212" s="17">
        <f t="shared" si="67"/>
        <v>168848.84666457595</v>
      </c>
      <c r="F212" s="17">
        <f t="shared" si="68"/>
        <v>84600.815220980265</v>
      </c>
      <c r="G212" s="17">
        <f t="shared" si="51"/>
        <v>169544.82883192252</v>
      </c>
      <c r="H212" s="17">
        <f>0</f>
        <v>0</v>
      </c>
      <c r="I212" s="17">
        <f t="shared" si="52"/>
        <v>169544.82883192252</v>
      </c>
      <c r="J212" s="17">
        <f t="shared" si="53"/>
        <v>0</v>
      </c>
      <c r="K212" s="17">
        <f>'1 - Input'!$B$22*(H212-J212)</f>
        <v>0</v>
      </c>
      <c r="L212" s="17">
        <f t="shared" si="54"/>
        <v>0</v>
      </c>
      <c r="M212" s="17">
        <f t="shared" si="55"/>
        <v>84600.815220980265</v>
      </c>
      <c r="N212" s="17">
        <f>0</f>
        <v>0</v>
      </c>
      <c r="O212" s="17">
        <f t="shared" si="56"/>
        <v>3562.592660269755</v>
      </c>
      <c r="P212" s="17">
        <f t="shared" si="57"/>
        <v>0.50101211694961867</v>
      </c>
      <c r="Q212" s="17">
        <f>IF(AND(O212&gt;0,I212&gt;0),O212/(1-'1 - Input'!$B$22*P212),0)</f>
        <v>4096.1730688270727</v>
      </c>
      <c r="R212" s="17">
        <f t="shared" si="58"/>
        <v>4096.1730688270727</v>
      </c>
      <c r="S212" s="17">
        <f>'1 - Input'!$B$22*P212*R212</f>
        <v>533.5804085573177</v>
      </c>
      <c r="T212" s="17">
        <f t="shared" si="59"/>
        <v>3562.592660269755</v>
      </c>
      <c r="U212" s="17">
        <f t="shared" si="60"/>
        <v>0</v>
      </c>
      <c r="V212" s="17">
        <f t="shared" si="61"/>
        <v>0</v>
      </c>
      <c r="W212" s="17">
        <f t="shared" si="62"/>
        <v>165448.65576309545</v>
      </c>
      <c r="X212" s="17">
        <f t="shared" si="63"/>
        <v>82556.874492758259</v>
      </c>
      <c r="Y212" s="17">
        <f>IF(MOD(A212,12)=0,W212*'1 - Input'!$B$23,0)</f>
        <v>0</v>
      </c>
      <c r="Z212" s="17">
        <f t="shared" si="64"/>
        <v>165448.65576309545</v>
      </c>
      <c r="AA212" s="17">
        <f>IF(MOD(A212,12)=0,X212*(1-'1 - Input'!$B$23),X212)</f>
        <v>82556.874492758259</v>
      </c>
      <c r="AB212" s="17">
        <f t="shared" si="65"/>
        <v>3562.592660269755</v>
      </c>
      <c r="AC212" s="17">
        <f t="shared" si="69"/>
        <v>521118.18882212241</v>
      </c>
      <c r="AD212" s="17">
        <f t="shared" si="70"/>
        <v>0</v>
      </c>
      <c r="AE212" s="17">
        <f t="shared" si="71"/>
        <v>43745.295346039813</v>
      </c>
      <c r="AF212" s="17">
        <f t="shared" si="72"/>
        <v>0</v>
      </c>
      <c r="AG212" s="17">
        <f t="shared" si="73"/>
        <v>9893.4180719139731</v>
      </c>
      <c r="AH212" s="17">
        <f t="shared" si="74"/>
        <v>0</v>
      </c>
      <c r="AI212" s="15">
        <f t="shared" si="66"/>
        <v>0</v>
      </c>
    </row>
    <row r="213" spans="1:35">
      <c r="A213" s="14">
        <v>170</v>
      </c>
      <c r="B213" s="15">
        <f t="shared" si="50"/>
        <v>15</v>
      </c>
      <c r="C213" s="16">
        <f>(1+INDEX('1 - Input'!$B$34:$E$63,B213,'1 - Input'!$B$16))^(1/12)-1</f>
        <v>4.1219243192651689E-3</v>
      </c>
      <c r="D213" s="17">
        <f>'1 - Input'!$B$7*(1+'1 - Input'!$B$12)^(B213-1)</f>
        <v>3562.592660269755</v>
      </c>
      <c r="E213" s="17">
        <f t="shared" si="67"/>
        <v>165448.65576309545</v>
      </c>
      <c r="F213" s="17">
        <f t="shared" si="68"/>
        <v>82556.874492758259</v>
      </c>
      <c r="G213" s="17">
        <f t="shared" si="51"/>
        <v>166130.6226008751</v>
      </c>
      <c r="H213" s="17">
        <f>0</f>
        <v>0</v>
      </c>
      <c r="I213" s="17">
        <f t="shared" si="52"/>
        <v>166130.6226008751</v>
      </c>
      <c r="J213" s="17">
        <f t="shared" si="53"/>
        <v>0</v>
      </c>
      <c r="K213" s="17">
        <f>'1 - Input'!$B$22*(H213-J213)</f>
        <v>0</v>
      </c>
      <c r="L213" s="17">
        <f t="shared" si="54"/>
        <v>0</v>
      </c>
      <c r="M213" s="17">
        <f t="shared" si="55"/>
        <v>82556.874492758259</v>
      </c>
      <c r="N213" s="17">
        <f>0</f>
        <v>0</v>
      </c>
      <c r="O213" s="17">
        <f t="shared" si="56"/>
        <v>3562.592660269755</v>
      </c>
      <c r="P213" s="17">
        <f t="shared" si="57"/>
        <v>0.50306046410781713</v>
      </c>
      <c r="Q213" s="17">
        <f>IF(AND(O213&gt;0,I213&gt;0),O213/(1-'1 - Input'!$B$22*P213),0)</f>
        <v>4098.6828355329872</v>
      </c>
      <c r="R213" s="17">
        <f t="shared" si="58"/>
        <v>4098.6828355329872</v>
      </c>
      <c r="S213" s="17">
        <f>'1 - Input'!$B$22*P213*R213</f>
        <v>536.0901752632318</v>
      </c>
      <c r="T213" s="17">
        <f t="shared" si="59"/>
        <v>3562.5926602697555</v>
      </c>
      <c r="U213" s="17">
        <f t="shared" si="60"/>
        <v>0</v>
      </c>
      <c r="V213" s="17">
        <f t="shared" si="61"/>
        <v>0</v>
      </c>
      <c r="W213" s="17">
        <f t="shared" si="62"/>
        <v>162031.9397653421</v>
      </c>
      <c r="X213" s="17">
        <f t="shared" si="63"/>
        <v>80520.076946699235</v>
      </c>
      <c r="Y213" s="17">
        <f>IF(MOD(A213,12)=0,W213*'1 - Input'!$B$23,0)</f>
        <v>0</v>
      </c>
      <c r="Z213" s="17">
        <f t="shared" si="64"/>
        <v>162031.9397653421</v>
      </c>
      <c r="AA213" s="17">
        <f>IF(MOD(A213,12)=0,X213*(1-'1 - Input'!$B$23),X213)</f>
        <v>80520.076946699235</v>
      </c>
      <c r="AB213" s="17">
        <f t="shared" si="65"/>
        <v>3562.5926602697555</v>
      </c>
      <c r="AC213" s="17">
        <f t="shared" si="69"/>
        <v>524680.78148239211</v>
      </c>
      <c r="AD213" s="17">
        <f t="shared" si="70"/>
        <v>0</v>
      </c>
      <c r="AE213" s="17">
        <f t="shared" si="71"/>
        <v>44281.385521303047</v>
      </c>
      <c r="AF213" s="17">
        <f t="shared" si="72"/>
        <v>0</v>
      </c>
      <c r="AG213" s="17">
        <f t="shared" si="73"/>
        <v>9893.4180719139731</v>
      </c>
      <c r="AH213" s="17">
        <f t="shared" si="74"/>
        <v>0</v>
      </c>
      <c r="AI213" s="15">
        <f t="shared" si="66"/>
        <v>0</v>
      </c>
    </row>
    <row r="214" spans="1:35">
      <c r="A214" s="14">
        <v>171</v>
      </c>
      <c r="B214" s="15">
        <f t="shared" si="50"/>
        <v>15</v>
      </c>
      <c r="C214" s="16">
        <f>(1+INDEX('1 - Input'!$B$34:$E$63,B214,'1 - Input'!$B$16))^(1/12)-1</f>
        <v>4.1219243192651689E-3</v>
      </c>
      <c r="D214" s="17">
        <f>'1 - Input'!$B$7*(1+'1 - Input'!$B$12)^(B214-1)</f>
        <v>3562.592660269755</v>
      </c>
      <c r="E214" s="17">
        <f t="shared" si="67"/>
        <v>162031.9397653421</v>
      </c>
      <c r="F214" s="17">
        <f t="shared" si="68"/>
        <v>80520.076946699235</v>
      </c>
      <c r="G214" s="17">
        <f t="shared" si="51"/>
        <v>162699.82315835857</v>
      </c>
      <c r="H214" s="17">
        <f>0</f>
        <v>0</v>
      </c>
      <c r="I214" s="17">
        <f t="shared" si="52"/>
        <v>162699.82315835857</v>
      </c>
      <c r="J214" s="17">
        <f t="shared" si="53"/>
        <v>0</v>
      </c>
      <c r="K214" s="17">
        <f>'1 - Input'!$B$22*(H214-J214)</f>
        <v>0</v>
      </c>
      <c r="L214" s="17">
        <f t="shared" si="54"/>
        <v>0</v>
      </c>
      <c r="M214" s="17">
        <f t="shared" si="55"/>
        <v>80520.076946699235</v>
      </c>
      <c r="N214" s="17">
        <f>0</f>
        <v>0</v>
      </c>
      <c r="O214" s="17">
        <f t="shared" si="56"/>
        <v>3562.592660269755</v>
      </c>
      <c r="P214" s="17">
        <f t="shared" si="57"/>
        <v>0.50510040279313861</v>
      </c>
      <c r="Q214" s="17">
        <f>IF(AND(O214&gt;0,I214&gt;0),O214/(1-'1 - Input'!$B$22*P214),0)</f>
        <v>4101.1853581106134</v>
      </c>
      <c r="R214" s="17">
        <f t="shared" si="58"/>
        <v>4101.1853581106134</v>
      </c>
      <c r="S214" s="17">
        <f>'1 - Input'!$B$22*P214*R214</f>
        <v>538.59269784085825</v>
      </c>
      <c r="T214" s="17">
        <f t="shared" si="59"/>
        <v>3562.592660269755</v>
      </c>
      <c r="U214" s="17">
        <f t="shared" si="60"/>
        <v>0</v>
      </c>
      <c r="V214" s="17">
        <f t="shared" si="61"/>
        <v>0</v>
      </c>
      <c r="W214" s="17">
        <f t="shared" si="62"/>
        <v>158598.63780024796</v>
      </c>
      <c r="X214" s="17">
        <f t="shared" si="63"/>
        <v>78490.401964899618</v>
      </c>
      <c r="Y214" s="17">
        <f>IF(MOD(A214,12)=0,W214*'1 - Input'!$B$23,0)</f>
        <v>0</v>
      </c>
      <c r="Z214" s="17">
        <f t="shared" si="64"/>
        <v>158598.63780024796</v>
      </c>
      <c r="AA214" s="17">
        <f>IF(MOD(A214,12)=0,X214*(1-'1 - Input'!$B$23),X214)</f>
        <v>78490.401964899618</v>
      </c>
      <c r="AB214" s="17">
        <f t="shared" si="65"/>
        <v>3562.592660269755</v>
      </c>
      <c r="AC214" s="17">
        <f t="shared" si="69"/>
        <v>528243.37414266181</v>
      </c>
      <c r="AD214" s="17">
        <f t="shared" si="70"/>
        <v>0</v>
      </c>
      <c r="AE214" s="17">
        <f t="shared" si="71"/>
        <v>44819.978219143908</v>
      </c>
      <c r="AF214" s="17">
        <f t="shared" si="72"/>
        <v>0</v>
      </c>
      <c r="AG214" s="17">
        <f t="shared" si="73"/>
        <v>9893.4180719139731</v>
      </c>
      <c r="AH214" s="17">
        <f t="shared" si="74"/>
        <v>0</v>
      </c>
      <c r="AI214" s="15">
        <f t="shared" si="66"/>
        <v>0</v>
      </c>
    </row>
    <row r="215" spans="1:35">
      <c r="A215" s="14">
        <v>172</v>
      </c>
      <c r="B215" s="15">
        <f t="shared" si="50"/>
        <v>15</v>
      </c>
      <c r="C215" s="16">
        <f>(1+INDEX('1 - Input'!$B$34:$E$63,B215,'1 - Input'!$B$16))^(1/12)-1</f>
        <v>4.1219243192651689E-3</v>
      </c>
      <c r="D215" s="17">
        <f>'1 - Input'!$B$7*(1+'1 - Input'!$B$12)^(B215-1)</f>
        <v>3562.592660269755</v>
      </c>
      <c r="E215" s="17">
        <f t="shared" si="67"/>
        <v>158598.63780024796</v>
      </c>
      <c r="F215" s="17">
        <f t="shared" si="68"/>
        <v>78490.401964899618</v>
      </c>
      <c r="G215" s="17">
        <f t="shared" si="51"/>
        <v>159252.36938239913</v>
      </c>
      <c r="H215" s="17">
        <f>0</f>
        <v>0</v>
      </c>
      <c r="I215" s="17">
        <f t="shared" si="52"/>
        <v>159252.36938239913</v>
      </c>
      <c r="J215" s="17">
        <f t="shared" si="53"/>
        <v>0</v>
      </c>
      <c r="K215" s="17">
        <f>'1 - Input'!$B$22*(H215-J215)</f>
        <v>0</v>
      </c>
      <c r="L215" s="17">
        <f t="shared" si="54"/>
        <v>0</v>
      </c>
      <c r="M215" s="17">
        <f t="shared" si="55"/>
        <v>78490.401964899618</v>
      </c>
      <c r="N215" s="17">
        <f>0</f>
        <v>0</v>
      </c>
      <c r="O215" s="17">
        <f t="shared" si="56"/>
        <v>3562.592660269755</v>
      </c>
      <c r="P215" s="17">
        <f t="shared" si="57"/>
        <v>0.50713196752239642</v>
      </c>
      <c r="Q215" s="17">
        <f>IF(AND(O215&gt;0,I215&gt;0),O215/(1-'1 - Input'!$B$22*P215),0)</f>
        <v>4103.6806467982997</v>
      </c>
      <c r="R215" s="17">
        <f t="shared" si="58"/>
        <v>4103.6806467982997</v>
      </c>
      <c r="S215" s="17">
        <f>'1 - Input'!$B$22*P215*R215</f>
        <v>541.08798652854455</v>
      </c>
      <c r="T215" s="17">
        <f t="shared" si="59"/>
        <v>3562.592660269755</v>
      </c>
      <c r="U215" s="17">
        <f t="shared" si="60"/>
        <v>0</v>
      </c>
      <c r="V215" s="17">
        <f t="shared" si="61"/>
        <v>0</v>
      </c>
      <c r="W215" s="17">
        <f t="shared" si="62"/>
        <v>155148.68873560082</v>
      </c>
      <c r="X215" s="17">
        <f t="shared" si="63"/>
        <v>76467.828958595725</v>
      </c>
      <c r="Y215" s="17">
        <f>IF(MOD(A215,12)=0,W215*'1 - Input'!$B$23,0)</f>
        <v>0</v>
      </c>
      <c r="Z215" s="17">
        <f t="shared" si="64"/>
        <v>155148.68873560082</v>
      </c>
      <c r="AA215" s="17">
        <f>IF(MOD(A215,12)=0,X215*(1-'1 - Input'!$B$23),X215)</f>
        <v>76467.828958595725</v>
      </c>
      <c r="AB215" s="17">
        <f t="shared" si="65"/>
        <v>3562.592660269755</v>
      </c>
      <c r="AC215" s="17">
        <f t="shared" si="69"/>
        <v>531805.96680293151</v>
      </c>
      <c r="AD215" s="17">
        <f t="shared" si="70"/>
        <v>0</v>
      </c>
      <c r="AE215" s="17">
        <f t="shared" si="71"/>
        <v>45361.066205672454</v>
      </c>
      <c r="AF215" s="17">
        <f t="shared" si="72"/>
        <v>0</v>
      </c>
      <c r="AG215" s="17">
        <f t="shared" si="73"/>
        <v>9893.4180719139731</v>
      </c>
      <c r="AH215" s="17">
        <f t="shared" si="74"/>
        <v>0</v>
      </c>
      <c r="AI215" s="15">
        <f t="shared" si="66"/>
        <v>0</v>
      </c>
    </row>
    <row r="216" spans="1:35">
      <c r="A216" s="14">
        <v>173</v>
      </c>
      <c r="B216" s="15">
        <f t="shared" si="50"/>
        <v>15</v>
      </c>
      <c r="C216" s="16">
        <f>(1+INDEX('1 - Input'!$B$34:$E$63,B216,'1 - Input'!$B$16))^(1/12)-1</f>
        <v>4.1219243192651689E-3</v>
      </c>
      <c r="D216" s="17">
        <f>'1 - Input'!$B$7*(1+'1 - Input'!$B$12)^(B216-1)</f>
        <v>3562.592660269755</v>
      </c>
      <c r="E216" s="17">
        <f t="shared" si="67"/>
        <v>155148.68873560082</v>
      </c>
      <c r="F216" s="17">
        <f t="shared" si="68"/>
        <v>76467.828958595725</v>
      </c>
      <c r="G216" s="17">
        <f t="shared" si="51"/>
        <v>155788.19988880219</v>
      </c>
      <c r="H216" s="17">
        <f>0</f>
        <v>0</v>
      </c>
      <c r="I216" s="17">
        <f t="shared" si="52"/>
        <v>155788.19988880219</v>
      </c>
      <c r="J216" s="17">
        <f t="shared" si="53"/>
        <v>0</v>
      </c>
      <c r="K216" s="17">
        <f>'1 - Input'!$B$22*(H216-J216)</f>
        <v>0</v>
      </c>
      <c r="L216" s="17">
        <f t="shared" si="54"/>
        <v>0</v>
      </c>
      <c r="M216" s="17">
        <f t="shared" si="55"/>
        <v>76467.828958595725</v>
      </c>
      <c r="N216" s="17">
        <f>0</f>
        <v>0</v>
      </c>
      <c r="O216" s="17">
        <f t="shared" si="56"/>
        <v>3562.592660269755</v>
      </c>
      <c r="P216" s="17">
        <f t="shared" si="57"/>
        <v>0.50915519267071196</v>
      </c>
      <c r="Q216" s="17">
        <f>IF(AND(O216&gt;0,I216&gt;0),O216/(1-'1 - Input'!$B$22*P216),0)</f>
        <v>4106.1687118973341</v>
      </c>
      <c r="R216" s="17">
        <f t="shared" si="58"/>
        <v>4106.1687118973341</v>
      </c>
      <c r="S216" s="17">
        <f>'1 - Input'!$B$22*P216*R216</f>
        <v>543.57605162757943</v>
      </c>
      <c r="T216" s="17">
        <f t="shared" si="59"/>
        <v>3562.5926602697546</v>
      </c>
      <c r="U216" s="17">
        <f t="shared" si="60"/>
        <v>0</v>
      </c>
      <c r="V216" s="17">
        <f t="shared" si="61"/>
        <v>0</v>
      </c>
      <c r="W216" s="17">
        <f t="shared" si="62"/>
        <v>151682.03117690486</v>
      </c>
      <c r="X216" s="17">
        <f t="shared" si="63"/>
        <v>74452.337368342924</v>
      </c>
      <c r="Y216" s="17">
        <f>IF(MOD(A216,12)=0,W216*'1 - Input'!$B$23,0)</f>
        <v>0</v>
      </c>
      <c r="Z216" s="17">
        <f t="shared" si="64"/>
        <v>151682.03117690486</v>
      </c>
      <c r="AA216" s="17">
        <f>IF(MOD(A216,12)=0,X216*(1-'1 - Input'!$B$23),X216)</f>
        <v>74452.337368342924</v>
      </c>
      <c r="AB216" s="17">
        <f t="shared" si="65"/>
        <v>3562.5926602697546</v>
      </c>
      <c r="AC216" s="17">
        <f t="shared" si="69"/>
        <v>535368.55946320121</v>
      </c>
      <c r="AD216" s="17">
        <f t="shared" si="70"/>
        <v>0</v>
      </c>
      <c r="AE216" s="17">
        <f t="shared" si="71"/>
        <v>45904.642257300031</v>
      </c>
      <c r="AF216" s="17">
        <f t="shared" si="72"/>
        <v>0</v>
      </c>
      <c r="AG216" s="17">
        <f t="shared" si="73"/>
        <v>9893.4180719139731</v>
      </c>
      <c r="AH216" s="17">
        <f t="shared" si="74"/>
        <v>0</v>
      </c>
      <c r="AI216" s="15">
        <f t="shared" si="66"/>
        <v>0</v>
      </c>
    </row>
    <row r="217" spans="1:35">
      <c r="A217" s="14">
        <v>174</v>
      </c>
      <c r="B217" s="15">
        <f t="shared" si="50"/>
        <v>15</v>
      </c>
      <c r="C217" s="16">
        <f>(1+INDEX('1 - Input'!$B$34:$E$63,B217,'1 - Input'!$B$16))^(1/12)-1</f>
        <v>4.1219243192651689E-3</v>
      </c>
      <c r="D217" s="17">
        <f>'1 - Input'!$B$7*(1+'1 - Input'!$B$12)^(B217-1)</f>
        <v>3562.592660269755</v>
      </c>
      <c r="E217" s="17">
        <f t="shared" si="67"/>
        <v>151682.03117690486</v>
      </c>
      <c r="F217" s="17">
        <f t="shared" si="68"/>
        <v>74452.337368342924</v>
      </c>
      <c r="G217" s="17">
        <f t="shared" si="51"/>
        <v>152307.25303000849</v>
      </c>
      <c r="H217" s="17">
        <f>0</f>
        <v>0</v>
      </c>
      <c r="I217" s="17">
        <f t="shared" si="52"/>
        <v>152307.25303000849</v>
      </c>
      <c r="J217" s="17">
        <f t="shared" si="53"/>
        <v>0</v>
      </c>
      <c r="K217" s="17">
        <f>'1 - Input'!$B$22*(H217-J217)</f>
        <v>0</v>
      </c>
      <c r="L217" s="17">
        <f t="shared" si="54"/>
        <v>0</v>
      </c>
      <c r="M217" s="17">
        <f t="shared" si="55"/>
        <v>74452.337368342924</v>
      </c>
      <c r="N217" s="17">
        <f>0</f>
        <v>0</v>
      </c>
      <c r="O217" s="17">
        <f t="shared" si="56"/>
        <v>3562.592660269755</v>
      </c>
      <c r="P217" s="17">
        <f t="shared" si="57"/>
        <v>0.51117011247209687</v>
      </c>
      <c r="Q217" s="17">
        <f>IF(AND(O217&gt;0,I217&gt;0),O217/(1-'1 - Input'!$B$22*P217),0)</f>
        <v>4108.6495637713242</v>
      </c>
      <c r="R217" s="17">
        <f t="shared" si="58"/>
        <v>4108.6495637713242</v>
      </c>
      <c r="S217" s="17">
        <f>'1 - Input'!$B$22*P217*R217</f>
        <v>546.05690350156908</v>
      </c>
      <c r="T217" s="17">
        <f t="shared" si="59"/>
        <v>3562.592660269755</v>
      </c>
      <c r="U217" s="17">
        <f t="shared" si="60"/>
        <v>0</v>
      </c>
      <c r="V217" s="17">
        <f t="shared" si="61"/>
        <v>0</v>
      </c>
      <c r="W217" s="17">
        <f t="shared" si="62"/>
        <v>148198.60346623717</v>
      </c>
      <c r="X217" s="17">
        <f t="shared" si="63"/>
        <v>72443.906664193026</v>
      </c>
      <c r="Y217" s="17">
        <f>IF(MOD(A217,12)=0,W217*'1 - Input'!$B$23,0)</f>
        <v>0</v>
      </c>
      <c r="Z217" s="17">
        <f t="shared" si="64"/>
        <v>148198.60346623717</v>
      </c>
      <c r="AA217" s="17">
        <f>IF(MOD(A217,12)=0,X217*(1-'1 - Input'!$B$23),X217)</f>
        <v>72443.906664193026</v>
      </c>
      <c r="AB217" s="17">
        <f t="shared" si="65"/>
        <v>3562.592660269755</v>
      </c>
      <c r="AC217" s="17">
        <f t="shared" si="69"/>
        <v>538931.15212347091</v>
      </c>
      <c r="AD217" s="17">
        <f t="shared" si="70"/>
        <v>0</v>
      </c>
      <c r="AE217" s="17">
        <f t="shared" si="71"/>
        <v>46450.699160801603</v>
      </c>
      <c r="AF217" s="17">
        <f t="shared" si="72"/>
        <v>0</v>
      </c>
      <c r="AG217" s="17">
        <f t="shared" si="73"/>
        <v>9893.4180719139731</v>
      </c>
      <c r="AH217" s="17">
        <f t="shared" si="74"/>
        <v>0</v>
      </c>
      <c r="AI217" s="15">
        <f t="shared" si="66"/>
        <v>0</v>
      </c>
    </row>
    <row r="218" spans="1:35">
      <c r="A218" s="14">
        <v>175</v>
      </c>
      <c r="B218" s="15">
        <f t="shared" si="50"/>
        <v>15</v>
      </c>
      <c r="C218" s="16">
        <f>(1+INDEX('1 - Input'!$B$34:$E$63,B218,'1 - Input'!$B$16))^(1/12)-1</f>
        <v>4.1219243192651689E-3</v>
      </c>
      <c r="D218" s="17">
        <f>'1 - Input'!$B$7*(1+'1 - Input'!$B$12)^(B218-1)</f>
        <v>3562.592660269755</v>
      </c>
      <c r="E218" s="17">
        <f t="shared" si="67"/>
        <v>148198.60346623717</v>
      </c>
      <c r="F218" s="17">
        <f t="shared" si="68"/>
        <v>72443.906664193026</v>
      </c>
      <c r="G218" s="17">
        <f t="shared" si="51"/>
        <v>148809.46689394579</v>
      </c>
      <c r="H218" s="17">
        <f>0</f>
        <v>0</v>
      </c>
      <c r="I218" s="17">
        <f t="shared" si="52"/>
        <v>148809.46689394579</v>
      </c>
      <c r="J218" s="17">
        <f t="shared" si="53"/>
        <v>0</v>
      </c>
      <c r="K218" s="17">
        <f>'1 - Input'!$B$22*(H218-J218)</f>
        <v>0</v>
      </c>
      <c r="L218" s="17">
        <f t="shared" si="54"/>
        <v>0</v>
      </c>
      <c r="M218" s="17">
        <f t="shared" si="55"/>
        <v>72443.906664193026</v>
      </c>
      <c r="N218" s="17">
        <f>0</f>
        <v>0</v>
      </c>
      <c r="O218" s="17">
        <f t="shared" si="56"/>
        <v>3562.592660269755</v>
      </c>
      <c r="P218" s="17">
        <f t="shared" si="57"/>
        <v>0.51317676102003196</v>
      </c>
      <c r="Q218" s="17">
        <f>IF(AND(O218&gt;0,I218&gt;0),O218/(1-'1 - Input'!$B$22*P218),0)</f>
        <v>4111.1232128455677</v>
      </c>
      <c r="R218" s="17">
        <f t="shared" si="58"/>
        <v>4111.1232128455677</v>
      </c>
      <c r="S218" s="17">
        <f>'1 - Input'!$B$22*P218*R218</f>
        <v>548.53055257581252</v>
      </c>
      <c r="T218" s="17">
        <f t="shared" si="59"/>
        <v>3562.592660269755</v>
      </c>
      <c r="U218" s="17">
        <f t="shared" si="60"/>
        <v>0</v>
      </c>
      <c r="V218" s="17">
        <f t="shared" si="61"/>
        <v>0</v>
      </c>
      <c r="W218" s="17">
        <f t="shared" si="62"/>
        <v>144698.34368110023</v>
      </c>
      <c r="X218" s="17">
        <f t="shared" si="63"/>
        <v>70442.516345869808</v>
      </c>
      <c r="Y218" s="17">
        <f>IF(MOD(A218,12)=0,W218*'1 - Input'!$B$23,0)</f>
        <v>0</v>
      </c>
      <c r="Z218" s="17">
        <f t="shared" si="64"/>
        <v>144698.34368110023</v>
      </c>
      <c r="AA218" s="17">
        <f>IF(MOD(A218,12)=0,X218*(1-'1 - Input'!$B$23),X218)</f>
        <v>70442.516345869808</v>
      </c>
      <c r="AB218" s="17">
        <f t="shared" si="65"/>
        <v>3562.592660269755</v>
      </c>
      <c r="AC218" s="17">
        <f t="shared" si="69"/>
        <v>542493.74478374061</v>
      </c>
      <c r="AD218" s="17">
        <f t="shared" si="70"/>
        <v>0</v>
      </c>
      <c r="AE218" s="17">
        <f t="shared" si="71"/>
        <v>46999.229713377419</v>
      </c>
      <c r="AF218" s="17">
        <f t="shared" si="72"/>
        <v>0</v>
      </c>
      <c r="AG218" s="17">
        <f t="shared" si="73"/>
        <v>9893.4180719139731</v>
      </c>
      <c r="AH218" s="17">
        <f t="shared" si="74"/>
        <v>0</v>
      </c>
      <c r="AI218" s="15">
        <f t="shared" si="66"/>
        <v>0</v>
      </c>
    </row>
    <row r="219" spans="1:35">
      <c r="A219" s="14">
        <v>176</v>
      </c>
      <c r="B219" s="15">
        <f t="shared" si="50"/>
        <v>15</v>
      </c>
      <c r="C219" s="16">
        <f>(1+INDEX('1 - Input'!$B$34:$E$63,B219,'1 - Input'!$B$16))^(1/12)-1</f>
        <v>4.1219243192651689E-3</v>
      </c>
      <c r="D219" s="17">
        <f>'1 - Input'!$B$7*(1+'1 - Input'!$B$12)^(B219-1)</f>
        <v>3562.592660269755</v>
      </c>
      <c r="E219" s="17">
        <f t="shared" si="67"/>
        <v>144698.34368110023</v>
      </c>
      <c r="F219" s="17">
        <f t="shared" si="68"/>
        <v>70442.516345869808</v>
      </c>
      <c r="G219" s="17">
        <f t="shared" si="51"/>
        <v>145294.77930287676</v>
      </c>
      <c r="H219" s="17">
        <f>0</f>
        <v>0</v>
      </c>
      <c r="I219" s="17">
        <f t="shared" si="52"/>
        <v>145294.77930287676</v>
      </c>
      <c r="J219" s="17">
        <f t="shared" si="53"/>
        <v>0</v>
      </c>
      <c r="K219" s="17">
        <f>'1 - Input'!$B$22*(H219-J219)</f>
        <v>0</v>
      </c>
      <c r="L219" s="17">
        <f t="shared" si="54"/>
        <v>0</v>
      </c>
      <c r="M219" s="17">
        <f t="shared" si="55"/>
        <v>70442.516345869808</v>
      </c>
      <c r="N219" s="17">
        <f>0</f>
        <v>0</v>
      </c>
      <c r="O219" s="17">
        <f t="shared" si="56"/>
        <v>3562.592660269755</v>
      </c>
      <c r="P219" s="17">
        <f t="shared" si="57"/>
        <v>0.51517517226804388</v>
      </c>
      <c r="Q219" s="17">
        <f>IF(AND(O219&gt;0,I219&gt;0),O219/(1-'1 - Input'!$B$22*P219),0)</f>
        <v>4113.5896696064356</v>
      </c>
      <c r="R219" s="17">
        <f t="shared" si="58"/>
        <v>4113.5896696064356</v>
      </c>
      <c r="S219" s="17">
        <f>'1 - Input'!$B$22*P219*R219</f>
        <v>550.99700933668078</v>
      </c>
      <c r="T219" s="17">
        <f t="shared" si="59"/>
        <v>3562.5926602697546</v>
      </c>
      <c r="U219" s="17">
        <f t="shared" si="60"/>
        <v>0</v>
      </c>
      <c r="V219" s="17">
        <f t="shared" si="61"/>
        <v>0</v>
      </c>
      <c r="W219" s="17">
        <f t="shared" si="62"/>
        <v>141181.18963327032</v>
      </c>
      <c r="X219" s="17">
        <f t="shared" si="63"/>
        <v>68448.145942942909</v>
      </c>
      <c r="Y219" s="17">
        <f>IF(MOD(A219,12)=0,W219*'1 - Input'!$B$23,0)</f>
        <v>0</v>
      </c>
      <c r="Z219" s="17">
        <f t="shared" si="64"/>
        <v>141181.18963327032</v>
      </c>
      <c r="AA219" s="17">
        <f>IF(MOD(A219,12)=0,X219*(1-'1 - Input'!$B$23),X219)</f>
        <v>68448.145942942909</v>
      </c>
      <c r="AB219" s="17">
        <f t="shared" si="65"/>
        <v>3562.5926602697546</v>
      </c>
      <c r="AC219" s="17">
        <f t="shared" si="69"/>
        <v>546056.33744401031</v>
      </c>
      <c r="AD219" s="17">
        <f t="shared" si="70"/>
        <v>0</v>
      </c>
      <c r="AE219" s="17">
        <f t="shared" si="71"/>
        <v>47550.226722714098</v>
      </c>
      <c r="AF219" s="17">
        <f t="shared" si="72"/>
        <v>0</v>
      </c>
      <c r="AG219" s="17">
        <f t="shared" si="73"/>
        <v>9893.4180719139731</v>
      </c>
      <c r="AH219" s="17">
        <f t="shared" si="74"/>
        <v>0</v>
      </c>
      <c r="AI219" s="15">
        <f t="shared" si="66"/>
        <v>0</v>
      </c>
    </row>
    <row r="220" spans="1:35">
      <c r="A220" s="14">
        <v>177</v>
      </c>
      <c r="B220" s="15">
        <f t="shared" si="50"/>
        <v>15</v>
      </c>
      <c r="C220" s="16">
        <f>(1+INDEX('1 - Input'!$B$34:$E$63,B220,'1 - Input'!$B$16))^(1/12)-1</f>
        <v>4.1219243192651689E-3</v>
      </c>
      <c r="D220" s="17">
        <f>'1 - Input'!$B$7*(1+'1 - Input'!$B$12)^(B220-1)</f>
        <v>3562.592660269755</v>
      </c>
      <c r="E220" s="17">
        <f t="shared" si="67"/>
        <v>141181.18963327032</v>
      </c>
      <c r="F220" s="17">
        <f t="shared" si="68"/>
        <v>68448.145942942909</v>
      </c>
      <c r="G220" s="17">
        <f t="shared" si="51"/>
        <v>141763.12781224248</v>
      </c>
      <c r="H220" s="17">
        <f>0</f>
        <v>0</v>
      </c>
      <c r="I220" s="17">
        <f t="shared" si="52"/>
        <v>141763.12781224248</v>
      </c>
      <c r="J220" s="17">
        <f t="shared" si="53"/>
        <v>0</v>
      </c>
      <c r="K220" s="17">
        <f>'1 - Input'!$B$22*(H220-J220)</f>
        <v>0</v>
      </c>
      <c r="L220" s="17">
        <f t="shared" si="54"/>
        <v>0</v>
      </c>
      <c r="M220" s="17">
        <f t="shared" si="55"/>
        <v>68448.145942942909</v>
      </c>
      <c r="N220" s="17">
        <f>0</f>
        <v>0</v>
      </c>
      <c r="O220" s="17">
        <f t="shared" si="56"/>
        <v>3562.592660269755</v>
      </c>
      <c r="P220" s="17">
        <f t="shared" si="57"/>
        <v>0.51716538003028023</v>
      </c>
      <c r="Q220" s="17">
        <f>IF(AND(O220&gt;0,I220&gt;0),O220/(1-'1 - Input'!$B$22*P220),0)</f>
        <v>4116.0489446007523</v>
      </c>
      <c r="R220" s="17">
        <f t="shared" si="58"/>
        <v>4116.0489446007523</v>
      </c>
      <c r="S220" s="17">
        <f>'1 - Input'!$B$22*P220*R220</f>
        <v>553.45628433099728</v>
      </c>
      <c r="T220" s="17">
        <f t="shared" si="59"/>
        <v>3562.592660269755</v>
      </c>
      <c r="U220" s="17">
        <f t="shared" si="60"/>
        <v>0</v>
      </c>
      <c r="V220" s="17">
        <f t="shared" si="61"/>
        <v>0</v>
      </c>
      <c r="W220" s="17">
        <f t="shared" si="62"/>
        <v>137647.07886764174</v>
      </c>
      <c r="X220" s="17">
        <f t="shared" si="63"/>
        <v>66460.775014999832</v>
      </c>
      <c r="Y220" s="17">
        <f>IF(MOD(A220,12)=0,W220*'1 - Input'!$B$23,0)</f>
        <v>0</v>
      </c>
      <c r="Z220" s="17">
        <f t="shared" si="64"/>
        <v>137647.07886764174</v>
      </c>
      <c r="AA220" s="17">
        <f>IF(MOD(A220,12)=0,X220*(1-'1 - Input'!$B$23),X220)</f>
        <v>66460.775014999832</v>
      </c>
      <c r="AB220" s="17">
        <f t="shared" si="65"/>
        <v>3562.592660269755</v>
      </c>
      <c r="AC220" s="17">
        <f t="shared" si="69"/>
        <v>549618.93010428001</v>
      </c>
      <c r="AD220" s="17">
        <f t="shared" si="70"/>
        <v>0</v>
      </c>
      <c r="AE220" s="17">
        <f t="shared" si="71"/>
        <v>48103.683007045096</v>
      </c>
      <c r="AF220" s="17">
        <f t="shared" si="72"/>
        <v>0</v>
      </c>
      <c r="AG220" s="17">
        <f t="shared" si="73"/>
        <v>9893.4180719139731</v>
      </c>
      <c r="AH220" s="17">
        <f t="shared" si="74"/>
        <v>0</v>
      </c>
      <c r="AI220" s="15">
        <f t="shared" si="66"/>
        <v>0</v>
      </c>
    </row>
    <row r="221" spans="1:35">
      <c r="A221" s="14">
        <v>178</v>
      </c>
      <c r="B221" s="15">
        <f t="shared" si="50"/>
        <v>15</v>
      </c>
      <c r="C221" s="16">
        <f>(1+INDEX('1 - Input'!$B$34:$E$63,B221,'1 - Input'!$B$16))^(1/12)-1</f>
        <v>4.1219243192651689E-3</v>
      </c>
      <c r="D221" s="17">
        <f>'1 - Input'!$B$7*(1+'1 - Input'!$B$12)^(B221-1)</f>
        <v>3562.592660269755</v>
      </c>
      <c r="E221" s="17">
        <f t="shared" si="67"/>
        <v>137647.07886764174</v>
      </c>
      <c r="F221" s="17">
        <f t="shared" si="68"/>
        <v>66460.775014999832</v>
      </c>
      <c r="G221" s="17">
        <f t="shared" si="51"/>
        <v>138214.44970950208</v>
      </c>
      <c r="H221" s="17">
        <f>0</f>
        <v>0</v>
      </c>
      <c r="I221" s="17">
        <f t="shared" si="52"/>
        <v>138214.44970950208</v>
      </c>
      <c r="J221" s="17">
        <f t="shared" si="53"/>
        <v>0</v>
      </c>
      <c r="K221" s="17">
        <f>'1 - Input'!$B$22*(H221-J221)</f>
        <v>0</v>
      </c>
      <c r="L221" s="17">
        <f t="shared" si="54"/>
        <v>0</v>
      </c>
      <c r="M221" s="17">
        <f t="shared" si="55"/>
        <v>66460.775014999832</v>
      </c>
      <c r="N221" s="17">
        <f>0</f>
        <v>0</v>
      </c>
      <c r="O221" s="17">
        <f t="shared" si="56"/>
        <v>3562.592660269755</v>
      </c>
      <c r="P221" s="17">
        <f t="shared" si="57"/>
        <v>0.51914741798208142</v>
      </c>
      <c r="Q221" s="17">
        <f>IF(AND(O221&gt;0,I221&gt;0),O221/(1-'1 - Input'!$B$22*P221),0)</f>
        <v>4118.5010484351751</v>
      </c>
      <c r="R221" s="17">
        <f t="shared" si="58"/>
        <v>4118.5010484351751</v>
      </c>
      <c r="S221" s="17">
        <f>'1 - Input'!$B$22*P221*R221</f>
        <v>555.90838816542032</v>
      </c>
      <c r="T221" s="17">
        <f t="shared" si="59"/>
        <v>3562.5926602697546</v>
      </c>
      <c r="U221" s="17">
        <f t="shared" si="60"/>
        <v>0</v>
      </c>
      <c r="V221" s="17">
        <f t="shared" si="61"/>
        <v>0</v>
      </c>
      <c r="W221" s="17">
        <f t="shared" si="62"/>
        <v>134095.94866106691</v>
      </c>
      <c r="X221" s="17">
        <f t="shared" si="63"/>
        <v>64480.38315181627</v>
      </c>
      <c r="Y221" s="17">
        <f>IF(MOD(A221,12)=0,W221*'1 - Input'!$B$23,0)</f>
        <v>0</v>
      </c>
      <c r="Z221" s="17">
        <f t="shared" si="64"/>
        <v>134095.94866106691</v>
      </c>
      <c r="AA221" s="17">
        <f>IF(MOD(A221,12)=0,X221*(1-'1 - Input'!$B$23),X221)</f>
        <v>64480.38315181627</v>
      </c>
      <c r="AB221" s="17">
        <f t="shared" si="65"/>
        <v>3562.5926602697546</v>
      </c>
      <c r="AC221" s="17">
        <f t="shared" si="69"/>
        <v>553181.52276454971</v>
      </c>
      <c r="AD221" s="17">
        <f t="shared" si="70"/>
        <v>0</v>
      </c>
      <c r="AE221" s="17">
        <f t="shared" si="71"/>
        <v>48659.591395210518</v>
      </c>
      <c r="AF221" s="17">
        <f t="shared" si="72"/>
        <v>0</v>
      </c>
      <c r="AG221" s="17">
        <f t="shared" si="73"/>
        <v>9893.4180719139731</v>
      </c>
      <c r="AH221" s="17">
        <f t="shared" si="74"/>
        <v>0</v>
      </c>
      <c r="AI221" s="15">
        <f t="shared" si="66"/>
        <v>0</v>
      </c>
    </row>
    <row r="222" spans="1:35">
      <c r="A222" s="14">
        <v>179</v>
      </c>
      <c r="B222" s="15">
        <f t="shared" si="50"/>
        <v>15</v>
      </c>
      <c r="C222" s="16">
        <f>(1+INDEX('1 - Input'!$B$34:$E$63,B222,'1 - Input'!$B$16))^(1/12)-1</f>
        <v>4.1219243192651689E-3</v>
      </c>
      <c r="D222" s="17">
        <f>'1 - Input'!$B$7*(1+'1 - Input'!$B$12)^(B222-1)</f>
        <v>3562.592660269755</v>
      </c>
      <c r="E222" s="17">
        <f t="shared" si="67"/>
        <v>134095.94866106691</v>
      </c>
      <c r="F222" s="17">
        <f t="shared" si="68"/>
        <v>64480.38315181627</v>
      </c>
      <c r="G222" s="17">
        <f t="shared" si="51"/>
        <v>134648.68201296791</v>
      </c>
      <c r="H222" s="17">
        <f>0</f>
        <v>0</v>
      </c>
      <c r="I222" s="17">
        <f t="shared" si="52"/>
        <v>134648.68201296791</v>
      </c>
      <c r="J222" s="17">
        <f t="shared" si="53"/>
        <v>0</v>
      </c>
      <c r="K222" s="17">
        <f>'1 - Input'!$B$22*(H222-J222)</f>
        <v>0</v>
      </c>
      <c r="L222" s="17">
        <f t="shared" si="54"/>
        <v>0</v>
      </c>
      <c r="M222" s="17">
        <f t="shared" si="55"/>
        <v>64480.38315181627</v>
      </c>
      <c r="N222" s="17">
        <f>0</f>
        <v>0</v>
      </c>
      <c r="O222" s="17">
        <f t="shared" si="56"/>
        <v>3562.592660269755</v>
      </c>
      <c r="P222" s="17">
        <f t="shared" si="57"/>
        <v>0.52112131966055031</v>
      </c>
      <c r="Q222" s="17">
        <f>IF(AND(O222&gt;0,I222&gt;0),O222/(1-'1 - Input'!$B$22*P222),0)</f>
        <v>4120.9459917755812</v>
      </c>
      <c r="R222" s="17">
        <f t="shared" si="58"/>
        <v>4120.9459917755812</v>
      </c>
      <c r="S222" s="17">
        <f>'1 - Input'!$B$22*P222*R222</f>
        <v>558.35333150582596</v>
      </c>
      <c r="T222" s="17">
        <f t="shared" si="59"/>
        <v>3562.5926602697555</v>
      </c>
      <c r="U222" s="17">
        <f t="shared" si="60"/>
        <v>0</v>
      </c>
      <c r="V222" s="17">
        <f t="shared" si="61"/>
        <v>0</v>
      </c>
      <c r="W222" s="17">
        <f t="shared" si="62"/>
        <v>130527.73602119234</v>
      </c>
      <c r="X222" s="17">
        <f t="shared" si="63"/>
        <v>62506.949973524635</v>
      </c>
      <c r="Y222" s="17">
        <f>IF(MOD(A222,12)=0,W222*'1 - Input'!$B$23,0)</f>
        <v>0</v>
      </c>
      <c r="Z222" s="17">
        <f t="shared" si="64"/>
        <v>130527.73602119234</v>
      </c>
      <c r="AA222" s="17">
        <f>IF(MOD(A222,12)=0,X222*(1-'1 - Input'!$B$23),X222)</f>
        <v>62506.949973524635</v>
      </c>
      <c r="AB222" s="17">
        <f t="shared" si="65"/>
        <v>3562.5926602697555</v>
      </c>
      <c r="AC222" s="17">
        <f t="shared" si="69"/>
        <v>556744.11542481941</v>
      </c>
      <c r="AD222" s="17">
        <f t="shared" si="70"/>
        <v>0</v>
      </c>
      <c r="AE222" s="17">
        <f t="shared" si="71"/>
        <v>49217.944726716341</v>
      </c>
      <c r="AF222" s="17">
        <f t="shared" si="72"/>
        <v>0</v>
      </c>
      <c r="AG222" s="17">
        <f t="shared" si="73"/>
        <v>9893.4180719139731</v>
      </c>
      <c r="AH222" s="17">
        <f t="shared" si="74"/>
        <v>0</v>
      </c>
      <c r="AI222" s="15">
        <f t="shared" si="66"/>
        <v>0</v>
      </c>
    </row>
    <row r="223" spans="1:35">
      <c r="A223" s="14">
        <v>180</v>
      </c>
      <c r="B223" s="15">
        <f t="shared" si="50"/>
        <v>15</v>
      </c>
      <c r="C223" s="16">
        <f>(1+INDEX('1 - Input'!$B$34:$E$63,B223,'1 - Input'!$B$16))^(1/12)-1</f>
        <v>4.1219243192651689E-3</v>
      </c>
      <c r="D223" s="17">
        <f>'1 - Input'!$B$7*(1+'1 - Input'!$B$12)^(B223-1)</f>
        <v>3562.592660269755</v>
      </c>
      <c r="E223" s="17">
        <f t="shared" si="67"/>
        <v>130527.73602119234</v>
      </c>
      <c r="F223" s="17">
        <f t="shared" si="68"/>
        <v>62506.949973524635</v>
      </c>
      <c r="G223" s="17">
        <f t="shared" si="51"/>
        <v>131065.76147063672</v>
      </c>
      <c r="H223" s="17">
        <f>0</f>
        <v>0</v>
      </c>
      <c r="I223" s="17">
        <f t="shared" si="52"/>
        <v>131065.76147063672</v>
      </c>
      <c r="J223" s="17">
        <f t="shared" si="53"/>
        <v>0</v>
      </c>
      <c r="K223" s="17">
        <f>'1 - Input'!$B$22*(H223-J223)</f>
        <v>0</v>
      </c>
      <c r="L223" s="17">
        <f t="shared" si="54"/>
        <v>0</v>
      </c>
      <c r="M223" s="17">
        <f t="shared" si="55"/>
        <v>62506.949973524635</v>
      </c>
      <c r="N223" s="17">
        <f>0</f>
        <v>0</v>
      </c>
      <c r="O223" s="17">
        <f t="shared" si="56"/>
        <v>3562.592660269755</v>
      </c>
      <c r="P223" s="17">
        <f t="shared" si="57"/>
        <v>0.52308711846511979</v>
      </c>
      <c r="Q223" s="17">
        <f>IF(AND(O223&gt;0,I223&gt;0),O223/(1-'1 - Input'!$B$22*P223),0)</f>
        <v>4123.3837853464493</v>
      </c>
      <c r="R223" s="17">
        <f t="shared" si="58"/>
        <v>4123.3837853464493</v>
      </c>
      <c r="S223" s="17">
        <f>'1 - Input'!$B$22*P223*R223</f>
        <v>560.79112507669481</v>
      </c>
      <c r="T223" s="17">
        <f t="shared" si="59"/>
        <v>3562.5926602697546</v>
      </c>
      <c r="U223" s="17">
        <f t="shared" si="60"/>
        <v>0</v>
      </c>
      <c r="V223" s="17">
        <f t="shared" si="61"/>
        <v>0</v>
      </c>
      <c r="W223" s="17">
        <f t="shared" si="62"/>
        <v>126942.37768529027</v>
      </c>
      <c r="X223" s="17">
        <f t="shared" si="63"/>
        <v>60540.455130780858</v>
      </c>
      <c r="Y223" s="17">
        <f>IF(MOD(A223,12)=0,W223*'1 - Input'!$B$23,0)</f>
        <v>253.88475537058054</v>
      </c>
      <c r="Z223" s="17">
        <f t="shared" si="64"/>
        <v>126688.49292991968</v>
      </c>
      <c r="AA223" s="17">
        <f>IF(MOD(A223,12)=0,X223*(1-'1 - Input'!$B$23),X223)</f>
        <v>60419.374220519298</v>
      </c>
      <c r="AB223" s="17">
        <f t="shared" si="65"/>
        <v>3562.5926602697546</v>
      </c>
      <c r="AC223" s="17">
        <f t="shared" si="69"/>
        <v>560306.70808508911</v>
      </c>
      <c r="AD223" s="17">
        <f t="shared" si="70"/>
        <v>0</v>
      </c>
      <c r="AE223" s="17">
        <f t="shared" si="71"/>
        <v>49778.735851793033</v>
      </c>
      <c r="AF223" s="17">
        <f t="shared" si="72"/>
        <v>0</v>
      </c>
      <c r="AG223" s="17">
        <f t="shared" si="73"/>
        <v>10147.302827284553</v>
      </c>
      <c r="AH223" s="17">
        <f t="shared" si="74"/>
        <v>0</v>
      </c>
      <c r="AI223" s="15">
        <f t="shared" si="66"/>
        <v>0</v>
      </c>
    </row>
    <row r="224" spans="1:35">
      <c r="A224" s="14">
        <v>181</v>
      </c>
      <c r="B224" s="15">
        <f t="shared" si="50"/>
        <v>16</v>
      </c>
      <c r="C224" s="16">
        <f>(1+INDEX('1 - Input'!$B$34:$E$63,B224,'1 - Input'!$B$16))^(1/12)-1</f>
        <v>4.1219243192651689E-3</v>
      </c>
      <c r="D224" s="17">
        <f>'1 - Input'!$B$7*(1+'1 - Input'!$B$12)^(B224-1)</f>
        <v>3633.8445134751487</v>
      </c>
      <c r="E224" s="17">
        <f t="shared" si="67"/>
        <v>126688.49292991968</v>
      </c>
      <c r="F224" s="17">
        <f t="shared" si="68"/>
        <v>60419.374220519298</v>
      </c>
      <c r="G224" s="17">
        <f t="shared" si="51"/>
        <v>127210.69330989858</v>
      </c>
      <c r="H224" s="17">
        <f>0</f>
        <v>0</v>
      </c>
      <c r="I224" s="17">
        <f t="shared" si="52"/>
        <v>127210.69330989858</v>
      </c>
      <c r="J224" s="17">
        <f t="shared" si="53"/>
        <v>0</v>
      </c>
      <c r="K224" s="17">
        <f>'1 - Input'!$B$22*(H224-J224)</f>
        <v>0</v>
      </c>
      <c r="L224" s="17">
        <f t="shared" si="54"/>
        <v>0</v>
      </c>
      <c r="M224" s="17">
        <f t="shared" si="55"/>
        <v>60419.374220519298</v>
      </c>
      <c r="N224" s="17">
        <f>0</f>
        <v>0</v>
      </c>
      <c r="O224" s="17">
        <f t="shared" si="56"/>
        <v>3633.8445134751487</v>
      </c>
      <c r="P224" s="17">
        <f t="shared" si="57"/>
        <v>0.5250448476581181</v>
      </c>
      <c r="Q224" s="17">
        <f>IF(AND(O224&gt;0,I224&gt;0),O224/(1-'1 - Input'!$B$22*P224),0)</f>
        <v>4208.330728728858</v>
      </c>
      <c r="R224" s="17">
        <f t="shared" si="58"/>
        <v>4208.330728728858</v>
      </c>
      <c r="S224" s="17">
        <f>'1 - Input'!$B$22*P224*R224</f>
        <v>574.48621525370936</v>
      </c>
      <c r="T224" s="17">
        <f t="shared" si="59"/>
        <v>3633.8445134751487</v>
      </c>
      <c r="U224" s="17">
        <f t="shared" si="60"/>
        <v>0</v>
      </c>
      <c r="V224" s="17">
        <f t="shared" si="61"/>
        <v>0</v>
      </c>
      <c r="W224" s="17">
        <f t="shared" si="62"/>
        <v>123002.36258116971</v>
      </c>
      <c r="X224" s="17">
        <f t="shared" si="63"/>
        <v>58420.605858150862</v>
      </c>
      <c r="Y224" s="17">
        <f>IF(MOD(A224,12)=0,W224*'1 - Input'!$B$23,0)</f>
        <v>0</v>
      </c>
      <c r="Z224" s="17">
        <f t="shared" si="64"/>
        <v>123002.36258116971</v>
      </c>
      <c r="AA224" s="17">
        <f>IF(MOD(A224,12)=0,X224*(1-'1 - Input'!$B$23),X224)</f>
        <v>58420.605858150862</v>
      </c>
      <c r="AB224" s="17">
        <f t="shared" si="65"/>
        <v>3633.8445134751487</v>
      </c>
      <c r="AC224" s="17">
        <f t="shared" si="69"/>
        <v>563940.5525985643</v>
      </c>
      <c r="AD224" s="17">
        <f t="shared" si="70"/>
        <v>0</v>
      </c>
      <c r="AE224" s="17">
        <f t="shared" si="71"/>
        <v>50353.222067046743</v>
      </c>
      <c r="AF224" s="17">
        <f t="shared" si="72"/>
        <v>0</v>
      </c>
      <c r="AG224" s="17">
        <f t="shared" si="73"/>
        <v>10147.302827284553</v>
      </c>
      <c r="AH224" s="17">
        <f t="shared" si="74"/>
        <v>0</v>
      </c>
      <c r="AI224" s="15">
        <f t="shared" si="66"/>
        <v>0</v>
      </c>
    </row>
    <row r="225" spans="1:35">
      <c r="A225" s="14">
        <v>182</v>
      </c>
      <c r="B225" s="15">
        <f t="shared" si="50"/>
        <v>16</v>
      </c>
      <c r="C225" s="16">
        <f>(1+INDEX('1 - Input'!$B$34:$E$63,B225,'1 - Input'!$B$16))^(1/12)-1</f>
        <v>4.1219243192651689E-3</v>
      </c>
      <c r="D225" s="17">
        <f>'1 - Input'!$B$7*(1+'1 - Input'!$B$12)^(B225-1)</f>
        <v>3633.8445134751487</v>
      </c>
      <c r="E225" s="17">
        <f t="shared" si="67"/>
        <v>123002.36258116971</v>
      </c>
      <c r="F225" s="17">
        <f t="shared" si="68"/>
        <v>58420.605858150862</v>
      </c>
      <c r="G225" s="17">
        <f t="shared" si="51"/>
        <v>123509.36901082011</v>
      </c>
      <c r="H225" s="17">
        <f>0</f>
        <v>0</v>
      </c>
      <c r="I225" s="17">
        <f t="shared" si="52"/>
        <v>123509.36901082011</v>
      </c>
      <c r="J225" s="17">
        <f t="shared" si="53"/>
        <v>0</v>
      </c>
      <c r="K225" s="17">
        <f>'1 - Input'!$B$22*(H225-J225)</f>
        <v>0</v>
      </c>
      <c r="L225" s="17">
        <f t="shared" si="54"/>
        <v>0</v>
      </c>
      <c r="M225" s="17">
        <f t="shared" si="55"/>
        <v>58420.605858150862</v>
      </c>
      <c r="N225" s="17">
        <f>0</f>
        <v>0</v>
      </c>
      <c r="O225" s="17">
        <f t="shared" si="56"/>
        <v>3633.8445134751487</v>
      </c>
      <c r="P225" s="17">
        <f t="shared" si="57"/>
        <v>0.52699454036533133</v>
      </c>
      <c r="Q225" s="17">
        <f>IF(AND(O225&gt;0,I225&gt;0),O225/(1-'1 - Input'!$B$22*P225),0)</f>
        <v>4210.8027256941841</v>
      </c>
      <c r="R225" s="17">
        <f t="shared" si="58"/>
        <v>4210.8027256941841</v>
      </c>
      <c r="S225" s="17">
        <f>'1 - Input'!$B$22*P225*R225</f>
        <v>576.95821221903566</v>
      </c>
      <c r="T225" s="17">
        <f t="shared" si="59"/>
        <v>3633.8445134751482</v>
      </c>
      <c r="U225" s="17">
        <f t="shared" si="60"/>
        <v>0</v>
      </c>
      <c r="V225" s="17">
        <f t="shared" si="61"/>
        <v>0</v>
      </c>
      <c r="W225" s="17">
        <f t="shared" si="62"/>
        <v>119298.56628512593</v>
      </c>
      <c r="X225" s="17">
        <f t="shared" si="63"/>
        <v>56428.873179452974</v>
      </c>
      <c r="Y225" s="17">
        <f>IF(MOD(A225,12)=0,W225*'1 - Input'!$B$23,0)</f>
        <v>0</v>
      </c>
      <c r="Z225" s="17">
        <f t="shared" si="64"/>
        <v>119298.56628512593</v>
      </c>
      <c r="AA225" s="17">
        <f>IF(MOD(A225,12)=0,X225*(1-'1 - Input'!$B$23),X225)</f>
        <v>56428.873179452974</v>
      </c>
      <c r="AB225" s="17">
        <f t="shared" si="65"/>
        <v>3633.8445134751482</v>
      </c>
      <c r="AC225" s="17">
        <f t="shared" si="69"/>
        <v>567574.3971120395</v>
      </c>
      <c r="AD225" s="17">
        <f t="shared" si="70"/>
        <v>0</v>
      </c>
      <c r="AE225" s="17">
        <f t="shared" si="71"/>
        <v>50930.180279265776</v>
      </c>
      <c r="AF225" s="17">
        <f t="shared" si="72"/>
        <v>0</v>
      </c>
      <c r="AG225" s="17">
        <f t="shared" si="73"/>
        <v>10147.302827284553</v>
      </c>
      <c r="AH225" s="17">
        <f t="shared" si="74"/>
        <v>0</v>
      </c>
      <c r="AI225" s="15">
        <f t="shared" si="66"/>
        <v>0</v>
      </c>
    </row>
    <row r="226" spans="1:35">
      <c r="A226" s="14">
        <v>183</v>
      </c>
      <c r="B226" s="15">
        <f t="shared" si="50"/>
        <v>16</v>
      </c>
      <c r="C226" s="16">
        <f>(1+INDEX('1 - Input'!$B$34:$E$63,B226,'1 - Input'!$B$16))^(1/12)-1</f>
        <v>4.1219243192651689E-3</v>
      </c>
      <c r="D226" s="17">
        <f>'1 - Input'!$B$7*(1+'1 - Input'!$B$12)^(B226-1)</f>
        <v>3633.8445134751487</v>
      </c>
      <c r="E226" s="17">
        <f t="shared" si="67"/>
        <v>119298.56628512593</v>
      </c>
      <c r="F226" s="17">
        <f t="shared" si="68"/>
        <v>56428.873179452974</v>
      </c>
      <c r="G226" s="17">
        <f t="shared" si="51"/>
        <v>119790.30594675006</v>
      </c>
      <c r="H226" s="17">
        <f>0</f>
        <v>0</v>
      </c>
      <c r="I226" s="17">
        <f t="shared" si="52"/>
        <v>119790.30594675006</v>
      </c>
      <c r="J226" s="17">
        <f t="shared" si="53"/>
        <v>0</v>
      </c>
      <c r="K226" s="17">
        <f>'1 - Input'!$B$22*(H226-J226)</f>
        <v>0</v>
      </c>
      <c r="L226" s="17">
        <f t="shared" si="54"/>
        <v>0</v>
      </c>
      <c r="M226" s="17">
        <f t="shared" si="55"/>
        <v>56428.873179452974</v>
      </c>
      <c r="N226" s="17">
        <f>0</f>
        <v>0</v>
      </c>
      <c r="O226" s="17">
        <f t="shared" si="56"/>
        <v>3633.8445134751487</v>
      </c>
      <c r="P226" s="17">
        <f t="shared" si="57"/>
        <v>0.5289362295765645</v>
      </c>
      <c r="Q226" s="17">
        <f>IF(AND(O226&gt;0,I226&gt;0),O226/(1-'1 - Input'!$B$22*P226),0)</f>
        <v>4213.2674630639167</v>
      </c>
      <c r="R226" s="17">
        <f t="shared" si="58"/>
        <v>4213.2674630639167</v>
      </c>
      <c r="S226" s="17">
        <f>'1 - Input'!$B$22*P226*R226</f>
        <v>579.42294958876778</v>
      </c>
      <c r="T226" s="17">
        <f t="shared" si="59"/>
        <v>3633.8445134751491</v>
      </c>
      <c r="U226" s="17">
        <f t="shared" si="60"/>
        <v>0</v>
      </c>
      <c r="V226" s="17">
        <f t="shared" si="61"/>
        <v>0</v>
      </c>
      <c r="W226" s="17">
        <f t="shared" si="62"/>
        <v>115577.03848368613</v>
      </c>
      <c r="X226" s="17">
        <f t="shared" si="63"/>
        <v>54444.155522499706</v>
      </c>
      <c r="Y226" s="17">
        <f>IF(MOD(A226,12)=0,W226*'1 - Input'!$B$23,0)</f>
        <v>0</v>
      </c>
      <c r="Z226" s="17">
        <f t="shared" si="64"/>
        <v>115577.03848368613</v>
      </c>
      <c r="AA226" s="17">
        <f>IF(MOD(A226,12)=0,X226*(1-'1 - Input'!$B$23),X226)</f>
        <v>54444.155522499706</v>
      </c>
      <c r="AB226" s="17">
        <f t="shared" si="65"/>
        <v>3633.8445134751491</v>
      </c>
      <c r="AC226" s="17">
        <f t="shared" si="69"/>
        <v>571208.2416255147</v>
      </c>
      <c r="AD226" s="17">
        <f t="shared" si="70"/>
        <v>0</v>
      </c>
      <c r="AE226" s="17">
        <f t="shared" si="71"/>
        <v>51509.603228854547</v>
      </c>
      <c r="AF226" s="17">
        <f t="shared" si="72"/>
        <v>0</v>
      </c>
      <c r="AG226" s="17">
        <f t="shared" si="73"/>
        <v>10147.302827284553</v>
      </c>
      <c r="AH226" s="17">
        <f t="shared" si="74"/>
        <v>0</v>
      </c>
      <c r="AI226" s="15">
        <f t="shared" si="66"/>
        <v>0</v>
      </c>
    </row>
    <row r="227" spans="1:35">
      <c r="A227" s="14">
        <v>184</v>
      </c>
      <c r="B227" s="15">
        <f t="shared" si="50"/>
        <v>16</v>
      </c>
      <c r="C227" s="16">
        <f>(1+INDEX('1 - Input'!$B$34:$E$63,B227,'1 - Input'!$B$16))^(1/12)-1</f>
        <v>4.1219243192651689E-3</v>
      </c>
      <c r="D227" s="17">
        <f>'1 - Input'!$B$7*(1+'1 - Input'!$B$12)^(B227-1)</f>
        <v>3633.8445134751487</v>
      </c>
      <c r="E227" s="17">
        <f t="shared" si="67"/>
        <v>115577.03848368613</v>
      </c>
      <c r="F227" s="17">
        <f t="shared" si="68"/>
        <v>54444.155522499706</v>
      </c>
      <c r="G227" s="17">
        <f t="shared" si="51"/>
        <v>116053.43828936068</v>
      </c>
      <c r="H227" s="17">
        <f>0</f>
        <v>0</v>
      </c>
      <c r="I227" s="17">
        <f t="shared" si="52"/>
        <v>116053.43828936068</v>
      </c>
      <c r="J227" s="17">
        <f t="shared" si="53"/>
        <v>0</v>
      </c>
      <c r="K227" s="17">
        <f>'1 - Input'!$B$22*(H227-J227)</f>
        <v>0</v>
      </c>
      <c r="L227" s="17">
        <f t="shared" si="54"/>
        <v>0</v>
      </c>
      <c r="M227" s="17">
        <f t="shared" si="55"/>
        <v>54444.155522499706</v>
      </c>
      <c r="N227" s="17">
        <f>0</f>
        <v>0</v>
      </c>
      <c r="O227" s="17">
        <f t="shared" si="56"/>
        <v>3633.8445134751487</v>
      </c>
      <c r="P227" s="17">
        <f t="shared" si="57"/>
        <v>0.5308699481461987</v>
      </c>
      <c r="Q227" s="17">
        <f>IF(AND(O227&gt;0,I227&gt;0),O227/(1-'1 - Input'!$B$22*P227),0)</f>
        <v>4215.7249520099031</v>
      </c>
      <c r="R227" s="17">
        <f t="shared" si="58"/>
        <v>4215.7249520099031</v>
      </c>
      <c r="S227" s="17">
        <f>'1 - Input'!$B$22*P227*R227</f>
        <v>581.8804385347546</v>
      </c>
      <c r="T227" s="17">
        <f t="shared" si="59"/>
        <v>3633.8445134751482</v>
      </c>
      <c r="U227" s="17">
        <f t="shared" si="60"/>
        <v>0</v>
      </c>
      <c r="V227" s="17">
        <f t="shared" si="61"/>
        <v>0</v>
      </c>
      <c r="W227" s="17">
        <f t="shared" si="62"/>
        <v>111837.71333735078</v>
      </c>
      <c r="X227" s="17">
        <f t="shared" si="63"/>
        <v>52466.432257161941</v>
      </c>
      <c r="Y227" s="17">
        <f>IF(MOD(A227,12)=0,W227*'1 - Input'!$B$23,0)</f>
        <v>0</v>
      </c>
      <c r="Z227" s="17">
        <f t="shared" si="64"/>
        <v>111837.71333735078</v>
      </c>
      <c r="AA227" s="17">
        <f>IF(MOD(A227,12)=0,X227*(1-'1 - Input'!$B$23),X227)</f>
        <v>52466.432257161941</v>
      </c>
      <c r="AB227" s="17">
        <f t="shared" si="65"/>
        <v>3633.8445134751482</v>
      </c>
      <c r="AC227" s="17">
        <f t="shared" si="69"/>
        <v>574842.08613898989</v>
      </c>
      <c r="AD227" s="17">
        <f t="shared" si="70"/>
        <v>0</v>
      </c>
      <c r="AE227" s="17">
        <f t="shared" si="71"/>
        <v>52091.483667389301</v>
      </c>
      <c r="AF227" s="17">
        <f t="shared" si="72"/>
        <v>0</v>
      </c>
      <c r="AG227" s="17">
        <f t="shared" si="73"/>
        <v>10147.302827284553</v>
      </c>
      <c r="AH227" s="17">
        <f t="shared" si="74"/>
        <v>0</v>
      </c>
      <c r="AI227" s="15">
        <f t="shared" si="66"/>
        <v>0</v>
      </c>
    </row>
    <row r="228" spans="1:35">
      <c r="A228" s="14">
        <v>185</v>
      </c>
      <c r="B228" s="15">
        <f t="shared" si="50"/>
        <v>16</v>
      </c>
      <c r="C228" s="16">
        <f>(1+INDEX('1 - Input'!$B$34:$E$63,B228,'1 - Input'!$B$16))^(1/12)-1</f>
        <v>4.1219243192651689E-3</v>
      </c>
      <c r="D228" s="17">
        <f>'1 - Input'!$B$7*(1+'1 - Input'!$B$12)^(B228-1)</f>
        <v>3633.8445134751487</v>
      </c>
      <c r="E228" s="17">
        <f t="shared" si="67"/>
        <v>111837.71333735078</v>
      </c>
      <c r="F228" s="17">
        <f t="shared" si="68"/>
        <v>52466.432257161941</v>
      </c>
      <c r="G228" s="17">
        <f t="shared" si="51"/>
        <v>112298.69992776701</v>
      </c>
      <c r="H228" s="17">
        <f>0</f>
        <v>0</v>
      </c>
      <c r="I228" s="17">
        <f t="shared" si="52"/>
        <v>112298.69992776701</v>
      </c>
      <c r="J228" s="17">
        <f t="shared" si="53"/>
        <v>0</v>
      </c>
      <c r="K228" s="17">
        <f>'1 - Input'!$B$22*(H228-J228)</f>
        <v>0</v>
      </c>
      <c r="L228" s="17">
        <f t="shared" si="54"/>
        <v>0</v>
      </c>
      <c r="M228" s="17">
        <f t="shared" si="55"/>
        <v>52466.432257161941</v>
      </c>
      <c r="N228" s="17">
        <f>0</f>
        <v>0</v>
      </c>
      <c r="O228" s="17">
        <f t="shared" si="56"/>
        <v>3633.8445134751487</v>
      </c>
      <c r="P228" s="17">
        <f t="shared" si="57"/>
        <v>0.53279572879374826</v>
      </c>
      <c r="Q228" s="17">
        <f>IF(AND(O228&gt;0,I228&gt;0),O228/(1-'1 - Input'!$B$22*P228),0)</f>
        <v>4218.1752037606675</v>
      </c>
      <c r="R228" s="17">
        <f t="shared" si="58"/>
        <v>4218.1752037606675</v>
      </c>
      <c r="S228" s="17">
        <f>'1 - Input'!$B$22*P228*R228</f>
        <v>584.33069028551938</v>
      </c>
      <c r="T228" s="17">
        <f t="shared" si="59"/>
        <v>3633.8445134751482</v>
      </c>
      <c r="U228" s="17">
        <f t="shared" si="60"/>
        <v>0</v>
      </c>
      <c r="V228" s="17">
        <f t="shared" si="61"/>
        <v>0</v>
      </c>
      <c r="W228" s="17">
        <f t="shared" si="62"/>
        <v>108080.52472400635</v>
      </c>
      <c r="X228" s="17">
        <f t="shared" si="63"/>
        <v>50495.682785268655</v>
      </c>
      <c r="Y228" s="17">
        <f>IF(MOD(A228,12)=0,W228*'1 - Input'!$B$23,0)</f>
        <v>0</v>
      </c>
      <c r="Z228" s="17">
        <f t="shared" si="64"/>
        <v>108080.52472400635</v>
      </c>
      <c r="AA228" s="17">
        <f>IF(MOD(A228,12)=0,X228*(1-'1 - Input'!$B$23),X228)</f>
        <v>50495.682785268655</v>
      </c>
      <c r="AB228" s="17">
        <f t="shared" si="65"/>
        <v>3633.8445134751482</v>
      </c>
      <c r="AC228" s="17">
        <f t="shared" si="69"/>
        <v>578475.93065246509</v>
      </c>
      <c r="AD228" s="17">
        <f t="shared" si="70"/>
        <v>0</v>
      </c>
      <c r="AE228" s="17">
        <f t="shared" si="71"/>
        <v>52675.814357674819</v>
      </c>
      <c r="AF228" s="17">
        <f t="shared" si="72"/>
        <v>0</v>
      </c>
      <c r="AG228" s="17">
        <f t="shared" si="73"/>
        <v>10147.302827284553</v>
      </c>
      <c r="AH228" s="17">
        <f t="shared" si="74"/>
        <v>0</v>
      </c>
      <c r="AI228" s="15">
        <f t="shared" si="66"/>
        <v>0</v>
      </c>
    </row>
    <row r="229" spans="1:35">
      <c r="A229" s="14">
        <v>186</v>
      </c>
      <c r="B229" s="15">
        <f t="shared" si="50"/>
        <v>16</v>
      </c>
      <c r="C229" s="16">
        <f>(1+INDEX('1 - Input'!$B$34:$E$63,B229,'1 - Input'!$B$16))^(1/12)-1</f>
        <v>4.1219243192651689E-3</v>
      </c>
      <c r="D229" s="17">
        <f>'1 - Input'!$B$7*(1+'1 - Input'!$B$12)^(B229-1)</f>
        <v>3633.8445134751487</v>
      </c>
      <c r="E229" s="17">
        <f t="shared" si="67"/>
        <v>108080.52472400635</v>
      </c>
      <c r="F229" s="17">
        <f t="shared" si="68"/>
        <v>50495.682785268655</v>
      </c>
      <c r="G229" s="17">
        <f t="shared" si="51"/>
        <v>108526.02446730516</v>
      </c>
      <c r="H229" s="17">
        <f>0</f>
        <v>0</v>
      </c>
      <c r="I229" s="17">
        <f t="shared" si="52"/>
        <v>108526.02446730516</v>
      </c>
      <c r="J229" s="17">
        <f t="shared" si="53"/>
        <v>0</v>
      </c>
      <c r="K229" s="17">
        <f>'1 - Input'!$B$22*(H229-J229)</f>
        <v>0</v>
      </c>
      <c r="L229" s="17">
        <f t="shared" si="54"/>
        <v>0</v>
      </c>
      <c r="M229" s="17">
        <f t="shared" si="55"/>
        <v>50495.682785268655</v>
      </c>
      <c r="N229" s="17">
        <f>0</f>
        <v>0</v>
      </c>
      <c r="O229" s="17">
        <f t="shared" si="56"/>
        <v>3633.8445134751487</v>
      </c>
      <c r="P229" s="17">
        <f t="shared" si="57"/>
        <v>0.5347136041044136</v>
      </c>
      <c r="Q229" s="17">
        <f>IF(AND(O229&gt;0,I229&gt;0),O229/(1-'1 - Input'!$B$22*P229),0)</f>
        <v>4220.6182296007928</v>
      </c>
      <c r="R229" s="17">
        <f t="shared" si="58"/>
        <v>4220.6182296007928</v>
      </c>
      <c r="S229" s="17">
        <f>'1 - Input'!$B$22*P229*R229</f>
        <v>586.77371612564366</v>
      </c>
      <c r="T229" s="17">
        <f t="shared" si="59"/>
        <v>3633.8445134751491</v>
      </c>
      <c r="U229" s="17">
        <f t="shared" si="60"/>
        <v>0</v>
      </c>
      <c r="V229" s="17">
        <f t="shared" si="61"/>
        <v>0</v>
      </c>
      <c r="W229" s="17">
        <f t="shared" si="62"/>
        <v>104305.40623770437</v>
      </c>
      <c r="X229" s="17">
        <f t="shared" si="63"/>
        <v>48531.886540766493</v>
      </c>
      <c r="Y229" s="17">
        <f>IF(MOD(A229,12)=0,W229*'1 - Input'!$B$23,0)</f>
        <v>0</v>
      </c>
      <c r="Z229" s="17">
        <f t="shared" si="64"/>
        <v>104305.40623770437</v>
      </c>
      <c r="AA229" s="17">
        <f>IF(MOD(A229,12)=0,X229*(1-'1 - Input'!$B$23),X229)</f>
        <v>48531.886540766493</v>
      </c>
      <c r="AB229" s="17">
        <f t="shared" si="65"/>
        <v>3633.8445134751491</v>
      </c>
      <c r="AC229" s="17">
        <f t="shared" si="69"/>
        <v>582109.77516594029</v>
      </c>
      <c r="AD229" s="17">
        <f t="shared" si="70"/>
        <v>0</v>
      </c>
      <c r="AE229" s="17">
        <f t="shared" si="71"/>
        <v>53262.588073800463</v>
      </c>
      <c r="AF229" s="17">
        <f t="shared" si="72"/>
        <v>0</v>
      </c>
      <c r="AG229" s="17">
        <f t="shared" si="73"/>
        <v>10147.302827284553</v>
      </c>
      <c r="AH229" s="17">
        <f t="shared" si="74"/>
        <v>0</v>
      </c>
      <c r="AI229" s="15">
        <f t="shared" si="66"/>
        <v>0</v>
      </c>
    </row>
    <row r="230" spans="1:35">
      <c r="A230" s="14">
        <v>187</v>
      </c>
      <c r="B230" s="15">
        <f t="shared" si="50"/>
        <v>16</v>
      </c>
      <c r="C230" s="16">
        <f>(1+INDEX('1 - Input'!$B$34:$E$63,B230,'1 - Input'!$B$16))^(1/12)-1</f>
        <v>4.1219243192651689E-3</v>
      </c>
      <c r="D230" s="17">
        <f>'1 - Input'!$B$7*(1+'1 - Input'!$B$12)^(B230-1)</f>
        <v>3633.8445134751487</v>
      </c>
      <c r="E230" s="17">
        <f t="shared" si="67"/>
        <v>104305.40623770437</v>
      </c>
      <c r="F230" s="17">
        <f t="shared" si="68"/>
        <v>48531.886540766493</v>
      </c>
      <c r="G230" s="17">
        <f t="shared" si="51"/>
        <v>104735.3452283064</v>
      </c>
      <c r="H230" s="17">
        <f>0</f>
        <v>0</v>
      </c>
      <c r="I230" s="17">
        <f t="shared" si="52"/>
        <v>104735.3452283064</v>
      </c>
      <c r="J230" s="17">
        <f t="shared" si="53"/>
        <v>0</v>
      </c>
      <c r="K230" s="17">
        <f>'1 - Input'!$B$22*(H230-J230)</f>
        <v>0</v>
      </c>
      <c r="L230" s="17">
        <f t="shared" si="54"/>
        <v>0</v>
      </c>
      <c r="M230" s="17">
        <f t="shared" si="55"/>
        <v>48531.886540766493</v>
      </c>
      <c r="N230" s="17">
        <f>0</f>
        <v>0</v>
      </c>
      <c r="O230" s="17">
        <f t="shared" si="56"/>
        <v>3633.8445134751487</v>
      </c>
      <c r="P230" s="17">
        <f t="shared" si="57"/>
        <v>0.53662360652963237</v>
      </c>
      <c r="Q230" s="17">
        <f>IF(AND(O230&gt;0,I230&gt;0),O230/(1-'1 - Input'!$B$22*P230),0)</f>
        <v>4223.0540408703018</v>
      </c>
      <c r="R230" s="17">
        <f t="shared" si="58"/>
        <v>4223.0540408703018</v>
      </c>
      <c r="S230" s="17">
        <f>'1 - Input'!$B$22*P230*R230</f>
        <v>589.20952739515326</v>
      </c>
      <c r="T230" s="17">
        <f t="shared" si="59"/>
        <v>3633.8445134751487</v>
      </c>
      <c r="U230" s="17">
        <f t="shared" si="60"/>
        <v>0</v>
      </c>
      <c r="V230" s="17">
        <f t="shared" si="61"/>
        <v>0</v>
      </c>
      <c r="W230" s="17">
        <f t="shared" si="62"/>
        <v>100512.29118743609</v>
      </c>
      <c r="X230" s="17">
        <f t="shared" si="63"/>
        <v>46575.022989877551</v>
      </c>
      <c r="Y230" s="17">
        <f>IF(MOD(A230,12)=0,W230*'1 - Input'!$B$23,0)</f>
        <v>0</v>
      </c>
      <c r="Z230" s="17">
        <f t="shared" si="64"/>
        <v>100512.29118743609</v>
      </c>
      <c r="AA230" s="17">
        <f>IF(MOD(A230,12)=0,X230*(1-'1 - Input'!$B$23),X230)</f>
        <v>46575.022989877551</v>
      </c>
      <c r="AB230" s="17">
        <f t="shared" si="65"/>
        <v>3633.8445134751487</v>
      </c>
      <c r="AC230" s="17">
        <f t="shared" si="69"/>
        <v>585743.61967941548</v>
      </c>
      <c r="AD230" s="17">
        <f t="shared" si="70"/>
        <v>0</v>
      </c>
      <c r="AE230" s="17">
        <f t="shared" si="71"/>
        <v>53851.79760119562</v>
      </c>
      <c r="AF230" s="17">
        <f t="shared" si="72"/>
        <v>0</v>
      </c>
      <c r="AG230" s="17">
        <f t="shared" si="73"/>
        <v>10147.302827284553</v>
      </c>
      <c r="AH230" s="17">
        <f t="shared" si="74"/>
        <v>0</v>
      </c>
      <c r="AI230" s="15">
        <f t="shared" si="66"/>
        <v>0</v>
      </c>
    </row>
    <row r="231" spans="1:35">
      <c r="A231" s="14">
        <v>188</v>
      </c>
      <c r="B231" s="15">
        <f t="shared" si="50"/>
        <v>16</v>
      </c>
      <c r="C231" s="16">
        <f>(1+INDEX('1 - Input'!$B$34:$E$63,B231,'1 - Input'!$B$16))^(1/12)-1</f>
        <v>4.1219243192651689E-3</v>
      </c>
      <c r="D231" s="17">
        <f>'1 - Input'!$B$7*(1+'1 - Input'!$B$12)^(B231-1)</f>
        <v>3633.8445134751487</v>
      </c>
      <c r="E231" s="17">
        <f t="shared" si="67"/>
        <v>100512.29118743609</v>
      </c>
      <c r="F231" s="17">
        <f t="shared" si="68"/>
        <v>46575.022989877551</v>
      </c>
      <c r="G231" s="17">
        <f t="shared" si="51"/>
        <v>100926.59524486664</v>
      </c>
      <c r="H231" s="17">
        <f>0</f>
        <v>0</v>
      </c>
      <c r="I231" s="17">
        <f t="shared" si="52"/>
        <v>100926.59524486664</v>
      </c>
      <c r="J231" s="17">
        <f t="shared" si="53"/>
        <v>0</v>
      </c>
      <c r="K231" s="17">
        <f>'1 - Input'!$B$22*(H231-J231)</f>
        <v>0</v>
      </c>
      <c r="L231" s="17">
        <f t="shared" si="54"/>
        <v>0</v>
      </c>
      <c r="M231" s="17">
        <f t="shared" si="55"/>
        <v>46575.022989877551</v>
      </c>
      <c r="N231" s="17">
        <f>0</f>
        <v>0</v>
      </c>
      <c r="O231" s="17">
        <f t="shared" si="56"/>
        <v>3633.8445134751487</v>
      </c>
      <c r="P231" s="17">
        <f t="shared" si="57"/>
        <v>0.53852576838762956</v>
      </c>
      <c r="Q231" s="17">
        <f>IF(AND(O231&gt;0,I231&gt;0),O231/(1-'1 - Input'!$B$22*P231),0)</f>
        <v>4225.48264896406</v>
      </c>
      <c r="R231" s="17">
        <f t="shared" si="58"/>
        <v>4225.48264896406</v>
      </c>
      <c r="S231" s="17">
        <f>'1 - Input'!$B$22*P231*R231</f>
        <v>591.6381354889113</v>
      </c>
      <c r="T231" s="17">
        <f t="shared" si="59"/>
        <v>3633.8445134751487</v>
      </c>
      <c r="U231" s="17">
        <f t="shared" si="60"/>
        <v>0</v>
      </c>
      <c r="V231" s="17">
        <f t="shared" si="61"/>
        <v>0</v>
      </c>
      <c r="W231" s="17">
        <f t="shared" si="62"/>
        <v>96701.112595902581</v>
      </c>
      <c r="X231" s="17">
        <f t="shared" si="63"/>
        <v>44625.071631255458</v>
      </c>
      <c r="Y231" s="17">
        <f>IF(MOD(A231,12)=0,W231*'1 - Input'!$B$23,0)</f>
        <v>0</v>
      </c>
      <c r="Z231" s="17">
        <f t="shared" si="64"/>
        <v>96701.112595902581</v>
      </c>
      <c r="AA231" s="17">
        <f>IF(MOD(A231,12)=0,X231*(1-'1 - Input'!$B$23),X231)</f>
        <v>44625.071631255458</v>
      </c>
      <c r="AB231" s="17">
        <f t="shared" si="65"/>
        <v>3633.8445134751487</v>
      </c>
      <c r="AC231" s="17">
        <f t="shared" si="69"/>
        <v>589377.46419289068</v>
      </c>
      <c r="AD231" s="17">
        <f t="shared" si="70"/>
        <v>0</v>
      </c>
      <c r="AE231" s="17">
        <f t="shared" si="71"/>
        <v>54443.435736684529</v>
      </c>
      <c r="AF231" s="17">
        <f t="shared" si="72"/>
        <v>0</v>
      </c>
      <c r="AG231" s="17">
        <f t="shared" si="73"/>
        <v>10147.302827284553</v>
      </c>
      <c r="AH231" s="17">
        <f t="shared" si="74"/>
        <v>0</v>
      </c>
      <c r="AI231" s="15">
        <f t="shared" si="66"/>
        <v>0</v>
      </c>
    </row>
    <row r="232" spans="1:35">
      <c r="A232" s="14">
        <v>189</v>
      </c>
      <c r="B232" s="15">
        <f t="shared" si="50"/>
        <v>16</v>
      </c>
      <c r="C232" s="16">
        <f>(1+INDEX('1 - Input'!$B$34:$E$63,B232,'1 - Input'!$B$16))^(1/12)-1</f>
        <v>4.1219243192651689E-3</v>
      </c>
      <c r="D232" s="17">
        <f>'1 - Input'!$B$7*(1+'1 - Input'!$B$12)^(B232-1)</f>
        <v>3633.8445134751487</v>
      </c>
      <c r="E232" s="17">
        <f t="shared" si="67"/>
        <v>96701.112595902581</v>
      </c>
      <c r="F232" s="17">
        <f t="shared" si="68"/>
        <v>44625.071631255458</v>
      </c>
      <c r="G232" s="17">
        <f t="shared" si="51"/>
        <v>97099.707263611635</v>
      </c>
      <c r="H232" s="17">
        <f>0</f>
        <v>0</v>
      </c>
      <c r="I232" s="17">
        <f t="shared" si="52"/>
        <v>97099.707263611635</v>
      </c>
      <c r="J232" s="17">
        <f t="shared" si="53"/>
        <v>0</v>
      </c>
      <c r="K232" s="17">
        <f>'1 - Input'!$B$22*(H232-J232)</f>
        <v>0</v>
      </c>
      <c r="L232" s="17">
        <f t="shared" si="54"/>
        <v>0</v>
      </c>
      <c r="M232" s="17">
        <f t="shared" si="55"/>
        <v>44625.071631255458</v>
      </c>
      <c r="N232" s="17">
        <f>0</f>
        <v>0</v>
      </c>
      <c r="O232" s="17">
        <f t="shared" si="56"/>
        <v>3633.8445134751487</v>
      </c>
      <c r="P232" s="17">
        <f t="shared" si="57"/>
        <v>0.54042012186396349</v>
      </c>
      <c r="Q232" s="17">
        <f>IF(AND(O232&gt;0,I232&gt;0),O232/(1-'1 - Input'!$B$22*P232),0)</f>
        <v>4227.9040653311549</v>
      </c>
      <c r="R232" s="17">
        <f t="shared" si="58"/>
        <v>4227.9040653311549</v>
      </c>
      <c r="S232" s="17">
        <f>'1 - Input'!$B$22*P232*R232</f>
        <v>594.05955185600646</v>
      </c>
      <c r="T232" s="17">
        <f t="shared" si="59"/>
        <v>3633.8445134751482</v>
      </c>
      <c r="U232" s="17">
        <f t="shared" si="60"/>
        <v>0</v>
      </c>
      <c r="V232" s="17">
        <f t="shared" si="61"/>
        <v>0</v>
      </c>
      <c r="W232" s="17">
        <f t="shared" si="62"/>
        <v>92871.803198280482</v>
      </c>
      <c r="X232" s="17">
        <f t="shared" si="63"/>
        <v>42682.011996139707</v>
      </c>
      <c r="Y232" s="17">
        <f>IF(MOD(A232,12)=0,W232*'1 - Input'!$B$23,0)</f>
        <v>0</v>
      </c>
      <c r="Z232" s="17">
        <f t="shared" si="64"/>
        <v>92871.803198280482</v>
      </c>
      <c r="AA232" s="17">
        <f>IF(MOD(A232,12)=0,X232*(1-'1 - Input'!$B$23),X232)</f>
        <v>42682.011996139707</v>
      </c>
      <c r="AB232" s="17">
        <f t="shared" si="65"/>
        <v>3633.8445134751482</v>
      </c>
      <c r="AC232" s="17">
        <f t="shared" si="69"/>
        <v>593011.30870636587</v>
      </c>
      <c r="AD232" s="17">
        <f t="shared" si="70"/>
        <v>0</v>
      </c>
      <c r="AE232" s="17">
        <f t="shared" si="71"/>
        <v>55037.495288540536</v>
      </c>
      <c r="AF232" s="17">
        <f t="shared" si="72"/>
        <v>0</v>
      </c>
      <c r="AG232" s="17">
        <f t="shared" si="73"/>
        <v>10147.302827284553</v>
      </c>
      <c r="AH232" s="17">
        <f t="shared" si="74"/>
        <v>0</v>
      </c>
      <c r="AI232" s="15">
        <f t="shared" si="66"/>
        <v>0</v>
      </c>
    </row>
    <row r="233" spans="1:35">
      <c r="A233" s="14">
        <v>190</v>
      </c>
      <c r="B233" s="15">
        <f t="shared" si="50"/>
        <v>16</v>
      </c>
      <c r="C233" s="16">
        <f>(1+INDEX('1 - Input'!$B$34:$E$63,B233,'1 - Input'!$B$16))^(1/12)-1</f>
        <v>4.1219243192651689E-3</v>
      </c>
      <c r="D233" s="17">
        <f>'1 - Input'!$B$7*(1+'1 - Input'!$B$12)^(B233-1)</f>
        <v>3633.8445134751487</v>
      </c>
      <c r="E233" s="17">
        <f t="shared" si="67"/>
        <v>92871.803198280482</v>
      </c>
      <c r="F233" s="17">
        <f t="shared" si="68"/>
        <v>42682.011996139707</v>
      </c>
      <c r="G233" s="17">
        <f t="shared" si="51"/>
        <v>93254.613742457484</v>
      </c>
      <c r="H233" s="17">
        <f>0</f>
        <v>0</v>
      </c>
      <c r="I233" s="17">
        <f t="shared" si="52"/>
        <v>93254.613742457484</v>
      </c>
      <c r="J233" s="17">
        <f t="shared" si="53"/>
        <v>0</v>
      </c>
      <c r="K233" s="17">
        <f>'1 - Input'!$B$22*(H233-J233)</f>
        <v>0</v>
      </c>
      <c r="L233" s="17">
        <f t="shared" si="54"/>
        <v>0</v>
      </c>
      <c r="M233" s="17">
        <f t="shared" si="55"/>
        <v>42682.011996139707</v>
      </c>
      <c r="N233" s="17">
        <f>0</f>
        <v>0</v>
      </c>
      <c r="O233" s="17">
        <f t="shared" si="56"/>
        <v>3633.8445134751487</v>
      </c>
      <c r="P233" s="17">
        <f t="shared" si="57"/>
        <v>0.5423066990120704</v>
      </c>
      <c r="Q233" s="17">
        <f>IF(AND(O233&gt;0,I233&gt;0),O233/(1-'1 - Input'!$B$22*P233),0)</f>
        <v>4230.3183014742963</v>
      </c>
      <c r="R233" s="17">
        <f t="shared" si="58"/>
        <v>4230.3183014742963</v>
      </c>
      <c r="S233" s="17">
        <f>'1 - Input'!$B$22*P233*R233</f>
        <v>596.47378799914725</v>
      </c>
      <c r="T233" s="17">
        <f t="shared" si="59"/>
        <v>3633.8445134751491</v>
      </c>
      <c r="U233" s="17">
        <f t="shared" si="60"/>
        <v>0</v>
      </c>
      <c r="V233" s="17">
        <f t="shared" si="61"/>
        <v>0</v>
      </c>
      <c r="W233" s="17">
        <f t="shared" si="62"/>
        <v>89024.295440983187</v>
      </c>
      <c r="X233" s="17">
        <f t="shared" si="63"/>
        <v>40745.823648508289</v>
      </c>
      <c r="Y233" s="17">
        <f>IF(MOD(A233,12)=0,W233*'1 - Input'!$B$23,0)</f>
        <v>0</v>
      </c>
      <c r="Z233" s="17">
        <f t="shared" si="64"/>
        <v>89024.295440983187</v>
      </c>
      <c r="AA233" s="17">
        <f>IF(MOD(A233,12)=0,X233*(1-'1 - Input'!$B$23),X233)</f>
        <v>40745.823648508289</v>
      </c>
      <c r="AB233" s="17">
        <f t="shared" si="65"/>
        <v>3633.8445134751491</v>
      </c>
      <c r="AC233" s="17">
        <f t="shared" si="69"/>
        <v>596645.15321984107</v>
      </c>
      <c r="AD233" s="17">
        <f t="shared" si="70"/>
        <v>0</v>
      </c>
      <c r="AE233" s="17">
        <f t="shared" si="71"/>
        <v>55633.969076539681</v>
      </c>
      <c r="AF233" s="17">
        <f t="shared" si="72"/>
        <v>0</v>
      </c>
      <c r="AG233" s="17">
        <f t="shared" si="73"/>
        <v>10147.302827284553</v>
      </c>
      <c r="AH233" s="17">
        <f t="shared" si="74"/>
        <v>0</v>
      </c>
      <c r="AI233" s="15">
        <f t="shared" si="66"/>
        <v>0</v>
      </c>
    </row>
    <row r="234" spans="1:35">
      <c r="A234" s="14">
        <v>191</v>
      </c>
      <c r="B234" s="15">
        <f t="shared" si="50"/>
        <v>16</v>
      </c>
      <c r="C234" s="16">
        <f>(1+INDEX('1 - Input'!$B$34:$E$63,B234,'1 - Input'!$B$16))^(1/12)-1</f>
        <v>4.1219243192651689E-3</v>
      </c>
      <c r="D234" s="17">
        <f>'1 - Input'!$B$7*(1+'1 - Input'!$B$12)^(B234-1)</f>
        <v>3633.8445134751487</v>
      </c>
      <c r="E234" s="17">
        <f t="shared" si="67"/>
        <v>89024.295440983187</v>
      </c>
      <c r="F234" s="17">
        <f t="shared" si="68"/>
        <v>40745.823648508289</v>
      </c>
      <c r="G234" s="17">
        <f t="shared" si="51"/>
        <v>89391.246849366828</v>
      </c>
      <c r="H234" s="17">
        <f>0</f>
        <v>0</v>
      </c>
      <c r="I234" s="17">
        <f t="shared" si="52"/>
        <v>89391.246849366828</v>
      </c>
      <c r="J234" s="17">
        <f t="shared" si="53"/>
        <v>0</v>
      </c>
      <c r="K234" s="17">
        <f>'1 - Input'!$B$22*(H234-J234)</f>
        <v>0</v>
      </c>
      <c r="L234" s="17">
        <f t="shared" si="54"/>
        <v>0</v>
      </c>
      <c r="M234" s="17">
        <f t="shared" si="55"/>
        <v>40745.823648508289</v>
      </c>
      <c r="N234" s="17">
        <f>0</f>
        <v>0</v>
      </c>
      <c r="O234" s="17">
        <f t="shared" si="56"/>
        <v>3633.8445134751487</v>
      </c>
      <c r="P234" s="17">
        <f t="shared" si="57"/>
        <v>0.54418553175380735</v>
      </c>
      <c r="Q234" s="17">
        <f>IF(AND(O234&gt;0,I234&gt;0),O234/(1-'1 - Input'!$B$22*P234),0)</f>
        <v>4232.7253689492063</v>
      </c>
      <c r="R234" s="17">
        <f t="shared" si="58"/>
        <v>4232.7253689492063</v>
      </c>
      <c r="S234" s="17">
        <f>'1 - Input'!$B$22*P234*R234</f>
        <v>598.88085547405808</v>
      </c>
      <c r="T234" s="17">
        <f t="shared" si="59"/>
        <v>3633.8445134751482</v>
      </c>
      <c r="U234" s="17">
        <f t="shared" si="60"/>
        <v>0</v>
      </c>
      <c r="V234" s="17">
        <f t="shared" si="61"/>
        <v>0</v>
      </c>
      <c r="W234" s="17">
        <f t="shared" si="62"/>
        <v>85158.521480417621</v>
      </c>
      <c r="X234" s="17">
        <f t="shared" si="63"/>
        <v>38816.486185228539</v>
      </c>
      <c r="Y234" s="17">
        <f>IF(MOD(A234,12)=0,W234*'1 - Input'!$B$23,0)</f>
        <v>0</v>
      </c>
      <c r="Z234" s="17">
        <f t="shared" si="64"/>
        <v>85158.521480417621</v>
      </c>
      <c r="AA234" s="17">
        <f>IF(MOD(A234,12)=0,X234*(1-'1 - Input'!$B$23),X234)</f>
        <v>38816.486185228539</v>
      </c>
      <c r="AB234" s="17">
        <f t="shared" si="65"/>
        <v>3633.8445134751482</v>
      </c>
      <c r="AC234" s="17">
        <f t="shared" si="69"/>
        <v>600278.99773331627</v>
      </c>
      <c r="AD234" s="17">
        <f t="shared" si="70"/>
        <v>0</v>
      </c>
      <c r="AE234" s="17">
        <f t="shared" si="71"/>
        <v>56232.849932013742</v>
      </c>
      <c r="AF234" s="17">
        <f t="shared" si="72"/>
        <v>0</v>
      </c>
      <c r="AG234" s="17">
        <f t="shared" si="73"/>
        <v>10147.302827284553</v>
      </c>
      <c r="AH234" s="17">
        <f t="shared" si="74"/>
        <v>0</v>
      </c>
      <c r="AI234" s="15">
        <f t="shared" si="66"/>
        <v>0</v>
      </c>
    </row>
    <row r="235" spans="1:35">
      <c r="A235" s="14">
        <v>192</v>
      </c>
      <c r="B235" s="15">
        <f t="shared" si="50"/>
        <v>16</v>
      </c>
      <c r="C235" s="16">
        <f>(1+INDEX('1 - Input'!$B$34:$E$63,B235,'1 - Input'!$B$16))^(1/12)-1</f>
        <v>4.1219243192651689E-3</v>
      </c>
      <c r="D235" s="17">
        <f>'1 - Input'!$B$7*(1+'1 - Input'!$B$12)^(B235-1)</f>
        <v>3633.8445134751487</v>
      </c>
      <c r="E235" s="17">
        <f t="shared" si="67"/>
        <v>85158.521480417621</v>
      </c>
      <c r="F235" s="17">
        <f t="shared" si="68"/>
        <v>38816.486185228539</v>
      </c>
      <c r="G235" s="17">
        <f t="shared" si="51"/>
        <v>85509.538461100427</v>
      </c>
      <c r="H235" s="17">
        <f>0</f>
        <v>0</v>
      </c>
      <c r="I235" s="17">
        <f t="shared" si="52"/>
        <v>85509.538461100427</v>
      </c>
      <c r="J235" s="17">
        <f t="shared" si="53"/>
        <v>0</v>
      </c>
      <c r="K235" s="17">
        <f>'1 - Input'!$B$22*(H235-J235)</f>
        <v>0</v>
      </c>
      <c r="L235" s="17">
        <f t="shared" si="54"/>
        <v>0</v>
      </c>
      <c r="M235" s="17">
        <f t="shared" si="55"/>
        <v>38816.486185228539</v>
      </c>
      <c r="N235" s="17">
        <f>0</f>
        <v>0</v>
      </c>
      <c r="O235" s="17">
        <f t="shared" si="56"/>
        <v>3633.8445134751487</v>
      </c>
      <c r="P235" s="17">
        <f t="shared" si="57"/>
        <v>0.54605665187999186</v>
      </c>
      <c r="Q235" s="17">
        <f>IF(AND(O235&gt;0,I235&gt;0),O235/(1-'1 - Input'!$B$22*P235),0)</f>
        <v>4235.125279364026</v>
      </c>
      <c r="R235" s="17">
        <f t="shared" si="58"/>
        <v>4235.125279364026</v>
      </c>
      <c r="S235" s="17">
        <f>'1 - Input'!$B$22*P235*R235</f>
        <v>601.28076588887711</v>
      </c>
      <c r="T235" s="17">
        <f t="shared" si="59"/>
        <v>3633.8445134751491</v>
      </c>
      <c r="U235" s="17">
        <f t="shared" si="60"/>
        <v>0</v>
      </c>
      <c r="V235" s="17">
        <f t="shared" si="61"/>
        <v>0</v>
      </c>
      <c r="W235" s="17">
        <f t="shared" si="62"/>
        <v>81274.413181736396</v>
      </c>
      <c r="X235" s="17">
        <f t="shared" si="63"/>
        <v>36893.979236206345</v>
      </c>
      <c r="Y235" s="17">
        <f>IF(MOD(A235,12)=0,W235*'1 - Input'!$B$23,0)</f>
        <v>162.54882636347278</v>
      </c>
      <c r="Z235" s="17">
        <f t="shared" si="64"/>
        <v>81111.86435537292</v>
      </c>
      <c r="AA235" s="17">
        <f>IF(MOD(A235,12)=0,X235*(1-'1 - Input'!$B$23),X235)</f>
        <v>36820.191277733931</v>
      </c>
      <c r="AB235" s="17">
        <f t="shared" si="65"/>
        <v>3633.8445134751491</v>
      </c>
      <c r="AC235" s="17">
        <f t="shared" si="69"/>
        <v>603912.84224679146</v>
      </c>
      <c r="AD235" s="17">
        <f t="shared" si="70"/>
        <v>0</v>
      </c>
      <c r="AE235" s="17">
        <f t="shared" si="71"/>
        <v>56834.130697902619</v>
      </c>
      <c r="AF235" s="17">
        <f t="shared" si="72"/>
        <v>0</v>
      </c>
      <c r="AG235" s="17">
        <f t="shared" si="73"/>
        <v>10309.851653648026</v>
      </c>
      <c r="AH235" s="17">
        <f t="shared" si="74"/>
        <v>0</v>
      </c>
      <c r="AI235" s="15">
        <f t="shared" si="66"/>
        <v>0</v>
      </c>
    </row>
    <row r="236" spans="1:35">
      <c r="A236" s="14">
        <v>193</v>
      </c>
      <c r="B236" s="15">
        <f t="shared" ref="B236:B299" si="75">ROUNDUP(A236/12,0)</f>
        <v>17</v>
      </c>
      <c r="C236" s="16">
        <f>(1+INDEX('1 - Input'!$B$34:$E$63,B236,'1 - Input'!$B$16))^(1/12)-1</f>
        <v>4.1219243192651689E-3</v>
      </c>
      <c r="D236" s="17">
        <f>'1 - Input'!$B$7*(1+'1 - Input'!$B$12)^(B236-1)</f>
        <v>3706.5214037446526</v>
      </c>
      <c r="E236" s="17">
        <f t="shared" si="67"/>
        <v>81111.86435537292</v>
      </c>
      <c r="F236" s="17">
        <f t="shared" si="68"/>
        <v>36820.191277733931</v>
      </c>
      <c r="G236" s="17">
        <f t="shared" ref="G236:G299" si="76">E236*(1+C236)</f>
        <v>81446.20132164027</v>
      </c>
      <c r="H236" s="17">
        <f>0</f>
        <v>0</v>
      </c>
      <c r="I236" s="17">
        <f t="shared" ref="I236:I299" si="77">G236-H236</f>
        <v>81446.20132164027</v>
      </c>
      <c r="J236" s="17">
        <f t="shared" ref="J236:J299" si="78">MIN($B$41*H236,F236)</f>
        <v>0</v>
      </c>
      <c r="K236" s="17">
        <f>'1 - Input'!$B$22*(H236-J236)</f>
        <v>0</v>
      </c>
      <c r="L236" s="17">
        <f t="shared" ref="L236:L299" si="79">H236-K236</f>
        <v>0</v>
      </c>
      <c r="M236" s="17">
        <f t="shared" ref="M236:M299" si="80">F236-J236</f>
        <v>36820.191277733931</v>
      </c>
      <c r="N236" s="17">
        <f>0</f>
        <v>0</v>
      </c>
      <c r="O236" s="17">
        <f t="shared" ref="O236:O299" si="81">D236</f>
        <v>3706.5214037446526</v>
      </c>
      <c r="P236" s="17">
        <f t="shared" ref="P236:P299" si="82">IF(I236&gt;0,MAX(0,1-M236/I236),0)</f>
        <v>0.54792009105094008</v>
      </c>
      <c r="Q236" s="17">
        <f>IF(AND(O236&gt;0,I236&gt;0),O236/(1-'1 - Input'!$B$22*P236),0)</f>
        <v>4322.2684052662789</v>
      </c>
      <c r="R236" s="17">
        <f t="shared" ref="R236:R299" si="83">MIN(Q236,I236)</f>
        <v>4322.2684052662789</v>
      </c>
      <c r="S236" s="17">
        <f>'1 - Input'!$B$22*P236*R236</f>
        <v>615.74700152162632</v>
      </c>
      <c r="T236" s="17">
        <f t="shared" ref="T236:T299" si="84">R236-S236</f>
        <v>3706.5214037446526</v>
      </c>
      <c r="U236" s="17">
        <f t="shared" ref="U236:U299" si="85">O236-T236</f>
        <v>0</v>
      </c>
      <c r="V236" s="17">
        <f t="shared" ref="V236:V299" si="86">IF(I236&gt;0,R236*MAX(0,M236/I236-1),0)</f>
        <v>0</v>
      </c>
      <c r="W236" s="17">
        <f t="shared" ref="W236:W299" si="87">I236-R236+N236</f>
        <v>77123.932916373989</v>
      </c>
      <c r="X236" s="17">
        <f t="shared" ref="X236:X299" si="88">IF(R236&gt;0,M236*(1-R236/I236),M236)+N236</f>
        <v>34866.180570627752</v>
      </c>
      <c r="Y236" s="17">
        <f>IF(MOD(A236,12)=0,W236*'1 - Input'!$B$23,0)</f>
        <v>0</v>
      </c>
      <c r="Z236" s="17">
        <f t="shared" ref="Z236:Z299" si="89">W236-Y236</f>
        <v>77123.932916373989</v>
      </c>
      <c r="AA236" s="17">
        <f>IF(MOD(A236,12)=0,X236*(1-'1 - Input'!$B$23),X236)</f>
        <v>34866.180570627752</v>
      </c>
      <c r="AB236" s="17">
        <f t="shared" ref="AB236:AB299" si="90">T236</f>
        <v>3706.5214037446526</v>
      </c>
      <c r="AC236" s="17">
        <f t="shared" si="69"/>
        <v>607619.36365053616</v>
      </c>
      <c r="AD236" s="17">
        <f t="shared" si="70"/>
        <v>0</v>
      </c>
      <c r="AE236" s="17">
        <f t="shared" si="71"/>
        <v>57449.877699424243</v>
      </c>
      <c r="AF236" s="17">
        <f t="shared" si="72"/>
        <v>0</v>
      </c>
      <c r="AG236" s="17">
        <f t="shared" si="73"/>
        <v>10309.851653648026</v>
      </c>
      <c r="AH236" s="17">
        <f t="shared" si="74"/>
        <v>0</v>
      </c>
      <c r="AI236" s="15">
        <f t="shared" ref="AI236:AI299" si="91">IF(W236&lt;=0.000001,1,0)</f>
        <v>0</v>
      </c>
    </row>
    <row r="237" spans="1:35">
      <c r="A237" s="14">
        <v>194</v>
      </c>
      <c r="B237" s="15">
        <f t="shared" si="75"/>
        <v>17</v>
      </c>
      <c r="C237" s="16">
        <f>(1+INDEX('1 - Input'!$B$34:$E$63,B237,'1 - Input'!$B$16))^(1/12)-1</f>
        <v>4.1219243192651689E-3</v>
      </c>
      <c r="D237" s="17">
        <f>'1 - Input'!$B$7*(1+'1 - Input'!$B$12)^(B237-1)</f>
        <v>3706.5214037446526</v>
      </c>
      <c r="E237" s="17">
        <f t="shared" ref="E237:E300" si="92">Z236</f>
        <v>77123.932916373989</v>
      </c>
      <c r="F237" s="17">
        <f t="shared" ref="F237:F300" si="93">AA236</f>
        <v>34866.180570627752</v>
      </c>
      <c r="G237" s="17">
        <f t="shared" si="76"/>
        <v>77441.831931059365</v>
      </c>
      <c r="H237" s="17">
        <f>0</f>
        <v>0</v>
      </c>
      <c r="I237" s="17">
        <f t="shared" si="77"/>
        <v>77441.831931059365</v>
      </c>
      <c r="J237" s="17">
        <f t="shared" si="78"/>
        <v>0</v>
      </c>
      <c r="K237" s="17">
        <f>'1 - Input'!$B$22*(H237-J237)</f>
        <v>0</v>
      </c>
      <c r="L237" s="17">
        <f t="shared" si="79"/>
        <v>0</v>
      </c>
      <c r="M237" s="17">
        <f t="shared" si="80"/>
        <v>34866.180570627752</v>
      </c>
      <c r="N237" s="17">
        <f>0</f>
        <v>0</v>
      </c>
      <c r="O237" s="17">
        <f t="shared" si="81"/>
        <v>3706.5214037446526</v>
      </c>
      <c r="P237" s="17">
        <f t="shared" si="82"/>
        <v>0.54977588079700279</v>
      </c>
      <c r="Q237" s="17">
        <f>IF(AND(O237&gt;0,I237&gt;0),O237/(1-'1 - Input'!$B$22*P237),0)</f>
        <v>4324.7017492184968</v>
      </c>
      <c r="R237" s="17">
        <f t="shared" si="83"/>
        <v>4324.7017492184968</v>
      </c>
      <c r="S237" s="17">
        <f>'1 - Input'!$B$22*P237*R237</f>
        <v>618.18034547384389</v>
      </c>
      <c r="T237" s="17">
        <f t="shared" si="84"/>
        <v>3706.5214037446531</v>
      </c>
      <c r="U237" s="17">
        <f t="shared" si="85"/>
        <v>0</v>
      </c>
      <c r="V237" s="17">
        <f t="shared" si="86"/>
        <v>0</v>
      </c>
      <c r="W237" s="17">
        <f t="shared" si="87"/>
        <v>73117.130181840868</v>
      </c>
      <c r="X237" s="17">
        <f t="shared" si="88"/>
        <v>32919.095534770197</v>
      </c>
      <c r="Y237" s="17">
        <f>IF(MOD(A237,12)=0,W237*'1 - Input'!$B$23,0)</f>
        <v>0</v>
      </c>
      <c r="Z237" s="17">
        <f t="shared" si="89"/>
        <v>73117.130181840868</v>
      </c>
      <c r="AA237" s="17">
        <f>IF(MOD(A237,12)=0,X237*(1-'1 - Input'!$B$23),X237)</f>
        <v>32919.095534770197</v>
      </c>
      <c r="AB237" s="17">
        <f t="shared" si="90"/>
        <v>3706.5214037446531</v>
      </c>
      <c r="AC237" s="17">
        <f t="shared" ref="AC237:AC300" si="94">AC236+AB237</f>
        <v>611325.88505428087</v>
      </c>
      <c r="AD237" s="17">
        <f t="shared" ref="AD237:AD300" si="95">AD236+K237</f>
        <v>0</v>
      </c>
      <c r="AE237" s="17">
        <f t="shared" ref="AE237:AE300" si="96">AE236+S237</f>
        <v>58068.058044898091</v>
      </c>
      <c r="AF237" s="17">
        <f t="shared" ref="AF237:AF300" si="97">AF236+V237</f>
        <v>0</v>
      </c>
      <c r="AG237" s="17">
        <f t="shared" ref="AG237:AG300" si="98">AG236+Y237</f>
        <v>10309.851653648026</v>
      </c>
      <c r="AH237" s="17">
        <f t="shared" ref="AH237:AH300" si="99">AH236+U237</f>
        <v>0</v>
      </c>
      <c r="AI237" s="15">
        <f t="shared" si="91"/>
        <v>0</v>
      </c>
    </row>
    <row r="238" spans="1:35">
      <c r="A238" s="14">
        <v>195</v>
      </c>
      <c r="B238" s="15">
        <f t="shared" si="75"/>
        <v>17</v>
      </c>
      <c r="C238" s="16">
        <f>(1+INDEX('1 - Input'!$B$34:$E$63,B238,'1 - Input'!$B$16))^(1/12)-1</f>
        <v>4.1219243192651689E-3</v>
      </c>
      <c r="D238" s="17">
        <f>'1 - Input'!$B$7*(1+'1 - Input'!$B$12)^(B238-1)</f>
        <v>3706.5214037446526</v>
      </c>
      <c r="E238" s="17">
        <f t="shared" si="92"/>
        <v>73117.130181840868</v>
      </c>
      <c r="F238" s="17">
        <f t="shared" si="93"/>
        <v>32919.095534770197</v>
      </c>
      <c r="G238" s="17">
        <f t="shared" si="76"/>
        <v>73418.513458892281</v>
      </c>
      <c r="H238" s="17">
        <f>0</f>
        <v>0</v>
      </c>
      <c r="I238" s="17">
        <f t="shared" si="77"/>
        <v>73418.513458892281</v>
      </c>
      <c r="J238" s="17">
        <f t="shared" si="78"/>
        <v>0</v>
      </c>
      <c r="K238" s="17">
        <f>'1 - Input'!$B$22*(H238-J238)</f>
        <v>0</v>
      </c>
      <c r="L238" s="17">
        <f t="shared" si="79"/>
        <v>0</v>
      </c>
      <c r="M238" s="17">
        <f t="shared" si="80"/>
        <v>32919.095534770197</v>
      </c>
      <c r="N238" s="17">
        <f>0</f>
        <v>0</v>
      </c>
      <c r="O238" s="17">
        <f t="shared" si="81"/>
        <v>3706.5214037446526</v>
      </c>
      <c r="P238" s="17">
        <f t="shared" si="82"/>
        <v>0.55162405251909785</v>
      </c>
      <c r="Q238" s="17">
        <f>IF(AND(O238&gt;0,I238&gt;0),O238/(1-'1 - Input'!$B$22*P238),0)</f>
        <v>4327.1278288049807</v>
      </c>
      <c r="R238" s="17">
        <f t="shared" si="83"/>
        <v>4327.1278288049807</v>
      </c>
      <c r="S238" s="17">
        <f>'1 - Input'!$B$22*P238*R238</f>
        <v>620.60642506032787</v>
      </c>
      <c r="T238" s="17">
        <f t="shared" si="84"/>
        <v>3706.5214037446531</v>
      </c>
      <c r="U238" s="17">
        <f t="shared" si="85"/>
        <v>0</v>
      </c>
      <c r="V238" s="17">
        <f t="shared" si="86"/>
        <v>0</v>
      </c>
      <c r="W238" s="17">
        <f t="shared" si="87"/>
        <v>69091.385630087301</v>
      </c>
      <c r="X238" s="17">
        <f t="shared" si="88"/>
        <v>30978.915494658784</v>
      </c>
      <c r="Y238" s="17">
        <f>IF(MOD(A238,12)=0,W238*'1 - Input'!$B$23,0)</f>
        <v>0</v>
      </c>
      <c r="Z238" s="17">
        <f t="shared" si="89"/>
        <v>69091.385630087301</v>
      </c>
      <c r="AA238" s="17">
        <f>IF(MOD(A238,12)=0,X238*(1-'1 - Input'!$B$23),X238)</f>
        <v>30978.915494658784</v>
      </c>
      <c r="AB238" s="17">
        <f t="shared" si="90"/>
        <v>3706.5214037446531</v>
      </c>
      <c r="AC238" s="17">
        <f t="shared" si="94"/>
        <v>615032.40645802557</v>
      </c>
      <c r="AD238" s="17">
        <f t="shared" si="95"/>
        <v>0</v>
      </c>
      <c r="AE238" s="17">
        <f t="shared" si="96"/>
        <v>58688.664469958421</v>
      </c>
      <c r="AF238" s="17">
        <f t="shared" si="97"/>
        <v>0</v>
      </c>
      <c r="AG238" s="17">
        <f t="shared" si="98"/>
        <v>10309.851653648026</v>
      </c>
      <c r="AH238" s="17">
        <f t="shared" si="99"/>
        <v>0</v>
      </c>
      <c r="AI238" s="15">
        <f t="shared" si="91"/>
        <v>0</v>
      </c>
    </row>
    <row r="239" spans="1:35">
      <c r="A239" s="14">
        <v>196</v>
      </c>
      <c r="B239" s="15">
        <f t="shared" si="75"/>
        <v>17</v>
      </c>
      <c r="C239" s="16">
        <f>(1+INDEX('1 - Input'!$B$34:$E$63,B239,'1 - Input'!$B$16))^(1/12)-1</f>
        <v>4.1219243192651689E-3</v>
      </c>
      <c r="D239" s="17">
        <f>'1 - Input'!$B$7*(1+'1 - Input'!$B$12)^(B239-1)</f>
        <v>3706.5214037446526</v>
      </c>
      <c r="E239" s="17">
        <f t="shared" si="92"/>
        <v>69091.385630087301</v>
      </c>
      <c r="F239" s="17">
        <f t="shared" si="93"/>
        <v>30978.915494658784</v>
      </c>
      <c r="G239" s="17">
        <f t="shared" si="76"/>
        <v>69376.175092767691</v>
      </c>
      <c r="H239" s="17">
        <f>0</f>
        <v>0</v>
      </c>
      <c r="I239" s="17">
        <f t="shared" si="77"/>
        <v>69376.175092767691</v>
      </c>
      <c r="J239" s="17">
        <f t="shared" si="78"/>
        <v>0</v>
      </c>
      <c r="K239" s="17">
        <f>'1 - Input'!$B$22*(H239-J239)</f>
        <v>0</v>
      </c>
      <c r="L239" s="17">
        <f t="shared" si="79"/>
        <v>0</v>
      </c>
      <c r="M239" s="17">
        <f t="shared" si="80"/>
        <v>30978.915494658784</v>
      </c>
      <c r="N239" s="17">
        <f>0</f>
        <v>0</v>
      </c>
      <c r="O239" s="17">
        <f t="shared" si="81"/>
        <v>3706.5214037446526</v>
      </c>
      <c r="P239" s="17">
        <f t="shared" si="82"/>
        <v>0.55346463748924279</v>
      </c>
      <c r="Q239" s="17">
        <f>IF(AND(O239&gt;0,I239&gt;0),O239/(1-'1 - Input'!$B$22*P239),0)</f>
        <v>4329.5466560737777</v>
      </c>
      <c r="R239" s="17">
        <f t="shared" si="83"/>
        <v>4329.5466560737777</v>
      </c>
      <c r="S239" s="17">
        <f>'1 - Input'!$B$22*P239*R239</f>
        <v>623.02525232912558</v>
      </c>
      <c r="T239" s="17">
        <f t="shared" si="84"/>
        <v>3706.5214037446522</v>
      </c>
      <c r="U239" s="17">
        <f t="shared" si="85"/>
        <v>0</v>
      </c>
      <c r="V239" s="17">
        <f t="shared" si="86"/>
        <v>0</v>
      </c>
      <c r="W239" s="17">
        <f t="shared" si="87"/>
        <v>65046.628436693914</v>
      </c>
      <c r="X239" s="17">
        <f t="shared" si="88"/>
        <v>29045.619809081643</v>
      </c>
      <c r="Y239" s="17">
        <f>IF(MOD(A239,12)=0,W239*'1 - Input'!$B$23,0)</f>
        <v>0</v>
      </c>
      <c r="Z239" s="17">
        <f t="shared" si="89"/>
        <v>65046.628436693914</v>
      </c>
      <c r="AA239" s="17">
        <f>IF(MOD(A239,12)=0,X239*(1-'1 - Input'!$B$23),X239)</f>
        <v>29045.619809081643</v>
      </c>
      <c r="AB239" s="17">
        <f t="shared" si="90"/>
        <v>3706.5214037446522</v>
      </c>
      <c r="AC239" s="17">
        <f t="shared" si="94"/>
        <v>618738.92786177027</v>
      </c>
      <c r="AD239" s="17">
        <f t="shared" si="95"/>
        <v>0</v>
      </c>
      <c r="AE239" s="17">
        <f t="shared" si="96"/>
        <v>59311.689722287549</v>
      </c>
      <c r="AF239" s="17">
        <f t="shared" si="97"/>
        <v>0</v>
      </c>
      <c r="AG239" s="17">
        <f t="shared" si="98"/>
        <v>10309.851653648026</v>
      </c>
      <c r="AH239" s="17">
        <f t="shared" si="99"/>
        <v>0</v>
      </c>
      <c r="AI239" s="15">
        <f t="shared" si="91"/>
        <v>0</v>
      </c>
    </row>
    <row r="240" spans="1:35">
      <c r="A240" s="14">
        <v>197</v>
      </c>
      <c r="B240" s="15">
        <f t="shared" si="75"/>
        <v>17</v>
      </c>
      <c r="C240" s="16">
        <f>(1+INDEX('1 - Input'!$B$34:$E$63,B240,'1 - Input'!$B$16))^(1/12)-1</f>
        <v>4.1219243192651689E-3</v>
      </c>
      <c r="D240" s="17">
        <f>'1 - Input'!$B$7*(1+'1 - Input'!$B$12)^(B240-1)</f>
        <v>3706.5214037446526</v>
      </c>
      <c r="E240" s="17">
        <f t="shared" si="92"/>
        <v>65046.628436693914</v>
      </c>
      <c r="F240" s="17">
        <f t="shared" si="93"/>
        <v>29045.619809081643</v>
      </c>
      <c r="G240" s="17">
        <f t="shared" si="76"/>
        <v>65314.745716333331</v>
      </c>
      <c r="H240" s="17">
        <f>0</f>
        <v>0</v>
      </c>
      <c r="I240" s="17">
        <f t="shared" si="77"/>
        <v>65314.745716333331</v>
      </c>
      <c r="J240" s="17">
        <f t="shared" si="78"/>
        <v>0</v>
      </c>
      <c r="K240" s="17">
        <f>'1 - Input'!$B$22*(H240-J240)</f>
        <v>0</v>
      </c>
      <c r="L240" s="17">
        <f t="shared" si="79"/>
        <v>0</v>
      </c>
      <c r="M240" s="17">
        <f t="shared" si="80"/>
        <v>29045.619809081643</v>
      </c>
      <c r="N240" s="17">
        <f>0</f>
        <v>0</v>
      </c>
      <c r="O240" s="17">
        <f t="shared" si="81"/>
        <v>3706.5214037446526</v>
      </c>
      <c r="P240" s="17">
        <f t="shared" si="82"/>
        <v>0.55529766685108339</v>
      </c>
      <c r="Q240" s="17">
        <f>IF(AND(O240&gt;0,I240&gt;0),O240/(1-'1 - Input'!$B$22*P240),0)</f>
        <v>4331.9582431233603</v>
      </c>
      <c r="R240" s="17">
        <f t="shared" si="83"/>
        <v>4331.9582431233603</v>
      </c>
      <c r="S240" s="17">
        <f>'1 - Input'!$B$22*P240*R240</f>
        <v>625.4368393787073</v>
      </c>
      <c r="T240" s="17">
        <f t="shared" si="84"/>
        <v>3706.5214037446531</v>
      </c>
      <c r="U240" s="17">
        <f t="shared" si="85"/>
        <v>0</v>
      </c>
      <c r="V240" s="17">
        <f t="shared" si="86"/>
        <v>0</v>
      </c>
      <c r="W240" s="17">
        <f t="shared" si="87"/>
        <v>60982.787473209974</v>
      </c>
      <c r="X240" s="17">
        <f t="shared" si="88"/>
        <v>27119.187871261005</v>
      </c>
      <c r="Y240" s="17">
        <f>IF(MOD(A240,12)=0,W240*'1 - Input'!$B$23,0)</f>
        <v>0</v>
      </c>
      <c r="Z240" s="17">
        <f t="shared" si="89"/>
        <v>60982.787473209974</v>
      </c>
      <c r="AA240" s="17">
        <f>IF(MOD(A240,12)=0,X240*(1-'1 - Input'!$B$23),X240)</f>
        <v>27119.187871261005</v>
      </c>
      <c r="AB240" s="17">
        <f t="shared" si="90"/>
        <v>3706.5214037446531</v>
      </c>
      <c r="AC240" s="17">
        <f t="shared" si="94"/>
        <v>622445.44926551497</v>
      </c>
      <c r="AD240" s="17">
        <f t="shared" si="95"/>
        <v>0</v>
      </c>
      <c r="AE240" s="17">
        <f t="shared" si="96"/>
        <v>59937.126561666257</v>
      </c>
      <c r="AF240" s="17">
        <f t="shared" si="97"/>
        <v>0</v>
      </c>
      <c r="AG240" s="17">
        <f t="shared" si="98"/>
        <v>10309.851653648026</v>
      </c>
      <c r="AH240" s="17">
        <f t="shared" si="99"/>
        <v>0</v>
      </c>
      <c r="AI240" s="15">
        <f t="shared" si="91"/>
        <v>0</v>
      </c>
    </row>
    <row r="241" spans="1:35">
      <c r="A241" s="14">
        <v>198</v>
      </c>
      <c r="B241" s="15">
        <f t="shared" si="75"/>
        <v>17</v>
      </c>
      <c r="C241" s="16">
        <f>(1+INDEX('1 - Input'!$B$34:$E$63,B241,'1 - Input'!$B$16))^(1/12)-1</f>
        <v>4.1219243192651689E-3</v>
      </c>
      <c r="D241" s="17">
        <f>'1 - Input'!$B$7*(1+'1 - Input'!$B$12)^(B241-1)</f>
        <v>3706.5214037446526</v>
      </c>
      <c r="E241" s="17">
        <f t="shared" si="92"/>
        <v>60982.787473209974</v>
      </c>
      <c r="F241" s="17">
        <f t="shared" si="93"/>
        <v>27119.187871261005</v>
      </c>
      <c r="G241" s="17">
        <f t="shared" si="76"/>
        <v>61234.153907952379</v>
      </c>
      <c r="H241" s="17">
        <f>0</f>
        <v>0</v>
      </c>
      <c r="I241" s="17">
        <f t="shared" si="77"/>
        <v>61234.153907952379</v>
      </c>
      <c r="J241" s="17">
        <f t="shared" si="78"/>
        <v>0</v>
      </c>
      <c r="K241" s="17">
        <f>'1 - Input'!$B$22*(H241-J241)</f>
        <v>0</v>
      </c>
      <c r="L241" s="17">
        <f t="shared" si="79"/>
        <v>0</v>
      </c>
      <c r="M241" s="17">
        <f t="shared" si="80"/>
        <v>27119.187871261005</v>
      </c>
      <c r="N241" s="17">
        <f>0</f>
        <v>0</v>
      </c>
      <c r="O241" s="17">
        <f t="shared" si="81"/>
        <v>3706.5214037446526</v>
      </c>
      <c r="P241" s="17">
        <f t="shared" si="82"/>
        <v>0.55712317162042013</v>
      </c>
      <c r="Q241" s="17">
        <f>IF(AND(O241&gt;0,I241&gt;0),O241/(1-'1 - Input'!$B$22*P241),0)</f>
        <v>4334.3626021020154</v>
      </c>
      <c r="R241" s="17">
        <f t="shared" si="83"/>
        <v>4334.3626021020154</v>
      </c>
      <c r="S241" s="17">
        <f>'1 - Input'!$B$22*P241*R241</f>
        <v>627.84119835736317</v>
      </c>
      <c r="T241" s="17">
        <f t="shared" si="84"/>
        <v>3706.5214037446522</v>
      </c>
      <c r="U241" s="17">
        <f t="shared" si="85"/>
        <v>0</v>
      </c>
      <c r="V241" s="17">
        <f t="shared" si="86"/>
        <v>0</v>
      </c>
      <c r="W241" s="17">
        <f t="shared" si="87"/>
        <v>56899.791305850362</v>
      </c>
      <c r="X241" s="17">
        <f t="shared" si="88"/>
        <v>25199.599108995004</v>
      </c>
      <c r="Y241" s="17">
        <f>IF(MOD(A241,12)=0,W241*'1 - Input'!$B$23,0)</f>
        <v>0</v>
      </c>
      <c r="Z241" s="17">
        <f t="shared" si="89"/>
        <v>56899.791305850362</v>
      </c>
      <c r="AA241" s="17">
        <f>IF(MOD(A241,12)=0,X241*(1-'1 - Input'!$B$23),X241)</f>
        <v>25199.599108995004</v>
      </c>
      <c r="AB241" s="17">
        <f t="shared" si="90"/>
        <v>3706.5214037446522</v>
      </c>
      <c r="AC241" s="17">
        <f t="shared" si="94"/>
        <v>626151.97066925967</v>
      </c>
      <c r="AD241" s="17">
        <f t="shared" si="95"/>
        <v>0</v>
      </c>
      <c r="AE241" s="17">
        <f t="shared" si="96"/>
        <v>60564.967760023617</v>
      </c>
      <c r="AF241" s="17">
        <f t="shared" si="97"/>
        <v>0</v>
      </c>
      <c r="AG241" s="17">
        <f t="shared" si="98"/>
        <v>10309.851653648026</v>
      </c>
      <c r="AH241" s="17">
        <f t="shared" si="99"/>
        <v>0</v>
      </c>
      <c r="AI241" s="15">
        <f t="shared" si="91"/>
        <v>0</v>
      </c>
    </row>
    <row r="242" spans="1:35">
      <c r="A242" s="14">
        <v>199</v>
      </c>
      <c r="B242" s="15">
        <f t="shared" si="75"/>
        <v>17</v>
      </c>
      <c r="C242" s="16">
        <f>(1+INDEX('1 - Input'!$B$34:$E$63,B242,'1 - Input'!$B$16))^(1/12)-1</f>
        <v>4.1219243192651689E-3</v>
      </c>
      <c r="D242" s="17">
        <f>'1 - Input'!$B$7*(1+'1 - Input'!$B$12)^(B242-1)</f>
        <v>3706.5214037446526</v>
      </c>
      <c r="E242" s="17">
        <f t="shared" si="92"/>
        <v>56899.791305850362</v>
      </c>
      <c r="F242" s="17">
        <f t="shared" si="93"/>
        <v>25199.599108995004</v>
      </c>
      <c r="G242" s="17">
        <f t="shared" si="76"/>
        <v>57134.327939395058</v>
      </c>
      <c r="H242" s="17">
        <f>0</f>
        <v>0</v>
      </c>
      <c r="I242" s="17">
        <f t="shared" si="77"/>
        <v>57134.327939395058</v>
      </c>
      <c r="J242" s="17">
        <f t="shared" si="78"/>
        <v>0</v>
      </c>
      <c r="K242" s="17">
        <f>'1 - Input'!$B$22*(H242-J242)</f>
        <v>0</v>
      </c>
      <c r="L242" s="17">
        <f t="shared" si="79"/>
        <v>0</v>
      </c>
      <c r="M242" s="17">
        <f t="shared" si="80"/>
        <v>25199.599108995004</v>
      </c>
      <c r="N242" s="17">
        <f>0</f>
        <v>0</v>
      </c>
      <c r="O242" s="17">
        <f t="shared" si="81"/>
        <v>3706.5214037446526</v>
      </c>
      <c r="P242" s="17">
        <f t="shared" si="82"/>
        <v>0.55894118268573401</v>
      </c>
      <c r="Q242" s="17">
        <f>IF(AND(O242&gt;0,I242&gt;0),O242/(1-'1 - Input'!$B$22*P242),0)</f>
        <v>4336.7597452072596</v>
      </c>
      <c r="R242" s="17">
        <f t="shared" si="83"/>
        <v>4336.7597452072596</v>
      </c>
      <c r="S242" s="17">
        <f>'1 - Input'!$B$22*P242*R242</f>
        <v>630.23834146260731</v>
      </c>
      <c r="T242" s="17">
        <f t="shared" si="84"/>
        <v>3706.5214037446522</v>
      </c>
      <c r="U242" s="17">
        <f t="shared" si="85"/>
        <v>0</v>
      </c>
      <c r="V242" s="17">
        <f t="shared" si="86"/>
        <v>0</v>
      </c>
      <c r="W242" s="17">
        <f t="shared" si="87"/>
        <v>52797.568194187799</v>
      </c>
      <c r="X242" s="17">
        <f t="shared" si="88"/>
        <v>23286.832984797773</v>
      </c>
      <c r="Y242" s="17">
        <f>IF(MOD(A242,12)=0,W242*'1 - Input'!$B$23,0)</f>
        <v>0</v>
      </c>
      <c r="Z242" s="17">
        <f t="shared" si="89"/>
        <v>52797.568194187799</v>
      </c>
      <c r="AA242" s="17">
        <f>IF(MOD(A242,12)=0,X242*(1-'1 - Input'!$B$23),X242)</f>
        <v>23286.832984797773</v>
      </c>
      <c r="AB242" s="17">
        <f t="shared" si="90"/>
        <v>3706.5214037446522</v>
      </c>
      <c r="AC242" s="17">
        <f t="shared" si="94"/>
        <v>629858.49207300437</v>
      </c>
      <c r="AD242" s="17">
        <f t="shared" si="95"/>
        <v>0</v>
      </c>
      <c r="AE242" s="17">
        <f t="shared" si="96"/>
        <v>61195.206101486227</v>
      </c>
      <c r="AF242" s="17">
        <f t="shared" si="97"/>
        <v>0</v>
      </c>
      <c r="AG242" s="17">
        <f t="shared" si="98"/>
        <v>10309.851653648026</v>
      </c>
      <c r="AH242" s="17">
        <f t="shared" si="99"/>
        <v>0</v>
      </c>
      <c r="AI242" s="15">
        <f t="shared" si="91"/>
        <v>0</v>
      </c>
    </row>
    <row r="243" spans="1:35">
      <c r="A243" s="14">
        <v>200</v>
      </c>
      <c r="B243" s="15">
        <f t="shared" si="75"/>
        <v>17</v>
      </c>
      <c r="C243" s="16">
        <f>(1+INDEX('1 - Input'!$B$34:$E$63,B243,'1 - Input'!$B$16))^(1/12)-1</f>
        <v>4.1219243192651689E-3</v>
      </c>
      <c r="D243" s="17">
        <f>'1 - Input'!$B$7*(1+'1 - Input'!$B$12)^(B243-1)</f>
        <v>3706.5214037446526</v>
      </c>
      <c r="E243" s="17">
        <f t="shared" si="92"/>
        <v>52797.568194187799</v>
      </c>
      <c r="F243" s="17">
        <f t="shared" si="93"/>
        <v>23286.832984797773</v>
      </c>
      <c r="G243" s="17">
        <f t="shared" si="76"/>
        <v>53015.195774525484</v>
      </c>
      <c r="H243" s="17">
        <f>0</f>
        <v>0</v>
      </c>
      <c r="I243" s="17">
        <f t="shared" si="77"/>
        <v>53015.195774525484</v>
      </c>
      <c r="J243" s="17">
        <f t="shared" si="78"/>
        <v>0</v>
      </c>
      <c r="K243" s="17">
        <f>'1 - Input'!$B$22*(H243-J243)</f>
        <v>0</v>
      </c>
      <c r="L243" s="17">
        <f t="shared" si="79"/>
        <v>0</v>
      </c>
      <c r="M243" s="17">
        <f t="shared" si="80"/>
        <v>23286.832984797773</v>
      </c>
      <c r="N243" s="17">
        <f>0</f>
        <v>0</v>
      </c>
      <c r="O243" s="17">
        <f t="shared" si="81"/>
        <v>3706.5214037446526</v>
      </c>
      <c r="P243" s="17">
        <f t="shared" si="82"/>
        <v>0.56075173080870888</v>
      </c>
      <c r="Q243" s="17">
        <f>IF(AND(O243&gt;0,I243&gt;0),O243/(1-'1 - Input'!$B$22*P243),0)</f>
        <v>4339.1496846852324</v>
      </c>
      <c r="R243" s="17">
        <f t="shared" si="83"/>
        <v>4339.1496846852324</v>
      </c>
      <c r="S243" s="17">
        <f>'1 - Input'!$B$22*P243*R243</f>
        <v>632.62828094058</v>
      </c>
      <c r="T243" s="17">
        <f t="shared" si="84"/>
        <v>3706.5214037446522</v>
      </c>
      <c r="U243" s="17">
        <f t="shared" si="85"/>
        <v>0</v>
      </c>
      <c r="V243" s="17">
        <f t="shared" si="86"/>
        <v>0</v>
      </c>
      <c r="W243" s="17">
        <f t="shared" si="87"/>
        <v>48676.046089840253</v>
      </c>
      <c r="X243" s="17">
        <f t="shared" si="88"/>
        <v>21380.868996037847</v>
      </c>
      <c r="Y243" s="17">
        <f>IF(MOD(A243,12)=0,W243*'1 - Input'!$B$23,0)</f>
        <v>0</v>
      </c>
      <c r="Z243" s="17">
        <f t="shared" si="89"/>
        <v>48676.046089840253</v>
      </c>
      <c r="AA243" s="17">
        <f>IF(MOD(A243,12)=0,X243*(1-'1 - Input'!$B$23),X243)</f>
        <v>21380.868996037847</v>
      </c>
      <c r="AB243" s="17">
        <f t="shared" si="90"/>
        <v>3706.5214037446522</v>
      </c>
      <c r="AC243" s="17">
        <f t="shared" si="94"/>
        <v>633565.01347674907</v>
      </c>
      <c r="AD243" s="17">
        <f t="shared" si="95"/>
        <v>0</v>
      </c>
      <c r="AE243" s="17">
        <f t="shared" si="96"/>
        <v>61827.834382426809</v>
      </c>
      <c r="AF243" s="17">
        <f t="shared" si="97"/>
        <v>0</v>
      </c>
      <c r="AG243" s="17">
        <f t="shared" si="98"/>
        <v>10309.851653648026</v>
      </c>
      <c r="AH243" s="17">
        <f t="shared" si="99"/>
        <v>0</v>
      </c>
      <c r="AI243" s="15">
        <f t="shared" si="91"/>
        <v>0</v>
      </c>
    </row>
    <row r="244" spans="1:35">
      <c r="A244" s="14">
        <v>201</v>
      </c>
      <c r="B244" s="15">
        <f t="shared" si="75"/>
        <v>17</v>
      </c>
      <c r="C244" s="16">
        <f>(1+INDEX('1 - Input'!$B$34:$E$63,B244,'1 - Input'!$B$16))^(1/12)-1</f>
        <v>4.1219243192651689E-3</v>
      </c>
      <c r="D244" s="17">
        <f>'1 - Input'!$B$7*(1+'1 - Input'!$B$12)^(B244-1)</f>
        <v>3706.5214037446526</v>
      </c>
      <c r="E244" s="17">
        <f t="shared" si="92"/>
        <v>48676.046089840253</v>
      </c>
      <c r="F244" s="17">
        <f t="shared" si="93"/>
        <v>21380.868996037847</v>
      </c>
      <c r="G244" s="17">
        <f t="shared" si="76"/>
        <v>48876.685067983635</v>
      </c>
      <c r="H244" s="17">
        <f>0</f>
        <v>0</v>
      </c>
      <c r="I244" s="17">
        <f t="shared" si="77"/>
        <v>48876.685067983635</v>
      </c>
      <c r="J244" s="17">
        <f t="shared" si="78"/>
        <v>0</v>
      </c>
      <c r="K244" s="17">
        <f>'1 - Input'!$B$22*(H244-J244)</f>
        <v>0</v>
      </c>
      <c r="L244" s="17">
        <f t="shared" si="79"/>
        <v>0</v>
      </c>
      <c r="M244" s="17">
        <f t="shared" si="80"/>
        <v>21380.868996037847</v>
      </c>
      <c r="N244" s="17">
        <f>0</f>
        <v>0</v>
      </c>
      <c r="O244" s="17">
        <f t="shared" si="81"/>
        <v>3706.5214037446526</v>
      </c>
      <c r="P244" s="17">
        <f t="shared" si="82"/>
        <v>0.56255484662475097</v>
      </c>
      <c r="Q244" s="17">
        <f>IF(AND(O244&gt;0,I244&gt;0),O244/(1-'1 - Input'!$B$22*P244),0)</f>
        <v>4341.5324328301049</v>
      </c>
      <c r="R244" s="17">
        <f t="shared" si="83"/>
        <v>4341.5324328301049</v>
      </c>
      <c r="S244" s="17">
        <f>'1 - Input'!$B$22*P244*R244</f>
        <v>635.0110290854517</v>
      </c>
      <c r="T244" s="17">
        <f t="shared" si="84"/>
        <v>3706.5214037446531</v>
      </c>
      <c r="U244" s="17">
        <f t="shared" si="85"/>
        <v>0</v>
      </c>
      <c r="V244" s="17">
        <f t="shared" si="86"/>
        <v>0</v>
      </c>
      <c r="W244" s="17">
        <f t="shared" si="87"/>
        <v>44535.152635153529</v>
      </c>
      <c r="X244" s="17">
        <f t="shared" si="88"/>
        <v>19481.686675074863</v>
      </c>
      <c r="Y244" s="17">
        <f>IF(MOD(A244,12)=0,W244*'1 - Input'!$B$23,0)</f>
        <v>0</v>
      </c>
      <c r="Z244" s="17">
        <f t="shared" si="89"/>
        <v>44535.152635153529</v>
      </c>
      <c r="AA244" s="17">
        <f>IF(MOD(A244,12)=0,X244*(1-'1 - Input'!$B$23),X244)</f>
        <v>19481.686675074863</v>
      </c>
      <c r="AB244" s="17">
        <f t="shared" si="90"/>
        <v>3706.5214037446531</v>
      </c>
      <c r="AC244" s="17">
        <f t="shared" si="94"/>
        <v>637271.53488049377</v>
      </c>
      <c r="AD244" s="17">
        <f t="shared" si="95"/>
        <v>0</v>
      </c>
      <c r="AE244" s="17">
        <f t="shared" si="96"/>
        <v>62462.845411512259</v>
      </c>
      <c r="AF244" s="17">
        <f t="shared" si="97"/>
        <v>0</v>
      </c>
      <c r="AG244" s="17">
        <f t="shared" si="98"/>
        <v>10309.851653648026</v>
      </c>
      <c r="AH244" s="17">
        <f t="shared" si="99"/>
        <v>0</v>
      </c>
      <c r="AI244" s="15">
        <f t="shared" si="91"/>
        <v>0</v>
      </c>
    </row>
    <row r="245" spans="1:35">
      <c r="A245" s="14">
        <v>202</v>
      </c>
      <c r="B245" s="15">
        <f t="shared" si="75"/>
        <v>17</v>
      </c>
      <c r="C245" s="16">
        <f>(1+INDEX('1 - Input'!$B$34:$E$63,B245,'1 - Input'!$B$16))^(1/12)-1</f>
        <v>4.1219243192651689E-3</v>
      </c>
      <c r="D245" s="17">
        <f>'1 - Input'!$B$7*(1+'1 - Input'!$B$12)^(B245-1)</f>
        <v>3706.5214037446526</v>
      </c>
      <c r="E245" s="17">
        <f t="shared" si="92"/>
        <v>44535.152635153529</v>
      </c>
      <c r="F245" s="17">
        <f t="shared" si="93"/>
        <v>19481.686675074863</v>
      </c>
      <c r="G245" s="17">
        <f t="shared" si="76"/>
        <v>44718.723163862553</v>
      </c>
      <c r="H245" s="17">
        <f>0</f>
        <v>0</v>
      </c>
      <c r="I245" s="17">
        <f t="shared" si="77"/>
        <v>44718.723163862553</v>
      </c>
      <c r="J245" s="17">
        <f t="shared" si="78"/>
        <v>0</v>
      </c>
      <c r="K245" s="17">
        <f>'1 - Input'!$B$22*(H245-J245)</f>
        <v>0</v>
      </c>
      <c r="L245" s="17">
        <f t="shared" si="79"/>
        <v>0</v>
      </c>
      <c r="M245" s="17">
        <f t="shared" si="80"/>
        <v>19481.686675074863</v>
      </c>
      <c r="N245" s="17">
        <f>0</f>
        <v>0</v>
      </c>
      <c r="O245" s="17">
        <f t="shared" si="81"/>
        <v>3706.5214037446526</v>
      </c>
      <c r="P245" s="17">
        <f t="shared" si="82"/>
        <v>0.56435056064350864</v>
      </c>
      <c r="Q245" s="17">
        <f>IF(AND(O245&gt;0,I245&gt;0),O245/(1-'1 - Input'!$B$22*P245),0)</f>
        <v>4343.9080019834855</v>
      </c>
      <c r="R245" s="17">
        <f t="shared" si="83"/>
        <v>4343.9080019834855</v>
      </c>
      <c r="S245" s="17">
        <f>'1 - Input'!$B$22*P245*R245</f>
        <v>637.3865982388329</v>
      </c>
      <c r="T245" s="17">
        <f t="shared" si="84"/>
        <v>3706.5214037446526</v>
      </c>
      <c r="U245" s="17">
        <f t="shared" si="85"/>
        <v>0</v>
      </c>
      <c r="V245" s="17">
        <f t="shared" si="86"/>
        <v>0</v>
      </c>
      <c r="W245" s="17">
        <f t="shared" si="87"/>
        <v>40374.815161879065</v>
      </c>
      <c r="X245" s="17">
        <f t="shared" si="88"/>
        <v>17589.265589394581</v>
      </c>
      <c r="Y245" s="17">
        <f>IF(MOD(A245,12)=0,W245*'1 - Input'!$B$23,0)</f>
        <v>0</v>
      </c>
      <c r="Z245" s="17">
        <f t="shared" si="89"/>
        <v>40374.815161879065</v>
      </c>
      <c r="AA245" s="17">
        <f>IF(MOD(A245,12)=0,X245*(1-'1 - Input'!$B$23),X245)</f>
        <v>17589.265589394581</v>
      </c>
      <c r="AB245" s="17">
        <f t="shared" si="90"/>
        <v>3706.5214037446526</v>
      </c>
      <c r="AC245" s="17">
        <f t="shared" si="94"/>
        <v>640978.05628423847</v>
      </c>
      <c r="AD245" s="17">
        <f t="shared" si="95"/>
        <v>0</v>
      </c>
      <c r="AE245" s="17">
        <f t="shared" si="96"/>
        <v>63100.232009751089</v>
      </c>
      <c r="AF245" s="17">
        <f t="shared" si="97"/>
        <v>0</v>
      </c>
      <c r="AG245" s="17">
        <f t="shared" si="98"/>
        <v>10309.851653648026</v>
      </c>
      <c r="AH245" s="17">
        <f t="shared" si="99"/>
        <v>0</v>
      </c>
      <c r="AI245" s="15">
        <f t="shared" si="91"/>
        <v>0</v>
      </c>
    </row>
    <row r="246" spans="1:35">
      <c r="A246" s="14">
        <v>203</v>
      </c>
      <c r="B246" s="15">
        <f t="shared" si="75"/>
        <v>17</v>
      </c>
      <c r="C246" s="16">
        <f>(1+INDEX('1 - Input'!$B$34:$E$63,B246,'1 - Input'!$B$16))^(1/12)-1</f>
        <v>4.1219243192651689E-3</v>
      </c>
      <c r="D246" s="17">
        <f>'1 - Input'!$B$7*(1+'1 - Input'!$B$12)^(B246-1)</f>
        <v>3706.5214037446526</v>
      </c>
      <c r="E246" s="17">
        <f t="shared" si="92"/>
        <v>40374.815161879065</v>
      </c>
      <c r="F246" s="17">
        <f t="shared" si="93"/>
        <v>17589.265589394581</v>
      </c>
      <c r="G246" s="17">
        <f t="shared" si="76"/>
        <v>40541.237094380653</v>
      </c>
      <c r="H246" s="17">
        <f>0</f>
        <v>0</v>
      </c>
      <c r="I246" s="17">
        <f t="shared" si="77"/>
        <v>40541.237094380653</v>
      </c>
      <c r="J246" s="17">
        <f t="shared" si="78"/>
        <v>0</v>
      </c>
      <c r="K246" s="17">
        <f>'1 - Input'!$B$22*(H246-J246)</f>
        <v>0</v>
      </c>
      <c r="L246" s="17">
        <f t="shared" si="79"/>
        <v>0</v>
      </c>
      <c r="M246" s="17">
        <f t="shared" si="80"/>
        <v>17589.265589394581</v>
      </c>
      <c r="N246" s="17">
        <f>0</f>
        <v>0</v>
      </c>
      <c r="O246" s="17">
        <f t="shared" si="81"/>
        <v>3706.5214037446526</v>
      </c>
      <c r="P246" s="17">
        <f t="shared" si="82"/>
        <v>0.56613890324938809</v>
      </c>
      <c r="Q246" s="17">
        <f>IF(AND(O246&gt;0,I246&gt;0),O246/(1-'1 - Input'!$B$22*P246),0)</f>
        <v>4346.2764045338372</v>
      </c>
      <c r="R246" s="17">
        <f t="shared" si="83"/>
        <v>4346.2764045338372</v>
      </c>
      <c r="S246" s="17">
        <f>'1 - Input'!$B$22*P246*R246</f>
        <v>639.75500078918492</v>
      </c>
      <c r="T246" s="17">
        <f t="shared" si="84"/>
        <v>3706.5214037446522</v>
      </c>
      <c r="U246" s="17">
        <f t="shared" si="85"/>
        <v>0</v>
      </c>
      <c r="V246" s="17">
        <f t="shared" si="86"/>
        <v>0</v>
      </c>
      <c r="W246" s="17">
        <f t="shared" si="87"/>
        <v>36194.960689846819</v>
      </c>
      <c r="X246" s="17">
        <f t="shared" si="88"/>
        <v>15703.585341742224</v>
      </c>
      <c r="Y246" s="17">
        <f>IF(MOD(A246,12)=0,W246*'1 - Input'!$B$23,0)</f>
        <v>0</v>
      </c>
      <c r="Z246" s="17">
        <f t="shared" si="89"/>
        <v>36194.960689846819</v>
      </c>
      <c r="AA246" s="17">
        <f>IF(MOD(A246,12)=0,X246*(1-'1 - Input'!$B$23),X246)</f>
        <v>15703.585341742224</v>
      </c>
      <c r="AB246" s="17">
        <f t="shared" si="90"/>
        <v>3706.5214037446522</v>
      </c>
      <c r="AC246" s="17">
        <f t="shared" si="94"/>
        <v>644684.57768798317</v>
      </c>
      <c r="AD246" s="17">
        <f t="shared" si="95"/>
        <v>0</v>
      </c>
      <c r="AE246" s="17">
        <f t="shared" si="96"/>
        <v>63739.987010540273</v>
      </c>
      <c r="AF246" s="17">
        <f t="shared" si="97"/>
        <v>0</v>
      </c>
      <c r="AG246" s="17">
        <f t="shared" si="98"/>
        <v>10309.851653648026</v>
      </c>
      <c r="AH246" s="17">
        <f t="shared" si="99"/>
        <v>0</v>
      </c>
      <c r="AI246" s="15">
        <f t="shared" si="91"/>
        <v>0</v>
      </c>
    </row>
    <row r="247" spans="1:35">
      <c r="A247" s="14">
        <v>204</v>
      </c>
      <c r="B247" s="15">
        <f t="shared" si="75"/>
        <v>17</v>
      </c>
      <c r="C247" s="16">
        <f>(1+INDEX('1 - Input'!$B$34:$E$63,B247,'1 - Input'!$B$16))^(1/12)-1</f>
        <v>4.1219243192651689E-3</v>
      </c>
      <c r="D247" s="17">
        <f>'1 - Input'!$B$7*(1+'1 - Input'!$B$12)^(B247-1)</f>
        <v>3706.5214037446526</v>
      </c>
      <c r="E247" s="17">
        <f t="shared" si="92"/>
        <v>36194.960689846819</v>
      </c>
      <c r="F247" s="17">
        <f t="shared" si="93"/>
        <v>15703.585341742224</v>
      </c>
      <c r="G247" s="17">
        <f t="shared" si="76"/>
        <v>36344.153578549143</v>
      </c>
      <c r="H247" s="17">
        <f>0</f>
        <v>0</v>
      </c>
      <c r="I247" s="17">
        <f t="shared" si="77"/>
        <v>36344.153578549143</v>
      </c>
      <c r="J247" s="17">
        <f t="shared" si="78"/>
        <v>0</v>
      </c>
      <c r="K247" s="17">
        <f>'1 - Input'!$B$22*(H247-J247)</f>
        <v>0</v>
      </c>
      <c r="L247" s="17">
        <f t="shared" si="79"/>
        <v>0</v>
      </c>
      <c r="M247" s="17">
        <f t="shared" si="80"/>
        <v>15703.585341742224</v>
      </c>
      <c r="N247" s="17">
        <f>0</f>
        <v>0</v>
      </c>
      <c r="O247" s="17">
        <f t="shared" si="81"/>
        <v>3706.5214037446526</v>
      </c>
      <c r="P247" s="17">
        <f t="shared" si="82"/>
        <v>0.5679199047020671</v>
      </c>
      <c r="Q247" s="17">
        <f>IF(AND(O247&gt;0,I247&gt;0),O247/(1-'1 - Input'!$B$22*P247),0)</f>
        <v>4348.6376529158833</v>
      </c>
      <c r="R247" s="17">
        <f t="shared" si="83"/>
        <v>4348.6376529158833</v>
      </c>
      <c r="S247" s="17">
        <f>'1 - Input'!$B$22*P247*R247</f>
        <v>642.11624917123049</v>
      </c>
      <c r="T247" s="17">
        <f t="shared" si="84"/>
        <v>3706.5214037446531</v>
      </c>
      <c r="U247" s="17">
        <f t="shared" si="85"/>
        <v>0</v>
      </c>
      <c r="V247" s="17">
        <f t="shared" si="86"/>
        <v>0</v>
      </c>
      <c r="W247" s="17">
        <f t="shared" si="87"/>
        <v>31995.515925633259</v>
      </c>
      <c r="X247" s="17">
        <f t="shared" si="88"/>
        <v>13824.625570254149</v>
      </c>
      <c r="Y247" s="17">
        <f>IF(MOD(A247,12)=0,W247*'1 - Input'!$B$23,0)</f>
        <v>63.99103185126652</v>
      </c>
      <c r="Z247" s="17">
        <f t="shared" si="89"/>
        <v>31931.524893781992</v>
      </c>
      <c r="AA247" s="17">
        <f>IF(MOD(A247,12)=0,X247*(1-'1 - Input'!$B$23),X247)</f>
        <v>13796.976319113641</v>
      </c>
      <c r="AB247" s="17">
        <f t="shared" si="90"/>
        <v>3706.5214037446531</v>
      </c>
      <c r="AC247" s="17">
        <f t="shared" si="94"/>
        <v>648391.09909172787</v>
      </c>
      <c r="AD247" s="17">
        <f t="shared" si="95"/>
        <v>0</v>
      </c>
      <c r="AE247" s="17">
        <f t="shared" si="96"/>
        <v>64382.103259711505</v>
      </c>
      <c r="AF247" s="17">
        <f t="shared" si="97"/>
        <v>0</v>
      </c>
      <c r="AG247" s="17">
        <f t="shared" si="98"/>
        <v>10373.842685499292</v>
      </c>
      <c r="AH247" s="17">
        <f t="shared" si="99"/>
        <v>0</v>
      </c>
      <c r="AI247" s="15">
        <f t="shared" si="91"/>
        <v>0</v>
      </c>
    </row>
    <row r="248" spans="1:35">
      <c r="A248" s="14">
        <v>205</v>
      </c>
      <c r="B248" s="15">
        <f t="shared" si="75"/>
        <v>18</v>
      </c>
      <c r="C248" s="16">
        <f>(1+INDEX('1 - Input'!$B$34:$E$63,B248,'1 - Input'!$B$16))^(1/12)-1</f>
        <v>4.1219243192651689E-3</v>
      </c>
      <c r="D248" s="17">
        <f>'1 - Input'!$B$7*(1+'1 - Input'!$B$12)^(B248-1)</f>
        <v>3780.6518318195458</v>
      </c>
      <c r="E248" s="17">
        <f t="shared" si="92"/>
        <v>31931.524893781992</v>
      </c>
      <c r="F248" s="17">
        <f t="shared" si="93"/>
        <v>13796.976319113641</v>
      </c>
      <c r="G248" s="17">
        <f t="shared" si="76"/>
        <v>32063.144222792893</v>
      </c>
      <c r="H248" s="17">
        <f>0</f>
        <v>0</v>
      </c>
      <c r="I248" s="17">
        <f t="shared" si="77"/>
        <v>32063.144222792893</v>
      </c>
      <c r="J248" s="17">
        <f t="shared" si="78"/>
        <v>0</v>
      </c>
      <c r="K248" s="17">
        <f>'1 - Input'!$B$22*(H248-J248)</f>
        <v>0</v>
      </c>
      <c r="L248" s="17">
        <f t="shared" si="79"/>
        <v>0</v>
      </c>
      <c r="M248" s="17">
        <f t="shared" si="80"/>
        <v>13796.976319113641</v>
      </c>
      <c r="N248" s="17">
        <f>0</f>
        <v>0</v>
      </c>
      <c r="O248" s="17">
        <f t="shared" si="81"/>
        <v>3780.6518318195458</v>
      </c>
      <c r="P248" s="17">
        <f t="shared" si="82"/>
        <v>0.56969359513700746</v>
      </c>
      <c r="Q248" s="17">
        <f>IF(AND(O248&gt;0,I248&gt;0),O248/(1-'1 - Input'!$B$22*P248),0)</f>
        <v>4438.0115948022221</v>
      </c>
      <c r="R248" s="17">
        <f t="shared" si="83"/>
        <v>4438.0115948022221</v>
      </c>
      <c r="S248" s="17">
        <f>'1 - Input'!$B$22*P248*R248</f>
        <v>657.35976298267656</v>
      </c>
      <c r="T248" s="17">
        <f t="shared" si="84"/>
        <v>3780.6518318195458</v>
      </c>
      <c r="U248" s="17">
        <f t="shared" si="85"/>
        <v>0</v>
      </c>
      <c r="V248" s="17">
        <f t="shared" si="86"/>
        <v>0</v>
      </c>
      <c r="W248" s="17">
        <f t="shared" si="87"/>
        <v>27625.132627990672</v>
      </c>
      <c r="X248" s="17">
        <f t="shared" si="88"/>
        <v>11887.27150501402</v>
      </c>
      <c r="Y248" s="17">
        <f>IF(MOD(A248,12)=0,W248*'1 - Input'!$B$23,0)</f>
        <v>0</v>
      </c>
      <c r="Z248" s="17">
        <f t="shared" si="89"/>
        <v>27625.132627990672</v>
      </c>
      <c r="AA248" s="17">
        <f>IF(MOD(A248,12)=0,X248*(1-'1 - Input'!$B$23),X248)</f>
        <v>11887.27150501402</v>
      </c>
      <c r="AB248" s="17">
        <f t="shared" si="90"/>
        <v>3780.6518318195458</v>
      </c>
      <c r="AC248" s="17">
        <f t="shared" si="94"/>
        <v>652171.75092354743</v>
      </c>
      <c r="AD248" s="17">
        <f t="shared" si="95"/>
        <v>0</v>
      </c>
      <c r="AE248" s="17">
        <f t="shared" si="96"/>
        <v>65039.463022694181</v>
      </c>
      <c r="AF248" s="17">
        <f t="shared" si="97"/>
        <v>0</v>
      </c>
      <c r="AG248" s="17">
        <f t="shared" si="98"/>
        <v>10373.842685499292</v>
      </c>
      <c r="AH248" s="17">
        <f t="shared" si="99"/>
        <v>0</v>
      </c>
      <c r="AI248" s="15">
        <f t="shared" si="91"/>
        <v>0</v>
      </c>
    </row>
    <row r="249" spans="1:35">
      <c r="A249" s="14">
        <v>206</v>
      </c>
      <c r="B249" s="15">
        <f t="shared" si="75"/>
        <v>18</v>
      </c>
      <c r="C249" s="16">
        <f>(1+INDEX('1 - Input'!$B$34:$E$63,B249,'1 - Input'!$B$16))^(1/12)-1</f>
        <v>4.1219243192651689E-3</v>
      </c>
      <c r="D249" s="17">
        <f>'1 - Input'!$B$7*(1+'1 - Input'!$B$12)^(B249-1)</f>
        <v>3780.6518318195458</v>
      </c>
      <c r="E249" s="17">
        <f t="shared" si="92"/>
        <v>27625.132627990672</v>
      </c>
      <c r="F249" s="17">
        <f t="shared" si="93"/>
        <v>11887.27150501402</v>
      </c>
      <c r="G249" s="17">
        <f t="shared" si="76"/>
        <v>27739.001333992914</v>
      </c>
      <c r="H249" s="17">
        <f>0</f>
        <v>0</v>
      </c>
      <c r="I249" s="17">
        <f t="shared" si="77"/>
        <v>27739.001333992914</v>
      </c>
      <c r="J249" s="17">
        <f t="shared" si="78"/>
        <v>0</v>
      </c>
      <c r="K249" s="17">
        <f>'1 - Input'!$B$22*(H249-J249)</f>
        <v>0</v>
      </c>
      <c r="L249" s="17">
        <f t="shared" si="79"/>
        <v>0</v>
      </c>
      <c r="M249" s="17">
        <f t="shared" si="80"/>
        <v>11887.27150501402</v>
      </c>
      <c r="N249" s="17">
        <f>0</f>
        <v>0</v>
      </c>
      <c r="O249" s="17">
        <f t="shared" si="81"/>
        <v>3780.6518318195458</v>
      </c>
      <c r="P249" s="17">
        <f t="shared" si="82"/>
        <v>0.5714600045659648</v>
      </c>
      <c r="Q249" s="17">
        <f>IF(AND(O249&gt;0,I249&gt;0),O249/(1-'1 - Input'!$B$22*P249),0)</f>
        <v>4440.4055118845836</v>
      </c>
      <c r="R249" s="17">
        <f t="shared" si="83"/>
        <v>4440.4055118845836</v>
      </c>
      <c r="S249" s="17">
        <f>'1 - Input'!$B$22*P249*R249</f>
        <v>659.75368006503788</v>
      </c>
      <c r="T249" s="17">
        <f t="shared" si="84"/>
        <v>3780.6518318195458</v>
      </c>
      <c r="U249" s="17">
        <f t="shared" si="85"/>
        <v>0</v>
      </c>
      <c r="V249" s="17">
        <f t="shared" si="86"/>
        <v>0</v>
      </c>
      <c r="W249" s="17">
        <f t="shared" si="87"/>
        <v>23298.595822108331</v>
      </c>
      <c r="X249" s="17">
        <f t="shared" si="88"/>
        <v>9984.3801472257364</v>
      </c>
      <c r="Y249" s="17">
        <f>IF(MOD(A249,12)=0,W249*'1 - Input'!$B$23,0)</f>
        <v>0</v>
      </c>
      <c r="Z249" s="17">
        <f t="shared" si="89"/>
        <v>23298.595822108331</v>
      </c>
      <c r="AA249" s="17">
        <f>IF(MOD(A249,12)=0,X249*(1-'1 - Input'!$B$23),X249)</f>
        <v>9984.3801472257364</v>
      </c>
      <c r="AB249" s="17">
        <f t="shared" si="90"/>
        <v>3780.6518318195458</v>
      </c>
      <c r="AC249" s="17">
        <f t="shared" si="94"/>
        <v>655952.40275536699</v>
      </c>
      <c r="AD249" s="17">
        <f t="shared" si="95"/>
        <v>0</v>
      </c>
      <c r="AE249" s="17">
        <f t="shared" si="96"/>
        <v>65699.216702759222</v>
      </c>
      <c r="AF249" s="17">
        <f t="shared" si="97"/>
        <v>0</v>
      </c>
      <c r="AG249" s="17">
        <f t="shared" si="98"/>
        <v>10373.842685499292</v>
      </c>
      <c r="AH249" s="17">
        <f t="shared" si="99"/>
        <v>0</v>
      </c>
      <c r="AI249" s="15">
        <f t="shared" si="91"/>
        <v>0</v>
      </c>
    </row>
    <row r="250" spans="1:35">
      <c r="A250" s="14">
        <v>207</v>
      </c>
      <c r="B250" s="15">
        <f t="shared" si="75"/>
        <v>18</v>
      </c>
      <c r="C250" s="16">
        <f>(1+INDEX('1 - Input'!$B$34:$E$63,B250,'1 - Input'!$B$16))^(1/12)-1</f>
        <v>4.1219243192651689E-3</v>
      </c>
      <c r="D250" s="17">
        <f>'1 - Input'!$B$7*(1+'1 - Input'!$B$12)^(B250-1)</f>
        <v>3780.6518318195458</v>
      </c>
      <c r="E250" s="17">
        <f t="shared" si="92"/>
        <v>23298.595822108331</v>
      </c>
      <c r="F250" s="17">
        <f t="shared" si="93"/>
        <v>9984.3801472257364</v>
      </c>
      <c r="G250" s="17">
        <f t="shared" si="76"/>
        <v>23394.63087083221</v>
      </c>
      <c r="H250" s="17">
        <f>0</f>
        <v>0</v>
      </c>
      <c r="I250" s="17">
        <f t="shared" si="77"/>
        <v>23394.63087083221</v>
      </c>
      <c r="J250" s="17">
        <f t="shared" si="78"/>
        <v>0</v>
      </c>
      <c r="K250" s="17">
        <f>'1 - Input'!$B$22*(H250-J250)</f>
        <v>0</v>
      </c>
      <c r="L250" s="17">
        <f t="shared" si="79"/>
        <v>0</v>
      </c>
      <c r="M250" s="17">
        <f t="shared" si="80"/>
        <v>9984.3801472257364</v>
      </c>
      <c r="N250" s="17">
        <f>0</f>
        <v>0</v>
      </c>
      <c r="O250" s="17">
        <f t="shared" si="81"/>
        <v>3780.6518318195458</v>
      </c>
      <c r="P250" s="17">
        <f t="shared" si="82"/>
        <v>0.57321916287749641</v>
      </c>
      <c r="Q250" s="17">
        <f>IF(AND(O250&gt;0,I250&gt;0),O250/(1-'1 - Input'!$B$22*P250),0)</f>
        <v>4442.7921700426941</v>
      </c>
      <c r="R250" s="17">
        <f t="shared" si="83"/>
        <v>4442.7921700426941</v>
      </c>
      <c r="S250" s="17">
        <f>'1 - Input'!$B$22*P250*R250</f>
        <v>662.14033822314798</v>
      </c>
      <c r="T250" s="17">
        <f t="shared" si="84"/>
        <v>3780.6518318195463</v>
      </c>
      <c r="U250" s="17">
        <f t="shared" si="85"/>
        <v>0</v>
      </c>
      <c r="V250" s="17">
        <f t="shared" si="86"/>
        <v>0</v>
      </c>
      <c r="W250" s="17">
        <f t="shared" si="87"/>
        <v>18951.838700789514</v>
      </c>
      <c r="X250" s="17">
        <f t="shared" si="88"/>
        <v>8088.2815857336109</v>
      </c>
      <c r="Y250" s="17">
        <f>IF(MOD(A250,12)=0,W250*'1 - Input'!$B$23,0)</f>
        <v>0</v>
      </c>
      <c r="Z250" s="17">
        <f t="shared" si="89"/>
        <v>18951.838700789514</v>
      </c>
      <c r="AA250" s="17">
        <f>IF(MOD(A250,12)=0,X250*(1-'1 - Input'!$B$23),X250)</f>
        <v>8088.2815857336109</v>
      </c>
      <c r="AB250" s="17">
        <f t="shared" si="90"/>
        <v>3780.6518318195463</v>
      </c>
      <c r="AC250" s="17">
        <f t="shared" si="94"/>
        <v>659733.05458718655</v>
      </c>
      <c r="AD250" s="17">
        <f t="shared" si="95"/>
        <v>0</v>
      </c>
      <c r="AE250" s="17">
        <f t="shared" si="96"/>
        <v>66361.357040982373</v>
      </c>
      <c r="AF250" s="17">
        <f t="shared" si="97"/>
        <v>0</v>
      </c>
      <c r="AG250" s="17">
        <f t="shared" si="98"/>
        <v>10373.842685499292</v>
      </c>
      <c r="AH250" s="17">
        <f t="shared" si="99"/>
        <v>0</v>
      </c>
      <c r="AI250" s="15">
        <f t="shared" si="91"/>
        <v>0</v>
      </c>
    </row>
    <row r="251" spans="1:35">
      <c r="A251" s="14">
        <v>208</v>
      </c>
      <c r="B251" s="15">
        <f t="shared" si="75"/>
        <v>18</v>
      </c>
      <c r="C251" s="16">
        <f>(1+INDEX('1 - Input'!$B$34:$E$63,B251,'1 - Input'!$B$16))^(1/12)-1</f>
        <v>4.1219243192651689E-3</v>
      </c>
      <c r="D251" s="17">
        <f>'1 - Input'!$B$7*(1+'1 - Input'!$B$12)^(B251-1)</f>
        <v>3780.6518318195458</v>
      </c>
      <c r="E251" s="17">
        <f t="shared" si="92"/>
        <v>18951.838700789514</v>
      </c>
      <c r="F251" s="17">
        <f t="shared" si="93"/>
        <v>8088.2815857336109</v>
      </c>
      <c r="G251" s="17">
        <f t="shared" si="76"/>
        <v>19029.956745625088</v>
      </c>
      <c r="H251" s="17">
        <f>0</f>
        <v>0</v>
      </c>
      <c r="I251" s="17">
        <f t="shared" si="77"/>
        <v>19029.956745625088</v>
      </c>
      <c r="J251" s="17">
        <f t="shared" si="78"/>
        <v>0</v>
      </c>
      <c r="K251" s="17">
        <f>'1 - Input'!$B$22*(H251-J251)</f>
        <v>0</v>
      </c>
      <c r="L251" s="17">
        <f t="shared" si="79"/>
        <v>0</v>
      </c>
      <c r="M251" s="17">
        <f t="shared" si="80"/>
        <v>8088.2815857336109</v>
      </c>
      <c r="N251" s="17">
        <f>0</f>
        <v>0</v>
      </c>
      <c r="O251" s="17">
        <f t="shared" si="81"/>
        <v>3780.6518318195458</v>
      </c>
      <c r="P251" s="17">
        <f t="shared" si="82"/>
        <v>0.57497109983746686</v>
      </c>
      <c r="Q251" s="17">
        <f>IF(AND(O251&gt;0,I251&gt;0),O251/(1-'1 - Input'!$B$22*P251),0)</f>
        <v>4445.1715821427752</v>
      </c>
      <c r="R251" s="17">
        <f t="shared" si="83"/>
        <v>4445.1715821427752</v>
      </c>
      <c r="S251" s="17">
        <f>'1 - Input'!$B$22*P251*R251</f>
        <v>664.51975032322991</v>
      </c>
      <c r="T251" s="17">
        <f t="shared" si="84"/>
        <v>3780.6518318195454</v>
      </c>
      <c r="U251" s="17">
        <f t="shared" si="85"/>
        <v>0</v>
      </c>
      <c r="V251" s="17">
        <f t="shared" si="86"/>
        <v>0</v>
      </c>
      <c r="W251" s="17">
        <f t="shared" si="87"/>
        <v>14584.785163482313</v>
      </c>
      <c r="X251" s="17">
        <f t="shared" si="88"/>
        <v>6198.9551971417195</v>
      </c>
      <c r="Y251" s="17">
        <f>IF(MOD(A251,12)=0,W251*'1 - Input'!$B$23,0)</f>
        <v>0</v>
      </c>
      <c r="Z251" s="17">
        <f t="shared" si="89"/>
        <v>14584.785163482313</v>
      </c>
      <c r="AA251" s="17">
        <f>IF(MOD(A251,12)=0,X251*(1-'1 - Input'!$B$23),X251)</f>
        <v>6198.9551971417195</v>
      </c>
      <c r="AB251" s="17">
        <f t="shared" si="90"/>
        <v>3780.6518318195454</v>
      </c>
      <c r="AC251" s="17">
        <f t="shared" si="94"/>
        <v>663513.70641900611</v>
      </c>
      <c r="AD251" s="17">
        <f t="shared" si="95"/>
        <v>0</v>
      </c>
      <c r="AE251" s="17">
        <f t="shared" si="96"/>
        <v>67025.876791305607</v>
      </c>
      <c r="AF251" s="17">
        <f t="shared" si="97"/>
        <v>0</v>
      </c>
      <c r="AG251" s="17">
        <f t="shared" si="98"/>
        <v>10373.842685499292</v>
      </c>
      <c r="AH251" s="17">
        <f t="shared" si="99"/>
        <v>0</v>
      </c>
      <c r="AI251" s="15">
        <f t="shared" si="91"/>
        <v>0</v>
      </c>
    </row>
    <row r="252" spans="1:35">
      <c r="A252" s="14">
        <v>209</v>
      </c>
      <c r="B252" s="15">
        <f t="shared" si="75"/>
        <v>18</v>
      </c>
      <c r="C252" s="16">
        <f>(1+INDEX('1 - Input'!$B$34:$E$63,B252,'1 - Input'!$B$16))^(1/12)-1</f>
        <v>4.1219243192651689E-3</v>
      </c>
      <c r="D252" s="17">
        <f>'1 - Input'!$B$7*(1+'1 - Input'!$B$12)^(B252-1)</f>
        <v>3780.6518318195458</v>
      </c>
      <c r="E252" s="17">
        <f t="shared" si="92"/>
        <v>14584.785163482313</v>
      </c>
      <c r="F252" s="17">
        <f t="shared" si="93"/>
        <v>6198.9551971417195</v>
      </c>
      <c r="G252" s="17">
        <f t="shared" si="76"/>
        <v>14644.902544138928</v>
      </c>
      <c r="H252" s="17">
        <f>0</f>
        <v>0</v>
      </c>
      <c r="I252" s="17">
        <f t="shared" si="77"/>
        <v>14644.902544138928</v>
      </c>
      <c r="J252" s="17">
        <f t="shared" si="78"/>
        <v>0</v>
      </c>
      <c r="K252" s="17">
        <f>'1 - Input'!$B$22*(H252-J252)</f>
        <v>0</v>
      </c>
      <c r="L252" s="17">
        <f t="shared" si="79"/>
        <v>0</v>
      </c>
      <c r="M252" s="17">
        <f t="shared" si="80"/>
        <v>6198.9551971417195</v>
      </c>
      <c r="N252" s="17">
        <f>0</f>
        <v>0</v>
      </c>
      <c r="O252" s="17">
        <f t="shared" si="81"/>
        <v>3780.6518318195458</v>
      </c>
      <c r="P252" s="17">
        <f t="shared" si="82"/>
        <v>0.57671584508955176</v>
      </c>
      <c r="Q252" s="17">
        <f>IF(AND(O252&gt;0,I252&gt;0),O252/(1-'1 - Input'!$B$22*P252),0)</f>
        <v>4447.5437610952813</v>
      </c>
      <c r="R252" s="17">
        <f t="shared" si="83"/>
        <v>4447.5437610952813</v>
      </c>
      <c r="S252" s="17">
        <f>'1 - Input'!$B$22*P252*R252</f>
        <v>666.89192927573538</v>
      </c>
      <c r="T252" s="17">
        <f t="shared" si="84"/>
        <v>3780.6518318195458</v>
      </c>
      <c r="U252" s="17">
        <f t="shared" si="85"/>
        <v>0</v>
      </c>
      <c r="V252" s="17">
        <f t="shared" si="86"/>
        <v>0</v>
      </c>
      <c r="W252" s="17">
        <f t="shared" si="87"/>
        <v>10197.358783043646</v>
      </c>
      <c r="X252" s="17">
        <f t="shared" si="88"/>
        <v>4316.3803947992665</v>
      </c>
      <c r="Y252" s="17">
        <f>IF(MOD(A252,12)=0,W252*'1 - Input'!$B$23,0)</f>
        <v>0</v>
      </c>
      <c r="Z252" s="17">
        <f t="shared" si="89"/>
        <v>10197.358783043646</v>
      </c>
      <c r="AA252" s="17">
        <f>IF(MOD(A252,12)=0,X252*(1-'1 - Input'!$B$23),X252)</f>
        <v>4316.3803947992665</v>
      </c>
      <c r="AB252" s="17">
        <f t="shared" si="90"/>
        <v>3780.6518318195458</v>
      </c>
      <c r="AC252" s="17">
        <f t="shared" si="94"/>
        <v>667294.35825082567</v>
      </c>
      <c r="AD252" s="17">
        <f t="shared" si="95"/>
        <v>0</v>
      </c>
      <c r="AE252" s="17">
        <f t="shared" si="96"/>
        <v>67692.768720581342</v>
      </c>
      <c r="AF252" s="17">
        <f t="shared" si="97"/>
        <v>0</v>
      </c>
      <c r="AG252" s="17">
        <f t="shared" si="98"/>
        <v>10373.842685499292</v>
      </c>
      <c r="AH252" s="17">
        <f t="shared" si="99"/>
        <v>0</v>
      </c>
      <c r="AI252" s="15">
        <f t="shared" si="91"/>
        <v>0</v>
      </c>
    </row>
    <row r="253" spans="1:35">
      <c r="A253" s="14">
        <v>210</v>
      </c>
      <c r="B253" s="15">
        <f t="shared" si="75"/>
        <v>18</v>
      </c>
      <c r="C253" s="16">
        <f>(1+INDEX('1 - Input'!$B$34:$E$63,B253,'1 - Input'!$B$16))^(1/12)-1</f>
        <v>4.1219243192651689E-3</v>
      </c>
      <c r="D253" s="17">
        <f>'1 - Input'!$B$7*(1+'1 - Input'!$B$12)^(B253-1)</f>
        <v>3780.6518318195458</v>
      </c>
      <c r="E253" s="17">
        <f t="shared" si="92"/>
        <v>10197.358783043646</v>
      </c>
      <c r="F253" s="17">
        <f t="shared" si="93"/>
        <v>4316.3803947992665</v>
      </c>
      <c r="G253" s="17">
        <f t="shared" si="76"/>
        <v>10239.391524203746</v>
      </c>
      <c r="H253" s="17">
        <f>0</f>
        <v>0</v>
      </c>
      <c r="I253" s="17">
        <f t="shared" si="77"/>
        <v>10239.391524203746</v>
      </c>
      <c r="J253" s="17">
        <f t="shared" si="78"/>
        <v>0</v>
      </c>
      <c r="K253" s="17">
        <f>'1 - Input'!$B$22*(H253-J253)</f>
        <v>0</v>
      </c>
      <c r="L253" s="17">
        <f t="shared" si="79"/>
        <v>0</v>
      </c>
      <c r="M253" s="17">
        <f t="shared" si="80"/>
        <v>4316.3803947992665</v>
      </c>
      <c r="N253" s="17">
        <f>0</f>
        <v>0</v>
      </c>
      <c r="O253" s="17">
        <f t="shared" si="81"/>
        <v>3780.6518318195458</v>
      </c>
      <c r="P253" s="17">
        <f t="shared" si="82"/>
        <v>0.57845342815573941</v>
      </c>
      <c r="Q253" s="17">
        <f>IF(AND(O253&gt;0,I253&gt;0),O253/(1-'1 - Input'!$B$22*P253),0)</f>
        <v>4449.9087198543039</v>
      </c>
      <c r="R253" s="17">
        <f t="shared" si="83"/>
        <v>4449.9087198543039</v>
      </c>
      <c r="S253" s="17">
        <f>'1 - Input'!$B$22*P253*R253</f>
        <v>669.25688803475839</v>
      </c>
      <c r="T253" s="17">
        <f t="shared" si="84"/>
        <v>3780.6518318195454</v>
      </c>
      <c r="U253" s="17">
        <f t="shared" si="85"/>
        <v>0</v>
      </c>
      <c r="V253" s="17">
        <f t="shared" si="86"/>
        <v>0</v>
      </c>
      <c r="W253" s="17">
        <f t="shared" si="87"/>
        <v>5789.4828043494417</v>
      </c>
      <c r="X253" s="17">
        <f t="shared" si="88"/>
        <v>2440.5366289248032</v>
      </c>
      <c r="Y253" s="17">
        <f>IF(MOD(A253,12)=0,W253*'1 - Input'!$B$23,0)</f>
        <v>0</v>
      </c>
      <c r="Z253" s="17">
        <f t="shared" si="89"/>
        <v>5789.4828043494417</v>
      </c>
      <c r="AA253" s="17">
        <f>IF(MOD(A253,12)=0,X253*(1-'1 - Input'!$B$23),X253)</f>
        <v>2440.5366289248032</v>
      </c>
      <c r="AB253" s="17">
        <f t="shared" si="90"/>
        <v>3780.6518318195454</v>
      </c>
      <c r="AC253" s="17">
        <f t="shared" si="94"/>
        <v>671075.01008264523</v>
      </c>
      <c r="AD253" s="17">
        <f t="shared" si="95"/>
        <v>0</v>
      </c>
      <c r="AE253" s="17">
        <f t="shared" si="96"/>
        <v>68362.025608616095</v>
      </c>
      <c r="AF253" s="17">
        <f t="shared" si="97"/>
        <v>0</v>
      </c>
      <c r="AG253" s="17">
        <f t="shared" si="98"/>
        <v>10373.842685499292</v>
      </c>
      <c r="AH253" s="17">
        <f t="shared" si="99"/>
        <v>0</v>
      </c>
      <c r="AI253" s="15">
        <f t="shared" si="91"/>
        <v>0</v>
      </c>
    </row>
    <row r="254" spans="1:35">
      <c r="A254" s="14">
        <v>211</v>
      </c>
      <c r="B254" s="15">
        <f t="shared" si="75"/>
        <v>18</v>
      </c>
      <c r="C254" s="16">
        <f>(1+INDEX('1 - Input'!$B$34:$E$63,B254,'1 - Input'!$B$16))^(1/12)-1</f>
        <v>4.1219243192651689E-3</v>
      </c>
      <c r="D254" s="17">
        <f>'1 - Input'!$B$7*(1+'1 - Input'!$B$12)^(B254-1)</f>
        <v>3780.6518318195458</v>
      </c>
      <c r="E254" s="17">
        <f t="shared" si="92"/>
        <v>5789.4828043494417</v>
      </c>
      <c r="F254" s="17">
        <f t="shared" si="93"/>
        <v>2440.5366289248032</v>
      </c>
      <c r="G254" s="17">
        <f t="shared" si="76"/>
        <v>5813.346614316657</v>
      </c>
      <c r="H254" s="17">
        <f>0</f>
        <v>0</v>
      </c>
      <c r="I254" s="17">
        <f t="shared" si="77"/>
        <v>5813.346614316657</v>
      </c>
      <c r="J254" s="17">
        <f t="shared" si="78"/>
        <v>0</v>
      </c>
      <c r="K254" s="17">
        <f>'1 - Input'!$B$22*(H254-J254)</f>
        <v>0</v>
      </c>
      <c r="L254" s="17">
        <f t="shared" si="79"/>
        <v>0</v>
      </c>
      <c r="M254" s="17">
        <f t="shared" si="80"/>
        <v>2440.5366289248032</v>
      </c>
      <c r="N254" s="17">
        <f>0</f>
        <v>0</v>
      </c>
      <c r="O254" s="17">
        <f t="shared" si="81"/>
        <v>3780.6518318195458</v>
      </c>
      <c r="P254" s="17">
        <f t="shared" si="82"/>
        <v>0.58018387843683028</v>
      </c>
      <c r="Q254" s="17">
        <f>IF(AND(O254&gt;0,I254&gt;0),O254/(1-'1 - Input'!$B$22*P254),0)</f>
        <v>4452.2664714169996</v>
      </c>
      <c r="R254" s="17">
        <f t="shared" si="83"/>
        <v>4452.2664714169996</v>
      </c>
      <c r="S254" s="17">
        <f>'1 - Input'!$B$22*P254*R254</f>
        <v>671.61463959745367</v>
      </c>
      <c r="T254" s="17">
        <f t="shared" si="84"/>
        <v>3780.6518318195458</v>
      </c>
      <c r="U254" s="17">
        <f t="shared" si="85"/>
        <v>0</v>
      </c>
      <c r="V254" s="17">
        <f t="shared" si="86"/>
        <v>0</v>
      </c>
      <c r="W254" s="17">
        <f t="shared" si="87"/>
        <v>1361.0801428996574</v>
      </c>
      <c r="X254" s="17">
        <f t="shared" si="88"/>
        <v>571.4033867287792</v>
      </c>
      <c r="Y254" s="17">
        <f>IF(MOD(A254,12)=0,W254*'1 - Input'!$B$23,0)</f>
        <v>0</v>
      </c>
      <c r="Z254" s="17">
        <f t="shared" si="89"/>
        <v>1361.0801428996574</v>
      </c>
      <c r="AA254" s="17">
        <f>IF(MOD(A254,12)=0,X254*(1-'1 - Input'!$B$23),X254)</f>
        <v>571.4033867287792</v>
      </c>
      <c r="AB254" s="17">
        <f t="shared" si="90"/>
        <v>3780.6518318195458</v>
      </c>
      <c r="AC254" s="17">
        <f t="shared" si="94"/>
        <v>674855.66191446478</v>
      </c>
      <c r="AD254" s="17">
        <f t="shared" si="95"/>
        <v>0</v>
      </c>
      <c r="AE254" s="17">
        <f t="shared" si="96"/>
        <v>69033.640248213545</v>
      </c>
      <c r="AF254" s="17">
        <f t="shared" si="97"/>
        <v>0</v>
      </c>
      <c r="AG254" s="17">
        <f t="shared" si="98"/>
        <v>10373.842685499292</v>
      </c>
      <c r="AH254" s="17">
        <f t="shared" si="99"/>
        <v>0</v>
      </c>
      <c r="AI254" s="15">
        <f t="shared" si="91"/>
        <v>0</v>
      </c>
    </row>
    <row r="255" spans="1:35">
      <c r="A255" s="14">
        <v>212</v>
      </c>
      <c r="B255" s="15">
        <f t="shared" si="75"/>
        <v>18</v>
      </c>
      <c r="C255" s="16">
        <f>(1+INDEX('1 - Input'!$B$34:$E$63,B255,'1 - Input'!$B$16))^(1/12)-1</f>
        <v>4.1219243192651689E-3</v>
      </c>
      <c r="D255" s="17">
        <f>'1 - Input'!$B$7*(1+'1 - Input'!$B$12)^(B255-1)</f>
        <v>3780.6518318195458</v>
      </c>
      <c r="E255" s="17">
        <f t="shared" si="92"/>
        <v>1361.0801428996574</v>
      </c>
      <c r="F255" s="17">
        <f t="shared" si="93"/>
        <v>571.4033867287792</v>
      </c>
      <c r="G255" s="17">
        <f t="shared" si="76"/>
        <v>1366.6904122411445</v>
      </c>
      <c r="H255" s="17">
        <f>0</f>
        <v>0</v>
      </c>
      <c r="I255" s="17">
        <f t="shared" si="77"/>
        <v>1366.6904122411445</v>
      </c>
      <c r="J255" s="17">
        <f t="shared" si="78"/>
        <v>0</v>
      </c>
      <c r="K255" s="17">
        <f>'1 - Input'!$B$22*(H255-J255)</f>
        <v>0</v>
      </c>
      <c r="L255" s="17">
        <f t="shared" si="79"/>
        <v>0</v>
      </c>
      <c r="M255" s="17">
        <f t="shared" si="80"/>
        <v>571.4033867287792</v>
      </c>
      <c r="N255" s="17">
        <f>0</f>
        <v>0</v>
      </c>
      <c r="O255" s="17">
        <f t="shared" si="81"/>
        <v>3780.6518318195458</v>
      </c>
      <c r="P255" s="17">
        <f t="shared" si="82"/>
        <v>0.58190722521293403</v>
      </c>
      <c r="Q255" s="17">
        <f>IF(AND(O255&gt;0,I255&gt;0),O255/(1-'1 - Input'!$B$22*P255),0)</f>
        <v>4454.6170288230023</v>
      </c>
      <c r="R255" s="17">
        <f t="shared" si="83"/>
        <v>1366.6904122411445</v>
      </c>
      <c r="S255" s="17">
        <f>'1 - Input'!$B$22*P255*R255</f>
        <v>206.77462663321501</v>
      </c>
      <c r="T255" s="17">
        <f t="shared" si="84"/>
        <v>1159.9157856079296</v>
      </c>
      <c r="U255" s="17">
        <f t="shared" si="85"/>
        <v>2620.7360462116162</v>
      </c>
      <c r="V255" s="17">
        <f t="shared" si="86"/>
        <v>0</v>
      </c>
      <c r="W255" s="17">
        <f t="shared" si="87"/>
        <v>0</v>
      </c>
      <c r="X255" s="17">
        <f t="shared" si="88"/>
        <v>0</v>
      </c>
      <c r="Y255" s="17">
        <f>IF(MOD(A255,12)=0,W255*'1 - Input'!$B$23,0)</f>
        <v>0</v>
      </c>
      <c r="Z255" s="17">
        <f t="shared" si="89"/>
        <v>0</v>
      </c>
      <c r="AA255" s="17">
        <f>IF(MOD(A255,12)=0,X255*(1-'1 - Input'!$B$23),X255)</f>
        <v>0</v>
      </c>
      <c r="AB255" s="17">
        <f t="shared" si="90"/>
        <v>1159.9157856079296</v>
      </c>
      <c r="AC255" s="17">
        <f t="shared" si="94"/>
        <v>676015.57770007267</v>
      </c>
      <c r="AD255" s="17">
        <f t="shared" si="95"/>
        <v>0</v>
      </c>
      <c r="AE255" s="17">
        <f t="shared" si="96"/>
        <v>69240.414874846756</v>
      </c>
      <c r="AF255" s="17">
        <f t="shared" si="97"/>
        <v>0</v>
      </c>
      <c r="AG255" s="17">
        <f t="shared" si="98"/>
        <v>10373.842685499292</v>
      </c>
      <c r="AH255" s="17">
        <f t="shared" si="99"/>
        <v>2620.7360462116162</v>
      </c>
      <c r="AI255" s="15">
        <f t="shared" si="91"/>
        <v>1</v>
      </c>
    </row>
    <row r="256" spans="1:35">
      <c r="A256" s="14">
        <v>213</v>
      </c>
      <c r="B256" s="15">
        <f t="shared" si="75"/>
        <v>18</v>
      </c>
      <c r="C256" s="16">
        <f>(1+INDEX('1 - Input'!$B$34:$E$63,B256,'1 - Input'!$B$16))^(1/12)-1</f>
        <v>4.1219243192651689E-3</v>
      </c>
      <c r="D256" s="17">
        <f>'1 - Input'!$B$7*(1+'1 - Input'!$B$12)^(B256-1)</f>
        <v>3780.6518318195458</v>
      </c>
      <c r="E256" s="17">
        <f t="shared" si="92"/>
        <v>0</v>
      </c>
      <c r="F256" s="17">
        <f t="shared" si="93"/>
        <v>0</v>
      </c>
      <c r="G256" s="17">
        <f t="shared" si="76"/>
        <v>0</v>
      </c>
      <c r="H256" s="17">
        <f>0</f>
        <v>0</v>
      </c>
      <c r="I256" s="17">
        <f t="shared" si="77"/>
        <v>0</v>
      </c>
      <c r="J256" s="17">
        <f t="shared" si="78"/>
        <v>0</v>
      </c>
      <c r="K256" s="17">
        <f>'1 - Input'!$B$22*(H256-J256)</f>
        <v>0</v>
      </c>
      <c r="L256" s="17">
        <f t="shared" si="79"/>
        <v>0</v>
      </c>
      <c r="M256" s="17">
        <f t="shared" si="80"/>
        <v>0</v>
      </c>
      <c r="N256" s="17">
        <f>0</f>
        <v>0</v>
      </c>
      <c r="O256" s="17">
        <f t="shared" si="81"/>
        <v>3780.6518318195458</v>
      </c>
      <c r="P256" s="17">
        <f t="shared" si="82"/>
        <v>0</v>
      </c>
      <c r="Q256" s="17">
        <f>IF(AND(O256&gt;0,I256&gt;0),O256/(1-'1 - Input'!$B$22*P256),0)</f>
        <v>0</v>
      </c>
      <c r="R256" s="17">
        <f t="shared" si="83"/>
        <v>0</v>
      </c>
      <c r="S256" s="17">
        <f>'1 - Input'!$B$22*P256*R256</f>
        <v>0</v>
      </c>
      <c r="T256" s="17">
        <f t="shared" si="84"/>
        <v>0</v>
      </c>
      <c r="U256" s="17">
        <f t="shared" si="85"/>
        <v>3780.6518318195458</v>
      </c>
      <c r="V256" s="17">
        <f t="shared" si="86"/>
        <v>0</v>
      </c>
      <c r="W256" s="17">
        <f t="shared" si="87"/>
        <v>0</v>
      </c>
      <c r="X256" s="17">
        <f t="shared" si="88"/>
        <v>0</v>
      </c>
      <c r="Y256" s="17">
        <f>IF(MOD(A256,12)=0,W256*'1 - Input'!$B$23,0)</f>
        <v>0</v>
      </c>
      <c r="Z256" s="17">
        <f t="shared" si="89"/>
        <v>0</v>
      </c>
      <c r="AA256" s="17">
        <f>IF(MOD(A256,12)=0,X256*(1-'1 - Input'!$B$23),X256)</f>
        <v>0</v>
      </c>
      <c r="AB256" s="17">
        <f t="shared" si="90"/>
        <v>0</v>
      </c>
      <c r="AC256" s="17">
        <f t="shared" si="94"/>
        <v>676015.57770007267</v>
      </c>
      <c r="AD256" s="17">
        <f t="shared" si="95"/>
        <v>0</v>
      </c>
      <c r="AE256" s="17">
        <f t="shared" si="96"/>
        <v>69240.414874846756</v>
      </c>
      <c r="AF256" s="17">
        <f t="shared" si="97"/>
        <v>0</v>
      </c>
      <c r="AG256" s="17">
        <f t="shared" si="98"/>
        <v>10373.842685499292</v>
      </c>
      <c r="AH256" s="17">
        <f t="shared" si="99"/>
        <v>6401.3878780311625</v>
      </c>
      <c r="AI256" s="15">
        <f t="shared" si="91"/>
        <v>1</v>
      </c>
    </row>
    <row r="257" spans="1:35">
      <c r="A257" s="14">
        <v>214</v>
      </c>
      <c r="B257" s="15">
        <f t="shared" si="75"/>
        <v>18</v>
      </c>
      <c r="C257" s="16">
        <f>(1+INDEX('1 - Input'!$B$34:$E$63,B257,'1 - Input'!$B$16))^(1/12)-1</f>
        <v>4.1219243192651689E-3</v>
      </c>
      <c r="D257" s="17">
        <f>'1 - Input'!$B$7*(1+'1 - Input'!$B$12)^(B257-1)</f>
        <v>3780.6518318195458</v>
      </c>
      <c r="E257" s="17">
        <f t="shared" si="92"/>
        <v>0</v>
      </c>
      <c r="F257" s="17">
        <f t="shared" si="93"/>
        <v>0</v>
      </c>
      <c r="G257" s="17">
        <f t="shared" si="76"/>
        <v>0</v>
      </c>
      <c r="H257" s="17">
        <f>0</f>
        <v>0</v>
      </c>
      <c r="I257" s="17">
        <f t="shared" si="77"/>
        <v>0</v>
      </c>
      <c r="J257" s="17">
        <f t="shared" si="78"/>
        <v>0</v>
      </c>
      <c r="K257" s="17">
        <f>'1 - Input'!$B$22*(H257-J257)</f>
        <v>0</v>
      </c>
      <c r="L257" s="17">
        <f t="shared" si="79"/>
        <v>0</v>
      </c>
      <c r="M257" s="17">
        <f t="shared" si="80"/>
        <v>0</v>
      </c>
      <c r="N257" s="17">
        <f>0</f>
        <v>0</v>
      </c>
      <c r="O257" s="17">
        <f t="shared" si="81"/>
        <v>3780.6518318195458</v>
      </c>
      <c r="P257" s="17">
        <f t="shared" si="82"/>
        <v>0</v>
      </c>
      <c r="Q257" s="17">
        <f>IF(AND(O257&gt;0,I257&gt;0),O257/(1-'1 - Input'!$B$22*P257),0)</f>
        <v>0</v>
      </c>
      <c r="R257" s="17">
        <f t="shared" si="83"/>
        <v>0</v>
      </c>
      <c r="S257" s="17">
        <f>'1 - Input'!$B$22*P257*R257</f>
        <v>0</v>
      </c>
      <c r="T257" s="17">
        <f t="shared" si="84"/>
        <v>0</v>
      </c>
      <c r="U257" s="17">
        <f t="shared" si="85"/>
        <v>3780.6518318195458</v>
      </c>
      <c r="V257" s="17">
        <f t="shared" si="86"/>
        <v>0</v>
      </c>
      <c r="W257" s="17">
        <f t="shared" si="87"/>
        <v>0</v>
      </c>
      <c r="X257" s="17">
        <f t="shared" si="88"/>
        <v>0</v>
      </c>
      <c r="Y257" s="17">
        <f>IF(MOD(A257,12)=0,W257*'1 - Input'!$B$23,0)</f>
        <v>0</v>
      </c>
      <c r="Z257" s="17">
        <f t="shared" si="89"/>
        <v>0</v>
      </c>
      <c r="AA257" s="17">
        <f>IF(MOD(A257,12)=0,X257*(1-'1 - Input'!$B$23),X257)</f>
        <v>0</v>
      </c>
      <c r="AB257" s="17">
        <f t="shared" si="90"/>
        <v>0</v>
      </c>
      <c r="AC257" s="17">
        <f t="shared" si="94"/>
        <v>676015.57770007267</v>
      </c>
      <c r="AD257" s="17">
        <f t="shared" si="95"/>
        <v>0</v>
      </c>
      <c r="AE257" s="17">
        <f t="shared" si="96"/>
        <v>69240.414874846756</v>
      </c>
      <c r="AF257" s="17">
        <f t="shared" si="97"/>
        <v>0</v>
      </c>
      <c r="AG257" s="17">
        <f t="shared" si="98"/>
        <v>10373.842685499292</v>
      </c>
      <c r="AH257" s="17">
        <f t="shared" si="99"/>
        <v>10182.039709850709</v>
      </c>
      <c r="AI257" s="15">
        <f t="shared" si="91"/>
        <v>1</v>
      </c>
    </row>
    <row r="258" spans="1:35">
      <c r="A258" s="14">
        <v>215</v>
      </c>
      <c r="B258" s="15">
        <f t="shared" si="75"/>
        <v>18</v>
      </c>
      <c r="C258" s="16">
        <f>(1+INDEX('1 - Input'!$B$34:$E$63,B258,'1 - Input'!$B$16))^(1/12)-1</f>
        <v>4.1219243192651689E-3</v>
      </c>
      <c r="D258" s="17">
        <f>'1 - Input'!$B$7*(1+'1 - Input'!$B$12)^(B258-1)</f>
        <v>3780.6518318195458</v>
      </c>
      <c r="E258" s="17">
        <f t="shared" si="92"/>
        <v>0</v>
      </c>
      <c r="F258" s="17">
        <f t="shared" si="93"/>
        <v>0</v>
      </c>
      <c r="G258" s="17">
        <f t="shared" si="76"/>
        <v>0</v>
      </c>
      <c r="H258" s="17">
        <f>0</f>
        <v>0</v>
      </c>
      <c r="I258" s="17">
        <f t="shared" si="77"/>
        <v>0</v>
      </c>
      <c r="J258" s="17">
        <f t="shared" si="78"/>
        <v>0</v>
      </c>
      <c r="K258" s="17">
        <f>'1 - Input'!$B$22*(H258-J258)</f>
        <v>0</v>
      </c>
      <c r="L258" s="17">
        <f t="shared" si="79"/>
        <v>0</v>
      </c>
      <c r="M258" s="17">
        <f t="shared" si="80"/>
        <v>0</v>
      </c>
      <c r="N258" s="17">
        <f>0</f>
        <v>0</v>
      </c>
      <c r="O258" s="17">
        <f t="shared" si="81"/>
        <v>3780.6518318195458</v>
      </c>
      <c r="P258" s="17">
        <f t="shared" si="82"/>
        <v>0</v>
      </c>
      <c r="Q258" s="17">
        <f>IF(AND(O258&gt;0,I258&gt;0),O258/(1-'1 - Input'!$B$22*P258),0)</f>
        <v>0</v>
      </c>
      <c r="R258" s="17">
        <f t="shared" si="83"/>
        <v>0</v>
      </c>
      <c r="S258" s="17">
        <f>'1 - Input'!$B$22*P258*R258</f>
        <v>0</v>
      </c>
      <c r="T258" s="17">
        <f t="shared" si="84"/>
        <v>0</v>
      </c>
      <c r="U258" s="17">
        <f t="shared" si="85"/>
        <v>3780.6518318195458</v>
      </c>
      <c r="V258" s="17">
        <f t="shared" si="86"/>
        <v>0</v>
      </c>
      <c r="W258" s="17">
        <f t="shared" si="87"/>
        <v>0</v>
      </c>
      <c r="X258" s="17">
        <f t="shared" si="88"/>
        <v>0</v>
      </c>
      <c r="Y258" s="17">
        <f>IF(MOD(A258,12)=0,W258*'1 - Input'!$B$23,0)</f>
        <v>0</v>
      </c>
      <c r="Z258" s="17">
        <f t="shared" si="89"/>
        <v>0</v>
      </c>
      <c r="AA258" s="17">
        <f>IF(MOD(A258,12)=0,X258*(1-'1 - Input'!$B$23),X258)</f>
        <v>0</v>
      </c>
      <c r="AB258" s="17">
        <f t="shared" si="90"/>
        <v>0</v>
      </c>
      <c r="AC258" s="17">
        <f t="shared" si="94"/>
        <v>676015.57770007267</v>
      </c>
      <c r="AD258" s="17">
        <f t="shared" si="95"/>
        <v>0</v>
      </c>
      <c r="AE258" s="17">
        <f t="shared" si="96"/>
        <v>69240.414874846756</v>
      </c>
      <c r="AF258" s="17">
        <f t="shared" si="97"/>
        <v>0</v>
      </c>
      <c r="AG258" s="17">
        <f t="shared" si="98"/>
        <v>10373.842685499292</v>
      </c>
      <c r="AH258" s="17">
        <f t="shared" si="99"/>
        <v>13962.691541670254</v>
      </c>
      <c r="AI258" s="15">
        <f t="shared" si="91"/>
        <v>1</v>
      </c>
    </row>
    <row r="259" spans="1:35">
      <c r="A259" s="14">
        <v>216</v>
      </c>
      <c r="B259" s="15">
        <f t="shared" si="75"/>
        <v>18</v>
      </c>
      <c r="C259" s="16">
        <f>(1+INDEX('1 - Input'!$B$34:$E$63,B259,'1 - Input'!$B$16))^(1/12)-1</f>
        <v>4.1219243192651689E-3</v>
      </c>
      <c r="D259" s="17">
        <f>'1 - Input'!$B$7*(1+'1 - Input'!$B$12)^(B259-1)</f>
        <v>3780.6518318195458</v>
      </c>
      <c r="E259" s="17">
        <f t="shared" si="92"/>
        <v>0</v>
      </c>
      <c r="F259" s="17">
        <f t="shared" si="93"/>
        <v>0</v>
      </c>
      <c r="G259" s="17">
        <f t="shared" si="76"/>
        <v>0</v>
      </c>
      <c r="H259" s="17">
        <f>0</f>
        <v>0</v>
      </c>
      <c r="I259" s="17">
        <f t="shared" si="77"/>
        <v>0</v>
      </c>
      <c r="J259" s="17">
        <f t="shared" si="78"/>
        <v>0</v>
      </c>
      <c r="K259" s="17">
        <f>'1 - Input'!$B$22*(H259-J259)</f>
        <v>0</v>
      </c>
      <c r="L259" s="17">
        <f t="shared" si="79"/>
        <v>0</v>
      </c>
      <c r="M259" s="17">
        <f t="shared" si="80"/>
        <v>0</v>
      </c>
      <c r="N259" s="17">
        <f>0</f>
        <v>0</v>
      </c>
      <c r="O259" s="17">
        <f t="shared" si="81"/>
        <v>3780.6518318195458</v>
      </c>
      <c r="P259" s="17">
        <f t="shared" si="82"/>
        <v>0</v>
      </c>
      <c r="Q259" s="17">
        <f>IF(AND(O259&gt;0,I259&gt;0),O259/(1-'1 - Input'!$B$22*P259),0)</f>
        <v>0</v>
      </c>
      <c r="R259" s="17">
        <f t="shared" si="83"/>
        <v>0</v>
      </c>
      <c r="S259" s="17">
        <f>'1 - Input'!$B$22*P259*R259</f>
        <v>0</v>
      </c>
      <c r="T259" s="17">
        <f t="shared" si="84"/>
        <v>0</v>
      </c>
      <c r="U259" s="17">
        <f t="shared" si="85"/>
        <v>3780.6518318195458</v>
      </c>
      <c r="V259" s="17">
        <f t="shared" si="86"/>
        <v>0</v>
      </c>
      <c r="W259" s="17">
        <f t="shared" si="87"/>
        <v>0</v>
      </c>
      <c r="X259" s="17">
        <f t="shared" si="88"/>
        <v>0</v>
      </c>
      <c r="Y259" s="17">
        <f>IF(MOD(A259,12)=0,W259*'1 - Input'!$B$23,0)</f>
        <v>0</v>
      </c>
      <c r="Z259" s="17">
        <f t="shared" si="89"/>
        <v>0</v>
      </c>
      <c r="AA259" s="17">
        <f>IF(MOD(A259,12)=0,X259*(1-'1 - Input'!$B$23),X259)</f>
        <v>0</v>
      </c>
      <c r="AB259" s="17">
        <f t="shared" si="90"/>
        <v>0</v>
      </c>
      <c r="AC259" s="17">
        <f t="shared" si="94"/>
        <v>676015.57770007267</v>
      </c>
      <c r="AD259" s="17">
        <f t="shared" si="95"/>
        <v>0</v>
      </c>
      <c r="AE259" s="17">
        <f t="shared" si="96"/>
        <v>69240.414874846756</v>
      </c>
      <c r="AF259" s="17">
        <f t="shared" si="97"/>
        <v>0</v>
      </c>
      <c r="AG259" s="17">
        <f t="shared" si="98"/>
        <v>10373.842685499292</v>
      </c>
      <c r="AH259" s="17">
        <f t="shared" si="99"/>
        <v>17743.343373489799</v>
      </c>
      <c r="AI259" s="15">
        <f t="shared" si="91"/>
        <v>1</v>
      </c>
    </row>
    <row r="260" spans="1:35">
      <c r="A260" s="14">
        <v>217</v>
      </c>
      <c r="B260" s="15">
        <f t="shared" si="75"/>
        <v>19</v>
      </c>
      <c r="C260" s="16">
        <f>(1+INDEX('1 - Input'!$B$34:$E$63,B260,'1 - Input'!$B$16))^(1/12)-1</f>
        <v>4.1219243192651689E-3</v>
      </c>
      <c r="D260" s="17">
        <f>'1 - Input'!$B$7*(1+'1 - Input'!$B$12)^(B260-1)</f>
        <v>3856.2648684559363</v>
      </c>
      <c r="E260" s="17">
        <f t="shared" si="92"/>
        <v>0</v>
      </c>
      <c r="F260" s="17">
        <f t="shared" si="93"/>
        <v>0</v>
      </c>
      <c r="G260" s="17">
        <f t="shared" si="76"/>
        <v>0</v>
      </c>
      <c r="H260" s="17">
        <f>0</f>
        <v>0</v>
      </c>
      <c r="I260" s="17">
        <f t="shared" si="77"/>
        <v>0</v>
      </c>
      <c r="J260" s="17">
        <f t="shared" si="78"/>
        <v>0</v>
      </c>
      <c r="K260" s="17">
        <f>'1 - Input'!$B$22*(H260-J260)</f>
        <v>0</v>
      </c>
      <c r="L260" s="17">
        <f t="shared" si="79"/>
        <v>0</v>
      </c>
      <c r="M260" s="17">
        <f t="shared" si="80"/>
        <v>0</v>
      </c>
      <c r="N260" s="17">
        <f>0</f>
        <v>0</v>
      </c>
      <c r="O260" s="17">
        <f t="shared" si="81"/>
        <v>3856.2648684559363</v>
      </c>
      <c r="P260" s="17">
        <f t="shared" si="82"/>
        <v>0</v>
      </c>
      <c r="Q260" s="17">
        <f>IF(AND(O260&gt;0,I260&gt;0),O260/(1-'1 - Input'!$B$22*P260),0)</f>
        <v>0</v>
      </c>
      <c r="R260" s="17">
        <f t="shared" si="83"/>
        <v>0</v>
      </c>
      <c r="S260" s="17">
        <f>'1 - Input'!$B$22*P260*R260</f>
        <v>0</v>
      </c>
      <c r="T260" s="17">
        <f t="shared" si="84"/>
        <v>0</v>
      </c>
      <c r="U260" s="17">
        <f t="shared" si="85"/>
        <v>3856.2648684559363</v>
      </c>
      <c r="V260" s="17">
        <f t="shared" si="86"/>
        <v>0</v>
      </c>
      <c r="W260" s="17">
        <f t="shared" si="87"/>
        <v>0</v>
      </c>
      <c r="X260" s="17">
        <f t="shared" si="88"/>
        <v>0</v>
      </c>
      <c r="Y260" s="17">
        <f>IF(MOD(A260,12)=0,W260*'1 - Input'!$B$23,0)</f>
        <v>0</v>
      </c>
      <c r="Z260" s="17">
        <f t="shared" si="89"/>
        <v>0</v>
      </c>
      <c r="AA260" s="17">
        <f>IF(MOD(A260,12)=0,X260*(1-'1 - Input'!$B$23),X260)</f>
        <v>0</v>
      </c>
      <c r="AB260" s="17">
        <f t="shared" si="90"/>
        <v>0</v>
      </c>
      <c r="AC260" s="17">
        <f t="shared" si="94"/>
        <v>676015.57770007267</v>
      </c>
      <c r="AD260" s="17">
        <f t="shared" si="95"/>
        <v>0</v>
      </c>
      <c r="AE260" s="17">
        <f t="shared" si="96"/>
        <v>69240.414874846756</v>
      </c>
      <c r="AF260" s="17">
        <f t="shared" si="97"/>
        <v>0</v>
      </c>
      <c r="AG260" s="17">
        <f t="shared" si="98"/>
        <v>10373.842685499292</v>
      </c>
      <c r="AH260" s="17">
        <f t="shared" si="99"/>
        <v>21599.608241945734</v>
      </c>
      <c r="AI260" s="15">
        <f t="shared" si="91"/>
        <v>1</v>
      </c>
    </row>
    <row r="261" spans="1:35">
      <c r="A261" s="14">
        <v>218</v>
      </c>
      <c r="B261" s="15">
        <f t="shared" si="75"/>
        <v>19</v>
      </c>
      <c r="C261" s="16">
        <f>(1+INDEX('1 - Input'!$B$34:$E$63,B261,'1 - Input'!$B$16))^(1/12)-1</f>
        <v>4.1219243192651689E-3</v>
      </c>
      <c r="D261" s="17">
        <f>'1 - Input'!$B$7*(1+'1 - Input'!$B$12)^(B261-1)</f>
        <v>3856.2648684559363</v>
      </c>
      <c r="E261" s="17">
        <f t="shared" si="92"/>
        <v>0</v>
      </c>
      <c r="F261" s="17">
        <f t="shared" si="93"/>
        <v>0</v>
      </c>
      <c r="G261" s="17">
        <f t="shared" si="76"/>
        <v>0</v>
      </c>
      <c r="H261" s="17">
        <f>0</f>
        <v>0</v>
      </c>
      <c r="I261" s="17">
        <f t="shared" si="77"/>
        <v>0</v>
      </c>
      <c r="J261" s="17">
        <f t="shared" si="78"/>
        <v>0</v>
      </c>
      <c r="K261" s="17">
        <f>'1 - Input'!$B$22*(H261-J261)</f>
        <v>0</v>
      </c>
      <c r="L261" s="17">
        <f t="shared" si="79"/>
        <v>0</v>
      </c>
      <c r="M261" s="17">
        <f t="shared" si="80"/>
        <v>0</v>
      </c>
      <c r="N261" s="17">
        <f>0</f>
        <v>0</v>
      </c>
      <c r="O261" s="17">
        <f t="shared" si="81"/>
        <v>3856.2648684559363</v>
      </c>
      <c r="P261" s="17">
        <f t="shared" si="82"/>
        <v>0</v>
      </c>
      <c r="Q261" s="17">
        <f>IF(AND(O261&gt;0,I261&gt;0),O261/(1-'1 - Input'!$B$22*P261),0)</f>
        <v>0</v>
      </c>
      <c r="R261" s="17">
        <f t="shared" si="83"/>
        <v>0</v>
      </c>
      <c r="S261" s="17">
        <f>'1 - Input'!$B$22*P261*R261</f>
        <v>0</v>
      </c>
      <c r="T261" s="17">
        <f t="shared" si="84"/>
        <v>0</v>
      </c>
      <c r="U261" s="17">
        <f t="shared" si="85"/>
        <v>3856.2648684559363</v>
      </c>
      <c r="V261" s="17">
        <f t="shared" si="86"/>
        <v>0</v>
      </c>
      <c r="W261" s="17">
        <f t="shared" si="87"/>
        <v>0</v>
      </c>
      <c r="X261" s="17">
        <f t="shared" si="88"/>
        <v>0</v>
      </c>
      <c r="Y261" s="17">
        <f>IF(MOD(A261,12)=0,W261*'1 - Input'!$B$23,0)</f>
        <v>0</v>
      </c>
      <c r="Z261" s="17">
        <f t="shared" si="89"/>
        <v>0</v>
      </c>
      <c r="AA261" s="17">
        <f>IF(MOD(A261,12)=0,X261*(1-'1 - Input'!$B$23),X261)</f>
        <v>0</v>
      </c>
      <c r="AB261" s="17">
        <f t="shared" si="90"/>
        <v>0</v>
      </c>
      <c r="AC261" s="17">
        <f t="shared" si="94"/>
        <v>676015.57770007267</v>
      </c>
      <c r="AD261" s="17">
        <f t="shared" si="95"/>
        <v>0</v>
      </c>
      <c r="AE261" s="17">
        <f t="shared" si="96"/>
        <v>69240.414874846756</v>
      </c>
      <c r="AF261" s="17">
        <f t="shared" si="97"/>
        <v>0</v>
      </c>
      <c r="AG261" s="17">
        <f t="shared" si="98"/>
        <v>10373.842685499292</v>
      </c>
      <c r="AH261" s="17">
        <f t="shared" si="99"/>
        <v>25455.87311040167</v>
      </c>
      <c r="AI261" s="15">
        <f t="shared" si="91"/>
        <v>1</v>
      </c>
    </row>
    <row r="262" spans="1:35">
      <c r="A262" s="14">
        <v>219</v>
      </c>
      <c r="B262" s="15">
        <f t="shared" si="75"/>
        <v>19</v>
      </c>
      <c r="C262" s="16">
        <f>(1+INDEX('1 - Input'!$B$34:$E$63,B262,'1 - Input'!$B$16))^(1/12)-1</f>
        <v>4.1219243192651689E-3</v>
      </c>
      <c r="D262" s="17">
        <f>'1 - Input'!$B$7*(1+'1 - Input'!$B$12)^(B262-1)</f>
        <v>3856.2648684559363</v>
      </c>
      <c r="E262" s="17">
        <f t="shared" si="92"/>
        <v>0</v>
      </c>
      <c r="F262" s="17">
        <f t="shared" si="93"/>
        <v>0</v>
      </c>
      <c r="G262" s="17">
        <f t="shared" si="76"/>
        <v>0</v>
      </c>
      <c r="H262" s="17">
        <f>0</f>
        <v>0</v>
      </c>
      <c r="I262" s="17">
        <f t="shared" si="77"/>
        <v>0</v>
      </c>
      <c r="J262" s="17">
        <f t="shared" si="78"/>
        <v>0</v>
      </c>
      <c r="K262" s="17">
        <f>'1 - Input'!$B$22*(H262-J262)</f>
        <v>0</v>
      </c>
      <c r="L262" s="17">
        <f t="shared" si="79"/>
        <v>0</v>
      </c>
      <c r="M262" s="17">
        <f t="shared" si="80"/>
        <v>0</v>
      </c>
      <c r="N262" s="17">
        <f>0</f>
        <v>0</v>
      </c>
      <c r="O262" s="17">
        <f t="shared" si="81"/>
        <v>3856.2648684559363</v>
      </c>
      <c r="P262" s="17">
        <f t="shared" si="82"/>
        <v>0</v>
      </c>
      <c r="Q262" s="17">
        <f>IF(AND(O262&gt;0,I262&gt;0),O262/(1-'1 - Input'!$B$22*P262),0)</f>
        <v>0</v>
      </c>
      <c r="R262" s="17">
        <f t="shared" si="83"/>
        <v>0</v>
      </c>
      <c r="S262" s="17">
        <f>'1 - Input'!$B$22*P262*R262</f>
        <v>0</v>
      </c>
      <c r="T262" s="17">
        <f t="shared" si="84"/>
        <v>0</v>
      </c>
      <c r="U262" s="17">
        <f t="shared" si="85"/>
        <v>3856.2648684559363</v>
      </c>
      <c r="V262" s="17">
        <f t="shared" si="86"/>
        <v>0</v>
      </c>
      <c r="W262" s="17">
        <f t="shared" si="87"/>
        <v>0</v>
      </c>
      <c r="X262" s="17">
        <f t="shared" si="88"/>
        <v>0</v>
      </c>
      <c r="Y262" s="17">
        <f>IF(MOD(A262,12)=0,W262*'1 - Input'!$B$23,0)</f>
        <v>0</v>
      </c>
      <c r="Z262" s="17">
        <f t="shared" si="89"/>
        <v>0</v>
      </c>
      <c r="AA262" s="17">
        <f>IF(MOD(A262,12)=0,X262*(1-'1 - Input'!$B$23),X262)</f>
        <v>0</v>
      </c>
      <c r="AB262" s="17">
        <f t="shared" si="90"/>
        <v>0</v>
      </c>
      <c r="AC262" s="17">
        <f t="shared" si="94"/>
        <v>676015.57770007267</v>
      </c>
      <c r="AD262" s="17">
        <f t="shared" si="95"/>
        <v>0</v>
      </c>
      <c r="AE262" s="17">
        <f t="shared" si="96"/>
        <v>69240.414874846756</v>
      </c>
      <c r="AF262" s="17">
        <f t="shared" si="97"/>
        <v>0</v>
      </c>
      <c r="AG262" s="17">
        <f t="shared" si="98"/>
        <v>10373.842685499292</v>
      </c>
      <c r="AH262" s="17">
        <f t="shared" si="99"/>
        <v>29312.137978857605</v>
      </c>
      <c r="AI262" s="15">
        <f t="shared" si="91"/>
        <v>1</v>
      </c>
    </row>
    <row r="263" spans="1:35">
      <c r="A263" s="14">
        <v>220</v>
      </c>
      <c r="B263" s="15">
        <f t="shared" si="75"/>
        <v>19</v>
      </c>
      <c r="C263" s="16">
        <f>(1+INDEX('1 - Input'!$B$34:$E$63,B263,'1 - Input'!$B$16))^(1/12)-1</f>
        <v>4.1219243192651689E-3</v>
      </c>
      <c r="D263" s="17">
        <f>'1 - Input'!$B$7*(1+'1 - Input'!$B$12)^(B263-1)</f>
        <v>3856.2648684559363</v>
      </c>
      <c r="E263" s="17">
        <f t="shared" si="92"/>
        <v>0</v>
      </c>
      <c r="F263" s="17">
        <f t="shared" si="93"/>
        <v>0</v>
      </c>
      <c r="G263" s="17">
        <f t="shared" si="76"/>
        <v>0</v>
      </c>
      <c r="H263" s="17">
        <f>0</f>
        <v>0</v>
      </c>
      <c r="I263" s="17">
        <f t="shared" si="77"/>
        <v>0</v>
      </c>
      <c r="J263" s="17">
        <f t="shared" si="78"/>
        <v>0</v>
      </c>
      <c r="K263" s="17">
        <f>'1 - Input'!$B$22*(H263-J263)</f>
        <v>0</v>
      </c>
      <c r="L263" s="17">
        <f t="shared" si="79"/>
        <v>0</v>
      </c>
      <c r="M263" s="17">
        <f t="shared" si="80"/>
        <v>0</v>
      </c>
      <c r="N263" s="17">
        <f>0</f>
        <v>0</v>
      </c>
      <c r="O263" s="17">
        <f t="shared" si="81"/>
        <v>3856.2648684559363</v>
      </c>
      <c r="P263" s="17">
        <f t="shared" si="82"/>
        <v>0</v>
      </c>
      <c r="Q263" s="17">
        <f>IF(AND(O263&gt;0,I263&gt;0),O263/(1-'1 - Input'!$B$22*P263),0)</f>
        <v>0</v>
      </c>
      <c r="R263" s="17">
        <f t="shared" si="83"/>
        <v>0</v>
      </c>
      <c r="S263" s="17">
        <f>'1 - Input'!$B$22*P263*R263</f>
        <v>0</v>
      </c>
      <c r="T263" s="17">
        <f t="shared" si="84"/>
        <v>0</v>
      </c>
      <c r="U263" s="17">
        <f t="shared" si="85"/>
        <v>3856.2648684559363</v>
      </c>
      <c r="V263" s="17">
        <f t="shared" si="86"/>
        <v>0</v>
      </c>
      <c r="W263" s="17">
        <f t="shared" si="87"/>
        <v>0</v>
      </c>
      <c r="X263" s="17">
        <f t="shared" si="88"/>
        <v>0</v>
      </c>
      <c r="Y263" s="17">
        <f>IF(MOD(A263,12)=0,W263*'1 - Input'!$B$23,0)</f>
        <v>0</v>
      </c>
      <c r="Z263" s="17">
        <f t="shared" si="89"/>
        <v>0</v>
      </c>
      <c r="AA263" s="17">
        <f>IF(MOD(A263,12)=0,X263*(1-'1 - Input'!$B$23),X263)</f>
        <v>0</v>
      </c>
      <c r="AB263" s="17">
        <f t="shared" si="90"/>
        <v>0</v>
      </c>
      <c r="AC263" s="17">
        <f t="shared" si="94"/>
        <v>676015.57770007267</v>
      </c>
      <c r="AD263" s="17">
        <f t="shared" si="95"/>
        <v>0</v>
      </c>
      <c r="AE263" s="17">
        <f t="shared" si="96"/>
        <v>69240.414874846756</v>
      </c>
      <c r="AF263" s="17">
        <f t="shared" si="97"/>
        <v>0</v>
      </c>
      <c r="AG263" s="17">
        <f t="shared" si="98"/>
        <v>10373.842685499292</v>
      </c>
      <c r="AH263" s="17">
        <f t="shared" si="99"/>
        <v>33168.40284731354</v>
      </c>
      <c r="AI263" s="15">
        <f t="shared" si="91"/>
        <v>1</v>
      </c>
    </row>
    <row r="264" spans="1:35">
      <c r="A264" s="14">
        <v>221</v>
      </c>
      <c r="B264" s="15">
        <f t="shared" si="75"/>
        <v>19</v>
      </c>
      <c r="C264" s="16">
        <f>(1+INDEX('1 - Input'!$B$34:$E$63,B264,'1 - Input'!$B$16))^(1/12)-1</f>
        <v>4.1219243192651689E-3</v>
      </c>
      <c r="D264" s="17">
        <f>'1 - Input'!$B$7*(1+'1 - Input'!$B$12)^(B264-1)</f>
        <v>3856.2648684559363</v>
      </c>
      <c r="E264" s="17">
        <f t="shared" si="92"/>
        <v>0</v>
      </c>
      <c r="F264" s="17">
        <f t="shared" si="93"/>
        <v>0</v>
      </c>
      <c r="G264" s="17">
        <f t="shared" si="76"/>
        <v>0</v>
      </c>
      <c r="H264" s="17">
        <f>0</f>
        <v>0</v>
      </c>
      <c r="I264" s="17">
        <f t="shared" si="77"/>
        <v>0</v>
      </c>
      <c r="J264" s="17">
        <f t="shared" si="78"/>
        <v>0</v>
      </c>
      <c r="K264" s="17">
        <f>'1 - Input'!$B$22*(H264-J264)</f>
        <v>0</v>
      </c>
      <c r="L264" s="17">
        <f t="shared" si="79"/>
        <v>0</v>
      </c>
      <c r="M264" s="17">
        <f t="shared" si="80"/>
        <v>0</v>
      </c>
      <c r="N264" s="17">
        <f>0</f>
        <v>0</v>
      </c>
      <c r="O264" s="17">
        <f t="shared" si="81"/>
        <v>3856.2648684559363</v>
      </c>
      <c r="P264" s="17">
        <f t="shared" si="82"/>
        <v>0</v>
      </c>
      <c r="Q264" s="17">
        <f>IF(AND(O264&gt;0,I264&gt;0),O264/(1-'1 - Input'!$B$22*P264),0)</f>
        <v>0</v>
      </c>
      <c r="R264" s="17">
        <f t="shared" si="83"/>
        <v>0</v>
      </c>
      <c r="S264" s="17">
        <f>'1 - Input'!$B$22*P264*R264</f>
        <v>0</v>
      </c>
      <c r="T264" s="17">
        <f t="shared" si="84"/>
        <v>0</v>
      </c>
      <c r="U264" s="17">
        <f t="shared" si="85"/>
        <v>3856.2648684559363</v>
      </c>
      <c r="V264" s="17">
        <f t="shared" si="86"/>
        <v>0</v>
      </c>
      <c r="W264" s="17">
        <f t="shared" si="87"/>
        <v>0</v>
      </c>
      <c r="X264" s="17">
        <f t="shared" si="88"/>
        <v>0</v>
      </c>
      <c r="Y264" s="17">
        <f>IF(MOD(A264,12)=0,W264*'1 - Input'!$B$23,0)</f>
        <v>0</v>
      </c>
      <c r="Z264" s="17">
        <f t="shared" si="89"/>
        <v>0</v>
      </c>
      <c r="AA264" s="17">
        <f>IF(MOD(A264,12)=0,X264*(1-'1 - Input'!$B$23),X264)</f>
        <v>0</v>
      </c>
      <c r="AB264" s="17">
        <f t="shared" si="90"/>
        <v>0</v>
      </c>
      <c r="AC264" s="17">
        <f t="shared" si="94"/>
        <v>676015.57770007267</v>
      </c>
      <c r="AD264" s="17">
        <f t="shared" si="95"/>
        <v>0</v>
      </c>
      <c r="AE264" s="17">
        <f t="shared" si="96"/>
        <v>69240.414874846756</v>
      </c>
      <c r="AF264" s="17">
        <f t="shared" si="97"/>
        <v>0</v>
      </c>
      <c r="AG264" s="17">
        <f t="shared" si="98"/>
        <v>10373.842685499292</v>
      </c>
      <c r="AH264" s="17">
        <f t="shared" si="99"/>
        <v>37024.667715769479</v>
      </c>
      <c r="AI264" s="15">
        <f t="shared" si="91"/>
        <v>1</v>
      </c>
    </row>
    <row r="265" spans="1:35">
      <c r="A265" s="14">
        <v>222</v>
      </c>
      <c r="B265" s="15">
        <f t="shared" si="75"/>
        <v>19</v>
      </c>
      <c r="C265" s="16">
        <f>(1+INDEX('1 - Input'!$B$34:$E$63,B265,'1 - Input'!$B$16))^(1/12)-1</f>
        <v>4.1219243192651689E-3</v>
      </c>
      <c r="D265" s="17">
        <f>'1 - Input'!$B$7*(1+'1 - Input'!$B$12)^(B265-1)</f>
        <v>3856.2648684559363</v>
      </c>
      <c r="E265" s="17">
        <f t="shared" si="92"/>
        <v>0</v>
      </c>
      <c r="F265" s="17">
        <f t="shared" si="93"/>
        <v>0</v>
      </c>
      <c r="G265" s="17">
        <f t="shared" si="76"/>
        <v>0</v>
      </c>
      <c r="H265" s="17">
        <f>0</f>
        <v>0</v>
      </c>
      <c r="I265" s="17">
        <f t="shared" si="77"/>
        <v>0</v>
      </c>
      <c r="J265" s="17">
        <f t="shared" si="78"/>
        <v>0</v>
      </c>
      <c r="K265" s="17">
        <f>'1 - Input'!$B$22*(H265-J265)</f>
        <v>0</v>
      </c>
      <c r="L265" s="17">
        <f t="shared" si="79"/>
        <v>0</v>
      </c>
      <c r="M265" s="17">
        <f t="shared" si="80"/>
        <v>0</v>
      </c>
      <c r="N265" s="17">
        <f>0</f>
        <v>0</v>
      </c>
      <c r="O265" s="17">
        <f t="shared" si="81"/>
        <v>3856.2648684559363</v>
      </c>
      <c r="P265" s="17">
        <f t="shared" si="82"/>
        <v>0</v>
      </c>
      <c r="Q265" s="17">
        <f>IF(AND(O265&gt;0,I265&gt;0),O265/(1-'1 - Input'!$B$22*P265),0)</f>
        <v>0</v>
      </c>
      <c r="R265" s="17">
        <f t="shared" si="83"/>
        <v>0</v>
      </c>
      <c r="S265" s="17">
        <f>'1 - Input'!$B$22*P265*R265</f>
        <v>0</v>
      </c>
      <c r="T265" s="17">
        <f t="shared" si="84"/>
        <v>0</v>
      </c>
      <c r="U265" s="17">
        <f t="shared" si="85"/>
        <v>3856.2648684559363</v>
      </c>
      <c r="V265" s="17">
        <f t="shared" si="86"/>
        <v>0</v>
      </c>
      <c r="W265" s="17">
        <f t="shared" si="87"/>
        <v>0</v>
      </c>
      <c r="X265" s="17">
        <f t="shared" si="88"/>
        <v>0</v>
      </c>
      <c r="Y265" s="17">
        <f>IF(MOD(A265,12)=0,W265*'1 - Input'!$B$23,0)</f>
        <v>0</v>
      </c>
      <c r="Z265" s="17">
        <f t="shared" si="89"/>
        <v>0</v>
      </c>
      <c r="AA265" s="17">
        <f>IF(MOD(A265,12)=0,X265*(1-'1 - Input'!$B$23),X265)</f>
        <v>0</v>
      </c>
      <c r="AB265" s="17">
        <f t="shared" si="90"/>
        <v>0</v>
      </c>
      <c r="AC265" s="17">
        <f t="shared" si="94"/>
        <v>676015.57770007267</v>
      </c>
      <c r="AD265" s="17">
        <f t="shared" si="95"/>
        <v>0</v>
      </c>
      <c r="AE265" s="17">
        <f t="shared" si="96"/>
        <v>69240.414874846756</v>
      </c>
      <c r="AF265" s="17">
        <f t="shared" si="97"/>
        <v>0</v>
      </c>
      <c r="AG265" s="17">
        <f t="shared" si="98"/>
        <v>10373.842685499292</v>
      </c>
      <c r="AH265" s="17">
        <f t="shared" si="99"/>
        <v>40880.932584225418</v>
      </c>
      <c r="AI265" s="15">
        <f t="shared" si="91"/>
        <v>1</v>
      </c>
    </row>
    <row r="266" spans="1:35">
      <c r="A266" s="14">
        <v>223</v>
      </c>
      <c r="B266" s="15">
        <f t="shared" si="75"/>
        <v>19</v>
      </c>
      <c r="C266" s="16">
        <f>(1+INDEX('1 - Input'!$B$34:$E$63,B266,'1 - Input'!$B$16))^(1/12)-1</f>
        <v>4.1219243192651689E-3</v>
      </c>
      <c r="D266" s="17">
        <f>'1 - Input'!$B$7*(1+'1 - Input'!$B$12)^(B266-1)</f>
        <v>3856.2648684559363</v>
      </c>
      <c r="E266" s="17">
        <f t="shared" si="92"/>
        <v>0</v>
      </c>
      <c r="F266" s="17">
        <f t="shared" si="93"/>
        <v>0</v>
      </c>
      <c r="G266" s="17">
        <f t="shared" si="76"/>
        <v>0</v>
      </c>
      <c r="H266" s="17">
        <f>0</f>
        <v>0</v>
      </c>
      <c r="I266" s="17">
        <f t="shared" si="77"/>
        <v>0</v>
      </c>
      <c r="J266" s="17">
        <f t="shared" si="78"/>
        <v>0</v>
      </c>
      <c r="K266" s="17">
        <f>'1 - Input'!$B$22*(H266-J266)</f>
        <v>0</v>
      </c>
      <c r="L266" s="17">
        <f t="shared" si="79"/>
        <v>0</v>
      </c>
      <c r="M266" s="17">
        <f t="shared" si="80"/>
        <v>0</v>
      </c>
      <c r="N266" s="17">
        <f>0</f>
        <v>0</v>
      </c>
      <c r="O266" s="17">
        <f t="shared" si="81"/>
        <v>3856.2648684559363</v>
      </c>
      <c r="P266" s="17">
        <f t="shared" si="82"/>
        <v>0</v>
      </c>
      <c r="Q266" s="17">
        <f>IF(AND(O266&gt;0,I266&gt;0),O266/(1-'1 - Input'!$B$22*P266),0)</f>
        <v>0</v>
      </c>
      <c r="R266" s="17">
        <f t="shared" si="83"/>
        <v>0</v>
      </c>
      <c r="S266" s="17">
        <f>'1 - Input'!$B$22*P266*R266</f>
        <v>0</v>
      </c>
      <c r="T266" s="17">
        <f t="shared" si="84"/>
        <v>0</v>
      </c>
      <c r="U266" s="17">
        <f t="shared" si="85"/>
        <v>3856.2648684559363</v>
      </c>
      <c r="V266" s="17">
        <f t="shared" si="86"/>
        <v>0</v>
      </c>
      <c r="W266" s="17">
        <f t="shared" si="87"/>
        <v>0</v>
      </c>
      <c r="X266" s="17">
        <f t="shared" si="88"/>
        <v>0</v>
      </c>
      <c r="Y266" s="17">
        <f>IF(MOD(A266,12)=0,W266*'1 - Input'!$B$23,0)</f>
        <v>0</v>
      </c>
      <c r="Z266" s="17">
        <f t="shared" si="89"/>
        <v>0</v>
      </c>
      <c r="AA266" s="17">
        <f>IF(MOD(A266,12)=0,X266*(1-'1 - Input'!$B$23),X266)</f>
        <v>0</v>
      </c>
      <c r="AB266" s="17">
        <f t="shared" si="90"/>
        <v>0</v>
      </c>
      <c r="AC266" s="17">
        <f t="shared" si="94"/>
        <v>676015.57770007267</v>
      </c>
      <c r="AD266" s="17">
        <f t="shared" si="95"/>
        <v>0</v>
      </c>
      <c r="AE266" s="17">
        <f t="shared" si="96"/>
        <v>69240.414874846756</v>
      </c>
      <c r="AF266" s="17">
        <f t="shared" si="97"/>
        <v>0</v>
      </c>
      <c r="AG266" s="17">
        <f t="shared" si="98"/>
        <v>10373.842685499292</v>
      </c>
      <c r="AH266" s="17">
        <f t="shared" si="99"/>
        <v>44737.197452681357</v>
      </c>
      <c r="AI266" s="15">
        <f t="shared" si="91"/>
        <v>1</v>
      </c>
    </row>
    <row r="267" spans="1:35">
      <c r="A267" s="14">
        <v>224</v>
      </c>
      <c r="B267" s="15">
        <f t="shared" si="75"/>
        <v>19</v>
      </c>
      <c r="C267" s="16">
        <f>(1+INDEX('1 - Input'!$B$34:$E$63,B267,'1 - Input'!$B$16))^(1/12)-1</f>
        <v>4.1219243192651689E-3</v>
      </c>
      <c r="D267" s="17">
        <f>'1 - Input'!$B$7*(1+'1 - Input'!$B$12)^(B267-1)</f>
        <v>3856.2648684559363</v>
      </c>
      <c r="E267" s="17">
        <f t="shared" si="92"/>
        <v>0</v>
      </c>
      <c r="F267" s="17">
        <f t="shared" si="93"/>
        <v>0</v>
      </c>
      <c r="G267" s="17">
        <f t="shared" si="76"/>
        <v>0</v>
      </c>
      <c r="H267" s="17">
        <f>0</f>
        <v>0</v>
      </c>
      <c r="I267" s="17">
        <f t="shared" si="77"/>
        <v>0</v>
      </c>
      <c r="J267" s="17">
        <f t="shared" si="78"/>
        <v>0</v>
      </c>
      <c r="K267" s="17">
        <f>'1 - Input'!$B$22*(H267-J267)</f>
        <v>0</v>
      </c>
      <c r="L267" s="17">
        <f t="shared" si="79"/>
        <v>0</v>
      </c>
      <c r="M267" s="17">
        <f t="shared" si="80"/>
        <v>0</v>
      </c>
      <c r="N267" s="17">
        <f>0</f>
        <v>0</v>
      </c>
      <c r="O267" s="17">
        <f t="shared" si="81"/>
        <v>3856.2648684559363</v>
      </c>
      <c r="P267" s="17">
        <f t="shared" si="82"/>
        <v>0</v>
      </c>
      <c r="Q267" s="17">
        <f>IF(AND(O267&gt;0,I267&gt;0),O267/(1-'1 - Input'!$B$22*P267),0)</f>
        <v>0</v>
      </c>
      <c r="R267" s="17">
        <f t="shared" si="83"/>
        <v>0</v>
      </c>
      <c r="S267" s="17">
        <f>'1 - Input'!$B$22*P267*R267</f>
        <v>0</v>
      </c>
      <c r="T267" s="17">
        <f t="shared" si="84"/>
        <v>0</v>
      </c>
      <c r="U267" s="17">
        <f t="shared" si="85"/>
        <v>3856.2648684559363</v>
      </c>
      <c r="V267" s="17">
        <f t="shared" si="86"/>
        <v>0</v>
      </c>
      <c r="W267" s="17">
        <f t="shared" si="87"/>
        <v>0</v>
      </c>
      <c r="X267" s="17">
        <f t="shared" si="88"/>
        <v>0</v>
      </c>
      <c r="Y267" s="17">
        <f>IF(MOD(A267,12)=0,W267*'1 - Input'!$B$23,0)</f>
        <v>0</v>
      </c>
      <c r="Z267" s="17">
        <f t="shared" si="89"/>
        <v>0</v>
      </c>
      <c r="AA267" s="17">
        <f>IF(MOD(A267,12)=0,X267*(1-'1 - Input'!$B$23),X267)</f>
        <v>0</v>
      </c>
      <c r="AB267" s="17">
        <f t="shared" si="90"/>
        <v>0</v>
      </c>
      <c r="AC267" s="17">
        <f t="shared" si="94"/>
        <v>676015.57770007267</v>
      </c>
      <c r="AD267" s="17">
        <f t="shared" si="95"/>
        <v>0</v>
      </c>
      <c r="AE267" s="17">
        <f t="shared" si="96"/>
        <v>69240.414874846756</v>
      </c>
      <c r="AF267" s="17">
        <f t="shared" si="97"/>
        <v>0</v>
      </c>
      <c r="AG267" s="17">
        <f t="shared" si="98"/>
        <v>10373.842685499292</v>
      </c>
      <c r="AH267" s="17">
        <f t="shared" si="99"/>
        <v>48593.462321137296</v>
      </c>
      <c r="AI267" s="15">
        <f t="shared" si="91"/>
        <v>1</v>
      </c>
    </row>
    <row r="268" spans="1:35">
      <c r="A268" s="14">
        <v>225</v>
      </c>
      <c r="B268" s="15">
        <f t="shared" si="75"/>
        <v>19</v>
      </c>
      <c r="C268" s="16">
        <f>(1+INDEX('1 - Input'!$B$34:$E$63,B268,'1 - Input'!$B$16))^(1/12)-1</f>
        <v>4.1219243192651689E-3</v>
      </c>
      <c r="D268" s="17">
        <f>'1 - Input'!$B$7*(1+'1 - Input'!$B$12)^(B268-1)</f>
        <v>3856.2648684559363</v>
      </c>
      <c r="E268" s="17">
        <f t="shared" si="92"/>
        <v>0</v>
      </c>
      <c r="F268" s="17">
        <f t="shared" si="93"/>
        <v>0</v>
      </c>
      <c r="G268" s="17">
        <f t="shared" si="76"/>
        <v>0</v>
      </c>
      <c r="H268" s="17">
        <f>0</f>
        <v>0</v>
      </c>
      <c r="I268" s="17">
        <f t="shared" si="77"/>
        <v>0</v>
      </c>
      <c r="J268" s="17">
        <f t="shared" si="78"/>
        <v>0</v>
      </c>
      <c r="K268" s="17">
        <f>'1 - Input'!$B$22*(H268-J268)</f>
        <v>0</v>
      </c>
      <c r="L268" s="17">
        <f t="shared" si="79"/>
        <v>0</v>
      </c>
      <c r="M268" s="17">
        <f t="shared" si="80"/>
        <v>0</v>
      </c>
      <c r="N268" s="17">
        <f>0</f>
        <v>0</v>
      </c>
      <c r="O268" s="17">
        <f t="shared" si="81"/>
        <v>3856.2648684559363</v>
      </c>
      <c r="P268" s="17">
        <f t="shared" si="82"/>
        <v>0</v>
      </c>
      <c r="Q268" s="17">
        <f>IF(AND(O268&gt;0,I268&gt;0),O268/(1-'1 - Input'!$B$22*P268),0)</f>
        <v>0</v>
      </c>
      <c r="R268" s="17">
        <f t="shared" si="83"/>
        <v>0</v>
      </c>
      <c r="S268" s="17">
        <f>'1 - Input'!$B$22*P268*R268</f>
        <v>0</v>
      </c>
      <c r="T268" s="17">
        <f t="shared" si="84"/>
        <v>0</v>
      </c>
      <c r="U268" s="17">
        <f t="shared" si="85"/>
        <v>3856.2648684559363</v>
      </c>
      <c r="V268" s="17">
        <f t="shared" si="86"/>
        <v>0</v>
      </c>
      <c r="W268" s="17">
        <f t="shared" si="87"/>
        <v>0</v>
      </c>
      <c r="X268" s="17">
        <f t="shared" si="88"/>
        <v>0</v>
      </c>
      <c r="Y268" s="17">
        <f>IF(MOD(A268,12)=0,W268*'1 - Input'!$B$23,0)</f>
        <v>0</v>
      </c>
      <c r="Z268" s="17">
        <f t="shared" si="89"/>
        <v>0</v>
      </c>
      <c r="AA268" s="17">
        <f>IF(MOD(A268,12)=0,X268*(1-'1 - Input'!$B$23),X268)</f>
        <v>0</v>
      </c>
      <c r="AB268" s="17">
        <f t="shared" si="90"/>
        <v>0</v>
      </c>
      <c r="AC268" s="17">
        <f t="shared" si="94"/>
        <v>676015.57770007267</v>
      </c>
      <c r="AD268" s="17">
        <f t="shared" si="95"/>
        <v>0</v>
      </c>
      <c r="AE268" s="17">
        <f t="shared" si="96"/>
        <v>69240.414874846756</v>
      </c>
      <c r="AF268" s="17">
        <f t="shared" si="97"/>
        <v>0</v>
      </c>
      <c r="AG268" s="17">
        <f t="shared" si="98"/>
        <v>10373.842685499292</v>
      </c>
      <c r="AH268" s="17">
        <f t="shared" si="99"/>
        <v>52449.727189593235</v>
      </c>
      <c r="AI268" s="15">
        <f t="shared" si="91"/>
        <v>1</v>
      </c>
    </row>
    <row r="269" spans="1:35">
      <c r="A269" s="14">
        <v>226</v>
      </c>
      <c r="B269" s="15">
        <f t="shared" si="75"/>
        <v>19</v>
      </c>
      <c r="C269" s="16">
        <f>(1+INDEX('1 - Input'!$B$34:$E$63,B269,'1 - Input'!$B$16))^(1/12)-1</f>
        <v>4.1219243192651689E-3</v>
      </c>
      <c r="D269" s="17">
        <f>'1 - Input'!$B$7*(1+'1 - Input'!$B$12)^(B269-1)</f>
        <v>3856.2648684559363</v>
      </c>
      <c r="E269" s="17">
        <f t="shared" si="92"/>
        <v>0</v>
      </c>
      <c r="F269" s="17">
        <f t="shared" si="93"/>
        <v>0</v>
      </c>
      <c r="G269" s="17">
        <f t="shared" si="76"/>
        <v>0</v>
      </c>
      <c r="H269" s="17">
        <f>0</f>
        <v>0</v>
      </c>
      <c r="I269" s="17">
        <f t="shared" si="77"/>
        <v>0</v>
      </c>
      <c r="J269" s="17">
        <f t="shared" si="78"/>
        <v>0</v>
      </c>
      <c r="K269" s="17">
        <f>'1 - Input'!$B$22*(H269-J269)</f>
        <v>0</v>
      </c>
      <c r="L269" s="17">
        <f t="shared" si="79"/>
        <v>0</v>
      </c>
      <c r="M269" s="17">
        <f t="shared" si="80"/>
        <v>0</v>
      </c>
      <c r="N269" s="17">
        <f>0</f>
        <v>0</v>
      </c>
      <c r="O269" s="17">
        <f t="shared" si="81"/>
        <v>3856.2648684559363</v>
      </c>
      <c r="P269" s="17">
        <f t="shared" si="82"/>
        <v>0</v>
      </c>
      <c r="Q269" s="17">
        <f>IF(AND(O269&gt;0,I269&gt;0),O269/(1-'1 - Input'!$B$22*P269),0)</f>
        <v>0</v>
      </c>
      <c r="R269" s="17">
        <f t="shared" si="83"/>
        <v>0</v>
      </c>
      <c r="S269" s="17">
        <f>'1 - Input'!$B$22*P269*R269</f>
        <v>0</v>
      </c>
      <c r="T269" s="17">
        <f t="shared" si="84"/>
        <v>0</v>
      </c>
      <c r="U269" s="17">
        <f t="shared" si="85"/>
        <v>3856.2648684559363</v>
      </c>
      <c r="V269" s="17">
        <f t="shared" si="86"/>
        <v>0</v>
      </c>
      <c r="W269" s="17">
        <f t="shared" si="87"/>
        <v>0</v>
      </c>
      <c r="X269" s="17">
        <f t="shared" si="88"/>
        <v>0</v>
      </c>
      <c r="Y269" s="17">
        <f>IF(MOD(A269,12)=0,W269*'1 - Input'!$B$23,0)</f>
        <v>0</v>
      </c>
      <c r="Z269" s="17">
        <f t="shared" si="89"/>
        <v>0</v>
      </c>
      <c r="AA269" s="17">
        <f>IF(MOD(A269,12)=0,X269*(1-'1 - Input'!$B$23),X269)</f>
        <v>0</v>
      </c>
      <c r="AB269" s="17">
        <f t="shared" si="90"/>
        <v>0</v>
      </c>
      <c r="AC269" s="17">
        <f t="shared" si="94"/>
        <v>676015.57770007267</v>
      </c>
      <c r="AD269" s="17">
        <f t="shared" si="95"/>
        <v>0</v>
      </c>
      <c r="AE269" s="17">
        <f t="shared" si="96"/>
        <v>69240.414874846756</v>
      </c>
      <c r="AF269" s="17">
        <f t="shared" si="97"/>
        <v>0</v>
      </c>
      <c r="AG269" s="17">
        <f t="shared" si="98"/>
        <v>10373.842685499292</v>
      </c>
      <c r="AH269" s="17">
        <f t="shared" si="99"/>
        <v>56305.992058049174</v>
      </c>
      <c r="AI269" s="15">
        <f t="shared" si="91"/>
        <v>1</v>
      </c>
    </row>
    <row r="270" spans="1:35">
      <c r="A270" s="14">
        <v>227</v>
      </c>
      <c r="B270" s="15">
        <f t="shared" si="75"/>
        <v>19</v>
      </c>
      <c r="C270" s="16">
        <f>(1+INDEX('1 - Input'!$B$34:$E$63,B270,'1 - Input'!$B$16))^(1/12)-1</f>
        <v>4.1219243192651689E-3</v>
      </c>
      <c r="D270" s="17">
        <f>'1 - Input'!$B$7*(1+'1 - Input'!$B$12)^(B270-1)</f>
        <v>3856.2648684559363</v>
      </c>
      <c r="E270" s="17">
        <f t="shared" si="92"/>
        <v>0</v>
      </c>
      <c r="F270" s="17">
        <f t="shared" si="93"/>
        <v>0</v>
      </c>
      <c r="G270" s="17">
        <f t="shared" si="76"/>
        <v>0</v>
      </c>
      <c r="H270" s="17">
        <f>0</f>
        <v>0</v>
      </c>
      <c r="I270" s="17">
        <f t="shared" si="77"/>
        <v>0</v>
      </c>
      <c r="J270" s="17">
        <f t="shared" si="78"/>
        <v>0</v>
      </c>
      <c r="K270" s="17">
        <f>'1 - Input'!$B$22*(H270-J270)</f>
        <v>0</v>
      </c>
      <c r="L270" s="17">
        <f t="shared" si="79"/>
        <v>0</v>
      </c>
      <c r="M270" s="17">
        <f t="shared" si="80"/>
        <v>0</v>
      </c>
      <c r="N270" s="17">
        <f>0</f>
        <v>0</v>
      </c>
      <c r="O270" s="17">
        <f t="shared" si="81"/>
        <v>3856.2648684559363</v>
      </c>
      <c r="P270" s="17">
        <f t="shared" si="82"/>
        <v>0</v>
      </c>
      <c r="Q270" s="17">
        <f>IF(AND(O270&gt;0,I270&gt;0),O270/(1-'1 - Input'!$B$22*P270),0)</f>
        <v>0</v>
      </c>
      <c r="R270" s="17">
        <f t="shared" si="83"/>
        <v>0</v>
      </c>
      <c r="S270" s="17">
        <f>'1 - Input'!$B$22*P270*R270</f>
        <v>0</v>
      </c>
      <c r="T270" s="17">
        <f t="shared" si="84"/>
        <v>0</v>
      </c>
      <c r="U270" s="17">
        <f t="shared" si="85"/>
        <v>3856.2648684559363</v>
      </c>
      <c r="V270" s="17">
        <f t="shared" si="86"/>
        <v>0</v>
      </c>
      <c r="W270" s="17">
        <f t="shared" si="87"/>
        <v>0</v>
      </c>
      <c r="X270" s="17">
        <f t="shared" si="88"/>
        <v>0</v>
      </c>
      <c r="Y270" s="17">
        <f>IF(MOD(A270,12)=0,W270*'1 - Input'!$B$23,0)</f>
        <v>0</v>
      </c>
      <c r="Z270" s="17">
        <f t="shared" si="89"/>
        <v>0</v>
      </c>
      <c r="AA270" s="17">
        <f>IF(MOD(A270,12)=0,X270*(1-'1 - Input'!$B$23),X270)</f>
        <v>0</v>
      </c>
      <c r="AB270" s="17">
        <f t="shared" si="90"/>
        <v>0</v>
      </c>
      <c r="AC270" s="17">
        <f t="shared" si="94"/>
        <v>676015.57770007267</v>
      </c>
      <c r="AD270" s="17">
        <f t="shared" si="95"/>
        <v>0</v>
      </c>
      <c r="AE270" s="17">
        <f t="shared" si="96"/>
        <v>69240.414874846756</v>
      </c>
      <c r="AF270" s="17">
        <f t="shared" si="97"/>
        <v>0</v>
      </c>
      <c r="AG270" s="17">
        <f t="shared" si="98"/>
        <v>10373.842685499292</v>
      </c>
      <c r="AH270" s="17">
        <f t="shared" si="99"/>
        <v>60162.256926505113</v>
      </c>
      <c r="AI270" s="15">
        <f t="shared" si="91"/>
        <v>1</v>
      </c>
    </row>
    <row r="271" spans="1:35">
      <c r="A271" s="14">
        <v>228</v>
      </c>
      <c r="B271" s="15">
        <f t="shared" si="75"/>
        <v>19</v>
      </c>
      <c r="C271" s="16">
        <f>(1+INDEX('1 - Input'!$B$34:$E$63,B271,'1 - Input'!$B$16))^(1/12)-1</f>
        <v>4.1219243192651689E-3</v>
      </c>
      <c r="D271" s="17">
        <f>'1 - Input'!$B$7*(1+'1 - Input'!$B$12)^(B271-1)</f>
        <v>3856.2648684559363</v>
      </c>
      <c r="E271" s="17">
        <f t="shared" si="92"/>
        <v>0</v>
      </c>
      <c r="F271" s="17">
        <f t="shared" si="93"/>
        <v>0</v>
      </c>
      <c r="G271" s="17">
        <f t="shared" si="76"/>
        <v>0</v>
      </c>
      <c r="H271" s="17">
        <f>0</f>
        <v>0</v>
      </c>
      <c r="I271" s="17">
        <f t="shared" si="77"/>
        <v>0</v>
      </c>
      <c r="J271" s="17">
        <f t="shared" si="78"/>
        <v>0</v>
      </c>
      <c r="K271" s="17">
        <f>'1 - Input'!$B$22*(H271-J271)</f>
        <v>0</v>
      </c>
      <c r="L271" s="17">
        <f t="shared" si="79"/>
        <v>0</v>
      </c>
      <c r="M271" s="17">
        <f t="shared" si="80"/>
        <v>0</v>
      </c>
      <c r="N271" s="17">
        <f>0</f>
        <v>0</v>
      </c>
      <c r="O271" s="17">
        <f t="shared" si="81"/>
        <v>3856.2648684559363</v>
      </c>
      <c r="P271" s="17">
        <f t="shared" si="82"/>
        <v>0</v>
      </c>
      <c r="Q271" s="17">
        <f>IF(AND(O271&gt;0,I271&gt;0),O271/(1-'1 - Input'!$B$22*P271),0)</f>
        <v>0</v>
      </c>
      <c r="R271" s="17">
        <f t="shared" si="83"/>
        <v>0</v>
      </c>
      <c r="S271" s="17">
        <f>'1 - Input'!$B$22*P271*R271</f>
        <v>0</v>
      </c>
      <c r="T271" s="17">
        <f t="shared" si="84"/>
        <v>0</v>
      </c>
      <c r="U271" s="17">
        <f t="shared" si="85"/>
        <v>3856.2648684559363</v>
      </c>
      <c r="V271" s="17">
        <f t="shared" si="86"/>
        <v>0</v>
      </c>
      <c r="W271" s="17">
        <f t="shared" si="87"/>
        <v>0</v>
      </c>
      <c r="X271" s="17">
        <f t="shared" si="88"/>
        <v>0</v>
      </c>
      <c r="Y271" s="17">
        <f>IF(MOD(A271,12)=0,W271*'1 - Input'!$B$23,0)</f>
        <v>0</v>
      </c>
      <c r="Z271" s="17">
        <f t="shared" si="89"/>
        <v>0</v>
      </c>
      <c r="AA271" s="17">
        <f>IF(MOD(A271,12)=0,X271*(1-'1 - Input'!$B$23),X271)</f>
        <v>0</v>
      </c>
      <c r="AB271" s="17">
        <f t="shared" si="90"/>
        <v>0</v>
      </c>
      <c r="AC271" s="17">
        <f t="shared" si="94"/>
        <v>676015.57770007267</v>
      </c>
      <c r="AD271" s="17">
        <f t="shared" si="95"/>
        <v>0</v>
      </c>
      <c r="AE271" s="17">
        <f t="shared" si="96"/>
        <v>69240.414874846756</v>
      </c>
      <c r="AF271" s="17">
        <f t="shared" si="97"/>
        <v>0</v>
      </c>
      <c r="AG271" s="17">
        <f t="shared" si="98"/>
        <v>10373.842685499292</v>
      </c>
      <c r="AH271" s="17">
        <f t="shared" si="99"/>
        <v>64018.521794961052</v>
      </c>
      <c r="AI271" s="15">
        <f t="shared" si="91"/>
        <v>1</v>
      </c>
    </row>
    <row r="272" spans="1:35">
      <c r="A272" s="14">
        <v>229</v>
      </c>
      <c r="B272" s="15">
        <f t="shared" si="75"/>
        <v>20</v>
      </c>
      <c r="C272" s="16">
        <f>(1+INDEX('1 - Input'!$B$34:$E$63,B272,'1 - Input'!$B$16))^(1/12)-1</f>
        <v>4.1219243192651689E-3</v>
      </c>
      <c r="D272" s="17">
        <f>'1 - Input'!$B$7*(1+'1 - Input'!$B$12)^(B272-1)</f>
        <v>3933.3901658250547</v>
      </c>
      <c r="E272" s="17">
        <f t="shared" si="92"/>
        <v>0</v>
      </c>
      <c r="F272" s="17">
        <f t="shared" si="93"/>
        <v>0</v>
      </c>
      <c r="G272" s="17">
        <f t="shared" si="76"/>
        <v>0</v>
      </c>
      <c r="H272" s="17">
        <f>0</f>
        <v>0</v>
      </c>
      <c r="I272" s="17">
        <f t="shared" si="77"/>
        <v>0</v>
      </c>
      <c r="J272" s="17">
        <f t="shared" si="78"/>
        <v>0</v>
      </c>
      <c r="K272" s="17">
        <f>'1 - Input'!$B$22*(H272-J272)</f>
        <v>0</v>
      </c>
      <c r="L272" s="17">
        <f t="shared" si="79"/>
        <v>0</v>
      </c>
      <c r="M272" s="17">
        <f t="shared" si="80"/>
        <v>0</v>
      </c>
      <c r="N272" s="17">
        <f>0</f>
        <v>0</v>
      </c>
      <c r="O272" s="17">
        <f t="shared" si="81"/>
        <v>3933.3901658250547</v>
      </c>
      <c r="P272" s="17">
        <f t="shared" si="82"/>
        <v>0</v>
      </c>
      <c r="Q272" s="17">
        <f>IF(AND(O272&gt;0,I272&gt;0),O272/(1-'1 - Input'!$B$22*P272),0)</f>
        <v>0</v>
      </c>
      <c r="R272" s="17">
        <f t="shared" si="83"/>
        <v>0</v>
      </c>
      <c r="S272" s="17">
        <f>'1 - Input'!$B$22*P272*R272</f>
        <v>0</v>
      </c>
      <c r="T272" s="17">
        <f t="shared" si="84"/>
        <v>0</v>
      </c>
      <c r="U272" s="17">
        <f t="shared" si="85"/>
        <v>3933.3901658250547</v>
      </c>
      <c r="V272" s="17">
        <f t="shared" si="86"/>
        <v>0</v>
      </c>
      <c r="W272" s="17">
        <f t="shared" si="87"/>
        <v>0</v>
      </c>
      <c r="X272" s="17">
        <f t="shared" si="88"/>
        <v>0</v>
      </c>
      <c r="Y272" s="17">
        <f>IF(MOD(A272,12)=0,W272*'1 - Input'!$B$23,0)</f>
        <v>0</v>
      </c>
      <c r="Z272" s="17">
        <f t="shared" si="89"/>
        <v>0</v>
      </c>
      <c r="AA272" s="17">
        <f>IF(MOD(A272,12)=0,X272*(1-'1 - Input'!$B$23),X272)</f>
        <v>0</v>
      </c>
      <c r="AB272" s="17">
        <f t="shared" si="90"/>
        <v>0</v>
      </c>
      <c r="AC272" s="17">
        <f t="shared" si="94"/>
        <v>676015.57770007267</v>
      </c>
      <c r="AD272" s="17">
        <f t="shared" si="95"/>
        <v>0</v>
      </c>
      <c r="AE272" s="17">
        <f t="shared" si="96"/>
        <v>69240.414874846756</v>
      </c>
      <c r="AF272" s="17">
        <f t="shared" si="97"/>
        <v>0</v>
      </c>
      <c r="AG272" s="17">
        <f t="shared" si="98"/>
        <v>10373.842685499292</v>
      </c>
      <c r="AH272" s="17">
        <f t="shared" si="99"/>
        <v>67951.911960786107</v>
      </c>
      <c r="AI272" s="15">
        <f t="shared" si="91"/>
        <v>1</v>
      </c>
    </row>
    <row r="273" spans="1:35">
      <c r="A273" s="14">
        <v>230</v>
      </c>
      <c r="B273" s="15">
        <f t="shared" si="75"/>
        <v>20</v>
      </c>
      <c r="C273" s="16">
        <f>(1+INDEX('1 - Input'!$B$34:$E$63,B273,'1 - Input'!$B$16))^(1/12)-1</f>
        <v>4.1219243192651689E-3</v>
      </c>
      <c r="D273" s="17">
        <f>'1 - Input'!$B$7*(1+'1 - Input'!$B$12)^(B273-1)</f>
        <v>3933.3901658250547</v>
      </c>
      <c r="E273" s="17">
        <f t="shared" si="92"/>
        <v>0</v>
      </c>
      <c r="F273" s="17">
        <f t="shared" si="93"/>
        <v>0</v>
      </c>
      <c r="G273" s="17">
        <f t="shared" si="76"/>
        <v>0</v>
      </c>
      <c r="H273" s="17">
        <f>0</f>
        <v>0</v>
      </c>
      <c r="I273" s="17">
        <f t="shared" si="77"/>
        <v>0</v>
      </c>
      <c r="J273" s="17">
        <f t="shared" si="78"/>
        <v>0</v>
      </c>
      <c r="K273" s="17">
        <f>'1 - Input'!$B$22*(H273-J273)</f>
        <v>0</v>
      </c>
      <c r="L273" s="17">
        <f t="shared" si="79"/>
        <v>0</v>
      </c>
      <c r="M273" s="17">
        <f t="shared" si="80"/>
        <v>0</v>
      </c>
      <c r="N273" s="17">
        <f>0</f>
        <v>0</v>
      </c>
      <c r="O273" s="17">
        <f t="shared" si="81"/>
        <v>3933.3901658250547</v>
      </c>
      <c r="P273" s="17">
        <f t="shared" si="82"/>
        <v>0</v>
      </c>
      <c r="Q273" s="17">
        <f>IF(AND(O273&gt;0,I273&gt;0),O273/(1-'1 - Input'!$B$22*P273),0)</f>
        <v>0</v>
      </c>
      <c r="R273" s="17">
        <f t="shared" si="83"/>
        <v>0</v>
      </c>
      <c r="S273" s="17">
        <f>'1 - Input'!$B$22*P273*R273</f>
        <v>0</v>
      </c>
      <c r="T273" s="17">
        <f t="shared" si="84"/>
        <v>0</v>
      </c>
      <c r="U273" s="17">
        <f t="shared" si="85"/>
        <v>3933.3901658250547</v>
      </c>
      <c r="V273" s="17">
        <f t="shared" si="86"/>
        <v>0</v>
      </c>
      <c r="W273" s="17">
        <f t="shared" si="87"/>
        <v>0</v>
      </c>
      <c r="X273" s="17">
        <f t="shared" si="88"/>
        <v>0</v>
      </c>
      <c r="Y273" s="17">
        <f>IF(MOD(A273,12)=0,W273*'1 - Input'!$B$23,0)</f>
        <v>0</v>
      </c>
      <c r="Z273" s="17">
        <f t="shared" si="89"/>
        <v>0</v>
      </c>
      <c r="AA273" s="17">
        <f>IF(MOD(A273,12)=0,X273*(1-'1 - Input'!$B$23),X273)</f>
        <v>0</v>
      </c>
      <c r="AB273" s="17">
        <f t="shared" si="90"/>
        <v>0</v>
      </c>
      <c r="AC273" s="17">
        <f t="shared" si="94"/>
        <v>676015.57770007267</v>
      </c>
      <c r="AD273" s="17">
        <f t="shared" si="95"/>
        <v>0</v>
      </c>
      <c r="AE273" s="17">
        <f t="shared" si="96"/>
        <v>69240.414874846756</v>
      </c>
      <c r="AF273" s="17">
        <f t="shared" si="97"/>
        <v>0</v>
      </c>
      <c r="AG273" s="17">
        <f t="shared" si="98"/>
        <v>10373.842685499292</v>
      </c>
      <c r="AH273" s="17">
        <f t="shared" si="99"/>
        <v>71885.302126611161</v>
      </c>
      <c r="AI273" s="15">
        <f t="shared" si="91"/>
        <v>1</v>
      </c>
    </row>
    <row r="274" spans="1:35">
      <c r="A274" s="14">
        <v>231</v>
      </c>
      <c r="B274" s="15">
        <f t="shared" si="75"/>
        <v>20</v>
      </c>
      <c r="C274" s="16">
        <f>(1+INDEX('1 - Input'!$B$34:$E$63,B274,'1 - Input'!$B$16))^(1/12)-1</f>
        <v>4.1219243192651689E-3</v>
      </c>
      <c r="D274" s="17">
        <f>'1 - Input'!$B$7*(1+'1 - Input'!$B$12)^(B274-1)</f>
        <v>3933.3901658250547</v>
      </c>
      <c r="E274" s="17">
        <f t="shared" si="92"/>
        <v>0</v>
      </c>
      <c r="F274" s="17">
        <f t="shared" si="93"/>
        <v>0</v>
      </c>
      <c r="G274" s="17">
        <f t="shared" si="76"/>
        <v>0</v>
      </c>
      <c r="H274" s="17">
        <f>0</f>
        <v>0</v>
      </c>
      <c r="I274" s="17">
        <f t="shared" si="77"/>
        <v>0</v>
      </c>
      <c r="J274" s="17">
        <f t="shared" si="78"/>
        <v>0</v>
      </c>
      <c r="K274" s="17">
        <f>'1 - Input'!$B$22*(H274-J274)</f>
        <v>0</v>
      </c>
      <c r="L274" s="17">
        <f t="shared" si="79"/>
        <v>0</v>
      </c>
      <c r="M274" s="17">
        <f t="shared" si="80"/>
        <v>0</v>
      </c>
      <c r="N274" s="17">
        <f>0</f>
        <v>0</v>
      </c>
      <c r="O274" s="17">
        <f t="shared" si="81"/>
        <v>3933.3901658250547</v>
      </c>
      <c r="P274" s="17">
        <f t="shared" si="82"/>
        <v>0</v>
      </c>
      <c r="Q274" s="17">
        <f>IF(AND(O274&gt;0,I274&gt;0),O274/(1-'1 - Input'!$B$22*P274),0)</f>
        <v>0</v>
      </c>
      <c r="R274" s="17">
        <f t="shared" si="83"/>
        <v>0</v>
      </c>
      <c r="S274" s="17">
        <f>'1 - Input'!$B$22*P274*R274</f>
        <v>0</v>
      </c>
      <c r="T274" s="17">
        <f t="shared" si="84"/>
        <v>0</v>
      </c>
      <c r="U274" s="17">
        <f t="shared" si="85"/>
        <v>3933.3901658250547</v>
      </c>
      <c r="V274" s="17">
        <f t="shared" si="86"/>
        <v>0</v>
      </c>
      <c r="W274" s="17">
        <f t="shared" si="87"/>
        <v>0</v>
      </c>
      <c r="X274" s="17">
        <f t="shared" si="88"/>
        <v>0</v>
      </c>
      <c r="Y274" s="17">
        <f>IF(MOD(A274,12)=0,W274*'1 - Input'!$B$23,0)</f>
        <v>0</v>
      </c>
      <c r="Z274" s="17">
        <f t="shared" si="89"/>
        <v>0</v>
      </c>
      <c r="AA274" s="17">
        <f>IF(MOD(A274,12)=0,X274*(1-'1 - Input'!$B$23),X274)</f>
        <v>0</v>
      </c>
      <c r="AB274" s="17">
        <f t="shared" si="90"/>
        <v>0</v>
      </c>
      <c r="AC274" s="17">
        <f t="shared" si="94"/>
        <v>676015.57770007267</v>
      </c>
      <c r="AD274" s="17">
        <f t="shared" si="95"/>
        <v>0</v>
      </c>
      <c r="AE274" s="17">
        <f t="shared" si="96"/>
        <v>69240.414874846756</v>
      </c>
      <c r="AF274" s="17">
        <f t="shared" si="97"/>
        <v>0</v>
      </c>
      <c r="AG274" s="17">
        <f t="shared" si="98"/>
        <v>10373.842685499292</v>
      </c>
      <c r="AH274" s="17">
        <f t="shared" si="99"/>
        <v>75818.692292436215</v>
      </c>
      <c r="AI274" s="15">
        <f t="shared" si="91"/>
        <v>1</v>
      </c>
    </row>
    <row r="275" spans="1:35">
      <c r="A275" s="14">
        <v>232</v>
      </c>
      <c r="B275" s="15">
        <f t="shared" si="75"/>
        <v>20</v>
      </c>
      <c r="C275" s="16">
        <f>(1+INDEX('1 - Input'!$B$34:$E$63,B275,'1 - Input'!$B$16))^(1/12)-1</f>
        <v>4.1219243192651689E-3</v>
      </c>
      <c r="D275" s="17">
        <f>'1 - Input'!$B$7*(1+'1 - Input'!$B$12)^(B275-1)</f>
        <v>3933.3901658250547</v>
      </c>
      <c r="E275" s="17">
        <f t="shared" si="92"/>
        <v>0</v>
      </c>
      <c r="F275" s="17">
        <f t="shared" si="93"/>
        <v>0</v>
      </c>
      <c r="G275" s="17">
        <f t="shared" si="76"/>
        <v>0</v>
      </c>
      <c r="H275" s="17">
        <f>0</f>
        <v>0</v>
      </c>
      <c r="I275" s="17">
        <f t="shared" si="77"/>
        <v>0</v>
      </c>
      <c r="J275" s="17">
        <f t="shared" si="78"/>
        <v>0</v>
      </c>
      <c r="K275" s="17">
        <f>'1 - Input'!$B$22*(H275-J275)</f>
        <v>0</v>
      </c>
      <c r="L275" s="17">
        <f t="shared" si="79"/>
        <v>0</v>
      </c>
      <c r="M275" s="17">
        <f t="shared" si="80"/>
        <v>0</v>
      </c>
      <c r="N275" s="17">
        <f>0</f>
        <v>0</v>
      </c>
      <c r="O275" s="17">
        <f t="shared" si="81"/>
        <v>3933.3901658250547</v>
      </c>
      <c r="P275" s="17">
        <f t="shared" si="82"/>
        <v>0</v>
      </c>
      <c r="Q275" s="17">
        <f>IF(AND(O275&gt;0,I275&gt;0),O275/(1-'1 - Input'!$B$22*P275),0)</f>
        <v>0</v>
      </c>
      <c r="R275" s="17">
        <f t="shared" si="83"/>
        <v>0</v>
      </c>
      <c r="S275" s="17">
        <f>'1 - Input'!$B$22*P275*R275</f>
        <v>0</v>
      </c>
      <c r="T275" s="17">
        <f t="shared" si="84"/>
        <v>0</v>
      </c>
      <c r="U275" s="17">
        <f t="shared" si="85"/>
        <v>3933.3901658250547</v>
      </c>
      <c r="V275" s="17">
        <f t="shared" si="86"/>
        <v>0</v>
      </c>
      <c r="W275" s="17">
        <f t="shared" si="87"/>
        <v>0</v>
      </c>
      <c r="X275" s="17">
        <f t="shared" si="88"/>
        <v>0</v>
      </c>
      <c r="Y275" s="17">
        <f>IF(MOD(A275,12)=0,W275*'1 - Input'!$B$23,0)</f>
        <v>0</v>
      </c>
      <c r="Z275" s="17">
        <f t="shared" si="89"/>
        <v>0</v>
      </c>
      <c r="AA275" s="17">
        <f>IF(MOD(A275,12)=0,X275*(1-'1 - Input'!$B$23),X275)</f>
        <v>0</v>
      </c>
      <c r="AB275" s="17">
        <f t="shared" si="90"/>
        <v>0</v>
      </c>
      <c r="AC275" s="17">
        <f t="shared" si="94"/>
        <v>676015.57770007267</v>
      </c>
      <c r="AD275" s="17">
        <f t="shared" si="95"/>
        <v>0</v>
      </c>
      <c r="AE275" s="17">
        <f t="shared" si="96"/>
        <v>69240.414874846756</v>
      </c>
      <c r="AF275" s="17">
        <f t="shared" si="97"/>
        <v>0</v>
      </c>
      <c r="AG275" s="17">
        <f t="shared" si="98"/>
        <v>10373.842685499292</v>
      </c>
      <c r="AH275" s="17">
        <f t="shared" si="99"/>
        <v>79752.082458261269</v>
      </c>
      <c r="AI275" s="15">
        <f t="shared" si="91"/>
        <v>1</v>
      </c>
    </row>
    <row r="276" spans="1:35">
      <c r="A276" s="14">
        <v>233</v>
      </c>
      <c r="B276" s="15">
        <f t="shared" si="75"/>
        <v>20</v>
      </c>
      <c r="C276" s="16">
        <f>(1+INDEX('1 - Input'!$B$34:$E$63,B276,'1 - Input'!$B$16))^(1/12)-1</f>
        <v>4.1219243192651689E-3</v>
      </c>
      <c r="D276" s="17">
        <f>'1 - Input'!$B$7*(1+'1 - Input'!$B$12)^(B276-1)</f>
        <v>3933.3901658250547</v>
      </c>
      <c r="E276" s="17">
        <f t="shared" si="92"/>
        <v>0</v>
      </c>
      <c r="F276" s="17">
        <f t="shared" si="93"/>
        <v>0</v>
      </c>
      <c r="G276" s="17">
        <f t="shared" si="76"/>
        <v>0</v>
      </c>
      <c r="H276" s="17">
        <f>0</f>
        <v>0</v>
      </c>
      <c r="I276" s="17">
        <f t="shared" si="77"/>
        <v>0</v>
      </c>
      <c r="J276" s="17">
        <f t="shared" si="78"/>
        <v>0</v>
      </c>
      <c r="K276" s="17">
        <f>'1 - Input'!$B$22*(H276-J276)</f>
        <v>0</v>
      </c>
      <c r="L276" s="17">
        <f t="shared" si="79"/>
        <v>0</v>
      </c>
      <c r="M276" s="17">
        <f t="shared" si="80"/>
        <v>0</v>
      </c>
      <c r="N276" s="17">
        <f>0</f>
        <v>0</v>
      </c>
      <c r="O276" s="17">
        <f t="shared" si="81"/>
        <v>3933.3901658250547</v>
      </c>
      <c r="P276" s="17">
        <f t="shared" si="82"/>
        <v>0</v>
      </c>
      <c r="Q276" s="17">
        <f>IF(AND(O276&gt;0,I276&gt;0),O276/(1-'1 - Input'!$B$22*P276),0)</f>
        <v>0</v>
      </c>
      <c r="R276" s="17">
        <f t="shared" si="83"/>
        <v>0</v>
      </c>
      <c r="S276" s="17">
        <f>'1 - Input'!$B$22*P276*R276</f>
        <v>0</v>
      </c>
      <c r="T276" s="17">
        <f t="shared" si="84"/>
        <v>0</v>
      </c>
      <c r="U276" s="17">
        <f t="shared" si="85"/>
        <v>3933.3901658250547</v>
      </c>
      <c r="V276" s="17">
        <f t="shared" si="86"/>
        <v>0</v>
      </c>
      <c r="W276" s="17">
        <f t="shared" si="87"/>
        <v>0</v>
      </c>
      <c r="X276" s="17">
        <f t="shared" si="88"/>
        <v>0</v>
      </c>
      <c r="Y276" s="17">
        <f>IF(MOD(A276,12)=0,W276*'1 - Input'!$B$23,0)</f>
        <v>0</v>
      </c>
      <c r="Z276" s="17">
        <f t="shared" si="89"/>
        <v>0</v>
      </c>
      <c r="AA276" s="17">
        <f>IF(MOD(A276,12)=0,X276*(1-'1 - Input'!$B$23),X276)</f>
        <v>0</v>
      </c>
      <c r="AB276" s="17">
        <f t="shared" si="90"/>
        <v>0</v>
      </c>
      <c r="AC276" s="17">
        <f t="shared" si="94"/>
        <v>676015.57770007267</v>
      </c>
      <c r="AD276" s="17">
        <f t="shared" si="95"/>
        <v>0</v>
      </c>
      <c r="AE276" s="17">
        <f t="shared" si="96"/>
        <v>69240.414874846756</v>
      </c>
      <c r="AF276" s="17">
        <f t="shared" si="97"/>
        <v>0</v>
      </c>
      <c r="AG276" s="17">
        <f t="shared" si="98"/>
        <v>10373.842685499292</v>
      </c>
      <c r="AH276" s="17">
        <f t="shared" si="99"/>
        <v>83685.472624086324</v>
      </c>
      <c r="AI276" s="15">
        <f t="shared" si="91"/>
        <v>1</v>
      </c>
    </row>
    <row r="277" spans="1:35">
      <c r="A277" s="14">
        <v>234</v>
      </c>
      <c r="B277" s="15">
        <f t="shared" si="75"/>
        <v>20</v>
      </c>
      <c r="C277" s="16">
        <f>(1+INDEX('1 - Input'!$B$34:$E$63,B277,'1 - Input'!$B$16))^(1/12)-1</f>
        <v>4.1219243192651689E-3</v>
      </c>
      <c r="D277" s="17">
        <f>'1 - Input'!$B$7*(1+'1 - Input'!$B$12)^(B277-1)</f>
        <v>3933.3901658250547</v>
      </c>
      <c r="E277" s="17">
        <f t="shared" si="92"/>
        <v>0</v>
      </c>
      <c r="F277" s="17">
        <f t="shared" si="93"/>
        <v>0</v>
      </c>
      <c r="G277" s="17">
        <f t="shared" si="76"/>
        <v>0</v>
      </c>
      <c r="H277" s="17">
        <f>0</f>
        <v>0</v>
      </c>
      <c r="I277" s="17">
        <f t="shared" si="77"/>
        <v>0</v>
      </c>
      <c r="J277" s="17">
        <f t="shared" si="78"/>
        <v>0</v>
      </c>
      <c r="K277" s="17">
        <f>'1 - Input'!$B$22*(H277-J277)</f>
        <v>0</v>
      </c>
      <c r="L277" s="17">
        <f t="shared" si="79"/>
        <v>0</v>
      </c>
      <c r="M277" s="17">
        <f t="shared" si="80"/>
        <v>0</v>
      </c>
      <c r="N277" s="17">
        <f>0</f>
        <v>0</v>
      </c>
      <c r="O277" s="17">
        <f t="shared" si="81"/>
        <v>3933.3901658250547</v>
      </c>
      <c r="P277" s="17">
        <f t="shared" si="82"/>
        <v>0</v>
      </c>
      <c r="Q277" s="17">
        <f>IF(AND(O277&gt;0,I277&gt;0),O277/(1-'1 - Input'!$B$22*P277),0)</f>
        <v>0</v>
      </c>
      <c r="R277" s="17">
        <f t="shared" si="83"/>
        <v>0</v>
      </c>
      <c r="S277" s="17">
        <f>'1 - Input'!$B$22*P277*R277</f>
        <v>0</v>
      </c>
      <c r="T277" s="17">
        <f t="shared" si="84"/>
        <v>0</v>
      </c>
      <c r="U277" s="17">
        <f t="shared" si="85"/>
        <v>3933.3901658250547</v>
      </c>
      <c r="V277" s="17">
        <f t="shared" si="86"/>
        <v>0</v>
      </c>
      <c r="W277" s="17">
        <f t="shared" si="87"/>
        <v>0</v>
      </c>
      <c r="X277" s="17">
        <f t="shared" si="88"/>
        <v>0</v>
      </c>
      <c r="Y277" s="17">
        <f>IF(MOD(A277,12)=0,W277*'1 - Input'!$B$23,0)</f>
        <v>0</v>
      </c>
      <c r="Z277" s="17">
        <f t="shared" si="89"/>
        <v>0</v>
      </c>
      <c r="AA277" s="17">
        <f>IF(MOD(A277,12)=0,X277*(1-'1 - Input'!$B$23),X277)</f>
        <v>0</v>
      </c>
      <c r="AB277" s="17">
        <f t="shared" si="90"/>
        <v>0</v>
      </c>
      <c r="AC277" s="17">
        <f t="shared" si="94"/>
        <v>676015.57770007267</v>
      </c>
      <c r="AD277" s="17">
        <f t="shared" si="95"/>
        <v>0</v>
      </c>
      <c r="AE277" s="17">
        <f t="shared" si="96"/>
        <v>69240.414874846756</v>
      </c>
      <c r="AF277" s="17">
        <f t="shared" si="97"/>
        <v>0</v>
      </c>
      <c r="AG277" s="17">
        <f t="shared" si="98"/>
        <v>10373.842685499292</v>
      </c>
      <c r="AH277" s="17">
        <f t="shared" si="99"/>
        <v>87618.862789911378</v>
      </c>
      <c r="AI277" s="15">
        <f t="shared" si="91"/>
        <v>1</v>
      </c>
    </row>
    <row r="278" spans="1:35">
      <c r="A278" s="14">
        <v>235</v>
      </c>
      <c r="B278" s="15">
        <f t="shared" si="75"/>
        <v>20</v>
      </c>
      <c r="C278" s="16">
        <f>(1+INDEX('1 - Input'!$B$34:$E$63,B278,'1 - Input'!$B$16))^(1/12)-1</f>
        <v>4.1219243192651689E-3</v>
      </c>
      <c r="D278" s="17">
        <f>'1 - Input'!$B$7*(1+'1 - Input'!$B$12)^(B278-1)</f>
        <v>3933.3901658250547</v>
      </c>
      <c r="E278" s="17">
        <f t="shared" si="92"/>
        <v>0</v>
      </c>
      <c r="F278" s="17">
        <f t="shared" si="93"/>
        <v>0</v>
      </c>
      <c r="G278" s="17">
        <f t="shared" si="76"/>
        <v>0</v>
      </c>
      <c r="H278" s="17">
        <f>0</f>
        <v>0</v>
      </c>
      <c r="I278" s="17">
        <f t="shared" si="77"/>
        <v>0</v>
      </c>
      <c r="J278" s="17">
        <f t="shared" si="78"/>
        <v>0</v>
      </c>
      <c r="K278" s="17">
        <f>'1 - Input'!$B$22*(H278-J278)</f>
        <v>0</v>
      </c>
      <c r="L278" s="17">
        <f t="shared" si="79"/>
        <v>0</v>
      </c>
      <c r="M278" s="17">
        <f t="shared" si="80"/>
        <v>0</v>
      </c>
      <c r="N278" s="17">
        <f>0</f>
        <v>0</v>
      </c>
      <c r="O278" s="17">
        <f t="shared" si="81"/>
        <v>3933.3901658250547</v>
      </c>
      <c r="P278" s="17">
        <f t="shared" si="82"/>
        <v>0</v>
      </c>
      <c r="Q278" s="17">
        <f>IF(AND(O278&gt;0,I278&gt;0),O278/(1-'1 - Input'!$B$22*P278),0)</f>
        <v>0</v>
      </c>
      <c r="R278" s="17">
        <f t="shared" si="83"/>
        <v>0</v>
      </c>
      <c r="S278" s="17">
        <f>'1 - Input'!$B$22*P278*R278</f>
        <v>0</v>
      </c>
      <c r="T278" s="17">
        <f t="shared" si="84"/>
        <v>0</v>
      </c>
      <c r="U278" s="17">
        <f t="shared" si="85"/>
        <v>3933.3901658250547</v>
      </c>
      <c r="V278" s="17">
        <f t="shared" si="86"/>
        <v>0</v>
      </c>
      <c r="W278" s="17">
        <f t="shared" si="87"/>
        <v>0</v>
      </c>
      <c r="X278" s="17">
        <f t="shared" si="88"/>
        <v>0</v>
      </c>
      <c r="Y278" s="17">
        <f>IF(MOD(A278,12)=0,W278*'1 - Input'!$B$23,0)</f>
        <v>0</v>
      </c>
      <c r="Z278" s="17">
        <f t="shared" si="89"/>
        <v>0</v>
      </c>
      <c r="AA278" s="17">
        <f>IF(MOD(A278,12)=0,X278*(1-'1 - Input'!$B$23),X278)</f>
        <v>0</v>
      </c>
      <c r="AB278" s="17">
        <f t="shared" si="90"/>
        <v>0</v>
      </c>
      <c r="AC278" s="17">
        <f t="shared" si="94"/>
        <v>676015.57770007267</v>
      </c>
      <c r="AD278" s="17">
        <f t="shared" si="95"/>
        <v>0</v>
      </c>
      <c r="AE278" s="17">
        <f t="shared" si="96"/>
        <v>69240.414874846756</v>
      </c>
      <c r="AF278" s="17">
        <f t="shared" si="97"/>
        <v>0</v>
      </c>
      <c r="AG278" s="17">
        <f t="shared" si="98"/>
        <v>10373.842685499292</v>
      </c>
      <c r="AH278" s="17">
        <f t="shared" si="99"/>
        <v>91552.252955736432</v>
      </c>
      <c r="AI278" s="15">
        <f t="shared" si="91"/>
        <v>1</v>
      </c>
    </row>
    <row r="279" spans="1:35">
      <c r="A279" s="14">
        <v>236</v>
      </c>
      <c r="B279" s="15">
        <f t="shared" si="75"/>
        <v>20</v>
      </c>
      <c r="C279" s="16">
        <f>(1+INDEX('1 - Input'!$B$34:$E$63,B279,'1 - Input'!$B$16))^(1/12)-1</f>
        <v>4.1219243192651689E-3</v>
      </c>
      <c r="D279" s="17">
        <f>'1 - Input'!$B$7*(1+'1 - Input'!$B$12)^(B279-1)</f>
        <v>3933.3901658250547</v>
      </c>
      <c r="E279" s="17">
        <f t="shared" si="92"/>
        <v>0</v>
      </c>
      <c r="F279" s="17">
        <f t="shared" si="93"/>
        <v>0</v>
      </c>
      <c r="G279" s="17">
        <f t="shared" si="76"/>
        <v>0</v>
      </c>
      <c r="H279" s="17">
        <f>0</f>
        <v>0</v>
      </c>
      <c r="I279" s="17">
        <f t="shared" si="77"/>
        <v>0</v>
      </c>
      <c r="J279" s="17">
        <f t="shared" si="78"/>
        <v>0</v>
      </c>
      <c r="K279" s="17">
        <f>'1 - Input'!$B$22*(H279-J279)</f>
        <v>0</v>
      </c>
      <c r="L279" s="17">
        <f t="shared" si="79"/>
        <v>0</v>
      </c>
      <c r="M279" s="17">
        <f t="shared" si="80"/>
        <v>0</v>
      </c>
      <c r="N279" s="17">
        <f>0</f>
        <v>0</v>
      </c>
      <c r="O279" s="17">
        <f t="shared" si="81"/>
        <v>3933.3901658250547</v>
      </c>
      <c r="P279" s="17">
        <f t="shared" si="82"/>
        <v>0</v>
      </c>
      <c r="Q279" s="17">
        <f>IF(AND(O279&gt;0,I279&gt;0),O279/(1-'1 - Input'!$B$22*P279),0)</f>
        <v>0</v>
      </c>
      <c r="R279" s="17">
        <f t="shared" si="83"/>
        <v>0</v>
      </c>
      <c r="S279" s="17">
        <f>'1 - Input'!$B$22*P279*R279</f>
        <v>0</v>
      </c>
      <c r="T279" s="17">
        <f t="shared" si="84"/>
        <v>0</v>
      </c>
      <c r="U279" s="17">
        <f t="shared" si="85"/>
        <v>3933.3901658250547</v>
      </c>
      <c r="V279" s="17">
        <f t="shared" si="86"/>
        <v>0</v>
      </c>
      <c r="W279" s="17">
        <f t="shared" si="87"/>
        <v>0</v>
      </c>
      <c r="X279" s="17">
        <f t="shared" si="88"/>
        <v>0</v>
      </c>
      <c r="Y279" s="17">
        <f>IF(MOD(A279,12)=0,W279*'1 - Input'!$B$23,0)</f>
        <v>0</v>
      </c>
      <c r="Z279" s="17">
        <f t="shared" si="89"/>
        <v>0</v>
      </c>
      <c r="AA279" s="17">
        <f>IF(MOD(A279,12)=0,X279*(1-'1 - Input'!$B$23),X279)</f>
        <v>0</v>
      </c>
      <c r="AB279" s="17">
        <f t="shared" si="90"/>
        <v>0</v>
      </c>
      <c r="AC279" s="17">
        <f t="shared" si="94"/>
        <v>676015.57770007267</v>
      </c>
      <c r="AD279" s="17">
        <f t="shared" si="95"/>
        <v>0</v>
      </c>
      <c r="AE279" s="17">
        <f t="shared" si="96"/>
        <v>69240.414874846756</v>
      </c>
      <c r="AF279" s="17">
        <f t="shared" si="97"/>
        <v>0</v>
      </c>
      <c r="AG279" s="17">
        <f t="shared" si="98"/>
        <v>10373.842685499292</v>
      </c>
      <c r="AH279" s="17">
        <f t="shared" si="99"/>
        <v>95485.643121561487</v>
      </c>
      <c r="AI279" s="15">
        <f t="shared" si="91"/>
        <v>1</v>
      </c>
    </row>
    <row r="280" spans="1:35">
      <c r="A280" s="14">
        <v>237</v>
      </c>
      <c r="B280" s="15">
        <f t="shared" si="75"/>
        <v>20</v>
      </c>
      <c r="C280" s="16">
        <f>(1+INDEX('1 - Input'!$B$34:$E$63,B280,'1 - Input'!$B$16))^(1/12)-1</f>
        <v>4.1219243192651689E-3</v>
      </c>
      <c r="D280" s="17">
        <f>'1 - Input'!$B$7*(1+'1 - Input'!$B$12)^(B280-1)</f>
        <v>3933.3901658250547</v>
      </c>
      <c r="E280" s="17">
        <f t="shared" si="92"/>
        <v>0</v>
      </c>
      <c r="F280" s="17">
        <f t="shared" si="93"/>
        <v>0</v>
      </c>
      <c r="G280" s="17">
        <f t="shared" si="76"/>
        <v>0</v>
      </c>
      <c r="H280" s="17">
        <f>0</f>
        <v>0</v>
      </c>
      <c r="I280" s="17">
        <f t="shared" si="77"/>
        <v>0</v>
      </c>
      <c r="J280" s="17">
        <f t="shared" si="78"/>
        <v>0</v>
      </c>
      <c r="K280" s="17">
        <f>'1 - Input'!$B$22*(H280-J280)</f>
        <v>0</v>
      </c>
      <c r="L280" s="17">
        <f t="shared" si="79"/>
        <v>0</v>
      </c>
      <c r="M280" s="17">
        <f t="shared" si="80"/>
        <v>0</v>
      </c>
      <c r="N280" s="17">
        <f>0</f>
        <v>0</v>
      </c>
      <c r="O280" s="17">
        <f t="shared" si="81"/>
        <v>3933.3901658250547</v>
      </c>
      <c r="P280" s="17">
        <f t="shared" si="82"/>
        <v>0</v>
      </c>
      <c r="Q280" s="17">
        <f>IF(AND(O280&gt;0,I280&gt;0),O280/(1-'1 - Input'!$B$22*P280),0)</f>
        <v>0</v>
      </c>
      <c r="R280" s="17">
        <f t="shared" si="83"/>
        <v>0</v>
      </c>
      <c r="S280" s="17">
        <f>'1 - Input'!$B$22*P280*R280</f>
        <v>0</v>
      </c>
      <c r="T280" s="17">
        <f t="shared" si="84"/>
        <v>0</v>
      </c>
      <c r="U280" s="17">
        <f t="shared" si="85"/>
        <v>3933.3901658250547</v>
      </c>
      <c r="V280" s="17">
        <f t="shared" si="86"/>
        <v>0</v>
      </c>
      <c r="W280" s="17">
        <f t="shared" si="87"/>
        <v>0</v>
      </c>
      <c r="X280" s="17">
        <f t="shared" si="88"/>
        <v>0</v>
      </c>
      <c r="Y280" s="17">
        <f>IF(MOD(A280,12)=0,W280*'1 - Input'!$B$23,0)</f>
        <v>0</v>
      </c>
      <c r="Z280" s="17">
        <f t="shared" si="89"/>
        <v>0</v>
      </c>
      <c r="AA280" s="17">
        <f>IF(MOD(A280,12)=0,X280*(1-'1 - Input'!$B$23),X280)</f>
        <v>0</v>
      </c>
      <c r="AB280" s="17">
        <f t="shared" si="90"/>
        <v>0</v>
      </c>
      <c r="AC280" s="17">
        <f t="shared" si="94"/>
        <v>676015.57770007267</v>
      </c>
      <c r="AD280" s="17">
        <f t="shared" si="95"/>
        <v>0</v>
      </c>
      <c r="AE280" s="17">
        <f t="shared" si="96"/>
        <v>69240.414874846756</v>
      </c>
      <c r="AF280" s="17">
        <f t="shared" si="97"/>
        <v>0</v>
      </c>
      <c r="AG280" s="17">
        <f t="shared" si="98"/>
        <v>10373.842685499292</v>
      </c>
      <c r="AH280" s="17">
        <f t="shared" si="99"/>
        <v>99419.033287386541</v>
      </c>
      <c r="AI280" s="15">
        <f t="shared" si="91"/>
        <v>1</v>
      </c>
    </row>
    <row r="281" spans="1:35">
      <c r="A281" s="14">
        <v>238</v>
      </c>
      <c r="B281" s="15">
        <f t="shared" si="75"/>
        <v>20</v>
      </c>
      <c r="C281" s="16">
        <f>(1+INDEX('1 - Input'!$B$34:$E$63,B281,'1 - Input'!$B$16))^(1/12)-1</f>
        <v>4.1219243192651689E-3</v>
      </c>
      <c r="D281" s="17">
        <f>'1 - Input'!$B$7*(1+'1 - Input'!$B$12)^(B281-1)</f>
        <v>3933.3901658250547</v>
      </c>
      <c r="E281" s="17">
        <f t="shared" si="92"/>
        <v>0</v>
      </c>
      <c r="F281" s="17">
        <f t="shared" si="93"/>
        <v>0</v>
      </c>
      <c r="G281" s="17">
        <f t="shared" si="76"/>
        <v>0</v>
      </c>
      <c r="H281" s="17">
        <f>0</f>
        <v>0</v>
      </c>
      <c r="I281" s="17">
        <f t="shared" si="77"/>
        <v>0</v>
      </c>
      <c r="J281" s="17">
        <f t="shared" si="78"/>
        <v>0</v>
      </c>
      <c r="K281" s="17">
        <f>'1 - Input'!$B$22*(H281-J281)</f>
        <v>0</v>
      </c>
      <c r="L281" s="17">
        <f t="shared" si="79"/>
        <v>0</v>
      </c>
      <c r="M281" s="17">
        <f t="shared" si="80"/>
        <v>0</v>
      </c>
      <c r="N281" s="17">
        <f>0</f>
        <v>0</v>
      </c>
      <c r="O281" s="17">
        <f t="shared" si="81"/>
        <v>3933.3901658250547</v>
      </c>
      <c r="P281" s="17">
        <f t="shared" si="82"/>
        <v>0</v>
      </c>
      <c r="Q281" s="17">
        <f>IF(AND(O281&gt;0,I281&gt;0),O281/(1-'1 - Input'!$B$22*P281),0)</f>
        <v>0</v>
      </c>
      <c r="R281" s="17">
        <f t="shared" si="83"/>
        <v>0</v>
      </c>
      <c r="S281" s="17">
        <f>'1 - Input'!$B$22*P281*R281</f>
        <v>0</v>
      </c>
      <c r="T281" s="17">
        <f t="shared" si="84"/>
        <v>0</v>
      </c>
      <c r="U281" s="17">
        <f t="shared" si="85"/>
        <v>3933.3901658250547</v>
      </c>
      <c r="V281" s="17">
        <f t="shared" si="86"/>
        <v>0</v>
      </c>
      <c r="W281" s="17">
        <f t="shared" si="87"/>
        <v>0</v>
      </c>
      <c r="X281" s="17">
        <f t="shared" si="88"/>
        <v>0</v>
      </c>
      <c r="Y281" s="17">
        <f>IF(MOD(A281,12)=0,W281*'1 - Input'!$B$23,0)</f>
        <v>0</v>
      </c>
      <c r="Z281" s="17">
        <f t="shared" si="89"/>
        <v>0</v>
      </c>
      <c r="AA281" s="17">
        <f>IF(MOD(A281,12)=0,X281*(1-'1 - Input'!$B$23),X281)</f>
        <v>0</v>
      </c>
      <c r="AB281" s="17">
        <f t="shared" si="90"/>
        <v>0</v>
      </c>
      <c r="AC281" s="17">
        <f t="shared" si="94"/>
        <v>676015.57770007267</v>
      </c>
      <c r="AD281" s="17">
        <f t="shared" si="95"/>
        <v>0</v>
      </c>
      <c r="AE281" s="17">
        <f t="shared" si="96"/>
        <v>69240.414874846756</v>
      </c>
      <c r="AF281" s="17">
        <f t="shared" si="97"/>
        <v>0</v>
      </c>
      <c r="AG281" s="17">
        <f t="shared" si="98"/>
        <v>10373.842685499292</v>
      </c>
      <c r="AH281" s="17">
        <f t="shared" si="99"/>
        <v>103352.4234532116</v>
      </c>
      <c r="AI281" s="15">
        <f t="shared" si="91"/>
        <v>1</v>
      </c>
    </row>
    <row r="282" spans="1:35">
      <c r="A282" s="14">
        <v>239</v>
      </c>
      <c r="B282" s="15">
        <f t="shared" si="75"/>
        <v>20</v>
      </c>
      <c r="C282" s="16">
        <f>(1+INDEX('1 - Input'!$B$34:$E$63,B282,'1 - Input'!$B$16))^(1/12)-1</f>
        <v>4.1219243192651689E-3</v>
      </c>
      <c r="D282" s="17">
        <f>'1 - Input'!$B$7*(1+'1 - Input'!$B$12)^(B282-1)</f>
        <v>3933.3901658250547</v>
      </c>
      <c r="E282" s="17">
        <f t="shared" si="92"/>
        <v>0</v>
      </c>
      <c r="F282" s="17">
        <f t="shared" si="93"/>
        <v>0</v>
      </c>
      <c r="G282" s="17">
        <f t="shared" si="76"/>
        <v>0</v>
      </c>
      <c r="H282" s="17">
        <f>0</f>
        <v>0</v>
      </c>
      <c r="I282" s="17">
        <f t="shared" si="77"/>
        <v>0</v>
      </c>
      <c r="J282" s="17">
        <f t="shared" si="78"/>
        <v>0</v>
      </c>
      <c r="K282" s="17">
        <f>'1 - Input'!$B$22*(H282-J282)</f>
        <v>0</v>
      </c>
      <c r="L282" s="17">
        <f t="shared" si="79"/>
        <v>0</v>
      </c>
      <c r="M282" s="17">
        <f t="shared" si="80"/>
        <v>0</v>
      </c>
      <c r="N282" s="17">
        <f>0</f>
        <v>0</v>
      </c>
      <c r="O282" s="17">
        <f t="shared" si="81"/>
        <v>3933.3901658250547</v>
      </c>
      <c r="P282" s="17">
        <f t="shared" si="82"/>
        <v>0</v>
      </c>
      <c r="Q282" s="17">
        <f>IF(AND(O282&gt;0,I282&gt;0),O282/(1-'1 - Input'!$B$22*P282),0)</f>
        <v>0</v>
      </c>
      <c r="R282" s="17">
        <f t="shared" si="83"/>
        <v>0</v>
      </c>
      <c r="S282" s="17">
        <f>'1 - Input'!$B$22*P282*R282</f>
        <v>0</v>
      </c>
      <c r="T282" s="17">
        <f t="shared" si="84"/>
        <v>0</v>
      </c>
      <c r="U282" s="17">
        <f t="shared" si="85"/>
        <v>3933.3901658250547</v>
      </c>
      <c r="V282" s="17">
        <f t="shared" si="86"/>
        <v>0</v>
      </c>
      <c r="W282" s="17">
        <f t="shared" si="87"/>
        <v>0</v>
      </c>
      <c r="X282" s="17">
        <f t="shared" si="88"/>
        <v>0</v>
      </c>
      <c r="Y282" s="17">
        <f>IF(MOD(A282,12)=0,W282*'1 - Input'!$B$23,0)</f>
        <v>0</v>
      </c>
      <c r="Z282" s="17">
        <f t="shared" si="89"/>
        <v>0</v>
      </c>
      <c r="AA282" s="17">
        <f>IF(MOD(A282,12)=0,X282*(1-'1 - Input'!$B$23),X282)</f>
        <v>0</v>
      </c>
      <c r="AB282" s="17">
        <f t="shared" si="90"/>
        <v>0</v>
      </c>
      <c r="AC282" s="17">
        <f t="shared" si="94"/>
        <v>676015.57770007267</v>
      </c>
      <c r="AD282" s="17">
        <f t="shared" si="95"/>
        <v>0</v>
      </c>
      <c r="AE282" s="17">
        <f t="shared" si="96"/>
        <v>69240.414874846756</v>
      </c>
      <c r="AF282" s="17">
        <f t="shared" si="97"/>
        <v>0</v>
      </c>
      <c r="AG282" s="17">
        <f t="shared" si="98"/>
        <v>10373.842685499292</v>
      </c>
      <c r="AH282" s="17">
        <f t="shared" si="99"/>
        <v>107285.81361903665</v>
      </c>
      <c r="AI282" s="15">
        <f t="shared" si="91"/>
        <v>1</v>
      </c>
    </row>
    <row r="283" spans="1:35">
      <c r="A283" s="14">
        <v>240</v>
      </c>
      <c r="B283" s="15">
        <f t="shared" si="75"/>
        <v>20</v>
      </c>
      <c r="C283" s="16">
        <f>(1+INDEX('1 - Input'!$B$34:$E$63,B283,'1 - Input'!$B$16))^(1/12)-1</f>
        <v>4.1219243192651689E-3</v>
      </c>
      <c r="D283" s="17">
        <f>'1 - Input'!$B$7*(1+'1 - Input'!$B$12)^(B283-1)</f>
        <v>3933.3901658250547</v>
      </c>
      <c r="E283" s="17">
        <f t="shared" si="92"/>
        <v>0</v>
      </c>
      <c r="F283" s="17">
        <f t="shared" si="93"/>
        <v>0</v>
      </c>
      <c r="G283" s="17">
        <f t="shared" si="76"/>
        <v>0</v>
      </c>
      <c r="H283" s="17">
        <f>0</f>
        <v>0</v>
      </c>
      <c r="I283" s="17">
        <f t="shared" si="77"/>
        <v>0</v>
      </c>
      <c r="J283" s="17">
        <f t="shared" si="78"/>
        <v>0</v>
      </c>
      <c r="K283" s="17">
        <f>'1 - Input'!$B$22*(H283-J283)</f>
        <v>0</v>
      </c>
      <c r="L283" s="17">
        <f t="shared" si="79"/>
        <v>0</v>
      </c>
      <c r="M283" s="17">
        <f t="shared" si="80"/>
        <v>0</v>
      </c>
      <c r="N283" s="17">
        <f>0</f>
        <v>0</v>
      </c>
      <c r="O283" s="17">
        <f t="shared" si="81"/>
        <v>3933.3901658250547</v>
      </c>
      <c r="P283" s="17">
        <f t="shared" si="82"/>
        <v>0</v>
      </c>
      <c r="Q283" s="17">
        <f>IF(AND(O283&gt;0,I283&gt;0),O283/(1-'1 - Input'!$B$22*P283),0)</f>
        <v>0</v>
      </c>
      <c r="R283" s="17">
        <f t="shared" si="83"/>
        <v>0</v>
      </c>
      <c r="S283" s="17">
        <f>'1 - Input'!$B$22*P283*R283</f>
        <v>0</v>
      </c>
      <c r="T283" s="17">
        <f t="shared" si="84"/>
        <v>0</v>
      </c>
      <c r="U283" s="17">
        <f t="shared" si="85"/>
        <v>3933.3901658250547</v>
      </c>
      <c r="V283" s="17">
        <f t="shared" si="86"/>
        <v>0</v>
      </c>
      <c r="W283" s="17">
        <f t="shared" si="87"/>
        <v>0</v>
      </c>
      <c r="X283" s="17">
        <f t="shared" si="88"/>
        <v>0</v>
      </c>
      <c r="Y283" s="17">
        <f>IF(MOD(A283,12)=0,W283*'1 - Input'!$B$23,0)</f>
        <v>0</v>
      </c>
      <c r="Z283" s="17">
        <f t="shared" si="89"/>
        <v>0</v>
      </c>
      <c r="AA283" s="17">
        <f>IF(MOD(A283,12)=0,X283*(1-'1 - Input'!$B$23),X283)</f>
        <v>0</v>
      </c>
      <c r="AB283" s="17">
        <f t="shared" si="90"/>
        <v>0</v>
      </c>
      <c r="AC283" s="17">
        <f t="shared" si="94"/>
        <v>676015.57770007267</v>
      </c>
      <c r="AD283" s="17">
        <f t="shared" si="95"/>
        <v>0</v>
      </c>
      <c r="AE283" s="17">
        <f t="shared" si="96"/>
        <v>69240.414874846756</v>
      </c>
      <c r="AF283" s="17">
        <f t="shared" si="97"/>
        <v>0</v>
      </c>
      <c r="AG283" s="17">
        <f t="shared" si="98"/>
        <v>10373.842685499292</v>
      </c>
      <c r="AH283" s="17">
        <f t="shared" si="99"/>
        <v>111219.2037848617</v>
      </c>
      <c r="AI283" s="15">
        <f t="shared" si="91"/>
        <v>1</v>
      </c>
    </row>
    <row r="284" spans="1:35">
      <c r="A284" s="14">
        <v>241</v>
      </c>
      <c r="B284" s="15">
        <f t="shared" si="75"/>
        <v>21</v>
      </c>
      <c r="C284" s="16">
        <f>(1+INDEX('1 - Input'!$B$34:$E$63,B284,'1 - Input'!$B$16))^(1/12)-1</f>
        <v>4.1219243192651689E-3</v>
      </c>
      <c r="D284" s="17">
        <f>'1 - Input'!$B$7*(1+'1 - Input'!$B$12)^(B284-1)</f>
        <v>4012.0579691415564</v>
      </c>
      <c r="E284" s="17">
        <f t="shared" si="92"/>
        <v>0</v>
      </c>
      <c r="F284" s="17">
        <f t="shared" si="93"/>
        <v>0</v>
      </c>
      <c r="G284" s="17">
        <f t="shared" si="76"/>
        <v>0</v>
      </c>
      <c r="H284" s="17">
        <f>0</f>
        <v>0</v>
      </c>
      <c r="I284" s="17">
        <f t="shared" si="77"/>
        <v>0</v>
      </c>
      <c r="J284" s="17">
        <f t="shared" si="78"/>
        <v>0</v>
      </c>
      <c r="K284" s="17">
        <f>'1 - Input'!$B$22*(H284-J284)</f>
        <v>0</v>
      </c>
      <c r="L284" s="17">
        <f t="shared" si="79"/>
        <v>0</v>
      </c>
      <c r="M284" s="17">
        <f t="shared" si="80"/>
        <v>0</v>
      </c>
      <c r="N284" s="17">
        <f>0</f>
        <v>0</v>
      </c>
      <c r="O284" s="17">
        <f t="shared" si="81"/>
        <v>4012.0579691415564</v>
      </c>
      <c r="P284" s="17">
        <f t="shared" si="82"/>
        <v>0</v>
      </c>
      <c r="Q284" s="17">
        <f>IF(AND(O284&gt;0,I284&gt;0),O284/(1-'1 - Input'!$B$22*P284),0)</f>
        <v>0</v>
      </c>
      <c r="R284" s="17">
        <f t="shared" si="83"/>
        <v>0</v>
      </c>
      <c r="S284" s="17">
        <f>'1 - Input'!$B$22*P284*R284</f>
        <v>0</v>
      </c>
      <c r="T284" s="17">
        <f t="shared" si="84"/>
        <v>0</v>
      </c>
      <c r="U284" s="17">
        <f t="shared" si="85"/>
        <v>4012.0579691415564</v>
      </c>
      <c r="V284" s="17">
        <f t="shared" si="86"/>
        <v>0</v>
      </c>
      <c r="W284" s="17">
        <f t="shared" si="87"/>
        <v>0</v>
      </c>
      <c r="X284" s="17">
        <f t="shared" si="88"/>
        <v>0</v>
      </c>
      <c r="Y284" s="17">
        <f>IF(MOD(A284,12)=0,W284*'1 - Input'!$B$23,0)</f>
        <v>0</v>
      </c>
      <c r="Z284" s="17">
        <f t="shared" si="89"/>
        <v>0</v>
      </c>
      <c r="AA284" s="17">
        <f>IF(MOD(A284,12)=0,X284*(1-'1 - Input'!$B$23),X284)</f>
        <v>0</v>
      </c>
      <c r="AB284" s="17">
        <f t="shared" si="90"/>
        <v>0</v>
      </c>
      <c r="AC284" s="17">
        <f t="shared" si="94"/>
        <v>676015.57770007267</v>
      </c>
      <c r="AD284" s="17">
        <f t="shared" si="95"/>
        <v>0</v>
      </c>
      <c r="AE284" s="17">
        <f t="shared" si="96"/>
        <v>69240.414874846756</v>
      </c>
      <c r="AF284" s="17">
        <f t="shared" si="97"/>
        <v>0</v>
      </c>
      <c r="AG284" s="17">
        <f t="shared" si="98"/>
        <v>10373.842685499292</v>
      </c>
      <c r="AH284" s="17">
        <f t="shared" si="99"/>
        <v>115231.26175400327</v>
      </c>
      <c r="AI284" s="15">
        <f t="shared" si="91"/>
        <v>1</v>
      </c>
    </row>
    <row r="285" spans="1:35">
      <c r="A285" s="14">
        <v>242</v>
      </c>
      <c r="B285" s="15">
        <f t="shared" si="75"/>
        <v>21</v>
      </c>
      <c r="C285" s="16">
        <f>(1+INDEX('1 - Input'!$B$34:$E$63,B285,'1 - Input'!$B$16))^(1/12)-1</f>
        <v>4.1219243192651689E-3</v>
      </c>
      <c r="D285" s="17">
        <f>'1 - Input'!$B$7*(1+'1 - Input'!$B$12)^(B285-1)</f>
        <v>4012.0579691415564</v>
      </c>
      <c r="E285" s="17">
        <f t="shared" si="92"/>
        <v>0</v>
      </c>
      <c r="F285" s="17">
        <f t="shared" si="93"/>
        <v>0</v>
      </c>
      <c r="G285" s="17">
        <f t="shared" si="76"/>
        <v>0</v>
      </c>
      <c r="H285" s="17">
        <f>0</f>
        <v>0</v>
      </c>
      <c r="I285" s="17">
        <f t="shared" si="77"/>
        <v>0</v>
      </c>
      <c r="J285" s="17">
        <f t="shared" si="78"/>
        <v>0</v>
      </c>
      <c r="K285" s="17">
        <f>'1 - Input'!$B$22*(H285-J285)</f>
        <v>0</v>
      </c>
      <c r="L285" s="17">
        <f t="shared" si="79"/>
        <v>0</v>
      </c>
      <c r="M285" s="17">
        <f t="shared" si="80"/>
        <v>0</v>
      </c>
      <c r="N285" s="17">
        <f>0</f>
        <v>0</v>
      </c>
      <c r="O285" s="17">
        <f t="shared" si="81"/>
        <v>4012.0579691415564</v>
      </c>
      <c r="P285" s="17">
        <f t="shared" si="82"/>
        <v>0</v>
      </c>
      <c r="Q285" s="17">
        <f>IF(AND(O285&gt;0,I285&gt;0),O285/(1-'1 - Input'!$B$22*P285),0)</f>
        <v>0</v>
      </c>
      <c r="R285" s="17">
        <f t="shared" si="83"/>
        <v>0</v>
      </c>
      <c r="S285" s="17">
        <f>'1 - Input'!$B$22*P285*R285</f>
        <v>0</v>
      </c>
      <c r="T285" s="17">
        <f t="shared" si="84"/>
        <v>0</v>
      </c>
      <c r="U285" s="17">
        <f t="shared" si="85"/>
        <v>4012.0579691415564</v>
      </c>
      <c r="V285" s="17">
        <f t="shared" si="86"/>
        <v>0</v>
      </c>
      <c r="W285" s="17">
        <f t="shared" si="87"/>
        <v>0</v>
      </c>
      <c r="X285" s="17">
        <f t="shared" si="88"/>
        <v>0</v>
      </c>
      <c r="Y285" s="17">
        <f>IF(MOD(A285,12)=0,W285*'1 - Input'!$B$23,0)</f>
        <v>0</v>
      </c>
      <c r="Z285" s="17">
        <f t="shared" si="89"/>
        <v>0</v>
      </c>
      <c r="AA285" s="17">
        <f>IF(MOD(A285,12)=0,X285*(1-'1 - Input'!$B$23),X285)</f>
        <v>0</v>
      </c>
      <c r="AB285" s="17">
        <f t="shared" si="90"/>
        <v>0</v>
      </c>
      <c r="AC285" s="17">
        <f t="shared" si="94"/>
        <v>676015.57770007267</v>
      </c>
      <c r="AD285" s="17">
        <f t="shared" si="95"/>
        <v>0</v>
      </c>
      <c r="AE285" s="17">
        <f t="shared" si="96"/>
        <v>69240.414874846756</v>
      </c>
      <c r="AF285" s="17">
        <f t="shared" si="97"/>
        <v>0</v>
      </c>
      <c r="AG285" s="17">
        <f t="shared" si="98"/>
        <v>10373.842685499292</v>
      </c>
      <c r="AH285" s="17">
        <f t="shared" si="99"/>
        <v>119243.31972314483</v>
      </c>
      <c r="AI285" s="15">
        <f t="shared" si="91"/>
        <v>1</v>
      </c>
    </row>
    <row r="286" spans="1:35">
      <c r="A286" s="14">
        <v>243</v>
      </c>
      <c r="B286" s="15">
        <f t="shared" si="75"/>
        <v>21</v>
      </c>
      <c r="C286" s="16">
        <f>(1+INDEX('1 - Input'!$B$34:$E$63,B286,'1 - Input'!$B$16))^(1/12)-1</f>
        <v>4.1219243192651689E-3</v>
      </c>
      <c r="D286" s="17">
        <f>'1 - Input'!$B$7*(1+'1 - Input'!$B$12)^(B286-1)</f>
        <v>4012.0579691415564</v>
      </c>
      <c r="E286" s="17">
        <f t="shared" si="92"/>
        <v>0</v>
      </c>
      <c r="F286" s="17">
        <f t="shared" si="93"/>
        <v>0</v>
      </c>
      <c r="G286" s="17">
        <f t="shared" si="76"/>
        <v>0</v>
      </c>
      <c r="H286" s="17">
        <f>0</f>
        <v>0</v>
      </c>
      <c r="I286" s="17">
        <f t="shared" si="77"/>
        <v>0</v>
      </c>
      <c r="J286" s="17">
        <f t="shared" si="78"/>
        <v>0</v>
      </c>
      <c r="K286" s="17">
        <f>'1 - Input'!$B$22*(H286-J286)</f>
        <v>0</v>
      </c>
      <c r="L286" s="17">
        <f t="shared" si="79"/>
        <v>0</v>
      </c>
      <c r="M286" s="17">
        <f t="shared" si="80"/>
        <v>0</v>
      </c>
      <c r="N286" s="17">
        <f>0</f>
        <v>0</v>
      </c>
      <c r="O286" s="17">
        <f t="shared" si="81"/>
        <v>4012.0579691415564</v>
      </c>
      <c r="P286" s="17">
        <f t="shared" si="82"/>
        <v>0</v>
      </c>
      <c r="Q286" s="17">
        <f>IF(AND(O286&gt;0,I286&gt;0),O286/(1-'1 - Input'!$B$22*P286),0)</f>
        <v>0</v>
      </c>
      <c r="R286" s="17">
        <f t="shared" si="83"/>
        <v>0</v>
      </c>
      <c r="S286" s="17">
        <f>'1 - Input'!$B$22*P286*R286</f>
        <v>0</v>
      </c>
      <c r="T286" s="17">
        <f t="shared" si="84"/>
        <v>0</v>
      </c>
      <c r="U286" s="17">
        <f t="shared" si="85"/>
        <v>4012.0579691415564</v>
      </c>
      <c r="V286" s="17">
        <f t="shared" si="86"/>
        <v>0</v>
      </c>
      <c r="W286" s="17">
        <f t="shared" si="87"/>
        <v>0</v>
      </c>
      <c r="X286" s="17">
        <f t="shared" si="88"/>
        <v>0</v>
      </c>
      <c r="Y286" s="17">
        <f>IF(MOD(A286,12)=0,W286*'1 - Input'!$B$23,0)</f>
        <v>0</v>
      </c>
      <c r="Z286" s="17">
        <f t="shared" si="89"/>
        <v>0</v>
      </c>
      <c r="AA286" s="17">
        <f>IF(MOD(A286,12)=0,X286*(1-'1 - Input'!$B$23),X286)</f>
        <v>0</v>
      </c>
      <c r="AB286" s="17">
        <f t="shared" si="90"/>
        <v>0</v>
      </c>
      <c r="AC286" s="17">
        <f t="shared" si="94"/>
        <v>676015.57770007267</v>
      </c>
      <c r="AD286" s="17">
        <f t="shared" si="95"/>
        <v>0</v>
      </c>
      <c r="AE286" s="17">
        <f t="shared" si="96"/>
        <v>69240.414874846756</v>
      </c>
      <c r="AF286" s="17">
        <f t="shared" si="97"/>
        <v>0</v>
      </c>
      <c r="AG286" s="17">
        <f t="shared" si="98"/>
        <v>10373.842685499292</v>
      </c>
      <c r="AH286" s="17">
        <f t="shared" si="99"/>
        <v>123255.37769228639</v>
      </c>
      <c r="AI286" s="15">
        <f t="shared" si="91"/>
        <v>1</v>
      </c>
    </row>
    <row r="287" spans="1:35">
      <c r="A287" s="14">
        <v>244</v>
      </c>
      <c r="B287" s="15">
        <f t="shared" si="75"/>
        <v>21</v>
      </c>
      <c r="C287" s="16">
        <f>(1+INDEX('1 - Input'!$B$34:$E$63,B287,'1 - Input'!$B$16))^(1/12)-1</f>
        <v>4.1219243192651689E-3</v>
      </c>
      <c r="D287" s="17">
        <f>'1 - Input'!$B$7*(1+'1 - Input'!$B$12)^(B287-1)</f>
        <v>4012.0579691415564</v>
      </c>
      <c r="E287" s="17">
        <f t="shared" si="92"/>
        <v>0</v>
      </c>
      <c r="F287" s="17">
        <f t="shared" si="93"/>
        <v>0</v>
      </c>
      <c r="G287" s="17">
        <f t="shared" si="76"/>
        <v>0</v>
      </c>
      <c r="H287" s="17">
        <f>0</f>
        <v>0</v>
      </c>
      <c r="I287" s="17">
        <f t="shared" si="77"/>
        <v>0</v>
      </c>
      <c r="J287" s="17">
        <f t="shared" si="78"/>
        <v>0</v>
      </c>
      <c r="K287" s="17">
        <f>'1 - Input'!$B$22*(H287-J287)</f>
        <v>0</v>
      </c>
      <c r="L287" s="17">
        <f t="shared" si="79"/>
        <v>0</v>
      </c>
      <c r="M287" s="17">
        <f t="shared" si="80"/>
        <v>0</v>
      </c>
      <c r="N287" s="17">
        <f>0</f>
        <v>0</v>
      </c>
      <c r="O287" s="17">
        <f t="shared" si="81"/>
        <v>4012.0579691415564</v>
      </c>
      <c r="P287" s="17">
        <f t="shared" si="82"/>
        <v>0</v>
      </c>
      <c r="Q287" s="17">
        <f>IF(AND(O287&gt;0,I287&gt;0),O287/(1-'1 - Input'!$B$22*P287),0)</f>
        <v>0</v>
      </c>
      <c r="R287" s="17">
        <f t="shared" si="83"/>
        <v>0</v>
      </c>
      <c r="S287" s="17">
        <f>'1 - Input'!$B$22*P287*R287</f>
        <v>0</v>
      </c>
      <c r="T287" s="17">
        <f t="shared" si="84"/>
        <v>0</v>
      </c>
      <c r="U287" s="17">
        <f t="shared" si="85"/>
        <v>4012.0579691415564</v>
      </c>
      <c r="V287" s="17">
        <f t="shared" si="86"/>
        <v>0</v>
      </c>
      <c r="W287" s="17">
        <f t="shared" si="87"/>
        <v>0</v>
      </c>
      <c r="X287" s="17">
        <f t="shared" si="88"/>
        <v>0</v>
      </c>
      <c r="Y287" s="17">
        <f>IF(MOD(A287,12)=0,W287*'1 - Input'!$B$23,0)</f>
        <v>0</v>
      </c>
      <c r="Z287" s="17">
        <f t="shared" si="89"/>
        <v>0</v>
      </c>
      <c r="AA287" s="17">
        <f>IF(MOD(A287,12)=0,X287*(1-'1 - Input'!$B$23),X287)</f>
        <v>0</v>
      </c>
      <c r="AB287" s="17">
        <f t="shared" si="90"/>
        <v>0</v>
      </c>
      <c r="AC287" s="17">
        <f t="shared" si="94"/>
        <v>676015.57770007267</v>
      </c>
      <c r="AD287" s="17">
        <f t="shared" si="95"/>
        <v>0</v>
      </c>
      <c r="AE287" s="17">
        <f t="shared" si="96"/>
        <v>69240.414874846756</v>
      </c>
      <c r="AF287" s="17">
        <f t="shared" si="97"/>
        <v>0</v>
      </c>
      <c r="AG287" s="17">
        <f t="shared" si="98"/>
        <v>10373.842685499292</v>
      </c>
      <c r="AH287" s="17">
        <f t="shared" si="99"/>
        <v>127267.43566142795</v>
      </c>
      <c r="AI287" s="15">
        <f t="shared" si="91"/>
        <v>1</v>
      </c>
    </row>
    <row r="288" spans="1:35">
      <c r="A288" s="14">
        <v>245</v>
      </c>
      <c r="B288" s="15">
        <f t="shared" si="75"/>
        <v>21</v>
      </c>
      <c r="C288" s="16">
        <f>(1+INDEX('1 - Input'!$B$34:$E$63,B288,'1 - Input'!$B$16))^(1/12)-1</f>
        <v>4.1219243192651689E-3</v>
      </c>
      <c r="D288" s="17">
        <f>'1 - Input'!$B$7*(1+'1 - Input'!$B$12)^(B288-1)</f>
        <v>4012.0579691415564</v>
      </c>
      <c r="E288" s="17">
        <f t="shared" si="92"/>
        <v>0</v>
      </c>
      <c r="F288" s="17">
        <f t="shared" si="93"/>
        <v>0</v>
      </c>
      <c r="G288" s="17">
        <f t="shared" si="76"/>
        <v>0</v>
      </c>
      <c r="H288" s="17">
        <f>0</f>
        <v>0</v>
      </c>
      <c r="I288" s="17">
        <f t="shared" si="77"/>
        <v>0</v>
      </c>
      <c r="J288" s="17">
        <f t="shared" si="78"/>
        <v>0</v>
      </c>
      <c r="K288" s="17">
        <f>'1 - Input'!$B$22*(H288-J288)</f>
        <v>0</v>
      </c>
      <c r="L288" s="17">
        <f t="shared" si="79"/>
        <v>0</v>
      </c>
      <c r="M288" s="17">
        <f t="shared" si="80"/>
        <v>0</v>
      </c>
      <c r="N288" s="17">
        <f>0</f>
        <v>0</v>
      </c>
      <c r="O288" s="17">
        <f t="shared" si="81"/>
        <v>4012.0579691415564</v>
      </c>
      <c r="P288" s="17">
        <f t="shared" si="82"/>
        <v>0</v>
      </c>
      <c r="Q288" s="17">
        <f>IF(AND(O288&gt;0,I288&gt;0),O288/(1-'1 - Input'!$B$22*P288),0)</f>
        <v>0</v>
      </c>
      <c r="R288" s="17">
        <f t="shared" si="83"/>
        <v>0</v>
      </c>
      <c r="S288" s="17">
        <f>'1 - Input'!$B$22*P288*R288</f>
        <v>0</v>
      </c>
      <c r="T288" s="17">
        <f t="shared" si="84"/>
        <v>0</v>
      </c>
      <c r="U288" s="17">
        <f t="shared" si="85"/>
        <v>4012.0579691415564</v>
      </c>
      <c r="V288" s="17">
        <f t="shared" si="86"/>
        <v>0</v>
      </c>
      <c r="W288" s="17">
        <f t="shared" si="87"/>
        <v>0</v>
      </c>
      <c r="X288" s="17">
        <f t="shared" si="88"/>
        <v>0</v>
      </c>
      <c r="Y288" s="17">
        <f>IF(MOD(A288,12)=0,W288*'1 - Input'!$B$23,0)</f>
        <v>0</v>
      </c>
      <c r="Z288" s="17">
        <f t="shared" si="89"/>
        <v>0</v>
      </c>
      <c r="AA288" s="17">
        <f>IF(MOD(A288,12)=0,X288*(1-'1 - Input'!$B$23),X288)</f>
        <v>0</v>
      </c>
      <c r="AB288" s="17">
        <f t="shared" si="90"/>
        <v>0</v>
      </c>
      <c r="AC288" s="17">
        <f t="shared" si="94"/>
        <v>676015.57770007267</v>
      </c>
      <c r="AD288" s="17">
        <f t="shared" si="95"/>
        <v>0</v>
      </c>
      <c r="AE288" s="17">
        <f t="shared" si="96"/>
        <v>69240.414874846756</v>
      </c>
      <c r="AF288" s="17">
        <f t="shared" si="97"/>
        <v>0</v>
      </c>
      <c r="AG288" s="17">
        <f t="shared" si="98"/>
        <v>10373.842685499292</v>
      </c>
      <c r="AH288" s="17">
        <f t="shared" si="99"/>
        <v>131279.49363056952</v>
      </c>
      <c r="AI288" s="15">
        <f t="shared" si="91"/>
        <v>1</v>
      </c>
    </row>
    <row r="289" spans="1:35">
      <c r="A289" s="14">
        <v>246</v>
      </c>
      <c r="B289" s="15">
        <f t="shared" si="75"/>
        <v>21</v>
      </c>
      <c r="C289" s="16">
        <f>(1+INDEX('1 - Input'!$B$34:$E$63,B289,'1 - Input'!$B$16))^(1/12)-1</f>
        <v>4.1219243192651689E-3</v>
      </c>
      <c r="D289" s="17">
        <f>'1 - Input'!$B$7*(1+'1 - Input'!$B$12)^(B289-1)</f>
        <v>4012.0579691415564</v>
      </c>
      <c r="E289" s="17">
        <f t="shared" si="92"/>
        <v>0</v>
      </c>
      <c r="F289" s="17">
        <f t="shared" si="93"/>
        <v>0</v>
      </c>
      <c r="G289" s="17">
        <f t="shared" si="76"/>
        <v>0</v>
      </c>
      <c r="H289" s="17">
        <f>0</f>
        <v>0</v>
      </c>
      <c r="I289" s="17">
        <f t="shared" si="77"/>
        <v>0</v>
      </c>
      <c r="J289" s="17">
        <f t="shared" si="78"/>
        <v>0</v>
      </c>
      <c r="K289" s="17">
        <f>'1 - Input'!$B$22*(H289-J289)</f>
        <v>0</v>
      </c>
      <c r="L289" s="17">
        <f t="shared" si="79"/>
        <v>0</v>
      </c>
      <c r="M289" s="17">
        <f t="shared" si="80"/>
        <v>0</v>
      </c>
      <c r="N289" s="17">
        <f>0</f>
        <v>0</v>
      </c>
      <c r="O289" s="17">
        <f t="shared" si="81"/>
        <v>4012.0579691415564</v>
      </c>
      <c r="P289" s="17">
        <f t="shared" si="82"/>
        <v>0</v>
      </c>
      <c r="Q289" s="17">
        <f>IF(AND(O289&gt;0,I289&gt;0),O289/(1-'1 - Input'!$B$22*P289),0)</f>
        <v>0</v>
      </c>
      <c r="R289" s="17">
        <f t="shared" si="83"/>
        <v>0</v>
      </c>
      <c r="S289" s="17">
        <f>'1 - Input'!$B$22*P289*R289</f>
        <v>0</v>
      </c>
      <c r="T289" s="17">
        <f t="shared" si="84"/>
        <v>0</v>
      </c>
      <c r="U289" s="17">
        <f t="shared" si="85"/>
        <v>4012.0579691415564</v>
      </c>
      <c r="V289" s="17">
        <f t="shared" si="86"/>
        <v>0</v>
      </c>
      <c r="W289" s="17">
        <f t="shared" si="87"/>
        <v>0</v>
      </c>
      <c r="X289" s="17">
        <f t="shared" si="88"/>
        <v>0</v>
      </c>
      <c r="Y289" s="17">
        <f>IF(MOD(A289,12)=0,W289*'1 - Input'!$B$23,0)</f>
        <v>0</v>
      </c>
      <c r="Z289" s="17">
        <f t="shared" si="89"/>
        <v>0</v>
      </c>
      <c r="AA289" s="17">
        <f>IF(MOD(A289,12)=0,X289*(1-'1 - Input'!$B$23),X289)</f>
        <v>0</v>
      </c>
      <c r="AB289" s="17">
        <f t="shared" si="90"/>
        <v>0</v>
      </c>
      <c r="AC289" s="17">
        <f t="shared" si="94"/>
        <v>676015.57770007267</v>
      </c>
      <c r="AD289" s="17">
        <f t="shared" si="95"/>
        <v>0</v>
      </c>
      <c r="AE289" s="17">
        <f t="shared" si="96"/>
        <v>69240.414874846756</v>
      </c>
      <c r="AF289" s="17">
        <f t="shared" si="97"/>
        <v>0</v>
      </c>
      <c r="AG289" s="17">
        <f t="shared" si="98"/>
        <v>10373.842685499292</v>
      </c>
      <c r="AH289" s="17">
        <f t="shared" si="99"/>
        <v>135291.55159971106</v>
      </c>
      <c r="AI289" s="15">
        <f t="shared" si="91"/>
        <v>1</v>
      </c>
    </row>
    <row r="290" spans="1:35">
      <c r="A290" s="14">
        <v>247</v>
      </c>
      <c r="B290" s="15">
        <f t="shared" si="75"/>
        <v>21</v>
      </c>
      <c r="C290" s="16">
        <f>(1+INDEX('1 - Input'!$B$34:$E$63,B290,'1 - Input'!$B$16))^(1/12)-1</f>
        <v>4.1219243192651689E-3</v>
      </c>
      <c r="D290" s="17">
        <f>'1 - Input'!$B$7*(1+'1 - Input'!$B$12)^(B290-1)</f>
        <v>4012.0579691415564</v>
      </c>
      <c r="E290" s="17">
        <f t="shared" si="92"/>
        <v>0</v>
      </c>
      <c r="F290" s="17">
        <f t="shared" si="93"/>
        <v>0</v>
      </c>
      <c r="G290" s="17">
        <f t="shared" si="76"/>
        <v>0</v>
      </c>
      <c r="H290" s="17">
        <f>0</f>
        <v>0</v>
      </c>
      <c r="I290" s="17">
        <f t="shared" si="77"/>
        <v>0</v>
      </c>
      <c r="J290" s="17">
        <f t="shared" si="78"/>
        <v>0</v>
      </c>
      <c r="K290" s="17">
        <f>'1 - Input'!$B$22*(H290-J290)</f>
        <v>0</v>
      </c>
      <c r="L290" s="17">
        <f t="shared" si="79"/>
        <v>0</v>
      </c>
      <c r="M290" s="17">
        <f t="shared" si="80"/>
        <v>0</v>
      </c>
      <c r="N290" s="17">
        <f>0</f>
        <v>0</v>
      </c>
      <c r="O290" s="17">
        <f t="shared" si="81"/>
        <v>4012.0579691415564</v>
      </c>
      <c r="P290" s="17">
        <f t="shared" si="82"/>
        <v>0</v>
      </c>
      <c r="Q290" s="17">
        <f>IF(AND(O290&gt;0,I290&gt;0),O290/(1-'1 - Input'!$B$22*P290),0)</f>
        <v>0</v>
      </c>
      <c r="R290" s="17">
        <f t="shared" si="83"/>
        <v>0</v>
      </c>
      <c r="S290" s="17">
        <f>'1 - Input'!$B$22*P290*R290</f>
        <v>0</v>
      </c>
      <c r="T290" s="17">
        <f t="shared" si="84"/>
        <v>0</v>
      </c>
      <c r="U290" s="17">
        <f t="shared" si="85"/>
        <v>4012.0579691415564</v>
      </c>
      <c r="V290" s="17">
        <f t="shared" si="86"/>
        <v>0</v>
      </c>
      <c r="W290" s="17">
        <f t="shared" si="87"/>
        <v>0</v>
      </c>
      <c r="X290" s="17">
        <f t="shared" si="88"/>
        <v>0</v>
      </c>
      <c r="Y290" s="17">
        <f>IF(MOD(A290,12)=0,W290*'1 - Input'!$B$23,0)</f>
        <v>0</v>
      </c>
      <c r="Z290" s="17">
        <f t="shared" si="89"/>
        <v>0</v>
      </c>
      <c r="AA290" s="17">
        <f>IF(MOD(A290,12)=0,X290*(1-'1 - Input'!$B$23),X290)</f>
        <v>0</v>
      </c>
      <c r="AB290" s="17">
        <f t="shared" si="90"/>
        <v>0</v>
      </c>
      <c r="AC290" s="17">
        <f t="shared" si="94"/>
        <v>676015.57770007267</v>
      </c>
      <c r="AD290" s="17">
        <f t="shared" si="95"/>
        <v>0</v>
      </c>
      <c r="AE290" s="17">
        <f t="shared" si="96"/>
        <v>69240.414874846756</v>
      </c>
      <c r="AF290" s="17">
        <f t="shared" si="97"/>
        <v>0</v>
      </c>
      <c r="AG290" s="17">
        <f t="shared" si="98"/>
        <v>10373.842685499292</v>
      </c>
      <c r="AH290" s="17">
        <f t="shared" si="99"/>
        <v>139303.60956885261</v>
      </c>
      <c r="AI290" s="15">
        <f t="shared" si="91"/>
        <v>1</v>
      </c>
    </row>
    <row r="291" spans="1:35">
      <c r="A291" s="14">
        <v>248</v>
      </c>
      <c r="B291" s="15">
        <f t="shared" si="75"/>
        <v>21</v>
      </c>
      <c r="C291" s="16">
        <f>(1+INDEX('1 - Input'!$B$34:$E$63,B291,'1 - Input'!$B$16))^(1/12)-1</f>
        <v>4.1219243192651689E-3</v>
      </c>
      <c r="D291" s="17">
        <f>'1 - Input'!$B$7*(1+'1 - Input'!$B$12)^(B291-1)</f>
        <v>4012.0579691415564</v>
      </c>
      <c r="E291" s="17">
        <f t="shared" si="92"/>
        <v>0</v>
      </c>
      <c r="F291" s="17">
        <f t="shared" si="93"/>
        <v>0</v>
      </c>
      <c r="G291" s="17">
        <f t="shared" si="76"/>
        <v>0</v>
      </c>
      <c r="H291" s="17">
        <f>0</f>
        <v>0</v>
      </c>
      <c r="I291" s="17">
        <f t="shared" si="77"/>
        <v>0</v>
      </c>
      <c r="J291" s="17">
        <f t="shared" si="78"/>
        <v>0</v>
      </c>
      <c r="K291" s="17">
        <f>'1 - Input'!$B$22*(H291-J291)</f>
        <v>0</v>
      </c>
      <c r="L291" s="17">
        <f t="shared" si="79"/>
        <v>0</v>
      </c>
      <c r="M291" s="17">
        <f t="shared" si="80"/>
        <v>0</v>
      </c>
      <c r="N291" s="17">
        <f>0</f>
        <v>0</v>
      </c>
      <c r="O291" s="17">
        <f t="shared" si="81"/>
        <v>4012.0579691415564</v>
      </c>
      <c r="P291" s="17">
        <f t="shared" si="82"/>
        <v>0</v>
      </c>
      <c r="Q291" s="17">
        <f>IF(AND(O291&gt;0,I291&gt;0),O291/(1-'1 - Input'!$B$22*P291),0)</f>
        <v>0</v>
      </c>
      <c r="R291" s="17">
        <f t="shared" si="83"/>
        <v>0</v>
      </c>
      <c r="S291" s="17">
        <f>'1 - Input'!$B$22*P291*R291</f>
        <v>0</v>
      </c>
      <c r="T291" s="17">
        <f t="shared" si="84"/>
        <v>0</v>
      </c>
      <c r="U291" s="17">
        <f t="shared" si="85"/>
        <v>4012.0579691415564</v>
      </c>
      <c r="V291" s="17">
        <f t="shared" si="86"/>
        <v>0</v>
      </c>
      <c r="W291" s="17">
        <f t="shared" si="87"/>
        <v>0</v>
      </c>
      <c r="X291" s="17">
        <f t="shared" si="88"/>
        <v>0</v>
      </c>
      <c r="Y291" s="17">
        <f>IF(MOD(A291,12)=0,W291*'1 - Input'!$B$23,0)</f>
        <v>0</v>
      </c>
      <c r="Z291" s="17">
        <f t="shared" si="89"/>
        <v>0</v>
      </c>
      <c r="AA291" s="17">
        <f>IF(MOD(A291,12)=0,X291*(1-'1 - Input'!$B$23),X291)</f>
        <v>0</v>
      </c>
      <c r="AB291" s="17">
        <f t="shared" si="90"/>
        <v>0</v>
      </c>
      <c r="AC291" s="17">
        <f t="shared" si="94"/>
        <v>676015.57770007267</v>
      </c>
      <c r="AD291" s="17">
        <f t="shared" si="95"/>
        <v>0</v>
      </c>
      <c r="AE291" s="17">
        <f t="shared" si="96"/>
        <v>69240.414874846756</v>
      </c>
      <c r="AF291" s="17">
        <f t="shared" si="97"/>
        <v>0</v>
      </c>
      <c r="AG291" s="17">
        <f t="shared" si="98"/>
        <v>10373.842685499292</v>
      </c>
      <c r="AH291" s="17">
        <f t="shared" si="99"/>
        <v>143315.66753799416</v>
      </c>
      <c r="AI291" s="15">
        <f t="shared" si="91"/>
        <v>1</v>
      </c>
    </row>
    <row r="292" spans="1:35">
      <c r="A292" s="14">
        <v>249</v>
      </c>
      <c r="B292" s="15">
        <f t="shared" si="75"/>
        <v>21</v>
      </c>
      <c r="C292" s="16">
        <f>(1+INDEX('1 - Input'!$B$34:$E$63,B292,'1 - Input'!$B$16))^(1/12)-1</f>
        <v>4.1219243192651689E-3</v>
      </c>
      <c r="D292" s="17">
        <f>'1 - Input'!$B$7*(1+'1 - Input'!$B$12)^(B292-1)</f>
        <v>4012.0579691415564</v>
      </c>
      <c r="E292" s="17">
        <f t="shared" si="92"/>
        <v>0</v>
      </c>
      <c r="F292" s="17">
        <f t="shared" si="93"/>
        <v>0</v>
      </c>
      <c r="G292" s="17">
        <f t="shared" si="76"/>
        <v>0</v>
      </c>
      <c r="H292" s="17">
        <f>0</f>
        <v>0</v>
      </c>
      <c r="I292" s="17">
        <f t="shared" si="77"/>
        <v>0</v>
      </c>
      <c r="J292" s="17">
        <f t="shared" si="78"/>
        <v>0</v>
      </c>
      <c r="K292" s="17">
        <f>'1 - Input'!$B$22*(H292-J292)</f>
        <v>0</v>
      </c>
      <c r="L292" s="17">
        <f t="shared" si="79"/>
        <v>0</v>
      </c>
      <c r="M292" s="17">
        <f t="shared" si="80"/>
        <v>0</v>
      </c>
      <c r="N292" s="17">
        <f>0</f>
        <v>0</v>
      </c>
      <c r="O292" s="17">
        <f t="shared" si="81"/>
        <v>4012.0579691415564</v>
      </c>
      <c r="P292" s="17">
        <f t="shared" si="82"/>
        <v>0</v>
      </c>
      <c r="Q292" s="17">
        <f>IF(AND(O292&gt;0,I292&gt;0),O292/(1-'1 - Input'!$B$22*P292),0)</f>
        <v>0</v>
      </c>
      <c r="R292" s="17">
        <f t="shared" si="83"/>
        <v>0</v>
      </c>
      <c r="S292" s="17">
        <f>'1 - Input'!$B$22*P292*R292</f>
        <v>0</v>
      </c>
      <c r="T292" s="17">
        <f t="shared" si="84"/>
        <v>0</v>
      </c>
      <c r="U292" s="17">
        <f t="shared" si="85"/>
        <v>4012.0579691415564</v>
      </c>
      <c r="V292" s="17">
        <f t="shared" si="86"/>
        <v>0</v>
      </c>
      <c r="W292" s="17">
        <f t="shared" si="87"/>
        <v>0</v>
      </c>
      <c r="X292" s="17">
        <f t="shared" si="88"/>
        <v>0</v>
      </c>
      <c r="Y292" s="17">
        <f>IF(MOD(A292,12)=0,W292*'1 - Input'!$B$23,0)</f>
        <v>0</v>
      </c>
      <c r="Z292" s="17">
        <f t="shared" si="89"/>
        <v>0</v>
      </c>
      <c r="AA292" s="17">
        <f>IF(MOD(A292,12)=0,X292*(1-'1 - Input'!$B$23),X292)</f>
        <v>0</v>
      </c>
      <c r="AB292" s="17">
        <f t="shared" si="90"/>
        <v>0</v>
      </c>
      <c r="AC292" s="17">
        <f t="shared" si="94"/>
        <v>676015.57770007267</v>
      </c>
      <c r="AD292" s="17">
        <f t="shared" si="95"/>
        <v>0</v>
      </c>
      <c r="AE292" s="17">
        <f t="shared" si="96"/>
        <v>69240.414874846756</v>
      </c>
      <c r="AF292" s="17">
        <f t="shared" si="97"/>
        <v>0</v>
      </c>
      <c r="AG292" s="17">
        <f t="shared" si="98"/>
        <v>10373.842685499292</v>
      </c>
      <c r="AH292" s="17">
        <f t="shared" si="99"/>
        <v>147327.72550713571</v>
      </c>
      <c r="AI292" s="15">
        <f t="shared" si="91"/>
        <v>1</v>
      </c>
    </row>
    <row r="293" spans="1:35">
      <c r="A293" s="14">
        <v>250</v>
      </c>
      <c r="B293" s="15">
        <f t="shared" si="75"/>
        <v>21</v>
      </c>
      <c r="C293" s="16">
        <f>(1+INDEX('1 - Input'!$B$34:$E$63,B293,'1 - Input'!$B$16))^(1/12)-1</f>
        <v>4.1219243192651689E-3</v>
      </c>
      <c r="D293" s="17">
        <f>'1 - Input'!$B$7*(1+'1 - Input'!$B$12)^(B293-1)</f>
        <v>4012.0579691415564</v>
      </c>
      <c r="E293" s="17">
        <f t="shared" si="92"/>
        <v>0</v>
      </c>
      <c r="F293" s="17">
        <f t="shared" si="93"/>
        <v>0</v>
      </c>
      <c r="G293" s="17">
        <f t="shared" si="76"/>
        <v>0</v>
      </c>
      <c r="H293" s="17">
        <f>0</f>
        <v>0</v>
      </c>
      <c r="I293" s="17">
        <f t="shared" si="77"/>
        <v>0</v>
      </c>
      <c r="J293" s="17">
        <f t="shared" si="78"/>
        <v>0</v>
      </c>
      <c r="K293" s="17">
        <f>'1 - Input'!$B$22*(H293-J293)</f>
        <v>0</v>
      </c>
      <c r="L293" s="17">
        <f t="shared" si="79"/>
        <v>0</v>
      </c>
      <c r="M293" s="17">
        <f t="shared" si="80"/>
        <v>0</v>
      </c>
      <c r="N293" s="17">
        <f>0</f>
        <v>0</v>
      </c>
      <c r="O293" s="17">
        <f t="shared" si="81"/>
        <v>4012.0579691415564</v>
      </c>
      <c r="P293" s="17">
        <f t="shared" si="82"/>
        <v>0</v>
      </c>
      <c r="Q293" s="17">
        <f>IF(AND(O293&gt;0,I293&gt;0),O293/(1-'1 - Input'!$B$22*P293),0)</f>
        <v>0</v>
      </c>
      <c r="R293" s="17">
        <f t="shared" si="83"/>
        <v>0</v>
      </c>
      <c r="S293" s="17">
        <f>'1 - Input'!$B$22*P293*R293</f>
        <v>0</v>
      </c>
      <c r="T293" s="17">
        <f t="shared" si="84"/>
        <v>0</v>
      </c>
      <c r="U293" s="17">
        <f t="shared" si="85"/>
        <v>4012.0579691415564</v>
      </c>
      <c r="V293" s="17">
        <f t="shared" si="86"/>
        <v>0</v>
      </c>
      <c r="W293" s="17">
        <f t="shared" si="87"/>
        <v>0</v>
      </c>
      <c r="X293" s="17">
        <f t="shared" si="88"/>
        <v>0</v>
      </c>
      <c r="Y293" s="17">
        <f>IF(MOD(A293,12)=0,W293*'1 - Input'!$B$23,0)</f>
        <v>0</v>
      </c>
      <c r="Z293" s="17">
        <f t="shared" si="89"/>
        <v>0</v>
      </c>
      <c r="AA293" s="17">
        <f>IF(MOD(A293,12)=0,X293*(1-'1 - Input'!$B$23),X293)</f>
        <v>0</v>
      </c>
      <c r="AB293" s="17">
        <f t="shared" si="90"/>
        <v>0</v>
      </c>
      <c r="AC293" s="17">
        <f t="shared" si="94"/>
        <v>676015.57770007267</v>
      </c>
      <c r="AD293" s="17">
        <f t="shared" si="95"/>
        <v>0</v>
      </c>
      <c r="AE293" s="17">
        <f t="shared" si="96"/>
        <v>69240.414874846756</v>
      </c>
      <c r="AF293" s="17">
        <f t="shared" si="97"/>
        <v>0</v>
      </c>
      <c r="AG293" s="17">
        <f t="shared" si="98"/>
        <v>10373.842685499292</v>
      </c>
      <c r="AH293" s="17">
        <f t="shared" si="99"/>
        <v>151339.78347627725</v>
      </c>
      <c r="AI293" s="15">
        <f t="shared" si="91"/>
        <v>1</v>
      </c>
    </row>
    <row r="294" spans="1:35">
      <c r="A294" s="14">
        <v>251</v>
      </c>
      <c r="B294" s="15">
        <f t="shared" si="75"/>
        <v>21</v>
      </c>
      <c r="C294" s="16">
        <f>(1+INDEX('1 - Input'!$B$34:$E$63,B294,'1 - Input'!$B$16))^(1/12)-1</f>
        <v>4.1219243192651689E-3</v>
      </c>
      <c r="D294" s="17">
        <f>'1 - Input'!$B$7*(1+'1 - Input'!$B$12)^(B294-1)</f>
        <v>4012.0579691415564</v>
      </c>
      <c r="E294" s="17">
        <f t="shared" si="92"/>
        <v>0</v>
      </c>
      <c r="F294" s="17">
        <f t="shared" si="93"/>
        <v>0</v>
      </c>
      <c r="G294" s="17">
        <f t="shared" si="76"/>
        <v>0</v>
      </c>
      <c r="H294" s="17">
        <f>0</f>
        <v>0</v>
      </c>
      <c r="I294" s="17">
        <f t="shared" si="77"/>
        <v>0</v>
      </c>
      <c r="J294" s="17">
        <f t="shared" si="78"/>
        <v>0</v>
      </c>
      <c r="K294" s="17">
        <f>'1 - Input'!$B$22*(H294-J294)</f>
        <v>0</v>
      </c>
      <c r="L294" s="17">
        <f t="shared" si="79"/>
        <v>0</v>
      </c>
      <c r="M294" s="17">
        <f t="shared" si="80"/>
        <v>0</v>
      </c>
      <c r="N294" s="17">
        <f>0</f>
        <v>0</v>
      </c>
      <c r="O294" s="17">
        <f t="shared" si="81"/>
        <v>4012.0579691415564</v>
      </c>
      <c r="P294" s="17">
        <f t="shared" si="82"/>
        <v>0</v>
      </c>
      <c r="Q294" s="17">
        <f>IF(AND(O294&gt;0,I294&gt;0),O294/(1-'1 - Input'!$B$22*P294),0)</f>
        <v>0</v>
      </c>
      <c r="R294" s="17">
        <f t="shared" si="83"/>
        <v>0</v>
      </c>
      <c r="S294" s="17">
        <f>'1 - Input'!$B$22*P294*R294</f>
        <v>0</v>
      </c>
      <c r="T294" s="17">
        <f t="shared" si="84"/>
        <v>0</v>
      </c>
      <c r="U294" s="17">
        <f t="shared" si="85"/>
        <v>4012.0579691415564</v>
      </c>
      <c r="V294" s="17">
        <f t="shared" si="86"/>
        <v>0</v>
      </c>
      <c r="W294" s="17">
        <f t="shared" si="87"/>
        <v>0</v>
      </c>
      <c r="X294" s="17">
        <f t="shared" si="88"/>
        <v>0</v>
      </c>
      <c r="Y294" s="17">
        <f>IF(MOD(A294,12)=0,W294*'1 - Input'!$B$23,0)</f>
        <v>0</v>
      </c>
      <c r="Z294" s="17">
        <f t="shared" si="89"/>
        <v>0</v>
      </c>
      <c r="AA294" s="17">
        <f>IF(MOD(A294,12)=0,X294*(1-'1 - Input'!$B$23),X294)</f>
        <v>0</v>
      </c>
      <c r="AB294" s="17">
        <f t="shared" si="90"/>
        <v>0</v>
      </c>
      <c r="AC294" s="17">
        <f t="shared" si="94"/>
        <v>676015.57770007267</v>
      </c>
      <c r="AD294" s="17">
        <f t="shared" si="95"/>
        <v>0</v>
      </c>
      <c r="AE294" s="17">
        <f t="shared" si="96"/>
        <v>69240.414874846756</v>
      </c>
      <c r="AF294" s="17">
        <f t="shared" si="97"/>
        <v>0</v>
      </c>
      <c r="AG294" s="17">
        <f t="shared" si="98"/>
        <v>10373.842685499292</v>
      </c>
      <c r="AH294" s="17">
        <f t="shared" si="99"/>
        <v>155351.8414454188</v>
      </c>
      <c r="AI294" s="15">
        <f t="shared" si="91"/>
        <v>1</v>
      </c>
    </row>
    <row r="295" spans="1:35">
      <c r="A295" s="14">
        <v>252</v>
      </c>
      <c r="B295" s="15">
        <f t="shared" si="75"/>
        <v>21</v>
      </c>
      <c r="C295" s="16">
        <f>(1+INDEX('1 - Input'!$B$34:$E$63,B295,'1 - Input'!$B$16))^(1/12)-1</f>
        <v>4.1219243192651689E-3</v>
      </c>
      <c r="D295" s="17">
        <f>'1 - Input'!$B$7*(1+'1 - Input'!$B$12)^(B295-1)</f>
        <v>4012.0579691415564</v>
      </c>
      <c r="E295" s="17">
        <f t="shared" si="92"/>
        <v>0</v>
      </c>
      <c r="F295" s="17">
        <f t="shared" si="93"/>
        <v>0</v>
      </c>
      <c r="G295" s="17">
        <f t="shared" si="76"/>
        <v>0</v>
      </c>
      <c r="H295" s="17">
        <f>0</f>
        <v>0</v>
      </c>
      <c r="I295" s="17">
        <f t="shared" si="77"/>
        <v>0</v>
      </c>
      <c r="J295" s="17">
        <f t="shared" si="78"/>
        <v>0</v>
      </c>
      <c r="K295" s="17">
        <f>'1 - Input'!$B$22*(H295-J295)</f>
        <v>0</v>
      </c>
      <c r="L295" s="17">
        <f t="shared" si="79"/>
        <v>0</v>
      </c>
      <c r="M295" s="17">
        <f t="shared" si="80"/>
        <v>0</v>
      </c>
      <c r="N295" s="17">
        <f>0</f>
        <v>0</v>
      </c>
      <c r="O295" s="17">
        <f t="shared" si="81"/>
        <v>4012.0579691415564</v>
      </c>
      <c r="P295" s="17">
        <f t="shared" si="82"/>
        <v>0</v>
      </c>
      <c r="Q295" s="17">
        <f>IF(AND(O295&gt;0,I295&gt;0),O295/(1-'1 - Input'!$B$22*P295),0)</f>
        <v>0</v>
      </c>
      <c r="R295" s="17">
        <f t="shared" si="83"/>
        <v>0</v>
      </c>
      <c r="S295" s="17">
        <f>'1 - Input'!$B$22*P295*R295</f>
        <v>0</v>
      </c>
      <c r="T295" s="17">
        <f t="shared" si="84"/>
        <v>0</v>
      </c>
      <c r="U295" s="17">
        <f t="shared" si="85"/>
        <v>4012.0579691415564</v>
      </c>
      <c r="V295" s="17">
        <f t="shared" si="86"/>
        <v>0</v>
      </c>
      <c r="W295" s="17">
        <f t="shared" si="87"/>
        <v>0</v>
      </c>
      <c r="X295" s="17">
        <f t="shared" si="88"/>
        <v>0</v>
      </c>
      <c r="Y295" s="17">
        <f>IF(MOD(A295,12)=0,W295*'1 - Input'!$B$23,0)</f>
        <v>0</v>
      </c>
      <c r="Z295" s="17">
        <f t="shared" si="89"/>
        <v>0</v>
      </c>
      <c r="AA295" s="17">
        <f>IF(MOD(A295,12)=0,X295*(1-'1 - Input'!$B$23),X295)</f>
        <v>0</v>
      </c>
      <c r="AB295" s="17">
        <f t="shared" si="90"/>
        <v>0</v>
      </c>
      <c r="AC295" s="17">
        <f t="shared" si="94"/>
        <v>676015.57770007267</v>
      </c>
      <c r="AD295" s="17">
        <f t="shared" si="95"/>
        <v>0</v>
      </c>
      <c r="AE295" s="17">
        <f t="shared" si="96"/>
        <v>69240.414874846756</v>
      </c>
      <c r="AF295" s="17">
        <f t="shared" si="97"/>
        <v>0</v>
      </c>
      <c r="AG295" s="17">
        <f t="shared" si="98"/>
        <v>10373.842685499292</v>
      </c>
      <c r="AH295" s="17">
        <f t="shared" si="99"/>
        <v>159363.89941456035</v>
      </c>
      <c r="AI295" s="15">
        <f t="shared" si="91"/>
        <v>1</v>
      </c>
    </row>
    <row r="296" spans="1:35">
      <c r="A296" s="14">
        <v>253</v>
      </c>
      <c r="B296" s="15">
        <f t="shared" si="75"/>
        <v>22</v>
      </c>
      <c r="C296" s="16">
        <f>(1+INDEX('1 - Input'!$B$34:$E$63,B296,'1 - Input'!$B$16))^(1/12)-1</f>
        <v>4.1219243192651689E-3</v>
      </c>
      <c r="D296" s="17">
        <f>'1 - Input'!$B$7*(1+'1 - Input'!$B$12)^(B296-1)</f>
        <v>4092.2991285243875</v>
      </c>
      <c r="E296" s="17">
        <f t="shared" si="92"/>
        <v>0</v>
      </c>
      <c r="F296" s="17">
        <f t="shared" si="93"/>
        <v>0</v>
      </c>
      <c r="G296" s="17">
        <f t="shared" si="76"/>
        <v>0</v>
      </c>
      <c r="H296" s="17">
        <f>0</f>
        <v>0</v>
      </c>
      <c r="I296" s="17">
        <f t="shared" si="77"/>
        <v>0</v>
      </c>
      <c r="J296" s="17">
        <f t="shared" si="78"/>
        <v>0</v>
      </c>
      <c r="K296" s="17">
        <f>'1 - Input'!$B$22*(H296-J296)</f>
        <v>0</v>
      </c>
      <c r="L296" s="17">
        <f t="shared" si="79"/>
        <v>0</v>
      </c>
      <c r="M296" s="17">
        <f t="shared" si="80"/>
        <v>0</v>
      </c>
      <c r="N296" s="17">
        <f>0</f>
        <v>0</v>
      </c>
      <c r="O296" s="17">
        <f t="shared" si="81"/>
        <v>4092.2991285243875</v>
      </c>
      <c r="P296" s="17">
        <f t="shared" si="82"/>
        <v>0</v>
      </c>
      <c r="Q296" s="17">
        <f>IF(AND(O296&gt;0,I296&gt;0),O296/(1-'1 - Input'!$B$22*P296),0)</f>
        <v>0</v>
      </c>
      <c r="R296" s="17">
        <f t="shared" si="83"/>
        <v>0</v>
      </c>
      <c r="S296" s="17">
        <f>'1 - Input'!$B$22*P296*R296</f>
        <v>0</v>
      </c>
      <c r="T296" s="17">
        <f t="shared" si="84"/>
        <v>0</v>
      </c>
      <c r="U296" s="17">
        <f t="shared" si="85"/>
        <v>4092.2991285243875</v>
      </c>
      <c r="V296" s="17">
        <f t="shared" si="86"/>
        <v>0</v>
      </c>
      <c r="W296" s="17">
        <f t="shared" si="87"/>
        <v>0</v>
      </c>
      <c r="X296" s="17">
        <f t="shared" si="88"/>
        <v>0</v>
      </c>
      <c r="Y296" s="17">
        <f>IF(MOD(A296,12)=0,W296*'1 - Input'!$B$23,0)</f>
        <v>0</v>
      </c>
      <c r="Z296" s="17">
        <f t="shared" si="89"/>
        <v>0</v>
      </c>
      <c r="AA296" s="17">
        <f>IF(MOD(A296,12)=0,X296*(1-'1 - Input'!$B$23),X296)</f>
        <v>0</v>
      </c>
      <c r="AB296" s="17">
        <f t="shared" si="90"/>
        <v>0</v>
      </c>
      <c r="AC296" s="17">
        <f t="shared" si="94"/>
        <v>676015.57770007267</v>
      </c>
      <c r="AD296" s="17">
        <f t="shared" si="95"/>
        <v>0</v>
      </c>
      <c r="AE296" s="17">
        <f t="shared" si="96"/>
        <v>69240.414874846756</v>
      </c>
      <c r="AF296" s="17">
        <f t="shared" si="97"/>
        <v>0</v>
      </c>
      <c r="AG296" s="17">
        <f t="shared" si="98"/>
        <v>10373.842685499292</v>
      </c>
      <c r="AH296" s="17">
        <f t="shared" si="99"/>
        <v>163456.19854308473</v>
      </c>
      <c r="AI296" s="15">
        <f t="shared" si="91"/>
        <v>1</v>
      </c>
    </row>
    <row r="297" spans="1:35">
      <c r="A297" s="14">
        <v>254</v>
      </c>
      <c r="B297" s="15">
        <f t="shared" si="75"/>
        <v>22</v>
      </c>
      <c r="C297" s="16">
        <f>(1+INDEX('1 - Input'!$B$34:$E$63,B297,'1 - Input'!$B$16))^(1/12)-1</f>
        <v>4.1219243192651689E-3</v>
      </c>
      <c r="D297" s="17">
        <f>'1 - Input'!$B$7*(1+'1 - Input'!$B$12)^(B297-1)</f>
        <v>4092.2991285243875</v>
      </c>
      <c r="E297" s="17">
        <f t="shared" si="92"/>
        <v>0</v>
      </c>
      <c r="F297" s="17">
        <f t="shared" si="93"/>
        <v>0</v>
      </c>
      <c r="G297" s="17">
        <f t="shared" si="76"/>
        <v>0</v>
      </c>
      <c r="H297" s="17">
        <f>0</f>
        <v>0</v>
      </c>
      <c r="I297" s="17">
        <f t="shared" si="77"/>
        <v>0</v>
      </c>
      <c r="J297" s="17">
        <f t="shared" si="78"/>
        <v>0</v>
      </c>
      <c r="K297" s="17">
        <f>'1 - Input'!$B$22*(H297-J297)</f>
        <v>0</v>
      </c>
      <c r="L297" s="17">
        <f t="shared" si="79"/>
        <v>0</v>
      </c>
      <c r="M297" s="17">
        <f t="shared" si="80"/>
        <v>0</v>
      </c>
      <c r="N297" s="17">
        <f>0</f>
        <v>0</v>
      </c>
      <c r="O297" s="17">
        <f t="shared" si="81"/>
        <v>4092.2991285243875</v>
      </c>
      <c r="P297" s="17">
        <f t="shared" si="82"/>
        <v>0</v>
      </c>
      <c r="Q297" s="17">
        <f>IF(AND(O297&gt;0,I297&gt;0),O297/(1-'1 - Input'!$B$22*P297),0)</f>
        <v>0</v>
      </c>
      <c r="R297" s="17">
        <f t="shared" si="83"/>
        <v>0</v>
      </c>
      <c r="S297" s="17">
        <f>'1 - Input'!$B$22*P297*R297</f>
        <v>0</v>
      </c>
      <c r="T297" s="17">
        <f t="shared" si="84"/>
        <v>0</v>
      </c>
      <c r="U297" s="17">
        <f t="shared" si="85"/>
        <v>4092.2991285243875</v>
      </c>
      <c r="V297" s="17">
        <f t="shared" si="86"/>
        <v>0</v>
      </c>
      <c r="W297" s="17">
        <f t="shared" si="87"/>
        <v>0</v>
      </c>
      <c r="X297" s="17">
        <f t="shared" si="88"/>
        <v>0</v>
      </c>
      <c r="Y297" s="17">
        <f>IF(MOD(A297,12)=0,W297*'1 - Input'!$B$23,0)</f>
        <v>0</v>
      </c>
      <c r="Z297" s="17">
        <f t="shared" si="89"/>
        <v>0</v>
      </c>
      <c r="AA297" s="17">
        <f>IF(MOD(A297,12)=0,X297*(1-'1 - Input'!$B$23),X297)</f>
        <v>0</v>
      </c>
      <c r="AB297" s="17">
        <f t="shared" si="90"/>
        <v>0</v>
      </c>
      <c r="AC297" s="17">
        <f t="shared" si="94"/>
        <v>676015.57770007267</v>
      </c>
      <c r="AD297" s="17">
        <f t="shared" si="95"/>
        <v>0</v>
      </c>
      <c r="AE297" s="17">
        <f t="shared" si="96"/>
        <v>69240.414874846756</v>
      </c>
      <c r="AF297" s="17">
        <f t="shared" si="97"/>
        <v>0</v>
      </c>
      <c r="AG297" s="17">
        <f t="shared" si="98"/>
        <v>10373.842685499292</v>
      </c>
      <c r="AH297" s="17">
        <f t="shared" si="99"/>
        <v>167548.4976716091</v>
      </c>
      <c r="AI297" s="15">
        <f t="shared" si="91"/>
        <v>1</v>
      </c>
    </row>
    <row r="298" spans="1:35">
      <c r="A298" s="14">
        <v>255</v>
      </c>
      <c r="B298" s="15">
        <f t="shared" si="75"/>
        <v>22</v>
      </c>
      <c r="C298" s="16">
        <f>(1+INDEX('1 - Input'!$B$34:$E$63,B298,'1 - Input'!$B$16))^(1/12)-1</f>
        <v>4.1219243192651689E-3</v>
      </c>
      <c r="D298" s="17">
        <f>'1 - Input'!$B$7*(1+'1 - Input'!$B$12)^(B298-1)</f>
        <v>4092.2991285243875</v>
      </c>
      <c r="E298" s="17">
        <f t="shared" si="92"/>
        <v>0</v>
      </c>
      <c r="F298" s="17">
        <f t="shared" si="93"/>
        <v>0</v>
      </c>
      <c r="G298" s="17">
        <f t="shared" si="76"/>
        <v>0</v>
      </c>
      <c r="H298" s="17">
        <f>0</f>
        <v>0</v>
      </c>
      <c r="I298" s="17">
        <f t="shared" si="77"/>
        <v>0</v>
      </c>
      <c r="J298" s="17">
        <f t="shared" si="78"/>
        <v>0</v>
      </c>
      <c r="K298" s="17">
        <f>'1 - Input'!$B$22*(H298-J298)</f>
        <v>0</v>
      </c>
      <c r="L298" s="17">
        <f t="shared" si="79"/>
        <v>0</v>
      </c>
      <c r="M298" s="17">
        <f t="shared" si="80"/>
        <v>0</v>
      </c>
      <c r="N298" s="17">
        <f>0</f>
        <v>0</v>
      </c>
      <c r="O298" s="17">
        <f t="shared" si="81"/>
        <v>4092.2991285243875</v>
      </c>
      <c r="P298" s="17">
        <f t="shared" si="82"/>
        <v>0</v>
      </c>
      <c r="Q298" s="17">
        <f>IF(AND(O298&gt;0,I298&gt;0),O298/(1-'1 - Input'!$B$22*P298),0)</f>
        <v>0</v>
      </c>
      <c r="R298" s="17">
        <f t="shared" si="83"/>
        <v>0</v>
      </c>
      <c r="S298" s="17">
        <f>'1 - Input'!$B$22*P298*R298</f>
        <v>0</v>
      </c>
      <c r="T298" s="17">
        <f t="shared" si="84"/>
        <v>0</v>
      </c>
      <c r="U298" s="17">
        <f t="shared" si="85"/>
        <v>4092.2991285243875</v>
      </c>
      <c r="V298" s="17">
        <f t="shared" si="86"/>
        <v>0</v>
      </c>
      <c r="W298" s="17">
        <f t="shared" si="87"/>
        <v>0</v>
      </c>
      <c r="X298" s="17">
        <f t="shared" si="88"/>
        <v>0</v>
      </c>
      <c r="Y298" s="17">
        <f>IF(MOD(A298,12)=0,W298*'1 - Input'!$B$23,0)</f>
        <v>0</v>
      </c>
      <c r="Z298" s="17">
        <f t="shared" si="89"/>
        <v>0</v>
      </c>
      <c r="AA298" s="17">
        <f>IF(MOD(A298,12)=0,X298*(1-'1 - Input'!$B$23),X298)</f>
        <v>0</v>
      </c>
      <c r="AB298" s="17">
        <f t="shared" si="90"/>
        <v>0</v>
      </c>
      <c r="AC298" s="17">
        <f t="shared" si="94"/>
        <v>676015.57770007267</v>
      </c>
      <c r="AD298" s="17">
        <f t="shared" si="95"/>
        <v>0</v>
      </c>
      <c r="AE298" s="17">
        <f t="shared" si="96"/>
        <v>69240.414874846756</v>
      </c>
      <c r="AF298" s="17">
        <f t="shared" si="97"/>
        <v>0</v>
      </c>
      <c r="AG298" s="17">
        <f t="shared" si="98"/>
        <v>10373.842685499292</v>
      </c>
      <c r="AH298" s="17">
        <f t="shared" si="99"/>
        <v>171640.79680013348</v>
      </c>
      <c r="AI298" s="15">
        <f t="shared" si="91"/>
        <v>1</v>
      </c>
    </row>
    <row r="299" spans="1:35">
      <c r="A299" s="14">
        <v>256</v>
      </c>
      <c r="B299" s="15">
        <f t="shared" si="75"/>
        <v>22</v>
      </c>
      <c r="C299" s="16">
        <f>(1+INDEX('1 - Input'!$B$34:$E$63,B299,'1 - Input'!$B$16))^(1/12)-1</f>
        <v>4.1219243192651689E-3</v>
      </c>
      <c r="D299" s="17">
        <f>'1 - Input'!$B$7*(1+'1 - Input'!$B$12)^(B299-1)</f>
        <v>4092.2991285243875</v>
      </c>
      <c r="E299" s="17">
        <f t="shared" si="92"/>
        <v>0</v>
      </c>
      <c r="F299" s="17">
        <f t="shared" si="93"/>
        <v>0</v>
      </c>
      <c r="G299" s="17">
        <f t="shared" si="76"/>
        <v>0</v>
      </c>
      <c r="H299" s="17">
        <f>0</f>
        <v>0</v>
      </c>
      <c r="I299" s="17">
        <f t="shared" si="77"/>
        <v>0</v>
      </c>
      <c r="J299" s="17">
        <f t="shared" si="78"/>
        <v>0</v>
      </c>
      <c r="K299" s="17">
        <f>'1 - Input'!$B$22*(H299-J299)</f>
        <v>0</v>
      </c>
      <c r="L299" s="17">
        <f t="shared" si="79"/>
        <v>0</v>
      </c>
      <c r="M299" s="17">
        <f t="shared" si="80"/>
        <v>0</v>
      </c>
      <c r="N299" s="17">
        <f>0</f>
        <v>0</v>
      </c>
      <c r="O299" s="17">
        <f t="shared" si="81"/>
        <v>4092.2991285243875</v>
      </c>
      <c r="P299" s="17">
        <f t="shared" si="82"/>
        <v>0</v>
      </c>
      <c r="Q299" s="17">
        <f>IF(AND(O299&gt;0,I299&gt;0),O299/(1-'1 - Input'!$B$22*P299),0)</f>
        <v>0</v>
      </c>
      <c r="R299" s="17">
        <f t="shared" si="83"/>
        <v>0</v>
      </c>
      <c r="S299" s="17">
        <f>'1 - Input'!$B$22*P299*R299</f>
        <v>0</v>
      </c>
      <c r="T299" s="17">
        <f t="shared" si="84"/>
        <v>0</v>
      </c>
      <c r="U299" s="17">
        <f t="shared" si="85"/>
        <v>4092.2991285243875</v>
      </c>
      <c r="V299" s="17">
        <f t="shared" si="86"/>
        <v>0</v>
      </c>
      <c r="W299" s="17">
        <f t="shared" si="87"/>
        <v>0</v>
      </c>
      <c r="X299" s="17">
        <f t="shared" si="88"/>
        <v>0</v>
      </c>
      <c r="Y299" s="17">
        <f>IF(MOD(A299,12)=0,W299*'1 - Input'!$B$23,0)</f>
        <v>0</v>
      </c>
      <c r="Z299" s="17">
        <f t="shared" si="89"/>
        <v>0</v>
      </c>
      <c r="AA299" s="17">
        <f>IF(MOD(A299,12)=0,X299*(1-'1 - Input'!$B$23),X299)</f>
        <v>0</v>
      </c>
      <c r="AB299" s="17">
        <f t="shared" si="90"/>
        <v>0</v>
      </c>
      <c r="AC299" s="17">
        <f t="shared" si="94"/>
        <v>676015.57770007267</v>
      </c>
      <c r="AD299" s="17">
        <f t="shared" si="95"/>
        <v>0</v>
      </c>
      <c r="AE299" s="17">
        <f t="shared" si="96"/>
        <v>69240.414874846756</v>
      </c>
      <c r="AF299" s="17">
        <f t="shared" si="97"/>
        <v>0</v>
      </c>
      <c r="AG299" s="17">
        <f t="shared" si="98"/>
        <v>10373.842685499292</v>
      </c>
      <c r="AH299" s="17">
        <f t="shared" si="99"/>
        <v>175733.09592865786</v>
      </c>
      <c r="AI299" s="15">
        <f t="shared" si="91"/>
        <v>1</v>
      </c>
    </row>
    <row r="300" spans="1:35">
      <c r="A300" s="14">
        <v>257</v>
      </c>
      <c r="B300" s="15">
        <f t="shared" ref="B300:B363" si="100">ROUNDUP(A300/12,0)</f>
        <v>22</v>
      </c>
      <c r="C300" s="16">
        <f>(1+INDEX('1 - Input'!$B$34:$E$63,B300,'1 - Input'!$B$16))^(1/12)-1</f>
        <v>4.1219243192651689E-3</v>
      </c>
      <c r="D300" s="17">
        <f>'1 - Input'!$B$7*(1+'1 - Input'!$B$12)^(B300-1)</f>
        <v>4092.2991285243875</v>
      </c>
      <c r="E300" s="17">
        <f t="shared" si="92"/>
        <v>0</v>
      </c>
      <c r="F300" s="17">
        <f t="shared" si="93"/>
        <v>0</v>
      </c>
      <c r="G300" s="17">
        <f t="shared" ref="G300:G363" si="101">E300*(1+C300)</f>
        <v>0</v>
      </c>
      <c r="H300" s="17">
        <f>0</f>
        <v>0</v>
      </c>
      <c r="I300" s="17">
        <f t="shared" ref="I300:I363" si="102">G300-H300</f>
        <v>0</v>
      </c>
      <c r="J300" s="17">
        <f t="shared" ref="J300:J363" si="103">MIN($B$41*H300,F300)</f>
        <v>0</v>
      </c>
      <c r="K300" s="17">
        <f>'1 - Input'!$B$22*(H300-J300)</f>
        <v>0</v>
      </c>
      <c r="L300" s="17">
        <f t="shared" ref="L300:L363" si="104">H300-K300</f>
        <v>0</v>
      </c>
      <c r="M300" s="17">
        <f t="shared" ref="M300:M363" si="105">F300-J300</f>
        <v>0</v>
      </c>
      <c r="N300" s="17">
        <f>0</f>
        <v>0</v>
      </c>
      <c r="O300" s="17">
        <f t="shared" ref="O300:O363" si="106">D300</f>
        <v>4092.2991285243875</v>
      </c>
      <c r="P300" s="17">
        <f t="shared" ref="P300:P363" si="107">IF(I300&gt;0,MAX(0,1-M300/I300),0)</f>
        <v>0</v>
      </c>
      <c r="Q300" s="17">
        <f>IF(AND(O300&gt;0,I300&gt;0),O300/(1-'1 - Input'!$B$22*P300),0)</f>
        <v>0</v>
      </c>
      <c r="R300" s="17">
        <f t="shared" ref="R300:R363" si="108">MIN(Q300,I300)</f>
        <v>0</v>
      </c>
      <c r="S300" s="17">
        <f>'1 - Input'!$B$22*P300*R300</f>
        <v>0</v>
      </c>
      <c r="T300" s="17">
        <f t="shared" ref="T300:T363" si="109">R300-S300</f>
        <v>0</v>
      </c>
      <c r="U300" s="17">
        <f t="shared" ref="U300:U363" si="110">O300-T300</f>
        <v>4092.2991285243875</v>
      </c>
      <c r="V300" s="17">
        <f t="shared" ref="V300:V363" si="111">IF(I300&gt;0,R300*MAX(0,M300/I300-1),0)</f>
        <v>0</v>
      </c>
      <c r="W300" s="17">
        <f t="shared" ref="W300:W363" si="112">I300-R300+N300</f>
        <v>0</v>
      </c>
      <c r="X300" s="17">
        <f t="shared" ref="X300:X363" si="113">IF(R300&gt;0,M300*(1-R300/I300),M300)+N300</f>
        <v>0</v>
      </c>
      <c r="Y300" s="17">
        <f>IF(MOD(A300,12)=0,W300*'1 - Input'!$B$23,0)</f>
        <v>0</v>
      </c>
      <c r="Z300" s="17">
        <f t="shared" ref="Z300:Z363" si="114">W300-Y300</f>
        <v>0</v>
      </c>
      <c r="AA300" s="17">
        <f>IF(MOD(A300,12)=0,X300*(1-'1 - Input'!$B$23),X300)</f>
        <v>0</v>
      </c>
      <c r="AB300" s="17">
        <f t="shared" ref="AB300:AB363" si="115">T300</f>
        <v>0</v>
      </c>
      <c r="AC300" s="17">
        <f t="shared" si="94"/>
        <v>676015.57770007267</v>
      </c>
      <c r="AD300" s="17">
        <f t="shared" si="95"/>
        <v>0</v>
      </c>
      <c r="AE300" s="17">
        <f t="shared" si="96"/>
        <v>69240.414874846756</v>
      </c>
      <c r="AF300" s="17">
        <f t="shared" si="97"/>
        <v>0</v>
      </c>
      <c r="AG300" s="17">
        <f t="shared" si="98"/>
        <v>10373.842685499292</v>
      </c>
      <c r="AH300" s="17">
        <f t="shared" si="99"/>
        <v>179825.39505718224</v>
      </c>
      <c r="AI300" s="15">
        <f t="shared" ref="AI300:AI363" si="116">IF(W300&lt;=0.000001,1,0)</f>
        <v>1</v>
      </c>
    </row>
    <row r="301" spans="1:35">
      <c r="A301" s="14">
        <v>258</v>
      </c>
      <c r="B301" s="15">
        <f t="shared" si="100"/>
        <v>22</v>
      </c>
      <c r="C301" s="16">
        <f>(1+INDEX('1 - Input'!$B$34:$E$63,B301,'1 - Input'!$B$16))^(1/12)-1</f>
        <v>4.1219243192651689E-3</v>
      </c>
      <c r="D301" s="17">
        <f>'1 - Input'!$B$7*(1+'1 - Input'!$B$12)^(B301-1)</f>
        <v>4092.2991285243875</v>
      </c>
      <c r="E301" s="17">
        <f t="shared" ref="E301:E364" si="117">Z300</f>
        <v>0</v>
      </c>
      <c r="F301" s="17">
        <f t="shared" ref="F301:F364" si="118">AA300</f>
        <v>0</v>
      </c>
      <c r="G301" s="17">
        <f t="shared" si="101"/>
        <v>0</v>
      </c>
      <c r="H301" s="17">
        <f>0</f>
        <v>0</v>
      </c>
      <c r="I301" s="17">
        <f t="shared" si="102"/>
        <v>0</v>
      </c>
      <c r="J301" s="17">
        <f t="shared" si="103"/>
        <v>0</v>
      </c>
      <c r="K301" s="17">
        <f>'1 - Input'!$B$22*(H301-J301)</f>
        <v>0</v>
      </c>
      <c r="L301" s="17">
        <f t="shared" si="104"/>
        <v>0</v>
      </c>
      <c r="M301" s="17">
        <f t="shared" si="105"/>
        <v>0</v>
      </c>
      <c r="N301" s="17">
        <f>0</f>
        <v>0</v>
      </c>
      <c r="O301" s="17">
        <f t="shared" si="106"/>
        <v>4092.2991285243875</v>
      </c>
      <c r="P301" s="17">
        <f t="shared" si="107"/>
        <v>0</v>
      </c>
      <c r="Q301" s="17">
        <f>IF(AND(O301&gt;0,I301&gt;0),O301/(1-'1 - Input'!$B$22*P301),0)</f>
        <v>0</v>
      </c>
      <c r="R301" s="17">
        <f t="shared" si="108"/>
        <v>0</v>
      </c>
      <c r="S301" s="17">
        <f>'1 - Input'!$B$22*P301*R301</f>
        <v>0</v>
      </c>
      <c r="T301" s="17">
        <f t="shared" si="109"/>
        <v>0</v>
      </c>
      <c r="U301" s="17">
        <f t="shared" si="110"/>
        <v>4092.2991285243875</v>
      </c>
      <c r="V301" s="17">
        <f t="shared" si="111"/>
        <v>0</v>
      </c>
      <c r="W301" s="17">
        <f t="shared" si="112"/>
        <v>0</v>
      </c>
      <c r="X301" s="17">
        <f t="shared" si="113"/>
        <v>0</v>
      </c>
      <c r="Y301" s="17">
        <f>IF(MOD(A301,12)=0,W301*'1 - Input'!$B$23,0)</f>
        <v>0</v>
      </c>
      <c r="Z301" s="17">
        <f t="shared" si="114"/>
        <v>0</v>
      </c>
      <c r="AA301" s="17">
        <f>IF(MOD(A301,12)=0,X301*(1-'1 - Input'!$B$23),X301)</f>
        <v>0</v>
      </c>
      <c r="AB301" s="17">
        <f t="shared" si="115"/>
        <v>0</v>
      </c>
      <c r="AC301" s="17">
        <f t="shared" ref="AC301:AC364" si="119">AC300+AB301</f>
        <v>676015.57770007267</v>
      </c>
      <c r="AD301" s="17">
        <f t="shared" ref="AD301:AD364" si="120">AD300+K301</f>
        <v>0</v>
      </c>
      <c r="AE301" s="17">
        <f t="shared" ref="AE301:AE364" si="121">AE300+S301</f>
        <v>69240.414874846756</v>
      </c>
      <c r="AF301" s="17">
        <f t="shared" ref="AF301:AF364" si="122">AF300+V301</f>
        <v>0</v>
      </c>
      <c r="AG301" s="17">
        <f t="shared" ref="AG301:AG364" si="123">AG300+Y301</f>
        <v>10373.842685499292</v>
      </c>
      <c r="AH301" s="17">
        <f t="shared" ref="AH301:AH364" si="124">AH300+U301</f>
        <v>183917.69418570661</v>
      </c>
      <c r="AI301" s="15">
        <f t="shared" si="116"/>
        <v>1</v>
      </c>
    </row>
    <row r="302" spans="1:35">
      <c r="A302" s="14">
        <v>259</v>
      </c>
      <c r="B302" s="15">
        <f t="shared" si="100"/>
        <v>22</v>
      </c>
      <c r="C302" s="16">
        <f>(1+INDEX('1 - Input'!$B$34:$E$63,B302,'1 - Input'!$B$16))^(1/12)-1</f>
        <v>4.1219243192651689E-3</v>
      </c>
      <c r="D302" s="17">
        <f>'1 - Input'!$B$7*(1+'1 - Input'!$B$12)^(B302-1)</f>
        <v>4092.2991285243875</v>
      </c>
      <c r="E302" s="17">
        <f t="shared" si="117"/>
        <v>0</v>
      </c>
      <c r="F302" s="17">
        <f t="shared" si="118"/>
        <v>0</v>
      </c>
      <c r="G302" s="17">
        <f t="shared" si="101"/>
        <v>0</v>
      </c>
      <c r="H302" s="17">
        <f>0</f>
        <v>0</v>
      </c>
      <c r="I302" s="17">
        <f t="shared" si="102"/>
        <v>0</v>
      </c>
      <c r="J302" s="17">
        <f t="shared" si="103"/>
        <v>0</v>
      </c>
      <c r="K302" s="17">
        <f>'1 - Input'!$B$22*(H302-J302)</f>
        <v>0</v>
      </c>
      <c r="L302" s="17">
        <f t="shared" si="104"/>
        <v>0</v>
      </c>
      <c r="M302" s="17">
        <f t="shared" si="105"/>
        <v>0</v>
      </c>
      <c r="N302" s="17">
        <f>0</f>
        <v>0</v>
      </c>
      <c r="O302" s="17">
        <f t="shared" si="106"/>
        <v>4092.2991285243875</v>
      </c>
      <c r="P302" s="17">
        <f t="shared" si="107"/>
        <v>0</v>
      </c>
      <c r="Q302" s="17">
        <f>IF(AND(O302&gt;0,I302&gt;0),O302/(1-'1 - Input'!$B$22*P302),0)</f>
        <v>0</v>
      </c>
      <c r="R302" s="17">
        <f t="shared" si="108"/>
        <v>0</v>
      </c>
      <c r="S302" s="17">
        <f>'1 - Input'!$B$22*P302*R302</f>
        <v>0</v>
      </c>
      <c r="T302" s="17">
        <f t="shared" si="109"/>
        <v>0</v>
      </c>
      <c r="U302" s="17">
        <f t="shared" si="110"/>
        <v>4092.2991285243875</v>
      </c>
      <c r="V302" s="17">
        <f t="shared" si="111"/>
        <v>0</v>
      </c>
      <c r="W302" s="17">
        <f t="shared" si="112"/>
        <v>0</v>
      </c>
      <c r="X302" s="17">
        <f t="shared" si="113"/>
        <v>0</v>
      </c>
      <c r="Y302" s="17">
        <f>IF(MOD(A302,12)=0,W302*'1 - Input'!$B$23,0)</f>
        <v>0</v>
      </c>
      <c r="Z302" s="17">
        <f t="shared" si="114"/>
        <v>0</v>
      </c>
      <c r="AA302" s="17">
        <f>IF(MOD(A302,12)=0,X302*(1-'1 - Input'!$B$23),X302)</f>
        <v>0</v>
      </c>
      <c r="AB302" s="17">
        <f t="shared" si="115"/>
        <v>0</v>
      </c>
      <c r="AC302" s="17">
        <f t="shared" si="119"/>
        <v>676015.57770007267</v>
      </c>
      <c r="AD302" s="17">
        <f t="shared" si="120"/>
        <v>0</v>
      </c>
      <c r="AE302" s="17">
        <f t="shared" si="121"/>
        <v>69240.414874846756</v>
      </c>
      <c r="AF302" s="17">
        <f t="shared" si="122"/>
        <v>0</v>
      </c>
      <c r="AG302" s="17">
        <f t="shared" si="123"/>
        <v>10373.842685499292</v>
      </c>
      <c r="AH302" s="17">
        <f t="shared" si="124"/>
        <v>188009.99331423099</v>
      </c>
      <c r="AI302" s="15">
        <f t="shared" si="116"/>
        <v>1</v>
      </c>
    </row>
    <row r="303" spans="1:35">
      <c r="A303" s="14">
        <v>260</v>
      </c>
      <c r="B303" s="15">
        <f t="shared" si="100"/>
        <v>22</v>
      </c>
      <c r="C303" s="16">
        <f>(1+INDEX('1 - Input'!$B$34:$E$63,B303,'1 - Input'!$B$16))^(1/12)-1</f>
        <v>4.1219243192651689E-3</v>
      </c>
      <c r="D303" s="17">
        <f>'1 - Input'!$B$7*(1+'1 - Input'!$B$12)^(B303-1)</f>
        <v>4092.2991285243875</v>
      </c>
      <c r="E303" s="17">
        <f t="shared" si="117"/>
        <v>0</v>
      </c>
      <c r="F303" s="17">
        <f t="shared" si="118"/>
        <v>0</v>
      </c>
      <c r="G303" s="17">
        <f t="shared" si="101"/>
        <v>0</v>
      </c>
      <c r="H303" s="17">
        <f>0</f>
        <v>0</v>
      </c>
      <c r="I303" s="17">
        <f t="shared" si="102"/>
        <v>0</v>
      </c>
      <c r="J303" s="17">
        <f t="shared" si="103"/>
        <v>0</v>
      </c>
      <c r="K303" s="17">
        <f>'1 - Input'!$B$22*(H303-J303)</f>
        <v>0</v>
      </c>
      <c r="L303" s="17">
        <f t="shared" si="104"/>
        <v>0</v>
      </c>
      <c r="M303" s="17">
        <f t="shared" si="105"/>
        <v>0</v>
      </c>
      <c r="N303" s="17">
        <f>0</f>
        <v>0</v>
      </c>
      <c r="O303" s="17">
        <f t="shared" si="106"/>
        <v>4092.2991285243875</v>
      </c>
      <c r="P303" s="17">
        <f t="shared" si="107"/>
        <v>0</v>
      </c>
      <c r="Q303" s="17">
        <f>IF(AND(O303&gt;0,I303&gt;0),O303/(1-'1 - Input'!$B$22*P303),0)</f>
        <v>0</v>
      </c>
      <c r="R303" s="17">
        <f t="shared" si="108"/>
        <v>0</v>
      </c>
      <c r="S303" s="17">
        <f>'1 - Input'!$B$22*P303*R303</f>
        <v>0</v>
      </c>
      <c r="T303" s="17">
        <f t="shared" si="109"/>
        <v>0</v>
      </c>
      <c r="U303" s="17">
        <f t="shared" si="110"/>
        <v>4092.2991285243875</v>
      </c>
      <c r="V303" s="17">
        <f t="shared" si="111"/>
        <v>0</v>
      </c>
      <c r="W303" s="17">
        <f t="shared" si="112"/>
        <v>0</v>
      </c>
      <c r="X303" s="17">
        <f t="shared" si="113"/>
        <v>0</v>
      </c>
      <c r="Y303" s="17">
        <f>IF(MOD(A303,12)=0,W303*'1 - Input'!$B$23,0)</f>
        <v>0</v>
      </c>
      <c r="Z303" s="17">
        <f t="shared" si="114"/>
        <v>0</v>
      </c>
      <c r="AA303" s="17">
        <f>IF(MOD(A303,12)=0,X303*(1-'1 - Input'!$B$23),X303)</f>
        <v>0</v>
      </c>
      <c r="AB303" s="17">
        <f t="shared" si="115"/>
        <v>0</v>
      </c>
      <c r="AC303" s="17">
        <f t="shared" si="119"/>
        <v>676015.57770007267</v>
      </c>
      <c r="AD303" s="17">
        <f t="shared" si="120"/>
        <v>0</v>
      </c>
      <c r="AE303" s="17">
        <f t="shared" si="121"/>
        <v>69240.414874846756</v>
      </c>
      <c r="AF303" s="17">
        <f t="shared" si="122"/>
        <v>0</v>
      </c>
      <c r="AG303" s="17">
        <f t="shared" si="123"/>
        <v>10373.842685499292</v>
      </c>
      <c r="AH303" s="17">
        <f t="shared" si="124"/>
        <v>192102.29244275537</v>
      </c>
      <c r="AI303" s="15">
        <f t="shared" si="116"/>
        <v>1</v>
      </c>
    </row>
    <row r="304" spans="1:35">
      <c r="A304" s="14">
        <v>261</v>
      </c>
      <c r="B304" s="15">
        <f t="shared" si="100"/>
        <v>22</v>
      </c>
      <c r="C304" s="16">
        <f>(1+INDEX('1 - Input'!$B$34:$E$63,B304,'1 - Input'!$B$16))^(1/12)-1</f>
        <v>4.1219243192651689E-3</v>
      </c>
      <c r="D304" s="17">
        <f>'1 - Input'!$B$7*(1+'1 - Input'!$B$12)^(B304-1)</f>
        <v>4092.2991285243875</v>
      </c>
      <c r="E304" s="17">
        <f t="shared" si="117"/>
        <v>0</v>
      </c>
      <c r="F304" s="17">
        <f t="shared" si="118"/>
        <v>0</v>
      </c>
      <c r="G304" s="17">
        <f t="shared" si="101"/>
        <v>0</v>
      </c>
      <c r="H304" s="17">
        <f>0</f>
        <v>0</v>
      </c>
      <c r="I304" s="17">
        <f t="shared" si="102"/>
        <v>0</v>
      </c>
      <c r="J304" s="17">
        <f t="shared" si="103"/>
        <v>0</v>
      </c>
      <c r="K304" s="17">
        <f>'1 - Input'!$B$22*(H304-J304)</f>
        <v>0</v>
      </c>
      <c r="L304" s="17">
        <f t="shared" si="104"/>
        <v>0</v>
      </c>
      <c r="M304" s="17">
        <f t="shared" si="105"/>
        <v>0</v>
      </c>
      <c r="N304" s="17">
        <f>0</f>
        <v>0</v>
      </c>
      <c r="O304" s="17">
        <f t="shared" si="106"/>
        <v>4092.2991285243875</v>
      </c>
      <c r="P304" s="17">
        <f t="shared" si="107"/>
        <v>0</v>
      </c>
      <c r="Q304" s="17">
        <f>IF(AND(O304&gt;0,I304&gt;0),O304/(1-'1 - Input'!$B$22*P304),0)</f>
        <v>0</v>
      </c>
      <c r="R304" s="17">
        <f t="shared" si="108"/>
        <v>0</v>
      </c>
      <c r="S304" s="17">
        <f>'1 - Input'!$B$22*P304*R304</f>
        <v>0</v>
      </c>
      <c r="T304" s="17">
        <f t="shared" si="109"/>
        <v>0</v>
      </c>
      <c r="U304" s="17">
        <f t="shared" si="110"/>
        <v>4092.2991285243875</v>
      </c>
      <c r="V304" s="17">
        <f t="shared" si="111"/>
        <v>0</v>
      </c>
      <c r="W304" s="17">
        <f t="shared" si="112"/>
        <v>0</v>
      </c>
      <c r="X304" s="17">
        <f t="shared" si="113"/>
        <v>0</v>
      </c>
      <c r="Y304" s="17">
        <f>IF(MOD(A304,12)=0,W304*'1 - Input'!$B$23,0)</f>
        <v>0</v>
      </c>
      <c r="Z304" s="17">
        <f t="shared" si="114"/>
        <v>0</v>
      </c>
      <c r="AA304" s="17">
        <f>IF(MOD(A304,12)=0,X304*(1-'1 - Input'!$B$23),X304)</f>
        <v>0</v>
      </c>
      <c r="AB304" s="17">
        <f t="shared" si="115"/>
        <v>0</v>
      </c>
      <c r="AC304" s="17">
        <f t="shared" si="119"/>
        <v>676015.57770007267</v>
      </c>
      <c r="AD304" s="17">
        <f t="shared" si="120"/>
        <v>0</v>
      </c>
      <c r="AE304" s="17">
        <f t="shared" si="121"/>
        <v>69240.414874846756</v>
      </c>
      <c r="AF304" s="17">
        <f t="shared" si="122"/>
        <v>0</v>
      </c>
      <c r="AG304" s="17">
        <f t="shared" si="123"/>
        <v>10373.842685499292</v>
      </c>
      <c r="AH304" s="17">
        <f t="shared" si="124"/>
        <v>196194.59157127974</v>
      </c>
      <c r="AI304" s="15">
        <f t="shared" si="116"/>
        <v>1</v>
      </c>
    </row>
    <row r="305" spans="1:35">
      <c r="A305" s="14">
        <v>262</v>
      </c>
      <c r="B305" s="15">
        <f t="shared" si="100"/>
        <v>22</v>
      </c>
      <c r="C305" s="16">
        <f>(1+INDEX('1 - Input'!$B$34:$E$63,B305,'1 - Input'!$B$16))^(1/12)-1</f>
        <v>4.1219243192651689E-3</v>
      </c>
      <c r="D305" s="17">
        <f>'1 - Input'!$B$7*(1+'1 - Input'!$B$12)^(B305-1)</f>
        <v>4092.2991285243875</v>
      </c>
      <c r="E305" s="17">
        <f t="shared" si="117"/>
        <v>0</v>
      </c>
      <c r="F305" s="17">
        <f t="shared" si="118"/>
        <v>0</v>
      </c>
      <c r="G305" s="17">
        <f t="shared" si="101"/>
        <v>0</v>
      </c>
      <c r="H305" s="17">
        <f>0</f>
        <v>0</v>
      </c>
      <c r="I305" s="17">
        <f t="shared" si="102"/>
        <v>0</v>
      </c>
      <c r="J305" s="17">
        <f t="shared" si="103"/>
        <v>0</v>
      </c>
      <c r="K305" s="17">
        <f>'1 - Input'!$B$22*(H305-J305)</f>
        <v>0</v>
      </c>
      <c r="L305" s="17">
        <f t="shared" si="104"/>
        <v>0</v>
      </c>
      <c r="M305" s="17">
        <f t="shared" si="105"/>
        <v>0</v>
      </c>
      <c r="N305" s="17">
        <f>0</f>
        <v>0</v>
      </c>
      <c r="O305" s="17">
        <f t="shared" si="106"/>
        <v>4092.2991285243875</v>
      </c>
      <c r="P305" s="17">
        <f t="shared" si="107"/>
        <v>0</v>
      </c>
      <c r="Q305" s="17">
        <f>IF(AND(O305&gt;0,I305&gt;0),O305/(1-'1 - Input'!$B$22*P305),0)</f>
        <v>0</v>
      </c>
      <c r="R305" s="17">
        <f t="shared" si="108"/>
        <v>0</v>
      </c>
      <c r="S305" s="17">
        <f>'1 - Input'!$B$22*P305*R305</f>
        <v>0</v>
      </c>
      <c r="T305" s="17">
        <f t="shared" si="109"/>
        <v>0</v>
      </c>
      <c r="U305" s="17">
        <f t="shared" si="110"/>
        <v>4092.2991285243875</v>
      </c>
      <c r="V305" s="17">
        <f t="shared" si="111"/>
        <v>0</v>
      </c>
      <c r="W305" s="17">
        <f t="shared" si="112"/>
        <v>0</v>
      </c>
      <c r="X305" s="17">
        <f t="shared" si="113"/>
        <v>0</v>
      </c>
      <c r="Y305" s="17">
        <f>IF(MOD(A305,12)=0,W305*'1 - Input'!$B$23,0)</f>
        <v>0</v>
      </c>
      <c r="Z305" s="17">
        <f t="shared" si="114"/>
        <v>0</v>
      </c>
      <c r="AA305" s="17">
        <f>IF(MOD(A305,12)=0,X305*(1-'1 - Input'!$B$23),X305)</f>
        <v>0</v>
      </c>
      <c r="AB305" s="17">
        <f t="shared" si="115"/>
        <v>0</v>
      </c>
      <c r="AC305" s="17">
        <f t="shared" si="119"/>
        <v>676015.57770007267</v>
      </c>
      <c r="AD305" s="17">
        <f t="shared" si="120"/>
        <v>0</v>
      </c>
      <c r="AE305" s="17">
        <f t="shared" si="121"/>
        <v>69240.414874846756</v>
      </c>
      <c r="AF305" s="17">
        <f t="shared" si="122"/>
        <v>0</v>
      </c>
      <c r="AG305" s="17">
        <f t="shared" si="123"/>
        <v>10373.842685499292</v>
      </c>
      <c r="AH305" s="17">
        <f t="shared" si="124"/>
        <v>200286.89069980412</v>
      </c>
      <c r="AI305" s="15">
        <f t="shared" si="116"/>
        <v>1</v>
      </c>
    </row>
    <row r="306" spans="1:35">
      <c r="A306" s="14">
        <v>263</v>
      </c>
      <c r="B306" s="15">
        <f t="shared" si="100"/>
        <v>22</v>
      </c>
      <c r="C306" s="16">
        <f>(1+INDEX('1 - Input'!$B$34:$E$63,B306,'1 - Input'!$B$16))^(1/12)-1</f>
        <v>4.1219243192651689E-3</v>
      </c>
      <c r="D306" s="17">
        <f>'1 - Input'!$B$7*(1+'1 - Input'!$B$12)^(B306-1)</f>
        <v>4092.2991285243875</v>
      </c>
      <c r="E306" s="17">
        <f t="shared" si="117"/>
        <v>0</v>
      </c>
      <c r="F306" s="17">
        <f t="shared" si="118"/>
        <v>0</v>
      </c>
      <c r="G306" s="17">
        <f t="shared" si="101"/>
        <v>0</v>
      </c>
      <c r="H306" s="17">
        <f>0</f>
        <v>0</v>
      </c>
      <c r="I306" s="17">
        <f t="shared" si="102"/>
        <v>0</v>
      </c>
      <c r="J306" s="17">
        <f t="shared" si="103"/>
        <v>0</v>
      </c>
      <c r="K306" s="17">
        <f>'1 - Input'!$B$22*(H306-J306)</f>
        <v>0</v>
      </c>
      <c r="L306" s="17">
        <f t="shared" si="104"/>
        <v>0</v>
      </c>
      <c r="M306" s="17">
        <f t="shared" si="105"/>
        <v>0</v>
      </c>
      <c r="N306" s="17">
        <f>0</f>
        <v>0</v>
      </c>
      <c r="O306" s="17">
        <f t="shared" si="106"/>
        <v>4092.2991285243875</v>
      </c>
      <c r="P306" s="17">
        <f t="shared" si="107"/>
        <v>0</v>
      </c>
      <c r="Q306" s="17">
        <f>IF(AND(O306&gt;0,I306&gt;0),O306/(1-'1 - Input'!$B$22*P306),0)</f>
        <v>0</v>
      </c>
      <c r="R306" s="17">
        <f t="shared" si="108"/>
        <v>0</v>
      </c>
      <c r="S306" s="17">
        <f>'1 - Input'!$B$22*P306*R306</f>
        <v>0</v>
      </c>
      <c r="T306" s="17">
        <f t="shared" si="109"/>
        <v>0</v>
      </c>
      <c r="U306" s="17">
        <f t="shared" si="110"/>
        <v>4092.2991285243875</v>
      </c>
      <c r="V306" s="17">
        <f t="shared" si="111"/>
        <v>0</v>
      </c>
      <c r="W306" s="17">
        <f t="shared" si="112"/>
        <v>0</v>
      </c>
      <c r="X306" s="17">
        <f t="shared" si="113"/>
        <v>0</v>
      </c>
      <c r="Y306" s="17">
        <f>IF(MOD(A306,12)=0,W306*'1 - Input'!$B$23,0)</f>
        <v>0</v>
      </c>
      <c r="Z306" s="17">
        <f t="shared" si="114"/>
        <v>0</v>
      </c>
      <c r="AA306" s="17">
        <f>IF(MOD(A306,12)=0,X306*(1-'1 - Input'!$B$23),X306)</f>
        <v>0</v>
      </c>
      <c r="AB306" s="17">
        <f t="shared" si="115"/>
        <v>0</v>
      </c>
      <c r="AC306" s="17">
        <f t="shared" si="119"/>
        <v>676015.57770007267</v>
      </c>
      <c r="AD306" s="17">
        <f t="shared" si="120"/>
        <v>0</v>
      </c>
      <c r="AE306" s="17">
        <f t="shared" si="121"/>
        <v>69240.414874846756</v>
      </c>
      <c r="AF306" s="17">
        <f t="shared" si="122"/>
        <v>0</v>
      </c>
      <c r="AG306" s="17">
        <f t="shared" si="123"/>
        <v>10373.842685499292</v>
      </c>
      <c r="AH306" s="17">
        <f t="shared" si="124"/>
        <v>204379.1898283285</v>
      </c>
      <c r="AI306" s="15">
        <f t="shared" si="116"/>
        <v>1</v>
      </c>
    </row>
    <row r="307" spans="1:35">
      <c r="A307" s="14">
        <v>264</v>
      </c>
      <c r="B307" s="15">
        <f t="shared" si="100"/>
        <v>22</v>
      </c>
      <c r="C307" s="16">
        <f>(1+INDEX('1 - Input'!$B$34:$E$63,B307,'1 - Input'!$B$16))^(1/12)-1</f>
        <v>4.1219243192651689E-3</v>
      </c>
      <c r="D307" s="17">
        <f>'1 - Input'!$B$7*(1+'1 - Input'!$B$12)^(B307-1)</f>
        <v>4092.2991285243875</v>
      </c>
      <c r="E307" s="17">
        <f t="shared" si="117"/>
        <v>0</v>
      </c>
      <c r="F307" s="17">
        <f t="shared" si="118"/>
        <v>0</v>
      </c>
      <c r="G307" s="17">
        <f t="shared" si="101"/>
        <v>0</v>
      </c>
      <c r="H307" s="17">
        <f>0</f>
        <v>0</v>
      </c>
      <c r="I307" s="17">
        <f t="shared" si="102"/>
        <v>0</v>
      </c>
      <c r="J307" s="17">
        <f t="shared" si="103"/>
        <v>0</v>
      </c>
      <c r="K307" s="17">
        <f>'1 - Input'!$B$22*(H307-J307)</f>
        <v>0</v>
      </c>
      <c r="L307" s="17">
        <f t="shared" si="104"/>
        <v>0</v>
      </c>
      <c r="M307" s="17">
        <f t="shared" si="105"/>
        <v>0</v>
      </c>
      <c r="N307" s="17">
        <f>0</f>
        <v>0</v>
      </c>
      <c r="O307" s="17">
        <f t="shared" si="106"/>
        <v>4092.2991285243875</v>
      </c>
      <c r="P307" s="17">
        <f t="shared" si="107"/>
        <v>0</v>
      </c>
      <c r="Q307" s="17">
        <f>IF(AND(O307&gt;0,I307&gt;0),O307/(1-'1 - Input'!$B$22*P307),0)</f>
        <v>0</v>
      </c>
      <c r="R307" s="17">
        <f t="shared" si="108"/>
        <v>0</v>
      </c>
      <c r="S307" s="17">
        <f>'1 - Input'!$B$22*P307*R307</f>
        <v>0</v>
      </c>
      <c r="T307" s="17">
        <f t="shared" si="109"/>
        <v>0</v>
      </c>
      <c r="U307" s="17">
        <f t="shared" si="110"/>
        <v>4092.2991285243875</v>
      </c>
      <c r="V307" s="17">
        <f t="shared" si="111"/>
        <v>0</v>
      </c>
      <c r="W307" s="17">
        <f t="shared" si="112"/>
        <v>0</v>
      </c>
      <c r="X307" s="17">
        <f t="shared" si="113"/>
        <v>0</v>
      </c>
      <c r="Y307" s="17">
        <f>IF(MOD(A307,12)=0,W307*'1 - Input'!$B$23,0)</f>
        <v>0</v>
      </c>
      <c r="Z307" s="17">
        <f t="shared" si="114"/>
        <v>0</v>
      </c>
      <c r="AA307" s="17">
        <f>IF(MOD(A307,12)=0,X307*(1-'1 - Input'!$B$23),X307)</f>
        <v>0</v>
      </c>
      <c r="AB307" s="17">
        <f t="shared" si="115"/>
        <v>0</v>
      </c>
      <c r="AC307" s="17">
        <f t="shared" si="119"/>
        <v>676015.57770007267</v>
      </c>
      <c r="AD307" s="17">
        <f t="shared" si="120"/>
        <v>0</v>
      </c>
      <c r="AE307" s="17">
        <f t="shared" si="121"/>
        <v>69240.414874846756</v>
      </c>
      <c r="AF307" s="17">
        <f t="shared" si="122"/>
        <v>0</v>
      </c>
      <c r="AG307" s="17">
        <f t="shared" si="123"/>
        <v>10373.842685499292</v>
      </c>
      <c r="AH307" s="17">
        <f t="shared" si="124"/>
        <v>208471.48895685287</v>
      </c>
      <c r="AI307" s="15">
        <f t="shared" si="116"/>
        <v>1</v>
      </c>
    </row>
    <row r="308" spans="1:35">
      <c r="A308" s="14">
        <v>265</v>
      </c>
      <c r="B308" s="15">
        <f t="shared" si="100"/>
        <v>23</v>
      </c>
      <c r="C308" s="16">
        <f>(1+INDEX('1 - Input'!$B$34:$E$63,B308,'1 - Input'!$B$16))^(1/12)-1</f>
        <v>4.1219243192651689E-3</v>
      </c>
      <c r="D308" s="17">
        <f>'1 - Input'!$B$7*(1+'1 - Input'!$B$12)^(B308-1)</f>
        <v>4174.1451110948756</v>
      </c>
      <c r="E308" s="17">
        <f t="shared" si="117"/>
        <v>0</v>
      </c>
      <c r="F308" s="17">
        <f t="shared" si="118"/>
        <v>0</v>
      </c>
      <c r="G308" s="17">
        <f t="shared" si="101"/>
        <v>0</v>
      </c>
      <c r="H308" s="17">
        <f>0</f>
        <v>0</v>
      </c>
      <c r="I308" s="17">
        <f t="shared" si="102"/>
        <v>0</v>
      </c>
      <c r="J308" s="17">
        <f t="shared" si="103"/>
        <v>0</v>
      </c>
      <c r="K308" s="17">
        <f>'1 - Input'!$B$22*(H308-J308)</f>
        <v>0</v>
      </c>
      <c r="L308" s="17">
        <f t="shared" si="104"/>
        <v>0</v>
      </c>
      <c r="M308" s="17">
        <f t="shared" si="105"/>
        <v>0</v>
      </c>
      <c r="N308" s="17">
        <f>0</f>
        <v>0</v>
      </c>
      <c r="O308" s="17">
        <f t="shared" si="106"/>
        <v>4174.1451110948756</v>
      </c>
      <c r="P308" s="17">
        <f t="shared" si="107"/>
        <v>0</v>
      </c>
      <c r="Q308" s="17">
        <f>IF(AND(O308&gt;0,I308&gt;0),O308/(1-'1 - Input'!$B$22*P308),0)</f>
        <v>0</v>
      </c>
      <c r="R308" s="17">
        <f t="shared" si="108"/>
        <v>0</v>
      </c>
      <c r="S308" s="17">
        <f>'1 - Input'!$B$22*P308*R308</f>
        <v>0</v>
      </c>
      <c r="T308" s="17">
        <f t="shared" si="109"/>
        <v>0</v>
      </c>
      <c r="U308" s="17">
        <f t="shared" si="110"/>
        <v>4174.1451110948756</v>
      </c>
      <c r="V308" s="17">
        <f t="shared" si="111"/>
        <v>0</v>
      </c>
      <c r="W308" s="17">
        <f t="shared" si="112"/>
        <v>0</v>
      </c>
      <c r="X308" s="17">
        <f t="shared" si="113"/>
        <v>0</v>
      </c>
      <c r="Y308" s="17">
        <f>IF(MOD(A308,12)=0,W308*'1 - Input'!$B$23,0)</f>
        <v>0</v>
      </c>
      <c r="Z308" s="17">
        <f t="shared" si="114"/>
        <v>0</v>
      </c>
      <c r="AA308" s="17">
        <f>IF(MOD(A308,12)=0,X308*(1-'1 - Input'!$B$23),X308)</f>
        <v>0</v>
      </c>
      <c r="AB308" s="17">
        <f t="shared" si="115"/>
        <v>0</v>
      </c>
      <c r="AC308" s="17">
        <f t="shared" si="119"/>
        <v>676015.57770007267</v>
      </c>
      <c r="AD308" s="17">
        <f t="shared" si="120"/>
        <v>0</v>
      </c>
      <c r="AE308" s="17">
        <f t="shared" si="121"/>
        <v>69240.414874846756</v>
      </c>
      <c r="AF308" s="17">
        <f t="shared" si="122"/>
        <v>0</v>
      </c>
      <c r="AG308" s="17">
        <f t="shared" si="123"/>
        <v>10373.842685499292</v>
      </c>
      <c r="AH308" s="17">
        <f t="shared" si="124"/>
        <v>212645.63406794774</v>
      </c>
      <c r="AI308" s="15">
        <f t="shared" si="116"/>
        <v>1</v>
      </c>
    </row>
    <row r="309" spans="1:35">
      <c r="A309" s="14">
        <v>266</v>
      </c>
      <c r="B309" s="15">
        <f t="shared" si="100"/>
        <v>23</v>
      </c>
      <c r="C309" s="16">
        <f>(1+INDEX('1 - Input'!$B$34:$E$63,B309,'1 - Input'!$B$16))^(1/12)-1</f>
        <v>4.1219243192651689E-3</v>
      </c>
      <c r="D309" s="17">
        <f>'1 - Input'!$B$7*(1+'1 - Input'!$B$12)^(B309-1)</f>
        <v>4174.1451110948756</v>
      </c>
      <c r="E309" s="17">
        <f t="shared" si="117"/>
        <v>0</v>
      </c>
      <c r="F309" s="17">
        <f t="shared" si="118"/>
        <v>0</v>
      </c>
      <c r="G309" s="17">
        <f t="shared" si="101"/>
        <v>0</v>
      </c>
      <c r="H309" s="17">
        <f>0</f>
        <v>0</v>
      </c>
      <c r="I309" s="17">
        <f t="shared" si="102"/>
        <v>0</v>
      </c>
      <c r="J309" s="17">
        <f t="shared" si="103"/>
        <v>0</v>
      </c>
      <c r="K309" s="17">
        <f>'1 - Input'!$B$22*(H309-J309)</f>
        <v>0</v>
      </c>
      <c r="L309" s="17">
        <f t="shared" si="104"/>
        <v>0</v>
      </c>
      <c r="M309" s="17">
        <f t="shared" si="105"/>
        <v>0</v>
      </c>
      <c r="N309" s="17">
        <f>0</f>
        <v>0</v>
      </c>
      <c r="O309" s="17">
        <f t="shared" si="106"/>
        <v>4174.1451110948756</v>
      </c>
      <c r="P309" s="17">
        <f t="shared" si="107"/>
        <v>0</v>
      </c>
      <c r="Q309" s="17">
        <f>IF(AND(O309&gt;0,I309&gt;0),O309/(1-'1 - Input'!$B$22*P309),0)</f>
        <v>0</v>
      </c>
      <c r="R309" s="17">
        <f t="shared" si="108"/>
        <v>0</v>
      </c>
      <c r="S309" s="17">
        <f>'1 - Input'!$B$22*P309*R309</f>
        <v>0</v>
      </c>
      <c r="T309" s="17">
        <f t="shared" si="109"/>
        <v>0</v>
      </c>
      <c r="U309" s="17">
        <f t="shared" si="110"/>
        <v>4174.1451110948756</v>
      </c>
      <c r="V309" s="17">
        <f t="shared" si="111"/>
        <v>0</v>
      </c>
      <c r="W309" s="17">
        <f t="shared" si="112"/>
        <v>0</v>
      </c>
      <c r="X309" s="17">
        <f t="shared" si="113"/>
        <v>0</v>
      </c>
      <c r="Y309" s="17">
        <f>IF(MOD(A309,12)=0,W309*'1 - Input'!$B$23,0)</f>
        <v>0</v>
      </c>
      <c r="Z309" s="17">
        <f t="shared" si="114"/>
        <v>0</v>
      </c>
      <c r="AA309" s="17">
        <f>IF(MOD(A309,12)=0,X309*(1-'1 - Input'!$B$23),X309)</f>
        <v>0</v>
      </c>
      <c r="AB309" s="17">
        <f t="shared" si="115"/>
        <v>0</v>
      </c>
      <c r="AC309" s="17">
        <f t="shared" si="119"/>
        <v>676015.57770007267</v>
      </c>
      <c r="AD309" s="17">
        <f t="shared" si="120"/>
        <v>0</v>
      </c>
      <c r="AE309" s="17">
        <f t="shared" si="121"/>
        <v>69240.414874846756</v>
      </c>
      <c r="AF309" s="17">
        <f t="shared" si="122"/>
        <v>0</v>
      </c>
      <c r="AG309" s="17">
        <f t="shared" si="123"/>
        <v>10373.842685499292</v>
      </c>
      <c r="AH309" s="17">
        <f t="shared" si="124"/>
        <v>216819.77917904261</v>
      </c>
      <c r="AI309" s="15">
        <f t="shared" si="116"/>
        <v>1</v>
      </c>
    </row>
    <row r="310" spans="1:35">
      <c r="A310" s="14">
        <v>267</v>
      </c>
      <c r="B310" s="15">
        <f t="shared" si="100"/>
        <v>23</v>
      </c>
      <c r="C310" s="16">
        <f>(1+INDEX('1 - Input'!$B$34:$E$63,B310,'1 - Input'!$B$16))^(1/12)-1</f>
        <v>4.1219243192651689E-3</v>
      </c>
      <c r="D310" s="17">
        <f>'1 - Input'!$B$7*(1+'1 - Input'!$B$12)^(B310-1)</f>
        <v>4174.1451110948756</v>
      </c>
      <c r="E310" s="17">
        <f t="shared" si="117"/>
        <v>0</v>
      </c>
      <c r="F310" s="17">
        <f t="shared" si="118"/>
        <v>0</v>
      </c>
      <c r="G310" s="17">
        <f t="shared" si="101"/>
        <v>0</v>
      </c>
      <c r="H310" s="17">
        <f>0</f>
        <v>0</v>
      </c>
      <c r="I310" s="17">
        <f t="shared" si="102"/>
        <v>0</v>
      </c>
      <c r="J310" s="17">
        <f t="shared" si="103"/>
        <v>0</v>
      </c>
      <c r="K310" s="17">
        <f>'1 - Input'!$B$22*(H310-J310)</f>
        <v>0</v>
      </c>
      <c r="L310" s="17">
        <f t="shared" si="104"/>
        <v>0</v>
      </c>
      <c r="M310" s="17">
        <f t="shared" si="105"/>
        <v>0</v>
      </c>
      <c r="N310" s="17">
        <f>0</f>
        <v>0</v>
      </c>
      <c r="O310" s="17">
        <f t="shared" si="106"/>
        <v>4174.1451110948756</v>
      </c>
      <c r="P310" s="17">
        <f t="shared" si="107"/>
        <v>0</v>
      </c>
      <c r="Q310" s="17">
        <f>IF(AND(O310&gt;0,I310&gt;0),O310/(1-'1 - Input'!$B$22*P310),0)</f>
        <v>0</v>
      </c>
      <c r="R310" s="17">
        <f t="shared" si="108"/>
        <v>0</v>
      </c>
      <c r="S310" s="17">
        <f>'1 - Input'!$B$22*P310*R310</f>
        <v>0</v>
      </c>
      <c r="T310" s="17">
        <f t="shared" si="109"/>
        <v>0</v>
      </c>
      <c r="U310" s="17">
        <f t="shared" si="110"/>
        <v>4174.1451110948756</v>
      </c>
      <c r="V310" s="17">
        <f t="shared" si="111"/>
        <v>0</v>
      </c>
      <c r="W310" s="17">
        <f t="shared" si="112"/>
        <v>0</v>
      </c>
      <c r="X310" s="17">
        <f t="shared" si="113"/>
        <v>0</v>
      </c>
      <c r="Y310" s="17">
        <f>IF(MOD(A310,12)=0,W310*'1 - Input'!$B$23,0)</f>
        <v>0</v>
      </c>
      <c r="Z310" s="17">
        <f t="shared" si="114"/>
        <v>0</v>
      </c>
      <c r="AA310" s="17">
        <f>IF(MOD(A310,12)=0,X310*(1-'1 - Input'!$B$23),X310)</f>
        <v>0</v>
      </c>
      <c r="AB310" s="17">
        <f t="shared" si="115"/>
        <v>0</v>
      </c>
      <c r="AC310" s="17">
        <f t="shared" si="119"/>
        <v>676015.57770007267</v>
      </c>
      <c r="AD310" s="17">
        <f t="shared" si="120"/>
        <v>0</v>
      </c>
      <c r="AE310" s="17">
        <f t="shared" si="121"/>
        <v>69240.414874846756</v>
      </c>
      <c r="AF310" s="17">
        <f t="shared" si="122"/>
        <v>0</v>
      </c>
      <c r="AG310" s="17">
        <f t="shared" si="123"/>
        <v>10373.842685499292</v>
      </c>
      <c r="AH310" s="17">
        <f t="shared" si="124"/>
        <v>220993.92429013748</v>
      </c>
      <c r="AI310" s="15">
        <f t="shared" si="116"/>
        <v>1</v>
      </c>
    </row>
    <row r="311" spans="1:35">
      <c r="A311" s="14">
        <v>268</v>
      </c>
      <c r="B311" s="15">
        <f t="shared" si="100"/>
        <v>23</v>
      </c>
      <c r="C311" s="16">
        <f>(1+INDEX('1 - Input'!$B$34:$E$63,B311,'1 - Input'!$B$16))^(1/12)-1</f>
        <v>4.1219243192651689E-3</v>
      </c>
      <c r="D311" s="17">
        <f>'1 - Input'!$B$7*(1+'1 - Input'!$B$12)^(B311-1)</f>
        <v>4174.1451110948756</v>
      </c>
      <c r="E311" s="17">
        <f t="shared" si="117"/>
        <v>0</v>
      </c>
      <c r="F311" s="17">
        <f t="shared" si="118"/>
        <v>0</v>
      </c>
      <c r="G311" s="17">
        <f t="shared" si="101"/>
        <v>0</v>
      </c>
      <c r="H311" s="17">
        <f>0</f>
        <v>0</v>
      </c>
      <c r="I311" s="17">
        <f t="shared" si="102"/>
        <v>0</v>
      </c>
      <c r="J311" s="17">
        <f t="shared" si="103"/>
        <v>0</v>
      </c>
      <c r="K311" s="17">
        <f>'1 - Input'!$B$22*(H311-J311)</f>
        <v>0</v>
      </c>
      <c r="L311" s="17">
        <f t="shared" si="104"/>
        <v>0</v>
      </c>
      <c r="M311" s="17">
        <f t="shared" si="105"/>
        <v>0</v>
      </c>
      <c r="N311" s="17">
        <f>0</f>
        <v>0</v>
      </c>
      <c r="O311" s="17">
        <f t="shared" si="106"/>
        <v>4174.1451110948756</v>
      </c>
      <c r="P311" s="17">
        <f t="shared" si="107"/>
        <v>0</v>
      </c>
      <c r="Q311" s="17">
        <f>IF(AND(O311&gt;0,I311&gt;0),O311/(1-'1 - Input'!$B$22*P311),0)</f>
        <v>0</v>
      </c>
      <c r="R311" s="17">
        <f t="shared" si="108"/>
        <v>0</v>
      </c>
      <c r="S311" s="17">
        <f>'1 - Input'!$B$22*P311*R311</f>
        <v>0</v>
      </c>
      <c r="T311" s="17">
        <f t="shared" si="109"/>
        <v>0</v>
      </c>
      <c r="U311" s="17">
        <f t="shared" si="110"/>
        <v>4174.1451110948756</v>
      </c>
      <c r="V311" s="17">
        <f t="shared" si="111"/>
        <v>0</v>
      </c>
      <c r="W311" s="17">
        <f t="shared" si="112"/>
        <v>0</v>
      </c>
      <c r="X311" s="17">
        <f t="shared" si="113"/>
        <v>0</v>
      </c>
      <c r="Y311" s="17">
        <f>IF(MOD(A311,12)=0,W311*'1 - Input'!$B$23,0)</f>
        <v>0</v>
      </c>
      <c r="Z311" s="17">
        <f t="shared" si="114"/>
        <v>0</v>
      </c>
      <c r="AA311" s="17">
        <f>IF(MOD(A311,12)=0,X311*(1-'1 - Input'!$B$23),X311)</f>
        <v>0</v>
      </c>
      <c r="AB311" s="17">
        <f t="shared" si="115"/>
        <v>0</v>
      </c>
      <c r="AC311" s="17">
        <f t="shared" si="119"/>
        <v>676015.57770007267</v>
      </c>
      <c r="AD311" s="17">
        <f t="shared" si="120"/>
        <v>0</v>
      </c>
      <c r="AE311" s="17">
        <f t="shared" si="121"/>
        <v>69240.414874846756</v>
      </c>
      <c r="AF311" s="17">
        <f t="shared" si="122"/>
        <v>0</v>
      </c>
      <c r="AG311" s="17">
        <f t="shared" si="123"/>
        <v>10373.842685499292</v>
      </c>
      <c r="AH311" s="17">
        <f t="shared" si="124"/>
        <v>225168.06940123235</v>
      </c>
      <c r="AI311" s="15">
        <f t="shared" si="116"/>
        <v>1</v>
      </c>
    </row>
    <row r="312" spans="1:35">
      <c r="A312" s="14">
        <v>269</v>
      </c>
      <c r="B312" s="15">
        <f t="shared" si="100"/>
        <v>23</v>
      </c>
      <c r="C312" s="16">
        <f>(1+INDEX('1 - Input'!$B$34:$E$63,B312,'1 - Input'!$B$16))^(1/12)-1</f>
        <v>4.1219243192651689E-3</v>
      </c>
      <c r="D312" s="17">
        <f>'1 - Input'!$B$7*(1+'1 - Input'!$B$12)^(B312-1)</f>
        <v>4174.1451110948756</v>
      </c>
      <c r="E312" s="17">
        <f t="shared" si="117"/>
        <v>0</v>
      </c>
      <c r="F312" s="17">
        <f t="shared" si="118"/>
        <v>0</v>
      </c>
      <c r="G312" s="17">
        <f t="shared" si="101"/>
        <v>0</v>
      </c>
      <c r="H312" s="17">
        <f>0</f>
        <v>0</v>
      </c>
      <c r="I312" s="17">
        <f t="shared" si="102"/>
        <v>0</v>
      </c>
      <c r="J312" s="17">
        <f t="shared" si="103"/>
        <v>0</v>
      </c>
      <c r="K312" s="17">
        <f>'1 - Input'!$B$22*(H312-J312)</f>
        <v>0</v>
      </c>
      <c r="L312" s="17">
        <f t="shared" si="104"/>
        <v>0</v>
      </c>
      <c r="M312" s="17">
        <f t="shared" si="105"/>
        <v>0</v>
      </c>
      <c r="N312" s="17">
        <f>0</f>
        <v>0</v>
      </c>
      <c r="O312" s="17">
        <f t="shared" si="106"/>
        <v>4174.1451110948756</v>
      </c>
      <c r="P312" s="17">
        <f t="shared" si="107"/>
        <v>0</v>
      </c>
      <c r="Q312" s="17">
        <f>IF(AND(O312&gt;0,I312&gt;0),O312/(1-'1 - Input'!$B$22*P312),0)</f>
        <v>0</v>
      </c>
      <c r="R312" s="17">
        <f t="shared" si="108"/>
        <v>0</v>
      </c>
      <c r="S312" s="17">
        <f>'1 - Input'!$B$22*P312*R312</f>
        <v>0</v>
      </c>
      <c r="T312" s="17">
        <f t="shared" si="109"/>
        <v>0</v>
      </c>
      <c r="U312" s="17">
        <f t="shared" si="110"/>
        <v>4174.1451110948756</v>
      </c>
      <c r="V312" s="17">
        <f t="shared" si="111"/>
        <v>0</v>
      </c>
      <c r="W312" s="17">
        <f t="shared" si="112"/>
        <v>0</v>
      </c>
      <c r="X312" s="17">
        <f t="shared" si="113"/>
        <v>0</v>
      </c>
      <c r="Y312" s="17">
        <f>IF(MOD(A312,12)=0,W312*'1 - Input'!$B$23,0)</f>
        <v>0</v>
      </c>
      <c r="Z312" s="17">
        <f t="shared" si="114"/>
        <v>0</v>
      </c>
      <c r="AA312" s="17">
        <f>IF(MOD(A312,12)=0,X312*(1-'1 - Input'!$B$23),X312)</f>
        <v>0</v>
      </c>
      <c r="AB312" s="17">
        <f t="shared" si="115"/>
        <v>0</v>
      </c>
      <c r="AC312" s="17">
        <f t="shared" si="119"/>
        <v>676015.57770007267</v>
      </c>
      <c r="AD312" s="17">
        <f t="shared" si="120"/>
        <v>0</v>
      </c>
      <c r="AE312" s="17">
        <f t="shared" si="121"/>
        <v>69240.414874846756</v>
      </c>
      <c r="AF312" s="17">
        <f t="shared" si="122"/>
        <v>0</v>
      </c>
      <c r="AG312" s="17">
        <f t="shared" si="123"/>
        <v>10373.842685499292</v>
      </c>
      <c r="AH312" s="17">
        <f t="shared" si="124"/>
        <v>229342.21451232722</v>
      </c>
      <c r="AI312" s="15">
        <f t="shared" si="116"/>
        <v>1</v>
      </c>
    </row>
    <row r="313" spans="1:35">
      <c r="A313" s="14">
        <v>270</v>
      </c>
      <c r="B313" s="15">
        <f t="shared" si="100"/>
        <v>23</v>
      </c>
      <c r="C313" s="16">
        <f>(1+INDEX('1 - Input'!$B$34:$E$63,B313,'1 - Input'!$B$16))^(1/12)-1</f>
        <v>4.1219243192651689E-3</v>
      </c>
      <c r="D313" s="17">
        <f>'1 - Input'!$B$7*(1+'1 - Input'!$B$12)^(B313-1)</f>
        <v>4174.1451110948756</v>
      </c>
      <c r="E313" s="17">
        <f t="shared" si="117"/>
        <v>0</v>
      </c>
      <c r="F313" s="17">
        <f t="shared" si="118"/>
        <v>0</v>
      </c>
      <c r="G313" s="17">
        <f t="shared" si="101"/>
        <v>0</v>
      </c>
      <c r="H313" s="17">
        <f>0</f>
        <v>0</v>
      </c>
      <c r="I313" s="17">
        <f t="shared" si="102"/>
        <v>0</v>
      </c>
      <c r="J313" s="17">
        <f t="shared" si="103"/>
        <v>0</v>
      </c>
      <c r="K313" s="17">
        <f>'1 - Input'!$B$22*(H313-J313)</f>
        <v>0</v>
      </c>
      <c r="L313" s="17">
        <f t="shared" si="104"/>
        <v>0</v>
      </c>
      <c r="M313" s="17">
        <f t="shared" si="105"/>
        <v>0</v>
      </c>
      <c r="N313" s="17">
        <f>0</f>
        <v>0</v>
      </c>
      <c r="O313" s="17">
        <f t="shared" si="106"/>
        <v>4174.1451110948756</v>
      </c>
      <c r="P313" s="17">
        <f t="shared" si="107"/>
        <v>0</v>
      </c>
      <c r="Q313" s="17">
        <f>IF(AND(O313&gt;0,I313&gt;0),O313/(1-'1 - Input'!$B$22*P313),0)</f>
        <v>0</v>
      </c>
      <c r="R313" s="17">
        <f t="shared" si="108"/>
        <v>0</v>
      </c>
      <c r="S313" s="17">
        <f>'1 - Input'!$B$22*P313*R313</f>
        <v>0</v>
      </c>
      <c r="T313" s="17">
        <f t="shared" si="109"/>
        <v>0</v>
      </c>
      <c r="U313" s="17">
        <f t="shared" si="110"/>
        <v>4174.1451110948756</v>
      </c>
      <c r="V313" s="17">
        <f t="shared" si="111"/>
        <v>0</v>
      </c>
      <c r="W313" s="17">
        <f t="shared" si="112"/>
        <v>0</v>
      </c>
      <c r="X313" s="17">
        <f t="shared" si="113"/>
        <v>0</v>
      </c>
      <c r="Y313" s="17">
        <f>IF(MOD(A313,12)=0,W313*'1 - Input'!$B$23,0)</f>
        <v>0</v>
      </c>
      <c r="Z313" s="17">
        <f t="shared" si="114"/>
        <v>0</v>
      </c>
      <c r="AA313" s="17">
        <f>IF(MOD(A313,12)=0,X313*(1-'1 - Input'!$B$23),X313)</f>
        <v>0</v>
      </c>
      <c r="AB313" s="17">
        <f t="shared" si="115"/>
        <v>0</v>
      </c>
      <c r="AC313" s="17">
        <f t="shared" si="119"/>
        <v>676015.57770007267</v>
      </c>
      <c r="AD313" s="17">
        <f t="shared" si="120"/>
        <v>0</v>
      </c>
      <c r="AE313" s="17">
        <f t="shared" si="121"/>
        <v>69240.414874846756</v>
      </c>
      <c r="AF313" s="17">
        <f t="shared" si="122"/>
        <v>0</v>
      </c>
      <c r="AG313" s="17">
        <f t="shared" si="123"/>
        <v>10373.842685499292</v>
      </c>
      <c r="AH313" s="17">
        <f t="shared" si="124"/>
        <v>233516.35962342209</v>
      </c>
      <c r="AI313" s="15">
        <f t="shared" si="116"/>
        <v>1</v>
      </c>
    </row>
    <row r="314" spans="1:35">
      <c r="A314" s="14">
        <v>271</v>
      </c>
      <c r="B314" s="15">
        <f t="shared" si="100"/>
        <v>23</v>
      </c>
      <c r="C314" s="16">
        <f>(1+INDEX('1 - Input'!$B$34:$E$63,B314,'1 - Input'!$B$16))^(1/12)-1</f>
        <v>4.1219243192651689E-3</v>
      </c>
      <c r="D314" s="17">
        <f>'1 - Input'!$B$7*(1+'1 - Input'!$B$12)^(B314-1)</f>
        <v>4174.1451110948756</v>
      </c>
      <c r="E314" s="17">
        <f t="shared" si="117"/>
        <v>0</v>
      </c>
      <c r="F314" s="17">
        <f t="shared" si="118"/>
        <v>0</v>
      </c>
      <c r="G314" s="17">
        <f t="shared" si="101"/>
        <v>0</v>
      </c>
      <c r="H314" s="17">
        <f>0</f>
        <v>0</v>
      </c>
      <c r="I314" s="17">
        <f t="shared" si="102"/>
        <v>0</v>
      </c>
      <c r="J314" s="17">
        <f t="shared" si="103"/>
        <v>0</v>
      </c>
      <c r="K314" s="17">
        <f>'1 - Input'!$B$22*(H314-J314)</f>
        <v>0</v>
      </c>
      <c r="L314" s="17">
        <f t="shared" si="104"/>
        <v>0</v>
      </c>
      <c r="M314" s="17">
        <f t="shared" si="105"/>
        <v>0</v>
      </c>
      <c r="N314" s="17">
        <f>0</f>
        <v>0</v>
      </c>
      <c r="O314" s="17">
        <f t="shared" si="106"/>
        <v>4174.1451110948756</v>
      </c>
      <c r="P314" s="17">
        <f t="shared" si="107"/>
        <v>0</v>
      </c>
      <c r="Q314" s="17">
        <f>IF(AND(O314&gt;0,I314&gt;0),O314/(1-'1 - Input'!$B$22*P314),0)</f>
        <v>0</v>
      </c>
      <c r="R314" s="17">
        <f t="shared" si="108"/>
        <v>0</v>
      </c>
      <c r="S314" s="17">
        <f>'1 - Input'!$B$22*P314*R314</f>
        <v>0</v>
      </c>
      <c r="T314" s="17">
        <f t="shared" si="109"/>
        <v>0</v>
      </c>
      <c r="U314" s="17">
        <f t="shared" si="110"/>
        <v>4174.1451110948756</v>
      </c>
      <c r="V314" s="17">
        <f t="shared" si="111"/>
        <v>0</v>
      </c>
      <c r="W314" s="17">
        <f t="shared" si="112"/>
        <v>0</v>
      </c>
      <c r="X314" s="17">
        <f t="shared" si="113"/>
        <v>0</v>
      </c>
      <c r="Y314" s="17">
        <f>IF(MOD(A314,12)=0,W314*'1 - Input'!$B$23,0)</f>
        <v>0</v>
      </c>
      <c r="Z314" s="17">
        <f t="shared" si="114"/>
        <v>0</v>
      </c>
      <c r="AA314" s="17">
        <f>IF(MOD(A314,12)=0,X314*(1-'1 - Input'!$B$23),X314)</f>
        <v>0</v>
      </c>
      <c r="AB314" s="17">
        <f t="shared" si="115"/>
        <v>0</v>
      </c>
      <c r="AC314" s="17">
        <f t="shared" si="119"/>
        <v>676015.57770007267</v>
      </c>
      <c r="AD314" s="17">
        <f t="shared" si="120"/>
        <v>0</v>
      </c>
      <c r="AE314" s="17">
        <f t="shared" si="121"/>
        <v>69240.414874846756</v>
      </c>
      <c r="AF314" s="17">
        <f t="shared" si="122"/>
        <v>0</v>
      </c>
      <c r="AG314" s="17">
        <f t="shared" si="123"/>
        <v>10373.842685499292</v>
      </c>
      <c r="AH314" s="17">
        <f t="shared" si="124"/>
        <v>237690.50473451696</v>
      </c>
      <c r="AI314" s="15">
        <f t="shared" si="116"/>
        <v>1</v>
      </c>
    </row>
    <row r="315" spans="1:35">
      <c r="A315" s="14">
        <v>272</v>
      </c>
      <c r="B315" s="15">
        <f t="shared" si="100"/>
        <v>23</v>
      </c>
      <c r="C315" s="16">
        <f>(1+INDEX('1 - Input'!$B$34:$E$63,B315,'1 - Input'!$B$16))^(1/12)-1</f>
        <v>4.1219243192651689E-3</v>
      </c>
      <c r="D315" s="17">
        <f>'1 - Input'!$B$7*(1+'1 - Input'!$B$12)^(B315-1)</f>
        <v>4174.1451110948756</v>
      </c>
      <c r="E315" s="17">
        <f t="shared" si="117"/>
        <v>0</v>
      </c>
      <c r="F315" s="17">
        <f t="shared" si="118"/>
        <v>0</v>
      </c>
      <c r="G315" s="17">
        <f t="shared" si="101"/>
        <v>0</v>
      </c>
      <c r="H315" s="17">
        <f>0</f>
        <v>0</v>
      </c>
      <c r="I315" s="17">
        <f t="shared" si="102"/>
        <v>0</v>
      </c>
      <c r="J315" s="17">
        <f t="shared" si="103"/>
        <v>0</v>
      </c>
      <c r="K315" s="17">
        <f>'1 - Input'!$B$22*(H315-J315)</f>
        <v>0</v>
      </c>
      <c r="L315" s="17">
        <f t="shared" si="104"/>
        <v>0</v>
      </c>
      <c r="M315" s="17">
        <f t="shared" si="105"/>
        <v>0</v>
      </c>
      <c r="N315" s="17">
        <f>0</f>
        <v>0</v>
      </c>
      <c r="O315" s="17">
        <f t="shared" si="106"/>
        <v>4174.1451110948756</v>
      </c>
      <c r="P315" s="17">
        <f t="shared" si="107"/>
        <v>0</v>
      </c>
      <c r="Q315" s="17">
        <f>IF(AND(O315&gt;0,I315&gt;0),O315/(1-'1 - Input'!$B$22*P315),0)</f>
        <v>0</v>
      </c>
      <c r="R315" s="17">
        <f t="shared" si="108"/>
        <v>0</v>
      </c>
      <c r="S315" s="17">
        <f>'1 - Input'!$B$22*P315*R315</f>
        <v>0</v>
      </c>
      <c r="T315" s="17">
        <f t="shared" si="109"/>
        <v>0</v>
      </c>
      <c r="U315" s="17">
        <f t="shared" si="110"/>
        <v>4174.1451110948756</v>
      </c>
      <c r="V315" s="17">
        <f t="shared" si="111"/>
        <v>0</v>
      </c>
      <c r="W315" s="17">
        <f t="shared" si="112"/>
        <v>0</v>
      </c>
      <c r="X315" s="17">
        <f t="shared" si="113"/>
        <v>0</v>
      </c>
      <c r="Y315" s="17">
        <f>IF(MOD(A315,12)=0,W315*'1 - Input'!$B$23,0)</f>
        <v>0</v>
      </c>
      <c r="Z315" s="17">
        <f t="shared" si="114"/>
        <v>0</v>
      </c>
      <c r="AA315" s="17">
        <f>IF(MOD(A315,12)=0,X315*(1-'1 - Input'!$B$23),X315)</f>
        <v>0</v>
      </c>
      <c r="AB315" s="17">
        <f t="shared" si="115"/>
        <v>0</v>
      </c>
      <c r="AC315" s="17">
        <f t="shared" si="119"/>
        <v>676015.57770007267</v>
      </c>
      <c r="AD315" s="17">
        <f t="shared" si="120"/>
        <v>0</v>
      </c>
      <c r="AE315" s="17">
        <f t="shared" si="121"/>
        <v>69240.414874846756</v>
      </c>
      <c r="AF315" s="17">
        <f t="shared" si="122"/>
        <v>0</v>
      </c>
      <c r="AG315" s="17">
        <f t="shared" si="123"/>
        <v>10373.842685499292</v>
      </c>
      <c r="AH315" s="17">
        <f t="shared" si="124"/>
        <v>241864.64984561183</v>
      </c>
      <c r="AI315" s="15">
        <f t="shared" si="116"/>
        <v>1</v>
      </c>
    </row>
    <row r="316" spans="1:35">
      <c r="A316" s="14">
        <v>273</v>
      </c>
      <c r="B316" s="15">
        <f t="shared" si="100"/>
        <v>23</v>
      </c>
      <c r="C316" s="16">
        <f>(1+INDEX('1 - Input'!$B$34:$E$63,B316,'1 - Input'!$B$16))^(1/12)-1</f>
        <v>4.1219243192651689E-3</v>
      </c>
      <c r="D316" s="17">
        <f>'1 - Input'!$B$7*(1+'1 - Input'!$B$12)^(B316-1)</f>
        <v>4174.1451110948756</v>
      </c>
      <c r="E316" s="17">
        <f t="shared" si="117"/>
        <v>0</v>
      </c>
      <c r="F316" s="17">
        <f t="shared" si="118"/>
        <v>0</v>
      </c>
      <c r="G316" s="17">
        <f t="shared" si="101"/>
        <v>0</v>
      </c>
      <c r="H316" s="17">
        <f>0</f>
        <v>0</v>
      </c>
      <c r="I316" s="17">
        <f t="shared" si="102"/>
        <v>0</v>
      </c>
      <c r="J316" s="17">
        <f t="shared" si="103"/>
        <v>0</v>
      </c>
      <c r="K316" s="17">
        <f>'1 - Input'!$B$22*(H316-J316)</f>
        <v>0</v>
      </c>
      <c r="L316" s="17">
        <f t="shared" si="104"/>
        <v>0</v>
      </c>
      <c r="M316" s="17">
        <f t="shared" si="105"/>
        <v>0</v>
      </c>
      <c r="N316" s="17">
        <f>0</f>
        <v>0</v>
      </c>
      <c r="O316" s="17">
        <f t="shared" si="106"/>
        <v>4174.1451110948756</v>
      </c>
      <c r="P316" s="17">
        <f t="shared" si="107"/>
        <v>0</v>
      </c>
      <c r="Q316" s="17">
        <f>IF(AND(O316&gt;0,I316&gt;0),O316/(1-'1 - Input'!$B$22*P316),0)</f>
        <v>0</v>
      </c>
      <c r="R316" s="17">
        <f t="shared" si="108"/>
        <v>0</v>
      </c>
      <c r="S316" s="17">
        <f>'1 - Input'!$B$22*P316*R316</f>
        <v>0</v>
      </c>
      <c r="T316" s="17">
        <f t="shared" si="109"/>
        <v>0</v>
      </c>
      <c r="U316" s="17">
        <f t="shared" si="110"/>
        <v>4174.1451110948756</v>
      </c>
      <c r="V316" s="17">
        <f t="shared" si="111"/>
        <v>0</v>
      </c>
      <c r="W316" s="17">
        <f t="shared" si="112"/>
        <v>0</v>
      </c>
      <c r="X316" s="17">
        <f t="shared" si="113"/>
        <v>0</v>
      </c>
      <c r="Y316" s="17">
        <f>IF(MOD(A316,12)=0,W316*'1 - Input'!$B$23,0)</f>
        <v>0</v>
      </c>
      <c r="Z316" s="17">
        <f t="shared" si="114"/>
        <v>0</v>
      </c>
      <c r="AA316" s="17">
        <f>IF(MOD(A316,12)=0,X316*(1-'1 - Input'!$B$23),X316)</f>
        <v>0</v>
      </c>
      <c r="AB316" s="17">
        <f t="shared" si="115"/>
        <v>0</v>
      </c>
      <c r="AC316" s="17">
        <f t="shared" si="119"/>
        <v>676015.57770007267</v>
      </c>
      <c r="AD316" s="17">
        <f t="shared" si="120"/>
        <v>0</v>
      </c>
      <c r="AE316" s="17">
        <f t="shared" si="121"/>
        <v>69240.414874846756</v>
      </c>
      <c r="AF316" s="17">
        <f t="shared" si="122"/>
        <v>0</v>
      </c>
      <c r="AG316" s="17">
        <f t="shared" si="123"/>
        <v>10373.842685499292</v>
      </c>
      <c r="AH316" s="17">
        <f t="shared" si="124"/>
        <v>246038.7949567067</v>
      </c>
      <c r="AI316" s="15">
        <f t="shared" si="116"/>
        <v>1</v>
      </c>
    </row>
    <row r="317" spans="1:35">
      <c r="A317" s="14">
        <v>274</v>
      </c>
      <c r="B317" s="15">
        <f t="shared" si="100"/>
        <v>23</v>
      </c>
      <c r="C317" s="16">
        <f>(1+INDEX('1 - Input'!$B$34:$E$63,B317,'1 - Input'!$B$16))^(1/12)-1</f>
        <v>4.1219243192651689E-3</v>
      </c>
      <c r="D317" s="17">
        <f>'1 - Input'!$B$7*(1+'1 - Input'!$B$12)^(B317-1)</f>
        <v>4174.1451110948756</v>
      </c>
      <c r="E317" s="17">
        <f t="shared" si="117"/>
        <v>0</v>
      </c>
      <c r="F317" s="17">
        <f t="shared" si="118"/>
        <v>0</v>
      </c>
      <c r="G317" s="17">
        <f t="shared" si="101"/>
        <v>0</v>
      </c>
      <c r="H317" s="17">
        <f>0</f>
        <v>0</v>
      </c>
      <c r="I317" s="17">
        <f t="shared" si="102"/>
        <v>0</v>
      </c>
      <c r="J317" s="17">
        <f t="shared" si="103"/>
        <v>0</v>
      </c>
      <c r="K317" s="17">
        <f>'1 - Input'!$B$22*(H317-J317)</f>
        <v>0</v>
      </c>
      <c r="L317" s="17">
        <f t="shared" si="104"/>
        <v>0</v>
      </c>
      <c r="M317" s="17">
        <f t="shared" si="105"/>
        <v>0</v>
      </c>
      <c r="N317" s="17">
        <f>0</f>
        <v>0</v>
      </c>
      <c r="O317" s="17">
        <f t="shared" si="106"/>
        <v>4174.1451110948756</v>
      </c>
      <c r="P317" s="17">
        <f t="shared" si="107"/>
        <v>0</v>
      </c>
      <c r="Q317" s="17">
        <f>IF(AND(O317&gt;0,I317&gt;0),O317/(1-'1 - Input'!$B$22*P317),0)</f>
        <v>0</v>
      </c>
      <c r="R317" s="17">
        <f t="shared" si="108"/>
        <v>0</v>
      </c>
      <c r="S317" s="17">
        <f>'1 - Input'!$B$22*P317*R317</f>
        <v>0</v>
      </c>
      <c r="T317" s="17">
        <f t="shared" si="109"/>
        <v>0</v>
      </c>
      <c r="U317" s="17">
        <f t="shared" si="110"/>
        <v>4174.1451110948756</v>
      </c>
      <c r="V317" s="17">
        <f t="shared" si="111"/>
        <v>0</v>
      </c>
      <c r="W317" s="17">
        <f t="shared" si="112"/>
        <v>0</v>
      </c>
      <c r="X317" s="17">
        <f t="shared" si="113"/>
        <v>0</v>
      </c>
      <c r="Y317" s="17">
        <f>IF(MOD(A317,12)=0,W317*'1 - Input'!$B$23,0)</f>
        <v>0</v>
      </c>
      <c r="Z317" s="17">
        <f t="shared" si="114"/>
        <v>0</v>
      </c>
      <c r="AA317" s="17">
        <f>IF(MOD(A317,12)=0,X317*(1-'1 - Input'!$B$23),X317)</f>
        <v>0</v>
      </c>
      <c r="AB317" s="17">
        <f t="shared" si="115"/>
        <v>0</v>
      </c>
      <c r="AC317" s="17">
        <f t="shared" si="119"/>
        <v>676015.57770007267</v>
      </c>
      <c r="AD317" s="17">
        <f t="shared" si="120"/>
        <v>0</v>
      </c>
      <c r="AE317" s="17">
        <f t="shared" si="121"/>
        <v>69240.414874846756</v>
      </c>
      <c r="AF317" s="17">
        <f t="shared" si="122"/>
        <v>0</v>
      </c>
      <c r="AG317" s="17">
        <f t="shared" si="123"/>
        <v>10373.842685499292</v>
      </c>
      <c r="AH317" s="17">
        <f t="shared" si="124"/>
        <v>250212.94006780157</v>
      </c>
      <c r="AI317" s="15">
        <f t="shared" si="116"/>
        <v>1</v>
      </c>
    </row>
    <row r="318" spans="1:35">
      <c r="A318" s="14">
        <v>275</v>
      </c>
      <c r="B318" s="15">
        <f t="shared" si="100"/>
        <v>23</v>
      </c>
      <c r="C318" s="16">
        <f>(1+INDEX('1 - Input'!$B$34:$E$63,B318,'1 - Input'!$B$16))^(1/12)-1</f>
        <v>4.1219243192651689E-3</v>
      </c>
      <c r="D318" s="17">
        <f>'1 - Input'!$B$7*(1+'1 - Input'!$B$12)^(B318-1)</f>
        <v>4174.1451110948756</v>
      </c>
      <c r="E318" s="17">
        <f t="shared" si="117"/>
        <v>0</v>
      </c>
      <c r="F318" s="17">
        <f t="shared" si="118"/>
        <v>0</v>
      </c>
      <c r="G318" s="17">
        <f t="shared" si="101"/>
        <v>0</v>
      </c>
      <c r="H318" s="17">
        <f>0</f>
        <v>0</v>
      </c>
      <c r="I318" s="17">
        <f t="shared" si="102"/>
        <v>0</v>
      </c>
      <c r="J318" s="17">
        <f t="shared" si="103"/>
        <v>0</v>
      </c>
      <c r="K318" s="17">
        <f>'1 - Input'!$B$22*(H318-J318)</f>
        <v>0</v>
      </c>
      <c r="L318" s="17">
        <f t="shared" si="104"/>
        <v>0</v>
      </c>
      <c r="M318" s="17">
        <f t="shared" si="105"/>
        <v>0</v>
      </c>
      <c r="N318" s="17">
        <f>0</f>
        <v>0</v>
      </c>
      <c r="O318" s="17">
        <f t="shared" si="106"/>
        <v>4174.1451110948756</v>
      </c>
      <c r="P318" s="17">
        <f t="shared" si="107"/>
        <v>0</v>
      </c>
      <c r="Q318" s="17">
        <f>IF(AND(O318&gt;0,I318&gt;0),O318/(1-'1 - Input'!$B$22*P318),0)</f>
        <v>0</v>
      </c>
      <c r="R318" s="17">
        <f t="shared" si="108"/>
        <v>0</v>
      </c>
      <c r="S318" s="17">
        <f>'1 - Input'!$B$22*P318*R318</f>
        <v>0</v>
      </c>
      <c r="T318" s="17">
        <f t="shared" si="109"/>
        <v>0</v>
      </c>
      <c r="U318" s="17">
        <f t="shared" si="110"/>
        <v>4174.1451110948756</v>
      </c>
      <c r="V318" s="17">
        <f t="shared" si="111"/>
        <v>0</v>
      </c>
      <c r="W318" s="17">
        <f t="shared" si="112"/>
        <v>0</v>
      </c>
      <c r="X318" s="17">
        <f t="shared" si="113"/>
        <v>0</v>
      </c>
      <c r="Y318" s="17">
        <f>IF(MOD(A318,12)=0,W318*'1 - Input'!$B$23,0)</f>
        <v>0</v>
      </c>
      <c r="Z318" s="17">
        <f t="shared" si="114"/>
        <v>0</v>
      </c>
      <c r="AA318" s="17">
        <f>IF(MOD(A318,12)=0,X318*(1-'1 - Input'!$B$23),X318)</f>
        <v>0</v>
      </c>
      <c r="AB318" s="17">
        <f t="shared" si="115"/>
        <v>0</v>
      </c>
      <c r="AC318" s="17">
        <f t="shared" si="119"/>
        <v>676015.57770007267</v>
      </c>
      <c r="AD318" s="17">
        <f t="shared" si="120"/>
        <v>0</v>
      </c>
      <c r="AE318" s="17">
        <f t="shared" si="121"/>
        <v>69240.414874846756</v>
      </c>
      <c r="AF318" s="17">
        <f t="shared" si="122"/>
        <v>0</v>
      </c>
      <c r="AG318" s="17">
        <f t="shared" si="123"/>
        <v>10373.842685499292</v>
      </c>
      <c r="AH318" s="17">
        <f t="shared" si="124"/>
        <v>254387.08517889644</v>
      </c>
      <c r="AI318" s="15">
        <f t="shared" si="116"/>
        <v>1</v>
      </c>
    </row>
    <row r="319" spans="1:35">
      <c r="A319" s="14">
        <v>276</v>
      </c>
      <c r="B319" s="15">
        <f t="shared" si="100"/>
        <v>23</v>
      </c>
      <c r="C319" s="16">
        <f>(1+INDEX('1 - Input'!$B$34:$E$63,B319,'1 - Input'!$B$16))^(1/12)-1</f>
        <v>4.1219243192651689E-3</v>
      </c>
      <c r="D319" s="17">
        <f>'1 - Input'!$B$7*(1+'1 - Input'!$B$12)^(B319-1)</f>
        <v>4174.1451110948756</v>
      </c>
      <c r="E319" s="17">
        <f t="shared" si="117"/>
        <v>0</v>
      </c>
      <c r="F319" s="17">
        <f t="shared" si="118"/>
        <v>0</v>
      </c>
      <c r="G319" s="17">
        <f t="shared" si="101"/>
        <v>0</v>
      </c>
      <c r="H319" s="17">
        <f>0</f>
        <v>0</v>
      </c>
      <c r="I319" s="17">
        <f t="shared" si="102"/>
        <v>0</v>
      </c>
      <c r="J319" s="17">
        <f t="shared" si="103"/>
        <v>0</v>
      </c>
      <c r="K319" s="17">
        <f>'1 - Input'!$B$22*(H319-J319)</f>
        <v>0</v>
      </c>
      <c r="L319" s="17">
        <f t="shared" si="104"/>
        <v>0</v>
      </c>
      <c r="M319" s="17">
        <f t="shared" si="105"/>
        <v>0</v>
      </c>
      <c r="N319" s="17">
        <f>0</f>
        <v>0</v>
      </c>
      <c r="O319" s="17">
        <f t="shared" si="106"/>
        <v>4174.1451110948756</v>
      </c>
      <c r="P319" s="17">
        <f t="shared" si="107"/>
        <v>0</v>
      </c>
      <c r="Q319" s="17">
        <f>IF(AND(O319&gt;0,I319&gt;0),O319/(1-'1 - Input'!$B$22*P319),0)</f>
        <v>0</v>
      </c>
      <c r="R319" s="17">
        <f t="shared" si="108"/>
        <v>0</v>
      </c>
      <c r="S319" s="17">
        <f>'1 - Input'!$B$22*P319*R319</f>
        <v>0</v>
      </c>
      <c r="T319" s="17">
        <f t="shared" si="109"/>
        <v>0</v>
      </c>
      <c r="U319" s="17">
        <f t="shared" si="110"/>
        <v>4174.1451110948756</v>
      </c>
      <c r="V319" s="17">
        <f t="shared" si="111"/>
        <v>0</v>
      </c>
      <c r="W319" s="17">
        <f t="shared" si="112"/>
        <v>0</v>
      </c>
      <c r="X319" s="17">
        <f t="shared" si="113"/>
        <v>0</v>
      </c>
      <c r="Y319" s="17">
        <f>IF(MOD(A319,12)=0,W319*'1 - Input'!$B$23,0)</f>
        <v>0</v>
      </c>
      <c r="Z319" s="17">
        <f t="shared" si="114"/>
        <v>0</v>
      </c>
      <c r="AA319" s="17">
        <f>IF(MOD(A319,12)=0,X319*(1-'1 - Input'!$B$23),X319)</f>
        <v>0</v>
      </c>
      <c r="AB319" s="17">
        <f t="shared" si="115"/>
        <v>0</v>
      </c>
      <c r="AC319" s="17">
        <f t="shared" si="119"/>
        <v>676015.57770007267</v>
      </c>
      <c r="AD319" s="17">
        <f t="shared" si="120"/>
        <v>0</v>
      </c>
      <c r="AE319" s="17">
        <f t="shared" si="121"/>
        <v>69240.414874846756</v>
      </c>
      <c r="AF319" s="17">
        <f t="shared" si="122"/>
        <v>0</v>
      </c>
      <c r="AG319" s="17">
        <f t="shared" si="123"/>
        <v>10373.842685499292</v>
      </c>
      <c r="AH319" s="17">
        <f t="shared" si="124"/>
        <v>258561.2302899913</v>
      </c>
      <c r="AI319" s="15">
        <f t="shared" si="116"/>
        <v>1</v>
      </c>
    </row>
    <row r="320" spans="1:35">
      <c r="A320" s="14">
        <v>277</v>
      </c>
      <c r="B320" s="15">
        <f t="shared" si="100"/>
        <v>24</v>
      </c>
      <c r="C320" s="16">
        <f>(1+INDEX('1 - Input'!$B$34:$E$63,B320,'1 - Input'!$B$16))^(1/12)-1</f>
        <v>4.1219243192651689E-3</v>
      </c>
      <c r="D320" s="17">
        <f>'1 - Input'!$B$7*(1+'1 - Input'!$B$12)^(B320-1)</f>
        <v>4257.628013316772</v>
      </c>
      <c r="E320" s="17">
        <f t="shared" si="117"/>
        <v>0</v>
      </c>
      <c r="F320" s="17">
        <f t="shared" si="118"/>
        <v>0</v>
      </c>
      <c r="G320" s="17">
        <f t="shared" si="101"/>
        <v>0</v>
      </c>
      <c r="H320" s="17">
        <f>0</f>
        <v>0</v>
      </c>
      <c r="I320" s="17">
        <f t="shared" si="102"/>
        <v>0</v>
      </c>
      <c r="J320" s="17">
        <f t="shared" si="103"/>
        <v>0</v>
      </c>
      <c r="K320" s="17">
        <f>'1 - Input'!$B$22*(H320-J320)</f>
        <v>0</v>
      </c>
      <c r="L320" s="17">
        <f t="shared" si="104"/>
        <v>0</v>
      </c>
      <c r="M320" s="17">
        <f t="shared" si="105"/>
        <v>0</v>
      </c>
      <c r="N320" s="17">
        <f>0</f>
        <v>0</v>
      </c>
      <c r="O320" s="17">
        <f t="shared" si="106"/>
        <v>4257.628013316772</v>
      </c>
      <c r="P320" s="17">
        <f t="shared" si="107"/>
        <v>0</v>
      </c>
      <c r="Q320" s="17">
        <f>IF(AND(O320&gt;0,I320&gt;0),O320/(1-'1 - Input'!$B$22*P320),0)</f>
        <v>0</v>
      </c>
      <c r="R320" s="17">
        <f t="shared" si="108"/>
        <v>0</v>
      </c>
      <c r="S320" s="17">
        <f>'1 - Input'!$B$22*P320*R320</f>
        <v>0</v>
      </c>
      <c r="T320" s="17">
        <f t="shared" si="109"/>
        <v>0</v>
      </c>
      <c r="U320" s="17">
        <f t="shared" si="110"/>
        <v>4257.628013316772</v>
      </c>
      <c r="V320" s="17">
        <f t="shared" si="111"/>
        <v>0</v>
      </c>
      <c r="W320" s="17">
        <f t="shared" si="112"/>
        <v>0</v>
      </c>
      <c r="X320" s="17">
        <f t="shared" si="113"/>
        <v>0</v>
      </c>
      <c r="Y320" s="17">
        <f>IF(MOD(A320,12)=0,W320*'1 - Input'!$B$23,0)</f>
        <v>0</v>
      </c>
      <c r="Z320" s="17">
        <f t="shared" si="114"/>
        <v>0</v>
      </c>
      <c r="AA320" s="17">
        <f>IF(MOD(A320,12)=0,X320*(1-'1 - Input'!$B$23),X320)</f>
        <v>0</v>
      </c>
      <c r="AB320" s="17">
        <f t="shared" si="115"/>
        <v>0</v>
      </c>
      <c r="AC320" s="17">
        <f t="shared" si="119"/>
        <v>676015.57770007267</v>
      </c>
      <c r="AD320" s="17">
        <f t="shared" si="120"/>
        <v>0</v>
      </c>
      <c r="AE320" s="17">
        <f t="shared" si="121"/>
        <v>69240.414874846756</v>
      </c>
      <c r="AF320" s="17">
        <f t="shared" si="122"/>
        <v>0</v>
      </c>
      <c r="AG320" s="17">
        <f t="shared" si="123"/>
        <v>10373.842685499292</v>
      </c>
      <c r="AH320" s="17">
        <f t="shared" si="124"/>
        <v>262818.85830330808</v>
      </c>
      <c r="AI320" s="15">
        <f t="shared" si="116"/>
        <v>1</v>
      </c>
    </row>
    <row r="321" spans="1:35">
      <c r="A321" s="14">
        <v>278</v>
      </c>
      <c r="B321" s="15">
        <f t="shared" si="100"/>
        <v>24</v>
      </c>
      <c r="C321" s="16">
        <f>(1+INDEX('1 - Input'!$B$34:$E$63,B321,'1 - Input'!$B$16))^(1/12)-1</f>
        <v>4.1219243192651689E-3</v>
      </c>
      <c r="D321" s="17">
        <f>'1 - Input'!$B$7*(1+'1 - Input'!$B$12)^(B321-1)</f>
        <v>4257.628013316772</v>
      </c>
      <c r="E321" s="17">
        <f t="shared" si="117"/>
        <v>0</v>
      </c>
      <c r="F321" s="17">
        <f t="shared" si="118"/>
        <v>0</v>
      </c>
      <c r="G321" s="17">
        <f t="shared" si="101"/>
        <v>0</v>
      </c>
      <c r="H321" s="17">
        <f>0</f>
        <v>0</v>
      </c>
      <c r="I321" s="17">
        <f t="shared" si="102"/>
        <v>0</v>
      </c>
      <c r="J321" s="17">
        <f t="shared" si="103"/>
        <v>0</v>
      </c>
      <c r="K321" s="17">
        <f>'1 - Input'!$B$22*(H321-J321)</f>
        <v>0</v>
      </c>
      <c r="L321" s="17">
        <f t="shared" si="104"/>
        <v>0</v>
      </c>
      <c r="M321" s="17">
        <f t="shared" si="105"/>
        <v>0</v>
      </c>
      <c r="N321" s="17">
        <f>0</f>
        <v>0</v>
      </c>
      <c r="O321" s="17">
        <f t="shared" si="106"/>
        <v>4257.628013316772</v>
      </c>
      <c r="P321" s="17">
        <f t="shared" si="107"/>
        <v>0</v>
      </c>
      <c r="Q321" s="17">
        <f>IF(AND(O321&gt;0,I321&gt;0),O321/(1-'1 - Input'!$B$22*P321),0)</f>
        <v>0</v>
      </c>
      <c r="R321" s="17">
        <f t="shared" si="108"/>
        <v>0</v>
      </c>
      <c r="S321" s="17">
        <f>'1 - Input'!$B$22*P321*R321</f>
        <v>0</v>
      </c>
      <c r="T321" s="17">
        <f t="shared" si="109"/>
        <v>0</v>
      </c>
      <c r="U321" s="17">
        <f t="shared" si="110"/>
        <v>4257.628013316772</v>
      </c>
      <c r="V321" s="17">
        <f t="shared" si="111"/>
        <v>0</v>
      </c>
      <c r="W321" s="17">
        <f t="shared" si="112"/>
        <v>0</v>
      </c>
      <c r="X321" s="17">
        <f t="shared" si="113"/>
        <v>0</v>
      </c>
      <c r="Y321" s="17">
        <f>IF(MOD(A321,12)=0,W321*'1 - Input'!$B$23,0)</f>
        <v>0</v>
      </c>
      <c r="Z321" s="17">
        <f t="shared" si="114"/>
        <v>0</v>
      </c>
      <c r="AA321" s="17">
        <f>IF(MOD(A321,12)=0,X321*(1-'1 - Input'!$B$23),X321)</f>
        <v>0</v>
      </c>
      <c r="AB321" s="17">
        <f t="shared" si="115"/>
        <v>0</v>
      </c>
      <c r="AC321" s="17">
        <f t="shared" si="119"/>
        <v>676015.57770007267</v>
      </c>
      <c r="AD321" s="17">
        <f t="shared" si="120"/>
        <v>0</v>
      </c>
      <c r="AE321" s="17">
        <f t="shared" si="121"/>
        <v>69240.414874846756</v>
      </c>
      <c r="AF321" s="17">
        <f t="shared" si="122"/>
        <v>0</v>
      </c>
      <c r="AG321" s="17">
        <f t="shared" si="123"/>
        <v>10373.842685499292</v>
      </c>
      <c r="AH321" s="17">
        <f t="shared" si="124"/>
        <v>267076.48631662485</v>
      </c>
      <c r="AI321" s="15">
        <f t="shared" si="116"/>
        <v>1</v>
      </c>
    </row>
    <row r="322" spans="1:35">
      <c r="A322" s="14">
        <v>279</v>
      </c>
      <c r="B322" s="15">
        <f t="shared" si="100"/>
        <v>24</v>
      </c>
      <c r="C322" s="16">
        <f>(1+INDEX('1 - Input'!$B$34:$E$63,B322,'1 - Input'!$B$16))^(1/12)-1</f>
        <v>4.1219243192651689E-3</v>
      </c>
      <c r="D322" s="17">
        <f>'1 - Input'!$B$7*(1+'1 - Input'!$B$12)^(B322-1)</f>
        <v>4257.628013316772</v>
      </c>
      <c r="E322" s="17">
        <f t="shared" si="117"/>
        <v>0</v>
      </c>
      <c r="F322" s="17">
        <f t="shared" si="118"/>
        <v>0</v>
      </c>
      <c r="G322" s="17">
        <f t="shared" si="101"/>
        <v>0</v>
      </c>
      <c r="H322" s="17">
        <f>0</f>
        <v>0</v>
      </c>
      <c r="I322" s="17">
        <f t="shared" si="102"/>
        <v>0</v>
      </c>
      <c r="J322" s="17">
        <f t="shared" si="103"/>
        <v>0</v>
      </c>
      <c r="K322" s="17">
        <f>'1 - Input'!$B$22*(H322-J322)</f>
        <v>0</v>
      </c>
      <c r="L322" s="17">
        <f t="shared" si="104"/>
        <v>0</v>
      </c>
      <c r="M322" s="17">
        <f t="shared" si="105"/>
        <v>0</v>
      </c>
      <c r="N322" s="17">
        <f>0</f>
        <v>0</v>
      </c>
      <c r="O322" s="17">
        <f t="shared" si="106"/>
        <v>4257.628013316772</v>
      </c>
      <c r="P322" s="17">
        <f t="shared" si="107"/>
        <v>0</v>
      </c>
      <c r="Q322" s="17">
        <f>IF(AND(O322&gt;0,I322&gt;0),O322/(1-'1 - Input'!$B$22*P322),0)</f>
        <v>0</v>
      </c>
      <c r="R322" s="17">
        <f t="shared" si="108"/>
        <v>0</v>
      </c>
      <c r="S322" s="17">
        <f>'1 - Input'!$B$22*P322*R322</f>
        <v>0</v>
      </c>
      <c r="T322" s="17">
        <f t="shared" si="109"/>
        <v>0</v>
      </c>
      <c r="U322" s="17">
        <f t="shared" si="110"/>
        <v>4257.628013316772</v>
      </c>
      <c r="V322" s="17">
        <f t="shared" si="111"/>
        <v>0</v>
      </c>
      <c r="W322" s="17">
        <f t="shared" si="112"/>
        <v>0</v>
      </c>
      <c r="X322" s="17">
        <f t="shared" si="113"/>
        <v>0</v>
      </c>
      <c r="Y322" s="17">
        <f>IF(MOD(A322,12)=0,W322*'1 - Input'!$B$23,0)</f>
        <v>0</v>
      </c>
      <c r="Z322" s="17">
        <f t="shared" si="114"/>
        <v>0</v>
      </c>
      <c r="AA322" s="17">
        <f>IF(MOD(A322,12)=0,X322*(1-'1 - Input'!$B$23),X322)</f>
        <v>0</v>
      </c>
      <c r="AB322" s="17">
        <f t="shared" si="115"/>
        <v>0</v>
      </c>
      <c r="AC322" s="17">
        <f t="shared" si="119"/>
        <v>676015.57770007267</v>
      </c>
      <c r="AD322" s="17">
        <f t="shared" si="120"/>
        <v>0</v>
      </c>
      <c r="AE322" s="17">
        <f t="shared" si="121"/>
        <v>69240.414874846756</v>
      </c>
      <c r="AF322" s="17">
        <f t="shared" si="122"/>
        <v>0</v>
      </c>
      <c r="AG322" s="17">
        <f t="shared" si="123"/>
        <v>10373.842685499292</v>
      </c>
      <c r="AH322" s="17">
        <f t="shared" si="124"/>
        <v>271334.11432994163</v>
      </c>
      <c r="AI322" s="15">
        <f t="shared" si="116"/>
        <v>1</v>
      </c>
    </row>
    <row r="323" spans="1:35">
      <c r="A323" s="14">
        <v>280</v>
      </c>
      <c r="B323" s="15">
        <f t="shared" si="100"/>
        <v>24</v>
      </c>
      <c r="C323" s="16">
        <f>(1+INDEX('1 - Input'!$B$34:$E$63,B323,'1 - Input'!$B$16))^(1/12)-1</f>
        <v>4.1219243192651689E-3</v>
      </c>
      <c r="D323" s="17">
        <f>'1 - Input'!$B$7*(1+'1 - Input'!$B$12)^(B323-1)</f>
        <v>4257.628013316772</v>
      </c>
      <c r="E323" s="17">
        <f t="shared" si="117"/>
        <v>0</v>
      </c>
      <c r="F323" s="17">
        <f t="shared" si="118"/>
        <v>0</v>
      </c>
      <c r="G323" s="17">
        <f t="shared" si="101"/>
        <v>0</v>
      </c>
      <c r="H323" s="17">
        <f>0</f>
        <v>0</v>
      </c>
      <c r="I323" s="17">
        <f t="shared" si="102"/>
        <v>0</v>
      </c>
      <c r="J323" s="17">
        <f t="shared" si="103"/>
        <v>0</v>
      </c>
      <c r="K323" s="17">
        <f>'1 - Input'!$B$22*(H323-J323)</f>
        <v>0</v>
      </c>
      <c r="L323" s="17">
        <f t="shared" si="104"/>
        <v>0</v>
      </c>
      <c r="M323" s="17">
        <f t="shared" si="105"/>
        <v>0</v>
      </c>
      <c r="N323" s="17">
        <f>0</f>
        <v>0</v>
      </c>
      <c r="O323" s="17">
        <f t="shared" si="106"/>
        <v>4257.628013316772</v>
      </c>
      <c r="P323" s="17">
        <f t="shared" si="107"/>
        <v>0</v>
      </c>
      <c r="Q323" s="17">
        <f>IF(AND(O323&gt;0,I323&gt;0),O323/(1-'1 - Input'!$B$22*P323),0)</f>
        <v>0</v>
      </c>
      <c r="R323" s="17">
        <f t="shared" si="108"/>
        <v>0</v>
      </c>
      <c r="S323" s="17">
        <f>'1 - Input'!$B$22*P323*R323</f>
        <v>0</v>
      </c>
      <c r="T323" s="17">
        <f t="shared" si="109"/>
        <v>0</v>
      </c>
      <c r="U323" s="17">
        <f t="shared" si="110"/>
        <v>4257.628013316772</v>
      </c>
      <c r="V323" s="17">
        <f t="shared" si="111"/>
        <v>0</v>
      </c>
      <c r="W323" s="17">
        <f t="shared" si="112"/>
        <v>0</v>
      </c>
      <c r="X323" s="17">
        <f t="shared" si="113"/>
        <v>0</v>
      </c>
      <c r="Y323" s="17">
        <f>IF(MOD(A323,12)=0,W323*'1 - Input'!$B$23,0)</f>
        <v>0</v>
      </c>
      <c r="Z323" s="17">
        <f t="shared" si="114"/>
        <v>0</v>
      </c>
      <c r="AA323" s="17">
        <f>IF(MOD(A323,12)=0,X323*(1-'1 - Input'!$B$23),X323)</f>
        <v>0</v>
      </c>
      <c r="AB323" s="17">
        <f t="shared" si="115"/>
        <v>0</v>
      </c>
      <c r="AC323" s="17">
        <f t="shared" si="119"/>
        <v>676015.57770007267</v>
      </c>
      <c r="AD323" s="17">
        <f t="shared" si="120"/>
        <v>0</v>
      </c>
      <c r="AE323" s="17">
        <f t="shared" si="121"/>
        <v>69240.414874846756</v>
      </c>
      <c r="AF323" s="17">
        <f t="shared" si="122"/>
        <v>0</v>
      </c>
      <c r="AG323" s="17">
        <f t="shared" si="123"/>
        <v>10373.842685499292</v>
      </c>
      <c r="AH323" s="17">
        <f t="shared" si="124"/>
        <v>275591.7423432584</v>
      </c>
      <c r="AI323" s="15">
        <f t="shared" si="116"/>
        <v>1</v>
      </c>
    </row>
    <row r="324" spans="1:35">
      <c r="A324" s="14">
        <v>281</v>
      </c>
      <c r="B324" s="15">
        <f t="shared" si="100"/>
        <v>24</v>
      </c>
      <c r="C324" s="16">
        <f>(1+INDEX('1 - Input'!$B$34:$E$63,B324,'1 - Input'!$B$16))^(1/12)-1</f>
        <v>4.1219243192651689E-3</v>
      </c>
      <c r="D324" s="17">
        <f>'1 - Input'!$B$7*(1+'1 - Input'!$B$12)^(B324-1)</f>
        <v>4257.628013316772</v>
      </c>
      <c r="E324" s="17">
        <f t="shared" si="117"/>
        <v>0</v>
      </c>
      <c r="F324" s="17">
        <f t="shared" si="118"/>
        <v>0</v>
      </c>
      <c r="G324" s="17">
        <f t="shared" si="101"/>
        <v>0</v>
      </c>
      <c r="H324" s="17">
        <f>0</f>
        <v>0</v>
      </c>
      <c r="I324" s="17">
        <f t="shared" si="102"/>
        <v>0</v>
      </c>
      <c r="J324" s="17">
        <f t="shared" si="103"/>
        <v>0</v>
      </c>
      <c r="K324" s="17">
        <f>'1 - Input'!$B$22*(H324-J324)</f>
        <v>0</v>
      </c>
      <c r="L324" s="17">
        <f t="shared" si="104"/>
        <v>0</v>
      </c>
      <c r="M324" s="17">
        <f t="shared" si="105"/>
        <v>0</v>
      </c>
      <c r="N324" s="17">
        <f>0</f>
        <v>0</v>
      </c>
      <c r="O324" s="17">
        <f t="shared" si="106"/>
        <v>4257.628013316772</v>
      </c>
      <c r="P324" s="17">
        <f t="shared" si="107"/>
        <v>0</v>
      </c>
      <c r="Q324" s="17">
        <f>IF(AND(O324&gt;0,I324&gt;0),O324/(1-'1 - Input'!$B$22*P324),0)</f>
        <v>0</v>
      </c>
      <c r="R324" s="17">
        <f t="shared" si="108"/>
        <v>0</v>
      </c>
      <c r="S324" s="17">
        <f>'1 - Input'!$B$22*P324*R324</f>
        <v>0</v>
      </c>
      <c r="T324" s="17">
        <f t="shared" si="109"/>
        <v>0</v>
      </c>
      <c r="U324" s="17">
        <f t="shared" si="110"/>
        <v>4257.628013316772</v>
      </c>
      <c r="V324" s="17">
        <f t="shared" si="111"/>
        <v>0</v>
      </c>
      <c r="W324" s="17">
        <f t="shared" si="112"/>
        <v>0</v>
      </c>
      <c r="X324" s="17">
        <f t="shared" si="113"/>
        <v>0</v>
      </c>
      <c r="Y324" s="17">
        <f>IF(MOD(A324,12)=0,W324*'1 - Input'!$B$23,0)</f>
        <v>0</v>
      </c>
      <c r="Z324" s="17">
        <f t="shared" si="114"/>
        <v>0</v>
      </c>
      <c r="AA324" s="17">
        <f>IF(MOD(A324,12)=0,X324*(1-'1 - Input'!$B$23),X324)</f>
        <v>0</v>
      </c>
      <c r="AB324" s="17">
        <f t="shared" si="115"/>
        <v>0</v>
      </c>
      <c r="AC324" s="17">
        <f t="shared" si="119"/>
        <v>676015.57770007267</v>
      </c>
      <c r="AD324" s="17">
        <f t="shared" si="120"/>
        <v>0</v>
      </c>
      <c r="AE324" s="17">
        <f t="shared" si="121"/>
        <v>69240.414874846756</v>
      </c>
      <c r="AF324" s="17">
        <f t="shared" si="122"/>
        <v>0</v>
      </c>
      <c r="AG324" s="17">
        <f t="shared" si="123"/>
        <v>10373.842685499292</v>
      </c>
      <c r="AH324" s="17">
        <f t="shared" si="124"/>
        <v>279849.37035657518</v>
      </c>
      <c r="AI324" s="15">
        <f t="shared" si="116"/>
        <v>1</v>
      </c>
    </row>
    <row r="325" spans="1:35">
      <c r="A325" s="14">
        <v>282</v>
      </c>
      <c r="B325" s="15">
        <f t="shared" si="100"/>
        <v>24</v>
      </c>
      <c r="C325" s="16">
        <f>(1+INDEX('1 - Input'!$B$34:$E$63,B325,'1 - Input'!$B$16))^(1/12)-1</f>
        <v>4.1219243192651689E-3</v>
      </c>
      <c r="D325" s="17">
        <f>'1 - Input'!$B$7*(1+'1 - Input'!$B$12)^(B325-1)</f>
        <v>4257.628013316772</v>
      </c>
      <c r="E325" s="17">
        <f t="shared" si="117"/>
        <v>0</v>
      </c>
      <c r="F325" s="17">
        <f t="shared" si="118"/>
        <v>0</v>
      </c>
      <c r="G325" s="17">
        <f t="shared" si="101"/>
        <v>0</v>
      </c>
      <c r="H325" s="17">
        <f>0</f>
        <v>0</v>
      </c>
      <c r="I325" s="17">
        <f t="shared" si="102"/>
        <v>0</v>
      </c>
      <c r="J325" s="17">
        <f t="shared" si="103"/>
        <v>0</v>
      </c>
      <c r="K325" s="17">
        <f>'1 - Input'!$B$22*(H325-J325)</f>
        <v>0</v>
      </c>
      <c r="L325" s="17">
        <f t="shared" si="104"/>
        <v>0</v>
      </c>
      <c r="M325" s="17">
        <f t="shared" si="105"/>
        <v>0</v>
      </c>
      <c r="N325" s="17">
        <f>0</f>
        <v>0</v>
      </c>
      <c r="O325" s="17">
        <f t="shared" si="106"/>
        <v>4257.628013316772</v>
      </c>
      <c r="P325" s="17">
        <f t="shared" si="107"/>
        <v>0</v>
      </c>
      <c r="Q325" s="17">
        <f>IF(AND(O325&gt;0,I325&gt;0),O325/(1-'1 - Input'!$B$22*P325),0)</f>
        <v>0</v>
      </c>
      <c r="R325" s="17">
        <f t="shared" si="108"/>
        <v>0</v>
      </c>
      <c r="S325" s="17">
        <f>'1 - Input'!$B$22*P325*R325</f>
        <v>0</v>
      </c>
      <c r="T325" s="17">
        <f t="shared" si="109"/>
        <v>0</v>
      </c>
      <c r="U325" s="17">
        <f t="shared" si="110"/>
        <v>4257.628013316772</v>
      </c>
      <c r="V325" s="17">
        <f t="shared" si="111"/>
        <v>0</v>
      </c>
      <c r="W325" s="17">
        <f t="shared" si="112"/>
        <v>0</v>
      </c>
      <c r="X325" s="17">
        <f t="shared" si="113"/>
        <v>0</v>
      </c>
      <c r="Y325" s="17">
        <f>IF(MOD(A325,12)=0,W325*'1 - Input'!$B$23,0)</f>
        <v>0</v>
      </c>
      <c r="Z325" s="17">
        <f t="shared" si="114"/>
        <v>0</v>
      </c>
      <c r="AA325" s="17">
        <f>IF(MOD(A325,12)=0,X325*(1-'1 - Input'!$B$23),X325)</f>
        <v>0</v>
      </c>
      <c r="AB325" s="17">
        <f t="shared" si="115"/>
        <v>0</v>
      </c>
      <c r="AC325" s="17">
        <f t="shared" si="119"/>
        <v>676015.57770007267</v>
      </c>
      <c r="AD325" s="17">
        <f t="shared" si="120"/>
        <v>0</v>
      </c>
      <c r="AE325" s="17">
        <f t="shared" si="121"/>
        <v>69240.414874846756</v>
      </c>
      <c r="AF325" s="17">
        <f t="shared" si="122"/>
        <v>0</v>
      </c>
      <c r="AG325" s="17">
        <f t="shared" si="123"/>
        <v>10373.842685499292</v>
      </c>
      <c r="AH325" s="17">
        <f t="shared" si="124"/>
        <v>284106.99836989195</v>
      </c>
      <c r="AI325" s="15">
        <f t="shared" si="116"/>
        <v>1</v>
      </c>
    </row>
    <row r="326" spans="1:35">
      <c r="A326" s="14">
        <v>283</v>
      </c>
      <c r="B326" s="15">
        <f t="shared" si="100"/>
        <v>24</v>
      </c>
      <c r="C326" s="16">
        <f>(1+INDEX('1 - Input'!$B$34:$E$63,B326,'1 - Input'!$B$16))^(1/12)-1</f>
        <v>4.1219243192651689E-3</v>
      </c>
      <c r="D326" s="17">
        <f>'1 - Input'!$B$7*(1+'1 - Input'!$B$12)^(B326-1)</f>
        <v>4257.628013316772</v>
      </c>
      <c r="E326" s="17">
        <f t="shared" si="117"/>
        <v>0</v>
      </c>
      <c r="F326" s="17">
        <f t="shared" si="118"/>
        <v>0</v>
      </c>
      <c r="G326" s="17">
        <f t="shared" si="101"/>
        <v>0</v>
      </c>
      <c r="H326" s="17">
        <f>0</f>
        <v>0</v>
      </c>
      <c r="I326" s="17">
        <f t="shared" si="102"/>
        <v>0</v>
      </c>
      <c r="J326" s="17">
        <f t="shared" si="103"/>
        <v>0</v>
      </c>
      <c r="K326" s="17">
        <f>'1 - Input'!$B$22*(H326-J326)</f>
        <v>0</v>
      </c>
      <c r="L326" s="17">
        <f t="shared" si="104"/>
        <v>0</v>
      </c>
      <c r="M326" s="17">
        <f t="shared" si="105"/>
        <v>0</v>
      </c>
      <c r="N326" s="17">
        <f>0</f>
        <v>0</v>
      </c>
      <c r="O326" s="17">
        <f t="shared" si="106"/>
        <v>4257.628013316772</v>
      </c>
      <c r="P326" s="17">
        <f t="shared" si="107"/>
        <v>0</v>
      </c>
      <c r="Q326" s="17">
        <f>IF(AND(O326&gt;0,I326&gt;0),O326/(1-'1 - Input'!$B$22*P326),0)</f>
        <v>0</v>
      </c>
      <c r="R326" s="17">
        <f t="shared" si="108"/>
        <v>0</v>
      </c>
      <c r="S326" s="17">
        <f>'1 - Input'!$B$22*P326*R326</f>
        <v>0</v>
      </c>
      <c r="T326" s="17">
        <f t="shared" si="109"/>
        <v>0</v>
      </c>
      <c r="U326" s="17">
        <f t="shared" si="110"/>
        <v>4257.628013316772</v>
      </c>
      <c r="V326" s="17">
        <f t="shared" si="111"/>
        <v>0</v>
      </c>
      <c r="W326" s="17">
        <f t="shared" si="112"/>
        <v>0</v>
      </c>
      <c r="X326" s="17">
        <f t="shared" si="113"/>
        <v>0</v>
      </c>
      <c r="Y326" s="17">
        <f>IF(MOD(A326,12)=0,W326*'1 - Input'!$B$23,0)</f>
        <v>0</v>
      </c>
      <c r="Z326" s="17">
        <f t="shared" si="114"/>
        <v>0</v>
      </c>
      <c r="AA326" s="17">
        <f>IF(MOD(A326,12)=0,X326*(1-'1 - Input'!$B$23),X326)</f>
        <v>0</v>
      </c>
      <c r="AB326" s="17">
        <f t="shared" si="115"/>
        <v>0</v>
      </c>
      <c r="AC326" s="17">
        <f t="shared" si="119"/>
        <v>676015.57770007267</v>
      </c>
      <c r="AD326" s="17">
        <f t="shared" si="120"/>
        <v>0</v>
      </c>
      <c r="AE326" s="17">
        <f t="shared" si="121"/>
        <v>69240.414874846756</v>
      </c>
      <c r="AF326" s="17">
        <f t="shared" si="122"/>
        <v>0</v>
      </c>
      <c r="AG326" s="17">
        <f t="shared" si="123"/>
        <v>10373.842685499292</v>
      </c>
      <c r="AH326" s="17">
        <f t="shared" si="124"/>
        <v>288364.62638320873</v>
      </c>
      <c r="AI326" s="15">
        <f t="shared" si="116"/>
        <v>1</v>
      </c>
    </row>
    <row r="327" spans="1:35">
      <c r="A327" s="14">
        <v>284</v>
      </c>
      <c r="B327" s="15">
        <f t="shared" si="100"/>
        <v>24</v>
      </c>
      <c r="C327" s="16">
        <f>(1+INDEX('1 - Input'!$B$34:$E$63,B327,'1 - Input'!$B$16))^(1/12)-1</f>
        <v>4.1219243192651689E-3</v>
      </c>
      <c r="D327" s="17">
        <f>'1 - Input'!$B$7*(1+'1 - Input'!$B$12)^(B327-1)</f>
        <v>4257.628013316772</v>
      </c>
      <c r="E327" s="17">
        <f t="shared" si="117"/>
        <v>0</v>
      </c>
      <c r="F327" s="17">
        <f t="shared" si="118"/>
        <v>0</v>
      </c>
      <c r="G327" s="17">
        <f t="shared" si="101"/>
        <v>0</v>
      </c>
      <c r="H327" s="17">
        <f>0</f>
        <v>0</v>
      </c>
      <c r="I327" s="17">
        <f t="shared" si="102"/>
        <v>0</v>
      </c>
      <c r="J327" s="17">
        <f t="shared" si="103"/>
        <v>0</v>
      </c>
      <c r="K327" s="17">
        <f>'1 - Input'!$B$22*(H327-J327)</f>
        <v>0</v>
      </c>
      <c r="L327" s="17">
        <f t="shared" si="104"/>
        <v>0</v>
      </c>
      <c r="M327" s="17">
        <f t="shared" si="105"/>
        <v>0</v>
      </c>
      <c r="N327" s="17">
        <f>0</f>
        <v>0</v>
      </c>
      <c r="O327" s="17">
        <f t="shared" si="106"/>
        <v>4257.628013316772</v>
      </c>
      <c r="P327" s="17">
        <f t="shared" si="107"/>
        <v>0</v>
      </c>
      <c r="Q327" s="17">
        <f>IF(AND(O327&gt;0,I327&gt;0),O327/(1-'1 - Input'!$B$22*P327),0)</f>
        <v>0</v>
      </c>
      <c r="R327" s="17">
        <f t="shared" si="108"/>
        <v>0</v>
      </c>
      <c r="S327" s="17">
        <f>'1 - Input'!$B$22*P327*R327</f>
        <v>0</v>
      </c>
      <c r="T327" s="17">
        <f t="shared" si="109"/>
        <v>0</v>
      </c>
      <c r="U327" s="17">
        <f t="shared" si="110"/>
        <v>4257.628013316772</v>
      </c>
      <c r="V327" s="17">
        <f t="shared" si="111"/>
        <v>0</v>
      </c>
      <c r="W327" s="17">
        <f t="shared" si="112"/>
        <v>0</v>
      </c>
      <c r="X327" s="17">
        <f t="shared" si="113"/>
        <v>0</v>
      </c>
      <c r="Y327" s="17">
        <f>IF(MOD(A327,12)=0,W327*'1 - Input'!$B$23,0)</f>
        <v>0</v>
      </c>
      <c r="Z327" s="17">
        <f t="shared" si="114"/>
        <v>0</v>
      </c>
      <c r="AA327" s="17">
        <f>IF(MOD(A327,12)=0,X327*(1-'1 - Input'!$B$23),X327)</f>
        <v>0</v>
      </c>
      <c r="AB327" s="17">
        <f t="shared" si="115"/>
        <v>0</v>
      </c>
      <c r="AC327" s="17">
        <f t="shared" si="119"/>
        <v>676015.57770007267</v>
      </c>
      <c r="AD327" s="17">
        <f t="shared" si="120"/>
        <v>0</v>
      </c>
      <c r="AE327" s="17">
        <f t="shared" si="121"/>
        <v>69240.414874846756</v>
      </c>
      <c r="AF327" s="17">
        <f t="shared" si="122"/>
        <v>0</v>
      </c>
      <c r="AG327" s="17">
        <f t="shared" si="123"/>
        <v>10373.842685499292</v>
      </c>
      <c r="AH327" s="17">
        <f t="shared" si="124"/>
        <v>292622.2543965255</v>
      </c>
      <c r="AI327" s="15">
        <f t="shared" si="116"/>
        <v>1</v>
      </c>
    </row>
    <row r="328" spans="1:35">
      <c r="A328" s="14">
        <v>285</v>
      </c>
      <c r="B328" s="15">
        <f t="shared" si="100"/>
        <v>24</v>
      </c>
      <c r="C328" s="16">
        <f>(1+INDEX('1 - Input'!$B$34:$E$63,B328,'1 - Input'!$B$16))^(1/12)-1</f>
        <v>4.1219243192651689E-3</v>
      </c>
      <c r="D328" s="17">
        <f>'1 - Input'!$B$7*(1+'1 - Input'!$B$12)^(B328-1)</f>
        <v>4257.628013316772</v>
      </c>
      <c r="E328" s="17">
        <f t="shared" si="117"/>
        <v>0</v>
      </c>
      <c r="F328" s="17">
        <f t="shared" si="118"/>
        <v>0</v>
      </c>
      <c r="G328" s="17">
        <f t="shared" si="101"/>
        <v>0</v>
      </c>
      <c r="H328" s="17">
        <f>0</f>
        <v>0</v>
      </c>
      <c r="I328" s="17">
        <f t="shared" si="102"/>
        <v>0</v>
      </c>
      <c r="J328" s="17">
        <f t="shared" si="103"/>
        <v>0</v>
      </c>
      <c r="K328" s="17">
        <f>'1 - Input'!$B$22*(H328-J328)</f>
        <v>0</v>
      </c>
      <c r="L328" s="17">
        <f t="shared" si="104"/>
        <v>0</v>
      </c>
      <c r="M328" s="17">
        <f t="shared" si="105"/>
        <v>0</v>
      </c>
      <c r="N328" s="17">
        <f>0</f>
        <v>0</v>
      </c>
      <c r="O328" s="17">
        <f t="shared" si="106"/>
        <v>4257.628013316772</v>
      </c>
      <c r="P328" s="17">
        <f t="shared" si="107"/>
        <v>0</v>
      </c>
      <c r="Q328" s="17">
        <f>IF(AND(O328&gt;0,I328&gt;0),O328/(1-'1 - Input'!$B$22*P328),0)</f>
        <v>0</v>
      </c>
      <c r="R328" s="17">
        <f t="shared" si="108"/>
        <v>0</v>
      </c>
      <c r="S328" s="17">
        <f>'1 - Input'!$B$22*P328*R328</f>
        <v>0</v>
      </c>
      <c r="T328" s="17">
        <f t="shared" si="109"/>
        <v>0</v>
      </c>
      <c r="U328" s="17">
        <f t="shared" si="110"/>
        <v>4257.628013316772</v>
      </c>
      <c r="V328" s="17">
        <f t="shared" si="111"/>
        <v>0</v>
      </c>
      <c r="W328" s="17">
        <f t="shared" si="112"/>
        <v>0</v>
      </c>
      <c r="X328" s="17">
        <f t="shared" si="113"/>
        <v>0</v>
      </c>
      <c r="Y328" s="17">
        <f>IF(MOD(A328,12)=0,W328*'1 - Input'!$B$23,0)</f>
        <v>0</v>
      </c>
      <c r="Z328" s="17">
        <f t="shared" si="114"/>
        <v>0</v>
      </c>
      <c r="AA328" s="17">
        <f>IF(MOD(A328,12)=0,X328*(1-'1 - Input'!$B$23),X328)</f>
        <v>0</v>
      </c>
      <c r="AB328" s="17">
        <f t="shared" si="115"/>
        <v>0</v>
      </c>
      <c r="AC328" s="17">
        <f t="shared" si="119"/>
        <v>676015.57770007267</v>
      </c>
      <c r="AD328" s="17">
        <f t="shared" si="120"/>
        <v>0</v>
      </c>
      <c r="AE328" s="17">
        <f t="shared" si="121"/>
        <v>69240.414874846756</v>
      </c>
      <c r="AF328" s="17">
        <f t="shared" si="122"/>
        <v>0</v>
      </c>
      <c r="AG328" s="17">
        <f t="shared" si="123"/>
        <v>10373.842685499292</v>
      </c>
      <c r="AH328" s="17">
        <f t="shared" si="124"/>
        <v>296879.88240984228</v>
      </c>
      <c r="AI328" s="15">
        <f t="shared" si="116"/>
        <v>1</v>
      </c>
    </row>
    <row r="329" spans="1:35">
      <c r="A329" s="14">
        <v>286</v>
      </c>
      <c r="B329" s="15">
        <f t="shared" si="100"/>
        <v>24</v>
      </c>
      <c r="C329" s="16">
        <f>(1+INDEX('1 - Input'!$B$34:$E$63,B329,'1 - Input'!$B$16))^(1/12)-1</f>
        <v>4.1219243192651689E-3</v>
      </c>
      <c r="D329" s="17">
        <f>'1 - Input'!$B$7*(1+'1 - Input'!$B$12)^(B329-1)</f>
        <v>4257.628013316772</v>
      </c>
      <c r="E329" s="17">
        <f t="shared" si="117"/>
        <v>0</v>
      </c>
      <c r="F329" s="17">
        <f t="shared" si="118"/>
        <v>0</v>
      </c>
      <c r="G329" s="17">
        <f t="shared" si="101"/>
        <v>0</v>
      </c>
      <c r="H329" s="17">
        <f>0</f>
        <v>0</v>
      </c>
      <c r="I329" s="17">
        <f t="shared" si="102"/>
        <v>0</v>
      </c>
      <c r="J329" s="17">
        <f t="shared" si="103"/>
        <v>0</v>
      </c>
      <c r="K329" s="17">
        <f>'1 - Input'!$B$22*(H329-J329)</f>
        <v>0</v>
      </c>
      <c r="L329" s="17">
        <f t="shared" si="104"/>
        <v>0</v>
      </c>
      <c r="M329" s="17">
        <f t="shared" si="105"/>
        <v>0</v>
      </c>
      <c r="N329" s="17">
        <f>0</f>
        <v>0</v>
      </c>
      <c r="O329" s="17">
        <f t="shared" si="106"/>
        <v>4257.628013316772</v>
      </c>
      <c r="P329" s="17">
        <f t="shared" si="107"/>
        <v>0</v>
      </c>
      <c r="Q329" s="17">
        <f>IF(AND(O329&gt;0,I329&gt;0),O329/(1-'1 - Input'!$B$22*P329),0)</f>
        <v>0</v>
      </c>
      <c r="R329" s="17">
        <f t="shared" si="108"/>
        <v>0</v>
      </c>
      <c r="S329" s="17">
        <f>'1 - Input'!$B$22*P329*R329</f>
        <v>0</v>
      </c>
      <c r="T329" s="17">
        <f t="shared" si="109"/>
        <v>0</v>
      </c>
      <c r="U329" s="17">
        <f t="shared" si="110"/>
        <v>4257.628013316772</v>
      </c>
      <c r="V329" s="17">
        <f t="shared" si="111"/>
        <v>0</v>
      </c>
      <c r="W329" s="17">
        <f t="shared" si="112"/>
        <v>0</v>
      </c>
      <c r="X329" s="17">
        <f t="shared" si="113"/>
        <v>0</v>
      </c>
      <c r="Y329" s="17">
        <f>IF(MOD(A329,12)=0,W329*'1 - Input'!$B$23,0)</f>
        <v>0</v>
      </c>
      <c r="Z329" s="17">
        <f t="shared" si="114"/>
        <v>0</v>
      </c>
      <c r="AA329" s="17">
        <f>IF(MOD(A329,12)=0,X329*(1-'1 - Input'!$B$23),X329)</f>
        <v>0</v>
      </c>
      <c r="AB329" s="17">
        <f t="shared" si="115"/>
        <v>0</v>
      </c>
      <c r="AC329" s="17">
        <f t="shared" si="119"/>
        <v>676015.57770007267</v>
      </c>
      <c r="AD329" s="17">
        <f t="shared" si="120"/>
        <v>0</v>
      </c>
      <c r="AE329" s="17">
        <f t="shared" si="121"/>
        <v>69240.414874846756</v>
      </c>
      <c r="AF329" s="17">
        <f t="shared" si="122"/>
        <v>0</v>
      </c>
      <c r="AG329" s="17">
        <f t="shared" si="123"/>
        <v>10373.842685499292</v>
      </c>
      <c r="AH329" s="17">
        <f t="shared" si="124"/>
        <v>301137.51042315905</v>
      </c>
      <c r="AI329" s="15">
        <f t="shared" si="116"/>
        <v>1</v>
      </c>
    </row>
    <row r="330" spans="1:35">
      <c r="A330" s="14">
        <v>287</v>
      </c>
      <c r="B330" s="15">
        <f t="shared" si="100"/>
        <v>24</v>
      </c>
      <c r="C330" s="16">
        <f>(1+INDEX('1 - Input'!$B$34:$E$63,B330,'1 - Input'!$B$16))^(1/12)-1</f>
        <v>4.1219243192651689E-3</v>
      </c>
      <c r="D330" s="17">
        <f>'1 - Input'!$B$7*(1+'1 - Input'!$B$12)^(B330-1)</f>
        <v>4257.628013316772</v>
      </c>
      <c r="E330" s="17">
        <f t="shared" si="117"/>
        <v>0</v>
      </c>
      <c r="F330" s="17">
        <f t="shared" si="118"/>
        <v>0</v>
      </c>
      <c r="G330" s="17">
        <f t="shared" si="101"/>
        <v>0</v>
      </c>
      <c r="H330" s="17">
        <f>0</f>
        <v>0</v>
      </c>
      <c r="I330" s="17">
        <f t="shared" si="102"/>
        <v>0</v>
      </c>
      <c r="J330" s="17">
        <f t="shared" si="103"/>
        <v>0</v>
      </c>
      <c r="K330" s="17">
        <f>'1 - Input'!$B$22*(H330-J330)</f>
        <v>0</v>
      </c>
      <c r="L330" s="17">
        <f t="shared" si="104"/>
        <v>0</v>
      </c>
      <c r="M330" s="17">
        <f t="shared" si="105"/>
        <v>0</v>
      </c>
      <c r="N330" s="17">
        <f>0</f>
        <v>0</v>
      </c>
      <c r="O330" s="17">
        <f t="shared" si="106"/>
        <v>4257.628013316772</v>
      </c>
      <c r="P330" s="17">
        <f t="shared" si="107"/>
        <v>0</v>
      </c>
      <c r="Q330" s="17">
        <f>IF(AND(O330&gt;0,I330&gt;0),O330/(1-'1 - Input'!$B$22*P330),0)</f>
        <v>0</v>
      </c>
      <c r="R330" s="17">
        <f t="shared" si="108"/>
        <v>0</v>
      </c>
      <c r="S330" s="17">
        <f>'1 - Input'!$B$22*P330*R330</f>
        <v>0</v>
      </c>
      <c r="T330" s="17">
        <f t="shared" si="109"/>
        <v>0</v>
      </c>
      <c r="U330" s="17">
        <f t="shared" si="110"/>
        <v>4257.628013316772</v>
      </c>
      <c r="V330" s="17">
        <f t="shared" si="111"/>
        <v>0</v>
      </c>
      <c r="W330" s="17">
        <f t="shared" si="112"/>
        <v>0</v>
      </c>
      <c r="X330" s="17">
        <f t="shared" si="113"/>
        <v>0</v>
      </c>
      <c r="Y330" s="17">
        <f>IF(MOD(A330,12)=0,W330*'1 - Input'!$B$23,0)</f>
        <v>0</v>
      </c>
      <c r="Z330" s="17">
        <f t="shared" si="114"/>
        <v>0</v>
      </c>
      <c r="AA330" s="17">
        <f>IF(MOD(A330,12)=0,X330*(1-'1 - Input'!$B$23),X330)</f>
        <v>0</v>
      </c>
      <c r="AB330" s="17">
        <f t="shared" si="115"/>
        <v>0</v>
      </c>
      <c r="AC330" s="17">
        <f t="shared" si="119"/>
        <v>676015.57770007267</v>
      </c>
      <c r="AD330" s="17">
        <f t="shared" si="120"/>
        <v>0</v>
      </c>
      <c r="AE330" s="17">
        <f t="shared" si="121"/>
        <v>69240.414874846756</v>
      </c>
      <c r="AF330" s="17">
        <f t="shared" si="122"/>
        <v>0</v>
      </c>
      <c r="AG330" s="17">
        <f t="shared" si="123"/>
        <v>10373.842685499292</v>
      </c>
      <c r="AH330" s="17">
        <f t="shared" si="124"/>
        <v>305395.13843647583</v>
      </c>
      <c r="AI330" s="15">
        <f t="shared" si="116"/>
        <v>1</v>
      </c>
    </row>
    <row r="331" spans="1:35">
      <c r="A331" s="14">
        <v>288</v>
      </c>
      <c r="B331" s="15">
        <f t="shared" si="100"/>
        <v>24</v>
      </c>
      <c r="C331" s="16">
        <f>(1+INDEX('1 - Input'!$B$34:$E$63,B331,'1 - Input'!$B$16))^(1/12)-1</f>
        <v>4.1219243192651689E-3</v>
      </c>
      <c r="D331" s="17">
        <f>'1 - Input'!$B$7*(1+'1 - Input'!$B$12)^(B331-1)</f>
        <v>4257.628013316772</v>
      </c>
      <c r="E331" s="17">
        <f t="shared" si="117"/>
        <v>0</v>
      </c>
      <c r="F331" s="17">
        <f t="shared" si="118"/>
        <v>0</v>
      </c>
      <c r="G331" s="17">
        <f t="shared" si="101"/>
        <v>0</v>
      </c>
      <c r="H331" s="17">
        <f>0</f>
        <v>0</v>
      </c>
      <c r="I331" s="17">
        <f t="shared" si="102"/>
        <v>0</v>
      </c>
      <c r="J331" s="17">
        <f t="shared" si="103"/>
        <v>0</v>
      </c>
      <c r="K331" s="17">
        <f>'1 - Input'!$B$22*(H331-J331)</f>
        <v>0</v>
      </c>
      <c r="L331" s="17">
        <f t="shared" si="104"/>
        <v>0</v>
      </c>
      <c r="M331" s="17">
        <f t="shared" si="105"/>
        <v>0</v>
      </c>
      <c r="N331" s="17">
        <f>0</f>
        <v>0</v>
      </c>
      <c r="O331" s="17">
        <f t="shared" si="106"/>
        <v>4257.628013316772</v>
      </c>
      <c r="P331" s="17">
        <f t="shared" si="107"/>
        <v>0</v>
      </c>
      <c r="Q331" s="17">
        <f>IF(AND(O331&gt;0,I331&gt;0),O331/(1-'1 - Input'!$B$22*P331),0)</f>
        <v>0</v>
      </c>
      <c r="R331" s="17">
        <f t="shared" si="108"/>
        <v>0</v>
      </c>
      <c r="S331" s="17">
        <f>'1 - Input'!$B$22*P331*R331</f>
        <v>0</v>
      </c>
      <c r="T331" s="17">
        <f t="shared" si="109"/>
        <v>0</v>
      </c>
      <c r="U331" s="17">
        <f t="shared" si="110"/>
        <v>4257.628013316772</v>
      </c>
      <c r="V331" s="17">
        <f t="shared" si="111"/>
        <v>0</v>
      </c>
      <c r="W331" s="17">
        <f t="shared" si="112"/>
        <v>0</v>
      </c>
      <c r="X331" s="17">
        <f t="shared" si="113"/>
        <v>0</v>
      </c>
      <c r="Y331" s="17">
        <f>IF(MOD(A331,12)=0,W331*'1 - Input'!$B$23,0)</f>
        <v>0</v>
      </c>
      <c r="Z331" s="17">
        <f t="shared" si="114"/>
        <v>0</v>
      </c>
      <c r="AA331" s="17">
        <f>IF(MOD(A331,12)=0,X331*(1-'1 - Input'!$B$23),X331)</f>
        <v>0</v>
      </c>
      <c r="AB331" s="17">
        <f t="shared" si="115"/>
        <v>0</v>
      </c>
      <c r="AC331" s="17">
        <f t="shared" si="119"/>
        <v>676015.57770007267</v>
      </c>
      <c r="AD331" s="17">
        <f t="shared" si="120"/>
        <v>0</v>
      </c>
      <c r="AE331" s="17">
        <f t="shared" si="121"/>
        <v>69240.414874846756</v>
      </c>
      <c r="AF331" s="17">
        <f t="shared" si="122"/>
        <v>0</v>
      </c>
      <c r="AG331" s="17">
        <f t="shared" si="123"/>
        <v>10373.842685499292</v>
      </c>
      <c r="AH331" s="17">
        <f t="shared" si="124"/>
        <v>309652.7664497926</v>
      </c>
      <c r="AI331" s="15">
        <f t="shared" si="116"/>
        <v>1</v>
      </c>
    </row>
    <row r="332" spans="1:35">
      <c r="A332" s="14">
        <v>289</v>
      </c>
      <c r="B332" s="15">
        <f t="shared" si="100"/>
        <v>25</v>
      </c>
      <c r="C332" s="16">
        <f>(1+INDEX('1 - Input'!$B$34:$E$63,B332,'1 - Input'!$B$16))^(1/12)-1</f>
        <v>4.1219243192651689E-3</v>
      </c>
      <c r="D332" s="17">
        <f>'1 - Input'!$B$7*(1+'1 - Input'!$B$12)^(B332-1)</f>
        <v>4342.780573583108</v>
      </c>
      <c r="E332" s="17">
        <f t="shared" si="117"/>
        <v>0</v>
      </c>
      <c r="F332" s="17">
        <f t="shared" si="118"/>
        <v>0</v>
      </c>
      <c r="G332" s="17">
        <f t="shared" si="101"/>
        <v>0</v>
      </c>
      <c r="H332" s="17">
        <f>0</f>
        <v>0</v>
      </c>
      <c r="I332" s="17">
        <f t="shared" si="102"/>
        <v>0</v>
      </c>
      <c r="J332" s="17">
        <f t="shared" si="103"/>
        <v>0</v>
      </c>
      <c r="K332" s="17">
        <f>'1 - Input'!$B$22*(H332-J332)</f>
        <v>0</v>
      </c>
      <c r="L332" s="17">
        <f t="shared" si="104"/>
        <v>0</v>
      </c>
      <c r="M332" s="17">
        <f t="shared" si="105"/>
        <v>0</v>
      </c>
      <c r="N332" s="17">
        <f>0</f>
        <v>0</v>
      </c>
      <c r="O332" s="17">
        <f t="shared" si="106"/>
        <v>4342.780573583108</v>
      </c>
      <c r="P332" s="17">
        <f t="shared" si="107"/>
        <v>0</v>
      </c>
      <c r="Q332" s="17">
        <f>IF(AND(O332&gt;0,I332&gt;0),O332/(1-'1 - Input'!$B$22*P332),0)</f>
        <v>0</v>
      </c>
      <c r="R332" s="17">
        <f t="shared" si="108"/>
        <v>0</v>
      </c>
      <c r="S332" s="17">
        <f>'1 - Input'!$B$22*P332*R332</f>
        <v>0</v>
      </c>
      <c r="T332" s="17">
        <f t="shared" si="109"/>
        <v>0</v>
      </c>
      <c r="U332" s="17">
        <f t="shared" si="110"/>
        <v>4342.780573583108</v>
      </c>
      <c r="V332" s="17">
        <f t="shared" si="111"/>
        <v>0</v>
      </c>
      <c r="W332" s="17">
        <f t="shared" si="112"/>
        <v>0</v>
      </c>
      <c r="X332" s="17">
        <f t="shared" si="113"/>
        <v>0</v>
      </c>
      <c r="Y332" s="17">
        <f>IF(MOD(A332,12)=0,W332*'1 - Input'!$B$23,0)</f>
        <v>0</v>
      </c>
      <c r="Z332" s="17">
        <f t="shared" si="114"/>
        <v>0</v>
      </c>
      <c r="AA332" s="17">
        <f>IF(MOD(A332,12)=0,X332*(1-'1 - Input'!$B$23),X332)</f>
        <v>0</v>
      </c>
      <c r="AB332" s="17">
        <f t="shared" si="115"/>
        <v>0</v>
      </c>
      <c r="AC332" s="17">
        <f t="shared" si="119"/>
        <v>676015.57770007267</v>
      </c>
      <c r="AD332" s="17">
        <f t="shared" si="120"/>
        <v>0</v>
      </c>
      <c r="AE332" s="17">
        <f t="shared" si="121"/>
        <v>69240.414874846756</v>
      </c>
      <c r="AF332" s="17">
        <f t="shared" si="122"/>
        <v>0</v>
      </c>
      <c r="AG332" s="17">
        <f t="shared" si="123"/>
        <v>10373.842685499292</v>
      </c>
      <c r="AH332" s="17">
        <f t="shared" si="124"/>
        <v>313995.54702337569</v>
      </c>
      <c r="AI332" s="15">
        <f t="shared" si="116"/>
        <v>1</v>
      </c>
    </row>
    <row r="333" spans="1:35">
      <c r="A333" s="14">
        <v>290</v>
      </c>
      <c r="B333" s="15">
        <f t="shared" si="100"/>
        <v>25</v>
      </c>
      <c r="C333" s="16">
        <f>(1+INDEX('1 - Input'!$B$34:$E$63,B333,'1 - Input'!$B$16))^(1/12)-1</f>
        <v>4.1219243192651689E-3</v>
      </c>
      <c r="D333" s="17">
        <f>'1 - Input'!$B$7*(1+'1 - Input'!$B$12)^(B333-1)</f>
        <v>4342.780573583108</v>
      </c>
      <c r="E333" s="17">
        <f t="shared" si="117"/>
        <v>0</v>
      </c>
      <c r="F333" s="17">
        <f t="shared" si="118"/>
        <v>0</v>
      </c>
      <c r="G333" s="17">
        <f t="shared" si="101"/>
        <v>0</v>
      </c>
      <c r="H333" s="17">
        <f>0</f>
        <v>0</v>
      </c>
      <c r="I333" s="17">
        <f t="shared" si="102"/>
        <v>0</v>
      </c>
      <c r="J333" s="17">
        <f t="shared" si="103"/>
        <v>0</v>
      </c>
      <c r="K333" s="17">
        <f>'1 - Input'!$B$22*(H333-J333)</f>
        <v>0</v>
      </c>
      <c r="L333" s="17">
        <f t="shared" si="104"/>
        <v>0</v>
      </c>
      <c r="M333" s="17">
        <f t="shared" si="105"/>
        <v>0</v>
      </c>
      <c r="N333" s="17">
        <f>0</f>
        <v>0</v>
      </c>
      <c r="O333" s="17">
        <f t="shared" si="106"/>
        <v>4342.780573583108</v>
      </c>
      <c r="P333" s="17">
        <f t="shared" si="107"/>
        <v>0</v>
      </c>
      <c r="Q333" s="17">
        <f>IF(AND(O333&gt;0,I333&gt;0),O333/(1-'1 - Input'!$B$22*P333),0)</f>
        <v>0</v>
      </c>
      <c r="R333" s="17">
        <f t="shared" si="108"/>
        <v>0</v>
      </c>
      <c r="S333" s="17">
        <f>'1 - Input'!$B$22*P333*R333</f>
        <v>0</v>
      </c>
      <c r="T333" s="17">
        <f t="shared" si="109"/>
        <v>0</v>
      </c>
      <c r="U333" s="17">
        <f t="shared" si="110"/>
        <v>4342.780573583108</v>
      </c>
      <c r="V333" s="17">
        <f t="shared" si="111"/>
        <v>0</v>
      </c>
      <c r="W333" s="17">
        <f t="shared" si="112"/>
        <v>0</v>
      </c>
      <c r="X333" s="17">
        <f t="shared" si="113"/>
        <v>0</v>
      </c>
      <c r="Y333" s="17">
        <f>IF(MOD(A333,12)=0,W333*'1 - Input'!$B$23,0)</f>
        <v>0</v>
      </c>
      <c r="Z333" s="17">
        <f t="shared" si="114"/>
        <v>0</v>
      </c>
      <c r="AA333" s="17">
        <f>IF(MOD(A333,12)=0,X333*(1-'1 - Input'!$B$23),X333)</f>
        <v>0</v>
      </c>
      <c r="AB333" s="17">
        <f t="shared" si="115"/>
        <v>0</v>
      </c>
      <c r="AC333" s="17">
        <f t="shared" si="119"/>
        <v>676015.57770007267</v>
      </c>
      <c r="AD333" s="17">
        <f t="shared" si="120"/>
        <v>0</v>
      </c>
      <c r="AE333" s="17">
        <f t="shared" si="121"/>
        <v>69240.414874846756</v>
      </c>
      <c r="AF333" s="17">
        <f t="shared" si="122"/>
        <v>0</v>
      </c>
      <c r="AG333" s="17">
        <f t="shared" si="123"/>
        <v>10373.842685499292</v>
      </c>
      <c r="AH333" s="17">
        <f t="shared" si="124"/>
        <v>318338.32759695878</v>
      </c>
      <c r="AI333" s="15">
        <f t="shared" si="116"/>
        <v>1</v>
      </c>
    </row>
    <row r="334" spans="1:35">
      <c r="A334" s="14">
        <v>291</v>
      </c>
      <c r="B334" s="15">
        <f t="shared" si="100"/>
        <v>25</v>
      </c>
      <c r="C334" s="16">
        <f>(1+INDEX('1 - Input'!$B$34:$E$63,B334,'1 - Input'!$B$16))^(1/12)-1</f>
        <v>4.1219243192651689E-3</v>
      </c>
      <c r="D334" s="17">
        <f>'1 - Input'!$B$7*(1+'1 - Input'!$B$12)^(B334-1)</f>
        <v>4342.780573583108</v>
      </c>
      <c r="E334" s="17">
        <f t="shared" si="117"/>
        <v>0</v>
      </c>
      <c r="F334" s="17">
        <f t="shared" si="118"/>
        <v>0</v>
      </c>
      <c r="G334" s="17">
        <f t="shared" si="101"/>
        <v>0</v>
      </c>
      <c r="H334" s="17">
        <f>0</f>
        <v>0</v>
      </c>
      <c r="I334" s="17">
        <f t="shared" si="102"/>
        <v>0</v>
      </c>
      <c r="J334" s="17">
        <f t="shared" si="103"/>
        <v>0</v>
      </c>
      <c r="K334" s="17">
        <f>'1 - Input'!$B$22*(H334-J334)</f>
        <v>0</v>
      </c>
      <c r="L334" s="17">
        <f t="shared" si="104"/>
        <v>0</v>
      </c>
      <c r="M334" s="17">
        <f t="shared" si="105"/>
        <v>0</v>
      </c>
      <c r="N334" s="17">
        <f>0</f>
        <v>0</v>
      </c>
      <c r="O334" s="17">
        <f t="shared" si="106"/>
        <v>4342.780573583108</v>
      </c>
      <c r="P334" s="17">
        <f t="shared" si="107"/>
        <v>0</v>
      </c>
      <c r="Q334" s="17">
        <f>IF(AND(O334&gt;0,I334&gt;0),O334/(1-'1 - Input'!$B$22*P334),0)</f>
        <v>0</v>
      </c>
      <c r="R334" s="17">
        <f t="shared" si="108"/>
        <v>0</v>
      </c>
      <c r="S334" s="17">
        <f>'1 - Input'!$B$22*P334*R334</f>
        <v>0</v>
      </c>
      <c r="T334" s="17">
        <f t="shared" si="109"/>
        <v>0</v>
      </c>
      <c r="U334" s="17">
        <f t="shared" si="110"/>
        <v>4342.780573583108</v>
      </c>
      <c r="V334" s="17">
        <f t="shared" si="111"/>
        <v>0</v>
      </c>
      <c r="W334" s="17">
        <f t="shared" si="112"/>
        <v>0</v>
      </c>
      <c r="X334" s="17">
        <f t="shared" si="113"/>
        <v>0</v>
      </c>
      <c r="Y334" s="17">
        <f>IF(MOD(A334,12)=0,W334*'1 - Input'!$B$23,0)</f>
        <v>0</v>
      </c>
      <c r="Z334" s="17">
        <f t="shared" si="114"/>
        <v>0</v>
      </c>
      <c r="AA334" s="17">
        <f>IF(MOD(A334,12)=0,X334*(1-'1 - Input'!$B$23),X334)</f>
        <v>0</v>
      </c>
      <c r="AB334" s="17">
        <f t="shared" si="115"/>
        <v>0</v>
      </c>
      <c r="AC334" s="17">
        <f t="shared" si="119"/>
        <v>676015.57770007267</v>
      </c>
      <c r="AD334" s="17">
        <f t="shared" si="120"/>
        <v>0</v>
      </c>
      <c r="AE334" s="17">
        <f t="shared" si="121"/>
        <v>69240.414874846756</v>
      </c>
      <c r="AF334" s="17">
        <f t="shared" si="122"/>
        <v>0</v>
      </c>
      <c r="AG334" s="17">
        <f t="shared" si="123"/>
        <v>10373.842685499292</v>
      </c>
      <c r="AH334" s="17">
        <f t="shared" si="124"/>
        <v>322681.10817054188</v>
      </c>
      <c r="AI334" s="15">
        <f t="shared" si="116"/>
        <v>1</v>
      </c>
    </row>
    <row r="335" spans="1:35">
      <c r="A335" s="14">
        <v>292</v>
      </c>
      <c r="B335" s="15">
        <f t="shared" si="100"/>
        <v>25</v>
      </c>
      <c r="C335" s="16">
        <f>(1+INDEX('1 - Input'!$B$34:$E$63,B335,'1 - Input'!$B$16))^(1/12)-1</f>
        <v>4.1219243192651689E-3</v>
      </c>
      <c r="D335" s="17">
        <f>'1 - Input'!$B$7*(1+'1 - Input'!$B$12)^(B335-1)</f>
        <v>4342.780573583108</v>
      </c>
      <c r="E335" s="17">
        <f t="shared" si="117"/>
        <v>0</v>
      </c>
      <c r="F335" s="17">
        <f t="shared" si="118"/>
        <v>0</v>
      </c>
      <c r="G335" s="17">
        <f t="shared" si="101"/>
        <v>0</v>
      </c>
      <c r="H335" s="17">
        <f>0</f>
        <v>0</v>
      </c>
      <c r="I335" s="17">
        <f t="shared" si="102"/>
        <v>0</v>
      </c>
      <c r="J335" s="17">
        <f t="shared" si="103"/>
        <v>0</v>
      </c>
      <c r="K335" s="17">
        <f>'1 - Input'!$B$22*(H335-J335)</f>
        <v>0</v>
      </c>
      <c r="L335" s="17">
        <f t="shared" si="104"/>
        <v>0</v>
      </c>
      <c r="M335" s="17">
        <f t="shared" si="105"/>
        <v>0</v>
      </c>
      <c r="N335" s="17">
        <f>0</f>
        <v>0</v>
      </c>
      <c r="O335" s="17">
        <f t="shared" si="106"/>
        <v>4342.780573583108</v>
      </c>
      <c r="P335" s="17">
        <f t="shared" si="107"/>
        <v>0</v>
      </c>
      <c r="Q335" s="17">
        <f>IF(AND(O335&gt;0,I335&gt;0),O335/(1-'1 - Input'!$B$22*P335),0)</f>
        <v>0</v>
      </c>
      <c r="R335" s="17">
        <f t="shared" si="108"/>
        <v>0</v>
      </c>
      <c r="S335" s="17">
        <f>'1 - Input'!$B$22*P335*R335</f>
        <v>0</v>
      </c>
      <c r="T335" s="17">
        <f t="shared" si="109"/>
        <v>0</v>
      </c>
      <c r="U335" s="17">
        <f t="shared" si="110"/>
        <v>4342.780573583108</v>
      </c>
      <c r="V335" s="17">
        <f t="shared" si="111"/>
        <v>0</v>
      </c>
      <c r="W335" s="17">
        <f t="shared" si="112"/>
        <v>0</v>
      </c>
      <c r="X335" s="17">
        <f t="shared" si="113"/>
        <v>0</v>
      </c>
      <c r="Y335" s="17">
        <f>IF(MOD(A335,12)=0,W335*'1 - Input'!$B$23,0)</f>
        <v>0</v>
      </c>
      <c r="Z335" s="17">
        <f t="shared" si="114"/>
        <v>0</v>
      </c>
      <c r="AA335" s="17">
        <f>IF(MOD(A335,12)=0,X335*(1-'1 - Input'!$B$23),X335)</f>
        <v>0</v>
      </c>
      <c r="AB335" s="17">
        <f t="shared" si="115"/>
        <v>0</v>
      </c>
      <c r="AC335" s="17">
        <f t="shared" si="119"/>
        <v>676015.57770007267</v>
      </c>
      <c r="AD335" s="17">
        <f t="shared" si="120"/>
        <v>0</v>
      </c>
      <c r="AE335" s="17">
        <f t="shared" si="121"/>
        <v>69240.414874846756</v>
      </c>
      <c r="AF335" s="17">
        <f t="shared" si="122"/>
        <v>0</v>
      </c>
      <c r="AG335" s="17">
        <f t="shared" si="123"/>
        <v>10373.842685499292</v>
      </c>
      <c r="AH335" s="17">
        <f t="shared" si="124"/>
        <v>327023.88874412497</v>
      </c>
      <c r="AI335" s="15">
        <f t="shared" si="116"/>
        <v>1</v>
      </c>
    </row>
    <row r="336" spans="1:35">
      <c r="A336" s="14">
        <v>293</v>
      </c>
      <c r="B336" s="15">
        <f t="shared" si="100"/>
        <v>25</v>
      </c>
      <c r="C336" s="16">
        <f>(1+INDEX('1 - Input'!$B$34:$E$63,B336,'1 - Input'!$B$16))^(1/12)-1</f>
        <v>4.1219243192651689E-3</v>
      </c>
      <c r="D336" s="17">
        <f>'1 - Input'!$B$7*(1+'1 - Input'!$B$12)^(B336-1)</f>
        <v>4342.780573583108</v>
      </c>
      <c r="E336" s="17">
        <f t="shared" si="117"/>
        <v>0</v>
      </c>
      <c r="F336" s="17">
        <f t="shared" si="118"/>
        <v>0</v>
      </c>
      <c r="G336" s="17">
        <f t="shared" si="101"/>
        <v>0</v>
      </c>
      <c r="H336" s="17">
        <f>0</f>
        <v>0</v>
      </c>
      <c r="I336" s="17">
        <f t="shared" si="102"/>
        <v>0</v>
      </c>
      <c r="J336" s="17">
        <f t="shared" si="103"/>
        <v>0</v>
      </c>
      <c r="K336" s="17">
        <f>'1 - Input'!$B$22*(H336-J336)</f>
        <v>0</v>
      </c>
      <c r="L336" s="17">
        <f t="shared" si="104"/>
        <v>0</v>
      </c>
      <c r="M336" s="17">
        <f t="shared" si="105"/>
        <v>0</v>
      </c>
      <c r="N336" s="17">
        <f>0</f>
        <v>0</v>
      </c>
      <c r="O336" s="17">
        <f t="shared" si="106"/>
        <v>4342.780573583108</v>
      </c>
      <c r="P336" s="17">
        <f t="shared" si="107"/>
        <v>0</v>
      </c>
      <c r="Q336" s="17">
        <f>IF(AND(O336&gt;0,I336&gt;0),O336/(1-'1 - Input'!$B$22*P336),0)</f>
        <v>0</v>
      </c>
      <c r="R336" s="17">
        <f t="shared" si="108"/>
        <v>0</v>
      </c>
      <c r="S336" s="17">
        <f>'1 - Input'!$B$22*P336*R336</f>
        <v>0</v>
      </c>
      <c r="T336" s="17">
        <f t="shared" si="109"/>
        <v>0</v>
      </c>
      <c r="U336" s="17">
        <f t="shared" si="110"/>
        <v>4342.780573583108</v>
      </c>
      <c r="V336" s="17">
        <f t="shared" si="111"/>
        <v>0</v>
      </c>
      <c r="W336" s="17">
        <f t="shared" si="112"/>
        <v>0</v>
      </c>
      <c r="X336" s="17">
        <f t="shared" si="113"/>
        <v>0</v>
      </c>
      <c r="Y336" s="17">
        <f>IF(MOD(A336,12)=0,W336*'1 - Input'!$B$23,0)</f>
        <v>0</v>
      </c>
      <c r="Z336" s="17">
        <f t="shared" si="114"/>
        <v>0</v>
      </c>
      <c r="AA336" s="17">
        <f>IF(MOD(A336,12)=0,X336*(1-'1 - Input'!$B$23),X336)</f>
        <v>0</v>
      </c>
      <c r="AB336" s="17">
        <f t="shared" si="115"/>
        <v>0</v>
      </c>
      <c r="AC336" s="17">
        <f t="shared" si="119"/>
        <v>676015.57770007267</v>
      </c>
      <c r="AD336" s="17">
        <f t="shared" si="120"/>
        <v>0</v>
      </c>
      <c r="AE336" s="17">
        <f t="shared" si="121"/>
        <v>69240.414874846756</v>
      </c>
      <c r="AF336" s="17">
        <f t="shared" si="122"/>
        <v>0</v>
      </c>
      <c r="AG336" s="17">
        <f t="shared" si="123"/>
        <v>10373.842685499292</v>
      </c>
      <c r="AH336" s="17">
        <f t="shared" si="124"/>
        <v>331366.66931770806</v>
      </c>
      <c r="AI336" s="15">
        <f t="shared" si="116"/>
        <v>1</v>
      </c>
    </row>
    <row r="337" spans="1:35">
      <c r="A337" s="14">
        <v>294</v>
      </c>
      <c r="B337" s="15">
        <f t="shared" si="100"/>
        <v>25</v>
      </c>
      <c r="C337" s="16">
        <f>(1+INDEX('1 - Input'!$B$34:$E$63,B337,'1 - Input'!$B$16))^(1/12)-1</f>
        <v>4.1219243192651689E-3</v>
      </c>
      <c r="D337" s="17">
        <f>'1 - Input'!$B$7*(1+'1 - Input'!$B$12)^(B337-1)</f>
        <v>4342.780573583108</v>
      </c>
      <c r="E337" s="17">
        <f t="shared" si="117"/>
        <v>0</v>
      </c>
      <c r="F337" s="17">
        <f t="shared" si="118"/>
        <v>0</v>
      </c>
      <c r="G337" s="17">
        <f t="shared" si="101"/>
        <v>0</v>
      </c>
      <c r="H337" s="17">
        <f>0</f>
        <v>0</v>
      </c>
      <c r="I337" s="17">
        <f t="shared" si="102"/>
        <v>0</v>
      </c>
      <c r="J337" s="17">
        <f t="shared" si="103"/>
        <v>0</v>
      </c>
      <c r="K337" s="17">
        <f>'1 - Input'!$B$22*(H337-J337)</f>
        <v>0</v>
      </c>
      <c r="L337" s="17">
        <f t="shared" si="104"/>
        <v>0</v>
      </c>
      <c r="M337" s="17">
        <f t="shared" si="105"/>
        <v>0</v>
      </c>
      <c r="N337" s="17">
        <f>0</f>
        <v>0</v>
      </c>
      <c r="O337" s="17">
        <f t="shared" si="106"/>
        <v>4342.780573583108</v>
      </c>
      <c r="P337" s="17">
        <f t="shared" si="107"/>
        <v>0</v>
      </c>
      <c r="Q337" s="17">
        <f>IF(AND(O337&gt;0,I337&gt;0),O337/(1-'1 - Input'!$B$22*P337),0)</f>
        <v>0</v>
      </c>
      <c r="R337" s="17">
        <f t="shared" si="108"/>
        <v>0</v>
      </c>
      <c r="S337" s="17">
        <f>'1 - Input'!$B$22*P337*R337</f>
        <v>0</v>
      </c>
      <c r="T337" s="17">
        <f t="shared" si="109"/>
        <v>0</v>
      </c>
      <c r="U337" s="17">
        <f t="shared" si="110"/>
        <v>4342.780573583108</v>
      </c>
      <c r="V337" s="17">
        <f t="shared" si="111"/>
        <v>0</v>
      </c>
      <c r="W337" s="17">
        <f t="shared" si="112"/>
        <v>0</v>
      </c>
      <c r="X337" s="17">
        <f t="shared" si="113"/>
        <v>0</v>
      </c>
      <c r="Y337" s="17">
        <f>IF(MOD(A337,12)=0,W337*'1 - Input'!$B$23,0)</f>
        <v>0</v>
      </c>
      <c r="Z337" s="17">
        <f t="shared" si="114"/>
        <v>0</v>
      </c>
      <c r="AA337" s="17">
        <f>IF(MOD(A337,12)=0,X337*(1-'1 - Input'!$B$23),X337)</f>
        <v>0</v>
      </c>
      <c r="AB337" s="17">
        <f t="shared" si="115"/>
        <v>0</v>
      </c>
      <c r="AC337" s="17">
        <f t="shared" si="119"/>
        <v>676015.57770007267</v>
      </c>
      <c r="AD337" s="17">
        <f t="shared" si="120"/>
        <v>0</v>
      </c>
      <c r="AE337" s="17">
        <f t="shared" si="121"/>
        <v>69240.414874846756</v>
      </c>
      <c r="AF337" s="17">
        <f t="shared" si="122"/>
        <v>0</v>
      </c>
      <c r="AG337" s="17">
        <f t="shared" si="123"/>
        <v>10373.842685499292</v>
      </c>
      <c r="AH337" s="17">
        <f t="shared" si="124"/>
        <v>335709.44989129115</v>
      </c>
      <c r="AI337" s="15">
        <f t="shared" si="116"/>
        <v>1</v>
      </c>
    </row>
    <row r="338" spans="1:35">
      <c r="A338" s="14">
        <v>295</v>
      </c>
      <c r="B338" s="15">
        <f t="shared" si="100"/>
        <v>25</v>
      </c>
      <c r="C338" s="16">
        <f>(1+INDEX('1 - Input'!$B$34:$E$63,B338,'1 - Input'!$B$16))^(1/12)-1</f>
        <v>4.1219243192651689E-3</v>
      </c>
      <c r="D338" s="17">
        <f>'1 - Input'!$B$7*(1+'1 - Input'!$B$12)^(B338-1)</f>
        <v>4342.780573583108</v>
      </c>
      <c r="E338" s="17">
        <f t="shared" si="117"/>
        <v>0</v>
      </c>
      <c r="F338" s="17">
        <f t="shared" si="118"/>
        <v>0</v>
      </c>
      <c r="G338" s="17">
        <f t="shared" si="101"/>
        <v>0</v>
      </c>
      <c r="H338" s="17">
        <f>0</f>
        <v>0</v>
      </c>
      <c r="I338" s="17">
        <f t="shared" si="102"/>
        <v>0</v>
      </c>
      <c r="J338" s="17">
        <f t="shared" si="103"/>
        <v>0</v>
      </c>
      <c r="K338" s="17">
        <f>'1 - Input'!$B$22*(H338-J338)</f>
        <v>0</v>
      </c>
      <c r="L338" s="17">
        <f t="shared" si="104"/>
        <v>0</v>
      </c>
      <c r="M338" s="17">
        <f t="shared" si="105"/>
        <v>0</v>
      </c>
      <c r="N338" s="17">
        <f>0</f>
        <v>0</v>
      </c>
      <c r="O338" s="17">
        <f t="shared" si="106"/>
        <v>4342.780573583108</v>
      </c>
      <c r="P338" s="17">
        <f t="shared" si="107"/>
        <v>0</v>
      </c>
      <c r="Q338" s="17">
        <f>IF(AND(O338&gt;0,I338&gt;0),O338/(1-'1 - Input'!$B$22*P338),0)</f>
        <v>0</v>
      </c>
      <c r="R338" s="17">
        <f t="shared" si="108"/>
        <v>0</v>
      </c>
      <c r="S338" s="17">
        <f>'1 - Input'!$B$22*P338*R338</f>
        <v>0</v>
      </c>
      <c r="T338" s="17">
        <f t="shared" si="109"/>
        <v>0</v>
      </c>
      <c r="U338" s="17">
        <f t="shared" si="110"/>
        <v>4342.780573583108</v>
      </c>
      <c r="V338" s="17">
        <f t="shared" si="111"/>
        <v>0</v>
      </c>
      <c r="W338" s="17">
        <f t="shared" si="112"/>
        <v>0</v>
      </c>
      <c r="X338" s="17">
        <f t="shared" si="113"/>
        <v>0</v>
      </c>
      <c r="Y338" s="17">
        <f>IF(MOD(A338,12)=0,W338*'1 - Input'!$B$23,0)</f>
        <v>0</v>
      </c>
      <c r="Z338" s="17">
        <f t="shared" si="114"/>
        <v>0</v>
      </c>
      <c r="AA338" s="17">
        <f>IF(MOD(A338,12)=0,X338*(1-'1 - Input'!$B$23),X338)</f>
        <v>0</v>
      </c>
      <c r="AB338" s="17">
        <f t="shared" si="115"/>
        <v>0</v>
      </c>
      <c r="AC338" s="17">
        <f t="shared" si="119"/>
        <v>676015.57770007267</v>
      </c>
      <c r="AD338" s="17">
        <f t="shared" si="120"/>
        <v>0</v>
      </c>
      <c r="AE338" s="17">
        <f t="shared" si="121"/>
        <v>69240.414874846756</v>
      </c>
      <c r="AF338" s="17">
        <f t="shared" si="122"/>
        <v>0</v>
      </c>
      <c r="AG338" s="17">
        <f t="shared" si="123"/>
        <v>10373.842685499292</v>
      </c>
      <c r="AH338" s="17">
        <f t="shared" si="124"/>
        <v>340052.23046487424</v>
      </c>
      <c r="AI338" s="15">
        <f t="shared" si="116"/>
        <v>1</v>
      </c>
    </row>
    <row r="339" spans="1:35">
      <c r="A339" s="14">
        <v>296</v>
      </c>
      <c r="B339" s="15">
        <f t="shared" si="100"/>
        <v>25</v>
      </c>
      <c r="C339" s="16">
        <f>(1+INDEX('1 - Input'!$B$34:$E$63,B339,'1 - Input'!$B$16))^(1/12)-1</f>
        <v>4.1219243192651689E-3</v>
      </c>
      <c r="D339" s="17">
        <f>'1 - Input'!$B$7*(1+'1 - Input'!$B$12)^(B339-1)</f>
        <v>4342.780573583108</v>
      </c>
      <c r="E339" s="17">
        <f t="shared" si="117"/>
        <v>0</v>
      </c>
      <c r="F339" s="17">
        <f t="shared" si="118"/>
        <v>0</v>
      </c>
      <c r="G339" s="17">
        <f t="shared" si="101"/>
        <v>0</v>
      </c>
      <c r="H339" s="17">
        <f>0</f>
        <v>0</v>
      </c>
      <c r="I339" s="17">
        <f t="shared" si="102"/>
        <v>0</v>
      </c>
      <c r="J339" s="17">
        <f t="shared" si="103"/>
        <v>0</v>
      </c>
      <c r="K339" s="17">
        <f>'1 - Input'!$B$22*(H339-J339)</f>
        <v>0</v>
      </c>
      <c r="L339" s="17">
        <f t="shared" si="104"/>
        <v>0</v>
      </c>
      <c r="M339" s="17">
        <f t="shared" si="105"/>
        <v>0</v>
      </c>
      <c r="N339" s="17">
        <f>0</f>
        <v>0</v>
      </c>
      <c r="O339" s="17">
        <f t="shared" si="106"/>
        <v>4342.780573583108</v>
      </c>
      <c r="P339" s="17">
        <f t="shared" si="107"/>
        <v>0</v>
      </c>
      <c r="Q339" s="17">
        <f>IF(AND(O339&gt;0,I339&gt;0),O339/(1-'1 - Input'!$B$22*P339),0)</f>
        <v>0</v>
      </c>
      <c r="R339" s="17">
        <f t="shared" si="108"/>
        <v>0</v>
      </c>
      <c r="S339" s="17">
        <f>'1 - Input'!$B$22*P339*R339</f>
        <v>0</v>
      </c>
      <c r="T339" s="17">
        <f t="shared" si="109"/>
        <v>0</v>
      </c>
      <c r="U339" s="17">
        <f t="shared" si="110"/>
        <v>4342.780573583108</v>
      </c>
      <c r="V339" s="17">
        <f t="shared" si="111"/>
        <v>0</v>
      </c>
      <c r="W339" s="17">
        <f t="shared" si="112"/>
        <v>0</v>
      </c>
      <c r="X339" s="17">
        <f t="shared" si="113"/>
        <v>0</v>
      </c>
      <c r="Y339" s="17">
        <f>IF(MOD(A339,12)=0,W339*'1 - Input'!$B$23,0)</f>
        <v>0</v>
      </c>
      <c r="Z339" s="17">
        <f t="shared" si="114"/>
        <v>0</v>
      </c>
      <c r="AA339" s="17">
        <f>IF(MOD(A339,12)=0,X339*(1-'1 - Input'!$B$23),X339)</f>
        <v>0</v>
      </c>
      <c r="AB339" s="17">
        <f t="shared" si="115"/>
        <v>0</v>
      </c>
      <c r="AC339" s="17">
        <f t="shared" si="119"/>
        <v>676015.57770007267</v>
      </c>
      <c r="AD339" s="17">
        <f t="shared" si="120"/>
        <v>0</v>
      </c>
      <c r="AE339" s="17">
        <f t="shared" si="121"/>
        <v>69240.414874846756</v>
      </c>
      <c r="AF339" s="17">
        <f t="shared" si="122"/>
        <v>0</v>
      </c>
      <c r="AG339" s="17">
        <f t="shared" si="123"/>
        <v>10373.842685499292</v>
      </c>
      <c r="AH339" s="17">
        <f t="shared" si="124"/>
        <v>344395.01103845733</v>
      </c>
      <c r="AI339" s="15">
        <f t="shared" si="116"/>
        <v>1</v>
      </c>
    </row>
    <row r="340" spans="1:35">
      <c r="A340" s="14">
        <v>297</v>
      </c>
      <c r="B340" s="15">
        <f t="shared" si="100"/>
        <v>25</v>
      </c>
      <c r="C340" s="16">
        <f>(1+INDEX('1 - Input'!$B$34:$E$63,B340,'1 - Input'!$B$16))^(1/12)-1</f>
        <v>4.1219243192651689E-3</v>
      </c>
      <c r="D340" s="17">
        <f>'1 - Input'!$B$7*(1+'1 - Input'!$B$12)^(B340-1)</f>
        <v>4342.780573583108</v>
      </c>
      <c r="E340" s="17">
        <f t="shared" si="117"/>
        <v>0</v>
      </c>
      <c r="F340" s="17">
        <f t="shared" si="118"/>
        <v>0</v>
      </c>
      <c r="G340" s="17">
        <f t="shared" si="101"/>
        <v>0</v>
      </c>
      <c r="H340" s="17">
        <f>0</f>
        <v>0</v>
      </c>
      <c r="I340" s="17">
        <f t="shared" si="102"/>
        <v>0</v>
      </c>
      <c r="J340" s="17">
        <f t="shared" si="103"/>
        <v>0</v>
      </c>
      <c r="K340" s="17">
        <f>'1 - Input'!$B$22*(H340-J340)</f>
        <v>0</v>
      </c>
      <c r="L340" s="17">
        <f t="shared" si="104"/>
        <v>0</v>
      </c>
      <c r="M340" s="17">
        <f t="shared" si="105"/>
        <v>0</v>
      </c>
      <c r="N340" s="17">
        <f>0</f>
        <v>0</v>
      </c>
      <c r="O340" s="17">
        <f t="shared" si="106"/>
        <v>4342.780573583108</v>
      </c>
      <c r="P340" s="17">
        <f t="shared" si="107"/>
        <v>0</v>
      </c>
      <c r="Q340" s="17">
        <f>IF(AND(O340&gt;0,I340&gt;0),O340/(1-'1 - Input'!$B$22*P340),0)</f>
        <v>0</v>
      </c>
      <c r="R340" s="17">
        <f t="shared" si="108"/>
        <v>0</v>
      </c>
      <c r="S340" s="17">
        <f>'1 - Input'!$B$22*P340*R340</f>
        <v>0</v>
      </c>
      <c r="T340" s="17">
        <f t="shared" si="109"/>
        <v>0</v>
      </c>
      <c r="U340" s="17">
        <f t="shared" si="110"/>
        <v>4342.780573583108</v>
      </c>
      <c r="V340" s="17">
        <f t="shared" si="111"/>
        <v>0</v>
      </c>
      <c r="W340" s="17">
        <f t="shared" si="112"/>
        <v>0</v>
      </c>
      <c r="X340" s="17">
        <f t="shared" si="113"/>
        <v>0</v>
      </c>
      <c r="Y340" s="17">
        <f>IF(MOD(A340,12)=0,W340*'1 - Input'!$B$23,0)</f>
        <v>0</v>
      </c>
      <c r="Z340" s="17">
        <f t="shared" si="114"/>
        <v>0</v>
      </c>
      <c r="AA340" s="17">
        <f>IF(MOD(A340,12)=0,X340*(1-'1 - Input'!$B$23),X340)</f>
        <v>0</v>
      </c>
      <c r="AB340" s="17">
        <f t="shared" si="115"/>
        <v>0</v>
      </c>
      <c r="AC340" s="17">
        <f t="shared" si="119"/>
        <v>676015.57770007267</v>
      </c>
      <c r="AD340" s="17">
        <f t="shared" si="120"/>
        <v>0</v>
      </c>
      <c r="AE340" s="17">
        <f t="shared" si="121"/>
        <v>69240.414874846756</v>
      </c>
      <c r="AF340" s="17">
        <f t="shared" si="122"/>
        <v>0</v>
      </c>
      <c r="AG340" s="17">
        <f t="shared" si="123"/>
        <v>10373.842685499292</v>
      </c>
      <c r="AH340" s="17">
        <f t="shared" si="124"/>
        <v>348737.79161204043</v>
      </c>
      <c r="AI340" s="15">
        <f t="shared" si="116"/>
        <v>1</v>
      </c>
    </row>
    <row r="341" spans="1:35">
      <c r="A341" s="14">
        <v>298</v>
      </c>
      <c r="B341" s="15">
        <f t="shared" si="100"/>
        <v>25</v>
      </c>
      <c r="C341" s="16">
        <f>(1+INDEX('1 - Input'!$B$34:$E$63,B341,'1 - Input'!$B$16))^(1/12)-1</f>
        <v>4.1219243192651689E-3</v>
      </c>
      <c r="D341" s="17">
        <f>'1 - Input'!$B$7*(1+'1 - Input'!$B$12)^(B341-1)</f>
        <v>4342.780573583108</v>
      </c>
      <c r="E341" s="17">
        <f t="shared" si="117"/>
        <v>0</v>
      </c>
      <c r="F341" s="17">
        <f t="shared" si="118"/>
        <v>0</v>
      </c>
      <c r="G341" s="17">
        <f t="shared" si="101"/>
        <v>0</v>
      </c>
      <c r="H341" s="17">
        <f>0</f>
        <v>0</v>
      </c>
      <c r="I341" s="17">
        <f t="shared" si="102"/>
        <v>0</v>
      </c>
      <c r="J341" s="17">
        <f t="shared" si="103"/>
        <v>0</v>
      </c>
      <c r="K341" s="17">
        <f>'1 - Input'!$B$22*(H341-J341)</f>
        <v>0</v>
      </c>
      <c r="L341" s="17">
        <f t="shared" si="104"/>
        <v>0</v>
      </c>
      <c r="M341" s="17">
        <f t="shared" si="105"/>
        <v>0</v>
      </c>
      <c r="N341" s="17">
        <f>0</f>
        <v>0</v>
      </c>
      <c r="O341" s="17">
        <f t="shared" si="106"/>
        <v>4342.780573583108</v>
      </c>
      <c r="P341" s="17">
        <f t="shared" si="107"/>
        <v>0</v>
      </c>
      <c r="Q341" s="17">
        <f>IF(AND(O341&gt;0,I341&gt;0),O341/(1-'1 - Input'!$B$22*P341),0)</f>
        <v>0</v>
      </c>
      <c r="R341" s="17">
        <f t="shared" si="108"/>
        <v>0</v>
      </c>
      <c r="S341" s="17">
        <f>'1 - Input'!$B$22*P341*R341</f>
        <v>0</v>
      </c>
      <c r="T341" s="17">
        <f t="shared" si="109"/>
        <v>0</v>
      </c>
      <c r="U341" s="17">
        <f t="shared" si="110"/>
        <v>4342.780573583108</v>
      </c>
      <c r="V341" s="17">
        <f t="shared" si="111"/>
        <v>0</v>
      </c>
      <c r="W341" s="17">
        <f t="shared" si="112"/>
        <v>0</v>
      </c>
      <c r="X341" s="17">
        <f t="shared" si="113"/>
        <v>0</v>
      </c>
      <c r="Y341" s="17">
        <f>IF(MOD(A341,12)=0,W341*'1 - Input'!$B$23,0)</f>
        <v>0</v>
      </c>
      <c r="Z341" s="17">
        <f t="shared" si="114"/>
        <v>0</v>
      </c>
      <c r="AA341" s="17">
        <f>IF(MOD(A341,12)=0,X341*(1-'1 - Input'!$B$23),X341)</f>
        <v>0</v>
      </c>
      <c r="AB341" s="17">
        <f t="shared" si="115"/>
        <v>0</v>
      </c>
      <c r="AC341" s="17">
        <f t="shared" si="119"/>
        <v>676015.57770007267</v>
      </c>
      <c r="AD341" s="17">
        <f t="shared" si="120"/>
        <v>0</v>
      </c>
      <c r="AE341" s="17">
        <f t="shared" si="121"/>
        <v>69240.414874846756</v>
      </c>
      <c r="AF341" s="17">
        <f t="shared" si="122"/>
        <v>0</v>
      </c>
      <c r="AG341" s="17">
        <f t="shared" si="123"/>
        <v>10373.842685499292</v>
      </c>
      <c r="AH341" s="17">
        <f t="shared" si="124"/>
        <v>353080.57218562352</v>
      </c>
      <c r="AI341" s="15">
        <f t="shared" si="116"/>
        <v>1</v>
      </c>
    </row>
    <row r="342" spans="1:35">
      <c r="A342" s="14">
        <v>299</v>
      </c>
      <c r="B342" s="15">
        <f t="shared" si="100"/>
        <v>25</v>
      </c>
      <c r="C342" s="16">
        <f>(1+INDEX('1 - Input'!$B$34:$E$63,B342,'1 - Input'!$B$16))^(1/12)-1</f>
        <v>4.1219243192651689E-3</v>
      </c>
      <c r="D342" s="17">
        <f>'1 - Input'!$B$7*(1+'1 - Input'!$B$12)^(B342-1)</f>
        <v>4342.780573583108</v>
      </c>
      <c r="E342" s="17">
        <f t="shared" si="117"/>
        <v>0</v>
      </c>
      <c r="F342" s="17">
        <f t="shared" si="118"/>
        <v>0</v>
      </c>
      <c r="G342" s="17">
        <f t="shared" si="101"/>
        <v>0</v>
      </c>
      <c r="H342" s="17">
        <f>0</f>
        <v>0</v>
      </c>
      <c r="I342" s="17">
        <f t="shared" si="102"/>
        <v>0</v>
      </c>
      <c r="J342" s="17">
        <f t="shared" si="103"/>
        <v>0</v>
      </c>
      <c r="K342" s="17">
        <f>'1 - Input'!$B$22*(H342-J342)</f>
        <v>0</v>
      </c>
      <c r="L342" s="17">
        <f t="shared" si="104"/>
        <v>0</v>
      </c>
      <c r="M342" s="17">
        <f t="shared" si="105"/>
        <v>0</v>
      </c>
      <c r="N342" s="17">
        <f>0</f>
        <v>0</v>
      </c>
      <c r="O342" s="17">
        <f t="shared" si="106"/>
        <v>4342.780573583108</v>
      </c>
      <c r="P342" s="17">
        <f t="shared" si="107"/>
        <v>0</v>
      </c>
      <c r="Q342" s="17">
        <f>IF(AND(O342&gt;0,I342&gt;0),O342/(1-'1 - Input'!$B$22*P342),0)</f>
        <v>0</v>
      </c>
      <c r="R342" s="17">
        <f t="shared" si="108"/>
        <v>0</v>
      </c>
      <c r="S342" s="17">
        <f>'1 - Input'!$B$22*P342*R342</f>
        <v>0</v>
      </c>
      <c r="T342" s="17">
        <f t="shared" si="109"/>
        <v>0</v>
      </c>
      <c r="U342" s="17">
        <f t="shared" si="110"/>
        <v>4342.780573583108</v>
      </c>
      <c r="V342" s="17">
        <f t="shared" si="111"/>
        <v>0</v>
      </c>
      <c r="W342" s="17">
        <f t="shared" si="112"/>
        <v>0</v>
      </c>
      <c r="X342" s="17">
        <f t="shared" si="113"/>
        <v>0</v>
      </c>
      <c r="Y342" s="17">
        <f>IF(MOD(A342,12)=0,W342*'1 - Input'!$B$23,0)</f>
        <v>0</v>
      </c>
      <c r="Z342" s="17">
        <f t="shared" si="114"/>
        <v>0</v>
      </c>
      <c r="AA342" s="17">
        <f>IF(MOD(A342,12)=0,X342*(1-'1 - Input'!$B$23),X342)</f>
        <v>0</v>
      </c>
      <c r="AB342" s="17">
        <f t="shared" si="115"/>
        <v>0</v>
      </c>
      <c r="AC342" s="17">
        <f t="shared" si="119"/>
        <v>676015.57770007267</v>
      </c>
      <c r="AD342" s="17">
        <f t="shared" si="120"/>
        <v>0</v>
      </c>
      <c r="AE342" s="17">
        <f t="shared" si="121"/>
        <v>69240.414874846756</v>
      </c>
      <c r="AF342" s="17">
        <f t="shared" si="122"/>
        <v>0</v>
      </c>
      <c r="AG342" s="17">
        <f t="shared" si="123"/>
        <v>10373.842685499292</v>
      </c>
      <c r="AH342" s="17">
        <f t="shared" si="124"/>
        <v>357423.35275920661</v>
      </c>
      <c r="AI342" s="15">
        <f t="shared" si="116"/>
        <v>1</v>
      </c>
    </row>
    <row r="343" spans="1:35">
      <c r="A343" s="14">
        <v>300</v>
      </c>
      <c r="B343" s="15">
        <f t="shared" si="100"/>
        <v>25</v>
      </c>
      <c r="C343" s="16">
        <f>(1+INDEX('1 - Input'!$B$34:$E$63,B343,'1 - Input'!$B$16))^(1/12)-1</f>
        <v>4.1219243192651689E-3</v>
      </c>
      <c r="D343" s="17">
        <f>'1 - Input'!$B$7*(1+'1 - Input'!$B$12)^(B343-1)</f>
        <v>4342.780573583108</v>
      </c>
      <c r="E343" s="17">
        <f t="shared" si="117"/>
        <v>0</v>
      </c>
      <c r="F343" s="17">
        <f t="shared" si="118"/>
        <v>0</v>
      </c>
      <c r="G343" s="17">
        <f t="shared" si="101"/>
        <v>0</v>
      </c>
      <c r="H343" s="17">
        <f>0</f>
        <v>0</v>
      </c>
      <c r="I343" s="17">
        <f t="shared" si="102"/>
        <v>0</v>
      </c>
      <c r="J343" s="17">
        <f t="shared" si="103"/>
        <v>0</v>
      </c>
      <c r="K343" s="17">
        <f>'1 - Input'!$B$22*(H343-J343)</f>
        <v>0</v>
      </c>
      <c r="L343" s="17">
        <f t="shared" si="104"/>
        <v>0</v>
      </c>
      <c r="M343" s="17">
        <f t="shared" si="105"/>
        <v>0</v>
      </c>
      <c r="N343" s="17">
        <f>0</f>
        <v>0</v>
      </c>
      <c r="O343" s="17">
        <f t="shared" si="106"/>
        <v>4342.780573583108</v>
      </c>
      <c r="P343" s="17">
        <f t="shared" si="107"/>
        <v>0</v>
      </c>
      <c r="Q343" s="17">
        <f>IF(AND(O343&gt;0,I343&gt;0),O343/(1-'1 - Input'!$B$22*P343),0)</f>
        <v>0</v>
      </c>
      <c r="R343" s="17">
        <f t="shared" si="108"/>
        <v>0</v>
      </c>
      <c r="S343" s="17">
        <f>'1 - Input'!$B$22*P343*R343</f>
        <v>0</v>
      </c>
      <c r="T343" s="17">
        <f t="shared" si="109"/>
        <v>0</v>
      </c>
      <c r="U343" s="17">
        <f t="shared" si="110"/>
        <v>4342.780573583108</v>
      </c>
      <c r="V343" s="17">
        <f t="shared" si="111"/>
        <v>0</v>
      </c>
      <c r="W343" s="17">
        <f t="shared" si="112"/>
        <v>0</v>
      </c>
      <c r="X343" s="17">
        <f t="shared" si="113"/>
        <v>0</v>
      </c>
      <c r="Y343" s="17">
        <f>IF(MOD(A343,12)=0,W343*'1 - Input'!$B$23,0)</f>
        <v>0</v>
      </c>
      <c r="Z343" s="17">
        <f t="shared" si="114"/>
        <v>0</v>
      </c>
      <c r="AA343" s="17">
        <f>IF(MOD(A343,12)=0,X343*(1-'1 - Input'!$B$23),X343)</f>
        <v>0</v>
      </c>
      <c r="AB343" s="17">
        <f t="shared" si="115"/>
        <v>0</v>
      </c>
      <c r="AC343" s="17">
        <f t="shared" si="119"/>
        <v>676015.57770007267</v>
      </c>
      <c r="AD343" s="17">
        <f t="shared" si="120"/>
        <v>0</v>
      </c>
      <c r="AE343" s="17">
        <f t="shared" si="121"/>
        <v>69240.414874846756</v>
      </c>
      <c r="AF343" s="17">
        <f t="shared" si="122"/>
        <v>0</v>
      </c>
      <c r="AG343" s="17">
        <f t="shared" si="123"/>
        <v>10373.842685499292</v>
      </c>
      <c r="AH343" s="17">
        <f t="shared" si="124"/>
        <v>361766.1333327897</v>
      </c>
      <c r="AI343" s="15">
        <f t="shared" si="116"/>
        <v>1</v>
      </c>
    </row>
    <row r="344" spans="1:35">
      <c r="A344" s="14">
        <v>301</v>
      </c>
      <c r="B344" s="15">
        <f t="shared" si="100"/>
        <v>26</v>
      </c>
      <c r="C344" s="16">
        <f>(1+INDEX('1 - Input'!$B$34:$E$63,B344,'1 - Input'!$B$16))^(1/12)-1</f>
        <v>4.1219243192651689E-3</v>
      </c>
      <c r="D344" s="17">
        <f>'1 - Input'!$B$7*(1+'1 - Input'!$B$12)^(B344-1)</f>
        <v>4429.6361850547701</v>
      </c>
      <c r="E344" s="17">
        <f t="shared" si="117"/>
        <v>0</v>
      </c>
      <c r="F344" s="17">
        <f t="shared" si="118"/>
        <v>0</v>
      </c>
      <c r="G344" s="17">
        <f t="shared" si="101"/>
        <v>0</v>
      </c>
      <c r="H344" s="17">
        <f>0</f>
        <v>0</v>
      </c>
      <c r="I344" s="17">
        <f t="shared" si="102"/>
        <v>0</v>
      </c>
      <c r="J344" s="17">
        <f t="shared" si="103"/>
        <v>0</v>
      </c>
      <c r="K344" s="17">
        <f>'1 - Input'!$B$22*(H344-J344)</f>
        <v>0</v>
      </c>
      <c r="L344" s="17">
        <f t="shared" si="104"/>
        <v>0</v>
      </c>
      <c r="M344" s="17">
        <f t="shared" si="105"/>
        <v>0</v>
      </c>
      <c r="N344" s="17">
        <f>0</f>
        <v>0</v>
      </c>
      <c r="O344" s="17">
        <f t="shared" si="106"/>
        <v>4429.6361850547701</v>
      </c>
      <c r="P344" s="17">
        <f t="shared" si="107"/>
        <v>0</v>
      </c>
      <c r="Q344" s="17">
        <f>IF(AND(O344&gt;0,I344&gt;0),O344/(1-'1 - Input'!$B$22*P344),0)</f>
        <v>0</v>
      </c>
      <c r="R344" s="17">
        <f t="shared" si="108"/>
        <v>0</v>
      </c>
      <c r="S344" s="17">
        <f>'1 - Input'!$B$22*P344*R344</f>
        <v>0</v>
      </c>
      <c r="T344" s="17">
        <f t="shared" si="109"/>
        <v>0</v>
      </c>
      <c r="U344" s="17">
        <f t="shared" si="110"/>
        <v>4429.6361850547701</v>
      </c>
      <c r="V344" s="17">
        <f t="shared" si="111"/>
        <v>0</v>
      </c>
      <c r="W344" s="17">
        <f t="shared" si="112"/>
        <v>0</v>
      </c>
      <c r="X344" s="17">
        <f t="shared" si="113"/>
        <v>0</v>
      </c>
      <c r="Y344" s="17">
        <f>IF(MOD(A344,12)=0,W344*'1 - Input'!$B$23,0)</f>
        <v>0</v>
      </c>
      <c r="Z344" s="17">
        <f t="shared" si="114"/>
        <v>0</v>
      </c>
      <c r="AA344" s="17">
        <f>IF(MOD(A344,12)=0,X344*(1-'1 - Input'!$B$23),X344)</f>
        <v>0</v>
      </c>
      <c r="AB344" s="17">
        <f t="shared" si="115"/>
        <v>0</v>
      </c>
      <c r="AC344" s="17">
        <f t="shared" si="119"/>
        <v>676015.57770007267</v>
      </c>
      <c r="AD344" s="17">
        <f t="shared" si="120"/>
        <v>0</v>
      </c>
      <c r="AE344" s="17">
        <f t="shared" si="121"/>
        <v>69240.414874846756</v>
      </c>
      <c r="AF344" s="17">
        <f t="shared" si="122"/>
        <v>0</v>
      </c>
      <c r="AG344" s="17">
        <f t="shared" si="123"/>
        <v>10373.842685499292</v>
      </c>
      <c r="AH344" s="17">
        <f t="shared" si="124"/>
        <v>366195.76951784448</v>
      </c>
      <c r="AI344" s="15">
        <f t="shared" si="116"/>
        <v>1</v>
      </c>
    </row>
    <row r="345" spans="1:35">
      <c r="A345" s="14">
        <v>302</v>
      </c>
      <c r="B345" s="15">
        <f t="shared" si="100"/>
        <v>26</v>
      </c>
      <c r="C345" s="16">
        <f>(1+INDEX('1 - Input'!$B$34:$E$63,B345,'1 - Input'!$B$16))^(1/12)-1</f>
        <v>4.1219243192651689E-3</v>
      </c>
      <c r="D345" s="17">
        <f>'1 - Input'!$B$7*(1+'1 - Input'!$B$12)^(B345-1)</f>
        <v>4429.6361850547701</v>
      </c>
      <c r="E345" s="17">
        <f t="shared" si="117"/>
        <v>0</v>
      </c>
      <c r="F345" s="17">
        <f t="shared" si="118"/>
        <v>0</v>
      </c>
      <c r="G345" s="17">
        <f t="shared" si="101"/>
        <v>0</v>
      </c>
      <c r="H345" s="17">
        <f>0</f>
        <v>0</v>
      </c>
      <c r="I345" s="17">
        <f t="shared" si="102"/>
        <v>0</v>
      </c>
      <c r="J345" s="17">
        <f t="shared" si="103"/>
        <v>0</v>
      </c>
      <c r="K345" s="17">
        <f>'1 - Input'!$B$22*(H345-J345)</f>
        <v>0</v>
      </c>
      <c r="L345" s="17">
        <f t="shared" si="104"/>
        <v>0</v>
      </c>
      <c r="M345" s="17">
        <f t="shared" si="105"/>
        <v>0</v>
      </c>
      <c r="N345" s="17">
        <f>0</f>
        <v>0</v>
      </c>
      <c r="O345" s="17">
        <f t="shared" si="106"/>
        <v>4429.6361850547701</v>
      </c>
      <c r="P345" s="17">
        <f t="shared" si="107"/>
        <v>0</v>
      </c>
      <c r="Q345" s="17">
        <f>IF(AND(O345&gt;0,I345&gt;0),O345/(1-'1 - Input'!$B$22*P345),0)</f>
        <v>0</v>
      </c>
      <c r="R345" s="17">
        <f t="shared" si="108"/>
        <v>0</v>
      </c>
      <c r="S345" s="17">
        <f>'1 - Input'!$B$22*P345*R345</f>
        <v>0</v>
      </c>
      <c r="T345" s="17">
        <f t="shared" si="109"/>
        <v>0</v>
      </c>
      <c r="U345" s="17">
        <f t="shared" si="110"/>
        <v>4429.6361850547701</v>
      </c>
      <c r="V345" s="17">
        <f t="shared" si="111"/>
        <v>0</v>
      </c>
      <c r="W345" s="17">
        <f t="shared" si="112"/>
        <v>0</v>
      </c>
      <c r="X345" s="17">
        <f t="shared" si="113"/>
        <v>0</v>
      </c>
      <c r="Y345" s="17">
        <f>IF(MOD(A345,12)=0,W345*'1 - Input'!$B$23,0)</f>
        <v>0</v>
      </c>
      <c r="Z345" s="17">
        <f t="shared" si="114"/>
        <v>0</v>
      </c>
      <c r="AA345" s="17">
        <f>IF(MOD(A345,12)=0,X345*(1-'1 - Input'!$B$23),X345)</f>
        <v>0</v>
      </c>
      <c r="AB345" s="17">
        <f t="shared" si="115"/>
        <v>0</v>
      </c>
      <c r="AC345" s="17">
        <f t="shared" si="119"/>
        <v>676015.57770007267</v>
      </c>
      <c r="AD345" s="17">
        <f t="shared" si="120"/>
        <v>0</v>
      </c>
      <c r="AE345" s="17">
        <f t="shared" si="121"/>
        <v>69240.414874846756</v>
      </c>
      <c r="AF345" s="17">
        <f t="shared" si="122"/>
        <v>0</v>
      </c>
      <c r="AG345" s="17">
        <f t="shared" si="123"/>
        <v>10373.842685499292</v>
      </c>
      <c r="AH345" s="17">
        <f t="shared" si="124"/>
        <v>370625.40570289927</v>
      </c>
      <c r="AI345" s="15">
        <f t="shared" si="116"/>
        <v>1</v>
      </c>
    </row>
    <row r="346" spans="1:35">
      <c r="A346" s="14">
        <v>303</v>
      </c>
      <c r="B346" s="15">
        <f t="shared" si="100"/>
        <v>26</v>
      </c>
      <c r="C346" s="16">
        <f>(1+INDEX('1 - Input'!$B$34:$E$63,B346,'1 - Input'!$B$16))^(1/12)-1</f>
        <v>4.1219243192651689E-3</v>
      </c>
      <c r="D346" s="17">
        <f>'1 - Input'!$B$7*(1+'1 - Input'!$B$12)^(B346-1)</f>
        <v>4429.6361850547701</v>
      </c>
      <c r="E346" s="17">
        <f t="shared" si="117"/>
        <v>0</v>
      </c>
      <c r="F346" s="17">
        <f t="shared" si="118"/>
        <v>0</v>
      </c>
      <c r="G346" s="17">
        <f t="shared" si="101"/>
        <v>0</v>
      </c>
      <c r="H346" s="17">
        <f>0</f>
        <v>0</v>
      </c>
      <c r="I346" s="17">
        <f t="shared" si="102"/>
        <v>0</v>
      </c>
      <c r="J346" s="17">
        <f t="shared" si="103"/>
        <v>0</v>
      </c>
      <c r="K346" s="17">
        <f>'1 - Input'!$B$22*(H346-J346)</f>
        <v>0</v>
      </c>
      <c r="L346" s="17">
        <f t="shared" si="104"/>
        <v>0</v>
      </c>
      <c r="M346" s="17">
        <f t="shared" si="105"/>
        <v>0</v>
      </c>
      <c r="N346" s="17">
        <f>0</f>
        <v>0</v>
      </c>
      <c r="O346" s="17">
        <f t="shared" si="106"/>
        <v>4429.6361850547701</v>
      </c>
      <c r="P346" s="17">
        <f t="shared" si="107"/>
        <v>0</v>
      </c>
      <c r="Q346" s="17">
        <f>IF(AND(O346&gt;0,I346&gt;0),O346/(1-'1 - Input'!$B$22*P346),0)</f>
        <v>0</v>
      </c>
      <c r="R346" s="17">
        <f t="shared" si="108"/>
        <v>0</v>
      </c>
      <c r="S346" s="17">
        <f>'1 - Input'!$B$22*P346*R346</f>
        <v>0</v>
      </c>
      <c r="T346" s="17">
        <f t="shared" si="109"/>
        <v>0</v>
      </c>
      <c r="U346" s="17">
        <f t="shared" si="110"/>
        <v>4429.6361850547701</v>
      </c>
      <c r="V346" s="17">
        <f t="shared" si="111"/>
        <v>0</v>
      </c>
      <c r="W346" s="17">
        <f t="shared" si="112"/>
        <v>0</v>
      </c>
      <c r="X346" s="17">
        <f t="shared" si="113"/>
        <v>0</v>
      </c>
      <c r="Y346" s="17">
        <f>IF(MOD(A346,12)=0,W346*'1 - Input'!$B$23,0)</f>
        <v>0</v>
      </c>
      <c r="Z346" s="17">
        <f t="shared" si="114"/>
        <v>0</v>
      </c>
      <c r="AA346" s="17">
        <f>IF(MOD(A346,12)=0,X346*(1-'1 - Input'!$B$23),X346)</f>
        <v>0</v>
      </c>
      <c r="AB346" s="17">
        <f t="shared" si="115"/>
        <v>0</v>
      </c>
      <c r="AC346" s="17">
        <f t="shared" si="119"/>
        <v>676015.57770007267</v>
      </c>
      <c r="AD346" s="17">
        <f t="shared" si="120"/>
        <v>0</v>
      </c>
      <c r="AE346" s="17">
        <f t="shared" si="121"/>
        <v>69240.414874846756</v>
      </c>
      <c r="AF346" s="17">
        <f t="shared" si="122"/>
        <v>0</v>
      </c>
      <c r="AG346" s="17">
        <f t="shared" si="123"/>
        <v>10373.842685499292</v>
      </c>
      <c r="AH346" s="17">
        <f t="shared" si="124"/>
        <v>375055.04188795405</v>
      </c>
      <c r="AI346" s="15">
        <f t="shared" si="116"/>
        <v>1</v>
      </c>
    </row>
    <row r="347" spans="1:35">
      <c r="A347" s="14">
        <v>304</v>
      </c>
      <c r="B347" s="15">
        <f t="shared" si="100"/>
        <v>26</v>
      </c>
      <c r="C347" s="16">
        <f>(1+INDEX('1 - Input'!$B$34:$E$63,B347,'1 - Input'!$B$16))^(1/12)-1</f>
        <v>4.1219243192651689E-3</v>
      </c>
      <c r="D347" s="17">
        <f>'1 - Input'!$B$7*(1+'1 - Input'!$B$12)^(B347-1)</f>
        <v>4429.6361850547701</v>
      </c>
      <c r="E347" s="17">
        <f t="shared" si="117"/>
        <v>0</v>
      </c>
      <c r="F347" s="17">
        <f t="shared" si="118"/>
        <v>0</v>
      </c>
      <c r="G347" s="17">
        <f t="shared" si="101"/>
        <v>0</v>
      </c>
      <c r="H347" s="17">
        <f>0</f>
        <v>0</v>
      </c>
      <c r="I347" s="17">
        <f t="shared" si="102"/>
        <v>0</v>
      </c>
      <c r="J347" s="17">
        <f t="shared" si="103"/>
        <v>0</v>
      </c>
      <c r="K347" s="17">
        <f>'1 - Input'!$B$22*(H347-J347)</f>
        <v>0</v>
      </c>
      <c r="L347" s="17">
        <f t="shared" si="104"/>
        <v>0</v>
      </c>
      <c r="M347" s="17">
        <f t="shared" si="105"/>
        <v>0</v>
      </c>
      <c r="N347" s="17">
        <f>0</f>
        <v>0</v>
      </c>
      <c r="O347" s="17">
        <f t="shared" si="106"/>
        <v>4429.6361850547701</v>
      </c>
      <c r="P347" s="17">
        <f t="shared" si="107"/>
        <v>0</v>
      </c>
      <c r="Q347" s="17">
        <f>IF(AND(O347&gt;0,I347&gt;0),O347/(1-'1 - Input'!$B$22*P347),0)</f>
        <v>0</v>
      </c>
      <c r="R347" s="17">
        <f t="shared" si="108"/>
        <v>0</v>
      </c>
      <c r="S347" s="17">
        <f>'1 - Input'!$B$22*P347*R347</f>
        <v>0</v>
      </c>
      <c r="T347" s="17">
        <f t="shared" si="109"/>
        <v>0</v>
      </c>
      <c r="U347" s="17">
        <f t="shared" si="110"/>
        <v>4429.6361850547701</v>
      </c>
      <c r="V347" s="17">
        <f t="shared" si="111"/>
        <v>0</v>
      </c>
      <c r="W347" s="17">
        <f t="shared" si="112"/>
        <v>0</v>
      </c>
      <c r="X347" s="17">
        <f t="shared" si="113"/>
        <v>0</v>
      </c>
      <c r="Y347" s="17">
        <f>IF(MOD(A347,12)=0,W347*'1 - Input'!$B$23,0)</f>
        <v>0</v>
      </c>
      <c r="Z347" s="17">
        <f t="shared" si="114"/>
        <v>0</v>
      </c>
      <c r="AA347" s="17">
        <f>IF(MOD(A347,12)=0,X347*(1-'1 - Input'!$B$23),X347)</f>
        <v>0</v>
      </c>
      <c r="AB347" s="17">
        <f t="shared" si="115"/>
        <v>0</v>
      </c>
      <c r="AC347" s="17">
        <f t="shared" si="119"/>
        <v>676015.57770007267</v>
      </c>
      <c r="AD347" s="17">
        <f t="shared" si="120"/>
        <v>0</v>
      </c>
      <c r="AE347" s="17">
        <f t="shared" si="121"/>
        <v>69240.414874846756</v>
      </c>
      <c r="AF347" s="17">
        <f t="shared" si="122"/>
        <v>0</v>
      </c>
      <c r="AG347" s="17">
        <f t="shared" si="123"/>
        <v>10373.842685499292</v>
      </c>
      <c r="AH347" s="17">
        <f t="shared" si="124"/>
        <v>379484.67807300884</v>
      </c>
      <c r="AI347" s="15">
        <f t="shared" si="116"/>
        <v>1</v>
      </c>
    </row>
    <row r="348" spans="1:35">
      <c r="A348" s="14">
        <v>305</v>
      </c>
      <c r="B348" s="15">
        <f t="shared" si="100"/>
        <v>26</v>
      </c>
      <c r="C348" s="16">
        <f>(1+INDEX('1 - Input'!$B$34:$E$63,B348,'1 - Input'!$B$16))^(1/12)-1</f>
        <v>4.1219243192651689E-3</v>
      </c>
      <c r="D348" s="17">
        <f>'1 - Input'!$B$7*(1+'1 - Input'!$B$12)^(B348-1)</f>
        <v>4429.6361850547701</v>
      </c>
      <c r="E348" s="17">
        <f t="shared" si="117"/>
        <v>0</v>
      </c>
      <c r="F348" s="17">
        <f t="shared" si="118"/>
        <v>0</v>
      </c>
      <c r="G348" s="17">
        <f t="shared" si="101"/>
        <v>0</v>
      </c>
      <c r="H348" s="17">
        <f>0</f>
        <v>0</v>
      </c>
      <c r="I348" s="17">
        <f t="shared" si="102"/>
        <v>0</v>
      </c>
      <c r="J348" s="17">
        <f t="shared" si="103"/>
        <v>0</v>
      </c>
      <c r="K348" s="17">
        <f>'1 - Input'!$B$22*(H348-J348)</f>
        <v>0</v>
      </c>
      <c r="L348" s="17">
        <f t="shared" si="104"/>
        <v>0</v>
      </c>
      <c r="M348" s="17">
        <f t="shared" si="105"/>
        <v>0</v>
      </c>
      <c r="N348" s="17">
        <f>0</f>
        <v>0</v>
      </c>
      <c r="O348" s="17">
        <f t="shared" si="106"/>
        <v>4429.6361850547701</v>
      </c>
      <c r="P348" s="17">
        <f t="shared" si="107"/>
        <v>0</v>
      </c>
      <c r="Q348" s="17">
        <f>IF(AND(O348&gt;0,I348&gt;0),O348/(1-'1 - Input'!$B$22*P348),0)</f>
        <v>0</v>
      </c>
      <c r="R348" s="17">
        <f t="shared" si="108"/>
        <v>0</v>
      </c>
      <c r="S348" s="17">
        <f>'1 - Input'!$B$22*P348*R348</f>
        <v>0</v>
      </c>
      <c r="T348" s="17">
        <f t="shared" si="109"/>
        <v>0</v>
      </c>
      <c r="U348" s="17">
        <f t="shared" si="110"/>
        <v>4429.6361850547701</v>
      </c>
      <c r="V348" s="17">
        <f t="shared" si="111"/>
        <v>0</v>
      </c>
      <c r="W348" s="17">
        <f t="shared" si="112"/>
        <v>0</v>
      </c>
      <c r="X348" s="17">
        <f t="shared" si="113"/>
        <v>0</v>
      </c>
      <c r="Y348" s="17">
        <f>IF(MOD(A348,12)=0,W348*'1 - Input'!$B$23,0)</f>
        <v>0</v>
      </c>
      <c r="Z348" s="17">
        <f t="shared" si="114"/>
        <v>0</v>
      </c>
      <c r="AA348" s="17">
        <f>IF(MOD(A348,12)=0,X348*(1-'1 - Input'!$B$23),X348)</f>
        <v>0</v>
      </c>
      <c r="AB348" s="17">
        <f t="shared" si="115"/>
        <v>0</v>
      </c>
      <c r="AC348" s="17">
        <f t="shared" si="119"/>
        <v>676015.57770007267</v>
      </c>
      <c r="AD348" s="17">
        <f t="shared" si="120"/>
        <v>0</v>
      </c>
      <c r="AE348" s="17">
        <f t="shared" si="121"/>
        <v>69240.414874846756</v>
      </c>
      <c r="AF348" s="17">
        <f t="shared" si="122"/>
        <v>0</v>
      </c>
      <c r="AG348" s="17">
        <f t="shared" si="123"/>
        <v>10373.842685499292</v>
      </c>
      <c r="AH348" s="17">
        <f t="shared" si="124"/>
        <v>383914.31425806362</v>
      </c>
      <c r="AI348" s="15">
        <f t="shared" si="116"/>
        <v>1</v>
      </c>
    </row>
    <row r="349" spans="1:35">
      <c r="A349" s="14">
        <v>306</v>
      </c>
      <c r="B349" s="15">
        <f t="shared" si="100"/>
        <v>26</v>
      </c>
      <c r="C349" s="16">
        <f>(1+INDEX('1 - Input'!$B$34:$E$63,B349,'1 - Input'!$B$16))^(1/12)-1</f>
        <v>4.1219243192651689E-3</v>
      </c>
      <c r="D349" s="17">
        <f>'1 - Input'!$B$7*(1+'1 - Input'!$B$12)^(B349-1)</f>
        <v>4429.6361850547701</v>
      </c>
      <c r="E349" s="17">
        <f t="shared" si="117"/>
        <v>0</v>
      </c>
      <c r="F349" s="17">
        <f t="shared" si="118"/>
        <v>0</v>
      </c>
      <c r="G349" s="17">
        <f t="shared" si="101"/>
        <v>0</v>
      </c>
      <c r="H349" s="17">
        <f>0</f>
        <v>0</v>
      </c>
      <c r="I349" s="17">
        <f t="shared" si="102"/>
        <v>0</v>
      </c>
      <c r="J349" s="17">
        <f t="shared" si="103"/>
        <v>0</v>
      </c>
      <c r="K349" s="17">
        <f>'1 - Input'!$B$22*(H349-J349)</f>
        <v>0</v>
      </c>
      <c r="L349" s="17">
        <f t="shared" si="104"/>
        <v>0</v>
      </c>
      <c r="M349" s="17">
        <f t="shared" si="105"/>
        <v>0</v>
      </c>
      <c r="N349" s="17">
        <f>0</f>
        <v>0</v>
      </c>
      <c r="O349" s="17">
        <f t="shared" si="106"/>
        <v>4429.6361850547701</v>
      </c>
      <c r="P349" s="17">
        <f t="shared" si="107"/>
        <v>0</v>
      </c>
      <c r="Q349" s="17">
        <f>IF(AND(O349&gt;0,I349&gt;0),O349/(1-'1 - Input'!$B$22*P349),0)</f>
        <v>0</v>
      </c>
      <c r="R349" s="17">
        <f t="shared" si="108"/>
        <v>0</v>
      </c>
      <c r="S349" s="17">
        <f>'1 - Input'!$B$22*P349*R349</f>
        <v>0</v>
      </c>
      <c r="T349" s="17">
        <f t="shared" si="109"/>
        <v>0</v>
      </c>
      <c r="U349" s="17">
        <f t="shared" si="110"/>
        <v>4429.6361850547701</v>
      </c>
      <c r="V349" s="17">
        <f t="shared" si="111"/>
        <v>0</v>
      </c>
      <c r="W349" s="17">
        <f t="shared" si="112"/>
        <v>0</v>
      </c>
      <c r="X349" s="17">
        <f t="shared" si="113"/>
        <v>0</v>
      </c>
      <c r="Y349" s="17">
        <f>IF(MOD(A349,12)=0,W349*'1 - Input'!$B$23,0)</f>
        <v>0</v>
      </c>
      <c r="Z349" s="17">
        <f t="shared" si="114"/>
        <v>0</v>
      </c>
      <c r="AA349" s="17">
        <f>IF(MOD(A349,12)=0,X349*(1-'1 - Input'!$B$23),X349)</f>
        <v>0</v>
      </c>
      <c r="AB349" s="17">
        <f t="shared" si="115"/>
        <v>0</v>
      </c>
      <c r="AC349" s="17">
        <f t="shared" si="119"/>
        <v>676015.57770007267</v>
      </c>
      <c r="AD349" s="17">
        <f t="shared" si="120"/>
        <v>0</v>
      </c>
      <c r="AE349" s="17">
        <f t="shared" si="121"/>
        <v>69240.414874846756</v>
      </c>
      <c r="AF349" s="17">
        <f t="shared" si="122"/>
        <v>0</v>
      </c>
      <c r="AG349" s="17">
        <f t="shared" si="123"/>
        <v>10373.842685499292</v>
      </c>
      <c r="AH349" s="17">
        <f t="shared" si="124"/>
        <v>388343.9504431184</v>
      </c>
      <c r="AI349" s="15">
        <f t="shared" si="116"/>
        <v>1</v>
      </c>
    </row>
    <row r="350" spans="1:35">
      <c r="A350" s="14">
        <v>307</v>
      </c>
      <c r="B350" s="15">
        <f t="shared" si="100"/>
        <v>26</v>
      </c>
      <c r="C350" s="16">
        <f>(1+INDEX('1 - Input'!$B$34:$E$63,B350,'1 - Input'!$B$16))^(1/12)-1</f>
        <v>4.1219243192651689E-3</v>
      </c>
      <c r="D350" s="17">
        <f>'1 - Input'!$B$7*(1+'1 - Input'!$B$12)^(B350-1)</f>
        <v>4429.6361850547701</v>
      </c>
      <c r="E350" s="17">
        <f t="shared" si="117"/>
        <v>0</v>
      </c>
      <c r="F350" s="17">
        <f t="shared" si="118"/>
        <v>0</v>
      </c>
      <c r="G350" s="17">
        <f t="shared" si="101"/>
        <v>0</v>
      </c>
      <c r="H350" s="17">
        <f>0</f>
        <v>0</v>
      </c>
      <c r="I350" s="17">
        <f t="shared" si="102"/>
        <v>0</v>
      </c>
      <c r="J350" s="17">
        <f t="shared" si="103"/>
        <v>0</v>
      </c>
      <c r="K350" s="17">
        <f>'1 - Input'!$B$22*(H350-J350)</f>
        <v>0</v>
      </c>
      <c r="L350" s="17">
        <f t="shared" si="104"/>
        <v>0</v>
      </c>
      <c r="M350" s="17">
        <f t="shared" si="105"/>
        <v>0</v>
      </c>
      <c r="N350" s="17">
        <f>0</f>
        <v>0</v>
      </c>
      <c r="O350" s="17">
        <f t="shared" si="106"/>
        <v>4429.6361850547701</v>
      </c>
      <c r="P350" s="17">
        <f t="shared" si="107"/>
        <v>0</v>
      </c>
      <c r="Q350" s="17">
        <f>IF(AND(O350&gt;0,I350&gt;0),O350/(1-'1 - Input'!$B$22*P350),0)</f>
        <v>0</v>
      </c>
      <c r="R350" s="17">
        <f t="shared" si="108"/>
        <v>0</v>
      </c>
      <c r="S350" s="17">
        <f>'1 - Input'!$B$22*P350*R350</f>
        <v>0</v>
      </c>
      <c r="T350" s="17">
        <f t="shared" si="109"/>
        <v>0</v>
      </c>
      <c r="U350" s="17">
        <f t="shared" si="110"/>
        <v>4429.6361850547701</v>
      </c>
      <c r="V350" s="17">
        <f t="shared" si="111"/>
        <v>0</v>
      </c>
      <c r="W350" s="17">
        <f t="shared" si="112"/>
        <v>0</v>
      </c>
      <c r="X350" s="17">
        <f t="shared" si="113"/>
        <v>0</v>
      </c>
      <c r="Y350" s="17">
        <f>IF(MOD(A350,12)=0,W350*'1 - Input'!$B$23,0)</f>
        <v>0</v>
      </c>
      <c r="Z350" s="17">
        <f t="shared" si="114"/>
        <v>0</v>
      </c>
      <c r="AA350" s="17">
        <f>IF(MOD(A350,12)=0,X350*(1-'1 - Input'!$B$23),X350)</f>
        <v>0</v>
      </c>
      <c r="AB350" s="17">
        <f t="shared" si="115"/>
        <v>0</v>
      </c>
      <c r="AC350" s="17">
        <f t="shared" si="119"/>
        <v>676015.57770007267</v>
      </c>
      <c r="AD350" s="17">
        <f t="shared" si="120"/>
        <v>0</v>
      </c>
      <c r="AE350" s="17">
        <f t="shared" si="121"/>
        <v>69240.414874846756</v>
      </c>
      <c r="AF350" s="17">
        <f t="shared" si="122"/>
        <v>0</v>
      </c>
      <c r="AG350" s="17">
        <f t="shared" si="123"/>
        <v>10373.842685499292</v>
      </c>
      <c r="AH350" s="17">
        <f t="shared" si="124"/>
        <v>392773.58662817319</v>
      </c>
      <c r="AI350" s="15">
        <f t="shared" si="116"/>
        <v>1</v>
      </c>
    </row>
    <row r="351" spans="1:35">
      <c r="A351" s="14">
        <v>308</v>
      </c>
      <c r="B351" s="15">
        <f t="shared" si="100"/>
        <v>26</v>
      </c>
      <c r="C351" s="16">
        <f>(1+INDEX('1 - Input'!$B$34:$E$63,B351,'1 - Input'!$B$16))^(1/12)-1</f>
        <v>4.1219243192651689E-3</v>
      </c>
      <c r="D351" s="17">
        <f>'1 - Input'!$B$7*(1+'1 - Input'!$B$12)^(B351-1)</f>
        <v>4429.6361850547701</v>
      </c>
      <c r="E351" s="17">
        <f t="shared" si="117"/>
        <v>0</v>
      </c>
      <c r="F351" s="17">
        <f t="shared" si="118"/>
        <v>0</v>
      </c>
      <c r="G351" s="17">
        <f t="shared" si="101"/>
        <v>0</v>
      </c>
      <c r="H351" s="17">
        <f>0</f>
        <v>0</v>
      </c>
      <c r="I351" s="17">
        <f t="shared" si="102"/>
        <v>0</v>
      </c>
      <c r="J351" s="17">
        <f t="shared" si="103"/>
        <v>0</v>
      </c>
      <c r="K351" s="17">
        <f>'1 - Input'!$B$22*(H351-J351)</f>
        <v>0</v>
      </c>
      <c r="L351" s="17">
        <f t="shared" si="104"/>
        <v>0</v>
      </c>
      <c r="M351" s="17">
        <f t="shared" si="105"/>
        <v>0</v>
      </c>
      <c r="N351" s="17">
        <f>0</f>
        <v>0</v>
      </c>
      <c r="O351" s="17">
        <f t="shared" si="106"/>
        <v>4429.6361850547701</v>
      </c>
      <c r="P351" s="17">
        <f t="shared" si="107"/>
        <v>0</v>
      </c>
      <c r="Q351" s="17">
        <f>IF(AND(O351&gt;0,I351&gt;0),O351/(1-'1 - Input'!$B$22*P351),0)</f>
        <v>0</v>
      </c>
      <c r="R351" s="17">
        <f t="shared" si="108"/>
        <v>0</v>
      </c>
      <c r="S351" s="17">
        <f>'1 - Input'!$B$22*P351*R351</f>
        <v>0</v>
      </c>
      <c r="T351" s="17">
        <f t="shared" si="109"/>
        <v>0</v>
      </c>
      <c r="U351" s="17">
        <f t="shared" si="110"/>
        <v>4429.6361850547701</v>
      </c>
      <c r="V351" s="17">
        <f t="shared" si="111"/>
        <v>0</v>
      </c>
      <c r="W351" s="17">
        <f t="shared" si="112"/>
        <v>0</v>
      </c>
      <c r="X351" s="17">
        <f t="shared" si="113"/>
        <v>0</v>
      </c>
      <c r="Y351" s="17">
        <f>IF(MOD(A351,12)=0,W351*'1 - Input'!$B$23,0)</f>
        <v>0</v>
      </c>
      <c r="Z351" s="17">
        <f t="shared" si="114"/>
        <v>0</v>
      </c>
      <c r="AA351" s="17">
        <f>IF(MOD(A351,12)=0,X351*(1-'1 - Input'!$B$23),X351)</f>
        <v>0</v>
      </c>
      <c r="AB351" s="17">
        <f t="shared" si="115"/>
        <v>0</v>
      </c>
      <c r="AC351" s="17">
        <f t="shared" si="119"/>
        <v>676015.57770007267</v>
      </c>
      <c r="AD351" s="17">
        <f t="shared" si="120"/>
        <v>0</v>
      </c>
      <c r="AE351" s="17">
        <f t="shared" si="121"/>
        <v>69240.414874846756</v>
      </c>
      <c r="AF351" s="17">
        <f t="shared" si="122"/>
        <v>0</v>
      </c>
      <c r="AG351" s="17">
        <f t="shared" si="123"/>
        <v>10373.842685499292</v>
      </c>
      <c r="AH351" s="17">
        <f t="shared" si="124"/>
        <v>397203.22281322797</v>
      </c>
      <c r="AI351" s="15">
        <f t="shared" si="116"/>
        <v>1</v>
      </c>
    </row>
    <row r="352" spans="1:35">
      <c r="A352" s="14">
        <v>309</v>
      </c>
      <c r="B352" s="15">
        <f t="shared" si="100"/>
        <v>26</v>
      </c>
      <c r="C352" s="16">
        <f>(1+INDEX('1 - Input'!$B$34:$E$63,B352,'1 - Input'!$B$16))^(1/12)-1</f>
        <v>4.1219243192651689E-3</v>
      </c>
      <c r="D352" s="17">
        <f>'1 - Input'!$B$7*(1+'1 - Input'!$B$12)^(B352-1)</f>
        <v>4429.6361850547701</v>
      </c>
      <c r="E352" s="17">
        <f t="shared" si="117"/>
        <v>0</v>
      </c>
      <c r="F352" s="17">
        <f t="shared" si="118"/>
        <v>0</v>
      </c>
      <c r="G352" s="17">
        <f t="shared" si="101"/>
        <v>0</v>
      </c>
      <c r="H352" s="17">
        <f>0</f>
        <v>0</v>
      </c>
      <c r="I352" s="17">
        <f t="shared" si="102"/>
        <v>0</v>
      </c>
      <c r="J352" s="17">
        <f t="shared" si="103"/>
        <v>0</v>
      </c>
      <c r="K352" s="17">
        <f>'1 - Input'!$B$22*(H352-J352)</f>
        <v>0</v>
      </c>
      <c r="L352" s="17">
        <f t="shared" si="104"/>
        <v>0</v>
      </c>
      <c r="M352" s="17">
        <f t="shared" si="105"/>
        <v>0</v>
      </c>
      <c r="N352" s="17">
        <f>0</f>
        <v>0</v>
      </c>
      <c r="O352" s="17">
        <f t="shared" si="106"/>
        <v>4429.6361850547701</v>
      </c>
      <c r="P352" s="17">
        <f t="shared" si="107"/>
        <v>0</v>
      </c>
      <c r="Q352" s="17">
        <f>IF(AND(O352&gt;0,I352&gt;0),O352/(1-'1 - Input'!$B$22*P352),0)</f>
        <v>0</v>
      </c>
      <c r="R352" s="17">
        <f t="shared" si="108"/>
        <v>0</v>
      </c>
      <c r="S352" s="17">
        <f>'1 - Input'!$B$22*P352*R352</f>
        <v>0</v>
      </c>
      <c r="T352" s="17">
        <f t="shared" si="109"/>
        <v>0</v>
      </c>
      <c r="U352" s="17">
        <f t="shared" si="110"/>
        <v>4429.6361850547701</v>
      </c>
      <c r="V352" s="17">
        <f t="shared" si="111"/>
        <v>0</v>
      </c>
      <c r="W352" s="17">
        <f t="shared" si="112"/>
        <v>0</v>
      </c>
      <c r="X352" s="17">
        <f t="shared" si="113"/>
        <v>0</v>
      </c>
      <c r="Y352" s="17">
        <f>IF(MOD(A352,12)=0,W352*'1 - Input'!$B$23,0)</f>
        <v>0</v>
      </c>
      <c r="Z352" s="17">
        <f t="shared" si="114"/>
        <v>0</v>
      </c>
      <c r="AA352" s="17">
        <f>IF(MOD(A352,12)=0,X352*(1-'1 - Input'!$B$23),X352)</f>
        <v>0</v>
      </c>
      <c r="AB352" s="17">
        <f t="shared" si="115"/>
        <v>0</v>
      </c>
      <c r="AC352" s="17">
        <f t="shared" si="119"/>
        <v>676015.57770007267</v>
      </c>
      <c r="AD352" s="17">
        <f t="shared" si="120"/>
        <v>0</v>
      </c>
      <c r="AE352" s="17">
        <f t="shared" si="121"/>
        <v>69240.414874846756</v>
      </c>
      <c r="AF352" s="17">
        <f t="shared" si="122"/>
        <v>0</v>
      </c>
      <c r="AG352" s="17">
        <f t="shared" si="123"/>
        <v>10373.842685499292</v>
      </c>
      <c r="AH352" s="17">
        <f t="shared" si="124"/>
        <v>401632.85899828275</v>
      </c>
      <c r="AI352" s="15">
        <f t="shared" si="116"/>
        <v>1</v>
      </c>
    </row>
    <row r="353" spans="1:35">
      <c r="A353" s="14">
        <v>310</v>
      </c>
      <c r="B353" s="15">
        <f t="shared" si="100"/>
        <v>26</v>
      </c>
      <c r="C353" s="16">
        <f>(1+INDEX('1 - Input'!$B$34:$E$63,B353,'1 - Input'!$B$16))^(1/12)-1</f>
        <v>4.1219243192651689E-3</v>
      </c>
      <c r="D353" s="17">
        <f>'1 - Input'!$B$7*(1+'1 - Input'!$B$12)^(B353-1)</f>
        <v>4429.6361850547701</v>
      </c>
      <c r="E353" s="17">
        <f t="shared" si="117"/>
        <v>0</v>
      </c>
      <c r="F353" s="17">
        <f t="shared" si="118"/>
        <v>0</v>
      </c>
      <c r="G353" s="17">
        <f t="shared" si="101"/>
        <v>0</v>
      </c>
      <c r="H353" s="17">
        <f>0</f>
        <v>0</v>
      </c>
      <c r="I353" s="17">
        <f t="shared" si="102"/>
        <v>0</v>
      </c>
      <c r="J353" s="17">
        <f t="shared" si="103"/>
        <v>0</v>
      </c>
      <c r="K353" s="17">
        <f>'1 - Input'!$B$22*(H353-J353)</f>
        <v>0</v>
      </c>
      <c r="L353" s="17">
        <f t="shared" si="104"/>
        <v>0</v>
      </c>
      <c r="M353" s="17">
        <f t="shared" si="105"/>
        <v>0</v>
      </c>
      <c r="N353" s="17">
        <f>0</f>
        <v>0</v>
      </c>
      <c r="O353" s="17">
        <f t="shared" si="106"/>
        <v>4429.6361850547701</v>
      </c>
      <c r="P353" s="17">
        <f t="shared" si="107"/>
        <v>0</v>
      </c>
      <c r="Q353" s="17">
        <f>IF(AND(O353&gt;0,I353&gt;0),O353/(1-'1 - Input'!$B$22*P353),0)</f>
        <v>0</v>
      </c>
      <c r="R353" s="17">
        <f t="shared" si="108"/>
        <v>0</v>
      </c>
      <c r="S353" s="17">
        <f>'1 - Input'!$B$22*P353*R353</f>
        <v>0</v>
      </c>
      <c r="T353" s="17">
        <f t="shared" si="109"/>
        <v>0</v>
      </c>
      <c r="U353" s="17">
        <f t="shared" si="110"/>
        <v>4429.6361850547701</v>
      </c>
      <c r="V353" s="17">
        <f t="shared" si="111"/>
        <v>0</v>
      </c>
      <c r="W353" s="17">
        <f t="shared" si="112"/>
        <v>0</v>
      </c>
      <c r="X353" s="17">
        <f t="shared" si="113"/>
        <v>0</v>
      </c>
      <c r="Y353" s="17">
        <f>IF(MOD(A353,12)=0,W353*'1 - Input'!$B$23,0)</f>
        <v>0</v>
      </c>
      <c r="Z353" s="17">
        <f t="shared" si="114"/>
        <v>0</v>
      </c>
      <c r="AA353" s="17">
        <f>IF(MOD(A353,12)=0,X353*(1-'1 - Input'!$B$23),X353)</f>
        <v>0</v>
      </c>
      <c r="AB353" s="17">
        <f t="shared" si="115"/>
        <v>0</v>
      </c>
      <c r="AC353" s="17">
        <f t="shared" si="119"/>
        <v>676015.57770007267</v>
      </c>
      <c r="AD353" s="17">
        <f t="shared" si="120"/>
        <v>0</v>
      </c>
      <c r="AE353" s="17">
        <f t="shared" si="121"/>
        <v>69240.414874846756</v>
      </c>
      <c r="AF353" s="17">
        <f t="shared" si="122"/>
        <v>0</v>
      </c>
      <c r="AG353" s="17">
        <f t="shared" si="123"/>
        <v>10373.842685499292</v>
      </c>
      <c r="AH353" s="17">
        <f t="shared" si="124"/>
        <v>406062.49518333754</v>
      </c>
      <c r="AI353" s="15">
        <f t="shared" si="116"/>
        <v>1</v>
      </c>
    </row>
    <row r="354" spans="1:35">
      <c r="A354" s="14">
        <v>311</v>
      </c>
      <c r="B354" s="15">
        <f t="shared" si="100"/>
        <v>26</v>
      </c>
      <c r="C354" s="16">
        <f>(1+INDEX('1 - Input'!$B$34:$E$63,B354,'1 - Input'!$B$16))^(1/12)-1</f>
        <v>4.1219243192651689E-3</v>
      </c>
      <c r="D354" s="17">
        <f>'1 - Input'!$B$7*(1+'1 - Input'!$B$12)^(B354-1)</f>
        <v>4429.6361850547701</v>
      </c>
      <c r="E354" s="17">
        <f t="shared" si="117"/>
        <v>0</v>
      </c>
      <c r="F354" s="17">
        <f t="shared" si="118"/>
        <v>0</v>
      </c>
      <c r="G354" s="17">
        <f t="shared" si="101"/>
        <v>0</v>
      </c>
      <c r="H354" s="17">
        <f>0</f>
        <v>0</v>
      </c>
      <c r="I354" s="17">
        <f t="shared" si="102"/>
        <v>0</v>
      </c>
      <c r="J354" s="17">
        <f t="shared" si="103"/>
        <v>0</v>
      </c>
      <c r="K354" s="17">
        <f>'1 - Input'!$B$22*(H354-J354)</f>
        <v>0</v>
      </c>
      <c r="L354" s="17">
        <f t="shared" si="104"/>
        <v>0</v>
      </c>
      <c r="M354" s="17">
        <f t="shared" si="105"/>
        <v>0</v>
      </c>
      <c r="N354" s="17">
        <f>0</f>
        <v>0</v>
      </c>
      <c r="O354" s="17">
        <f t="shared" si="106"/>
        <v>4429.6361850547701</v>
      </c>
      <c r="P354" s="17">
        <f t="shared" si="107"/>
        <v>0</v>
      </c>
      <c r="Q354" s="17">
        <f>IF(AND(O354&gt;0,I354&gt;0),O354/(1-'1 - Input'!$B$22*P354),0)</f>
        <v>0</v>
      </c>
      <c r="R354" s="17">
        <f t="shared" si="108"/>
        <v>0</v>
      </c>
      <c r="S354" s="17">
        <f>'1 - Input'!$B$22*P354*R354</f>
        <v>0</v>
      </c>
      <c r="T354" s="17">
        <f t="shared" si="109"/>
        <v>0</v>
      </c>
      <c r="U354" s="17">
        <f t="shared" si="110"/>
        <v>4429.6361850547701</v>
      </c>
      <c r="V354" s="17">
        <f t="shared" si="111"/>
        <v>0</v>
      </c>
      <c r="W354" s="17">
        <f t="shared" si="112"/>
        <v>0</v>
      </c>
      <c r="X354" s="17">
        <f t="shared" si="113"/>
        <v>0</v>
      </c>
      <c r="Y354" s="17">
        <f>IF(MOD(A354,12)=0,W354*'1 - Input'!$B$23,0)</f>
        <v>0</v>
      </c>
      <c r="Z354" s="17">
        <f t="shared" si="114"/>
        <v>0</v>
      </c>
      <c r="AA354" s="17">
        <f>IF(MOD(A354,12)=0,X354*(1-'1 - Input'!$B$23),X354)</f>
        <v>0</v>
      </c>
      <c r="AB354" s="17">
        <f t="shared" si="115"/>
        <v>0</v>
      </c>
      <c r="AC354" s="17">
        <f t="shared" si="119"/>
        <v>676015.57770007267</v>
      </c>
      <c r="AD354" s="17">
        <f t="shared" si="120"/>
        <v>0</v>
      </c>
      <c r="AE354" s="17">
        <f t="shared" si="121"/>
        <v>69240.414874846756</v>
      </c>
      <c r="AF354" s="17">
        <f t="shared" si="122"/>
        <v>0</v>
      </c>
      <c r="AG354" s="17">
        <f t="shared" si="123"/>
        <v>10373.842685499292</v>
      </c>
      <c r="AH354" s="17">
        <f t="shared" si="124"/>
        <v>410492.13136839232</v>
      </c>
      <c r="AI354" s="15">
        <f t="shared" si="116"/>
        <v>1</v>
      </c>
    </row>
    <row r="355" spans="1:35">
      <c r="A355" s="14">
        <v>312</v>
      </c>
      <c r="B355" s="15">
        <f t="shared" si="100"/>
        <v>26</v>
      </c>
      <c r="C355" s="16">
        <f>(1+INDEX('1 - Input'!$B$34:$E$63,B355,'1 - Input'!$B$16))^(1/12)-1</f>
        <v>4.1219243192651689E-3</v>
      </c>
      <c r="D355" s="17">
        <f>'1 - Input'!$B$7*(1+'1 - Input'!$B$12)^(B355-1)</f>
        <v>4429.6361850547701</v>
      </c>
      <c r="E355" s="17">
        <f t="shared" si="117"/>
        <v>0</v>
      </c>
      <c r="F355" s="17">
        <f t="shared" si="118"/>
        <v>0</v>
      </c>
      <c r="G355" s="17">
        <f t="shared" si="101"/>
        <v>0</v>
      </c>
      <c r="H355" s="17">
        <f>0</f>
        <v>0</v>
      </c>
      <c r="I355" s="17">
        <f t="shared" si="102"/>
        <v>0</v>
      </c>
      <c r="J355" s="17">
        <f t="shared" si="103"/>
        <v>0</v>
      </c>
      <c r="K355" s="17">
        <f>'1 - Input'!$B$22*(H355-J355)</f>
        <v>0</v>
      </c>
      <c r="L355" s="17">
        <f t="shared" si="104"/>
        <v>0</v>
      </c>
      <c r="M355" s="17">
        <f t="shared" si="105"/>
        <v>0</v>
      </c>
      <c r="N355" s="17">
        <f>0</f>
        <v>0</v>
      </c>
      <c r="O355" s="17">
        <f t="shared" si="106"/>
        <v>4429.6361850547701</v>
      </c>
      <c r="P355" s="17">
        <f t="shared" si="107"/>
        <v>0</v>
      </c>
      <c r="Q355" s="17">
        <f>IF(AND(O355&gt;0,I355&gt;0),O355/(1-'1 - Input'!$B$22*P355),0)</f>
        <v>0</v>
      </c>
      <c r="R355" s="17">
        <f t="shared" si="108"/>
        <v>0</v>
      </c>
      <c r="S355" s="17">
        <f>'1 - Input'!$B$22*P355*R355</f>
        <v>0</v>
      </c>
      <c r="T355" s="17">
        <f t="shared" si="109"/>
        <v>0</v>
      </c>
      <c r="U355" s="17">
        <f t="shared" si="110"/>
        <v>4429.6361850547701</v>
      </c>
      <c r="V355" s="17">
        <f t="shared" si="111"/>
        <v>0</v>
      </c>
      <c r="W355" s="17">
        <f t="shared" si="112"/>
        <v>0</v>
      </c>
      <c r="X355" s="17">
        <f t="shared" si="113"/>
        <v>0</v>
      </c>
      <c r="Y355" s="17">
        <f>IF(MOD(A355,12)=0,W355*'1 - Input'!$B$23,0)</f>
        <v>0</v>
      </c>
      <c r="Z355" s="17">
        <f t="shared" si="114"/>
        <v>0</v>
      </c>
      <c r="AA355" s="17">
        <f>IF(MOD(A355,12)=0,X355*(1-'1 - Input'!$B$23),X355)</f>
        <v>0</v>
      </c>
      <c r="AB355" s="17">
        <f t="shared" si="115"/>
        <v>0</v>
      </c>
      <c r="AC355" s="17">
        <f t="shared" si="119"/>
        <v>676015.57770007267</v>
      </c>
      <c r="AD355" s="17">
        <f t="shared" si="120"/>
        <v>0</v>
      </c>
      <c r="AE355" s="17">
        <f t="shared" si="121"/>
        <v>69240.414874846756</v>
      </c>
      <c r="AF355" s="17">
        <f t="shared" si="122"/>
        <v>0</v>
      </c>
      <c r="AG355" s="17">
        <f t="shared" si="123"/>
        <v>10373.842685499292</v>
      </c>
      <c r="AH355" s="17">
        <f t="shared" si="124"/>
        <v>414921.76755344711</v>
      </c>
      <c r="AI355" s="15">
        <f t="shared" si="116"/>
        <v>1</v>
      </c>
    </row>
    <row r="356" spans="1:35">
      <c r="A356" s="14">
        <v>313</v>
      </c>
      <c r="B356" s="15">
        <f t="shared" si="100"/>
        <v>27</v>
      </c>
      <c r="C356" s="16">
        <f>(1+INDEX('1 - Input'!$B$34:$E$63,B356,'1 - Input'!$B$16))^(1/12)-1</f>
        <v>4.1219243192651689E-3</v>
      </c>
      <c r="D356" s="17">
        <f>'1 - Input'!$B$7*(1+'1 - Input'!$B$12)^(B356-1)</f>
        <v>4518.2289087558656</v>
      </c>
      <c r="E356" s="17">
        <f t="shared" si="117"/>
        <v>0</v>
      </c>
      <c r="F356" s="17">
        <f t="shared" si="118"/>
        <v>0</v>
      </c>
      <c r="G356" s="17">
        <f t="shared" si="101"/>
        <v>0</v>
      </c>
      <c r="H356" s="17">
        <f>0</f>
        <v>0</v>
      </c>
      <c r="I356" s="17">
        <f t="shared" si="102"/>
        <v>0</v>
      </c>
      <c r="J356" s="17">
        <f t="shared" si="103"/>
        <v>0</v>
      </c>
      <c r="K356" s="17">
        <f>'1 - Input'!$B$22*(H356-J356)</f>
        <v>0</v>
      </c>
      <c r="L356" s="17">
        <f t="shared" si="104"/>
        <v>0</v>
      </c>
      <c r="M356" s="17">
        <f t="shared" si="105"/>
        <v>0</v>
      </c>
      <c r="N356" s="17">
        <f>0</f>
        <v>0</v>
      </c>
      <c r="O356" s="17">
        <f t="shared" si="106"/>
        <v>4518.2289087558656</v>
      </c>
      <c r="P356" s="17">
        <f t="shared" si="107"/>
        <v>0</v>
      </c>
      <c r="Q356" s="17">
        <f>IF(AND(O356&gt;0,I356&gt;0),O356/(1-'1 - Input'!$B$22*P356),0)</f>
        <v>0</v>
      </c>
      <c r="R356" s="17">
        <f t="shared" si="108"/>
        <v>0</v>
      </c>
      <c r="S356" s="17">
        <f>'1 - Input'!$B$22*P356*R356</f>
        <v>0</v>
      </c>
      <c r="T356" s="17">
        <f t="shared" si="109"/>
        <v>0</v>
      </c>
      <c r="U356" s="17">
        <f t="shared" si="110"/>
        <v>4518.2289087558656</v>
      </c>
      <c r="V356" s="17">
        <f t="shared" si="111"/>
        <v>0</v>
      </c>
      <c r="W356" s="17">
        <f t="shared" si="112"/>
        <v>0</v>
      </c>
      <c r="X356" s="17">
        <f t="shared" si="113"/>
        <v>0</v>
      </c>
      <c r="Y356" s="17">
        <f>IF(MOD(A356,12)=0,W356*'1 - Input'!$B$23,0)</f>
        <v>0</v>
      </c>
      <c r="Z356" s="17">
        <f t="shared" si="114"/>
        <v>0</v>
      </c>
      <c r="AA356" s="17">
        <f>IF(MOD(A356,12)=0,X356*(1-'1 - Input'!$B$23),X356)</f>
        <v>0</v>
      </c>
      <c r="AB356" s="17">
        <f t="shared" si="115"/>
        <v>0</v>
      </c>
      <c r="AC356" s="17">
        <f t="shared" si="119"/>
        <v>676015.57770007267</v>
      </c>
      <c r="AD356" s="17">
        <f t="shared" si="120"/>
        <v>0</v>
      </c>
      <c r="AE356" s="17">
        <f t="shared" si="121"/>
        <v>69240.414874846756</v>
      </c>
      <c r="AF356" s="17">
        <f t="shared" si="122"/>
        <v>0</v>
      </c>
      <c r="AG356" s="17">
        <f t="shared" si="123"/>
        <v>10373.842685499292</v>
      </c>
      <c r="AH356" s="17">
        <f t="shared" si="124"/>
        <v>419439.99646220298</v>
      </c>
      <c r="AI356" s="15">
        <f t="shared" si="116"/>
        <v>1</v>
      </c>
    </row>
    <row r="357" spans="1:35">
      <c r="A357" s="14">
        <v>314</v>
      </c>
      <c r="B357" s="15">
        <f t="shared" si="100"/>
        <v>27</v>
      </c>
      <c r="C357" s="16">
        <f>(1+INDEX('1 - Input'!$B$34:$E$63,B357,'1 - Input'!$B$16))^(1/12)-1</f>
        <v>4.1219243192651689E-3</v>
      </c>
      <c r="D357" s="17">
        <f>'1 - Input'!$B$7*(1+'1 - Input'!$B$12)^(B357-1)</f>
        <v>4518.2289087558656</v>
      </c>
      <c r="E357" s="17">
        <f t="shared" si="117"/>
        <v>0</v>
      </c>
      <c r="F357" s="17">
        <f t="shared" si="118"/>
        <v>0</v>
      </c>
      <c r="G357" s="17">
        <f t="shared" si="101"/>
        <v>0</v>
      </c>
      <c r="H357" s="17">
        <f>0</f>
        <v>0</v>
      </c>
      <c r="I357" s="17">
        <f t="shared" si="102"/>
        <v>0</v>
      </c>
      <c r="J357" s="17">
        <f t="shared" si="103"/>
        <v>0</v>
      </c>
      <c r="K357" s="17">
        <f>'1 - Input'!$B$22*(H357-J357)</f>
        <v>0</v>
      </c>
      <c r="L357" s="17">
        <f t="shared" si="104"/>
        <v>0</v>
      </c>
      <c r="M357" s="17">
        <f t="shared" si="105"/>
        <v>0</v>
      </c>
      <c r="N357" s="17">
        <f>0</f>
        <v>0</v>
      </c>
      <c r="O357" s="17">
        <f t="shared" si="106"/>
        <v>4518.2289087558656</v>
      </c>
      <c r="P357" s="17">
        <f t="shared" si="107"/>
        <v>0</v>
      </c>
      <c r="Q357" s="17">
        <f>IF(AND(O357&gt;0,I357&gt;0),O357/(1-'1 - Input'!$B$22*P357),0)</f>
        <v>0</v>
      </c>
      <c r="R357" s="17">
        <f t="shared" si="108"/>
        <v>0</v>
      </c>
      <c r="S357" s="17">
        <f>'1 - Input'!$B$22*P357*R357</f>
        <v>0</v>
      </c>
      <c r="T357" s="17">
        <f t="shared" si="109"/>
        <v>0</v>
      </c>
      <c r="U357" s="17">
        <f t="shared" si="110"/>
        <v>4518.2289087558656</v>
      </c>
      <c r="V357" s="17">
        <f t="shared" si="111"/>
        <v>0</v>
      </c>
      <c r="W357" s="17">
        <f t="shared" si="112"/>
        <v>0</v>
      </c>
      <c r="X357" s="17">
        <f t="shared" si="113"/>
        <v>0</v>
      </c>
      <c r="Y357" s="17">
        <f>IF(MOD(A357,12)=0,W357*'1 - Input'!$B$23,0)</f>
        <v>0</v>
      </c>
      <c r="Z357" s="17">
        <f t="shared" si="114"/>
        <v>0</v>
      </c>
      <c r="AA357" s="17">
        <f>IF(MOD(A357,12)=0,X357*(1-'1 - Input'!$B$23),X357)</f>
        <v>0</v>
      </c>
      <c r="AB357" s="17">
        <f t="shared" si="115"/>
        <v>0</v>
      </c>
      <c r="AC357" s="17">
        <f t="shared" si="119"/>
        <v>676015.57770007267</v>
      </c>
      <c r="AD357" s="17">
        <f t="shared" si="120"/>
        <v>0</v>
      </c>
      <c r="AE357" s="17">
        <f t="shared" si="121"/>
        <v>69240.414874846756</v>
      </c>
      <c r="AF357" s="17">
        <f t="shared" si="122"/>
        <v>0</v>
      </c>
      <c r="AG357" s="17">
        <f t="shared" si="123"/>
        <v>10373.842685499292</v>
      </c>
      <c r="AH357" s="17">
        <f t="shared" si="124"/>
        <v>423958.22537095885</v>
      </c>
      <c r="AI357" s="15">
        <f t="shared" si="116"/>
        <v>1</v>
      </c>
    </row>
    <row r="358" spans="1:35">
      <c r="A358" s="14">
        <v>315</v>
      </c>
      <c r="B358" s="15">
        <f t="shared" si="100"/>
        <v>27</v>
      </c>
      <c r="C358" s="16">
        <f>(1+INDEX('1 - Input'!$B$34:$E$63,B358,'1 - Input'!$B$16))^(1/12)-1</f>
        <v>4.1219243192651689E-3</v>
      </c>
      <c r="D358" s="17">
        <f>'1 - Input'!$B$7*(1+'1 - Input'!$B$12)^(B358-1)</f>
        <v>4518.2289087558656</v>
      </c>
      <c r="E358" s="17">
        <f t="shared" si="117"/>
        <v>0</v>
      </c>
      <c r="F358" s="17">
        <f t="shared" si="118"/>
        <v>0</v>
      </c>
      <c r="G358" s="17">
        <f t="shared" si="101"/>
        <v>0</v>
      </c>
      <c r="H358" s="17">
        <f>0</f>
        <v>0</v>
      </c>
      <c r="I358" s="17">
        <f t="shared" si="102"/>
        <v>0</v>
      </c>
      <c r="J358" s="17">
        <f t="shared" si="103"/>
        <v>0</v>
      </c>
      <c r="K358" s="17">
        <f>'1 - Input'!$B$22*(H358-J358)</f>
        <v>0</v>
      </c>
      <c r="L358" s="17">
        <f t="shared" si="104"/>
        <v>0</v>
      </c>
      <c r="M358" s="17">
        <f t="shared" si="105"/>
        <v>0</v>
      </c>
      <c r="N358" s="17">
        <f>0</f>
        <v>0</v>
      </c>
      <c r="O358" s="17">
        <f t="shared" si="106"/>
        <v>4518.2289087558656</v>
      </c>
      <c r="P358" s="17">
        <f t="shared" si="107"/>
        <v>0</v>
      </c>
      <c r="Q358" s="17">
        <f>IF(AND(O358&gt;0,I358&gt;0),O358/(1-'1 - Input'!$B$22*P358),0)</f>
        <v>0</v>
      </c>
      <c r="R358" s="17">
        <f t="shared" si="108"/>
        <v>0</v>
      </c>
      <c r="S358" s="17">
        <f>'1 - Input'!$B$22*P358*R358</f>
        <v>0</v>
      </c>
      <c r="T358" s="17">
        <f t="shared" si="109"/>
        <v>0</v>
      </c>
      <c r="U358" s="17">
        <f t="shared" si="110"/>
        <v>4518.2289087558656</v>
      </c>
      <c r="V358" s="17">
        <f t="shared" si="111"/>
        <v>0</v>
      </c>
      <c r="W358" s="17">
        <f t="shared" si="112"/>
        <v>0</v>
      </c>
      <c r="X358" s="17">
        <f t="shared" si="113"/>
        <v>0</v>
      </c>
      <c r="Y358" s="17">
        <f>IF(MOD(A358,12)=0,W358*'1 - Input'!$B$23,0)</f>
        <v>0</v>
      </c>
      <c r="Z358" s="17">
        <f t="shared" si="114"/>
        <v>0</v>
      </c>
      <c r="AA358" s="17">
        <f>IF(MOD(A358,12)=0,X358*(1-'1 - Input'!$B$23),X358)</f>
        <v>0</v>
      </c>
      <c r="AB358" s="17">
        <f t="shared" si="115"/>
        <v>0</v>
      </c>
      <c r="AC358" s="17">
        <f t="shared" si="119"/>
        <v>676015.57770007267</v>
      </c>
      <c r="AD358" s="17">
        <f t="shared" si="120"/>
        <v>0</v>
      </c>
      <c r="AE358" s="17">
        <f t="shared" si="121"/>
        <v>69240.414874846756</v>
      </c>
      <c r="AF358" s="17">
        <f t="shared" si="122"/>
        <v>0</v>
      </c>
      <c r="AG358" s="17">
        <f t="shared" si="123"/>
        <v>10373.842685499292</v>
      </c>
      <c r="AH358" s="17">
        <f t="shared" si="124"/>
        <v>428476.45427971473</v>
      </c>
      <c r="AI358" s="15">
        <f t="shared" si="116"/>
        <v>1</v>
      </c>
    </row>
    <row r="359" spans="1:35">
      <c r="A359" s="14">
        <v>316</v>
      </c>
      <c r="B359" s="15">
        <f t="shared" si="100"/>
        <v>27</v>
      </c>
      <c r="C359" s="16">
        <f>(1+INDEX('1 - Input'!$B$34:$E$63,B359,'1 - Input'!$B$16))^(1/12)-1</f>
        <v>4.1219243192651689E-3</v>
      </c>
      <c r="D359" s="17">
        <f>'1 - Input'!$B$7*(1+'1 - Input'!$B$12)^(B359-1)</f>
        <v>4518.2289087558656</v>
      </c>
      <c r="E359" s="17">
        <f t="shared" si="117"/>
        <v>0</v>
      </c>
      <c r="F359" s="17">
        <f t="shared" si="118"/>
        <v>0</v>
      </c>
      <c r="G359" s="17">
        <f t="shared" si="101"/>
        <v>0</v>
      </c>
      <c r="H359" s="17">
        <f>0</f>
        <v>0</v>
      </c>
      <c r="I359" s="17">
        <f t="shared" si="102"/>
        <v>0</v>
      </c>
      <c r="J359" s="17">
        <f t="shared" si="103"/>
        <v>0</v>
      </c>
      <c r="K359" s="17">
        <f>'1 - Input'!$B$22*(H359-J359)</f>
        <v>0</v>
      </c>
      <c r="L359" s="17">
        <f t="shared" si="104"/>
        <v>0</v>
      </c>
      <c r="M359" s="17">
        <f t="shared" si="105"/>
        <v>0</v>
      </c>
      <c r="N359" s="17">
        <f>0</f>
        <v>0</v>
      </c>
      <c r="O359" s="17">
        <f t="shared" si="106"/>
        <v>4518.2289087558656</v>
      </c>
      <c r="P359" s="17">
        <f t="shared" si="107"/>
        <v>0</v>
      </c>
      <c r="Q359" s="17">
        <f>IF(AND(O359&gt;0,I359&gt;0),O359/(1-'1 - Input'!$B$22*P359),0)</f>
        <v>0</v>
      </c>
      <c r="R359" s="17">
        <f t="shared" si="108"/>
        <v>0</v>
      </c>
      <c r="S359" s="17">
        <f>'1 - Input'!$B$22*P359*R359</f>
        <v>0</v>
      </c>
      <c r="T359" s="17">
        <f t="shared" si="109"/>
        <v>0</v>
      </c>
      <c r="U359" s="17">
        <f t="shared" si="110"/>
        <v>4518.2289087558656</v>
      </c>
      <c r="V359" s="17">
        <f t="shared" si="111"/>
        <v>0</v>
      </c>
      <c r="W359" s="17">
        <f t="shared" si="112"/>
        <v>0</v>
      </c>
      <c r="X359" s="17">
        <f t="shared" si="113"/>
        <v>0</v>
      </c>
      <c r="Y359" s="17">
        <f>IF(MOD(A359,12)=0,W359*'1 - Input'!$B$23,0)</f>
        <v>0</v>
      </c>
      <c r="Z359" s="17">
        <f t="shared" si="114"/>
        <v>0</v>
      </c>
      <c r="AA359" s="17">
        <f>IF(MOD(A359,12)=0,X359*(1-'1 - Input'!$B$23),X359)</f>
        <v>0</v>
      </c>
      <c r="AB359" s="17">
        <f t="shared" si="115"/>
        <v>0</v>
      </c>
      <c r="AC359" s="17">
        <f t="shared" si="119"/>
        <v>676015.57770007267</v>
      </c>
      <c r="AD359" s="17">
        <f t="shared" si="120"/>
        <v>0</v>
      </c>
      <c r="AE359" s="17">
        <f t="shared" si="121"/>
        <v>69240.414874846756</v>
      </c>
      <c r="AF359" s="17">
        <f t="shared" si="122"/>
        <v>0</v>
      </c>
      <c r="AG359" s="17">
        <f t="shared" si="123"/>
        <v>10373.842685499292</v>
      </c>
      <c r="AH359" s="17">
        <f t="shared" si="124"/>
        <v>432994.6831884706</v>
      </c>
      <c r="AI359" s="15">
        <f t="shared" si="116"/>
        <v>1</v>
      </c>
    </row>
    <row r="360" spans="1:35">
      <c r="A360" s="14">
        <v>317</v>
      </c>
      <c r="B360" s="15">
        <f t="shared" si="100"/>
        <v>27</v>
      </c>
      <c r="C360" s="16">
        <f>(1+INDEX('1 - Input'!$B$34:$E$63,B360,'1 - Input'!$B$16))^(1/12)-1</f>
        <v>4.1219243192651689E-3</v>
      </c>
      <c r="D360" s="17">
        <f>'1 - Input'!$B$7*(1+'1 - Input'!$B$12)^(B360-1)</f>
        <v>4518.2289087558656</v>
      </c>
      <c r="E360" s="17">
        <f t="shared" si="117"/>
        <v>0</v>
      </c>
      <c r="F360" s="17">
        <f t="shared" si="118"/>
        <v>0</v>
      </c>
      <c r="G360" s="17">
        <f t="shared" si="101"/>
        <v>0</v>
      </c>
      <c r="H360" s="17">
        <f>0</f>
        <v>0</v>
      </c>
      <c r="I360" s="17">
        <f t="shared" si="102"/>
        <v>0</v>
      </c>
      <c r="J360" s="17">
        <f t="shared" si="103"/>
        <v>0</v>
      </c>
      <c r="K360" s="17">
        <f>'1 - Input'!$B$22*(H360-J360)</f>
        <v>0</v>
      </c>
      <c r="L360" s="17">
        <f t="shared" si="104"/>
        <v>0</v>
      </c>
      <c r="M360" s="17">
        <f t="shared" si="105"/>
        <v>0</v>
      </c>
      <c r="N360" s="17">
        <f>0</f>
        <v>0</v>
      </c>
      <c r="O360" s="17">
        <f t="shared" si="106"/>
        <v>4518.2289087558656</v>
      </c>
      <c r="P360" s="17">
        <f t="shared" si="107"/>
        <v>0</v>
      </c>
      <c r="Q360" s="17">
        <f>IF(AND(O360&gt;0,I360&gt;0),O360/(1-'1 - Input'!$B$22*P360),0)</f>
        <v>0</v>
      </c>
      <c r="R360" s="17">
        <f t="shared" si="108"/>
        <v>0</v>
      </c>
      <c r="S360" s="17">
        <f>'1 - Input'!$B$22*P360*R360</f>
        <v>0</v>
      </c>
      <c r="T360" s="17">
        <f t="shared" si="109"/>
        <v>0</v>
      </c>
      <c r="U360" s="17">
        <f t="shared" si="110"/>
        <v>4518.2289087558656</v>
      </c>
      <c r="V360" s="17">
        <f t="shared" si="111"/>
        <v>0</v>
      </c>
      <c r="W360" s="17">
        <f t="shared" si="112"/>
        <v>0</v>
      </c>
      <c r="X360" s="17">
        <f t="shared" si="113"/>
        <v>0</v>
      </c>
      <c r="Y360" s="17">
        <f>IF(MOD(A360,12)=0,W360*'1 - Input'!$B$23,0)</f>
        <v>0</v>
      </c>
      <c r="Z360" s="17">
        <f t="shared" si="114"/>
        <v>0</v>
      </c>
      <c r="AA360" s="17">
        <f>IF(MOD(A360,12)=0,X360*(1-'1 - Input'!$B$23),X360)</f>
        <v>0</v>
      </c>
      <c r="AB360" s="17">
        <f t="shared" si="115"/>
        <v>0</v>
      </c>
      <c r="AC360" s="17">
        <f t="shared" si="119"/>
        <v>676015.57770007267</v>
      </c>
      <c r="AD360" s="17">
        <f t="shared" si="120"/>
        <v>0</v>
      </c>
      <c r="AE360" s="17">
        <f t="shared" si="121"/>
        <v>69240.414874846756</v>
      </c>
      <c r="AF360" s="17">
        <f t="shared" si="122"/>
        <v>0</v>
      </c>
      <c r="AG360" s="17">
        <f t="shared" si="123"/>
        <v>10373.842685499292</v>
      </c>
      <c r="AH360" s="17">
        <f t="shared" si="124"/>
        <v>437512.91209722648</v>
      </c>
      <c r="AI360" s="15">
        <f t="shared" si="116"/>
        <v>1</v>
      </c>
    </row>
    <row r="361" spans="1:35">
      <c r="A361" s="14">
        <v>318</v>
      </c>
      <c r="B361" s="15">
        <f t="shared" si="100"/>
        <v>27</v>
      </c>
      <c r="C361" s="16">
        <f>(1+INDEX('1 - Input'!$B$34:$E$63,B361,'1 - Input'!$B$16))^(1/12)-1</f>
        <v>4.1219243192651689E-3</v>
      </c>
      <c r="D361" s="17">
        <f>'1 - Input'!$B$7*(1+'1 - Input'!$B$12)^(B361-1)</f>
        <v>4518.2289087558656</v>
      </c>
      <c r="E361" s="17">
        <f t="shared" si="117"/>
        <v>0</v>
      </c>
      <c r="F361" s="17">
        <f t="shared" si="118"/>
        <v>0</v>
      </c>
      <c r="G361" s="17">
        <f t="shared" si="101"/>
        <v>0</v>
      </c>
      <c r="H361" s="17">
        <f>0</f>
        <v>0</v>
      </c>
      <c r="I361" s="17">
        <f t="shared" si="102"/>
        <v>0</v>
      </c>
      <c r="J361" s="17">
        <f t="shared" si="103"/>
        <v>0</v>
      </c>
      <c r="K361" s="17">
        <f>'1 - Input'!$B$22*(H361-J361)</f>
        <v>0</v>
      </c>
      <c r="L361" s="17">
        <f t="shared" si="104"/>
        <v>0</v>
      </c>
      <c r="M361" s="17">
        <f t="shared" si="105"/>
        <v>0</v>
      </c>
      <c r="N361" s="17">
        <f>0</f>
        <v>0</v>
      </c>
      <c r="O361" s="17">
        <f t="shared" si="106"/>
        <v>4518.2289087558656</v>
      </c>
      <c r="P361" s="17">
        <f t="shared" si="107"/>
        <v>0</v>
      </c>
      <c r="Q361" s="17">
        <f>IF(AND(O361&gt;0,I361&gt;0),O361/(1-'1 - Input'!$B$22*P361),0)</f>
        <v>0</v>
      </c>
      <c r="R361" s="17">
        <f t="shared" si="108"/>
        <v>0</v>
      </c>
      <c r="S361" s="17">
        <f>'1 - Input'!$B$22*P361*R361</f>
        <v>0</v>
      </c>
      <c r="T361" s="17">
        <f t="shared" si="109"/>
        <v>0</v>
      </c>
      <c r="U361" s="17">
        <f t="shared" si="110"/>
        <v>4518.2289087558656</v>
      </c>
      <c r="V361" s="17">
        <f t="shared" si="111"/>
        <v>0</v>
      </c>
      <c r="W361" s="17">
        <f t="shared" si="112"/>
        <v>0</v>
      </c>
      <c r="X361" s="17">
        <f t="shared" si="113"/>
        <v>0</v>
      </c>
      <c r="Y361" s="17">
        <f>IF(MOD(A361,12)=0,W361*'1 - Input'!$B$23,0)</f>
        <v>0</v>
      </c>
      <c r="Z361" s="17">
        <f t="shared" si="114"/>
        <v>0</v>
      </c>
      <c r="AA361" s="17">
        <f>IF(MOD(A361,12)=0,X361*(1-'1 - Input'!$B$23),X361)</f>
        <v>0</v>
      </c>
      <c r="AB361" s="17">
        <f t="shared" si="115"/>
        <v>0</v>
      </c>
      <c r="AC361" s="17">
        <f t="shared" si="119"/>
        <v>676015.57770007267</v>
      </c>
      <c r="AD361" s="17">
        <f t="shared" si="120"/>
        <v>0</v>
      </c>
      <c r="AE361" s="17">
        <f t="shared" si="121"/>
        <v>69240.414874846756</v>
      </c>
      <c r="AF361" s="17">
        <f t="shared" si="122"/>
        <v>0</v>
      </c>
      <c r="AG361" s="17">
        <f t="shared" si="123"/>
        <v>10373.842685499292</v>
      </c>
      <c r="AH361" s="17">
        <f t="shared" si="124"/>
        <v>442031.14100598235</v>
      </c>
      <c r="AI361" s="15">
        <f t="shared" si="116"/>
        <v>1</v>
      </c>
    </row>
    <row r="362" spans="1:35">
      <c r="A362" s="14">
        <v>319</v>
      </c>
      <c r="B362" s="15">
        <f t="shared" si="100"/>
        <v>27</v>
      </c>
      <c r="C362" s="16">
        <f>(1+INDEX('1 - Input'!$B$34:$E$63,B362,'1 - Input'!$B$16))^(1/12)-1</f>
        <v>4.1219243192651689E-3</v>
      </c>
      <c r="D362" s="17">
        <f>'1 - Input'!$B$7*(1+'1 - Input'!$B$12)^(B362-1)</f>
        <v>4518.2289087558656</v>
      </c>
      <c r="E362" s="17">
        <f t="shared" si="117"/>
        <v>0</v>
      </c>
      <c r="F362" s="17">
        <f t="shared" si="118"/>
        <v>0</v>
      </c>
      <c r="G362" s="17">
        <f t="shared" si="101"/>
        <v>0</v>
      </c>
      <c r="H362" s="17">
        <f>0</f>
        <v>0</v>
      </c>
      <c r="I362" s="17">
        <f t="shared" si="102"/>
        <v>0</v>
      </c>
      <c r="J362" s="17">
        <f t="shared" si="103"/>
        <v>0</v>
      </c>
      <c r="K362" s="17">
        <f>'1 - Input'!$B$22*(H362-J362)</f>
        <v>0</v>
      </c>
      <c r="L362" s="17">
        <f t="shared" si="104"/>
        <v>0</v>
      </c>
      <c r="M362" s="17">
        <f t="shared" si="105"/>
        <v>0</v>
      </c>
      <c r="N362" s="17">
        <f>0</f>
        <v>0</v>
      </c>
      <c r="O362" s="17">
        <f t="shared" si="106"/>
        <v>4518.2289087558656</v>
      </c>
      <c r="P362" s="17">
        <f t="shared" si="107"/>
        <v>0</v>
      </c>
      <c r="Q362" s="17">
        <f>IF(AND(O362&gt;0,I362&gt;0),O362/(1-'1 - Input'!$B$22*P362),0)</f>
        <v>0</v>
      </c>
      <c r="R362" s="17">
        <f t="shared" si="108"/>
        <v>0</v>
      </c>
      <c r="S362" s="17">
        <f>'1 - Input'!$B$22*P362*R362</f>
        <v>0</v>
      </c>
      <c r="T362" s="17">
        <f t="shared" si="109"/>
        <v>0</v>
      </c>
      <c r="U362" s="17">
        <f t="shared" si="110"/>
        <v>4518.2289087558656</v>
      </c>
      <c r="V362" s="17">
        <f t="shared" si="111"/>
        <v>0</v>
      </c>
      <c r="W362" s="17">
        <f t="shared" si="112"/>
        <v>0</v>
      </c>
      <c r="X362" s="17">
        <f t="shared" si="113"/>
        <v>0</v>
      </c>
      <c r="Y362" s="17">
        <f>IF(MOD(A362,12)=0,W362*'1 - Input'!$B$23,0)</f>
        <v>0</v>
      </c>
      <c r="Z362" s="17">
        <f t="shared" si="114"/>
        <v>0</v>
      </c>
      <c r="AA362" s="17">
        <f>IF(MOD(A362,12)=0,X362*(1-'1 - Input'!$B$23),X362)</f>
        <v>0</v>
      </c>
      <c r="AB362" s="17">
        <f t="shared" si="115"/>
        <v>0</v>
      </c>
      <c r="AC362" s="17">
        <f t="shared" si="119"/>
        <v>676015.57770007267</v>
      </c>
      <c r="AD362" s="17">
        <f t="shared" si="120"/>
        <v>0</v>
      </c>
      <c r="AE362" s="17">
        <f t="shared" si="121"/>
        <v>69240.414874846756</v>
      </c>
      <c r="AF362" s="17">
        <f t="shared" si="122"/>
        <v>0</v>
      </c>
      <c r="AG362" s="17">
        <f t="shared" si="123"/>
        <v>10373.842685499292</v>
      </c>
      <c r="AH362" s="17">
        <f t="shared" si="124"/>
        <v>446549.36991473823</v>
      </c>
      <c r="AI362" s="15">
        <f t="shared" si="116"/>
        <v>1</v>
      </c>
    </row>
    <row r="363" spans="1:35">
      <c r="A363" s="14">
        <v>320</v>
      </c>
      <c r="B363" s="15">
        <f t="shared" si="100"/>
        <v>27</v>
      </c>
      <c r="C363" s="16">
        <f>(1+INDEX('1 - Input'!$B$34:$E$63,B363,'1 - Input'!$B$16))^(1/12)-1</f>
        <v>4.1219243192651689E-3</v>
      </c>
      <c r="D363" s="17">
        <f>'1 - Input'!$B$7*(1+'1 - Input'!$B$12)^(B363-1)</f>
        <v>4518.2289087558656</v>
      </c>
      <c r="E363" s="17">
        <f t="shared" si="117"/>
        <v>0</v>
      </c>
      <c r="F363" s="17">
        <f t="shared" si="118"/>
        <v>0</v>
      </c>
      <c r="G363" s="17">
        <f t="shared" si="101"/>
        <v>0</v>
      </c>
      <c r="H363" s="17">
        <f>0</f>
        <v>0</v>
      </c>
      <c r="I363" s="17">
        <f t="shared" si="102"/>
        <v>0</v>
      </c>
      <c r="J363" s="17">
        <f t="shared" si="103"/>
        <v>0</v>
      </c>
      <c r="K363" s="17">
        <f>'1 - Input'!$B$22*(H363-J363)</f>
        <v>0</v>
      </c>
      <c r="L363" s="17">
        <f t="shared" si="104"/>
        <v>0</v>
      </c>
      <c r="M363" s="17">
        <f t="shared" si="105"/>
        <v>0</v>
      </c>
      <c r="N363" s="17">
        <f>0</f>
        <v>0</v>
      </c>
      <c r="O363" s="17">
        <f t="shared" si="106"/>
        <v>4518.2289087558656</v>
      </c>
      <c r="P363" s="17">
        <f t="shared" si="107"/>
        <v>0</v>
      </c>
      <c r="Q363" s="17">
        <f>IF(AND(O363&gt;0,I363&gt;0),O363/(1-'1 - Input'!$B$22*P363),0)</f>
        <v>0</v>
      </c>
      <c r="R363" s="17">
        <f t="shared" si="108"/>
        <v>0</v>
      </c>
      <c r="S363" s="17">
        <f>'1 - Input'!$B$22*P363*R363</f>
        <v>0</v>
      </c>
      <c r="T363" s="17">
        <f t="shared" si="109"/>
        <v>0</v>
      </c>
      <c r="U363" s="17">
        <f t="shared" si="110"/>
        <v>4518.2289087558656</v>
      </c>
      <c r="V363" s="17">
        <f t="shared" si="111"/>
        <v>0</v>
      </c>
      <c r="W363" s="17">
        <f t="shared" si="112"/>
        <v>0</v>
      </c>
      <c r="X363" s="17">
        <f t="shared" si="113"/>
        <v>0</v>
      </c>
      <c r="Y363" s="17">
        <f>IF(MOD(A363,12)=0,W363*'1 - Input'!$B$23,0)</f>
        <v>0</v>
      </c>
      <c r="Z363" s="17">
        <f t="shared" si="114"/>
        <v>0</v>
      </c>
      <c r="AA363" s="17">
        <f>IF(MOD(A363,12)=0,X363*(1-'1 - Input'!$B$23),X363)</f>
        <v>0</v>
      </c>
      <c r="AB363" s="17">
        <f t="shared" si="115"/>
        <v>0</v>
      </c>
      <c r="AC363" s="17">
        <f t="shared" si="119"/>
        <v>676015.57770007267</v>
      </c>
      <c r="AD363" s="17">
        <f t="shared" si="120"/>
        <v>0</v>
      </c>
      <c r="AE363" s="17">
        <f t="shared" si="121"/>
        <v>69240.414874846756</v>
      </c>
      <c r="AF363" s="17">
        <f t="shared" si="122"/>
        <v>0</v>
      </c>
      <c r="AG363" s="17">
        <f t="shared" si="123"/>
        <v>10373.842685499292</v>
      </c>
      <c r="AH363" s="17">
        <f t="shared" si="124"/>
        <v>451067.5988234941</v>
      </c>
      <c r="AI363" s="15">
        <f t="shared" si="116"/>
        <v>1</v>
      </c>
    </row>
    <row r="364" spans="1:35">
      <c r="A364" s="14">
        <v>321</v>
      </c>
      <c r="B364" s="15">
        <f t="shared" ref="B364:B427" si="125">ROUNDUP(A364/12,0)</f>
        <v>27</v>
      </c>
      <c r="C364" s="16">
        <f>(1+INDEX('1 - Input'!$B$34:$E$63,B364,'1 - Input'!$B$16))^(1/12)-1</f>
        <v>4.1219243192651689E-3</v>
      </c>
      <c r="D364" s="17">
        <f>'1 - Input'!$B$7*(1+'1 - Input'!$B$12)^(B364-1)</f>
        <v>4518.2289087558656</v>
      </c>
      <c r="E364" s="17">
        <f t="shared" si="117"/>
        <v>0</v>
      </c>
      <c r="F364" s="17">
        <f t="shared" si="118"/>
        <v>0</v>
      </c>
      <c r="G364" s="17">
        <f t="shared" ref="G364:G403" si="126">E364*(1+C364)</f>
        <v>0</v>
      </c>
      <c r="H364" s="17">
        <f>0</f>
        <v>0</v>
      </c>
      <c r="I364" s="17">
        <f t="shared" ref="I364:I427" si="127">G364-H364</f>
        <v>0</v>
      </c>
      <c r="J364" s="17">
        <f t="shared" ref="J364:J403" si="128">MIN($B$41*H364,F364)</f>
        <v>0</v>
      </c>
      <c r="K364" s="17">
        <f>'1 - Input'!$B$22*(H364-J364)</f>
        <v>0</v>
      </c>
      <c r="L364" s="17">
        <f t="shared" ref="L364:L427" si="129">H364-K364</f>
        <v>0</v>
      </c>
      <c r="M364" s="17">
        <f t="shared" ref="M364:M403" si="130">F364-J364</f>
        <v>0</v>
      </c>
      <c r="N364" s="17">
        <f>0</f>
        <v>0</v>
      </c>
      <c r="O364" s="17">
        <f t="shared" ref="O364:O403" si="131">D364</f>
        <v>4518.2289087558656</v>
      </c>
      <c r="P364" s="17">
        <f t="shared" ref="P364:P403" si="132">IF(I364&gt;0,MAX(0,1-M364/I364),0)</f>
        <v>0</v>
      </c>
      <c r="Q364" s="17">
        <f>IF(AND(O364&gt;0,I364&gt;0),O364/(1-'1 - Input'!$B$22*P364),0)</f>
        <v>0</v>
      </c>
      <c r="R364" s="17">
        <f t="shared" ref="R364:R427" si="133">MIN(Q364,I364)</f>
        <v>0</v>
      </c>
      <c r="S364" s="17">
        <f>'1 - Input'!$B$22*P364*R364</f>
        <v>0</v>
      </c>
      <c r="T364" s="17">
        <f t="shared" ref="T364:T427" si="134">R364-S364</f>
        <v>0</v>
      </c>
      <c r="U364" s="17">
        <f t="shared" ref="U364:U427" si="135">O364-T364</f>
        <v>4518.2289087558656</v>
      </c>
      <c r="V364" s="17">
        <f t="shared" ref="V364:V403" si="136">IF(I364&gt;0,R364*MAX(0,M364/I364-1),0)</f>
        <v>0</v>
      </c>
      <c r="W364" s="17">
        <f t="shared" ref="W364:W403" si="137">I364-R364+N364</f>
        <v>0</v>
      </c>
      <c r="X364" s="17">
        <f t="shared" ref="X364:X403" si="138">IF(R364&gt;0,M364*(1-R364/I364),M364)+N364</f>
        <v>0</v>
      </c>
      <c r="Y364" s="17">
        <f>IF(MOD(A364,12)=0,W364*'1 - Input'!$B$23,0)</f>
        <v>0</v>
      </c>
      <c r="Z364" s="17">
        <f t="shared" ref="Z364:Z427" si="139">W364-Y364</f>
        <v>0</v>
      </c>
      <c r="AA364" s="17">
        <f>IF(MOD(A364,12)=0,X364*(1-'1 - Input'!$B$23),X364)</f>
        <v>0</v>
      </c>
      <c r="AB364" s="17">
        <f t="shared" ref="AB364:AB403" si="140">T364</f>
        <v>0</v>
      </c>
      <c r="AC364" s="17">
        <f t="shared" si="119"/>
        <v>676015.57770007267</v>
      </c>
      <c r="AD364" s="17">
        <f t="shared" si="120"/>
        <v>0</v>
      </c>
      <c r="AE364" s="17">
        <f t="shared" si="121"/>
        <v>69240.414874846756</v>
      </c>
      <c r="AF364" s="17">
        <f t="shared" si="122"/>
        <v>0</v>
      </c>
      <c r="AG364" s="17">
        <f t="shared" si="123"/>
        <v>10373.842685499292</v>
      </c>
      <c r="AH364" s="17">
        <f t="shared" si="124"/>
        <v>455585.82773224998</v>
      </c>
      <c r="AI364" s="15">
        <f t="shared" ref="AI364:AI403" si="141">IF(W364&lt;=0.000001,1,0)</f>
        <v>1</v>
      </c>
    </row>
    <row r="365" spans="1:35">
      <c r="A365" s="14">
        <v>322</v>
      </c>
      <c r="B365" s="15">
        <f t="shared" si="125"/>
        <v>27</v>
      </c>
      <c r="C365" s="16">
        <f>(1+INDEX('1 - Input'!$B$34:$E$63,B365,'1 - Input'!$B$16))^(1/12)-1</f>
        <v>4.1219243192651689E-3</v>
      </c>
      <c r="D365" s="17">
        <f>'1 - Input'!$B$7*(1+'1 - Input'!$B$12)^(B365-1)</f>
        <v>4518.2289087558656</v>
      </c>
      <c r="E365" s="17">
        <f t="shared" ref="E365:E403" si="142">Z364</f>
        <v>0</v>
      </c>
      <c r="F365" s="17">
        <f t="shared" ref="F365:F403" si="143">AA364</f>
        <v>0</v>
      </c>
      <c r="G365" s="17">
        <f t="shared" si="126"/>
        <v>0</v>
      </c>
      <c r="H365" s="17">
        <f>0</f>
        <v>0</v>
      </c>
      <c r="I365" s="17">
        <f t="shared" si="127"/>
        <v>0</v>
      </c>
      <c r="J365" s="17">
        <f t="shared" si="128"/>
        <v>0</v>
      </c>
      <c r="K365" s="17">
        <f>'1 - Input'!$B$22*(H365-J365)</f>
        <v>0</v>
      </c>
      <c r="L365" s="17">
        <f t="shared" si="129"/>
        <v>0</v>
      </c>
      <c r="M365" s="17">
        <f t="shared" si="130"/>
        <v>0</v>
      </c>
      <c r="N365" s="17">
        <f>0</f>
        <v>0</v>
      </c>
      <c r="O365" s="17">
        <f t="shared" si="131"/>
        <v>4518.2289087558656</v>
      </c>
      <c r="P365" s="17">
        <f t="shared" si="132"/>
        <v>0</v>
      </c>
      <c r="Q365" s="17">
        <f>IF(AND(O365&gt;0,I365&gt;0),O365/(1-'1 - Input'!$B$22*P365),0)</f>
        <v>0</v>
      </c>
      <c r="R365" s="17">
        <f t="shared" si="133"/>
        <v>0</v>
      </c>
      <c r="S365" s="17">
        <f>'1 - Input'!$B$22*P365*R365</f>
        <v>0</v>
      </c>
      <c r="T365" s="17">
        <f t="shared" si="134"/>
        <v>0</v>
      </c>
      <c r="U365" s="17">
        <f t="shared" si="135"/>
        <v>4518.2289087558656</v>
      </c>
      <c r="V365" s="17">
        <f t="shared" si="136"/>
        <v>0</v>
      </c>
      <c r="W365" s="17">
        <f t="shared" si="137"/>
        <v>0</v>
      </c>
      <c r="X365" s="17">
        <f t="shared" si="138"/>
        <v>0</v>
      </c>
      <c r="Y365" s="17">
        <f>IF(MOD(A365,12)=0,W365*'1 - Input'!$B$23,0)</f>
        <v>0</v>
      </c>
      <c r="Z365" s="17">
        <f t="shared" si="139"/>
        <v>0</v>
      </c>
      <c r="AA365" s="17">
        <f>IF(MOD(A365,12)=0,X365*(1-'1 - Input'!$B$23),X365)</f>
        <v>0</v>
      </c>
      <c r="AB365" s="17">
        <f t="shared" si="140"/>
        <v>0</v>
      </c>
      <c r="AC365" s="17">
        <f t="shared" ref="AC365:AC428" si="144">AC364+AB365</f>
        <v>676015.57770007267</v>
      </c>
      <c r="AD365" s="17">
        <f t="shared" ref="AD365:AD403" si="145">AD364+K365</f>
        <v>0</v>
      </c>
      <c r="AE365" s="17">
        <f t="shared" ref="AE365:AE403" si="146">AE364+S365</f>
        <v>69240.414874846756</v>
      </c>
      <c r="AF365" s="17">
        <f t="shared" ref="AF365:AF403" si="147">AF364+V365</f>
        <v>0</v>
      </c>
      <c r="AG365" s="17">
        <f t="shared" ref="AG365:AG403" si="148">AG364+Y365</f>
        <v>10373.842685499292</v>
      </c>
      <c r="AH365" s="17">
        <f t="shared" ref="AH365:AH403" si="149">AH364+U365</f>
        <v>460104.05664100585</v>
      </c>
      <c r="AI365" s="15">
        <f t="shared" si="141"/>
        <v>1</v>
      </c>
    </row>
    <row r="366" spans="1:35">
      <c r="A366" s="14">
        <v>323</v>
      </c>
      <c r="B366" s="15">
        <f t="shared" si="125"/>
        <v>27</v>
      </c>
      <c r="C366" s="16">
        <f>(1+INDEX('1 - Input'!$B$34:$E$63,B366,'1 - Input'!$B$16))^(1/12)-1</f>
        <v>4.1219243192651689E-3</v>
      </c>
      <c r="D366" s="17">
        <f>'1 - Input'!$B$7*(1+'1 - Input'!$B$12)^(B366-1)</f>
        <v>4518.2289087558656</v>
      </c>
      <c r="E366" s="17">
        <f t="shared" si="142"/>
        <v>0</v>
      </c>
      <c r="F366" s="17">
        <f t="shared" si="143"/>
        <v>0</v>
      </c>
      <c r="G366" s="17">
        <f t="shared" si="126"/>
        <v>0</v>
      </c>
      <c r="H366" s="17">
        <f>0</f>
        <v>0</v>
      </c>
      <c r="I366" s="17">
        <f t="shared" si="127"/>
        <v>0</v>
      </c>
      <c r="J366" s="17">
        <f t="shared" si="128"/>
        <v>0</v>
      </c>
      <c r="K366" s="17">
        <f>'1 - Input'!$B$22*(H366-J366)</f>
        <v>0</v>
      </c>
      <c r="L366" s="17">
        <f t="shared" si="129"/>
        <v>0</v>
      </c>
      <c r="M366" s="17">
        <f t="shared" si="130"/>
        <v>0</v>
      </c>
      <c r="N366" s="17">
        <f>0</f>
        <v>0</v>
      </c>
      <c r="O366" s="17">
        <f t="shared" si="131"/>
        <v>4518.2289087558656</v>
      </c>
      <c r="P366" s="17">
        <f t="shared" si="132"/>
        <v>0</v>
      </c>
      <c r="Q366" s="17">
        <f>IF(AND(O366&gt;0,I366&gt;0),O366/(1-'1 - Input'!$B$22*P366),0)</f>
        <v>0</v>
      </c>
      <c r="R366" s="17">
        <f t="shared" si="133"/>
        <v>0</v>
      </c>
      <c r="S366" s="17">
        <f>'1 - Input'!$B$22*P366*R366</f>
        <v>0</v>
      </c>
      <c r="T366" s="17">
        <f t="shared" si="134"/>
        <v>0</v>
      </c>
      <c r="U366" s="17">
        <f t="shared" si="135"/>
        <v>4518.2289087558656</v>
      </c>
      <c r="V366" s="17">
        <f t="shared" si="136"/>
        <v>0</v>
      </c>
      <c r="W366" s="17">
        <f t="shared" si="137"/>
        <v>0</v>
      </c>
      <c r="X366" s="17">
        <f t="shared" si="138"/>
        <v>0</v>
      </c>
      <c r="Y366" s="17">
        <f>IF(MOD(A366,12)=0,W366*'1 - Input'!$B$23,0)</f>
        <v>0</v>
      </c>
      <c r="Z366" s="17">
        <f t="shared" si="139"/>
        <v>0</v>
      </c>
      <c r="AA366" s="17">
        <f>IF(MOD(A366,12)=0,X366*(1-'1 - Input'!$B$23),X366)</f>
        <v>0</v>
      </c>
      <c r="AB366" s="17">
        <f t="shared" si="140"/>
        <v>0</v>
      </c>
      <c r="AC366" s="17">
        <f t="shared" si="144"/>
        <v>676015.57770007267</v>
      </c>
      <c r="AD366" s="17">
        <f t="shared" si="145"/>
        <v>0</v>
      </c>
      <c r="AE366" s="17">
        <f t="shared" si="146"/>
        <v>69240.414874846756</v>
      </c>
      <c r="AF366" s="17">
        <f t="shared" si="147"/>
        <v>0</v>
      </c>
      <c r="AG366" s="17">
        <f t="shared" si="148"/>
        <v>10373.842685499292</v>
      </c>
      <c r="AH366" s="17">
        <f t="shared" si="149"/>
        <v>464622.28554976173</v>
      </c>
      <c r="AI366" s="15">
        <f t="shared" si="141"/>
        <v>1</v>
      </c>
    </row>
    <row r="367" spans="1:35">
      <c r="A367" s="14">
        <v>324</v>
      </c>
      <c r="B367" s="15">
        <f t="shared" si="125"/>
        <v>27</v>
      </c>
      <c r="C367" s="16">
        <f>(1+INDEX('1 - Input'!$B$34:$E$63,B367,'1 - Input'!$B$16))^(1/12)-1</f>
        <v>4.1219243192651689E-3</v>
      </c>
      <c r="D367" s="17">
        <f>'1 - Input'!$B$7*(1+'1 - Input'!$B$12)^(B367-1)</f>
        <v>4518.2289087558656</v>
      </c>
      <c r="E367" s="17">
        <f t="shared" si="142"/>
        <v>0</v>
      </c>
      <c r="F367" s="17">
        <f t="shared" si="143"/>
        <v>0</v>
      </c>
      <c r="G367" s="17">
        <f t="shared" si="126"/>
        <v>0</v>
      </c>
      <c r="H367" s="17">
        <f>0</f>
        <v>0</v>
      </c>
      <c r="I367" s="17">
        <f t="shared" si="127"/>
        <v>0</v>
      </c>
      <c r="J367" s="17">
        <f t="shared" si="128"/>
        <v>0</v>
      </c>
      <c r="K367" s="17">
        <f>'1 - Input'!$B$22*(H367-J367)</f>
        <v>0</v>
      </c>
      <c r="L367" s="17">
        <f t="shared" si="129"/>
        <v>0</v>
      </c>
      <c r="M367" s="17">
        <f t="shared" si="130"/>
        <v>0</v>
      </c>
      <c r="N367" s="17">
        <f>0</f>
        <v>0</v>
      </c>
      <c r="O367" s="17">
        <f t="shared" si="131"/>
        <v>4518.2289087558656</v>
      </c>
      <c r="P367" s="17">
        <f t="shared" si="132"/>
        <v>0</v>
      </c>
      <c r="Q367" s="17">
        <f>IF(AND(O367&gt;0,I367&gt;0),O367/(1-'1 - Input'!$B$22*P367),0)</f>
        <v>0</v>
      </c>
      <c r="R367" s="17">
        <f t="shared" si="133"/>
        <v>0</v>
      </c>
      <c r="S367" s="17">
        <f>'1 - Input'!$B$22*P367*R367</f>
        <v>0</v>
      </c>
      <c r="T367" s="17">
        <f t="shared" si="134"/>
        <v>0</v>
      </c>
      <c r="U367" s="17">
        <f t="shared" si="135"/>
        <v>4518.2289087558656</v>
      </c>
      <c r="V367" s="17">
        <f t="shared" si="136"/>
        <v>0</v>
      </c>
      <c r="W367" s="17">
        <f t="shared" si="137"/>
        <v>0</v>
      </c>
      <c r="X367" s="17">
        <f t="shared" si="138"/>
        <v>0</v>
      </c>
      <c r="Y367" s="17">
        <f>IF(MOD(A367,12)=0,W367*'1 - Input'!$B$23,0)</f>
        <v>0</v>
      </c>
      <c r="Z367" s="17">
        <f t="shared" si="139"/>
        <v>0</v>
      </c>
      <c r="AA367" s="17">
        <f>IF(MOD(A367,12)=0,X367*(1-'1 - Input'!$B$23),X367)</f>
        <v>0</v>
      </c>
      <c r="AB367" s="17">
        <f t="shared" si="140"/>
        <v>0</v>
      </c>
      <c r="AC367" s="17">
        <f t="shared" si="144"/>
        <v>676015.57770007267</v>
      </c>
      <c r="AD367" s="17">
        <f t="shared" si="145"/>
        <v>0</v>
      </c>
      <c r="AE367" s="17">
        <f t="shared" si="146"/>
        <v>69240.414874846756</v>
      </c>
      <c r="AF367" s="17">
        <f t="shared" si="147"/>
        <v>0</v>
      </c>
      <c r="AG367" s="17">
        <f t="shared" si="148"/>
        <v>10373.842685499292</v>
      </c>
      <c r="AH367" s="17">
        <f t="shared" si="149"/>
        <v>469140.5144585176</v>
      </c>
      <c r="AI367" s="15">
        <f t="shared" si="141"/>
        <v>1</v>
      </c>
    </row>
    <row r="368" spans="1:35">
      <c r="A368" s="14">
        <v>325</v>
      </c>
      <c r="B368" s="15">
        <f t="shared" si="125"/>
        <v>28</v>
      </c>
      <c r="C368" s="16">
        <f>(1+INDEX('1 - Input'!$B$34:$E$63,B368,'1 - Input'!$B$16))^(1/12)-1</f>
        <v>4.1219243192651689E-3</v>
      </c>
      <c r="D368" s="17">
        <f>'1 - Input'!$B$7*(1+'1 - Input'!$B$12)^(B368-1)</f>
        <v>4608.5934869309822</v>
      </c>
      <c r="E368" s="17">
        <f t="shared" si="142"/>
        <v>0</v>
      </c>
      <c r="F368" s="17">
        <f t="shared" si="143"/>
        <v>0</v>
      </c>
      <c r="G368" s="17">
        <f t="shared" si="126"/>
        <v>0</v>
      </c>
      <c r="H368" s="17">
        <f>0</f>
        <v>0</v>
      </c>
      <c r="I368" s="17">
        <f t="shared" si="127"/>
        <v>0</v>
      </c>
      <c r="J368" s="17">
        <f t="shared" si="128"/>
        <v>0</v>
      </c>
      <c r="K368" s="17">
        <f>'1 - Input'!$B$22*(H368-J368)</f>
        <v>0</v>
      </c>
      <c r="L368" s="17">
        <f t="shared" si="129"/>
        <v>0</v>
      </c>
      <c r="M368" s="17">
        <f t="shared" si="130"/>
        <v>0</v>
      </c>
      <c r="N368" s="17">
        <f>0</f>
        <v>0</v>
      </c>
      <c r="O368" s="17">
        <f t="shared" si="131"/>
        <v>4608.5934869309822</v>
      </c>
      <c r="P368" s="17">
        <f t="shared" si="132"/>
        <v>0</v>
      </c>
      <c r="Q368" s="17">
        <f>IF(AND(O368&gt;0,I368&gt;0),O368/(1-'1 - Input'!$B$22*P368),0)</f>
        <v>0</v>
      </c>
      <c r="R368" s="17">
        <f t="shared" si="133"/>
        <v>0</v>
      </c>
      <c r="S368" s="17">
        <f>'1 - Input'!$B$22*P368*R368</f>
        <v>0</v>
      </c>
      <c r="T368" s="17">
        <f t="shared" si="134"/>
        <v>0</v>
      </c>
      <c r="U368" s="17">
        <f t="shared" si="135"/>
        <v>4608.5934869309822</v>
      </c>
      <c r="V368" s="17">
        <f t="shared" si="136"/>
        <v>0</v>
      </c>
      <c r="W368" s="17">
        <f t="shared" si="137"/>
        <v>0</v>
      </c>
      <c r="X368" s="17">
        <f t="shared" si="138"/>
        <v>0</v>
      </c>
      <c r="Y368" s="17">
        <f>IF(MOD(A368,12)=0,W368*'1 - Input'!$B$23,0)</f>
        <v>0</v>
      </c>
      <c r="Z368" s="17">
        <f t="shared" si="139"/>
        <v>0</v>
      </c>
      <c r="AA368" s="17">
        <f>IF(MOD(A368,12)=0,X368*(1-'1 - Input'!$B$23),X368)</f>
        <v>0</v>
      </c>
      <c r="AB368" s="17">
        <f t="shared" si="140"/>
        <v>0</v>
      </c>
      <c r="AC368" s="17">
        <f t="shared" si="144"/>
        <v>676015.57770007267</v>
      </c>
      <c r="AD368" s="17">
        <f t="shared" si="145"/>
        <v>0</v>
      </c>
      <c r="AE368" s="17">
        <f t="shared" si="146"/>
        <v>69240.414874846756</v>
      </c>
      <c r="AF368" s="17">
        <f t="shared" si="147"/>
        <v>0</v>
      </c>
      <c r="AG368" s="17">
        <f t="shared" si="148"/>
        <v>10373.842685499292</v>
      </c>
      <c r="AH368" s="17">
        <f t="shared" si="149"/>
        <v>473749.1079454486</v>
      </c>
      <c r="AI368" s="15">
        <f t="shared" si="141"/>
        <v>1</v>
      </c>
    </row>
    <row r="369" spans="1:35">
      <c r="A369" s="14">
        <v>326</v>
      </c>
      <c r="B369" s="15">
        <f t="shared" si="125"/>
        <v>28</v>
      </c>
      <c r="C369" s="16">
        <f>(1+INDEX('1 - Input'!$B$34:$E$63,B369,'1 - Input'!$B$16))^(1/12)-1</f>
        <v>4.1219243192651689E-3</v>
      </c>
      <c r="D369" s="17">
        <f>'1 - Input'!$B$7*(1+'1 - Input'!$B$12)^(B369-1)</f>
        <v>4608.5934869309822</v>
      </c>
      <c r="E369" s="17">
        <f t="shared" si="142"/>
        <v>0</v>
      </c>
      <c r="F369" s="17">
        <f t="shared" si="143"/>
        <v>0</v>
      </c>
      <c r="G369" s="17">
        <f t="shared" si="126"/>
        <v>0</v>
      </c>
      <c r="H369" s="17">
        <f>0</f>
        <v>0</v>
      </c>
      <c r="I369" s="17">
        <f t="shared" si="127"/>
        <v>0</v>
      </c>
      <c r="J369" s="17">
        <f t="shared" si="128"/>
        <v>0</v>
      </c>
      <c r="K369" s="17">
        <f>'1 - Input'!$B$22*(H369-J369)</f>
        <v>0</v>
      </c>
      <c r="L369" s="17">
        <f t="shared" si="129"/>
        <v>0</v>
      </c>
      <c r="M369" s="17">
        <f t="shared" si="130"/>
        <v>0</v>
      </c>
      <c r="N369" s="17">
        <f>0</f>
        <v>0</v>
      </c>
      <c r="O369" s="17">
        <f t="shared" si="131"/>
        <v>4608.5934869309822</v>
      </c>
      <c r="P369" s="17">
        <f t="shared" si="132"/>
        <v>0</v>
      </c>
      <c r="Q369" s="17">
        <f>IF(AND(O369&gt;0,I369&gt;0),O369/(1-'1 - Input'!$B$22*P369),0)</f>
        <v>0</v>
      </c>
      <c r="R369" s="17">
        <f t="shared" si="133"/>
        <v>0</v>
      </c>
      <c r="S369" s="17">
        <f>'1 - Input'!$B$22*P369*R369</f>
        <v>0</v>
      </c>
      <c r="T369" s="17">
        <f t="shared" si="134"/>
        <v>0</v>
      </c>
      <c r="U369" s="17">
        <f t="shared" si="135"/>
        <v>4608.5934869309822</v>
      </c>
      <c r="V369" s="17">
        <f t="shared" si="136"/>
        <v>0</v>
      </c>
      <c r="W369" s="17">
        <f t="shared" si="137"/>
        <v>0</v>
      </c>
      <c r="X369" s="17">
        <f t="shared" si="138"/>
        <v>0</v>
      </c>
      <c r="Y369" s="17">
        <f>IF(MOD(A369,12)=0,W369*'1 - Input'!$B$23,0)</f>
        <v>0</v>
      </c>
      <c r="Z369" s="17">
        <f t="shared" si="139"/>
        <v>0</v>
      </c>
      <c r="AA369" s="17">
        <f>IF(MOD(A369,12)=0,X369*(1-'1 - Input'!$B$23),X369)</f>
        <v>0</v>
      </c>
      <c r="AB369" s="17">
        <f t="shared" si="140"/>
        <v>0</v>
      </c>
      <c r="AC369" s="17">
        <f t="shared" si="144"/>
        <v>676015.57770007267</v>
      </c>
      <c r="AD369" s="17">
        <f t="shared" si="145"/>
        <v>0</v>
      </c>
      <c r="AE369" s="17">
        <f t="shared" si="146"/>
        <v>69240.414874846756</v>
      </c>
      <c r="AF369" s="17">
        <f t="shared" si="147"/>
        <v>0</v>
      </c>
      <c r="AG369" s="17">
        <f t="shared" si="148"/>
        <v>10373.842685499292</v>
      </c>
      <c r="AH369" s="17">
        <f t="shared" si="149"/>
        <v>478357.7014323796</v>
      </c>
      <c r="AI369" s="15">
        <f t="shared" si="141"/>
        <v>1</v>
      </c>
    </row>
    <row r="370" spans="1:35">
      <c r="A370" s="14">
        <v>327</v>
      </c>
      <c r="B370" s="15">
        <f t="shared" si="125"/>
        <v>28</v>
      </c>
      <c r="C370" s="16">
        <f>(1+INDEX('1 - Input'!$B$34:$E$63,B370,'1 - Input'!$B$16))^(1/12)-1</f>
        <v>4.1219243192651689E-3</v>
      </c>
      <c r="D370" s="17">
        <f>'1 - Input'!$B$7*(1+'1 - Input'!$B$12)^(B370-1)</f>
        <v>4608.5934869309822</v>
      </c>
      <c r="E370" s="17">
        <f t="shared" si="142"/>
        <v>0</v>
      </c>
      <c r="F370" s="17">
        <f t="shared" si="143"/>
        <v>0</v>
      </c>
      <c r="G370" s="17">
        <f t="shared" si="126"/>
        <v>0</v>
      </c>
      <c r="H370" s="17">
        <f>0</f>
        <v>0</v>
      </c>
      <c r="I370" s="17">
        <f t="shared" si="127"/>
        <v>0</v>
      </c>
      <c r="J370" s="17">
        <f t="shared" si="128"/>
        <v>0</v>
      </c>
      <c r="K370" s="17">
        <f>'1 - Input'!$B$22*(H370-J370)</f>
        <v>0</v>
      </c>
      <c r="L370" s="17">
        <f t="shared" si="129"/>
        <v>0</v>
      </c>
      <c r="M370" s="17">
        <f t="shared" si="130"/>
        <v>0</v>
      </c>
      <c r="N370" s="17">
        <f>0</f>
        <v>0</v>
      </c>
      <c r="O370" s="17">
        <f t="shared" si="131"/>
        <v>4608.5934869309822</v>
      </c>
      <c r="P370" s="17">
        <f t="shared" si="132"/>
        <v>0</v>
      </c>
      <c r="Q370" s="17">
        <f>IF(AND(O370&gt;0,I370&gt;0),O370/(1-'1 - Input'!$B$22*P370),0)</f>
        <v>0</v>
      </c>
      <c r="R370" s="17">
        <f t="shared" si="133"/>
        <v>0</v>
      </c>
      <c r="S370" s="17">
        <f>'1 - Input'!$B$22*P370*R370</f>
        <v>0</v>
      </c>
      <c r="T370" s="17">
        <f t="shared" si="134"/>
        <v>0</v>
      </c>
      <c r="U370" s="17">
        <f t="shared" si="135"/>
        <v>4608.5934869309822</v>
      </c>
      <c r="V370" s="17">
        <f t="shared" si="136"/>
        <v>0</v>
      </c>
      <c r="W370" s="17">
        <f t="shared" si="137"/>
        <v>0</v>
      </c>
      <c r="X370" s="17">
        <f t="shared" si="138"/>
        <v>0</v>
      </c>
      <c r="Y370" s="17">
        <f>IF(MOD(A370,12)=0,W370*'1 - Input'!$B$23,0)</f>
        <v>0</v>
      </c>
      <c r="Z370" s="17">
        <f t="shared" si="139"/>
        <v>0</v>
      </c>
      <c r="AA370" s="17">
        <f>IF(MOD(A370,12)=0,X370*(1-'1 - Input'!$B$23),X370)</f>
        <v>0</v>
      </c>
      <c r="AB370" s="17">
        <f t="shared" si="140"/>
        <v>0</v>
      </c>
      <c r="AC370" s="17">
        <f t="shared" si="144"/>
        <v>676015.57770007267</v>
      </c>
      <c r="AD370" s="17">
        <f t="shared" si="145"/>
        <v>0</v>
      </c>
      <c r="AE370" s="17">
        <f t="shared" si="146"/>
        <v>69240.414874846756</v>
      </c>
      <c r="AF370" s="17">
        <f t="shared" si="147"/>
        <v>0</v>
      </c>
      <c r="AG370" s="17">
        <f t="shared" si="148"/>
        <v>10373.842685499292</v>
      </c>
      <c r="AH370" s="17">
        <f t="shared" si="149"/>
        <v>482966.2949193106</v>
      </c>
      <c r="AI370" s="15">
        <f t="shared" si="141"/>
        <v>1</v>
      </c>
    </row>
    <row r="371" spans="1:35">
      <c r="A371" s="14">
        <v>328</v>
      </c>
      <c r="B371" s="15">
        <f t="shared" si="125"/>
        <v>28</v>
      </c>
      <c r="C371" s="16">
        <f>(1+INDEX('1 - Input'!$B$34:$E$63,B371,'1 - Input'!$B$16))^(1/12)-1</f>
        <v>4.1219243192651689E-3</v>
      </c>
      <c r="D371" s="17">
        <f>'1 - Input'!$B$7*(1+'1 - Input'!$B$12)^(B371-1)</f>
        <v>4608.5934869309822</v>
      </c>
      <c r="E371" s="17">
        <f t="shared" si="142"/>
        <v>0</v>
      </c>
      <c r="F371" s="17">
        <f t="shared" si="143"/>
        <v>0</v>
      </c>
      <c r="G371" s="17">
        <f t="shared" si="126"/>
        <v>0</v>
      </c>
      <c r="H371" s="17">
        <f>0</f>
        <v>0</v>
      </c>
      <c r="I371" s="17">
        <f t="shared" si="127"/>
        <v>0</v>
      </c>
      <c r="J371" s="17">
        <f t="shared" si="128"/>
        <v>0</v>
      </c>
      <c r="K371" s="17">
        <f>'1 - Input'!$B$22*(H371-J371)</f>
        <v>0</v>
      </c>
      <c r="L371" s="17">
        <f t="shared" si="129"/>
        <v>0</v>
      </c>
      <c r="M371" s="17">
        <f t="shared" si="130"/>
        <v>0</v>
      </c>
      <c r="N371" s="17">
        <f>0</f>
        <v>0</v>
      </c>
      <c r="O371" s="17">
        <f t="shared" si="131"/>
        <v>4608.5934869309822</v>
      </c>
      <c r="P371" s="17">
        <f t="shared" si="132"/>
        <v>0</v>
      </c>
      <c r="Q371" s="17">
        <f>IF(AND(O371&gt;0,I371&gt;0),O371/(1-'1 - Input'!$B$22*P371),0)</f>
        <v>0</v>
      </c>
      <c r="R371" s="17">
        <f t="shared" si="133"/>
        <v>0</v>
      </c>
      <c r="S371" s="17">
        <f>'1 - Input'!$B$22*P371*R371</f>
        <v>0</v>
      </c>
      <c r="T371" s="17">
        <f t="shared" si="134"/>
        <v>0</v>
      </c>
      <c r="U371" s="17">
        <f t="shared" si="135"/>
        <v>4608.5934869309822</v>
      </c>
      <c r="V371" s="17">
        <f t="shared" si="136"/>
        <v>0</v>
      </c>
      <c r="W371" s="17">
        <f t="shared" si="137"/>
        <v>0</v>
      </c>
      <c r="X371" s="17">
        <f t="shared" si="138"/>
        <v>0</v>
      </c>
      <c r="Y371" s="17">
        <f>IF(MOD(A371,12)=0,W371*'1 - Input'!$B$23,0)</f>
        <v>0</v>
      </c>
      <c r="Z371" s="17">
        <f t="shared" si="139"/>
        <v>0</v>
      </c>
      <c r="AA371" s="17">
        <f>IF(MOD(A371,12)=0,X371*(1-'1 - Input'!$B$23),X371)</f>
        <v>0</v>
      </c>
      <c r="AB371" s="17">
        <f t="shared" si="140"/>
        <v>0</v>
      </c>
      <c r="AC371" s="17">
        <f t="shared" si="144"/>
        <v>676015.57770007267</v>
      </c>
      <c r="AD371" s="17">
        <f t="shared" si="145"/>
        <v>0</v>
      </c>
      <c r="AE371" s="17">
        <f t="shared" si="146"/>
        <v>69240.414874846756</v>
      </c>
      <c r="AF371" s="17">
        <f t="shared" si="147"/>
        <v>0</v>
      </c>
      <c r="AG371" s="17">
        <f t="shared" si="148"/>
        <v>10373.842685499292</v>
      </c>
      <c r="AH371" s="17">
        <f t="shared" si="149"/>
        <v>487574.8884062416</v>
      </c>
      <c r="AI371" s="15">
        <f t="shared" si="141"/>
        <v>1</v>
      </c>
    </row>
    <row r="372" spans="1:35">
      <c r="A372" s="14">
        <v>329</v>
      </c>
      <c r="B372" s="15">
        <f t="shared" si="125"/>
        <v>28</v>
      </c>
      <c r="C372" s="16">
        <f>(1+INDEX('1 - Input'!$B$34:$E$63,B372,'1 - Input'!$B$16))^(1/12)-1</f>
        <v>4.1219243192651689E-3</v>
      </c>
      <c r="D372" s="17">
        <f>'1 - Input'!$B$7*(1+'1 - Input'!$B$12)^(B372-1)</f>
        <v>4608.5934869309822</v>
      </c>
      <c r="E372" s="17">
        <f t="shared" si="142"/>
        <v>0</v>
      </c>
      <c r="F372" s="17">
        <f t="shared" si="143"/>
        <v>0</v>
      </c>
      <c r="G372" s="17">
        <f t="shared" si="126"/>
        <v>0</v>
      </c>
      <c r="H372" s="17">
        <f>0</f>
        <v>0</v>
      </c>
      <c r="I372" s="17">
        <f t="shared" si="127"/>
        <v>0</v>
      </c>
      <c r="J372" s="17">
        <f t="shared" si="128"/>
        <v>0</v>
      </c>
      <c r="K372" s="17">
        <f>'1 - Input'!$B$22*(H372-J372)</f>
        <v>0</v>
      </c>
      <c r="L372" s="17">
        <f t="shared" si="129"/>
        <v>0</v>
      </c>
      <c r="M372" s="17">
        <f t="shared" si="130"/>
        <v>0</v>
      </c>
      <c r="N372" s="17">
        <f>0</f>
        <v>0</v>
      </c>
      <c r="O372" s="17">
        <f t="shared" si="131"/>
        <v>4608.5934869309822</v>
      </c>
      <c r="P372" s="17">
        <f t="shared" si="132"/>
        <v>0</v>
      </c>
      <c r="Q372" s="17">
        <f>IF(AND(O372&gt;0,I372&gt;0),O372/(1-'1 - Input'!$B$22*P372),0)</f>
        <v>0</v>
      </c>
      <c r="R372" s="17">
        <f t="shared" si="133"/>
        <v>0</v>
      </c>
      <c r="S372" s="17">
        <f>'1 - Input'!$B$22*P372*R372</f>
        <v>0</v>
      </c>
      <c r="T372" s="17">
        <f t="shared" si="134"/>
        <v>0</v>
      </c>
      <c r="U372" s="17">
        <f t="shared" si="135"/>
        <v>4608.5934869309822</v>
      </c>
      <c r="V372" s="17">
        <f t="shared" si="136"/>
        <v>0</v>
      </c>
      <c r="W372" s="17">
        <f t="shared" si="137"/>
        <v>0</v>
      </c>
      <c r="X372" s="17">
        <f t="shared" si="138"/>
        <v>0</v>
      </c>
      <c r="Y372" s="17">
        <f>IF(MOD(A372,12)=0,W372*'1 - Input'!$B$23,0)</f>
        <v>0</v>
      </c>
      <c r="Z372" s="17">
        <f t="shared" si="139"/>
        <v>0</v>
      </c>
      <c r="AA372" s="17">
        <f>IF(MOD(A372,12)=0,X372*(1-'1 - Input'!$B$23),X372)</f>
        <v>0</v>
      </c>
      <c r="AB372" s="17">
        <f t="shared" si="140"/>
        <v>0</v>
      </c>
      <c r="AC372" s="17">
        <f t="shared" si="144"/>
        <v>676015.57770007267</v>
      </c>
      <c r="AD372" s="17">
        <f t="shared" si="145"/>
        <v>0</v>
      </c>
      <c r="AE372" s="17">
        <f t="shared" si="146"/>
        <v>69240.414874846756</v>
      </c>
      <c r="AF372" s="17">
        <f t="shared" si="147"/>
        <v>0</v>
      </c>
      <c r="AG372" s="17">
        <f t="shared" si="148"/>
        <v>10373.842685499292</v>
      </c>
      <c r="AH372" s="17">
        <f t="shared" si="149"/>
        <v>492183.4818931726</v>
      </c>
      <c r="AI372" s="15">
        <f t="shared" si="141"/>
        <v>1</v>
      </c>
    </row>
    <row r="373" spans="1:35">
      <c r="A373" s="14">
        <v>330</v>
      </c>
      <c r="B373" s="15">
        <f t="shared" si="125"/>
        <v>28</v>
      </c>
      <c r="C373" s="16">
        <f>(1+INDEX('1 - Input'!$B$34:$E$63,B373,'1 - Input'!$B$16))^(1/12)-1</f>
        <v>4.1219243192651689E-3</v>
      </c>
      <c r="D373" s="17">
        <f>'1 - Input'!$B$7*(1+'1 - Input'!$B$12)^(B373-1)</f>
        <v>4608.5934869309822</v>
      </c>
      <c r="E373" s="17">
        <f t="shared" si="142"/>
        <v>0</v>
      </c>
      <c r="F373" s="17">
        <f t="shared" si="143"/>
        <v>0</v>
      </c>
      <c r="G373" s="17">
        <f t="shared" si="126"/>
        <v>0</v>
      </c>
      <c r="H373" s="17">
        <f>0</f>
        <v>0</v>
      </c>
      <c r="I373" s="17">
        <f t="shared" si="127"/>
        <v>0</v>
      </c>
      <c r="J373" s="17">
        <f t="shared" si="128"/>
        <v>0</v>
      </c>
      <c r="K373" s="17">
        <f>'1 - Input'!$B$22*(H373-J373)</f>
        <v>0</v>
      </c>
      <c r="L373" s="17">
        <f t="shared" si="129"/>
        <v>0</v>
      </c>
      <c r="M373" s="17">
        <f t="shared" si="130"/>
        <v>0</v>
      </c>
      <c r="N373" s="17">
        <f>0</f>
        <v>0</v>
      </c>
      <c r="O373" s="17">
        <f t="shared" si="131"/>
        <v>4608.5934869309822</v>
      </c>
      <c r="P373" s="17">
        <f t="shared" si="132"/>
        <v>0</v>
      </c>
      <c r="Q373" s="17">
        <f>IF(AND(O373&gt;0,I373&gt;0),O373/(1-'1 - Input'!$B$22*P373),0)</f>
        <v>0</v>
      </c>
      <c r="R373" s="17">
        <f t="shared" si="133"/>
        <v>0</v>
      </c>
      <c r="S373" s="17">
        <f>'1 - Input'!$B$22*P373*R373</f>
        <v>0</v>
      </c>
      <c r="T373" s="17">
        <f t="shared" si="134"/>
        <v>0</v>
      </c>
      <c r="U373" s="17">
        <f t="shared" si="135"/>
        <v>4608.5934869309822</v>
      </c>
      <c r="V373" s="17">
        <f t="shared" si="136"/>
        <v>0</v>
      </c>
      <c r="W373" s="17">
        <f t="shared" si="137"/>
        <v>0</v>
      </c>
      <c r="X373" s="17">
        <f t="shared" si="138"/>
        <v>0</v>
      </c>
      <c r="Y373" s="17">
        <f>IF(MOD(A373,12)=0,W373*'1 - Input'!$B$23,0)</f>
        <v>0</v>
      </c>
      <c r="Z373" s="17">
        <f t="shared" si="139"/>
        <v>0</v>
      </c>
      <c r="AA373" s="17">
        <f>IF(MOD(A373,12)=0,X373*(1-'1 - Input'!$B$23),X373)</f>
        <v>0</v>
      </c>
      <c r="AB373" s="17">
        <f t="shared" si="140"/>
        <v>0</v>
      </c>
      <c r="AC373" s="17">
        <f t="shared" si="144"/>
        <v>676015.57770007267</v>
      </c>
      <c r="AD373" s="17">
        <f t="shared" si="145"/>
        <v>0</v>
      </c>
      <c r="AE373" s="17">
        <f t="shared" si="146"/>
        <v>69240.414874846756</v>
      </c>
      <c r="AF373" s="17">
        <f t="shared" si="147"/>
        <v>0</v>
      </c>
      <c r="AG373" s="17">
        <f t="shared" si="148"/>
        <v>10373.842685499292</v>
      </c>
      <c r="AH373" s="17">
        <f t="shared" si="149"/>
        <v>496792.0753801036</v>
      </c>
      <c r="AI373" s="15">
        <f t="shared" si="141"/>
        <v>1</v>
      </c>
    </row>
    <row r="374" spans="1:35">
      <c r="A374" s="14">
        <v>331</v>
      </c>
      <c r="B374" s="15">
        <f t="shared" si="125"/>
        <v>28</v>
      </c>
      <c r="C374" s="16">
        <f>(1+INDEX('1 - Input'!$B$34:$E$63,B374,'1 - Input'!$B$16))^(1/12)-1</f>
        <v>4.1219243192651689E-3</v>
      </c>
      <c r="D374" s="17">
        <f>'1 - Input'!$B$7*(1+'1 - Input'!$B$12)^(B374-1)</f>
        <v>4608.5934869309822</v>
      </c>
      <c r="E374" s="17">
        <f t="shared" si="142"/>
        <v>0</v>
      </c>
      <c r="F374" s="17">
        <f t="shared" si="143"/>
        <v>0</v>
      </c>
      <c r="G374" s="17">
        <f t="shared" si="126"/>
        <v>0</v>
      </c>
      <c r="H374" s="17">
        <f>0</f>
        <v>0</v>
      </c>
      <c r="I374" s="17">
        <f t="shared" si="127"/>
        <v>0</v>
      </c>
      <c r="J374" s="17">
        <f t="shared" si="128"/>
        <v>0</v>
      </c>
      <c r="K374" s="17">
        <f>'1 - Input'!$B$22*(H374-J374)</f>
        <v>0</v>
      </c>
      <c r="L374" s="17">
        <f t="shared" si="129"/>
        <v>0</v>
      </c>
      <c r="M374" s="17">
        <f t="shared" si="130"/>
        <v>0</v>
      </c>
      <c r="N374" s="17">
        <f>0</f>
        <v>0</v>
      </c>
      <c r="O374" s="17">
        <f t="shared" si="131"/>
        <v>4608.5934869309822</v>
      </c>
      <c r="P374" s="17">
        <f t="shared" si="132"/>
        <v>0</v>
      </c>
      <c r="Q374" s="17">
        <f>IF(AND(O374&gt;0,I374&gt;0),O374/(1-'1 - Input'!$B$22*P374),0)</f>
        <v>0</v>
      </c>
      <c r="R374" s="17">
        <f t="shared" si="133"/>
        <v>0</v>
      </c>
      <c r="S374" s="17">
        <f>'1 - Input'!$B$22*P374*R374</f>
        <v>0</v>
      </c>
      <c r="T374" s="17">
        <f t="shared" si="134"/>
        <v>0</v>
      </c>
      <c r="U374" s="17">
        <f t="shared" si="135"/>
        <v>4608.5934869309822</v>
      </c>
      <c r="V374" s="17">
        <f t="shared" si="136"/>
        <v>0</v>
      </c>
      <c r="W374" s="17">
        <f t="shared" si="137"/>
        <v>0</v>
      </c>
      <c r="X374" s="17">
        <f t="shared" si="138"/>
        <v>0</v>
      </c>
      <c r="Y374" s="17">
        <f>IF(MOD(A374,12)=0,W374*'1 - Input'!$B$23,0)</f>
        <v>0</v>
      </c>
      <c r="Z374" s="17">
        <f t="shared" si="139"/>
        <v>0</v>
      </c>
      <c r="AA374" s="17">
        <f>IF(MOD(A374,12)=0,X374*(1-'1 - Input'!$B$23),X374)</f>
        <v>0</v>
      </c>
      <c r="AB374" s="17">
        <f t="shared" si="140"/>
        <v>0</v>
      </c>
      <c r="AC374" s="17">
        <f t="shared" si="144"/>
        <v>676015.57770007267</v>
      </c>
      <c r="AD374" s="17">
        <f t="shared" si="145"/>
        <v>0</v>
      </c>
      <c r="AE374" s="17">
        <f t="shared" si="146"/>
        <v>69240.414874846756</v>
      </c>
      <c r="AF374" s="17">
        <f t="shared" si="147"/>
        <v>0</v>
      </c>
      <c r="AG374" s="17">
        <f t="shared" si="148"/>
        <v>10373.842685499292</v>
      </c>
      <c r="AH374" s="17">
        <f t="shared" si="149"/>
        <v>501400.6688670346</v>
      </c>
      <c r="AI374" s="15">
        <f t="shared" si="141"/>
        <v>1</v>
      </c>
    </row>
    <row r="375" spans="1:35">
      <c r="A375" s="14">
        <v>332</v>
      </c>
      <c r="B375" s="15">
        <f t="shared" si="125"/>
        <v>28</v>
      </c>
      <c r="C375" s="16">
        <f>(1+INDEX('1 - Input'!$B$34:$E$63,B375,'1 - Input'!$B$16))^(1/12)-1</f>
        <v>4.1219243192651689E-3</v>
      </c>
      <c r="D375" s="17">
        <f>'1 - Input'!$B$7*(1+'1 - Input'!$B$12)^(B375-1)</f>
        <v>4608.5934869309822</v>
      </c>
      <c r="E375" s="17">
        <f t="shared" si="142"/>
        <v>0</v>
      </c>
      <c r="F375" s="17">
        <f t="shared" si="143"/>
        <v>0</v>
      </c>
      <c r="G375" s="17">
        <f t="shared" si="126"/>
        <v>0</v>
      </c>
      <c r="H375" s="17">
        <f>0</f>
        <v>0</v>
      </c>
      <c r="I375" s="17">
        <f t="shared" si="127"/>
        <v>0</v>
      </c>
      <c r="J375" s="17">
        <f t="shared" si="128"/>
        <v>0</v>
      </c>
      <c r="K375" s="17">
        <f>'1 - Input'!$B$22*(H375-J375)</f>
        <v>0</v>
      </c>
      <c r="L375" s="17">
        <f t="shared" si="129"/>
        <v>0</v>
      </c>
      <c r="M375" s="17">
        <f t="shared" si="130"/>
        <v>0</v>
      </c>
      <c r="N375" s="17">
        <f>0</f>
        <v>0</v>
      </c>
      <c r="O375" s="17">
        <f t="shared" si="131"/>
        <v>4608.5934869309822</v>
      </c>
      <c r="P375" s="17">
        <f t="shared" si="132"/>
        <v>0</v>
      </c>
      <c r="Q375" s="17">
        <f>IF(AND(O375&gt;0,I375&gt;0),O375/(1-'1 - Input'!$B$22*P375),0)</f>
        <v>0</v>
      </c>
      <c r="R375" s="17">
        <f t="shared" si="133"/>
        <v>0</v>
      </c>
      <c r="S375" s="17">
        <f>'1 - Input'!$B$22*P375*R375</f>
        <v>0</v>
      </c>
      <c r="T375" s="17">
        <f t="shared" si="134"/>
        <v>0</v>
      </c>
      <c r="U375" s="17">
        <f t="shared" si="135"/>
        <v>4608.5934869309822</v>
      </c>
      <c r="V375" s="17">
        <f t="shared" si="136"/>
        <v>0</v>
      </c>
      <c r="W375" s="17">
        <f t="shared" si="137"/>
        <v>0</v>
      </c>
      <c r="X375" s="17">
        <f t="shared" si="138"/>
        <v>0</v>
      </c>
      <c r="Y375" s="17">
        <f>IF(MOD(A375,12)=0,W375*'1 - Input'!$B$23,0)</f>
        <v>0</v>
      </c>
      <c r="Z375" s="17">
        <f t="shared" si="139"/>
        <v>0</v>
      </c>
      <c r="AA375" s="17">
        <f>IF(MOD(A375,12)=0,X375*(1-'1 - Input'!$B$23),X375)</f>
        <v>0</v>
      </c>
      <c r="AB375" s="17">
        <f t="shared" si="140"/>
        <v>0</v>
      </c>
      <c r="AC375" s="17">
        <f t="shared" si="144"/>
        <v>676015.57770007267</v>
      </c>
      <c r="AD375" s="17">
        <f t="shared" si="145"/>
        <v>0</v>
      </c>
      <c r="AE375" s="17">
        <f t="shared" si="146"/>
        <v>69240.414874846756</v>
      </c>
      <c r="AF375" s="17">
        <f t="shared" si="147"/>
        <v>0</v>
      </c>
      <c r="AG375" s="17">
        <f t="shared" si="148"/>
        <v>10373.842685499292</v>
      </c>
      <c r="AH375" s="17">
        <f t="shared" si="149"/>
        <v>506009.26235396561</v>
      </c>
      <c r="AI375" s="15">
        <f t="shared" si="141"/>
        <v>1</v>
      </c>
    </row>
    <row r="376" spans="1:35">
      <c r="A376" s="14">
        <v>333</v>
      </c>
      <c r="B376" s="15">
        <f t="shared" si="125"/>
        <v>28</v>
      </c>
      <c r="C376" s="16">
        <f>(1+INDEX('1 - Input'!$B$34:$E$63,B376,'1 - Input'!$B$16))^(1/12)-1</f>
        <v>4.1219243192651689E-3</v>
      </c>
      <c r="D376" s="17">
        <f>'1 - Input'!$B$7*(1+'1 - Input'!$B$12)^(B376-1)</f>
        <v>4608.5934869309822</v>
      </c>
      <c r="E376" s="17">
        <f t="shared" si="142"/>
        <v>0</v>
      </c>
      <c r="F376" s="17">
        <f t="shared" si="143"/>
        <v>0</v>
      </c>
      <c r="G376" s="17">
        <f t="shared" si="126"/>
        <v>0</v>
      </c>
      <c r="H376" s="17">
        <f>0</f>
        <v>0</v>
      </c>
      <c r="I376" s="17">
        <f t="shared" si="127"/>
        <v>0</v>
      </c>
      <c r="J376" s="17">
        <f t="shared" si="128"/>
        <v>0</v>
      </c>
      <c r="K376" s="17">
        <f>'1 - Input'!$B$22*(H376-J376)</f>
        <v>0</v>
      </c>
      <c r="L376" s="17">
        <f t="shared" si="129"/>
        <v>0</v>
      </c>
      <c r="M376" s="17">
        <f t="shared" si="130"/>
        <v>0</v>
      </c>
      <c r="N376" s="17">
        <f>0</f>
        <v>0</v>
      </c>
      <c r="O376" s="17">
        <f t="shared" si="131"/>
        <v>4608.5934869309822</v>
      </c>
      <c r="P376" s="17">
        <f t="shared" si="132"/>
        <v>0</v>
      </c>
      <c r="Q376" s="17">
        <f>IF(AND(O376&gt;0,I376&gt;0),O376/(1-'1 - Input'!$B$22*P376),0)</f>
        <v>0</v>
      </c>
      <c r="R376" s="17">
        <f t="shared" si="133"/>
        <v>0</v>
      </c>
      <c r="S376" s="17">
        <f>'1 - Input'!$B$22*P376*R376</f>
        <v>0</v>
      </c>
      <c r="T376" s="17">
        <f t="shared" si="134"/>
        <v>0</v>
      </c>
      <c r="U376" s="17">
        <f t="shared" si="135"/>
        <v>4608.5934869309822</v>
      </c>
      <c r="V376" s="17">
        <f t="shared" si="136"/>
        <v>0</v>
      </c>
      <c r="W376" s="17">
        <f t="shared" si="137"/>
        <v>0</v>
      </c>
      <c r="X376" s="17">
        <f t="shared" si="138"/>
        <v>0</v>
      </c>
      <c r="Y376" s="17">
        <f>IF(MOD(A376,12)=0,W376*'1 - Input'!$B$23,0)</f>
        <v>0</v>
      </c>
      <c r="Z376" s="17">
        <f t="shared" si="139"/>
        <v>0</v>
      </c>
      <c r="AA376" s="17">
        <f>IF(MOD(A376,12)=0,X376*(1-'1 - Input'!$B$23),X376)</f>
        <v>0</v>
      </c>
      <c r="AB376" s="17">
        <f t="shared" si="140"/>
        <v>0</v>
      </c>
      <c r="AC376" s="17">
        <f t="shared" si="144"/>
        <v>676015.57770007267</v>
      </c>
      <c r="AD376" s="17">
        <f t="shared" si="145"/>
        <v>0</v>
      </c>
      <c r="AE376" s="17">
        <f t="shared" si="146"/>
        <v>69240.414874846756</v>
      </c>
      <c r="AF376" s="17">
        <f t="shared" si="147"/>
        <v>0</v>
      </c>
      <c r="AG376" s="17">
        <f t="shared" si="148"/>
        <v>10373.842685499292</v>
      </c>
      <c r="AH376" s="17">
        <f t="shared" si="149"/>
        <v>510617.85584089661</v>
      </c>
      <c r="AI376" s="15">
        <f t="shared" si="141"/>
        <v>1</v>
      </c>
    </row>
    <row r="377" spans="1:35">
      <c r="A377" s="14">
        <v>334</v>
      </c>
      <c r="B377" s="15">
        <f t="shared" si="125"/>
        <v>28</v>
      </c>
      <c r="C377" s="16">
        <f>(1+INDEX('1 - Input'!$B$34:$E$63,B377,'1 - Input'!$B$16))^(1/12)-1</f>
        <v>4.1219243192651689E-3</v>
      </c>
      <c r="D377" s="17">
        <f>'1 - Input'!$B$7*(1+'1 - Input'!$B$12)^(B377-1)</f>
        <v>4608.5934869309822</v>
      </c>
      <c r="E377" s="17">
        <f t="shared" si="142"/>
        <v>0</v>
      </c>
      <c r="F377" s="17">
        <f t="shared" si="143"/>
        <v>0</v>
      </c>
      <c r="G377" s="17">
        <f t="shared" si="126"/>
        <v>0</v>
      </c>
      <c r="H377" s="17">
        <f>0</f>
        <v>0</v>
      </c>
      <c r="I377" s="17">
        <f t="shared" si="127"/>
        <v>0</v>
      </c>
      <c r="J377" s="17">
        <f t="shared" si="128"/>
        <v>0</v>
      </c>
      <c r="K377" s="17">
        <f>'1 - Input'!$B$22*(H377-J377)</f>
        <v>0</v>
      </c>
      <c r="L377" s="17">
        <f t="shared" si="129"/>
        <v>0</v>
      </c>
      <c r="M377" s="17">
        <f t="shared" si="130"/>
        <v>0</v>
      </c>
      <c r="N377" s="17">
        <f>0</f>
        <v>0</v>
      </c>
      <c r="O377" s="17">
        <f t="shared" si="131"/>
        <v>4608.5934869309822</v>
      </c>
      <c r="P377" s="17">
        <f t="shared" si="132"/>
        <v>0</v>
      </c>
      <c r="Q377" s="17">
        <f>IF(AND(O377&gt;0,I377&gt;0),O377/(1-'1 - Input'!$B$22*P377),0)</f>
        <v>0</v>
      </c>
      <c r="R377" s="17">
        <f t="shared" si="133"/>
        <v>0</v>
      </c>
      <c r="S377" s="17">
        <f>'1 - Input'!$B$22*P377*R377</f>
        <v>0</v>
      </c>
      <c r="T377" s="17">
        <f t="shared" si="134"/>
        <v>0</v>
      </c>
      <c r="U377" s="17">
        <f t="shared" si="135"/>
        <v>4608.5934869309822</v>
      </c>
      <c r="V377" s="17">
        <f t="shared" si="136"/>
        <v>0</v>
      </c>
      <c r="W377" s="17">
        <f t="shared" si="137"/>
        <v>0</v>
      </c>
      <c r="X377" s="17">
        <f t="shared" si="138"/>
        <v>0</v>
      </c>
      <c r="Y377" s="17">
        <f>IF(MOD(A377,12)=0,W377*'1 - Input'!$B$23,0)</f>
        <v>0</v>
      </c>
      <c r="Z377" s="17">
        <f t="shared" si="139"/>
        <v>0</v>
      </c>
      <c r="AA377" s="17">
        <f>IF(MOD(A377,12)=0,X377*(1-'1 - Input'!$B$23),X377)</f>
        <v>0</v>
      </c>
      <c r="AB377" s="17">
        <f t="shared" si="140"/>
        <v>0</v>
      </c>
      <c r="AC377" s="17">
        <f t="shared" si="144"/>
        <v>676015.57770007267</v>
      </c>
      <c r="AD377" s="17">
        <f t="shared" si="145"/>
        <v>0</v>
      </c>
      <c r="AE377" s="17">
        <f t="shared" si="146"/>
        <v>69240.414874846756</v>
      </c>
      <c r="AF377" s="17">
        <f t="shared" si="147"/>
        <v>0</v>
      </c>
      <c r="AG377" s="17">
        <f t="shared" si="148"/>
        <v>10373.842685499292</v>
      </c>
      <c r="AH377" s="17">
        <f t="shared" si="149"/>
        <v>515226.44932782761</v>
      </c>
      <c r="AI377" s="15">
        <f t="shared" si="141"/>
        <v>1</v>
      </c>
    </row>
    <row r="378" spans="1:35">
      <c r="A378" s="14">
        <v>335</v>
      </c>
      <c r="B378" s="15">
        <f t="shared" si="125"/>
        <v>28</v>
      </c>
      <c r="C378" s="16">
        <f>(1+INDEX('1 - Input'!$B$34:$E$63,B378,'1 - Input'!$B$16))^(1/12)-1</f>
        <v>4.1219243192651689E-3</v>
      </c>
      <c r="D378" s="17">
        <f>'1 - Input'!$B$7*(1+'1 - Input'!$B$12)^(B378-1)</f>
        <v>4608.5934869309822</v>
      </c>
      <c r="E378" s="17">
        <f t="shared" si="142"/>
        <v>0</v>
      </c>
      <c r="F378" s="17">
        <f t="shared" si="143"/>
        <v>0</v>
      </c>
      <c r="G378" s="17">
        <f t="shared" si="126"/>
        <v>0</v>
      </c>
      <c r="H378" s="17">
        <f>0</f>
        <v>0</v>
      </c>
      <c r="I378" s="17">
        <f t="shared" si="127"/>
        <v>0</v>
      </c>
      <c r="J378" s="17">
        <f t="shared" si="128"/>
        <v>0</v>
      </c>
      <c r="K378" s="17">
        <f>'1 - Input'!$B$22*(H378-J378)</f>
        <v>0</v>
      </c>
      <c r="L378" s="17">
        <f t="shared" si="129"/>
        <v>0</v>
      </c>
      <c r="M378" s="17">
        <f t="shared" si="130"/>
        <v>0</v>
      </c>
      <c r="N378" s="17">
        <f>0</f>
        <v>0</v>
      </c>
      <c r="O378" s="17">
        <f t="shared" si="131"/>
        <v>4608.5934869309822</v>
      </c>
      <c r="P378" s="17">
        <f t="shared" si="132"/>
        <v>0</v>
      </c>
      <c r="Q378" s="17">
        <f>IF(AND(O378&gt;0,I378&gt;0),O378/(1-'1 - Input'!$B$22*P378),0)</f>
        <v>0</v>
      </c>
      <c r="R378" s="17">
        <f t="shared" si="133"/>
        <v>0</v>
      </c>
      <c r="S378" s="17">
        <f>'1 - Input'!$B$22*P378*R378</f>
        <v>0</v>
      </c>
      <c r="T378" s="17">
        <f t="shared" si="134"/>
        <v>0</v>
      </c>
      <c r="U378" s="17">
        <f t="shared" si="135"/>
        <v>4608.5934869309822</v>
      </c>
      <c r="V378" s="17">
        <f t="shared" si="136"/>
        <v>0</v>
      </c>
      <c r="W378" s="17">
        <f t="shared" si="137"/>
        <v>0</v>
      </c>
      <c r="X378" s="17">
        <f t="shared" si="138"/>
        <v>0</v>
      </c>
      <c r="Y378" s="17">
        <f>IF(MOD(A378,12)=0,W378*'1 - Input'!$B$23,0)</f>
        <v>0</v>
      </c>
      <c r="Z378" s="17">
        <f t="shared" si="139"/>
        <v>0</v>
      </c>
      <c r="AA378" s="17">
        <f>IF(MOD(A378,12)=0,X378*(1-'1 - Input'!$B$23),X378)</f>
        <v>0</v>
      </c>
      <c r="AB378" s="17">
        <f t="shared" si="140"/>
        <v>0</v>
      </c>
      <c r="AC378" s="17">
        <f t="shared" si="144"/>
        <v>676015.57770007267</v>
      </c>
      <c r="AD378" s="17">
        <f t="shared" si="145"/>
        <v>0</v>
      </c>
      <c r="AE378" s="17">
        <f t="shared" si="146"/>
        <v>69240.414874846756</v>
      </c>
      <c r="AF378" s="17">
        <f t="shared" si="147"/>
        <v>0</v>
      </c>
      <c r="AG378" s="17">
        <f t="shared" si="148"/>
        <v>10373.842685499292</v>
      </c>
      <c r="AH378" s="17">
        <f t="shared" si="149"/>
        <v>519835.04281475861</v>
      </c>
      <c r="AI378" s="15">
        <f t="shared" si="141"/>
        <v>1</v>
      </c>
    </row>
    <row r="379" spans="1:35">
      <c r="A379" s="14">
        <v>336</v>
      </c>
      <c r="B379" s="15">
        <f t="shared" si="125"/>
        <v>28</v>
      </c>
      <c r="C379" s="16">
        <f>(1+INDEX('1 - Input'!$B$34:$E$63,B379,'1 - Input'!$B$16))^(1/12)-1</f>
        <v>4.1219243192651689E-3</v>
      </c>
      <c r="D379" s="17">
        <f>'1 - Input'!$B$7*(1+'1 - Input'!$B$12)^(B379-1)</f>
        <v>4608.5934869309822</v>
      </c>
      <c r="E379" s="17">
        <f t="shared" si="142"/>
        <v>0</v>
      </c>
      <c r="F379" s="17">
        <f t="shared" si="143"/>
        <v>0</v>
      </c>
      <c r="G379" s="17">
        <f t="shared" si="126"/>
        <v>0</v>
      </c>
      <c r="H379" s="17">
        <f>0</f>
        <v>0</v>
      </c>
      <c r="I379" s="17">
        <f t="shared" si="127"/>
        <v>0</v>
      </c>
      <c r="J379" s="17">
        <f t="shared" si="128"/>
        <v>0</v>
      </c>
      <c r="K379" s="17">
        <f>'1 - Input'!$B$22*(H379-J379)</f>
        <v>0</v>
      </c>
      <c r="L379" s="17">
        <f t="shared" si="129"/>
        <v>0</v>
      </c>
      <c r="M379" s="17">
        <f t="shared" si="130"/>
        <v>0</v>
      </c>
      <c r="N379" s="17">
        <f>0</f>
        <v>0</v>
      </c>
      <c r="O379" s="17">
        <f t="shared" si="131"/>
        <v>4608.5934869309822</v>
      </c>
      <c r="P379" s="17">
        <f t="shared" si="132"/>
        <v>0</v>
      </c>
      <c r="Q379" s="17">
        <f>IF(AND(O379&gt;0,I379&gt;0),O379/(1-'1 - Input'!$B$22*P379),0)</f>
        <v>0</v>
      </c>
      <c r="R379" s="17">
        <f t="shared" si="133"/>
        <v>0</v>
      </c>
      <c r="S379" s="17">
        <f>'1 - Input'!$B$22*P379*R379</f>
        <v>0</v>
      </c>
      <c r="T379" s="17">
        <f t="shared" si="134"/>
        <v>0</v>
      </c>
      <c r="U379" s="17">
        <f t="shared" si="135"/>
        <v>4608.5934869309822</v>
      </c>
      <c r="V379" s="17">
        <f t="shared" si="136"/>
        <v>0</v>
      </c>
      <c r="W379" s="17">
        <f t="shared" si="137"/>
        <v>0</v>
      </c>
      <c r="X379" s="17">
        <f t="shared" si="138"/>
        <v>0</v>
      </c>
      <c r="Y379" s="17">
        <f>IF(MOD(A379,12)=0,W379*'1 - Input'!$B$23,0)</f>
        <v>0</v>
      </c>
      <c r="Z379" s="17">
        <f t="shared" si="139"/>
        <v>0</v>
      </c>
      <c r="AA379" s="17">
        <f>IF(MOD(A379,12)=0,X379*(1-'1 - Input'!$B$23),X379)</f>
        <v>0</v>
      </c>
      <c r="AB379" s="17">
        <f t="shared" si="140"/>
        <v>0</v>
      </c>
      <c r="AC379" s="17">
        <f t="shared" si="144"/>
        <v>676015.57770007267</v>
      </c>
      <c r="AD379" s="17">
        <f t="shared" si="145"/>
        <v>0</v>
      </c>
      <c r="AE379" s="17">
        <f t="shared" si="146"/>
        <v>69240.414874846756</v>
      </c>
      <c r="AF379" s="17">
        <f t="shared" si="147"/>
        <v>0</v>
      </c>
      <c r="AG379" s="17">
        <f t="shared" si="148"/>
        <v>10373.842685499292</v>
      </c>
      <c r="AH379" s="17">
        <f t="shared" si="149"/>
        <v>524443.63630168955</v>
      </c>
      <c r="AI379" s="15">
        <f t="shared" si="141"/>
        <v>1</v>
      </c>
    </row>
    <row r="380" spans="1:35">
      <c r="A380" s="14">
        <v>337</v>
      </c>
      <c r="B380" s="15">
        <f t="shared" si="125"/>
        <v>29</v>
      </c>
      <c r="C380" s="16">
        <f>(1+INDEX('1 - Input'!$B$34:$E$63,B380,'1 - Input'!$B$16))^(1/12)-1</f>
        <v>4.1219243192651689E-3</v>
      </c>
      <c r="D380" s="17">
        <f>'1 - Input'!$B$7*(1+'1 - Input'!$B$12)^(B380-1)</f>
        <v>4700.7653566696026</v>
      </c>
      <c r="E380" s="17">
        <f t="shared" si="142"/>
        <v>0</v>
      </c>
      <c r="F380" s="17">
        <f t="shared" si="143"/>
        <v>0</v>
      </c>
      <c r="G380" s="17">
        <f t="shared" si="126"/>
        <v>0</v>
      </c>
      <c r="H380" s="17">
        <f>0</f>
        <v>0</v>
      </c>
      <c r="I380" s="17">
        <f t="shared" si="127"/>
        <v>0</v>
      </c>
      <c r="J380" s="17">
        <f t="shared" si="128"/>
        <v>0</v>
      </c>
      <c r="K380" s="17">
        <f>'1 - Input'!$B$22*(H380-J380)</f>
        <v>0</v>
      </c>
      <c r="L380" s="17">
        <f t="shared" si="129"/>
        <v>0</v>
      </c>
      <c r="M380" s="17">
        <f t="shared" si="130"/>
        <v>0</v>
      </c>
      <c r="N380" s="17">
        <f>0</f>
        <v>0</v>
      </c>
      <c r="O380" s="17">
        <f t="shared" si="131"/>
        <v>4700.7653566696026</v>
      </c>
      <c r="P380" s="17">
        <f t="shared" si="132"/>
        <v>0</v>
      </c>
      <c r="Q380" s="17">
        <f>IF(AND(O380&gt;0,I380&gt;0),O380/(1-'1 - Input'!$B$22*P380),0)</f>
        <v>0</v>
      </c>
      <c r="R380" s="17">
        <f t="shared" si="133"/>
        <v>0</v>
      </c>
      <c r="S380" s="17">
        <f>'1 - Input'!$B$22*P380*R380</f>
        <v>0</v>
      </c>
      <c r="T380" s="17">
        <f t="shared" si="134"/>
        <v>0</v>
      </c>
      <c r="U380" s="17">
        <f t="shared" si="135"/>
        <v>4700.7653566696026</v>
      </c>
      <c r="V380" s="17">
        <f t="shared" si="136"/>
        <v>0</v>
      </c>
      <c r="W380" s="17">
        <f t="shared" si="137"/>
        <v>0</v>
      </c>
      <c r="X380" s="17">
        <f t="shared" si="138"/>
        <v>0</v>
      </c>
      <c r="Y380" s="17">
        <f>IF(MOD(A380,12)=0,W380*'1 - Input'!$B$23,0)</f>
        <v>0</v>
      </c>
      <c r="Z380" s="17">
        <f t="shared" si="139"/>
        <v>0</v>
      </c>
      <c r="AA380" s="17">
        <f>IF(MOD(A380,12)=0,X380*(1-'1 - Input'!$B$23),X380)</f>
        <v>0</v>
      </c>
      <c r="AB380" s="17">
        <f t="shared" si="140"/>
        <v>0</v>
      </c>
      <c r="AC380" s="17">
        <f t="shared" si="144"/>
        <v>676015.57770007267</v>
      </c>
      <c r="AD380" s="17">
        <f t="shared" si="145"/>
        <v>0</v>
      </c>
      <c r="AE380" s="17">
        <f t="shared" si="146"/>
        <v>69240.414874846756</v>
      </c>
      <c r="AF380" s="17">
        <f t="shared" si="147"/>
        <v>0</v>
      </c>
      <c r="AG380" s="17">
        <f t="shared" si="148"/>
        <v>10373.842685499292</v>
      </c>
      <c r="AH380" s="17">
        <f t="shared" si="149"/>
        <v>529144.4016583591</v>
      </c>
      <c r="AI380" s="15">
        <f t="shared" si="141"/>
        <v>1</v>
      </c>
    </row>
    <row r="381" spans="1:35">
      <c r="A381" s="14">
        <v>338</v>
      </c>
      <c r="B381" s="15">
        <f t="shared" si="125"/>
        <v>29</v>
      </c>
      <c r="C381" s="16">
        <f>(1+INDEX('1 - Input'!$B$34:$E$63,B381,'1 - Input'!$B$16))^(1/12)-1</f>
        <v>4.1219243192651689E-3</v>
      </c>
      <c r="D381" s="17">
        <f>'1 - Input'!$B$7*(1+'1 - Input'!$B$12)^(B381-1)</f>
        <v>4700.7653566696026</v>
      </c>
      <c r="E381" s="17">
        <f t="shared" si="142"/>
        <v>0</v>
      </c>
      <c r="F381" s="17">
        <f t="shared" si="143"/>
        <v>0</v>
      </c>
      <c r="G381" s="17">
        <f t="shared" si="126"/>
        <v>0</v>
      </c>
      <c r="H381" s="17">
        <f>0</f>
        <v>0</v>
      </c>
      <c r="I381" s="17">
        <f t="shared" si="127"/>
        <v>0</v>
      </c>
      <c r="J381" s="17">
        <f t="shared" si="128"/>
        <v>0</v>
      </c>
      <c r="K381" s="17">
        <f>'1 - Input'!$B$22*(H381-J381)</f>
        <v>0</v>
      </c>
      <c r="L381" s="17">
        <f t="shared" si="129"/>
        <v>0</v>
      </c>
      <c r="M381" s="17">
        <f t="shared" si="130"/>
        <v>0</v>
      </c>
      <c r="N381" s="17">
        <f>0</f>
        <v>0</v>
      </c>
      <c r="O381" s="17">
        <f t="shared" si="131"/>
        <v>4700.7653566696026</v>
      </c>
      <c r="P381" s="17">
        <f t="shared" si="132"/>
        <v>0</v>
      </c>
      <c r="Q381" s="17">
        <f>IF(AND(O381&gt;0,I381&gt;0),O381/(1-'1 - Input'!$B$22*P381),0)</f>
        <v>0</v>
      </c>
      <c r="R381" s="17">
        <f t="shared" si="133"/>
        <v>0</v>
      </c>
      <c r="S381" s="17">
        <f>'1 - Input'!$B$22*P381*R381</f>
        <v>0</v>
      </c>
      <c r="T381" s="17">
        <f t="shared" si="134"/>
        <v>0</v>
      </c>
      <c r="U381" s="17">
        <f t="shared" si="135"/>
        <v>4700.7653566696026</v>
      </c>
      <c r="V381" s="17">
        <f t="shared" si="136"/>
        <v>0</v>
      </c>
      <c r="W381" s="17">
        <f t="shared" si="137"/>
        <v>0</v>
      </c>
      <c r="X381" s="17">
        <f t="shared" si="138"/>
        <v>0</v>
      </c>
      <c r="Y381" s="17">
        <f>IF(MOD(A381,12)=0,W381*'1 - Input'!$B$23,0)</f>
        <v>0</v>
      </c>
      <c r="Z381" s="17">
        <f t="shared" si="139"/>
        <v>0</v>
      </c>
      <c r="AA381" s="17">
        <f>IF(MOD(A381,12)=0,X381*(1-'1 - Input'!$B$23),X381)</f>
        <v>0</v>
      </c>
      <c r="AB381" s="17">
        <f t="shared" si="140"/>
        <v>0</v>
      </c>
      <c r="AC381" s="17">
        <f t="shared" si="144"/>
        <v>676015.57770007267</v>
      </c>
      <c r="AD381" s="17">
        <f t="shared" si="145"/>
        <v>0</v>
      </c>
      <c r="AE381" s="17">
        <f t="shared" si="146"/>
        <v>69240.414874846756</v>
      </c>
      <c r="AF381" s="17">
        <f t="shared" si="147"/>
        <v>0</v>
      </c>
      <c r="AG381" s="17">
        <f t="shared" si="148"/>
        <v>10373.842685499292</v>
      </c>
      <c r="AH381" s="17">
        <f t="shared" si="149"/>
        <v>533845.16701502865</v>
      </c>
      <c r="AI381" s="15">
        <f t="shared" si="141"/>
        <v>1</v>
      </c>
    </row>
    <row r="382" spans="1:35">
      <c r="A382" s="14">
        <v>339</v>
      </c>
      <c r="B382" s="15">
        <f t="shared" si="125"/>
        <v>29</v>
      </c>
      <c r="C382" s="16">
        <f>(1+INDEX('1 - Input'!$B$34:$E$63,B382,'1 - Input'!$B$16))^(1/12)-1</f>
        <v>4.1219243192651689E-3</v>
      </c>
      <c r="D382" s="17">
        <f>'1 - Input'!$B$7*(1+'1 - Input'!$B$12)^(B382-1)</f>
        <v>4700.7653566696026</v>
      </c>
      <c r="E382" s="17">
        <f t="shared" si="142"/>
        <v>0</v>
      </c>
      <c r="F382" s="17">
        <f t="shared" si="143"/>
        <v>0</v>
      </c>
      <c r="G382" s="17">
        <f t="shared" si="126"/>
        <v>0</v>
      </c>
      <c r="H382" s="17">
        <f>0</f>
        <v>0</v>
      </c>
      <c r="I382" s="17">
        <f t="shared" si="127"/>
        <v>0</v>
      </c>
      <c r="J382" s="17">
        <f t="shared" si="128"/>
        <v>0</v>
      </c>
      <c r="K382" s="17">
        <f>'1 - Input'!$B$22*(H382-J382)</f>
        <v>0</v>
      </c>
      <c r="L382" s="17">
        <f t="shared" si="129"/>
        <v>0</v>
      </c>
      <c r="M382" s="17">
        <f t="shared" si="130"/>
        <v>0</v>
      </c>
      <c r="N382" s="17">
        <f>0</f>
        <v>0</v>
      </c>
      <c r="O382" s="17">
        <f t="shared" si="131"/>
        <v>4700.7653566696026</v>
      </c>
      <c r="P382" s="17">
        <f t="shared" si="132"/>
        <v>0</v>
      </c>
      <c r="Q382" s="17">
        <f>IF(AND(O382&gt;0,I382&gt;0),O382/(1-'1 - Input'!$B$22*P382),0)</f>
        <v>0</v>
      </c>
      <c r="R382" s="17">
        <f t="shared" si="133"/>
        <v>0</v>
      </c>
      <c r="S382" s="17">
        <f>'1 - Input'!$B$22*P382*R382</f>
        <v>0</v>
      </c>
      <c r="T382" s="17">
        <f t="shared" si="134"/>
        <v>0</v>
      </c>
      <c r="U382" s="17">
        <f t="shared" si="135"/>
        <v>4700.7653566696026</v>
      </c>
      <c r="V382" s="17">
        <f t="shared" si="136"/>
        <v>0</v>
      </c>
      <c r="W382" s="17">
        <f t="shared" si="137"/>
        <v>0</v>
      </c>
      <c r="X382" s="17">
        <f t="shared" si="138"/>
        <v>0</v>
      </c>
      <c r="Y382" s="17">
        <f>IF(MOD(A382,12)=0,W382*'1 - Input'!$B$23,0)</f>
        <v>0</v>
      </c>
      <c r="Z382" s="17">
        <f t="shared" si="139"/>
        <v>0</v>
      </c>
      <c r="AA382" s="17">
        <f>IF(MOD(A382,12)=0,X382*(1-'1 - Input'!$B$23),X382)</f>
        <v>0</v>
      </c>
      <c r="AB382" s="17">
        <f t="shared" si="140"/>
        <v>0</v>
      </c>
      <c r="AC382" s="17">
        <f t="shared" si="144"/>
        <v>676015.57770007267</v>
      </c>
      <c r="AD382" s="17">
        <f t="shared" si="145"/>
        <v>0</v>
      </c>
      <c r="AE382" s="17">
        <f t="shared" si="146"/>
        <v>69240.414874846756</v>
      </c>
      <c r="AF382" s="17">
        <f t="shared" si="147"/>
        <v>0</v>
      </c>
      <c r="AG382" s="17">
        <f t="shared" si="148"/>
        <v>10373.842685499292</v>
      </c>
      <c r="AH382" s="17">
        <f t="shared" si="149"/>
        <v>538545.9323716982</v>
      </c>
      <c r="AI382" s="15">
        <f t="shared" si="141"/>
        <v>1</v>
      </c>
    </row>
    <row r="383" spans="1:35">
      <c r="A383" s="14">
        <v>340</v>
      </c>
      <c r="B383" s="15">
        <f t="shared" si="125"/>
        <v>29</v>
      </c>
      <c r="C383" s="16">
        <f>(1+INDEX('1 - Input'!$B$34:$E$63,B383,'1 - Input'!$B$16))^(1/12)-1</f>
        <v>4.1219243192651689E-3</v>
      </c>
      <c r="D383" s="17">
        <f>'1 - Input'!$B$7*(1+'1 - Input'!$B$12)^(B383-1)</f>
        <v>4700.7653566696026</v>
      </c>
      <c r="E383" s="17">
        <f t="shared" si="142"/>
        <v>0</v>
      </c>
      <c r="F383" s="17">
        <f t="shared" si="143"/>
        <v>0</v>
      </c>
      <c r="G383" s="17">
        <f t="shared" si="126"/>
        <v>0</v>
      </c>
      <c r="H383" s="17">
        <f>0</f>
        <v>0</v>
      </c>
      <c r="I383" s="17">
        <f t="shared" si="127"/>
        <v>0</v>
      </c>
      <c r="J383" s="17">
        <f t="shared" si="128"/>
        <v>0</v>
      </c>
      <c r="K383" s="17">
        <f>'1 - Input'!$B$22*(H383-J383)</f>
        <v>0</v>
      </c>
      <c r="L383" s="17">
        <f t="shared" si="129"/>
        <v>0</v>
      </c>
      <c r="M383" s="17">
        <f t="shared" si="130"/>
        <v>0</v>
      </c>
      <c r="N383" s="17">
        <f>0</f>
        <v>0</v>
      </c>
      <c r="O383" s="17">
        <f t="shared" si="131"/>
        <v>4700.7653566696026</v>
      </c>
      <c r="P383" s="17">
        <f t="shared" si="132"/>
        <v>0</v>
      </c>
      <c r="Q383" s="17">
        <f>IF(AND(O383&gt;0,I383&gt;0),O383/(1-'1 - Input'!$B$22*P383),0)</f>
        <v>0</v>
      </c>
      <c r="R383" s="17">
        <f t="shared" si="133"/>
        <v>0</v>
      </c>
      <c r="S383" s="17">
        <f>'1 - Input'!$B$22*P383*R383</f>
        <v>0</v>
      </c>
      <c r="T383" s="17">
        <f t="shared" si="134"/>
        <v>0</v>
      </c>
      <c r="U383" s="17">
        <f t="shared" si="135"/>
        <v>4700.7653566696026</v>
      </c>
      <c r="V383" s="17">
        <f t="shared" si="136"/>
        <v>0</v>
      </c>
      <c r="W383" s="17">
        <f t="shared" si="137"/>
        <v>0</v>
      </c>
      <c r="X383" s="17">
        <f t="shared" si="138"/>
        <v>0</v>
      </c>
      <c r="Y383" s="17">
        <f>IF(MOD(A383,12)=0,W383*'1 - Input'!$B$23,0)</f>
        <v>0</v>
      </c>
      <c r="Z383" s="17">
        <f t="shared" si="139"/>
        <v>0</v>
      </c>
      <c r="AA383" s="17">
        <f>IF(MOD(A383,12)=0,X383*(1-'1 - Input'!$B$23),X383)</f>
        <v>0</v>
      </c>
      <c r="AB383" s="17">
        <f t="shared" si="140"/>
        <v>0</v>
      </c>
      <c r="AC383" s="17">
        <f t="shared" si="144"/>
        <v>676015.57770007267</v>
      </c>
      <c r="AD383" s="17">
        <f t="shared" si="145"/>
        <v>0</v>
      </c>
      <c r="AE383" s="17">
        <f t="shared" si="146"/>
        <v>69240.414874846756</v>
      </c>
      <c r="AF383" s="17">
        <f t="shared" si="147"/>
        <v>0</v>
      </c>
      <c r="AG383" s="17">
        <f t="shared" si="148"/>
        <v>10373.842685499292</v>
      </c>
      <c r="AH383" s="17">
        <f t="shared" si="149"/>
        <v>543246.69772836776</v>
      </c>
      <c r="AI383" s="15">
        <f t="shared" si="141"/>
        <v>1</v>
      </c>
    </row>
    <row r="384" spans="1:35">
      <c r="A384" s="14">
        <v>341</v>
      </c>
      <c r="B384" s="15">
        <f t="shared" si="125"/>
        <v>29</v>
      </c>
      <c r="C384" s="16">
        <f>(1+INDEX('1 - Input'!$B$34:$E$63,B384,'1 - Input'!$B$16))^(1/12)-1</f>
        <v>4.1219243192651689E-3</v>
      </c>
      <c r="D384" s="17">
        <f>'1 - Input'!$B$7*(1+'1 - Input'!$B$12)^(B384-1)</f>
        <v>4700.7653566696026</v>
      </c>
      <c r="E384" s="17">
        <f t="shared" si="142"/>
        <v>0</v>
      </c>
      <c r="F384" s="17">
        <f t="shared" si="143"/>
        <v>0</v>
      </c>
      <c r="G384" s="17">
        <f t="shared" si="126"/>
        <v>0</v>
      </c>
      <c r="H384" s="17">
        <f>0</f>
        <v>0</v>
      </c>
      <c r="I384" s="17">
        <f t="shared" si="127"/>
        <v>0</v>
      </c>
      <c r="J384" s="17">
        <f t="shared" si="128"/>
        <v>0</v>
      </c>
      <c r="K384" s="17">
        <f>'1 - Input'!$B$22*(H384-J384)</f>
        <v>0</v>
      </c>
      <c r="L384" s="17">
        <f t="shared" si="129"/>
        <v>0</v>
      </c>
      <c r="M384" s="17">
        <f t="shared" si="130"/>
        <v>0</v>
      </c>
      <c r="N384" s="17">
        <f>0</f>
        <v>0</v>
      </c>
      <c r="O384" s="17">
        <f t="shared" si="131"/>
        <v>4700.7653566696026</v>
      </c>
      <c r="P384" s="17">
        <f t="shared" si="132"/>
        <v>0</v>
      </c>
      <c r="Q384" s="17">
        <f>IF(AND(O384&gt;0,I384&gt;0),O384/(1-'1 - Input'!$B$22*P384),0)</f>
        <v>0</v>
      </c>
      <c r="R384" s="17">
        <f t="shared" si="133"/>
        <v>0</v>
      </c>
      <c r="S384" s="17">
        <f>'1 - Input'!$B$22*P384*R384</f>
        <v>0</v>
      </c>
      <c r="T384" s="17">
        <f t="shared" si="134"/>
        <v>0</v>
      </c>
      <c r="U384" s="17">
        <f t="shared" si="135"/>
        <v>4700.7653566696026</v>
      </c>
      <c r="V384" s="17">
        <f t="shared" si="136"/>
        <v>0</v>
      </c>
      <c r="W384" s="17">
        <f t="shared" si="137"/>
        <v>0</v>
      </c>
      <c r="X384" s="17">
        <f t="shared" si="138"/>
        <v>0</v>
      </c>
      <c r="Y384" s="17">
        <f>IF(MOD(A384,12)=0,W384*'1 - Input'!$B$23,0)</f>
        <v>0</v>
      </c>
      <c r="Z384" s="17">
        <f t="shared" si="139"/>
        <v>0</v>
      </c>
      <c r="AA384" s="17">
        <f>IF(MOD(A384,12)=0,X384*(1-'1 - Input'!$B$23),X384)</f>
        <v>0</v>
      </c>
      <c r="AB384" s="17">
        <f t="shared" si="140"/>
        <v>0</v>
      </c>
      <c r="AC384" s="17">
        <f t="shared" si="144"/>
        <v>676015.57770007267</v>
      </c>
      <c r="AD384" s="17">
        <f t="shared" si="145"/>
        <v>0</v>
      </c>
      <c r="AE384" s="17">
        <f t="shared" si="146"/>
        <v>69240.414874846756</v>
      </c>
      <c r="AF384" s="17">
        <f t="shared" si="147"/>
        <v>0</v>
      </c>
      <c r="AG384" s="17">
        <f t="shared" si="148"/>
        <v>10373.842685499292</v>
      </c>
      <c r="AH384" s="17">
        <f t="shared" si="149"/>
        <v>547947.46308503731</v>
      </c>
      <c r="AI384" s="15">
        <f t="shared" si="141"/>
        <v>1</v>
      </c>
    </row>
    <row r="385" spans="1:35">
      <c r="A385" s="14">
        <v>342</v>
      </c>
      <c r="B385" s="15">
        <f t="shared" si="125"/>
        <v>29</v>
      </c>
      <c r="C385" s="16">
        <f>(1+INDEX('1 - Input'!$B$34:$E$63,B385,'1 - Input'!$B$16))^(1/12)-1</f>
        <v>4.1219243192651689E-3</v>
      </c>
      <c r="D385" s="17">
        <f>'1 - Input'!$B$7*(1+'1 - Input'!$B$12)^(B385-1)</f>
        <v>4700.7653566696026</v>
      </c>
      <c r="E385" s="17">
        <f t="shared" si="142"/>
        <v>0</v>
      </c>
      <c r="F385" s="17">
        <f t="shared" si="143"/>
        <v>0</v>
      </c>
      <c r="G385" s="17">
        <f t="shared" si="126"/>
        <v>0</v>
      </c>
      <c r="H385" s="17">
        <f>0</f>
        <v>0</v>
      </c>
      <c r="I385" s="17">
        <f t="shared" si="127"/>
        <v>0</v>
      </c>
      <c r="J385" s="17">
        <f t="shared" si="128"/>
        <v>0</v>
      </c>
      <c r="K385" s="17">
        <f>'1 - Input'!$B$22*(H385-J385)</f>
        <v>0</v>
      </c>
      <c r="L385" s="17">
        <f t="shared" si="129"/>
        <v>0</v>
      </c>
      <c r="M385" s="17">
        <f t="shared" si="130"/>
        <v>0</v>
      </c>
      <c r="N385" s="17">
        <f>0</f>
        <v>0</v>
      </c>
      <c r="O385" s="17">
        <f t="shared" si="131"/>
        <v>4700.7653566696026</v>
      </c>
      <c r="P385" s="17">
        <f t="shared" si="132"/>
        <v>0</v>
      </c>
      <c r="Q385" s="17">
        <f>IF(AND(O385&gt;0,I385&gt;0),O385/(1-'1 - Input'!$B$22*P385),0)</f>
        <v>0</v>
      </c>
      <c r="R385" s="17">
        <f t="shared" si="133"/>
        <v>0</v>
      </c>
      <c r="S385" s="17">
        <f>'1 - Input'!$B$22*P385*R385</f>
        <v>0</v>
      </c>
      <c r="T385" s="17">
        <f t="shared" si="134"/>
        <v>0</v>
      </c>
      <c r="U385" s="17">
        <f t="shared" si="135"/>
        <v>4700.7653566696026</v>
      </c>
      <c r="V385" s="17">
        <f t="shared" si="136"/>
        <v>0</v>
      </c>
      <c r="W385" s="17">
        <f t="shared" si="137"/>
        <v>0</v>
      </c>
      <c r="X385" s="17">
        <f t="shared" si="138"/>
        <v>0</v>
      </c>
      <c r="Y385" s="17">
        <f>IF(MOD(A385,12)=0,W385*'1 - Input'!$B$23,0)</f>
        <v>0</v>
      </c>
      <c r="Z385" s="17">
        <f t="shared" si="139"/>
        <v>0</v>
      </c>
      <c r="AA385" s="17">
        <f>IF(MOD(A385,12)=0,X385*(1-'1 - Input'!$B$23),X385)</f>
        <v>0</v>
      </c>
      <c r="AB385" s="17">
        <f t="shared" si="140"/>
        <v>0</v>
      </c>
      <c r="AC385" s="17">
        <f t="shared" si="144"/>
        <v>676015.57770007267</v>
      </c>
      <c r="AD385" s="17">
        <f t="shared" si="145"/>
        <v>0</v>
      </c>
      <c r="AE385" s="17">
        <f t="shared" si="146"/>
        <v>69240.414874846756</v>
      </c>
      <c r="AF385" s="17">
        <f t="shared" si="147"/>
        <v>0</v>
      </c>
      <c r="AG385" s="17">
        <f t="shared" si="148"/>
        <v>10373.842685499292</v>
      </c>
      <c r="AH385" s="17">
        <f t="shared" si="149"/>
        <v>552648.22844170686</v>
      </c>
      <c r="AI385" s="15">
        <f t="shared" si="141"/>
        <v>1</v>
      </c>
    </row>
    <row r="386" spans="1:35">
      <c r="A386" s="14">
        <v>343</v>
      </c>
      <c r="B386" s="15">
        <f t="shared" si="125"/>
        <v>29</v>
      </c>
      <c r="C386" s="16">
        <f>(1+INDEX('1 - Input'!$B$34:$E$63,B386,'1 - Input'!$B$16))^(1/12)-1</f>
        <v>4.1219243192651689E-3</v>
      </c>
      <c r="D386" s="17">
        <f>'1 - Input'!$B$7*(1+'1 - Input'!$B$12)^(B386-1)</f>
        <v>4700.7653566696026</v>
      </c>
      <c r="E386" s="17">
        <f t="shared" si="142"/>
        <v>0</v>
      </c>
      <c r="F386" s="17">
        <f t="shared" si="143"/>
        <v>0</v>
      </c>
      <c r="G386" s="17">
        <f t="shared" si="126"/>
        <v>0</v>
      </c>
      <c r="H386" s="17">
        <f>0</f>
        <v>0</v>
      </c>
      <c r="I386" s="17">
        <f t="shared" si="127"/>
        <v>0</v>
      </c>
      <c r="J386" s="17">
        <f t="shared" si="128"/>
        <v>0</v>
      </c>
      <c r="K386" s="17">
        <f>'1 - Input'!$B$22*(H386-J386)</f>
        <v>0</v>
      </c>
      <c r="L386" s="17">
        <f t="shared" si="129"/>
        <v>0</v>
      </c>
      <c r="M386" s="17">
        <f t="shared" si="130"/>
        <v>0</v>
      </c>
      <c r="N386" s="17">
        <f>0</f>
        <v>0</v>
      </c>
      <c r="O386" s="17">
        <f t="shared" si="131"/>
        <v>4700.7653566696026</v>
      </c>
      <c r="P386" s="17">
        <f t="shared" si="132"/>
        <v>0</v>
      </c>
      <c r="Q386" s="17">
        <f>IF(AND(O386&gt;0,I386&gt;0),O386/(1-'1 - Input'!$B$22*P386),0)</f>
        <v>0</v>
      </c>
      <c r="R386" s="17">
        <f t="shared" si="133"/>
        <v>0</v>
      </c>
      <c r="S386" s="17">
        <f>'1 - Input'!$B$22*P386*R386</f>
        <v>0</v>
      </c>
      <c r="T386" s="17">
        <f t="shared" si="134"/>
        <v>0</v>
      </c>
      <c r="U386" s="17">
        <f t="shared" si="135"/>
        <v>4700.7653566696026</v>
      </c>
      <c r="V386" s="17">
        <f t="shared" si="136"/>
        <v>0</v>
      </c>
      <c r="W386" s="17">
        <f t="shared" si="137"/>
        <v>0</v>
      </c>
      <c r="X386" s="17">
        <f t="shared" si="138"/>
        <v>0</v>
      </c>
      <c r="Y386" s="17">
        <f>IF(MOD(A386,12)=0,W386*'1 - Input'!$B$23,0)</f>
        <v>0</v>
      </c>
      <c r="Z386" s="17">
        <f t="shared" si="139"/>
        <v>0</v>
      </c>
      <c r="AA386" s="17">
        <f>IF(MOD(A386,12)=0,X386*(1-'1 - Input'!$B$23),X386)</f>
        <v>0</v>
      </c>
      <c r="AB386" s="17">
        <f t="shared" si="140"/>
        <v>0</v>
      </c>
      <c r="AC386" s="17">
        <f t="shared" si="144"/>
        <v>676015.57770007267</v>
      </c>
      <c r="AD386" s="17">
        <f t="shared" si="145"/>
        <v>0</v>
      </c>
      <c r="AE386" s="17">
        <f t="shared" si="146"/>
        <v>69240.414874846756</v>
      </c>
      <c r="AF386" s="17">
        <f t="shared" si="147"/>
        <v>0</v>
      </c>
      <c r="AG386" s="17">
        <f t="shared" si="148"/>
        <v>10373.842685499292</v>
      </c>
      <c r="AH386" s="17">
        <f t="shared" si="149"/>
        <v>557348.99379837641</v>
      </c>
      <c r="AI386" s="15">
        <f t="shared" si="141"/>
        <v>1</v>
      </c>
    </row>
    <row r="387" spans="1:35">
      <c r="A387" s="14">
        <v>344</v>
      </c>
      <c r="B387" s="15">
        <f t="shared" si="125"/>
        <v>29</v>
      </c>
      <c r="C387" s="16">
        <f>(1+INDEX('1 - Input'!$B$34:$E$63,B387,'1 - Input'!$B$16))^(1/12)-1</f>
        <v>4.1219243192651689E-3</v>
      </c>
      <c r="D387" s="17">
        <f>'1 - Input'!$B$7*(1+'1 - Input'!$B$12)^(B387-1)</f>
        <v>4700.7653566696026</v>
      </c>
      <c r="E387" s="17">
        <f t="shared" si="142"/>
        <v>0</v>
      </c>
      <c r="F387" s="17">
        <f t="shared" si="143"/>
        <v>0</v>
      </c>
      <c r="G387" s="17">
        <f t="shared" si="126"/>
        <v>0</v>
      </c>
      <c r="H387" s="17">
        <f>0</f>
        <v>0</v>
      </c>
      <c r="I387" s="17">
        <f t="shared" si="127"/>
        <v>0</v>
      </c>
      <c r="J387" s="17">
        <f t="shared" si="128"/>
        <v>0</v>
      </c>
      <c r="K387" s="17">
        <f>'1 - Input'!$B$22*(H387-J387)</f>
        <v>0</v>
      </c>
      <c r="L387" s="17">
        <f t="shared" si="129"/>
        <v>0</v>
      </c>
      <c r="M387" s="17">
        <f t="shared" si="130"/>
        <v>0</v>
      </c>
      <c r="N387" s="17">
        <f>0</f>
        <v>0</v>
      </c>
      <c r="O387" s="17">
        <f t="shared" si="131"/>
        <v>4700.7653566696026</v>
      </c>
      <c r="P387" s="17">
        <f t="shared" si="132"/>
        <v>0</v>
      </c>
      <c r="Q387" s="17">
        <f>IF(AND(O387&gt;0,I387&gt;0),O387/(1-'1 - Input'!$B$22*P387),0)</f>
        <v>0</v>
      </c>
      <c r="R387" s="17">
        <f t="shared" si="133"/>
        <v>0</v>
      </c>
      <c r="S387" s="17">
        <f>'1 - Input'!$B$22*P387*R387</f>
        <v>0</v>
      </c>
      <c r="T387" s="17">
        <f t="shared" si="134"/>
        <v>0</v>
      </c>
      <c r="U387" s="17">
        <f t="shared" si="135"/>
        <v>4700.7653566696026</v>
      </c>
      <c r="V387" s="17">
        <f t="shared" si="136"/>
        <v>0</v>
      </c>
      <c r="W387" s="17">
        <f t="shared" si="137"/>
        <v>0</v>
      </c>
      <c r="X387" s="17">
        <f t="shared" si="138"/>
        <v>0</v>
      </c>
      <c r="Y387" s="17">
        <f>IF(MOD(A387,12)=0,W387*'1 - Input'!$B$23,0)</f>
        <v>0</v>
      </c>
      <c r="Z387" s="17">
        <f t="shared" si="139"/>
        <v>0</v>
      </c>
      <c r="AA387" s="17">
        <f>IF(MOD(A387,12)=0,X387*(1-'1 - Input'!$B$23),X387)</f>
        <v>0</v>
      </c>
      <c r="AB387" s="17">
        <f t="shared" si="140"/>
        <v>0</v>
      </c>
      <c r="AC387" s="17">
        <f t="shared" si="144"/>
        <v>676015.57770007267</v>
      </c>
      <c r="AD387" s="17">
        <f t="shared" si="145"/>
        <v>0</v>
      </c>
      <c r="AE387" s="17">
        <f t="shared" si="146"/>
        <v>69240.414874846756</v>
      </c>
      <c r="AF387" s="17">
        <f t="shared" si="147"/>
        <v>0</v>
      </c>
      <c r="AG387" s="17">
        <f t="shared" si="148"/>
        <v>10373.842685499292</v>
      </c>
      <c r="AH387" s="17">
        <f t="shared" si="149"/>
        <v>562049.75915504596</v>
      </c>
      <c r="AI387" s="15">
        <f t="shared" si="141"/>
        <v>1</v>
      </c>
    </row>
    <row r="388" spans="1:35">
      <c r="A388" s="14">
        <v>345</v>
      </c>
      <c r="B388" s="15">
        <f t="shared" si="125"/>
        <v>29</v>
      </c>
      <c r="C388" s="16">
        <f>(1+INDEX('1 - Input'!$B$34:$E$63,B388,'1 - Input'!$B$16))^(1/12)-1</f>
        <v>4.1219243192651689E-3</v>
      </c>
      <c r="D388" s="17">
        <f>'1 - Input'!$B$7*(1+'1 - Input'!$B$12)^(B388-1)</f>
        <v>4700.7653566696026</v>
      </c>
      <c r="E388" s="17">
        <f t="shared" si="142"/>
        <v>0</v>
      </c>
      <c r="F388" s="17">
        <f t="shared" si="143"/>
        <v>0</v>
      </c>
      <c r="G388" s="17">
        <f t="shared" si="126"/>
        <v>0</v>
      </c>
      <c r="H388" s="17">
        <f>0</f>
        <v>0</v>
      </c>
      <c r="I388" s="17">
        <f t="shared" si="127"/>
        <v>0</v>
      </c>
      <c r="J388" s="17">
        <f t="shared" si="128"/>
        <v>0</v>
      </c>
      <c r="K388" s="17">
        <f>'1 - Input'!$B$22*(H388-J388)</f>
        <v>0</v>
      </c>
      <c r="L388" s="17">
        <f t="shared" si="129"/>
        <v>0</v>
      </c>
      <c r="M388" s="17">
        <f t="shared" si="130"/>
        <v>0</v>
      </c>
      <c r="N388" s="17">
        <f>0</f>
        <v>0</v>
      </c>
      <c r="O388" s="17">
        <f t="shared" si="131"/>
        <v>4700.7653566696026</v>
      </c>
      <c r="P388" s="17">
        <f t="shared" si="132"/>
        <v>0</v>
      </c>
      <c r="Q388" s="17">
        <f>IF(AND(O388&gt;0,I388&gt;0),O388/(1-'1 - Input'!$B$22*P388),0)</f>
        <v>0</v>
      </c>
      <c r="R388" s="17">
        <f t="shared" si="133"/>
        <v>0</v>
      </c>
      <c r="S388" s="17">
        <f>'1 - Input'!$B$22*P388*R388</f>
        <v>0</v>
      </c>
      <c r="T388" s="17">
        <f t="shared" si="134"/>
        <v>0</v>
      </c>
      <c r="U388" s="17">
        <f t="shared" si="135"/>
        <v>4700.7653566696026</v>
      </c>
      <c r="V388" s="17">
        <f t="shared" si="136"/>
        <v>0</v>
      </c>
      <c r="W388" s="17">
        <f t="shared" si="137"/>
        <v>0</v>
      </c>
      <c r="X388" s="17">
        <f t="shared" si="138"/>
        <v>0</v>
      </c>
      <c r="Y388" s="17">
        <f>IF(MOD(A388,12)=0,W388*'1 - Input'!$B$23,0)</f>
        <v>0</v>
      </c>
      <c r="Z388" s="17">
        <f t="shared" si="139"/>
        <v>0</v>
      </c>
      <c r="AA388" s="17">
        <f>IF(MOD(A388,12)=0,X388*(1-'1 - Input'!$B$23),X388)</f>
        <v>0</v>
      </c>
      <c r="AB388" s="17">
        <f t="shared" si="140"/>
        <v>0</v>
      </c>
      <c r="AC388" s="17">
        <f t="shared" si="144"/>
        <v>676015.57770007267</v>
      </c>
      <c r="AD388" s="17">
        <f t="shared" si="145"/>
        <v>0</v>
      </c>
      <c r="AE388" s="17">
        <f t="shared" si="146"/>
        <v>69240.414874846756</v>
      </c>
      <c r="AF388" s="17">
        <f t="shared" si="147"/>
        <v>0</v>
      </c>
      <c r="AG388" s="17">
        <f t="shared" si="148"/>
        <v>10373.842685499292</v>
      </c>
      <c r="AH388" s="17">
        <f t="shared" si="149"/>
        <v>566750.52451171551</v>
      </c>
      <c r="AI388" s="15">
        <f t="shared" si="141"/>
        <v>1</v>
      </c>
    </row>
    <row r="389" spans="1:35">
      <c r="A389" s="14">
        <v>346</v>
      </c>
      <c r="B389" s="15">
        <f t="shared" si="125"/>
        <v>29</v>
      </c>
      <c r="C389" s="16">
        <f>(1+INDEX('1 - Input'!$B$34:$E$63,B389,'1 - Input'!$B$16))^(1/12)-1</f>
        <v>4.1219243192651689E-3</v>
      </c>
      <c r="D389" s="17">
        <f>'1 - Input'!$B$7*(1+'1 - Input'!$B$12)^(B389-1)</f>
        <v>4700.7653566696026</v>
      </c>
      <c r="E389" s="17">
        <f t="shared" si="142"/>
        <v>0</v>
      </c>
      <c r="F389" s="17">
        <f t="shared" si="143"/>
        <v>0</v>
      </c>
      <c r="G389" s="17">
        <f t="shared" si="126"/>
        <v>0</v>
      </c>
      <c r="H389" s="17">
        <f>0</f>
        <v>0</v>
      </c>
      <c r="I389" s="17">
        <f t="shared" si="127"/>
        <v>0</v>
      </c>
      <c r="J389" s="17">
        <f t="shared" si="128"/>
        <v>0</v>
      </c>
      <c r="K389" s="17">
        <f>'1 - Input'!$B$22*(H389-J389)</f>
        <v>0</v>
      </c>
      <c r="L389" s="17">
        <f t="shared" si="129"/>
        <v>0</v>
      </c>
      <c r="M389" s="17">
        <f t="shared" si="130"/>
        <v>0</v>
      </c>
      <c r="N389" s="17">
        <f>0</f>
        <v>0</v>
      </c>
      <c r="O389" s="17">
        <f t="shared" si="131"/>
        <v>4700.7653566696026</v>
      </c>
      <c r="P389" s="17">
        <f t="shared" si="132"/>
        <v>0</v>
      </c>
      <c r="Q389" s="17">
        <f>IF(AND(O389&gt;0,I389&gt;0),O389/(1-'1 - Input'!$B$22*P389),0)</f>
        <v>0</v>
      </c>
      <c r="R389" s="17">
        <f t="shared" si="133"/>
        <v>0</v>
      </c>
      <c r="S389" s="17">
        <f>'1 - Input'!$B$22*P389*R389</f>
        <v>0</v>
      </c>
      <c r="T389" s="17">
        <f t="shared" si="134"/>
        <v>0</v>
      </c>
      <c r="U389" s="17">
        <f t="shared" si="135"/>
        <v>4700.7653566696026</v>
      </c>
      <c r="V389" s="17">
        <f t="shared" si="136"/>
        <v>0</v>
      </c>
      <c r="W389" s="17">
        <f t="shared" si="137"/>
        <v>0</v>
      </c>
      <c r="X389" s="17">
        <f t="shared" si="138"/>
        <v>0</v>
      </c>
      <c r="Y389" s="17">
        <f>IF(MOD(A389,12)=0,W389*'1 - Input'!$B$23,0)</f>
        <v>0</v>
      </c>
      <c r="Z389" s="17">
        <f t="shared" si="139"/>
        <v>0</v>
      </c>
      <c r="AA389" s="17">
        <f>IF(MOD(A389,12)=0,X389*(1-'1 - Input'!$B$23),X389)</f>
        <v>0</v>
      </c>
      <c r="AB389" s="17">
        <f t="shared" si="140"/>
        <v>0</v>
      </c>
      <c r="AC389" s="17">
        <f t="shared" si="144"/>
        <v>676015.57770007267</v>
      </c>
      <c r="AD389" s="17">
        <f t="shared" si="145"/>
        <v>0</v>
      </c>
      <c r="AE389" s="17">
        <f t="shared" si="146"/>
        <v>69240.414874846756</v>
      </c>
      <c r="AF389" s="17">
        <f t="shared" si="147"/>
        <v>0</v>
      </c>
      <c r="AG389" s="17">
        <f t="shared" si="148"/>
        <v>10373.842685499292</v>
      </c>
      <c r="AH389" s="17">
        <f t="shared" si="149"/>
        <v>571451.28986838507</v>
      </c>
      <c r="AI389" s="15">
        <f t="shared" si="141"/>
        <v>1</v>
      </c>
    </row>
    <row r="390" spans="1:35">
      <c r="A390" s="14">
        <v>347</v>
      </c>
      <c r="B390" s="15">
        <f t="shared" si="125"/>
        <v>29</v>
      </c>
      <c r="C390" s="16">
        <f>(1+INDEX('1 - Input'!$B$34:$E$63,B390,'1 - Input'!$B$16))^(1/12)-1</f>
        <v>4.1219243192651689E-3</v>
      </c>
      <c r="D390" s="17">
        <f>'1 - Input'!$B$7*(1+'1 - Input'!$B$12)^(B390-1)</f>
        <v>4700.7653566696026</v>
      </c>
      <c r="E390" s="17">
        <f t="shared" si="142"/>
        <v>0</v>
      </c>
      <c r="F390" s="17">
        <f t="shared" si="143"/>
        <v>0</v>
      </c>
      <c r="G390" s="17">
        <f t="shared" si="126"/>
        <v>0</v>
      </c>
      <c r="H390" s="17">
        <f>0</f>
        <v>0</v>
      </c>
      <c r="I390" s="17">
        <f t="shared" si="127"/>
        <v>0</v>
      </c>
      <c r="J390" s="17">
        <f t="shared" si="128"/>
        <v>0</v>
      </c>
      <c r="K390" s="17">
        <f>'1 - Input'!$B$22*(H390-J390)</f>
        <v>0</v>
      </c>
      <c r="L390" s="17">
        <f t="shared" si="129"/>
        <v>0</v>
      </c>
      <c r="M390" s="17">
        <f t="shared" si="130"/>
        <v>0</v>
      </c>
      <c r="N390" s="17">
        <f>0</f>
        <v>0</v>
      </c>
      <c r="O390" s="17">
        <f t="shared" si="131"/>
        <v>4700.7653566696026</v>
      </c>
      <c r="P390" s="17">
        <f t="shared" si="132"/>
        <v>0</v>
      </c>
      <c r="Q390" s="17">
        <f>IF(AND(O390&gt;0,I390&gt;0),O390/(1-'1 - Input'!$B$22*P390),0)</f>
        <v>0</v>
      </c>
      <c r="R390" s="17">
        <f t="shared" si="133"/>
        <v>0</v>
      </c>
      <c r="S390" s="17">
        <f>'1 - Input'!$B$22*P390*R390</f>
        <v>0</v>
      </c>
      <c r="T390" s="17">
        <f t="shared" si="134"/>
        <v>0</v>
      </c>
      <c r="U390" s="17">
        <f t="shared" si="135"/>
        <v>4700.7653566696026</v>
      </c>
      <c r="V390" s="17">
        <f t="shared" si="136"/>
        <v>0</v>
      </c>
      <c r="W390" s="17">
        <f t="shared" si="137"/>
        <v>0</v>
      </c>
      <c r="X390" s="17">
        <f t="shared" si="138"/>
        <v>0</v>
      </c>
      <c r="Y390" s="17">
        <f>IF(MOD(A390,12)=0,W390*'1 - Input'!$B$23,0)</f>
        <v>0</v>
      </c>
      <c r="Z390" s="17">
        <f t="shared" si="139"/>
        <v>0</v>
      </c>
      <c r="AA390" s="17">
        <f>IF(MOD(A390,12)=0,X390*(1-'1 - Input'!$B$23),X390)</f>
        <v>0</v>
      </c>
      <c r="AB390" s="17">
        <f t="shared" si="140"/>
        <v>0</v>
      </c>
      <c r="AC390" s="17">
        <f t="shared" si="144"/>
        <v>676015.57770007267</v>
      </c>
      <c r="AD390" s="17">
        <f t="shared" si="145"/>
        <v>0</v>
      </c>
      <c r="AE390" s="17">
        <f t="shared" si="146"/>
        <v>69240.414874846756</v>
      </c>
      <c r="AF390" s="17">
        <f t="shared" si="147"/>
        <v>0</v>
      </c>
      <c r="AG390" s="17">
        <f t="shared" si="148"/>
        <v>10373.842685499292</v>
      </c>
      <c r="AH390" s="17">
        <f t="shared" si="149"/>
        <v>576152.05522505462</v>
      </c>
      <c r="AI390" s="15">
        <f t="shared" si="141"/>
        <v>1</v>
      </c>
    </row>
    <row r="391" spans="1:35">
      <c r="A391" s="14">
        <v>348</v>
      </c>
      <c r="B391" s="15">
        <f t="shared" si="125"/>
        <v>29</v>
      </c>
      <c r="C391" s="16">
        <f>(1+INDEX('1 - Input'!$B$34:$E$63,B391,'1 - Input'!$B$16))^(1/12)-1</f>
        <v>4.1219243192651689E-3</v>
      </c>
      <c r="D391" s="17">
        <f>'1 - Input'!$B$7*(1+'1 - Input'!$B$12)^(B391-1)</f>
        <v>4700.7653566696026</v>
      </c>
      <c r="E391" s="17">
        <f t="shared" si="142"/>
        <v>0</v>
      </c>
      <c r="F391" s="17">
        <f t="shared" si="143"/>
        <v>0</v>
      </c>
      <c r="G391" s="17">
        <f t="shared" si="126"/>
        <v>0</v>
      </c>
      <c r="H391" s="17">
        <f>0</f>
        <v>0</v>
      </c>
      <c r="I391" s="17">
        <f t="shared" si="127"/>
        <v>0</v>
      </c>
      <c r="J391" s="17">
        <f t="shared" si="128"/>
        <v>0</v>
      </c>
      <c r="K391" s="17">
        <f>'1 - Input'!$B$22*(H391-J391)</f>
        <v>0</v>
      </c>
      <c r="L391" s="17">
        <f t="shared" si="129"/>
        <v>0</v>
      </c>
      <c r="M391" s="17">
        <f t="shared" si="130"/>
        <v>0</v>
      </c>
      <c r="N391" s="17">
        <f>0</f>
        <v>0</v>
      </c>
      <c r="O391" s="17">
        <f t="shared" si="131"/>
        <v>4700.7653566696026</v>
      </c>
      <c r="P391" s="17">
        <f t="shared" si="132"/>
        <v>0</v>
      </c>
      <c r="Q391" s="17">
        <f>IF(AND(O391&gt;0,I391&gt;0),O391/(1-'1 - Input'!$B$22*P391),0)</f>
        <v>0</v>
      </c>
      <c r="R391" s="17">
        <f t="shared" si="133"/>
        <v>0</v>
      </c>
      <c r="S391" s="17">
        <f>'1 - Input'!$B$22*P391*R391</f>
        <v>0</v>
      </c>
      <c r="T391" s="17">
        <f t="shared" si="134"/>
        <v>0</v>
      </c>
      <c r="U391" s="17">
        <f t="shared" si="135"/>
        <v>4700.7653566696026</v>
      </c>
      <c r="V391" s="17">
        <f t="shared" si="136"/>
        <v>0</v>
      </c>
      <c r="W391" s="17">
        <f t="shared" si="137"/>
        <v>0</v>
      </c>
      <c r="X391" s="17">
        <f t="shared" si="138"/>
        <v>0</v>
      </c>
      <c r="Y391" s="17">
        <f>IF(MOD(A391,12)=0,W391*'1 - Input'!$B$23,0)</f>
        <v>0</v>
      </c>
      <c r="Z391" s="17">
        <f t="shared" si="139"/>
        <v>0</v>
      </c>
      <c r="AA391" s="17">
        <f>IF(MOD(A391,12)=0,X391*(1-'1 - Input'!$B$23),X391)</f>
        <v>0</v>
      </c>
      <c r="AB391" s="17">
        <f t="shared" si="140"/>
        <v>0</v>
      </c>
      <c r="AC391" s="17">
        <f t="shared" si="144"/>
        <v>676015.57770007267</v>
      </c>
      <c r="AD391" s="17">
        <f t="shared" si="145"/>
        <v>0</v>
      </c>
      <c r="AE391" s="17">
        <f t="shared" si="146"/>
        <v>69240.414874846756</v>
      </c>
      <c r="AF391" s="17">
        <f t="shared" si="147"/>
        <v>0</v>
      </c>
      <c r="AG391" s="17">
        <f t="shared" si="148"/>
        <v>10373.842685499292</v>
      </c>
      <c r="AH391" s="17">
        <f t="shared" si="149"/>
        <v>580852.82058172417</v>
      </c>
      <c r="AI391" s="15">
        <f t="shared" si="141"/>
        <v>1</v>
      </c>
    </row>
    <row r="392" spans="1:35">
      <c r="A392" s="14">
        <v>349</v>
      </c>
      <c r="B392" s="15">
        <f t="shared" si="125"/>
        <v>30</v>
      </c>
      <c r="C392" s="16">
        <f>(1+INDEX('1 - Input'!$B$34:$E$63,B392,'1 - Input'!$B$16))^(1/12)-1</f>
        <v>4.1219243192651689E-3</v>
      </c>
      <c r="D392" s="17">
        <f>'1 - Input'!$B$7*(1+'1 - Input'!$B$12)^(B392-1)</f>
        <v>4794.7806638029942</v>
      </c>
      <c r="E392" s="17">
        <f t="shared" si="142"/>
        <v>0</v>
      </c>
      <c r="F392" s="17">
        <f t="shared" si="143"/>
        <v>0</v>
      </c>
      <c r="G392" s="17">
        <f t="shared" si="126"/>
        <v>0</v>
      </c>
      <c r="H392" s="17">
        <f>0</f>
        <v>0</v>
      </c>
      <c r="I392" s="17">
        <f t="shared" si="127"/>
        <v>0</v>
      </c>
      <c r="J392" s="17">
        <f t="shared" si="128"/>
        <v>0</v>
      </c>
      <c r="K392" s="17">
        <f>'1 - Input'!$B$22*(H392-J392)</f>
        <v>0</v>
      </c>
      <c r="L392" s="17">
        <f t="shared" si="129"/>
        <v>0</v>
      </c>
      <c r="M392" s="17">
        <f t="shared" si="130"/>
        <v>0</v>
      </c>
      <c r="N392" s="17">
        <f>0</f>
        <v>0</v>
      </c>
      <c r="O392" s="17">
        <f t="shared" si="131"/>
        <v>4794.7806638029942</v>
      </c>
      <c r="P392" s="17">
        <f t="shared" si="132"/>
        <v>0</v>
      </c>
      <c r="Q392" s="17">
        <f>IF(AND(O392&gt;0,I392&gt;0),O392/(1-'1 - Input'!$B$22*P392),0)</f>
        <v>0</v>
      </c>
      <c r="R392" s="17">
        <f t="shared" si="133"/>
        <v>0</v>
      </c>
      <c r="S392" s="17">
        <f>'1 - Input'!$B$22*P392*R392</f>
        <v>0</v>
      </c>
      <c r="T392" s="17">
        <f t="shared" si="134"/>
        <v>0</v>
      </c>
      <c r="U392" s="17">
        <f t="shared" si="135"/>
        <v>4794.7806638029942</v>
      </c>
      <c r="V392" s="17">
        <f t="shared" si="136"/>
        <v>0</v>
      </c>
      <c r="W392" s="17">
        <f t="shared" si="137"/>
        <v>0</v>
      </c>
      <c r="X392" s="17">
        <f t="shared" si="138"/>
        <v>0</v>
      </c>
      <c r="Y392" s="17">
        <f>IF(MOD(A392,12)=0,W392*'1 - Input'!$B$23,0)</f>
        <v>0</v>
      </c>
      <c r="Z392" s="17">
        <f t="shared" si="139"/>
        <v>0</v>
      </c>
      <c r="AA392" s="17">
        <f>IF(MOD(A392,12)=0,X392*(1-'1 - Input'!$B$23),X392)</f>
        <v>0</v>
      </c>
      <c r="AB392" s="17">
        <f t="shared" si="140"/>
        <v>0</v>
      </c>
      <c r="AC392" s="17">
        <f t="shared" si="144"/>
        <v>676015.57770007267</v>
      </c>
      <c r="AD392" s="17">
        <f t="shared" si="145"/>
        <v>0</v>
      </c>
      <c r="AE392" s="17">
        <f t="shared" si="146"/>
        <v>69240.414874846756</v>
      </c>
      <c r="AF392" s="17">
        <f t="shared" si="147"/>
        <v>0</v>
      </c>
      <c r="AG392" s="17">
        <f t="shared" si="148"/>
        <v>10373.842685499292</v>
      </c>
      <c r="AH392" s="17">
        <f t="shared" si="149"/>
        <v>585647.60124552716</v>
      </c>
      <c r="AI392" s="15">
        <f t="shared" si="141"/>
        <v>1</v>
      </c>
    </row>
    <row r="393" spans="1:35">
      <c r="A393" s="14">
        <v>350</v>
      </c>
      <c r="B393" s="15">
        <f t="shared" si="125"/>
        <v>30</v>
      </c>
      <c r="C393" s="16">
        <f>(1+INDEX('1 - Input'!$B$34:$E$63,B393,'1 - Input'!$B$16))^(1/12)-1</f>
        <v>4.1219243192651689E-3</v>
      </c>
      <c r="D393" s="17">
        <f>'1 - Input'!$B$7*(1+'1 - Input'!$B$12)^(B393-1)</f>
        <v>4794.7806638029942</v>
      </c>
      <c r="E393" s="17">
        <f t="shared" si="142"/>
        <v>0</v>
      </c>
      <c r="F393" s="17">
        <f t="shared" si="143"/>
        <v>0</v>
      </c>
      <c r="G393" s="17">
        <f t="shared" si="126"/>
        <v>0</v>
      </c>
      <c r="H393" s="17">
        <f>0</f>
        <v>0</v>
      </c>
      <c r="I393" s="17">
        <f t="shared" si="127"/>
        <v>0</v>
      </c>
      <c r="J393" s="17">
        <f t="shared" si="128"/>
        <v>0</v>
      </c>
      <c r="K393" s="17">
        <f>'1 - Input'!$B$22*(H393-J393)</f>
        <v>0</v>
      </c>
      <c r="L393" s="17">
        <f t="shared" si="129"/>
        <v>0</v>
      </c>
      <c r="M393" s="17">
        <f t="shared" si="130"/>
        <v>0</v>
      </c>
      <c r="N393" s="17">
        <f>0</f>
        <v>0</v>
      </c>
      <c r="O393" s="17">
        <f t="shared" si="131"/>
        <v>4794.7806638029942</v>
      </c>
      <c r="P393" s="17">
        <f t="shared" si="132"/>
        <v>0</v>
      </c>
      <c r="Q393" s="17">
        <f>IF(AND(O393&gt;0,I393&gt;0),O393/(1-'1 - Input'!$B$22*P393),0)</f>
        <v>0</v>
      </c>
      <c r="R393" s="17">
        <f t="shared" si="133"/>
        <v>0</v>
      </c>
      <c r="S393" s="17">
        <f>'1 - Input'!$B$22*P393*R393</f>
        <v>0</v>
      </c>
      <c r="T393" s="17">
        <f t="shared" si="134"/>
        <v>0</v>
      </c>
      <c r="U393" s="17">
        <f t="shared" si="135"/>
        <v>4794.7806638029942</v>
      </c>
      <c r="V393" s="17">
        <f t="shared" si="136"/>
        <v>0</v>
      </c>
      <c r="W393" s="17">
        <f t="shared" si="137"/>
        <v>0</v>
      </c>
      <c r="X393" s="17">
        <f t="shared" si="138"/>
        <v>0</v>
      </c>
      <c r="Y393" s="17">
        <f>IF(MOD(A393,12)=0,W393*'1 - Input'!$B$23,0)</f>
        <v>0</v>
      </c>
      <c r="Z393" s="17">
        <f t="shared" si="139"/>
        <v>0</v>
      </c>
      <c r="AA393" s="17">
        <f>IF(MOD(A393,12)=0,X393*(1-'1 - Input'!$B$23),X393)</f>
        <v>0</v>
      </c>
      <c r="AB393" s="17">
        <f t="shared" si="140"/>
        <v>0</v>
      </c>
      <c r="AC393" s="17">
        <f t="shared" si="144"/>
        <v>676015.57770007267</v>
      </c>
      <c r="AD393" s="17">
        <f t="shared" si="145"/>
        <v>0</v>
      </c>
      <c r="AE393" s="17">
        <f t="shared" si="146"/>
        <v>69240.414874846756</v>
      </c>
      <c r="AF393" s="17">
        <f t="shared" si="147"/>
        <v>0</v>
      </c>
      <c r="AG393" s="17">
        <f t="shared" si="148"/>
        <v>10373.842685499292</v>
      </c>
      <c r="AH393" s="17">
        <f t="shared" si="149"/>
        <v>590442.38190933014</v>
      </c>
      <c r="AI393" s="15">
        <f t="shared" si="141"/>
        <v>1</v>
      </c>
    </row>
    <row r="394" spans="1:35">
      <c r="A394" s="14">
        <v>351</v>
      </c>
      <c r="B394" s="15">
        <f t="shared" si="125"/>
        <v>30</v>
      </c>
      <c r="C394" s="16">
        <f>(1+INDEX('1 - Input'!$B$34:$E$63,B394,'1 - Input'!$B$16))^(1/12)-1</f>
        <v>4.1219243192651689E-3</v>
      </c>
      <c r="D394" s="17">
        <f>'1 - Input'!$B$7*(1+'1 - Input'!$B$12)^(B394-1)</f>
        <v>4794.7806638029942</v>
      </c>
      <c r="E394" s="17">
        <f t="shared" si="142"/>
        <v>0</v>
      </c>
      <c r="F394" s="17">
        <f t="shared" si="143"/>
        <v>0</v>
      </c>
      <c r="G394" s="17">
        <f t="shared" si="126"/>
        <v>0</v>
      </c>
      <c r="H394" s="17">
        <f>0</f>
        <v>0</v>
      </c>
      <c r="I394" s="17">
        <f t="shared" si="127"/>
        <v>0</v>
      </c>
      <c r="J394" s="17">
        <f t="shared" si="128"/>
        <v>0</v>
      </c>
      <c r="K394" s="17">
        <f>'1 - Input'!$B$22*(H394-J394)</f>
        <v>0</v>
      </c>
      <c r="L394" s="17">
        <f t="shared" si="129"/>
        <v>0</v>
      </c>
      <c r="M394" s="17">
        <f t="shared" si="130"/>
        <v>0</v>
      </c>
      <c r="N394" s="17">
        <f>0</f>
        <v>0</v>
      </c>
      <c r="O394" s="17">
        <f t="shared" si="131"/>
        <v>4794.7806638029942</v>
      </c>
      <c r="P394" s="17">
        <f t="shared" si="132"/>
        <v>0</v>
      </c>
      <c r="Q394" s="17">
        <f>IF(AND(O394&gt;0,I394&gt;0),O394/(1-'1 - Input'!$B$22*P394),0)</f>
        <v>0</v>
      </c>
      <c r="R394" s="17">
        <f t="shared" si="133"/>
        <v>0</v>
      </c>
      <c r="S394" s="17">
        <f>'1 - Input'!$B$22*P394*R394</f>
        <v>0</v>
      </c>
      <c r="T394" s="17">
        <f t="shared" si="134"/>
        <v>0</v>
      </c>
      <c r="U394" s="17">
        <f t="shared" si="135"/>
        <v>4794.7806638029942</v>
      </c>
      <c r="V394" s="17">
        <f t="shared" si="136"/>
        <v>0</v>
      </c>
      <c r="W394" s="17">
        <f t="shared" si="137"/>
        <v>0</v>
      </c>
      <c r="X394" s="17">
        <f t="shared" si="138"/>
        <v>0</v>
      </c>
      <c r="Y394" s="17">
        <f>IF(MOD(A394,12)=0,W394*'1 - Input'!$B$23,0)</f>
        <v>0</v>
      </c>
      <c r="Z394" s="17">
        <f t="shared" si="139"/>
        <v>0</v>
      </c>
      <c r="AA394" s="17">
        <f>IF(MOD(A394,12)=0,X394*(1-'1 - Input'!$B$23),X394)</f>
        <v>0</v>
      </c>
      <c r="AB394" s="17">
        <f t="shared" si="140"/>
        <v>0</v>
      </c>
      <c r="AC394" s="17">
        <f t="shared" si="144"/>
        <v>676015.57770007267</v>
      </c>
      <c r="AD394" s="17">
        <f t="shared" si="145"/>
        <v>0</v>
      </c>
      <c r="AE394" s="17">
        <f t="shared" si="146"/>
        <v>69240.414874846756</v>
      </c>
      <c r="AF394" s="17">
        <f t="shared" si="147"/>
        <v>0</v>
      </c>
      <c r="AG394" s="17">
        <f t="shared" si="148"/>
        <v>10373.842685499292</v>
      </c>
      <c r="AH394" s="17">
        <f t="shared" si="149"/>
        <v>595237.16257313313</v>
      </c>
      <c r="AI394" s="15">
        <f t="shared" si="141"/>
        <v>1</v>
      </c>
    </row>
    <row r="395" spans="1:35">
      <c r="A395" s="14">
        <v>352</v>
      </c>
      <c r="B395" s="15">
        <f t="shared" si="125"/>
        <v>30</v>
      </c>
      <c r="C395" s="16">
        <f>(1+INDEX('1 - Input'!$B$34:$E$63,B395,'1 - Input'!$B$16))^(1/12)-1</f>
        <v>4.1219243192651689E-3</v>
      </c>
      <c r="D395" s="17">
        <f>'1 - Input'!$B$7*(1+'1 - Input'!$B$12)^(B395-1)</f>
        <v>4794.7806638029942</v>
      </c>
      <c r="E395" s="17">
        <f t="shared" si="142"/>
        <v>0</v>
      </c>
      <c r="F395" s="17">
        <f t="shared" si="143"/>
        <v>0</v>
      </c>
      <c r="G395" s="17">
        <f t="shared" si="126"/>
        <v>0</v>
      </c>
      <c r="H395" s="17">
        <f>0</f>
        <v>0</v>
      </c>
      <c r="I395" s="17">
        <f t="shared" si="127"/>
        <v>0</v>
      </c>
      <c r="J395" s="17">
        <f t="shared" si="128"/>
        <v>0</v>
      </c>
      <c r="K395" s="17">
        <f>'1 - Input'!$B$22*(H395-J395)</f>
        <v>0</v>
      </c>
      <c r="L395" s="17">
        <f t="shared" si="129"/>
        <v>0</v>
      </c>
      <c r="M395" s="17">
        <f t="shared" si="130"/>
        <v>0</v>
      </c>
      <c r="N395" s="17">
        <f>0</f>
        <v>0</v>
      </c>
      <c r="O395" s="17">
        <f t="shared" si="131"/>
        <v>4794.7806638029942</v>
      </c>
      <c r="P395" s="17">
        <f t="shared" si="132"/>
        <v>0</v>
      </c>
      <c r="Q395" s="17">
        <f>IF(AND(O395&gt;0,I395&gt;0),O395/(1-'1 - Input'!$B$22*P395),0)</f>
        <v>0</v>
      </c>
      <c r="R395" s="17">
        <f t="shared" si="133"/>
        <v>0</v>
      </c>
      <c r="S395" s="17">
        <f>'1 - Input'!$B$22*P395*R395</f>
        <v>0</v>
      </c>
      <c r="T395" s="17">
        <f t="shared" si="134"/>
        <v>0</v>
      </c>
      <c r="U395" s="17">
        <f t="shared" si="135"/>
        <v>4794.7806638029942</v>
      </c>
      <c r="V395" s="17">
        <f t="shared" si="136"/>
        <v>0</v>
      </c>
      <c r="W395" s="17">
        <f t="shared" si="137"/>
        <v>0</v>
      </c>
      <c r="X395" s="17">
        <f t="shared" si="138"/>
        <v>0</v>
      </c>
      <c r="Y395" s="17">
        <f>IF(MOD(A395,12)=0,W395*'1 - Input'!$B$23,0)</f>
        <v>0</v>
      </c>
      <c r="Z395" s="17">
        <f t="shared" si="139"/>
        <v>0</v>
      </c>
      <c r="AA395" s="17">
        <f>IF(MOD(A395,12)=0,X395*(1-'1 - Input'!$B$23),X395)</f>
        <v>0</v>
      </c>
      <c r="AB395" s="17">
        <f t="shared" si="140"/>
        <v>0</v>
      </c>
      <c r="AC395" s="17">
        <f t="shared" si="144"/>
        <v>676015.57770007267</v>
      </c>
      <c r="AD395" s="17">
        <f t="shared" si="145"/>
        <v>0</v>
      </c>
      <c r="AE395" s="17">
        <f t="shared" si="146"/>
        <v>69240.414874846756</v>
      </c>
      <c r="AF395" s="17">
        <f t="shared" si="147"/>
        <v>0</v>
      </c>
      <c r="AG395" s="17">
        <f t="shared" si="148"/>
        <v>10373.842685499292</v>
      </c>
      <c r="AH395" s="17">
        <f t="shared" si="149"/>
        <v>600031.94323693612</v>
      </c>
      <c r="AI395" s="15">
        <f t="shared" si="141"/>
        <v>1</v>
      </c>
    </row>
    <row r="396" spans="1:35">
      <c r="A396" s="14">
        <v>353</v>
      </c>
      <c r="B396" s="15">
        <f t="shared" si="125"/>
        <v>30</v>
      </c>
      <c r="C396" s="16">
        <f>(1+INDEX('1 - Input'!$B$34:$E$63,B396,'1 - Input'!$B$16))^(1/12)-1</f>
        <v>4.1219243192651689E-3</v>
      </c>
      <c r="D396" s="17">
        <f>'1 - Input'!$B$7*(1+'1 - Input'!$B$12)^(B396-1)</f>
        <v>4794.7806638029942</v>
      </c>
      <c r="E396" s="17">
        <f t="shared" si="142"/>
        <v>0</v>
      </c>
      <c r="F396" s="17">
        <f t="shared" si="143"/>
        <v>0</v>
      </c>
      <c r="G396" s="17">
        <f t="shared" si="126"/>
        <v>0</v>
      </c>
      <c r="H396" s="17">
        <f>0</f>
        <v>0</v>
      </c>
      <c r="I396" s="17">
        <f t="shared" si="127"/>
        <v>0</v>
      </c>
      <c r="J396" s="17">
        <f t="shared" si="128"/>
        <v>0</v>
      </c>
      <c r="K396" s="17">
        <f>'1 - Input'!$B$22*(H396-J396)</f>
        <v>0</v>
      </c>
      <c r="L396" s="17">
        <f t="shared" si="129"/>
        <v>0</v>
      </c>
      <c r="M396" s="17">
        <f t="shared" si="130"/>
        <v>0</v>
      </c>
      <c r="N396" s="17">
        <f>0</f>
        <v>0</v>
      </c>
      <c r="O396" s="17">
        <f t="shared" si="131"/>
        <v>4794.7806638029942</v>
      </c>
      <c r="P396" s="17">
        <f t="shared" si="132"/>
        <v>0</v>
      </c>
      <c r="Q396" s="17">
        <f>IF(AND(O396&gt;0,I396&gt;0),O396/(1-'1 - Input'!$B$22*P396),0)</f>
        <v>0</v>
      </c>
      <c r="R396" s="17">
        <f t="shared" si="133"/>
        <v>0</v>
      </c>
      <c r="S396" s="17">
        <f>'1 - Input'!$B$22*P396*R396</f>
        <v>0</v>
      </c>
      <c r="T396" s="17">
        <f t="shared" si="134"/>
        <v>0</v>
      </c>
      <c r="U396" s="17">
        <f t="shared" si="135"/>
        <v>4794.7806638029942</v>
      </c>
      <c r="V396" s="17">
        <f t="shared" si="136"/>
        <v>0</v>
      </c>
      <c r="W396" s="17">
        <f t="shared" si="137"/>
        <v>0</v>
      </c>
      <c r="X396" s="17">
        <f t="shared" si="138"/>
        <v>0</v>
      </c>
      <c r="Y396" s="17">
        <f>IF(MOD(A396,12)=0,W396*'1 - Input'!$B$23,0)</f>
        <v>0</v>
      </c>
      <c r="Z396" s="17">
        <f t="shared" si="139"/>
        <v>0</v>
      </c>
      <c r="AA396" s="17">
        <f>IF(MOD(A396,12)=0,X396*(1-'1 - Input'!$B$23),X396)</f>
        <v>0</v>
      </c>
      <c r="AB396" s="17">
        <f t="shared" si="140"/>
        <v>0</v>
      </c>
      <c r="AC396" s="17">
        <f t="shared" si="144"/>
        <v>676015.57770007267</v>
      </c>
      <c r="AD396" s="17">
        <f t="shared" si="145"/>
        <v>0</v>
      </c>
      <c r="AE396" s="17">
        <f t="shared" si="146"/>
        <v>69240.414874846756</v>
      </c>
      <c r="AF396" s="17">
        <f t="shared" si="147"/>
        <v>0</v>
      </c>
      <c r="AG396" s="17">
        <f t="shared" si="148"/>
        <v>10373.842685499292</v>
      </c>
      <c r="AH396" s="17">
        <f t="shared" si="149"/>
        <v>604826.7239007391</v>
      </c>
      <c r="AI396" s="15">
        <f t="shared" si="141"/>
        <v>1</v>
      </c>
    </row>
    <row r="397" spans="1:35">
      <c r="A397" s="14">
        <v>354</v>
      </c>
      <c r="B397" s="15">
        <f t="shared" si="125"/>
        <v>30</v>
      </c>
      <c r="C397" s="16">
        <f>(1+INDEX('1 - Input'!$B$34:$E$63,B397,'1 - Input'!$B$16))^(1/12)-1</f>
        <v>4.1219243192651689E-3</v>
      </c>
      <c r="D397" s="17">
        <f>'1 - Input'!$B$7*(1+'1 - Input'!$B$12)^(B397-1)</f>
        <v>4794.7806638029942</v>
      </c>
      <c r="E397" s="17">
        <f t="shared" si="142"/>
        <v>0</v>
      </c>
      <c r="F397" s="17">
        <f t="shared" si="143"/>
        <v>0</v>
      </c>
      <c r="G397" s="17">
        <f t="shared" si="126"/>
        <v>0</v>
      </c>
      <c r="H397" s="17">
        <f>0</f>
        <v>0</v>
      </c>
      <c r="I397" s="17">
        <f t="shared" si="127"/>
        <v>0</v>
      </c>
      <c r="J397" s="17">
        <f t="shared" si="128"/>
        <v>0</v>
      </c>
      <c r="K397" s="17">
        <f>'1 - Input'!$B$22*(H397-J397)</f>
        <v>0</v>
      </c>
      <c r="L397" s="17">
        <f t="shared" si="129"/>
        <v>0</v>
      </c>
      <c r="M397" s="17">
        <f t="shared" si="130"/>
        <v>0</v>
      </c>
      <c r="N397" s="17">
        <f>0</f>
        <v>0</v>
      </c>
      <c r="O397" s="17">
        <f t="shared" si="131"/>
        <v>4794.7806638029942</v>
      </c>
      <c r="P397" s="17">
        <f t="shared" si="132"/>
        <v>0</v>
      </c>
      <c r="Q397" s="17">
        <f>IF(AND(O397&gt;0,I397&gt;0),O397/(1-'1 - Input'!$B$22*P397),0)</f>
        <v>0</v>
      </c>
      <c r="R397" s="17">
        <f t="shared" si="133"/>
        <v>0</v>
      </c>
      <c r="S397" s="17">
        <f>'1 - Input'!$B$22*P397*R397</f>
        <v>0</v>
      </c>
      <c r="T397" s="17">
        <f t="shared" si="134"/>
        <v>0</v>
      </c>
      <c r="U397" s="17">
        <f t="shared" si="135"/>
        <v>4794.7806638029942</v>
      </c>
      <c r="V397" s="17">
        <f t="shared" si="136"/>
        <v>0</v>
      </c>
      <c r="W397" s="17">
        <f t="shared" si="137"/>
        <v>0</v>
      </c>
      <c r="X397" s="17">
        <f t="shared" si="138"/>
        <v>0</v>
      </c>
      <c r="Y397" s="17">
        <f>IF(MOD(A397,12)=0,W397*'1 - Input'!$B$23,0)</f>
        <v>0</v>
      </c>
      <c r="Z397" s="17">
        <f t="shared" si="139"/>
        <v>0</v>
      </c>
      <c r="AA397" s="17">
        <f>IF(MOD(A397,12)=0,X397*(1-'1 - Input'!$B$23),X397)</f>
        <v>0</v>
      </c>
      <c r="AB397" s="17">
        <f t="shared" si="140"/>
        <v>0</v>
      </c>
      <c r="AC397" s="17">
        <f t="shared" si="144"/>
        <v>676015.57770007267</v>
      </c>
      <c r="AD397" s="17">
        <f t="shared" si="145"/>
        <v>0</v>
      </c>
      <c r="AE397" s="17">
        <f t="shared" si="146"/>
        <v>69240.414874846756</v>
      </c>
      <c r="AF397" s="17">
        <f t="shared" si="147"/>
        <v>0</v>
      </c>
      <c r="AG397" s="17">
        <f t="shared" si="148"/>
        <v>10373.842685499292</v>
      </c>
      <c r="AH397" s="17">
        <f t="shared" si="149"/>
        <v>609621.50456454209</v>
      </c>
      <c r="AI397" s="15">
        <f t="shared" si="141"/>
        <v>1</v>
      </c>
    </row>
    <row r="398" spans="1:35">
      <c r="A398" s="14">
        <v>355</v>
      </c>
      <c r="B398" s="15">
        <f t="shared" si="125"/>
        <v>30</v>
      </c>
      <c r="C398" s="16">
        <f>(1+INDEX('1 - Input'!$B$34:$E$63,B398,'1 - Input'!$B$16))^(1/12)-1</f>
        <v>4.1219243192651689E-3</v>
      </c>
      <c r="D398" s="17">
        <f>'1 - Input'!$B$7*(1+'1 - Input'!$B$12)^(B398-1)</f>
        <v>4794.7806638029942</v>
      </c>
      <c r="E398" s="17">
        <f t="shared" si="142"/>
        <v>0</v>
      </c>
      <c r="F398" s="17">
        <f t="shared" si="143"/>
        <v>0</v>
      </c>
      <c r="G398" s="17">
        <f t="shared" si="126"/>
        <v>0</v>
      </c>
      <c r="H398" s="17">
        <f>0</f>
        <v>0</v>
      </c>
      <c r="I398" s="17">
        <f t="shared" si="127"/>
        <v>0</v>
      </c>
      <c r="J398" s="17">
        <f t="shared" si="128"/>
        <v>0</v>
      </c>
      <c r="K398" s="17">
        <f>'1 - Input'!$B$22*(H398-J398)</f>
        <v>0</v>
      </c>
      <c r="L398" s="17">
        <f t="shared" si="129"/>
        <v>0</v>
      </c>
      <c r="M398" s="17">
        <f t="shared" si="130"/>
        <v>0</v>
      </c>
      <c r="N398" s="17">
        <f>0</f>
        <v>0</v>
      </c>
      <c r="O398" s="17">
        <f t="shared" si="131"/>
        <v>4794.7806638029942</v>
      </c>
      <c r="P398" s="17">
        <f t="shared" si="132"/>
        <v>0</v>
      </c>
      <c r="Q398" s="17">
        <f>IF(AND(O398&gt;0,I398&gt;0),O398/(1-'1 - Input'!$B$22*P398),0)</f>
        <v>0</v>
      </c>
      <c r="R398" s="17">
        <f t="shared" si="133"/>
        <v>0</v>
      </c>
      <c r="S398" s="17">
        <f>'1 - Input'!$B$22*P398*R398</f>
        <v>0</v>
      </c>
      <c r="T398" s="17">
        <f t="shared" si="134"/>
        <v>0</v>
      </c>
      <c r="U398" s="17">
        <f t="shared" si="135"/>
        <v>4794.7806638029942</v>
      </c>
      <c r="V398" s="17">
        <f t="shared" si="136"/>
        <v>0</v>
      </c>
      <c r="W398" s="17">
        <f t="shared" si="137"/>
        <v>0</v>
      </c>
      <c r="X398" s="17">
        <f t="shared" si="138"/>
        <v>0</v>
      </c>
      <c r="Y398" s="17">
        <f>IF(MOD(A398,12)=0,W398*'1 - Input'!$B$23,0)</f>
        <v>0</v>
      </c>
      <c r="Z398" s="17">
        <f t="shared" si="139"/>
        <v>0</v>
      </c>
      <c r="AA398" s="17">
        <f>IF(MOD(A398,12)=0,X398*(1-'1 - Input'!$B$23),X398)</f>
        <v>0</v>
      </c>
      <c r="AB398" s="17">
        <f t="shared" si="140"/>
        <v>0</v>
      </c>
      <c r="AC398" s="17">
        <f t="shared" si="144"/>
        <v>676015.57770007267</v>
      </c>
      <c r="AD398" s="17">
        <f t="shared" si="145"/>
        <v>0</v>
      </c>
      <c r="AE398" s="17">
        <f t="shared" si="146"/>
        <v>69240.414874846756</v>
      </c>
      <c r="AF398" s="17">
        <f t="shared" si="147"/>
        <v>0</v>
      </c>
      <c r="AG398" s="17">
        <f t="shared" si="148"/>
        <v>10373.842685499292</v>
      </c>
      <c r="AH398" s="17">
        <f t="shared" si="149"/>
        <v>614416.28522834508</v>
      </c>
      <c r="AI398" s="15">
        <f t="shared" si="141"/>
        <v>1</v>
      </c>
    </row>
    <row r="399" spans="1:35">
      <c r="A399" s="14">
        <v>356</v>
      </c>
      <c r="B399" s="15">
        <f t="shared" si="125"/>
        <v>30</v>
      </c>
      <c r="C399" s="16">
        <f>(1+INDEX('1 - Input'!$B$34:$E$63,B399,'1 - Input'!$B$16))^(1/12)-1</f>
        <v>4.1219243192651689E-3</v>
      </c>
      <c r="D399" s="17">
        <f>'1 - Input'!$B$7*(1+'1 - Input'!$B$12)^(B399-1)</f>
        <v>4794.7806638029942</v>
      </c>
      <c r="E399" s="17">
        <f t="shared" si="142"/>
        <v>0</v>
      </c>
      <c r="F399" s="17">
        <f t="shared" si="143"/>
        <v>0</v>
      </c>
      <c r="G399" s="17">
        <f t="shared" si="126"/>
        <v>0</v>
      </c>
      <c r="H399" s="17">
        <f>0</f>
        <v>0</v>
      </c>
      <c r="I399" s="17">
        <f t="shared" si="127"/>
        <v>0</v>
      </c>
      <c r="J399" s="17">
        <f t="shared" si="128"/>
        <v>0</v>
      </c>
      <c r="K399" s="17">
        <f>'1 - Input'!$B$22*(H399-J399)</f>
        <v>0</v>
      </c>
      <c r="L399" s="17">
        <f t="shared" si="129"/>
        <v>0</v>
      </c>
      <c r="M399" s="17">
        <f t="shared" si="130"/>
        <v>0</v>
      </c>
      <c r="N399" s="17">
        <f>0</f>
        <v>0</v>
      </c>
      <c r="O399" s="17">
        <f t="shared" si="131"/>
        <v>4794.7806638029942</v>
      </c>
      <c r="P399" s="17">
        <f t="shared" si="132"/>
        <v>0</v>
      </c>
      <c r="Q399" s="17">
        <f>IF(AND(O399&gt;0,I399&gt;0),O399/(1-'1 - Input'!$B$22*P399),0)</f>
        <v>0</v>
      </c>
      <c r="R399" s="17">
        <f t="shared" si="133"/>
        <v>0</v>
      </c>
      <c r="S399" s="17">
        <f>'1 - Input'!$B$22*P399*R399</f>
        <v>0</v>
      </c>
      <c r="T399" s="17">
        <f t="shared" si="134"/>
        <v>0</v>
      </c>
      <c r="U399" s="17">
        <f t="shared" si="135"/>
        <v>4794.7806638029942</v>
      </c>
      <c r="V399" s="17">
        <f t="shared" si="136"/>
        <v>0</v>
      </c>
      <c r="W399" s="17">
        <f t="shared" si="137"/>
        <v>0</v>
      </c>
      <c r="X399" s="17">
        <f t="shared" si="138"/>
        <v>0</v>
      </c>
      <c r="Y399" s="17">
        <f>IF(MOD(A399,12)=0,W399*'1 - Input'!$B$23,0)</f>
        <v>0</v>
      </c>
      <c r="Z399" s="17">
        <f t="shared" si="139"/>
        <v>0</v>
      </c>
      <c r="AA399" s="17">
        <f>IF(MOD(A399,12)=0,X399*(1-'1 - Input'!$B$23),X399)</f>
        <v>0</v>
      </c>
      <c r="AB399" s="17">
        <f t="shared" si="140"/>
        <v>0</v>
      </c>
      <c r="AC399" s="17">
        <f t="shared" si="144"/>
        <v>676015.57770007267</v>
      </c>
      <c r="AD399" s="17">
        <f t="shared" si="145"/>
        <v>0</v>
      </c>
      <c r="AE399" s="17">
        <f t="shared" si="146"/>
        <v>69240.414874846756</v>
      </c>
      <c r="AF399" s="17">
        <f t="shared" si="147"/>
        <v>0</v>
      </c>
      <c r="AG399" s="17">
        <f t="shared" si="148"/>
        <v>10373.842685499292</v>
      </c>
      <c r="AH399" s="17">
        <f t="shared" si="149"/>
        <v>619211.06589214806</v>
      </c>
      <c r="AI399" s="15">
        <f t="shared" si="141"/>
        <v>1</v>
      </c>
    </row>
    <row r="400" spans="1:35">
      <c r="A400" s="14">
        <v>357</v>
      </c>
      <c r="B400" s="15">
        <f t="shared" si="125"/>
        <v>30</v>
      </c>
      <c r="C400" s="16">
        <f>(1+INDEX('1 - Input'!$B$34:$E$63,B400,'1 - Input'!$B$16))^(1/12)-1</f>
        <v>4.1219243192651689E-3</v>
      </c>
      <c r="D400" s="17">
        <f>'1 - Input'!$B$7*(1+'1 - Input'!$B$12)^(B400-1)</f>
        <v>4794.7806638029942</v>
      </c>
      <c r="E400" s="17">
        <f t="shared" si="142"/>
        <v>0</v>
      </c>
      <c r="F400" s="17">
        <f t="shared" si="143"/>
        <v>0</v>
      </c>
      <c r="G400" s="17">
        <f t="shared" si="126"/>
        <v>0</v>
      </c>
      <c r="H400" s="17">
        <f>0</f>
        <v>0</v>
      </c>
      <c r="I400" s="17">
        <f t="shared" si="127"/>
        <v>0</v>
      </c>
      <c r="J400" s="17">
        <f t="shared" si="128"/>
        <v>0</v>
      </c>
      <c r="K400" s="17">
        <f>'1 - Input'!$B$22*(H400-J400)</f>
        <v>0</v>
      </c>
      <c r="L400" s="17">
        <f t="shared" si="129"/>
        <v>0</v>
      </c>
      <c r="M400" s="17">
        <f t="shared" si="130"/>
        <v>0</v>
      </c>
      <c r="N400" s="17">
        <f>0</f>
        <v>0</v>
      </c>
      <c r="O400" s="17">
        <f t="shared" si="131"/>
        <v>4794.7806638029942</v>
      </c>
      <c r="P400" s="17">
        <f t="shared" si="132"/>
        <v>0</v>
      </c>
      <c r="Q400" s="17">
        <f>IF(AND(O400&gt;0,I400&gt;0),O400/(1-'1 - Input'!$B$22*P400),0)</f>
        <v>0</v>
      </c>
      <c r="R400" s="17">
        <f t="shared" si="133"/>
        <v>0</v>
      </c>
      <c r="S400" s="17">
        <f>'1 - Input'!$B$22*P400*R400</f>
        <v>0</v>
      </c>
      <c r="T400" s="17">
        <f t="shared" si="134"/>
        <v>0</v>
      </c>
      <c r="U400" s="17">
        <f t="shared" si="135"/>
        <v>4794.7806638029942</v>
      </c>
      <c r="V400" s="17">
        <f t="shared" si="136"/>
        <v>0</v>
      </c>
      <c r="W400" s="17">
        <f t="shared" si="137"/>
        <v>0</v>
      </c>
      <c r="X400" s="17">
        <f t="shared" si="138"/>
        <v>0</v>
      </c>
      <c r="Y400" s="17">
        <f>IF(MOD(A400,12)=0,W400*'1 - Input'!$B$23,0)</f>
        <v>0</v>
      </c>
      <c r="Z400" s="17">
        <f t="shared" si="139"/>
        <v>0</v>
      </c>
      <c r="AA400" s="17">
        <f>IF(MOD(A400,12)=0,X400*(1-'1 - Input'!$B$23),X400)</f>
        <v>0</v>
      </c>
      <c r="AB400" s="17">
        <f t="shared" si="140"/>
        <v>0</v>
      </c>
      <c r="AC400" s="17">
        <f t="shared" si="144"/>
        <v>676015.57770007267</v>
      </c>
      <c r="AD400" s="17">
        <f t="shared" si="145"/>
        <v>0</v>
      </c>
      <c r="AE400" s="17">
        <f t="shared" si="146"/>
        <v>69240.414874846756</v>
      </c>
      <c r="AF400" s="17">
        <f t="shared" si="147"/>
        <v>0</v>
      </c>
      <c r="AG400" s="17">
        <f t="shared" si="148"/>
        <v>10373.842685499292</v>
      </c>
      <c r="AH400" s="17">
        <f t="shared" si="149"/>
        <v>624005.84655595105</v>
      </c>
      <c r="AI400" s="15">
        <f t="shared" si="141"/>
        <v>1</v>
      </c>
    </row>
    <row r="401" spans="1:35">
      <c r="A401" s="14">
        <v>358</v>
      </c>
      <c r="B401" s="15">
        <f t="shared" si="125"/>
        <v>30</v>
      </c>
      <c r="C401" s="16">
        <f>(1+INDEX('1 - Input'!$B$34:$E$63,B401,'1 - Input'!$B$16))^(1/12)-1</f>
        <v>4.1219243192651689E-3</v>
      </c>
      <c r="D401" s="17">
        <f>'1 - Input'!$B$7*(1+'1 - Input'!$B$12)^(B401-1)</f>
        <v>4794.7806638029942</v>
      </c>
      <c r="E401" s="17">
        <f t="shared" si="142"/>
        <v>0</v>
      </c>
      <c r="F401" s="17">
        <f t="shared" si="143"/>
        <v>0</v>
      </c>
      <c r="G401" s="17">
        <f t="shared" si="126"/>
        <v>0</v>
      </c>
      <c r="H401" s="17">
        <f>0</f>
        <v>0</v>
      </c>
      <c r="I401" s="17">
        <f t="shared" si="127"/>
        <v>0</v>
      </c>
      <c r="J401" s="17">
        <f t="shared" si="128"/>
        <v>0</v>
      </c>
      <c r="K401" s="17">
        <f>'1 - Input'!$B$22*(H401-J401)</f>
        <v>0</v>
      </c>
      <c r="L401" s="17">
        <f t="shared" si="129"/>
        <v>0</v>
      </c>
      <c r="M401" s="17">
        <f t="shared" si="130"/>
        <v>0</v>
      </c>
      <c r="N401" s="17">
        <f>0</f>
        <v>0</v>
      </c>
      <c r="O401" s="17">
        <f t="shared" si="131"/>
        <v>4794.7806638029942</v>
      </c>
      <c r="P401" s="17">
        <f t="shared" si="132"/>
        <v>0</v>
      </c>
      <c r="Q401" s="17">
        <f>IF(AND(O401&gt;0,I401&gt;0),O401/(1-'1 - Input'!$B$22*P401),0)</f>
        <v>0</v>
      </c>
      <c r="R401" s="17">
        <f t="shared" si="133"/>
        <v>0</v>
      </c>
      <c r="S401" s="17">
        <f>'1 - Input'!$B$22*P401*R401</f>
        <v>0</v>
      </c>
      <c r="T401" s="17">
        <f t="shared" si="134"/>
        <v>0</v>
      </c>
      <c r="U401" s="17">
        <f t="shared" si="135"/>
        <v>4794.7806638029942</v>
      </c>
      <c r="V401" s="17">
        <f t="shared" si="136"/>
        <v>0</v>
      </c>
      <c r="W401" s="17">
        <f t="shared" si="137"/>
        <v>0</v>
      </c>
      <c r="X401" s="17">
        <f t="shared" si="138"/>
        <v>0</v>
      </c>
      <c r="Y401" s="17">
        <f>IF(MOD(A401,12)=0,W401*'1 - Input'!$B$23,0)</f>
        <v>0</v>
      </c>
      <c r="Z401" s="17">
        <f t="shared" si="139"/>
        <v>0</v>
      </c>
      <c r="AA401" s="17">
        <f>IF(MOD(A401,12)=0,X401*(1-'1 - Input'!$B$23),X401)</f>
        <v>0</v>
      </c>
      <c r="AB401" s="17">
        <f t="shared" si="140"/>
        <v>0</v>
      </c>
      <c r="AC401" s="17">
        <f t="shared" si="144"/>
        <v>676015.57770007267</v>
      </c>
      <c r="AD401" s="17">
        <f t="shared" si="145"/>
        <v>0</v>
      </c>
      <c r="AE401" s="17">
        <f t="shared" si="146"/>
        <v>69240.414874846756</v>
      </c>
      <c r="AF401" s="17">
        <f t="shared" si="147"/>
        <v>0</v>
      </c>
      <c r="AG401" s="17">
        <f t="shared" si="148"/>
        <v>10373.842685499292</v>
      </c>
      <c r="AH401" s="17">
        <f t="shared" si="149"/>
        <v>628800.62721975404</v>
      </c>
      <c r="AI401" s="15">
        <f t="shared" si="141"/>
        <v>1</v>
      </c>
    </row>
    <row r="402" spans="1:35">
      <c r="A402" s="14">
        <v>359</v>
      </c>
      <c r="B402" s="15">
        <f t="shared" si="125"/>
        <v>30</v>
      </c>
      <c r="C402" s="16">
        <f>(1+INDEX('1 - Input'!$B$34:$E$63,B402,'1 - Input'!$B$16))^(1/12)-1</f>
        <v>4.1219243192651689E-3</v>
      </c>
      <c r="D402" s="17">
        <f>'1 - Input'!$B$7*(1+'1 - Input'!$B$12)^(B402-1)</f>
        <v>4794.7806638029942</v>
      </c>
      <c r="E402" s="17">
        <f t="shared" si="142"/>
        <v>0</v>
      </c>
      <c r="F402" s="17">
        <f t="shared" si="143"/>
        <v>0</v>
      </c>
      <c r="G402" s="17">
        <f t="shared" si="126"/>
        <v>0</v>
      </c>
      <c r="H402" s="17">
        <f>0</f>
        <v>0</v>
      </c>
      <c r="I402" s="17">
        <f t="shared" si="127"/>
        <v>0</v>
      </c>
      <c r="J402" s="17">
        <f t="shared" si="128"/>
        <v>0</v>
      </c>
      <c r="K402" s="17">
        <f>'1 - Input'!$B$22*(H402-J402)</f>
        <v>0</v>
      </c>
      <c r="L402" s="17">
        <f t="shared" si="129"/>
        <v>0</v>
      </c>
      <c r="M402" s="17">
        <f t="shared" si="130"/>
        <v>0</v>
      </c>
      <c r="N402" s="17">
        <f>0</f>
        <v>0</v>
      </c>
      <c r="O402" s="17">
        <f t="shared" si="131"/>
        <v>4794.7806638029942</v>
      </c>
      <c r="P402" s="17">
        <f t="shared" si="132"/>
        <v>0</v>
      </c>
      <c r="Q402" s="17">
        <f>IF(AND(O402&gt;0,I402&gt;0),O402/(1-'1 - Input'!$B$22*P402),0)</f>
        <v>0</v>
      </c>
      <c r="R402" s="17">
        <f t="shared" si="133"/>
        <v>0</v>
      </c>
      <c r="S402" s="17">
        <f>'1 - Input'!$B$22*P402*R402</f>
        <v>0</v>
      </c>
      <c r="T402" s="17">
        <f t="shared" si="134"/>
        <v>0</v>
      </c>
      <c r="U402" s="17">
        <f t="shared" si="135"/>
        <v>4794.7806638029942</v>
      </c>
      <c r="V402" s="17">
        <f t="shared" si="136"/>
        <v>0</v>
      </c>
      <c r="W402" s="17">
        <f t="shared" si="137"/>
        <v>0</v>
      </c>
      <c r="X402" s="17">
        <f t="shared" si="138"/>
        <v>0</v>
      </c>
      <c r="Y402" s="17">
        <f>IF(MOD(A402,12)=0,W402*'1 - Input'!$B$23,0)</f>
        <v>0</v>
      </c>
      <c r="Z402" s="17">
        <f t="shared" si="139"/>
        <v>0</v>
      </c>
      <c r="AA402" s="17">
        <f>IF(MOD(A402,12)=0,X402*(1-'1 - Input'!$B$23),X402)</f>
        <v>0</v>
      </c>
      <c r="AB402" s="17">
        <f t="shared" si="140"/>
        <v>0</v>
      </c>
      <c r="AC402" s="17">
        <f t="shared" si="144"/>
        <v>676015.57770007267</v>
      </c>
      <c r="AD402" s="17">
        <f t="shared" si="145"/>
        <v>0</v>
      </c>
      <c r="AE402" s="17">
        <f t="shared" si="146"/>
        <v>69240.414874846756</v>
      </c>
      <c r="AF402" s="17">
        <f t="shared" si="147"/>
        <v>0</v>
      </c>
      <c r="AG402" s="17">
        <f t="shared" si="148"/>
        <v>10373.842685499292</v>
      </c>
      <c r="AH402" s="17">
        <f t="shared" si="149"/>
        <v>633595.40788355703</v>
      </c>
      <c r="AI402" s="15">
        <f t="shared" si="141"/>
        <v>1</v>
      </c>
    </row>
    <row r="403" spans="1:35">
      <c r="A403" s="14">
        <v>360</v>
      </c>
      <c r="B403" s="15">
        <f t="shared" si="125"/>
        <v>30</v>
      </c>
      <c r="C403" s="16">
        <f>(1+INDEX('1 - Input'!$B$34:$E$63,B403,'1 - Input'!$B$16))^(1/12)-1</f>
        <v>4.1219243192651689E-3</v>
      </c>
      <c r="D403" s="17">
        <f>'1 - Input'!$B$7*(1+'1 - Input'!$B$12)^(B403-1)</f>
        <v>4794.7806638029942</v>
      </c>
      <c r="E403" s="17">
        <f t="shared" si="142"/>
        <v>0</v>
      </c>
      <c r="F403" s="17">
        <f t="shared" si="143"/>
        <v>0</v>
      </c>
      <c r="G403" s="17">
        <f t="shared" si="126"/>
        <v>0</v>
      </c>
      <c r="H403" s="17">
        <f>0</f>
        <v>0</v>
      </c>
      <c r="I403" s="17">
        <f t="shared" si="127"/>
        <v>0</v>
      </c>
      <c r="J403" s="17">
        <f t="shared" si="128"/>
        <v>0</v>
      </c>
      <c r="K403" s="17">
        <f>'1 - Input'!$B$22*(H403-J403)</f>
        <v>0</v>
      </c>
      <c r="L403" s="17">
        <f t="shared" si="129"/>
        <v>0</v>
      </c>
      <c r="M403" s="17">
        <f t="shared" si="130"/>
        <v>0</v>
      </c>
      <c r="N403" s="17">
        <f>0</f>
        <v>0</v>
      </c>
      <c r="O403" s="17">
        <f t="shared" si="131"/>
        <v>4794.7806638029942</v>
      </c>
      <c r="P403" s="17">
        <f t="shared" si="132"/>
        <v>0</v>
      </c>
      <c r="Q403" s="17">
        <f>IF(AND(O403&gt;0,I403&gt;0),O403/(1-'1 - Input'!$B$22*P403),0)</f>
        <v>0</v>
      </c>
      <c r="R403" s="17">
        <f t="shared" si="133"/>
        <v>0</v>
      </c>
      <c r="S403" s="17">
        <f>'1 - Input'!$B$22*P403*R403</f>
        <v>0</v>
      </c>
      <c r="T403" s="17">
        <f t="shared" si="134"/>
        <v>0</v>
      </c>
      <c r="U403" s="17">
        <f t="shared" si="135"/>
        <v>4794.7806638029942</v>
      </c>
      <c r="V403" s="17">
        <f t="shared" si="136"/>
        <v>0</v>
      </c>
      <c r="W403" s="17">
        <f t="shared" si="137"/>
        <v>0</v>
      </c>
      <c r="X403" s="17">
        <f t="shared" si="138"/>
        <v>0</v>
      </c>
      <c r="Y403" s="17">
        <f>IF(MOD(A403,12)=0,W403*'1 - Input'!$B$23,0)</f>
        <v>0</v>
      </c>
      <c r="Z403" s="17">
        <f t="shared" si="139"/>
        <v>0</v>
      </c>
      <c r="AA403" s="17">
        <f>IF(MOD(A403,12)=0,X403*(1-'1 - Input'!$B$23),X403)</f>
        <v>0</v>
      </c>
      <c r="AB403" s="17">
        <f t="shared" si="140"/>
        <v>0</v>
      </c>
      <c r="AC403" s="17">
        <f t="shared" si="144"/>
        <v>676015.57770007267</v>
      </c>
      <c r="AD403" s="17">
        <f t="shared" si="145"/>
        <v>0</v>
      </c>
      <c r="AE403" s="17">
        <f t="shared" si="146"/>
        <v>69240.414874846756</v>
      </c>
      <c r="AF403" s="17">
        <f t="shared" si="147"/>
        <v>0</v>
      </c>
      <c r="AG403" s="17">
        <f t="shared" si="148"/>
        <v>10373.842685499292</v>
      </c>
      <c r="AH403" s="17">
        <f t="shared" si="149"/>
        <v>638390.18854736001</v>
      </c>
      <c r="AI403" s="15">
        <f t="shared" si="141"/>
        <v>1</v>
      </c>
    </row>
  </sheetData>
  <mergeCells count="5">
    <mergeCell ref="A2:L2"/>
    <mergeCell ref="A40:G40"/>
    <mergeCell ref="A1:L1"/>
    <mergeCell ref="A3:L3"/>
    <mergeCell ref="A4:L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workbookViewId="0"/>
  </sheetViews>
  <sheetFormatPr defaultRowHeight="15"/>
  <cols>
    <col min="1" max="1" width="52" customWidth="1"/>
    <col min="2" max="3" width="17" customWidth="1"/>
    <col min="4" max="5" width="27" customWidth="1"/>
    <col min="6" max="6" width="23" customWidth="1"/>
    <col min="7" max="7" width="26" customWidth="1"/>
    <col min="8" max="8" width="21" customWidth="1"/>
    <col min="9" max="9" width="27" customWidth="1"/>
    <col min="10" max="10" width="21" customWidth="1"/>
    <col min="11" max="11" width="20" customWidth="1"/>
    <col min="12" max="12" width="27" customWidth="1"/>
  </cols>
  <sheetData>
    <row r="1" spans="1:12" ht="24.95" customHeight="1">
      <c r="A1" s="24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ht="44.1" customHeight="1">
      <c r="A2" s="22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4" spans="1:12" ht="33.950000000000003" customHeight="1">
      <c r="A4" s="6" t="s">
        <v>136</v>
      </c>
      <c r="B4" s="12">
        <f>'1 - Input'!$B$9</f>
        <v>0</v>
      </c>
      <c r="C4" s="27" t="s">
        <v>137</v>
      </c>
      <c r="D4" s="23"/>
      <c r="E4" s="23"/>
      <c r="F4" s="23"/>
      <c r="G4" s="23"/>
      <c r="H4" s="23"/>
      <c r="I4" s="23"/>
      <c r="J4" s="23"/>
      <c r="K4" s="23"/>
      <c r="L4" s="23"/>
    </row>
    <row r="5" spans="1:12">
      <c r="A5" s="6" t="s">
        <v>138</v>
      </c>
      <c r="B5" s="18" t="str">
        <f>IF('1 - Input'!$B$20=1,"attivo","spento")</f>
        <v>spento</v>
      </c>
    </row>
    <row r="7" spans="1:12" ht="48" customHeight="1">
      <c r="A7" s="5" t="s">
        <v>139</v>
      </c>
      <c r="B7" s="5" t="s">
        <v>140</v>
      </c>
      <c r="C7" s="5" t="s">
        <v>141</v>
      </c>
      <c r="D7" s="5" t="s">
        <v>142</v>
      </c>
      <c r="E7" s="5" t="s">
        <v>143</v>
      </c>
      <c r="F7" s="5" t="s">
        <v>144</v>
      </c>
      <c r="G7" s="5" t="s">
        <v>145</v>
      </c>
      <c r="H7" s="5" t="s">
        <v>146</v>
      </c>
      <c r="I7" s="5" t="s">
        <v>147</v>
      </c>
      <c r="J7" s="5" t="s">
        <v>148</v>
      </c>
      <c r="K7" s="5" t="s">
        <v>149</v>
      </c>
      <c r="L7" s="5" t="s">
        <v>150</v>
      </c>
    </row>
    <row r="8" spans="1:12">
      <c r="A8" s="6" t="s">
        <v>151</v>
      </c>
      <c r="B8" s="19">
        <f>IFERROR(MATCH(1,'2 - Distribuzione'!$AI$44:$AI$403,0),"oltre 30 anni")</f>
        <v>189</v>
      </c>
      <c r="C8" s="18" t="str">
        <f>IF(ISNUMBER(B8),INT(B8/12)&amp;" anni e "&amp;MOD(B8,12)&amp;" mesi","oltre 30 anni")</f>
        <v>15 anni e 9 mesi</v>
      </c>
      <c r="D8" s="13">
        <f>INDEX('2 - Distribuzione'!$AD$44:$AD$403,12*'1 - Input'!$B$14)+INDEX('2 - Distribuzione'!$AE$44:$AE$403,12*'1 - Input'!$B$14)</f>
        <v>101441.90180685223</v>
      </c>
      <c r="E8" s="13">
        <f>INDEX('2 - Distribuzione'!$AD$44:$AD$403,12*'1 - Input'!$B$14)</f>
        <v>101441.90180685223</v>
      </c>
      <c r="F8" s="13">
        <f>INDEX('2 - Distribuzione'!$AE$44:$AE$403,12*'1 - Input'!$B$14)</f>
        <v>0</v>
      </c>
      <c r="G8" s="13">
        <f>INDEX('2 - Distribuzione'!$AF$44:$AF$403,12*'1 - Input'!$B$14)</f>
        <v>174289.24056370757</v>
      </c>
      <c r="H8" s="13">
        <f>INDEX('2 - Distribuzione'!$Z$44:$Z$403,120)</f>
        <v>219631.46344202693</v>
      </c>
      <c r="I8" s="13">
        <f>INDEX('2 - Distribuzione'!$AD$44:$AD$403,120)+INDEX('2 - Distribuzione'!$AE$44:$AE$403,120)</f>
        <v>85900.860011867306</v>
      </c>
      <c r="J8" s="13">
        <f>INDEX('2 - Distribuzione'!$Z$44:$Z$403,180)</f>
        <v>29873.885961210937</v>
      </c>
      <c r="K8" s="13">
        <f>INDEX('2 - Distribuzione'!$AD$44:$AD$403,180)+INDEX('2 - Distribuzione'!$AE$44:$AE$403,180)</f>
        <v>101168.31914661097</v>
      </c>
      <c r="L8" s="13">
        <f>INDEX('2 - Distribuzione'!$Z$44:$Z$403,12*'1 - Input'!$B$14)</f>
        <v>0</v>
      </c>
    </row>
    <row r="9" spans="1:12">
      <c r="A9" s="6" t="s">
        <v>84</v>
      </c>
      <c r="B9" s="19">
        <f>IFERROR(MATCH(1,'2 - Distribuzione'!$BS$44:$BS$403,0),"oltre 30 anni")</f>
        <v>189</v>
      </c>
      <c r="C9" s="18" t="str">
        <f>IF(ISNUMBER(B9),INT(B9/12)&amp;" anni e "&amp;MOD(B9,12)&amp;" mesi","oltre 30 anni")</f>
        <v>15 anni e 9 mesi</v>
      </c>
      <c r="D9" s="13">
        <f>INDEX('2 - Distribuzione'!$BN$44:$BN$403,12*'1 - Input'!$B$14)+INDEX('2 - Distribuzione'!$BO$44:$BO$403,12*'1 - Input'!$B$14)</f>
        <v>101441.90180685223</v>
      </c>
      <c r="E9" s="13">
        <f>INDEX('2 - Distribuzione'!$BN$44:$BN$403,12*'1 - Input'!$B$14)</f>
        <v>101441.90180685223</v>
      </c>
      <c r="F9" s="13">
        <f>INDEX('2 - Distribuzione'!$BO$44:$BO$403,12*'1 - Input'!$B$14)</f>
        <v>0</v>
      </c>
      <c r="G9" s="13">
        <f>INDEX('2 - Distribuzione'!$BP$44:$BP$403,12*'1 - Input'!$B$14)</f>
        <v>174289.24056370757</v>
      </c>
      <c r="H9" s="13">
        <f>INDEX('2 - Distribuzione'!$BJ$44:$BJ$403,120)</f>
        <v>219631.46344202693</v>
      </c>
      <c r="I9" s="13">
        <f>INDEX('2 - Distribuzione'!$BN$44:$BN$403,120)+INDEX('2 - Distribuzione'!$BO$44:$BO$403,120)</f>
        <v>85900.860011867306</v>
      </c>
      <c r="J9" s="13">
        <f>INDEX('2 - Distribuzione'!$BJ$44:$BJ$403,180)</f>
        <v>29873.885961210937</v>
      </c>
      <c r="K9" s="13">
        <f>INDEX('2 - Distribuzione'!$BN$44:$BN$403,180)+INDEX('2 - Distribuzione'!$BO$44:$BO$403,180)</f>
        <v>101168.31914661097</v>
      </c>
      <c r="L9" s="13">
        <f>INDEX('2 - Distribuzione'!$BJ$44:$BJ$403,12*'1 - Input'!$B$14)</f>
        <v>0</v>
      </c>
    </row>
    <row r="10" spans="1:12">
      <c r="A10" s="6" t="s">
        <v>85</v>
      </c>
      <c r="B10" s="19">
        <f>IFERROR(MATCH(1,'2 - Distribuzione'!$DC$44:$DC$403,0),"oltre 30 anni")</f>
        <v>215</v>
      </c>
      <c r="C10" s="18" t="str">
        <f>IF(ISNUMBER(B10),INT(B10/12)&amp;" anni e "&amp;MOD(B10,12)&amp;" mesi","oltre 30 anni")</f>
        <v>17 anni e 11 mesi</v>
      </c>
      <c r="D10" s="13">
        <f>INDEX('2 - Distribuzione'!$CX$44:$CX$403,12*'1 - Input'!$B$14)+INDEX('2 - Distribuzione'!$CY$44:$CY$403,12*'1 - Input'!$B$14)</f>
        <v>72537.116437144781</v>
      </c>
      <c r="E10" s="13">
        <f>INDEX('2 - Distribuzione'!$CX$44:$CX$403,12*'1 - Input'!$B$14)</f>
        <v>6018.3402768167462</v>
      </c>
      <c r="F10" s="13">
        <f>INDEX('2 - Distribuzione'!$CY$44:$CY$403,12*'1 - Input'!$B$14)</f>
        <v>66518.776160328038</v>
      </c>
      <c r="G10" s="13">
        <f>INDEX('2 - Distribuzione'!$CZ$44:$CZ$403,12*'1 - Input'!$B$14)</f>
        <v>0</v>
      </c>
      <c r="H10" s="13">
        <f>INDEX('2 - Distribuzione'!$CT$44:$CT$403,120)</f>
        <v>329797.96453692106</v>
      </c>
      <c r="I10" s="13">
        <f>INDEX('2 - Distribuzione'!$CX$44:$CX$403,120)+INDEX('2 - Distribuzione'!$CY$44:$CY$403,120)</f>
        <v>2376.9865477655449</v>
      </c>
      <c r="J10" s="13">
        <f>INDEX('2 - Distribuzione'!$CT$44:$CT$403,180)</f>
        <v>159112.63972857204</v>
      </c>
      <c r="K10" s="13">
        <f>INDEX('2 - Distribuzione'!$CX$44:$CX$403,180)+INDEX('2 - Distribuzione'!$CY$44:$CY$403,180)</f>
        <v>28161.865078784209</v>
      </c>
      <c r="L10" s="13">
        <f>INDEX('2 - Distribuzione'!$CT$44:$CT$403,12*'1 - Input'!$B$14)</f>
        <v>0</v>
      </c>
    </row>
    <row r="11" spans="1:12">
      <c r="A11" s="6" t="s">
        <v>134</v>
      </c>
      <c r="B11" s="19">
        <f>IFERROR(MATCH(1,'3 - Accumulo'!$AI$44:$AI$403,0),"oltre 30 anni")</f>
        <v>212</v>
      </c>
      <c r="C11" s="18" t="str">
        <f>IF(ISNUMBER(B11),INT(B11/12)&amp;" anni e "&amp;MOD(B11,12)&amp;" mesi","oltre 30 anni")</f>
        <v>17 anni e 8 mesi</v>
      </c>
      <c r="D11" s="13">
        <f>INDEX('3 - Accumulo'!$AD$44:$AD$403,12*'1 - Input'!$B$14)+INDEX('3 - Accumulo'!$AE$44:$AE$403,12*'1 - Input'!$B$14)</f>
        <v>69240.414874846756</v>
      </c>
      <c r="E11" s="13">
        <f>INDEX('3 - Accumulo'!$AD$44:$AD$403,12*'1 - Input'!$B$14)</f>
        <v>0</v>
      </c>
      <c r="F11" s="13">
        <f>INDEX('3 - Accumulo'!$AE$44:$AE$403,12*'1 - Input'!$B$14)</f>
        <v>69240.414874846756</v>
      </c>
      <c r="G11" s="13">
        <f>INDEX('3 - Accumulo'!$AF$44:$AF$403,12*'1 - Input'!$B$14)</f>
        <v>0</v>
      </c>
      <c r="H11" s="13">
        <f>INDEX('3 - Accumulo'!$Z$44:$Z$403,120)</f>
        <v>306771.85827740905</v>
      </c>
      <c r="I11" s="13">
        <f>INDEX('3 - Accumulo'!$AD$44:$AD$403,120)+INDEX('3 - Accumulo'!$AE$44:$AE$403,120)</f>
        <v>21741.439994813281</v>
      </c>
      <c r="J11" s="13">
        <f>INDEX('3 - Accumulo'!$Z$44:$Z$403,180)</f>
        <v>126688.49292991968</v>
      </c>
      <c r="K11" s="13">
        <f>INDEX('3 - Accumulo'!$AD$44:$AD$403,180)+INDEX('3 - Accumulo'!$AE$44:$AE$403,180)</f>
        <v>49778.735851793033</v>
      </c>
      <c r="L11" s="13">
        <f>INDEX('3 - Accumulo'!$Z$44:$Z$403,12*'1 - Input'!$B$14)</f>
        <v>0</v>
      </c>
    </row>
    <row r="13" spans="1:12">
      <c r="A13" s="6" t="s">
        <v>152</v>
      </c>
      <c r="B13" s="20">
        <f>IFERROR((B10-B8)/12,"non calcolabile")</f>
        <v>2.1666666666666665</v>
      </c>
      <c r="C13" s="28" t="str">
        <f>IFERROR("Tra il caso atteso e il limite teorico la durata cambia di "&amp;FIXED(B13,1)&amp;" anni","Uno dei due percorsi regge oltre 30 anni")</f>
        <v>Tra il caso atteso e il limite teorico la durata cambia di 2,2 anni</v>
      </c>
      <c r="D13" s="29"/>
      <c r="E13" s="29"/>
      <c r="F13" s="29"/>
      <c r="G13" s="29"/>
      <c r="H13" s="29"/>
      <c r="I13" s="29"/>
      <c r="J13" s="29"/>
      <c r="K13" s="29"/>
      <c r="L13" s="30"/>
    </row>
    <row r="15" spans="1:12">
      <c r="A15" s="25" t="s">
        <v>153</v>
      </c>
      <c r="B15" s="23"/>
      <c r="C15" s="23"/>
      <c r="D15" s="23"/>
      <c r="E15" s="23"/>
      <c r="F15" s="23"/>
      <c r="G15" s="23"/>
      <c r="H15" s="23"/>
      <c r="I15" s="23"/>
    </row>
    <row r="16" spans="1:12" ht="30">
      <c r="A16" s="5" t="s">
        <v>77</v>
      </c>
      <c r="B16" s="5" t="s">
        <v>154</v>
      </c>
      <c r="C16" s="5" t="s">
        <v>155</v>
      </c>
      <c r="D16" s="5" t="s">
        <v>156</v>
      </c>
      <c r="E16" s="5" t="s">
        <v>157</v>
      </c>
      <c r="F16" s="5" t="s">
        <v>158</v>
      </c>
      <c r="G16" s="5" t="s">
        <v>159</v>
      </c>
      <c r="H16" s="5" t="s">
        <v>160</v>
      </c>
      <c r="I16" s="5" t="s">
        <v>161</v>
      </c>
    </row>
    <row r="17" spans="1:9">
      <c r="A17" s="3">
        <v>1</v>
      </c>
      <c r="B17" s="13">
        <f>INDEX('2 - Distribuzione'!$Z$44:$Z$403,12*$A17)</f>
        <v>465562.81573045242</v>
      </c>
      <c r="C17" s="13">
        <f>INDEX('2 - Distribuzione'!$BJ$44:$BJ$403,12*$A17)</f>
        <v>465562.81573045242</v>
      </c>
      <c r="D17" s="13">
        <f>INDEX('2 - Distribuzione'!$CT$44:$CT$403,12*$A17)</f>
        <v>477016.24227971135</v>
      </c>
      <c r="E17" s="13">
        <f>INDEX('3 - Accumulo'!$Z$44:$Z$403,12*$A17)</f>
        <v>476789.90088324685</v>
      </c>
      <c r="F17" s="13">
        <f>INDEX('2 - Distribuzione'!$AD$44:$AD$403,12*$A17)+INDEX('2 - Distribuzione'!$AE$44:$AE$403,12*$A17)</f>
        <v>11216.604014951532</v>
      </c>
      <c r="G17" s="13">
        <f>INDEX('2 - Distribuzione'!$BN$44:$BN$403,12*$A17)+INDEX('2 - Distribuzione'!$BO$44:$BO$403,12*$A17)</f>
        <v>11216.604014951532</v>
      </c>
      <c r="H17" s="13">
        <f>INDEX('2 - Distribuzione'!$CX$44:$CX$403,12*$A17)+INDEX('2 - Distribuzione'!$CY$44:$CY$403,12*$A17)</f>
        <v>0</v>
      </c>
      <c r="I17" s="13">
        <f>INDEX('3 - Accumulo'!$AD$44:$AD$403,12*$A17)+INDEX('3 - Accumulo'!$AE$44:$AE$403,12*$A17)</f>
        <v>223.375874417793</v>
      </c>
    </row>
    <row r="18" spans="1:9">
      <c r="A18" s="3">
        <v>2</v>
      </c>
      <c r="B18" s="13">
        <f>INDEX('2 - Distribuzione'!$Z$44:$Z$403,12*$A18)</f>
        <v>443463.96414502867</v>
      </c>
      <c r="C18" s="13">
        <f>INDEX('2 - Distribuzione'!$BJ$44:$BJ$403,12*$A18)</f>
        <v>443463.96414502867</v>
      </c>
      <c r="D18" s="13">
        <f>INDEX('2 - Distribuzione'!$CT$44:$CT$403,12*$A18)</f>
        <v>466410.96521209244</v>
      </c>
      <c r="E18" s="13">
        <f>INDEX('3 - Accumulo'!$Z$44:$Z$403,12*$A18)</f>
        <v>465520.49787609332</v>
      </c>
      <c r="F18" s="13">
        <f>INDEX('2 - Distribuzione'!$AD$44:$AD$403,12*$A18)+INDEX('2 - Distribuzione'!$AE$44:$AE$403,12*$A18)</f>
        <v>21928.332121345906</v>
      </c>
      <c r="G18" s="13">
        <f>INDEX('2 - Distribuzione'!$BN$44:$BN$403,12*$A18)+INDEX('2 - Distribuzione'!$BO$44:$BO$403,12*$A18)</f>
        <v>21928.332121345906</v>
      </c>
      <c r="H18" s="13">
        <f>INDEX('2 - Distribuzione'!$CX$44:$CX$403,12*$A18)+INDEX('2 - Distribuzione'!$CY$44:$CY$403,12*$A18)</f>
        <v>0</v>
      </c>
      <c r="I18" s="13">
        <f>INDEX('3 - Accumulo'!$AD$44:$AD$403,12*$A18)+INDEX('3 - Accumulo'!$AE$44:$AE$403,12*$A18)</f>
        <v>864.79726128251957</v>
      </c>
    </row>
    <row r="19" spans="1:9">
      <c r="A19" s="3">
        <v>3</v>
      </c>
      <c r="B19" s="13">
        <f>INDEX('2 - Distribuzione'!$Z$44:$Z$403,12*$A19)</f>
        <v>420162.21430376614</v>
      </c>
      <c r="C19" s="13">
        <f>INDEX('2 - Distribuzione'!$BJ$44:$BJ$403,12*$A19)</f>
        <v>420162.21430376614</v>
      </c>
      <c r="D19" s="13">
        <f>INDEX('2 - Distribuzione'!$CT$44:$CT$403,12*$A19)</f>
        <v>454616.54508505267</v>
      </c>
      <c r="E19" s="13">
        <f>INDEX('3 - Accumulo'!$Z$44:$Z$403,12*$A19)</f>
        <v>452596.63102009671</v>
      </c>
      <c r="F19" s="13">
        <f>INDEX('2 - Distribuzione'!$AD$44:$AD$403,12*$A19)+INDEX('2 - Distribuzione'!$AE$44:$AE$403,12*$A19)</f>
        <v>32107.421473745584</v>
      </c>
      <c r="G19" s="13">
        <f>INDEX('2 - Distribuzione'!$BN$44:$BN$403,12*$A19)+INDEX('2 - Distribuzione'!$BO$44:$BO$403,12*$A19)</f>
        <v>32107.421473745584</v>
      </c>
      <c r="H19" s="13">
        <f>INDEX('2 - Distribuzione'!$CX$44:$CX$403,12*$A19)+INDEX('2 - Distribuzione'!$CY$44:$CY$403,12*$A19)</f>
        <v>0</v>
      </c>
      <c r="I19" s="13">
        <f>INDEX('3 - Accumulo'!$AD$44:$AD$403,12*$A19)+INDEX('3 - Accumulo'!$AE$44:$AE$403,12*$A19)</f>
        <v>1930.4376258146835</v>
      </c>
    </row>
    <row r="20" spans="1:9">
      <c r="A20" s="3">
        <v>4</v>
      </c>
      <c r="B20" s="13">
        <f>INDEX('2 - Distribuzione'!$Z$44:$Z$403,12*$A20)</f>
        <v>395615.07464968698</v>
      </c>
      <c r="C20" s="13">
        <f>INDEX('2 - Distribuzione'!$BJ$44:$BJ$403,12*$A20)</f>
        <v>395615.07464968698</v>
      </c>
      <c r="D20" s="13">
        <f>INDEX('2 - Distribuzione'!$CT$44:$CT$403,12*$A20)</f>
        <v>441561.81389022223</v>
      </c>
      <c r="E20" s="13">
        <f>INDEX('3 - Accumulo'!$Z$44:$Z$403,12*$A20)</f>
        <v>437918.49508101994</v>
      </c>
      <c r="F20" s="13">
        <f>INDEX('2 - Distribuzione'!$AD$44:$AD$403,12*$A20)+INDEX('2 - Distribuzione'!$AE$44:$AE$403,12*$A20)</f>
        <v>41725.126020862175</v>
      </c>
      <c r="G20" s="13">
        <f>INDEX('2 - Distribuzione'!$BN$44:$BN$403,12*$A20)+INDEX('2 - Distribuzione'!$BO$44:$BO$403,12*$A20)</f>
        <v>41725.126020862175</v>
      </c>
      <c r="H20" s="13">
        <f>INDEX('2 - Distribuzione'!$CX$44:$CX$403,12*$A20)+INDEX('2 - Distribuzione'!$CY$44:$CY$403,12*$A20)</f>
        <v>0</v>
      </c>
      <c r="I20" s="13">
        <f>INDEX('3 - Accumulo'!$AD$44:$AD$403,12*$A20)+INDEX('3 - Accumulo'!$AE$44:$AE$403,12*$A20)</f>
        <v>3426.2408103855896</v>
      </c>
    </row>
    <row r="21" spans="1:9">
      <c r="A21" s="3">
        <v>5</v>
      </c>
      <c r="B21" s="13">
        <f>INDEX('2 - Distribuzione'!$Z$44:$Z$403,12*$A21)</f>
        <v>369778.75723424449</v>
      </c>
      <c r="C21" s="13">
        <f>INDEX('2 - Distribuzione'!$BJ$44:$BJ$403,12*$A21)</f>
        <v>369778.75723424449</v>
      </c>
      <c r="D21" s="13">
        <f>INDEX('2 - Distribuzione'!$CT$44:$CT$403,12*$A21)</f>
        <v>427171.88213628763</v>
      </c>
      <c r="E21" s="13">
        <f>INDEX('3 - Accumulo'!$Z$44:$Z$403,12*$A21)</f>
        <v>421381.39734671195</v>
      </c>
      <c r="F21" s="13">
        <f>INDEX('2 - Distribuzione'!$AD$44:$AD$403,12*$A21)+INDEX('2 - Distribuzione'!$AE$44:$AE$403,12*$A21)</f>
        <v>50751.686474221489</v>
      </c>
      <c r="G21" s="13">
        <f>INDEX('2 - Distribuzione'!$BN$44:$BN$403,12*$A21)+INDEX('2 - Distribuzione'!$BO$44:$BO$403,12*$A21)</f>
        <v>50751.686474221489</v>
      </c>
      <c r="H21" s="13">
        <f>INDEX('2 - Distribuzione'!$CX$44:$CX$403,12*$A21)+INDEX('2 - Distribuzione'!$CY$44:$CY$403,12*$A21)</f>
        <v>0</v>
      </c>
      <c r="I21" s="13">
        <f>INDEX('3 - Accumulo'!$AD$44:$AD$403,12*$A21)+INDEX('3 - Accumulo'!$AE$44:$AE$403,12*$A21)</f>
        <v>5357.9324183611297</v>
      </c>
    </row>
    <row r="22" spans="1:9">
      <c r="A22" s="3">
        <v>6</v>
      </c>
      <c r="B22" s="13">
        <f>INDEX('2 - Distribuzione'!$Z$44:$Z$403,12*$A22)</f>
        <v>342608.14097140293</v>
      </c>
      <c r="C22" s="13">
        <f>INDEX('2 - Distribuzione'!$BJ$44:$BJ$403,12*$A22)</f>
        <v>342608.14097140293</v>
      </c>
      <c r="D22" s="13">
        <f>INDEX('2 - Distribuzione'!$CT$44:$CT$403,12*$A22)</f>
        <v>411367.95296313684</v>
      </c>
      <c r="E22" s="13">
        <f>INDEX('3 - Accumulo'!$Z$44:$Z$403,12*$A22)</f>
        <v>402875.50268146285</v>
      </c>
      <c r="F22" s="13">
        <f>INDEX('2 - Distribuzione'!$AD$44:$AD$403,12*$A22)+INDEX('2 - Distribuzione'!$AE$44:$AE$403,12*$A22)</f>
        <v>59156.299425052268</v>
      </c>
      <c r="G22" s="13">
        <f>INDEX('2 - Distribuzione'!$BN$44:$BN$403,12*$A22)+INDEX('2 - Distribuzione'!$BO$44:$BO$403,12*$A22)</f>
        <v>59156.299425052268</v>
      </c>
      <c r="H22" s="13">
        <f>INDEX('2 - Distribuzione'!$CX$44:$CX$403,12*$A22)+INDEX('2 - Distribuzione'!$CY$44:$CY$403,12*$A22)</f>
        <v>0</v>
      </c>
      <c r="I22" s="13">
        <f>INDEX('3 - Accumulo'!$AD$44:$AD$403,12*$A22)+INDEX('3 - Accumulo'!$AE$44:$AE$403,12*$A22)</f>
        <v>7731.032070285336</v>
      </c>
    </row>
    <row r="23" spans="1:9">
      <c r="A23" s="3">
        <v>7</v>
      </c>
      <c r="B23" s="13">
        <f>INDEX('2 - Distribuzione'!$Z$44:$Z$403,12*$A23)</f>
        <v>314056.73389472836</v>
      </c>
      <c r="C23" s="13">
        <f>INDEX('2 - Distribuzione'!$BJ$44:$BJ$403,12*$A23)</f>
        <v>314056.73389472836</v>
      </c>
      <c r="D23" s="13">
        <f>INDEX('2 - Distribuzione'!$CT$44:$CT$403,12*$A23)</f>
        <v>394047.13132082543</v>
      </c>
      <c r="E23" s="13">
        <f>INDEX('3 - Accumulo'!$Z$44:$Z$403,12*$A23)</f>
        <v>382285.56533467746</v>
      </c>
      <c r="F23" s="13">
        <f>INDEX('2 - Distribuzione'!$AD$44:$AD$403,12*$A23)+INDEX('2 - Distribuzione'!$AE$44:$AE$403,12*$A23)</f>
        <v>66907.085586279005</v>
      </c>
      <c r="G23" s="13">
        <f>INDEX('2 - Distribuzione'!$BN$44:$BN$403,12*$A23)+INDEX('2 - Distribuzione'!$BO$44:$BO$403,12*$A23)</f>
        <v>66907.085586279005</v>
      </c>
      <c r="H23" s="13">
        <f>INDEX('2 - Distribuzione'!$CX$44:$CX$403,12*$A23)+INDEX('2 - Distribuzione'!$CY$44:$CY$403,12*$A23)</f>
        <v>19.915832657108712</v>
      </c>
      <c r="I23" s="13">
        <f>INDEX('3 - Accumulo'!$AD$44:$AD$403,12*$A23)+INDEX('3 - Accumulo'!$AE$44:$AE$403,12*$A23)</f>
        <v>10550.866416832741</v>
      </c>
    </row>
    <row r="24" spans="1:9">
      <c r="A24" s="3">
        <v>8</v>
      </c>
      <c r="B24" s="13">
        <f>INDEX('2 - Distribuzione'!$Z$44:$Z$403,12*$A24)</f>
        <v>284076.63439119922</v>
      </c>
      <c r="C24" s="13">
        <f>INDEX('2 - Distribuzione'!$BJ$44:$BJ$403,12*$A24)</f>
        <v>284076.63439119922</v>
      </c>
      <c r="D24" s="13">
        <f>INDEX('2 - Distribuzione'!$CT$44:$CT$403,12*$A24)</f>
        <v>374859.66535955004</v>
      </c>
      <c r="E24" s="13">
        <f>INDEX('3 - Accumulo'!$Z$44:$Z$403,12*$A24)</f>
        <v>359490.64697505219</v>
      </c>
      <c r="F24" s="13">
        <f>INDEX('2 - Distribuzione'!$AD$44:$AD$403,12*$A24)+INDEX('2 - Distribuzione'!$AE$44:$AE$403,12*$A24)</f>
        <v>73971.057135889205</v>
      </c>
      <c r="G24" s="13">
        <f>INDEX('2 - Distribuzione'!$BN$44:$BN$403,12*$A24)+INDEX('2 - Distribuzione'!$BO$44:$BO$403,12*$A24)</f>
        <v>73971.057135889205</v>
      </c>
      <c r="H24" s="13">
        <f>INDEX('2 - Distribuzione'!$CX$44:$CX$403,12*$A24)+INDEX('2 - Distribuzione'!$CY$44:$CY$403,12*$A24)</f>
        <v>316.35410627684746</v>
      </c>
      <c r="I24" s="13">
        <f>INDEX('3 - Accumulo'!$AD$44:$AD$403,12*$A24)+INDEX('3 - Accumulo'!$AE$44:$AE$403,12*$A24)</f>
        <v>13822.582795180057</v>
      </c>
    </row>
    <row r="25" spans="1:9">
      <c r="A25" s="3">
        <v>9</v>
      </c>
      <c r="B25" s="13">
        <f>INDEX('2 - Distribuzione'!$Z$44:$Z$403,12*$A25)</f>
        <v>252618.49138477095</v>
      </c>
      <c r="C25" s="13">
        <f>INDEX('2 - Distribuzione'!$BJ$44:$BJ$403,12*$A25)</f>
        <v>252618.49138477095</v>
      </c>
      <c r="D25" s="13">
        <f>INDEX('2 - Distribuzione'!$CT$44:$CT$403,12*$A25)</f>
        <v>353540.7347826077</v>
      </c>
      <c r="E25" s="13">
        <f>INDEX('3 - Accumulo'!$Z$44:$Z$403,12*$A25)</f>
        <v>334363.82039235294</v>
      </c>
      <c r="F25" s="13">
        <f>INDEX('2 - Distribuzione'!$AD$44:$AD$403,12*$A25)+INDEX('2 - Distribuzione'!$AE$44:$AE$403,12*$A25)</f>
        <v>80314.084137319936</v>
      </c>
      <c r="G25" s="13">
        <f>INDEX('2 - Distribuzione'!$BN$44:$BN$403,12*$A25)+INDEX('2 - Distribuzione'!$BO$44:$BO$403,12*$A25)</f>
        <v>80314.084137319936</v>
      </c>
      <c r="H25" s="13">
        <f>INDEX('2 - Distribuzione'!$CX$44:$CX$403,12*$A25)+INDEX('2 - Distribuzione'!$CY$44:$CY$403,12*$A25)</f>
        <v>1045.2511896077251</v>
      </c>
      <c r="I25" s="13">
        <f>INDEX('3 - Accumulo'!$AD$44:$AD$403,12*$A25)+INDEX('3 - Accumulo'!$AE$44:$AE$403,12*$A25)</f>
        <v>17551.163418780263</v>
      </c>
    </row>
    <row r="26" spans="1:9">
      <c r="A26" s="3">
        <v>10</v>
      </c>
      <c r="B26" s="13">
        <f>INDEX('2 - Distribuzione'!$Z$44:$Z$403,12*$A26)</f>
        <v>219631.46344202693</v>
      </c>
      <c r="C26" s="13">
        <f>INDEX('2 - Distribuzione'!$BJ$44:$BJ$403,12*$A26)</f>
        <v>219631.46344202693</v>
      </c>
      <c r="D26" s="13">
        <f>INDEX('2 - Distribuzione'!$CT$44:$CT$403,12*$A26)</f>
        <v>329797.96453692106</v>
      </c>
      <c r="E26" s="13">
        <f>INDEX('3 - Accumulo'!$Z$44:$Z$403,12*$A26)</f>
        <v>306771.85827740905</v>
      </c>
      <c r="F26" s="13">
        <f>INDEX('2 - Distribuzione'!$AD$44:$AD$403,12*$A26)+INDEX('2 - Distribuzione'!$AE$44:$AE$403,12*$A26)</f>
        <v>85900.860011867306</v>
      </c>
      <c r="G26" s="13">
        <f>INDEX('2 - Distribuzione'!$BN$44:$BN$403,12*$A26)+INDEX('2 - Distribuzione'!$BO$44:$BO$403,12*$A26)</f>
        <v>85900.860011867306</v>
      </c>
      <c r="H26" s="13">
        <f>INDEX('2 - Distribuzione'!$CX$44:$CX$403,12*$A26)+INDEX('2 - Distribuzione'!$CY$44:$CY$403,12*$A26)</f>
        <v>2376.9865477655449</v>
      </c>
      <c r="I26" s="13">
        <f>INDEX('3 - Accumulo'!$AD$44:$AD$403,12*$A26)+INDEX('3 - Accumulo'!$AE$44:$AE$403,12*$A26)</f>
        <v>21741.439994813281</v>
      </c>
    </row>
    <row r="27" spans="1:9">
      <c r="A27" s="3">
        <v>11</v>
      </c>
      <c r="B27" s="13">
        <f>INDEX('2 - Distribuzione'!$Z$44:$Z$403,12*$A27)</f>
        <v>185063.17677153813</v>
      </c>
      <c r="C27" s="13">
        <f>INDEX('2 - Distribuzione'!$BJ$44:$BJ$403,12*$A27)</f>
        <v>185063.17677153813</v>
      </c>
      <c r="D27" s="13">
        <f>INDEX('2 - Distribuzione'!$CT$44:$CT$403,12*$A27)</f>
        <v>303282.34493691445</v>
      </c>
      <c r="E27" s="13">
        <f>INDEX('3 - Accumulo'!$Z$44:$Z$403,12*$A27)</f>
        <v>276574.9064571138</v>
      </c>
      <c r="F27" s="13">
        <f>INDEX('2 - Distribuzione'!$AD$44:$AD$403,12*$A27)+INDEX('2 - Distribuzione'!$AE$44:$AE$403,12*$A27)</f>
        <v>90694.866037463245</v>
      </c>
      <c r="G27" s="13">
        <f>INDEX('2 - Distribuzione'!$BN$44:$BN$403,12*$A27)+INDEX('2 - Distribuzione'!$BO$44:$BO$403,12*$A27)</f>
        <v>90694.866037463245</v>
      </c>
      <c r="H27" s="13">
        <f>INDEX('2 - Distribuzione'!$CX$44:$CX$403,12*$A27)+INDEX('2 - Distribuzione'!$CY$44:$CY$403,12*$A27)</f>
        <v>4523.2642602436144</v>
      </c>
      <c r="I27" s="13">
        <f>INDEX('3 - Accumulo'!$AD$44:$AD$403,12*$A27)+INDEX('3 - Accumulo'!$AE$44:$AE$403,12*$A27)</f>
        <v>26398.108668683511</v>
      </c>
    </row>
    <row r="28" spans="1:9">
      <c r="A28" s="3">
        <v>12</v>
      </c>
      <c r="B28" s="13">
        <f>INDEX('2 - Distribuzione'!$Z$44:$Z$403,12*$A28)</f>
        <v>148859.68208781834</v>
      </c>
      <c r="C28" s="13">
        <f>INDEX('2 - Distribuzione'!$BJ$44:$BJ$403,12*$A28)</f>
        <v>148859.68208781834</v>
      </c>
      <c r="D28" s="13">
        <f>INDEX('2 - Distribuzione'!$CT$44:$CT$403,12*$A28)</f>
        <v>273574.19792475289</v>
      </c>
      <c r="E28" s="13">
        <f>INDEX('3 - Accumulo'!$Z$44:$Z$403,12*$A28)</f>
        <v>243626.14092507889</v>
      </c>
      <c r="F28" s="13">
        <f>INDEX('2 - Distribuzione'!$AD$44:$AD$403,12*$A28)+INDEX('2 - Distribuzione'!$AE$44:$AE$403,12*$A28)</f>
        <v>94658.334847489648</v>
      </c>
      <c r="G28" s="13">
        <f>INDEX('2 - Distribuzione'!$BN$44:$BN$403,12*$A28)+INDEX('2 - Distribuzione'!$BO$44:$BO$403,12*$A28)</f>
        <v>94658.334847489648</v>
      </c>
      <c r="H28" s="13">
        <f>INDEX('2 - Distribuzione'!$CX$44:$CX$403,12*$A28)+INDEX('2 - Distribuzione'!$CY$44:$CY$403,12*$A28)</f>
        <v>7748.1747104080387</v>
      </c>
      <c r="I28" s="13">
        <f>INDEX('3 - Accumulo'!$AD$44:$AD$403,12*$A28)+INDEX('3 - Accumulo'!$AE$44:$AE$403,12*$A28)</f>
        <v>31525.745200683792</v>
      </c>
    </row>
    <row r="29" spans="1:9">
      <c r="A29" s="3">
        <v>13</v>
      </c>
      <c r="B29" s="13">
        <f>INDEX('2 - Distribuzione'!$Z$44:$Z$403,12*$A29)</f>
        <v>110965.41031000992</v>
      </c>
      <c r="C29" s="13">
        <f>INDEX('2 - Distribuzione'!$BJ$44:$BJ$403,12*$A29)</f>
        <v>110965.41031000992</v>
      </c>
      <c r="D29" s="13">
        <f>INDEX('2 - Distribuzione'!$CT$44:$CT$403,12*$A29)</f>
        <v>240164.86410326741</v>
      </c>
      <c r="E29" s="13">
        <f>INDEX('3 - Accumulo'!$Z$44:$Z$403,12*$A29)</f>
        <v>207771.40797017954</v>
      </c>
      <c r="F29" s="13">
        <f>INDEX('2 - Distribuzione'!$AD$44:$AD$403,12*$A29)+INDEX('2 - Distribuzione'!$AE$44:$AE$403,12*$A29)</f>
        <v>97752.212902606523</v>
      </c>
      <c r="G29" s="13">
        <f>INDEX('2 - Distribuzione'!$BN$44:$BN$403,12*$A29)+INDEX('2 - Distribuzione'!$BO$44:$BO$403,12*$A29)</f>
        <v>97752.212902606523</v>
      </c>
      <c r="H29" s="13">
        <f>INDEX('2 - Distribuzione'!$CX$44:$CX$403,12*$A29)+INDEX('2 - Distribuzione'!$CY$44:$CY$403,12*$A29)</f>
        <v>12382.785471557072</v>
      </c>
      <c r="I29" s="13">
        <f>INDEX('3 - Accumulo'!$AD$44:$AD$403,12*$A29)+INDEX('3 - Accumulo'!$AE$44:$AE$403,12*$A29)</f>
        <v>37128.820286203103</v>
      </c>
    </row>
    <row r="30" spans="1:9">
      <c r="A30" s="3">
        <v>14</v>
      </c>
      <c r="B30" s="13">
        <f>INDEX('2 - Distribuzione'!$Z$44:$Z$403,12*$A30)</f>
        <v>71323.127064667206</v>
      </c>
      <c r="C30" s="13">
        <f>INDEX('2 - Distribuzione'!$BJ$44:$BJ$403,12*$A30)</f>
        <v>71323.127064667206</v>
      </c>
      <c r="D30" s="13">
        <f>INDEX('2 - Distribuzione'!$CT$44:$CT$403,12*$A30)</f>
        <v>202432.53694136909</v>
      </c>
      <c r="E30" s="13">
        <f>INDEX('3 - Accumulo'!$Z$44:$Z$403,12*$A30)</f>
        <v>168848.84666457595</v>
      </c>
      <c r="F30" s="13">
        <f>INDEX('2 - Distribuzione'!$AD$44:$AD$403,12*$A30)+INDEX('2 - Distribuzione'!$AE$44:$AE$403,12*$A30)</f>
        <v>99936.121907860492</v>
      </c>
      <c r="G30" s="13">
        <f>INDEX('2 - Distribuzione'!$BN$44:$BN$403,12*$A30)+INDEX('2 - Distribuzione'!$BO$44:$BO$403,12*$A30)</f>
        <v>99936.121907860492</v>
      </c>
      <c r="H30" s="13">
        <f>INDEX('2 - Distribuzione'!$CX$44:$CX$403,12*$A30)+INDEX('2 - Distribuzione'!$CY$44:$CY$403,12*$A30)</f>
        <v>18844.601405578847</v>
      </c>
      <c r="I30" s="13">
        <f>INDEX('3 - Accumulo'!$AD$44:$AD$403,12*$A30)+INDEX('3 - Accumulo'!$AE$44:$AE$403,12*$A30)</f>
        <v>43211.714937482495</v>
      </c>
    </row>
    <row r="31" spans="1:9">
      <c r="A31" s="3">
        <v>15</v>
      </c>
      <c r="B31" s="13">
        <f>INDEX('2 - Distribuzione'!$Z$44:$Z$403,12*$A31)</f>
        <v>29873.885961210937</v>
      </c>
      <c r="C31" s="13">
        <f>INDEX('2 - Distribuzione'!$BJ$44:$BJ$403,12*$A31)</f>
        <v>29873.885961210937</v>
      </c>
      <c r="D31" s="13">
        <f>INDEX('2 - Distribuzione'!$CT$44:$CT$403,12*$A31)</f>
        <v>159112.63972857204</v>
      </c>
      <c r="E31" s="13">
        <f>INDEX('3 - Accumulo'!$Z$44:$Z$403,12*$A31)</f>
        <v>126688.49292991968</v>
      </c>
      <c r="F31" s="13">
        <f>INDEX('2 - Distribuzione'!$AD$44:$AD$403,12*$A31)+INDEX('2 - Distribuzione'!$AE$44:$AE$403,12*$A31)</f>
        <v>101168.31914661097</v>
      </c>
      <c r="G31" s="13">
        <f>INDEX('2 - Distribuzione'!$BN$44:$BN$403,12*$A31)+INDEX('2 - Distribuzione'!$BO$44:$BO$403,12*$A31)</f>
        <v>101168.31914661097</v>
      </c>
      <c r="H31" s="13">
        <f>INDEX('2 - Distribuzione'!$CX$44:$CX$403,12*$A31)+INDEX('2 - Distribuzione'!$CY$44:$CY$403,12*$A31)</f>
        <v>28161.865078784209</v>
      </c>
      <c r="I31" s="13">
        <f>INDEX('3 - Accumulo'!$AD$44:$AD$403,12*$A31)+INDEX('3 - Accumulo'!$AE$44:$AE$403,12*$A31)</f>
        <v>49778.735851793033</v>
      </c>
    </row>
    <row r="32" spans="1:9">
      <c r="A32" s="3">
        <v>16</v>
      </c>
      <c r="B32" s="13">
        <f>INDEX('2 - Distribuzione'!$Z$44:$Z$403,12*$A32)</f>
        <v>0</v>
      </c>
      <c r="C32" s="13">
        <f>INDEX('2 - Distribuzione'!$BJ$44:$BJ$403,12*$A32)</f>
        <v>0</v>
      </c>
      <c r="D32" s="13">
        <f>INDEX('2 - Distribuzione'!$CT$44:$CT$403,12*$A32)</f>
        <v>106668.32609594353</v>
      </c>
      <c r="E32" s="13">
        <f>INDEX('3 - Accumulo'!$Z$44:$Z$403,12*$A32)</f>
        <v>81111.86435537292</v>
      </c>
      <c r="F32" s="13">
        <f>INDEX('2 - Distribuzione'!$AD$44:$AD$403,12*$A32)+INDEX('2 - Distribuzione'!$AE$44:$AE$403,12*$A32)</f>
        <v>101441.90180685223</v>
      </c>
      <c r="G32" s="13">
        <f>INDEX('2 - Distribuzione'!$BN$44:$BN$403,12*$A32)+INDEX('2 - Distribuzione'!$BO$44:$BO$403,12*$A32)</f>
        <v>101441.90180685223</v>
      </c>
      <c r="H32" s="13">
        <f>INDEX('2 - Distribuzione'!$CX$44:$CX$403,12*$A32)+INDEX('2 - Distribuzione'!$CY$44:$CY$403,12*$A32)</f>
        <v>43482.939243706453</v>
      </c>
      <c r="I32" s="13">
        <f>INDEX('3 - Accumulo'!$AD$44:$AD$403,12*$A32)+INDEX('3 - Accumulo'!$AE$44:$AE$403,12*$A32)</f>
        <v>56834.130697902619</v>
      </c>
    </row>
    <row r="33" spans="1:9">
      <c r="A33" s="3">
        <v>17</v>
      </c>
      <c r="B33" s="13">
        <f>INDEX('2 - Distribuzione'!$Z$44:$Z$403,12*$A33)</f>
        <v>0</v>
      </c>
      <c r="C33" s="13">
        <f>INDEX('2 - Distribuzione'!$BJ$44:$BJ$403,12*$A33)</f>
        <v>0</v>
      </c>
      <c r="D33" s="13">
        <f>INDEX('2 - Distribuzione'!$CT$44:$CT$403,12*$A33)</f>
        <v>50477.304470822884</v>
      </c>
      <c r="E33" s="13">
        <f>INDEX('3 - Accumulo'!$Z$44:$Z$403,12*$A33)</f>
        <v>31931.524893781992</v>
      </c>
      <c r="F33" s="13">
        <f>INDEX('2 - Distribuzione'!$AD$44:$AD$403,12*$A33)+INDEX('2 - Distribuzione'!$AE$44:$AE$403,12*$A33)</f>
        <v>101441.90180685223</v>
      </c>
      <c r="G33" s="13">
        <f>INDEX('2 - Distribuzione'!$BN$44:$BN$403,12*$A33)+INDEX('2 - Distribuzione'!$BO$44:$BO$403,12*$A33)</f>
        <v>101441.90180685223</v>
      </c>
      <c r="H33" s="13">
        <f>INDEX('2 - Distribuzione'!$CX$44:$CX$403,12*$A33)+INDEX('2 - Distribuzione'!$CY$44:$CY$403,12*$A33)</f>
        <v>59110.434891927143</v>
      </c>
      <c r="I33" s="13">
        <f>INDEX('3 - Accumulo'!$AD$44:$AD$403,12*$A33)+INDEX('3 - Accumulo'!$AE$44:$AE$403,12*$A33)</f>
        <v>64382.103259711505</v>
      </c>
    </row>
    <row r="34" spans="1:9">
      <c r="A34" s="3">
        <v>18</v>
      </c>
      <c r="B34" s="13">
        <f>INDEX('2 - Distribuzione'!$Z$44:$Z$403,12*$A34)</f>
        <v>0</v>
      </c>
      <c r="C34" s="13">
        <f>INDEX('2 - Distribuzione'!$BJ$44:$BJ$403,12*$A34)</f>
        <v>0</v>
      </c>
      <c r="D34" s="13">
        <f>INDEX('2 - Distribuzione'!$CT$44:$CT$403,12*$A34)</f>
        <v>0</v>
      </c>
      <c r="E34" s="13">
        <f>INDEX('3 - Accumulo'!$Z$44:$Z$403,12*$A34)</f>
        <v>0</v>
      </c>
      <c r="F34" s="13">
        <f>INDEX('2 - Distribuzione'!$AD$44:$AD$403,12*$A34)+INDEX('2 - Distribuzione'!$AE$44:$AE$403,12*$A34)</f>
        <v>101441.90180685223</v>
      </c>
      <c r="G34" s="13">
        <f>INDEX('2 - Distribuzione'!$BN$44:$BN$403,12*$A34)+INDEX('2 - Distribuzione'!$BO$44:$BO$403,12*$A34)</f>
        <v>101441.90180685223</v>
      </c>
      <c r="H34" s="13">
        <f>INDEX('2 - Distribuzione'!$CX$44:$CX$403,12*$A34)+INDEX('2 - Distribuzione'!$CY$44:$CY$403,12*$A34)</f>
        <v>72537.116437144781</v>
      </c>
      <c r="I34" s="13">
        <f>INDEX('3 - Accumulo'!$AD$44:$AD$403,12*$A34)+INDEX('3 - Accumulo'!$AE$44:$AE$403,12*$A34)</f>
        <v>69240.414874846756</v>
      </c>
    </row>
    <row r="35" spans="1:9">
      <c r="A35" s="3">
        <v>19</v>
      </c>
      <c r="B35" s="13">
        <f>INDEX('2 - Distribuzione'!$Z$44:$Z$403,12*$A35)</f>
        <v>0</v>
      </c>
      <c r="C35" s="13">
        <f>INDEX('2 - Distribuzione'!$BJ$44:$BJ$403,12*$A35)</f>
        <v>0</v>
      </c>
      <c r="D35" s="13">
        <f>INDEX('2 - Distribuzione'!$CT$44:$CT$403,12*$A35)</f>
        <v>0</v>
      </c>
      <c r="E35" s="13">
        <f>INDEX('3 - Accumulo'!$Z$44:$Z$403,12*$A35)</f>
        <v>0</v>
      </c>
      <c r="F35" s="13">
        <f>INDEX('2 - Distribuzione'!$AD$44:$AD$403,12*$A35)+INDEX('2 - Distribuzione'!$AE$44:$AE$403,12*$A35)</f>
        <v>101441.90180685223</v>
      </c>
      <c r="G35" s="13">
        <f>INDEX('2 - Distribuzione'!$BN$44:$BN$403,12*$A35)+INDEX('2 - Distribuzione'!$BO$44:$BO$403,12*$A35)</f>
        <v>101441.90180685223</v>
      </c>
      <c r="H35" s="13">
        <f>INDEX('2 - Distribuzione'!$CX$44:$CX$403,12*$A35)+INDEX('2 - Distribuzione'!$CY$44:$CY$403,12*$A35)</f>
        <v>72537.116437144781</v>
      </c>
      <c r="I35" s="13">
        <f>INDEX('3 - Accumulo'!$AD$44:$AD$403,12*$A35)+INDEX('3 - Accumulo'!$AE$44:$AE$403,12*$A35)</f>
        <v>69240.414874846756</v>
      </c>
    </row>
    <row r="36" spans="1:9">
      <c r="A36" s="3">
        <v>20</v>
      </c>
      <c r="B36" s="13">
        <f>INDEX('2 - Distribuzione'!$Z$44:$Z$403,12*$A36)</f>
        <v>0</v>
      </c>
      <c r="C36" s="13">
        <f>INDEX('2 - Distribuzione'!$BJ$44:$BJ$403,12*$A36)</f>
        <v>0</v>
      </c>
      <c r="D36" s="13">
        <f>INDEX('2 - Distribuzione'!$CT$44:$CT$403,12*$A36)</f>
        <v>0</v>
      </c>
      <c r="E36" s="13">
        <f>INDEX('3 - Accumulo'!$Z$44:$Z$403,12*$A36)</f>
        <v>0</v>
      </c>
      <c r="F36" s="13">
        <f>INDEX('2 - Distribuzione'!$AD$44:$AD$403,12*$A36)+INDEX('2 - Distribuzione'!$AE$44:$AE$403,12*$A36)</f>
        <v>101441.90180685223</v>
      </c>
      <c r="G36" s="13">
        <f>INDEX('2 - Distribuzione'!$BN$44:$BN$403,12*$A36)+INDEX('2 - Distribuzione'!$BO$44:$BO$403,12*$A36)</f>
        <v>101441.90180685223</v>
      </c>
      <c r="H36" s="13">
        <f>INDEX('2 - Distribuzione'!$CX$44:$CX$403,12*$A36)+INDEX('2 - Distribuzione'!$CY$44:$CY$403,12*$A36)</f>
        <v>72537.116437144781</v>
      </c>
      <c r="I36" s="13">
        <f>INDEX('3 - Accumulo'!$AD$44:$AD$403,12*$A36)+INDEX('3 - Accumulo'!$AE$44:$AE$403,12*$A36)</f>
        <v>69240.414874846756</v>
      </c>
    </row>
    <row r="37" spans="1:9">
      <c r="A37" s="3">
        <v>21</v>
      </c>
      <c r="B37" s="13">
        <f>INDEX('2 - Distribuzione'!$Z$44:$Z$403,12*$A37)</f>
        <v>0</v>
      </c>
      <c r="C37" s="13">
        <f>INDEX('2 - Distribuzione'!$BJ$44:$BJ$403,12*$A37)</f>
        <v>0</v>
      </c>
      <c r="D37" s="13">
        <f>INDEX('2 - Distribuzione'!$CT$44:$CT$403,12*$A37)</f>
        <v>0</v>
      </c>
      <c r="E37" s="13">
        <f>INDEX('3 - Accumulo'!$Z$44:$Z$403,12*$A37)</f>
        <v>0</v>
      </c>
      <c r="F37" s="13">
        <f>INDEX('2 - Distribuzione'!$AD$44:$AD$403,12*$A37)+INDEX('2 - Distribuzione'!$AE$44:$AE$403,12*$A37)</f>
        <v>101441.90180685223</v>
      </c>
      <c r="G37" s="13">
        <f>INDEX('2 - Distribuzione'!$BN$44:$BN$403,12*$A37)+INDEX('2 - Distribuzione'!$BO$44:$BO$403,12*$A37)</f>
        <v>101441.90180685223</v>
      </c>
      <c r="H37" s="13">
        <f>INDEX('2 - Distribuzione'!$CX$44:$CX$403,12*$A37)+INDEX('2 - Distribuzione'!$CY$44:$CY$403,12*$A37)</f>
        <v>72537.116437144781</v>
      </c>
      <c r="I37" s="13">
        <f>INDEX('3 - Accumulo'!$AD$44:$AD$403,12*$A37)+INDEX('3 - Accumulo'!$AE$44:$AE$403,12*$A37)</f>
        <v>69240.414874846756</v>
      </c>
    </row>
    <row r="38" spans="1:9">
      <c r="A38" s="3">
        <v>22</v>
      </c>
      <c r="B38" s="13">
        <f>INDEX('2 - Distribuzione'!$Z$44:$Z$403,12*$A38)</f>
        <v>0</v>
      </c>
      <c r="C38" s="13">
        <f>INDEX('2 - Distribuzione'!$BJ$44:$BJ$403,12*$A38)</f>
        <v>0</v>
      </c>
      <c r="D38" s="13">
        <f>INDEX('2 - Distribuzione'!$CT$44:$CT$403,12*$A38)</f>
        <v>0</v>
      </c>
      <c r="E38" s="13">
        <f>INDEX('3 - Accumulo'!$Z$44:$Z$403,12*$A38)</f>
        <v>0</v>
      </c>
      <c r="F38" s="13">
        <f>INDEX('2 - Distribuzione'!$AD$44:$AD$403,12*$A38)+INDEX('2 - Distribuzione'!$AE$44:$AE$403,12*$A38)</f>
        <v>101441.90180685223</v>
      </c>
      <c r="G38" s="13">
        <f>INDEX('2 - Distribuzione'!$BN$44:$BN$403,12*$A38)+INDEX('2 - Distribuzione'!$BO$44:$BO$403,12*$A38)</f>
        <v>101441.90180685223</v>
      </c>
      <c r="H38" s="13">
        <f>INDEX('2 - Distribuzione'!$CX$44:$CX$403,12*$A38)+INDEX('2 - Distribuzione'!$CY$44:$CY$403,12*$A38)</f>
        <v>72537.116437144781</v>
      </c>
      <c r="I38" s="13">
        <f>INDEX('3 - Accumulo'!$AD$44:$AD$403,12*$A38)+INDEX('3 - Accumulo'!$AE$44:$AE$403,12*$A38)</f>
        <v>69240.414874846756</v>
      </c>
    </row>
    <row r="39" spans="1:9">
      <c r="A39" s="3">
        <v>23</v>
      </c>
      <c r="B39" s="13">
        <f>INDEX('2 - Distribuzione'!$Z$44:$Z$403,12*$A39)</f>
        <v>0</v>
      </c>
      <c r="C39" s="13">
        <f>INDEX('2 - Distribuzione'!$BJ$44:$BJ$403,12*$A39)</f>
        <v>0</v>
      </c>
      <c r="D39" s="13">
        <f>INDEX('2 - Distribuzione'!$CT$44:$CT$403,12*$A39)</f>
        <v>0</v>
      </c>
      <c r="E39" s="13">
        <f>INDEX('3 - Accumulo'!$Z$44:$Z$403,12*$A39)</f>
        <v>0</v>
      </c>
      <c r="F39" s="13">
        <f>INDEX('2 - Distribuzione'!$AD$44:$AD$403,12*$A39)+INDEX('2 - Distribuzione'!$AE$44:$AE$403,12*$A39)</f>
        <v>101441.90180685223</v>
      </c>
      <c r="G39" s="13">
        <f>INDEX('2 - Distribuzione'!$BN$44:$BN$403,12*$A39)+INDEX('2 - Distribuzione'!$BO$44:$BO$403,12*$A39)</f>
        <v>101441.90180685223</v>
      </c>
      <c r="H39" s="13">
        <f>INDEX('2 - Distribuzione'!$CX$44:$CX$403,12*$A39)+INDEX('2 - Distribuzione'!$CY$44:$CY$403,12*$A39)</f>
        <v>72537.116437144781</v>
      </c>
      <c r="I39" s="13">
        <f>INDEX('3 - Accumulo'!$AD$44:$AD$403,12*$A39)+INDEX('3 - Accumulo'!$AE$44:$AE$403,12*$A39)</f>
        <v>69240.414874846756</v>
      </c>
    </row>
    <row r="40" spans="1:9">
      <c r="A40" s="3">
        <v>24</v>
      </c>
      <c r="B40" s="13">
        <f>INDEX('2 - Distribuzione'!$Z$44:$Z$403,12*$A40)</f>
        <v>0</v>
      </c>
      <c r="C40" s="13">
        <f>INDEX('2 - Distribuzione'!$BJ$44:$BJ$403,12*$A40)</f>
        <v>0</v>
      </c>
      <c r="D40" s="13">
        <f>INDEX('2 - Distribuzione'!$CT$44:$CT$403,12*$A40)</f>
        <v>0</v>
      </c>
      <c r="E40" s="13">
        <f>INDEX('3 - Accumulo'!$Z$44:$Z$403,12*$A40)</f>
        <v>0</v>
      </c>
      <c r="F40" s="13">
        <f>INDEX('2 - Distribuzione'!$AD$44:$AD$403,12*$A40)+INDEX('2 - Distribuzione'!$AE$44:$AE$403,12*$A40)</f>
        <v>101441.90180685223</v>
      </c>
      <c r="G40" s="13">
        <f>INDEX('2 - Distribuzione'!$BN$44:$BN$403,12*$A40)+INDEX('2 - Distribuzione'!$BO$44:$BO$403,12*$A40)</f>
        <v>101441.90180685223</v>
      </c>
      <c r="H40" s="13">
        <f>INDEX('2 - Distribuzione'!$CX$44:$CX$403,12*$A40)+INDEX('2 - Distribuzione'!$CY$44:$CY$403,12*$A40)</f>
        <v>72537.116437144781</v>
      </c>
      <c r="I40" s="13">
        <f>INDEX('3 - Accumulo'!$AD$44:$AD$403,12*$A40)+INDEX('3 - Accumulo'!$AE$44:$AE$403,12*$A40)</f>
        <v>69240.414874846756</v>
      </c>
    </row>
    <row r="41" spans="1:9">
      <c r="A41" s="3">
        <v>25</v>
      </c>
      <c r="B41" s="13">
        <f>INDEX('2 - Distribuzione'!$Z$44:$Z$403,12*$A41)</f>
        <v>0</v>
      </c>
      <c r="C41" s="13">
        <f>INDEX('2 - Distribuzione'!$BJ$44:$BJ$403,12*$A41)</f>
        <v>0</v>
      </c>
      <c r="D41" s="13">
        <f>INDEX('2 - Distribuzione'!$CT$44:$CT$403,12*$A41)</f>
        <v>0</v>
      </c>
      <c r="E41" s="13">
        <f>INDEX('3 - Accumulo'!$Z$44:$Z$403,12*$A41)</f>
        <v>0</v>
      </c>
      <c r="F41" s="13">
        <f>INDEX('2 - Distribuzione'!$AD$44:$AD$403,12*$A41)+INDEX('2 - Distribuzione'!$AE$44:$AE$403,12*$A41)</f>
        <v>101441.90180685223</v>
      </c>
      <c r="G41" s="13">
        <f>INDEX('2 - Distribuzione'!$BN$44:$BN$403,12*$A41)+INDEX('2 - Distribuzione'!$BO$44:$BO$403,12*$A41)</f>
        <v>101441.90180685223</v>
      </c>
      <c r="H41" s="13">
        <f>INDEX('2 - Distribuzione'!$CX$44:$CX$403,12*$A41)+INDEX('2 - Distribuzione'!$CY$44:$CY$403,12*$A41)</f>
        <v>72537.116437144781</v>
      </c>
      <c r="I41" s="13">
        <f>INDEX('3 - Accumulo'!$AD$44:$AD$403,12*$A41)+INDEX('3 - Accumulo'!$AE$44:$AE$403,12*$A41)</f>
        <v>69240.414874846756</v>
      </c>
    </row>
    <row r="42" spans="1:9">
      <c r="A42" s="3">
        <v>26</v>
      </c>
      <c r="B42" s="13">
        <f>INDEX('2 - Distribuzione'!$Z$44:$Z$403,12*$A42)</f>
        <v>0</v>
      </c>
      <c r="C42" s="13">
        <f>INDEX('2 - Distribuzione'!$BJ$44:$BJ$403,12*$A42)</f>
        <v>0</v>
      </c>
      <c r="D42" s="13">
        <f>INDEX('2 - Distribuzione'!$CT$44:$CT$403,12*$A42)</f>
        <v>0</v>
      </c>
      <c r="E42" s="13">
        <f>INDEX('3 - Accumulo'!$Z$44:$Z$403,12*$A42)</f>
        <v>0</v>
      </c>
      <c r="F42" s="13">
        <f>INDEX('2 - Distribuzione'!$AD$44:$AD$403,12*$A42)+INDEX('2 - Distribuzione'!$AE$44:$AE$403,12*$A42)</f>
        <v>101441.90180685223</v>
      </c>
      <c r="G42" s="13">
        <f>INDEX('2 - Distribuzione'!$BN$44:$BN$403,12*$A42)+INDEX('2 - Distribuzione'!$BO$44:$BO$403,12*$A42)</f>
        <v>101441.90180685223</v>
      </c>
      <c r="H42" s="13">
        <f>INDEX('2 - Distribuzione'!$CX$44:$CX$403,12*$A42)+INDEX('2 - Distribuzione'!$CY$44:$CY$403,12*$A42)</f>
        <v>72537.116437144781</v>
      </c>
      <c r="I42" s="13">
        <f>INDEX('3 - Accumulo'!$AD$44:$AD$403,12*$A42)+INDEX('3 - Accumulo'!$AE$44:$AE$403,12*$A42)</f>
        <v>69240.414874846756</v>
      </c>
    </row>
    <row r="43" spans="1:9">
      <c r="A43" s="3">
        <v>27</v>
      </c>
      <c r="B43" s="13">
        <f>INDEX('2 - Distribuzione'!$Z$44:$Z$403,12*$A43)</f>
        <v>0</v>
      </c>
      <c r="C43" s="13">
        <f>INDEX('2 - Distribuzione'!$BJ$44:$BJ$403,12*$A43)</f>
        <v>0</v>
      </c>
      <c r="D43" s="13">
        <f>INDEX('2 - Distribuzione'!$CT$44:$CT$403,12*$A43)</f>
        <v>0</v>
      </c>
      <c r="E43" s="13">
        <f>INDEX('3 - Accumulo'!$Z$44:$Z$403,12*$A43)</f>
        <v>0</v>
      </c>
      <c r="F43" s="13">
        <f>INDEX('2 - Distribuzione'!$AD$44:$AD$403,12*$A43)+INDEX('2 - Distribuzione'!$AE$44:$AE$403,12*$A43)</f>
        <v>101441.90180685223</v>
      </c>
      <c r="G43" s="13">
        <f>INDEX('2 - Distribuzione'!$BN$44:$BN$403,12*$A43)+INDEX('2 - Distribuzione'!$BO$44:$BO$403,12*$A43)</f>
        <v>101441.90180685223</v>
      </c>
      <c r="H43" s="13">
        <f>INDEX('2 - Distribuzione'!$CX$44:$CX$403,12*$A43)+INDEX('2 - Distribuzione'!$CY$44:$CY$403,12*$A43)</f>
        <v>72537.116437144781</v>
      </c>
      <c r="I43" s="13">
        <f>INDEX('3 - Accumulo'!$AD$44:$AD$403,12*$A43)+INDEX('3 - Accumulo'!$AE$44:$AE$403,12*$A43)</f>
        <v>69240.414874846756</v>
      </c>
    </row>
    <row r="44" spans="1:9">
      <c r="A44" s="3">
        <v>28</v>
      </c>
      <c r="B44" s="13">
        <f>INDEX('2 - Distribuzione'!$Z$44:$Z$403,12*$A44)</f>
        <v>0</v>
      </c>
      <c r="C44" s="13">
        <f>INDEX('2 - Distribuzione'!$BJ$44:$BJ$403,12*$A44)</f>
        <v>0</v>
      </c>
      <c r="D44" s="13">
        <f>INDEX('2 - Distribuzione'!$CT$44:$CT$403,12*$A44)</f>
        <v>0</v>
      </c>
      <c r="E44" s="13">
        <f>INDEX('3 - Accumulo'!$Z$44:$Z$403,12*$A44)</f>
        <v>0</v>
      </c>
      <c r="F44" s="13">
        <f>INDEX('2 - Distribuzione'!$AD$44:$AD$403,12*$A44)+INDEX('2 - Distribuzione'!$AE$44:$AE$403,12*$A44)</f>
        <v>101441.90180685223</v>
      </c>
      <c r="G44" s="13">
        <f>INDEX('2 - Distribuzione'!$BN$44:$BN$403,12*$A44)+INDEX('2 - Distribuzione'!$BO$44:$BO$403,12*$A44)</f>
        <v>101441.90180685223</v>
      </c>
      <c r="H44" s="13">
        <f>INDEX('2 - Distribuzione'!$CX$44:$CX$403,12*$A44)+INDEX('2 - Distribuzione'!$CY$44:$CY$403,12*$A44)</f>
        <v>72537.116437144781</v>
      </c>
      <c r="I44" s="13">
        <f>INDEX('3 - Accumulo'!$AD$44:$AD$403,12*$A44)+INDEX('3 - Accumulo'!$AE$44:$AE$403,12*$A44)</f>
        <v>69240.414874846756</v>
      </c>
    </row>
    <row r="45" spans="1:9">
      <c r="A45" s="3">
        <v>29</v>
      </c>
      <c r="B45" s="13">
        <f>INDEX('2 - Distribuzione'!$Z$44:$Z$403,12*$A45)</f>
        <v>0</v>
      </c>
      <c r="C45" s="13">
        <f>INDEX('2 - Distribuzione'!$BJ$44:$BJ$403,12*$A45)</f>
        <v>0</v>
      </c>
      <c r="D45" s="13">
        <f>INDEX('2 - Distribuzione'!$CT$44:$CT$403,12*$A45)</f>
        <v>0</v>
      </c>
      <c r="E45" s="13">
        <f>INDEX('3 - Accumulo'!$Z$44:$Z$403,12*$A45)</f>
        <v>0</v>
      </c>
      <c r="F45" s="13">
        <f>INDEX('2 - Distribuzione'!$AD$44:$AD$403,12*$A45)+INDEX('2 - Distribuzione'!$AE$44:$AE$403,12*$A45)</f>
        <v>101441.90180685223</v>
      </c>
      <c r="G45" s="13">
        <f>INDEX('2 - Distribuzione'!$BN$44:$BN$403,12*$A45)+INDEX('2 - Distribuzione'!$BO$44:$BO$403,12*$A45)</f>
        <v>101441.90180685223</v>
      </c>
      <c r="H45" s="13">
        <f>INDEX('2 - Distribuzione'!$CX$44:$CX$403,12*$A45)+INDEX('2 - Distribuzione'!$CY$44:$CY$403,12*$A45)</f>
        <v>72537.116437144781</v>
      </c>
      <c r="I45" s="13">
        <f>INDEX('3 - Accumulo'!$AD$44:$AD$403,12*$A45)+INDEX('3 - Accumulo'!$AE$44:$AE$403,12*$A45)</f>
        <v>69240.414874846756</v>
      </c>
    </row>
    <row r="46" spans="1:9">
      <c r="A46" s="3">
        <v>30</v>
      </c>
      <c r="B46" s="13">
        <f>INDEX('2 - Distribuzione'!$Z$44:$Z$403,12*$A46)</f>
        <v>0</v>
      </c>
      <c r="C46" s="13">
        <f>INDEX('2 - Distribuzione'!$BJ$44:$BJ$403,12*$A46)</f>
        <v>0</v>
      </c>
      <c r="D46" s="13">
        <f>INDEX('2 - Distribuzione'!$CT$44:$CT$403,12*$A46)</f>
        <v>0</v>
      </c>
      <c r="E46" s="13">
        <f>INDEX('3 - Accumulo'!$Z$44:$Z$403,12*$A46)</f>
        <v>0</v>
      </c>
      <c r="F46" s="13">
        <f>INDEX('2 - Distribuzione'!$AD$44:$AD$403,12*$A46)+INDEX('2 - Distribuzione'!$AE$44:$AE$403,12*$A46)</f>
        <v>101441.90180685223</v>
      </c>
      <c r="G46" s="13">
        <f>INDEX('2 - Distribuzione'!$BN$44:$BN$403,12*$A46)+INDEX('2 - Distribuzione'!$BO$44:$BO$403,12*$A46)</f>
        <v>101441.90180685223</v>
      </c>
      <c r="H46" s="13">
        <f>INDEX('2 - Distribuzione'!$CX$44:$CX$403,12*$A46)+INDEX('2 - Distribuzione'!$CY$44:$CY$403,12*$A46)</f>
        <v>72537.116437144781</v>
      </c>
      <c r="I46" s="13">
        <f>INDEX('3 - Accumulo'!$AD$44:$AD$403,12*$A46)+INDEX('3 - Accumulo'!$AE$44:$AE$403,12*$A46)</f>
        <v>69240.414874846756</v>
      </c>
    </row>
  </sheetData>
  <mergeCells count="5">
    <mergeCell ref="A15:I15"/>
    <mergeCell ref="C13:L13"/>
    <mergeCell ref="A2:L2"/>
    <mergeCell ref="C4:L4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/>
  </sheetViews>
  <sheetFormatPr defaultRowHeight="15"/>
  <cols>
    <col min="1" max="1" width="62" customWidth="1"/>
    <col min="2" max="2" width="17" customWidth="1"/>
    <col min="3" max="3" width="70" customWidth="1"/>
  </cols>
  <sheetData>
    <row r="1" spans="1:3" ht="24.95" customHeight="1">
      <c r="A1" s="24" t="s">
        <v>0</v>
      </c>
      <c r="B1" s="23"/>
      <c r="C1" s="23"/>
    </row>
    <row r="2" spans="1:3" ht="44.1" customHeight="1">
      <c r="A2" s="22" t="s">
        <v>1</v>
      </c>
      <c r="B2" s="23"/>
      <c r="C2" s="23"/>
    </row>
    <row r="4" spans="1:3">
      <c r="A4" s="25" t="s">
        <v>162</v>
      </c>
      <c r="B4" s="23"/>
      <c r="C4" s="23"/>
    </row>
    <row r="5" spans="1:3">
      <c r="A5" s="6" t="s">
        <v>163</v>
      </c>
      <c r="B5" s="9">
        <v>1.35E-2</v>
      </c>
      <c r="C5" s="8" t="s">
        <v>164</v>
      </c>
    </row>
    <row r="6" spans="1:3">
      <c r="A6" s="6" t="s">
        <v>165</v>
      </c>
      <c r="B6" s="10">
        <v>12</v>
      </c>
      <c r="C6" s="8" t="s">
        <v>166</v>
      </c>
    </row>
    <row r="7" spans="1:3">
      <c r="A7" s="6" t="s">
        <v>167</v>
      </c>
      <c r="B7" s="12">
        <f>B5*B6</f>
        <v>0.16200000000000001</v>
      </c>
    </row>
    <row r="8" spans="1:3">
      <c r="A8" s="6" t="s">
        <v>168</v>
      </c>
      <c r="B8" s="12">
        <f>(1+B5)^B6-1</f>
        <v>0.1745865847500423</v>
      </c>
    </row>
    <row r="9" spans="1:3">
      <c r="A9" s="6" t="s">
        <v>169</v>
      </c>
      <c r="B9" s="12">
        <f>'1 - Input'!$B$30</f>
        <v>5.0599999999999978E-2</v>
      </c>
    </row>
    <row r="10" spans="1:3" ht="33.950000000000003" customHeight="1">
      <c r="A10" s="6" t="s">
        <v>170</v>
      </c>
      <c r="B10" s="28" t="str">
        <f>IF(B7&gt;2*B9,"ATTENZIONE: uno stacco non è un rendimento annuo: il prezzo scende dello stacco e il mese può non ripetersi","")</f>
        <v>ATTENZIONE: uno stacco non è un rendimento annuo: il prezzo scende dello stacco e il mese può non ripetersi</v>
      </c>
      <c r="C10" s="30"/>
    </row>
    <row r="12" spans="1:3">
      <c r="A12" s="25" t="s">
        <v>171</v>
      </c>
      <c r="B12" s="23"/>
      <c r="C12" s="23"/>
    </row>
    <row r="13" spans="1:3">
      <c r="A13" s="6" t="s">
        <v>172</v>
      </c>
      <c r="B13" s="12">
        <f>B9</f>
        <v>5.0599999999999978E-2</v>
      </c>
      <c r="C13" s="8" t="s">
        <v>173</v>
      </c>
    </row>
    <row r="14" spans="1:3">
      <c r="A14" s="6" t="s">
        <v>174</v>
      </c>
      <c r="B14" s="12">
        <f>'1 - Input'!$B$8</f>
        <v>0.09</v>
      </c>
    </row>
    <row r="15" spans="1:3">
      <c r="A15" s="6" t="s">
        <v>175</v>
      </c>
      <c r="B15" s="21">
        <f>12*(1-(1+B13)^(-1/12))</f>
        <v>4.9260045651044582E-2</v>
      </c>
    </row>
    <row r="16" spans="1:3" ht="24">
      <c r="A16" s="6" t="s">
        <v>176</v>
      </c>
      <c r="B16" s="12">
        <f>1-B15/B14</f>
        <v>0.45266615943283794</v>
      </c>
      <c r="C16" s="8" t="s">
        <v>177</v>
      </c>
    </row>
    <row r="18" spans="1:3">
      <c r="A18" s="27" t="s">
        <v>178</v>
      </c>
      <c r="B18" s="23"/>
      <c r="C18" s="23"/>
    </row>
  </sheetData>
  <mergeCells count="6">
    <mergeCell ref="A1:C1"/>
    <mergeCell ref="B10:C10"/>
    <mergeCell ref="A18:C18"/>
    <mergeCell ref="A12:C12"/>
    <mergeCell ref="A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0 - Indice</vt:lpstr>
      <vt:lpstr>1 - Input</vt:lpstr>
      <vt:lpstr>2 - Distribuzione</vt:lpstr>
      <vt:lpstr>3 - Accumulo</vt:lpstr>
      <vt:lpstr>4 - Confronto</vt:lpstr>
      <vt:lpstr>5 - Annualizzatore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2026-10-18T11:37:21Z</dcterms:created>
  <dcterms:modified xsi:type="dcterms:W3CDTF">2026-10-18T11:37:29Z</dcterms:modified>
</cp:coreProperties>
</file>