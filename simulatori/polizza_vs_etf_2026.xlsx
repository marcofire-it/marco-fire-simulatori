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 activeTab="1"/>
  </bookViews>
  <sheets>
    <sheet name="0 - Indice" sheetId="1" r:id="rId1"/>
    <sheet name="1 - Il tuo confronto" sheetId="2" r:id="rId2"/>
    <sheet name="2 - Uscire prima" sheetId="3" r:id="rId3"/>
    <sheet name="3 - Le medie IVASS" sheetId="4" r:id="rId4"/>
    <sheet name="4 - Quando la polizza ha senso" sheetId="5" r:id="rId5"/>
    <sheet name="5 - Come leggere il KID" sheetId="6" r:id="rId6"/>
  </sheets>
  <calcPr calcId="144525"/>
</workbook>
</file>

<file path=xl/calcChain.xml><?xml version="1.0" encoding="utf-8"?>
<calcChain xmlns="http://schemas.openxmlformats.org/spreadsheetml/2006/main">
  <c r="B34" i="6" l="1"/>
  <c r="B32" i="6"/>
  <c r="B33" i="6" s="1"/>
  <c r="B19" i="6"/>
  <c r="B20" i="6" s="1"/>
  <c r="B53" i="5"/>
  <c r="B52" i="5"/>
  <c r="B54" i="5" s="1"/>
  <c r="G44" i="4"/>
  <c r="A44" i="4"/>
  <c r="G43" i="4"/>
  <c r="A43" i="4"/>
  <c r="G42" i="4"/>
  <c r="B42" i="4"/>
  <c r="C42" i="4" s="1"/>
  <c r="E42" i="4" s="1"/>
  <c r="A42" i="4"/>
  <c r="G41" i="4"/>
  <c r="A41" i="4"/>
  <c r="G40" i="4"/>
  <c r="F40" i="4"/>
  <c r="D40" i="4" s="1"/>
  <c r="A40" i="4"/>
  <c r="G39" i="4"/>
  <c r="A39" i="4"/>
  <c r="B31" i="4"/>
  <c r="F44" i="4" s="1"/>
  <c r="D44" i="4" s="1"/>
  <c r="B30" i="4"/>
  <c r="F43" i="4" s="1"/>
  <c r="D43" i="4" s="1"/>
  <c r="B29" i="4"/>
  <c r="F42" i="4" s="1"/>
  <c r="D42" i="4" s="1"/>
  <c r="B28" i="4"/>
  <c r="F41" i="4" s="1"/>
  <c r="D41" i="4" s="1"/>
  <c r="B27" i="4"/>
  <c r="B40" i="4" s="1"/>
  <c r="C40" i="4" s="1"/>
  <c r="B26" i="4"/>
  <c r="B39" i="4" s="1"/>
  <c r="C39" i="4" s="1"/>
  <c r="E39" i="4" s="1"/>
  <c r="C16" i="3"/>
  <c r="B16" i="3"/>
  <c r="D16" i="3" s="1"/>
  <c r="A16" i="3"/>
  <c r="C15" i="3"/>
  <c r="B15" i="3"/>
  <c r="D15" i="3" s="1"/>
  <c r="A15" i="3"/>
  <c r="C14" i="3"/>
  <c r="B14" i="3"/>
  <c r="A14" i="3"/>
  <c r="C13" i="3"/>
  <c r="B13" i="3"/>
  <c r="A13" i="3"/>
  <c r="E102" i="2"/>
  <c r="B47" i="3" s="1"/>
  <c r="E101" i="2"/>
  <c r="B46" i="3" s="1"/>
  <c r="E100" i="2"/>
  <c r="B45" i="3" s="1"/>
  <c r="E99" i="2"/>
  <c r="B44" i="3" s="1"/>
  <c r="E98" i="2"/>
  <c r="B43" i="3" s="1"/>
  <c r="E97" i="2"/>
  <c r="B42" i="3" s="1"/>
  <c r="E96" i="2"/>
  <c r="B41" i="3" s="1"/>
  <c r="E95" i="2"/>
  <c r="B40" i="3" s="1"/>
  <c r="E94" i="2"/>
  <c r="B39" i="3" s="1"/>
  <c r="E93" i="2"/>
  <c r="B38" i="3" s="1"/>
  <c r="D92" i="2"/>
  <c r="F92" i="2" s="1"/>
  <c r="C92" i="2"/>
  <c r="G92" i="2" s="1"/>
  <c r="H92" i="2" s="1"/>
  <c r="B92" i="2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87" i="2"/>
  <c r="B89" i="2" s="1"/>
  <c r="B86" i="2"/>
  <c r="B88" i="2" s="1"/>
  <c r="B85" i="2"/>
  <c r="B84" i="2"/>
  <c r="B83" i="2"/>
  <c r="B23" i="5" s="1"/>
  <c r="C93" i="2" l="1"/>
  <c r="F39" i="4"/>
  <c r="D39" i="4" s="1"/>
  <c r="I92" i="2"/>
  <c r="J92" i="2" s="1"/>
  <c r="D13" i="3"/>
  <c r="B43" i="4"/>
  <c r="C43" i="4" s="1"/>
  <c r="E43" i="4" s="1"/>
  <c r="A67" i="2"/>
  <c r="H67" i="2" s="1"/>
  <c r="D93" i="2"/>
  <c r="D94" i="2" s="1"/>
  <c r="A47" i="2"/>
  <c r="B44" i="4"/>
  <c r="C44" i="4" s="1"/>
  <c r="E44" i="4" s="1"/>
  <c r="D14" i="3"/>
  <c r="B26" i="2"/>
  <c r="C26" i="2" s="1"/>
  <c r="C39" i="3"/>
  <c r="F94" i="2"/>
  <c r="D95" i="2"/>
  <c r="B47" i="2"/>
  <c r="A39" i="2"/>
  <c r="A69" i="2"/>
  <c r="E30" i="4"/>
  <c r="B20" i="5"/>
  <c r="B19" i="5"/>
  <c r="G26" i="4"/>
  <c r="H26" i="4" s="1"/>
  <c r="A46" i="3"/>
  <c r="A29" i="3" s="1"/>
  <c r="A38" i="3"/>
  <c r="A21" i="3" s="1"/>
  <c r="A78" i="2"/>
  <c r="A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E26" i="4"/>
  <c r="F26" i="4" s="1"/>
  <c r="A73" i="2"/>
  <c r="A41" i="2"/>
  <c r="A43" i="2"/>
  <c r="E29" i="4"/>
  <c r="A39" i="3"/>
  <c r="A22" i="3" s="1"/>
  <c r="A57" i="2"/>
  <c r="A75" i="2"/>
  <c r="A59" i="2"/>
  <c r="B22" i="6"/>
  <c r="A42" i="3"/>
  <c r="A25" i="3" s="1"/>
  <c r="B21" i="6"/>
  <c r="G31" i="4"/>
  <c r="H31" i="4" s="1"/>
  <c r="C29" i="4"/>
  <c r="C26" i="4"/>
  <c r="D26" i="4" s="1"/>
  <c r="A45" i="3"/>
  <c r="A28" i="3" s="1"/>
  <c r="A44" i="3"/>
  <c r="A27" i="3" s="1"/>
  <c r="A65" i="2"/>
  <c r="A53" i="2"/>
  <c r="A77" i="2"/>
  <c r="A47" i="3"/>
  <c r="A30" i="3" s="1"/>
  <c r="G29" i="4"/>
  <c r="A71" i="2"/>
  <c r="A61" i="2"/>
  <c r="A49" i="2"/>
  <c r="E28" i="4"/>
  <c r="A43" i="3"/>
  <c r="A26" i="3" s="1"/>
  <c r="A40" i="3"/>
  <c r="A23" i="3" s="1"/>
  <c r="G30" i="4"/>
  <c r="H30" i="4" s="1"/>
  <c r="A41" i="3"/>
  <c r="A24" i="3" s="1"/>
  <c r="E31" i="4"/>
  <c r="G67" i="2"/>
  <c r="F67" i="2"/>
  <c r="B67" i="2"/>
  <c r="E67" i="2"/>
  <c r="C67" i="2"/>
  <c r="A63" i="2"/>
  <c r="C94" i="2"/>
  <c r="G93" i="2"/>
  <c r="H93" i="2" s="1"/>
  <c r="F38" i="3" s="1"/>
  <c r="B41" i="4"/>
  <c r="C41" i="4" s="1"/>
  <c r="F93" i="2"/>
  <c r="C38" i="3"/>
  <c r="A45" i="2"/>
  <c r="A55" i="2"/>
  <c r="C27" i="4"/>
  <c r="D27" i="4" s="1"/>
  <c r="A51" i="2"/>
  <c r="E27" i="4"/>
  <c r="F27" i="4" s="1"/>
  <c r="E40" i="4"/>
  <c r="G27" i="4" s="1"/>
  <c r="H27" i="4" s="1"/>
  <c r="C30" i="4" l="1"/>
  <c r="H29" i="4"/>
  <c r="F30" i="4"/>
  <c r="D67" i="2"/>
  <c r="F29" i="4"/>
  <c r="C31" i="4"/>
  <c r="B21" i="5"/>
  <c r="B24" i="5"/>
  <c r="B25" i="5" s="1"/>
  <c r="B22" i="5"/>
  <c r="B28" i="3"/>
  <c r="B60" i="2"/>
  <c r="H60" i="2"/>
  <c r="E60" i="2"/>
  <c r="C60" i="2"/>
  <c r="D60" i="2"/>
  <c r="G60" i="2"/>
  <c r="F60" i="2"/>
  <c r="B62" i="2"/>
  <c r="C62" i="2"/>
  <c r="D62" i="2"/>
  <c r="H62" i="2"/>
  <c r="G62" i="2"/>
  <c r="F62" i="2"/>
  <c r="E62" i="2"/>
  <c r="B27" i="3"/>
  <c r="F39" i="2"/>
  <c r="D39" i="2"/>
  <c r="C39" i="2"/>
  <c r="B39" i="2"/>
  <c r="F31" i="4"/>
  <c r="B24" i="3"/>
  <c r="B74" i="2"/>
  <c r="H74" i="2"/>
  <c r="C74" i="2"/>
  <c r="G74" i="2"/>
  <c r="E74" i="2"/>
  <c r="D74" i="2"/>
  <c r="F74" i="2"/>
  <c r="B76" i="2"/>
  <c r="F76" i="2"/>
  <c r="E76" i="2"/>
  <c r="H76" i="2"/>
  <c r="G76" i="2"/>
  <c r="C76" i="2"/>
  <c r="D76" i="2"/>
  <c r="B23" i="6"/>
  <c r="B49" i="2"/>
  <c r="B48" i="2"/>
  <c r="B64" i="2"/>
  <c r="H64" i="2"/>
  <c r="G64" i="2"/>
  <c r="E64" i="2"/>
  <c r="D64" i="2"/>
  <c r="F64" i="2"/>
  <c r="C64" i="2"/>
  <c r="B58" i="2"/>
  <c r="B43" i="2"/>
  <c r="B41" i="2"/>
  <c r="D41" i="2"/>
  <c r="B51" i="2"/>
  <c r="B73" i="2"/>
  <c r="H73" i="2"/>
  <c r="G73" i="2"/>
  <c r="E73" i="2"/>
  <c r="D73" i="2"/>
  <c r="F73" i="2"/>
  <c r="C73" i="2"/>
  <c r="B66" i="2"/>
  <c r="D66" i="2"/>
  <c r="C66" i="2"/>
  <c r="G66" i="2"/>
  <c r="H66" i="2"/>
  <c r="F66" i="2"/>
  <c r="E66" i="2"/>
  <c r="B68" i="2"/>
  <c r="F68" i="2"/>
  <c r="C68" i="2"/>
  <c r="E68" i="2"/>
  <c r="D68" i="2"/>
  <c r="H68" i="2"/>
  <c r="G68" i="2"/>
  <c r="B45" i="2"/>
  <c r="B70" i="2"/>
  <c r="H70" i="2"/>
  <c r="G70" i="2"/>
  <c r="E70" i="2"/>
  <c r="F70" i="2"/>
  <c r="C70" i="2"/>
  <c r="D70" i="2"/>
  <c r="B40" i="2"/>
  <c r="D40" i="2"/>
  <c r="C40" i="2"/>
  <c r="F40" i="2"/>
  <c r="B23" i="3"/>
  <c r="D23" i="3"/>
  <c r="C23" i="3"/>
  <c r="B42" i="2"/>
  <c r="B26" i="3"/>
  <c r="F28" i="4"/>
  <c r="B78" i="2"/>
  <c r="H78" i="2"/>
  <c r="C78" i="2"/>
  <c r="G78" i="2"/>
  <c r="F78" i="2"/>
  <c r="E78" i="2"/>
  <c r="D78" i="2"/>
  <c r="G94" i="2"/>
  <c r="H94" i="2"/>
  <c r="F39" i="3" s="1"/>
  <c r="G22" i="3" s="1"/>
  <c r="C95" i="2"/>
  <c r="C41" i="2" s="1"/>
  <c r="D59" i="2"/>
  <c r="C59" i="2"/>
  <c r="B59" i="2"/>
  <c r="G59" i="2"/>
  <c r="F59" i="2"/>
  <c r="H59" i="2"/>
  <c r="E59" i="2"/>
  <c r="B50" i="2"/>
  <c r="F95" i="2"/>
  <c r="C40" i="3"/>
  <c r="D96" i="2"/>
  <c r="D42" i="2" s="1"/>
  <c r="C71" i="2"/>
  <c r="B71" i="2"/>
  <c r="G71" i="2"/>
  <c r="H71" i="2"/>
  <c r="F71" i="2"/>
  <c r="D71" i="2"/>
  <c r="E71" i="2"/>
  <c r="B29" i="3"/>
  <c r="H63" i="2"/>
  <c r="G63" i="2"/>
  <c r="E63" i="2"/>
  <c r="F63" i="2"/>
  <c r="D63" i="2"/>
  <c r="C63" i="2"/>
  <c r="B63" i="2"/>
  <c r="B57" i="2"/>
  <c r="B54" i="2"/>
  <c r="D31" i="4"/>
  <c r="F77" i="2"/>
  <c r="C77" i="2"/>
  <c r="B77" i="2"/>
  <c r="E77" i="2"/>
  <c r="D77" i="2"/>
  <c r="G77" i="2"/>
  <c r="H77" i="2"/>
  <c r="B53" i="2"/>
  <c r="G65" i="2"/>
  <c r="H65" i="2"/>
  <c r="E65" i="2"/>
  <c r="D65" i="2"/>
  <c r="C65" i="2"/>
  <c r="B65" i="2"/>
  <c r="F65" i="2"/>
  <c r="H69" i="2"/>
  <c r="G69" i="2"/>
  <c r="E69" i="2"/>
  <c r="C69" i="2"/>
  <c r="B69" i="2"/>
  <c r="F69" i="2"/>
  <c r="D69" i="2"/>
  <c r="B55" i="2"/>
  <c r="D29" i="4"/>
  <c r="B38" i="2"/>
  <c r="G38" i="2"/>
  <c r="F38" i="2"/>
  <c r="C38" i="2"/>
  <c r="D38" i="2"/>
  <c r="E38" i="2" s="1"/>
  <c r="B72" i="2"/>
  <c r="G72" i="2"/>
  <c r="H72" i="2"/>
  <c r="E72" i="2"/>
  <c r="F72" i="2"/>
  <c r="D72" i="2"/>
  <c r="C72" i="2"/>
  <c r="D38" i="3"/>
  <c r="E21" i="3" s="1"/>
  <c r="I93" i="2"/>
  <c r="J93" i="2" s="1"/>
  <c r="E38" i="3" s="1"/>
  <c r="F21" i="3" s="1"/>
  <c r="H21" i="3" s="1"/>
  <c r="E41" i="4"/>
  <c r="G28" i="4" s="1"/>
  <c r="H28" i="4" s="1"/>
  <c r="C28" i="4"/>
  <c r="D28" i="4" s="1"/>
  <c r="B25" i="3"/>
  <c r="B44" i="2"/>
  <c r="B46" i="2"/>
  <c r="F61" i="2"/>
  <c r="C61" i="2"/>
  <c r="E61" i="2"/>
  <c r="D61" i="2"/>
  <c r="H61" i="2"/>
  <c r="G61" i="2"/>
  <c r="B61" i="2"/>
  <c r="B21" i="3"/>
  <c r="G21" i="3"/>
  <c r="D21" i="3"/>
  <c r="C21" i="3"/>
  <c r="D30" i="4"/>
  <c r="D75" i="2"/>
  <c r="C75" i="2"/>
  <c r="B75" i="2"/>
  <c r="F75" i="2"/>
  <c r="E75" i="2"/>
  <c r="H75" i="2"/>
  <c r="G75" i="2"/>
  <c r="B52" i="2"/>
  <c r="D39" i="3"/>
  <c r="E22" i="3" s="1"/>
  <c r="I94" i="2"/>
  <c r="J94" i="2" s="1"/>
  <c r="B30" i="3"/>
  <c r="C22" i="3"/>
  <c r="D22" i="3"/>
  <c r="B22" i="3"/>
  <c r="B56" i="2"/>
  <c r="E39" i="2" l="1"/>
  <c r="E40" i="2"/>
  <c r="H38" i="2"/>
  <c r="E39" i="3"/>
  <c r="F22" i="3" s="1"/>
  <c r="H22" i="3" s="1"/>
  <c r="G40" i="2"/>
  <c r="H40" i="2" s="1"/>
  <c r="E41" i="2"/>
  <c r="G39" i="2"/>
  <c r="H39" i="2" s="1"/>
  <c r="D97" i="2"/>
  <c r="F96" i="2"/>
  <c r="C41" i="3"/>
  <c r="C96" i="2"/>
  <c r="G95" i="2"/>
  <c r="H95" i="2" s="1"/>
  <c r="I95" i="2"/>
  <c r="J95" i="2" s="1"/>
  <c r="D40" i="3"/>
  <c r="E23" i="3" s="1"/>
  <c r="E40" i="3" l="1"/>
  <c r="F23" i="3" s="1"/>
  <c r="G41" i="2"/>
  <c r="F40" i="3"/>
  <c r="G23" i="3" s="1"/>
  <c r="F41" i="2"/>
  <c r="C42" i="3"/>
  <c r="F97" i="2"/>
  <c r="D98" i="2"/>
  <c r="D43" i="2"/>
  <c r="C97" i="2"/>
  <c r="G96" i="2"/>
  <c r="H96" i="2" s="1"/>
  <c r="C42" i="2"/>
  <c r="E42" i="2" s="1"/>
  <c r="C24" i="3"/>
  <c r="D24" i="3"/>
  <c r="I96" i="2"/>
  <c r="J96" i="2" s="1"/>
  <c r="D41" i="3"/>
  <c r="E24" i="3" s="1"/>
  <c r="H23" i="3" l="1"/>
  <c r="E41" i="3"/>
  <c r="F24" i="3" s="1"/>
  <c r="G42" i="2"/>
  <c r="F41" i="3"/>
  <c r="G24" i="3" s="1"/>
  <c r="F42" i="2"/>
  <c r="G97" i="2"/>
  <c r="H97" i="2" s="1"/>
  <c r="C98" i="2"/>
  <c r="C43" i="2"/>
  <c r="E43" i="2" s="1"/>
  <c r="C43" i="3"/>
  <c r="F98" i="2"/>
  <c r="D99" i="2"/>
  <c r="D44" i="2"/>
  <c r="I97" i="2"/>
  <c r="J97" i="2" s="1"/>
  <c r="D42" i="3"/>
  <c r="E25" i="3" s="1"/>
  <c r="D25" i="3"/>
  <c r="C25" i="3"/>
  <c r="H41" i="2"/>
  <c r="E42" i="3" l="1"/>
  <c r="F25" i="3" s="1"/>
  <c r="G43" i="2"/>
  <c r="F42" i="3"/>
  <c r="G25" i="3" s="1"/>
  <c r="F43" i="2"/>
  <c r="F99" i="2"/>
  <c r="D100" i="2"/>
  <c r="C44" i="3"/>
  <c r="D45" i="2"/>
  <c r="D43" i="3"/>
  <c r="E26" i="3" s="1"/>
  <c r="I98" i="2"/>
  <c r="J98" i="2" s="1"/>
  <c r="G98" i="2"/>
  <c r="H98" i="2" s="1"/>
  <c r="C99" i="2"/>
  <c r="C44" i="2"/>
  <c r="E44" i="2" s="1"/>
  <c r="C26" i="3"/>
  <c r="D26" i="3"/>
  <c r="H42" i="2"/>
  <c r="H24" i="3"/>
  <c r="F43" i="3" l="1"/>
  <c r="G26" i="3" s="1"/>
  <c r="F44" i="2"/>
  <c r="E43" i="3"/>
  <c r="F26" i="3" s="1"/>
  <c r="G44" i="2"/>
  <c r="H44" i="2" s="1"/>
  <c r="G99" i="2"/>
  <c r="H99" i="2" s="1"/>
  <c r="C100" i="2"/>
  <c r="C45" i="2"/>
  <c r="D101" i="2"/>
  <c r="C45" i="3"/>
  <c r="F100" i="2"/>
  <c r="D46" i="2"/>
  <c r="E45" i="2"/>
  <c r="I99" i="2"/>
  <c r="J99" i="2" s="1"/>
  <c r="D44" i="3"/>
  <c r="E27" i="3" s="1"/>
  <c r="H43" i="2"/>
  <c r="C27" i="3"/>
  <c r="D27" i="3"/>
  <c r="H25" i="3"/>
  <c r="H26" i="3" l="1"/>
  <c r="E44" i="3"/>
  <c r="F27" i="3" s="1"/>
  <c r="G45" i="2"/>
  <c r="D28" i="3"/>
  <c r="C28" i="3"/>
  <c r="C101" i="2"/>
  <c r="G100" i="2"/>
  <c r="H100" i="2" s="1"/>
  <c r="C46" i="2"/>
  <c r="E46" i="2" s="1"/>
  <c r="D45" i="3"/>
  <c r="E28" i="3" s="1"/>
  <c r="I100" i="2"/>
  <c r="J100" i="2" s="1"/>
  <c r="D102" i="2"/>
  <c r="F101" i="2"/>
  <c r="C46" i="3"/>
  <c r="D47" i="2"/>
  <c r="F44" i="3"/>
  <c r="G27" i="3" s="1"/>
  <c r="F45" i="2"/>
  <c r="H27" i="3" l="1"/>
  <c r="F45" i="3"/>
  <c r="G28" i="3" s="1"/>
  <c r="F46" i="2"/>
  <c r="I101" i="2"/>
  <c r="J101" i="2" s="1"/>
  <c r="D46" i="3"/>
  <c r="E29" i="3" s="1"/>
  <c r="E45" i="3"/>
  <c r="F28" i="3" s="1"/>
  <c r="H28" i="3" s="1"/>
  <c r="G46" i="2"/>
  <c r="H46" i="2" s="1"/>
  <c r="D29" i="3"/>
  <c r="C29" i="3"/>
  <c r="C47" i="3"/>
  <c r="D103" i="2"/>
  <c r="F102" i="2"/>
  <c r="D48" i="2"/>
  <c r="G101" i="2"/>
  <c r="H101" i="2" s="1"/>
  <c r="C102" i="2"/>
  <c r="C47" i="2"/>
  <c r="E47" i="2" s="1"/>
  <c r="H45" i="2"/>
  <c r="F46" i="3" l="1"/>
  <c r="G29" i="3" s="1"/>
  <c r="F47" i="2"/>
  <c r="E46" i="3"/>
  <c r="F29" i="3" s="1"/>
  <c r="H29" i="3" s="1"/>
  <c r="G47" i="2"/>
  <c r="H47" i="2" s="1"/>
  <c r="D104" i="2"/>
  <c r="F103" i="2"/>
  <c r="D49" i="2"/>
  <c r="D30" i="3"/>
  <c r="C30" i="3"/>
  <c r="I102" i="2"/>
  <c r="J102" i="2" s="1"/>
  <c r="D47" i="3"/>
  <c r="E30" i="3" s="1"/>
  <c r="C103" i="2"/>
  <c r="G102" i="2"/>
  <c r="H102" i="2" s="1"/>
  <c r="C48" i="2"/>
  <c r="E48" i="2" s="1"/>
  <c r="E47" i="3" l="1"/>
  <c r="F30" i="3" s="1"/>
  <c r="G48" i="2"/>
  <c r="F47" i="3"/>
  <c r="G30" i="3" s="1"/>
  <c r="F48" i="2"/>
  <c r="C104" i="2"/>
  <c r="G103" i="2"/>
  <c r="H103" i="2" s="1"/>
  <c r="F49" i="2" s="1"/>
  <c r="C49" i="2"/>
  <c r="I103" i="2"/>
  <c r="J103" i="2" s="1"/>
  <c r="G49" i="2" s="1"/>
  <c r="H49" i="2" s="1"/>
  <c r="E49" i="2"/>
  <c r="F104" i="2"/>
  <c r="D105" i="2"/>
  <c r="D50" i="2"/>
  <c r="H48" i="2" l="1"/>
  <c r="D106" i="2"/>
  <c r="F105" i="2"/>
  <c r="D51" i="2"/>
  <c r="I104" i="2"/>
  <c r="J104" i="2" s="1"/>
  <c r="G50" i="2" s="1"/>
  <c r="C105" i="2"/>
  <c r="G104" i="2"/>
  <c r="H104" i="2"/>
  <c r="F50" i="2" s="1"/>
  <c r="C50" i="2"/>
  <c r="E50" i="2" s="1"/>
  <c r="H30" i="3"/>
  <c r="H50" i="2" l="1"/>
  <c r="C106" i="2"/>
  <c r="G105" i="2"/>
  <c r="H105" i="2" s="1"/>
  <c r="F51" i="2" s="1"/>
  <c r="C51" i="2"/>
  <c r="E51" i="2"/>
  <c r="I105" i="2"/>
  <c r="J105" i="2" s="1"/>
  <c r="G51" i="2" s="1"/>
  <c r="H51" i="2" s="1"/>
  <c r="F106" i="2"/>
  <c r="D107" i="2"/>
  <c r="D52" i="2"/>
  <c r="F107" i="2" l="1"/>
  <c r="D108" i="2"/>
  <c r="D53" i="2"/>
  <c r="I106" i="2"/>
  <c r="J106" i="2" s="1"/>
  <c r="G52" i="2" s="1"/>
  <c r="C107" i="2"/>
  <c r="G106" i="2"/>
  <c r="H106" i="2" s="1"/>
  <c r="F52" i="2" s="1"/>
  <c r="C52" i="2"/>
  <c r="E52" i="2" s="1"/>
  <c r="H52" i="2" l="1"/>
  <c r="G107" i="2"/>
  <c r="H107" i="2" s="1"/>
  <c r="F53" i="2" s="1"/>
  <c r="C108" i="2"/>
  <c r="C53" i="2"/>
  <c r="D109" i="2"/>
  <c r="F108" i="2"/>
  <c r="D54" i="2"/>
  <c r="E53" i="2"/>
  <c r="I107" i="2"/>
  <c r="J107" i="2"/>
  <c r="G53" i="2" s="1"/>
  <c r="H53" i="2" l="1"/>
  <c r="I108" i="2"/>
  <c r="J108" i="2" s="1"/>
  <c r="G54" i="2" s="1"/>
  <c r="F109" i="2"/>
  <c r="D110" i="2"/>
  <c r="D55" i="2"/>
  <c r="C109" i="2"/>
  <c r="G108" i="2"/>
  <c r="H108" i="2" s="1"/>
  <c r="F54" i="2" s="1"/>
  <c r="C54" i="2"/>
  <c r="E54" i="2" s="1"/>
  <c r="H54" i="2" l="1"/>
  <c r="C110" i="2"/>
  <c r="G109" i="2"/>
  <c r="H109" i="2" s="1"/>
  <c r="F55" i="2" s="1"/>
  <c r="C55" i="2"/>
  <c r="E55" i="2"/>
  <c r="D111" i="2"/>
  <c r="F110" i="2"/>
  <c r="D56" i="2"/>
  <c r="I109" i="2"/>
  <c r="J109" i="2" s="1"/>
  <c r="G55" i="2" s="1"/>
  <c r="H55" i="2" s="1"/>
  <c r="I110" i="2" l="1"/>
  <c r="J110" i="2" s="1"/>
  <c r="G56" i="2" s="1"/>
  <c r="F111" i="2"/>
  <c r="D112" i="2"/>
  <c r="D57" i="2"/>
  <c r="C111" i="2"/>
  <c r="G110" i="2"/>
  <c r="H110" i="2" s="1"/>
  <c r="F56" i="2" s="1"/>
  <c r="C56" i="2"/>
  <c r="E56" i="2" s="1"/>
  <c r="H56" i="2" l="1"/>
  <c r="G111" i="2"/>
  <c r="H111" i="2" s="1"/>
  <c r="F57" i="2" s="1"/>
  <c r="C112" i="2"/>
  <c r="C57" i="2"/>
  <c r="F112" i="2"/>
  <c r="D113" i="2"/>
  <c r="C27" i="2"/>
  <c r="D58" i="2"/>
  <c r="I111" i="2"/>
  <c r="J111" i="2" s="1"/>
  <c r="G57" i="2" s="1"/>
  <c r="E57" i="2"/>
  <c r="H57" i="2" l="1"/>
  <c r="C28" i="2"/>
  <c r="D114" i="2"/>
  <c r="F113" i="2"/>
  <c r="I112" i="2"/>
  <c r="J112" i="2" s="1"/>
  <c r="G58" i="2" s="1"/>
  <c r="C113" i="2"/>
  <c r="G112" i="2"/>
  <c r="H112" i="2" s="1"/>
  <c r="F58" i="2" s="1"/>
  <c r="B27" i="2"/>
  <c r="C58" i="2"/>
  <c r="E58" i="2" s="1"/>
  <c r="H58" i="2" l="1"/>
  <c r="B28" i="2"/>
  <c r="B29" i="2"/>
  <c r="B31" i="2"/>
  <c r="B33" i="2"/>
  <c r="C114" i="2"/>
  <c r="G113" i="2"/>
  <c r="H113" i="2" s="1"/>
  <c r="D28" i="2"/>
  <c r="I113" i="2"/>
  <c r="J113" i="2" s="1"/>
  <c r="F114" i="2"/>
  <c r="D115" i="2"/>
  <c r="C29" i="2"/>
  <c r="D27" i="2"/>
  <c r="D116" i="2" l="1"/>
  <c r="F115" i="2"/>
  <c r="C30" i="2"/>
  <c r="D29" i="2"/>
  <c r="I114" i="2"/>
  <c r="J114" i="2" s="1"/>
  <c r="C115" i="2"/>
  <c r="G114" i="2"/>
  <c r="H114" i="2" s="1"/>
  <c r="B30" i="2"/>
  <c r="B32" i="2"/>
  <c r="C116" i="2" l="1"/>
  <c r="G115" i="2"/>
  <c r="H115" i="2"/>
  <c r="D30" i="2"/>
  <c r="I115" i="2"/>
  <c r="J115" i="2" s="1"/>
  <c r="F116" i="2"/>
  <c r="D117" i="2"/>
  <c r="D118" i="2" l="1"/>
  <c r="F117" i="2"/>
  <c r="I116" i="2"/>
  <c r="J116" i="2" s="1"/>
  <c r="C117" i="2"/>
  <c r="G116" i="2"/>
  <c r="H116" i="2"/>
  <c r="I117" i="2" l="1"/>
  <c r="J117" i="2" s="1"/>
  <c r="C118" i="2"/>
  <c r="G117" i="2"/>
  <c r="H117" i="2" s="1"/>
  <c r="D119" i="2"/>
  <c r="F118" i="2"/>
  <c r="C119" i="2" l="1"/>
  <c r="G118" i="2"/>
  <c r="H118" i="2" s="1"/>
  <c r="I118" i="2"/>
  <c r="J118" i="2" s="1"/>
  <c r="D120" i="2"/>
  <c r="F119" i="2"/>
  <c r="D121" i="2" l="1"/>
  <c r="F120" i="2"/>
  <c r="I119" i="2"/>
  <c r="J119" i="2"/>
  <c r="C120" i="2"/>
  <c r="G119" i="2"/>
  <c r="H119" i="2" s="1"/>
  <c r="I120" i="2" l="1"/>
  <c r="J120" i="2" s="1"/>
  <c r="C121" i="2"/>
  <c r="G120" i="2"/>
  <c r="H120" i="2" s="1"/>
  <c r="F121" i="2"/>
  <c r="D122" i="2"/>
  <c r="D123" i="2" l="1"/>
  <c r="F122" i="2"/>
  <c r="G121" i="2"/>
  <c r="H121" i="2" s="1"/>
  <c r="C122" i="2"/>
  <c r="I121" i="2"/>
  <c r="J121" i="2" s="1"/>
  <c r="C123" i="2" l="1"/>
  <c r="G122" i="2"/>
  <c r="H122" i="2" s="1"/>
  <c r="I122" i="2"/>
  <c r="J122" i="2" s="1"/>
  <c r="D124" i="2"/>
  <c r="F123" i="2"/>
  <c r="D125" i="2" l="1"/>
  <c r="F124" i="2"/>
  <c r="I123" i="2"/>
  <c r="J123" i="2" s="1"/>
  <c r="G123" i="2"/>
  <c r="H123" i="2" s="1"/>
  <c r="C124" i="2"/>
  <c r="I124" i="2" l="1"/>
  <c r="J124" i="2" s="1"/>
  <c r="C125" i="2"/>
  <c r="G124" i="2"/>
  <c r="H124" i="2" s="1"/>
  <c r="D126" i="2"/>
  <c r="F125" i="2"/>
  <c r="F126" i="2" l="1"/>
  <c r="D127" i="2"/>
  <c r="I125" i="2"/>
  <c r="J125" i="2" s="1"/>
  <c r="C126" i="2"/>
  <c r="G125" i="2"/>
  <c r="H125" i="2"/>
  <c r="C127" i="2" l="1"/>
  <c r="G126" i="2"/>
  <c r="H126" i="2" s="1"/>
  <c r="D128" i="2"/>
  <c r="F127" i="2"/>
  <c r="I126" i="2"/>
  <c r="J126" i="2" s="1"/>
  <c r="I127" i="2" l="1"/>
  <c r="J127" i="2" s="1"/>
  <c r="F128" i="2"/>
  <c r="D129" i="2"/>
  <c r="C128" i="2"/>
  <c r="G127" i="2"/>
  <c r="H127" i="2" s="1"/>
  <c r="I128" i="2" l="1"/>
  <c r="J128" i="2" s="1"/>
  <c r="C129" i="2"/>
  <c r="G128" i="2"/>
  <c r="H128" i="2" s="1"/>
  <c r="F129" i="2"/>
  <c r="D130" i="2"/>
  <c r="I129" i="2" l="1"/>
  <c r="J129" i="2" s="1"/>
  <c r="D131" i="2"/>
  <c r="F130" i="2"/>
  <c r="G129" i="2"/>
  <c r="C130" i="2"/>
  <c r="H129" i="2"/>
  <c r="F131" i="2" l="1"/>
  <c r="D132" i="2"/>
  <c r="F132" i="2" s="1"/>
  <c r="C131" i="2"/>
  <c r="G130" i="2"/>
  <c r="H130" i="2" s="1"/>
  <c r="I130" i="2"/>
  <c r="J130" i="2" s="1"/>
  <c r="I132" i="2" l="1"/>
  <c r="J132" i="2" s="1"/>
  <c r="G131" i="2"/>
  <c r="C132" i="2"/>
  <c r="H131" i="2"/>
  <c r="I131" i="2"/>
  <c r="J131" i="2" s="1"/>
  <c r="G132" i="2" l="1"/>
  <c r="H132" i="2"/>
</calcChain>
</file>

<file path=xl/sharedStrings.xml><?xml version="1.0" encoding="utf-8"?>
<sst xmlns="http://schemas.openxmlformats.org/spreadsheetml/2006/main" count="343" uniqueCount="294">
  <si>
    <t>Polizza vita in banca contro ETF — il simulatore (ottobre 2026)</t>
  </si>
  <si>
    <t>Strumento informativo / divulgativo. NON è consulenza finanziaria. I valori sono indicativi al 2026 e vanno verificati col tuo consulente.</t>
  </si>
  <si>
    <t>Indice</t>
  </si>
  <si>
    <t>1 - Il tuo confronto</t>
  </si>
  <si>
    <t>I tuoi numeri: capitale finale di polizza ed ETF prima e dopo le imposte, euro persi, anno per anno</t>
  </si>
  <si>
    <t>2 - Uscire prima</t>
  </si>
  <si>
    <t>Uscire prima: riscatto con la penale anno per anno contro l'ETF; costi di uscita di tre prodotti reali (anonimi)</t>
  </si>
  <si>
    <t>3 - Le medie IVASS</t>
  </si>
  <si>
    <t>I dati ufficiali IVASS e il confronto con i costi medi di ramo I, multiramo e unit linked, al 5% e al 3%</t>
  </si>
  <si>
    <t>4 - Quando la polizza ha senso</t>
  </si>
  <si>
    <t>Successione (con il calcolo) e impignorabilità (con i limiti): quando la polizza può servire</t>
  </si>
  <si>
    <t>5 - Come leggere il KID</t>
  </si>
  <si>
    <t>Dove trovare nel documento con le informazioni chiave (KID) i numeri da inserire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</si>
  <si>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</si>
  <si>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</si>
  <si>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</si>
  <si>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</si>
  <si>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</si>
  <si>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5. Le celle BIANCHE sono dati ufficiali (IVASS, KID, norme): non modificarle; la fonte è nella colonna accanto.</t>
  </si>
  <si>
    <t>Fonti dati</t>
  </si>
  <si>
    <t>• IVASS, Bollettino statistico n. 4/2025 (novembre 2025), cap. 9: KID al 15/09/2025, 529 prodotti: costo totale annuo medio (RIY) ramo I 1,7%, multiramo 2,5%, unit linked 2,9%; canale bancario e postale 72,1% della raccolta 2024; tassi di riscatto</t>
  </si>
  <si>
    <t>• IVASS, Relazione annuale sull'attività 2025 (18/06/2026): gestioni separate 2025 3,0% lordo, 1,9% agli assicurati, 35,6% trattenuto; BTP decennale 3,6%</t>
  </si>
  <si>
    <t>• Agenzia delle Entrate, Circolare n. 19/E del 27/06/2014: imposta 26%, quota titoli di Stato al 12,5%</t>
  </si>
  <si>
    <t>• Agenzia delle Entrate, Risoluzione n. 76/E del 16/09/2016: capitale caso morte, rendimento comunque tassato</t>
  </si>
  <si>
    <t>• Agenzia delle Entrate, Circolare n. 7/E del 04/06/2025: bollo 0,20% su ramo III e V versato ogni anno dal 2025 (L. 207/2024, art. 1 c. 87)</t>
  </si>
  <si>
    <t>• D.Lgs. 346/1990, artt. 7 e 12 (successione, fino al 31/12/2026); D.Lgs. 123/2025, art. 97 (dal 01/01/2027, art. 205 D.Lgs. 123/2025, come modificato dal DL 200/2025 conv. L. 26/2026); art. 7 D.Lgs. 346/1990 come sostituito dal D.Lgs. 139/2024, già DL 262/2006, art. 2 c. 48-49 (franchigie e aliquote)</t>
  </si>
  <si>
    <t>• Codice civile, artt. 1920 e 1923 (Normattiva); Cassazione civ. sez. I n. 3785 del 12/02/2024</t>
  </si>
  <si>
    <t>• KID in vigore di tre prodotti venduti allo sportello (anonimi: Prodotto A, B, C), date 2025</t>
  </si>
  <si>
    <t>• Calcoli: FV = capitale × (1 + rendimento lordo − costo annuo)^anni; ETF 0,20% tutto compreso; imposta sul guadagno all'uscita; bollo escluso di default (lo pagano sia la unit linked sia il dossier ETF)</t>
  </si>
  <si>
    <t>Aggiornamenti: github.com/marcofire-it/marco-fire-simulatori</t>
  </si>
  <si>
    <t>Il caso del video: 50.000 € in premio unico, fermi 20 anni, 5% lordo per tutti, polizza al costo medio IVASS della unit linked (2,9%), ETF 0,20%. Sono i valori di default del foglio 1.</t>
  </si>
  <si>
    <t>Il costo medio IVASS è misurato sul periodo raccomandato (circa 8 anni) e qui è usato come costo annuo per tutto il periodo: è un'approssimazione.</t>
  </si>
  <si>
    <t>Stesso rendimento lordo per polizza ed ETF: è un'ipotesi didattica per isolare l'effetto dei costi.</t>
  </si>
  <si>
    <t>Nessun nome di banca, compagnia, prodotto o emittente: i tre prodotti reali sono Prodotto A, B e C.</t>
  </si>
  <si>
    <t>In fondo a ogni foglio c'è il motore del calcolo: si può leggere, non va modificato.</t>
  </si>
  <si>
    <t>Il file si ricalcola da solo: niente macro, solo formule. Se un input è fuori campo, le celle mostrano un messaggio, non un numero.</t>
  </si>
  <si>
    <t>Il tuo confronto: polizza d'investimento contro ETF, stesso mercato</t>
  </si>
  <si>
    <t>I tuoi numeri (celle gialle)</t>
  </si>
  <si>
    <t>Capitale iniziale (premio unico)</t>
  </si>
  <si>
    <t>Caso del video: 50.000 €</t>
  </si>
  <si>
    <t>Versamento aggiuntivo ogni anno (a fine anno)</t>
  </si>
  <si>
    <t>0 = solo premio unico, come nel video</t>
  </si>
  <si>
    <t>Anni di durata</t>
  </si>
  <si>
    <t>Da 1 a 40 anni interi</t>
  </si>
  <si>
    <t>Rendimento lordo annuo, prima dei costi (uguale per tutti)</t>
  </si>
  <si>
    <t>Ipotesi didattica: stesso mercato per polizza ed ETF. Prova anche il 3%</t>
  </si>
  <si>
    <t>Costo annuo della polizza (incidenza annuale dei costi, dal KID)</t>
  </si>
  <si>
    <t>Default: media IVASS unit linked 2,9% (ramo I 1,7%, multiramo 2,5%). Misurata sul periodo raccomandato, qui usata per tutti gli anni: approssimazione</t>
  </si>
  <si>
    <t>Costo annuo dell'ETF, tutto compreso</t>
  </si>
  <si>
    <t>Costo annuo del fondo 0,14-0,20% per un azionario globale; 0,20% include per prudenza commissioni e spread</t>
  </si>
  <si>
    <t>Imposta sul guadagno</t>
  </si>
  <si>
    <t>Agenzia Entrate, Circ. 19/E/2014: si paga all'uscita, sul guadagno</t>
  </si>
  <si>
    <t>Imposta sulla parte in titoli di Stato</t>
  </si>
  <si>
    <t>Circ. 19/E/2014: quota titoli di Stato al 12,5%</t>
  </si>
  <si>
    <t>Quota in titoli di Stato della polizza</t>
  </si>
  <si>
    <t>Incerto: dipende dagli attivi della gestione (ramo I spesso alta). 0% = come nel video</t>
  </si>
  <si>
    <t>Quota in titoli di Stato dell'ETF</t>
  </si>
  <si>
    <t>Azionario: 0%. Un ETF di titoli di Stato: vicino al 100%</t>
  </si>
  <si>
    <t>Imposta di bollo annua</t>
  </si>
  <si>
    <t>Agenzia Entrate, Circ. 7/E/2025: 0,20% l'anno su unit linked e dossier titoli</t>
  </si>
  <si>
    <t>Conta il bollo nel calcolo?</t>
  </si>
  <si>
    <t>no</t>
  </si>
  <si>
    <t>«no» = come nel video: lo pagano sia la unit linked sia l'ETF, quindi pesa su entrambi</t>
  </si>
  <si>
    <t>La polizza paga il bollo?</t>
  </si>
  <si>
    <t>sì</t>
  </si>
  <si>
    <t>Ramo III e multiramo sì; ramo I no (dedotto dal testo della norma, non scritto in modo esplicito)</t>
  </si>
  <si>
    <t>Penale di riscatto se esci alla fine dell'anno (dal tuo contratto)</t>
  </si>
  <si>
    <t>Fine dell'anno</t>
  </si>
  <si>
    <t>Anno 1</t>
  </si>
  <si>
    <t>Anno 2</t>
  </si>
  <si>
    <t>Anno 3</t>
  </si>
  <si>
    <t>Anno 4</t>
  </si>
  <si>
    <t>Anno 5</t>
  </si>
  <si>
    <t>Anno 6</t>
  </si>
  <si>
    <t>Anno 7</t>
  </si>
  <si>
    <t>Anno 8</t>
  </si>
  <si>
    <t>Anno 9</t>
  </si>
  <si>
    <t>Anno 10</t>
  </si>
  <si>
    <t>Penale sul valore di riscatto</t>
  </si>
  <si>
    <t>Default: penali del Prodotto A (KID del 22/11/2025): 2,00% dopo 1 anno, 1,50% dopo 2, zero dal terzo. Il KID non dice se «1 anno» vuol dire fine del primo o del secondo anno: qui fine del primo. Dall'anno 11 la penale è zero. La penale non tocca il capitale finale a scadenza.</t>
  </si>
  <si>
    <t>Risultati</t>
  </si>
  <si>
    <t>Voce</t>
  </si>
  <si>
    <t>ETF</t>
  </si>
  <si>
    <t>Polizza</t>
  </si>
  <si>
    <t>Differenza (polizza − ETF)</t>
  </si>
  <si>
    <t>Totale versato</t>
  </si>
  <si>
    <t>Capitale finale prima delle imposte</t>
  </si>
  <si>
    <t>Imposta sul guadagno, all'uscita</t>
  </si>
  <si>
    <t>Capitale finale dopo le imposte</t>
  </si>
  <si>
    <t>Guadagno netto</t>
  </si>
  <si>
    <t>Euro persi con la polizza, prima delle imposte</t>
  </si>
  <si>
    <t>Euro persi con la polizza, dopo le imposte</t>
  </si>
  <si>
    <t>L'ETF finisce a … volte la polizza (prima delle imposte)</t>
  </si>
  <si>
    <t>Costo come riduzione del rendimento: capitale × (1 + rendimento − costo)^anni. Imposta sul guadagno pagata una volta sola all'uscita, per polizza ed ETF ad accumulazione. Nessun riscatto anticipato a scadenza: per l'uscita prima vedi il foglio 2.</t>
  </si>
  <si>
    <t>Anno per anno</t>
  </si>
  <si>
    <t>Anno</t>
  </si>
  <si>
    <t>Versato</t>
  </si>
  <si>
    <t>ETF prima delle imposte</t>
  </si>
  <si>
    <t>Polizza prima delle imposte</t>
  </si>
  <si>
    <t>Differenza</t>
  </si>
  <si>
    <t>ETF netto se vendi</t>
  </si>
  <si>
    <t>Polizza netta se riscatti (con penale)</t>
  </si>
  <si>
    <t>Differenza netta</t>
  </si>
  <si>
    <t>Motore del calcolo — non modificare</t>
  </si>
  <si>
    <t>Calcoli intermedi usati dalle celle verdi qui sopra: si possono leggere, non vanno modificati.</t>
  </si>
  <si>
    <t>Input validi</t>
  </si>
  <si>
    <t>Aliquota effettiva ETF</t>
  </si>
  <si>
    <t>Aliquota effettiva polizza</t>
  </si>
  <si>
    <t>Bollo ETF usato</t>
  </si>
  <si>
    <t>Bollo polizza usato</t>
  </si>
  <si>
    <t>Fattore annuo ETF</t>
  </si>
  <si>
    <t>Fattore annuo polizza</t>
  </si>
  <si>
    <t>Penale</t>
  </si>
  <si>
    <t>Riscatto dopo penale</t>
  </si>
  <si>
    <t>Imposta ETF</t>
  </si>
  <si>
    <t>ETF netto</t>
  </si>
  <si>
    <t>Imposta polizza</t>
  </si>
  <si>
    <t>Polizza netta</t>
  </si>
  <si>
    <t>Uscire prima: quanto costa il riscatto nei primi anni</t>
  </si>
  <si>
    <t>Costi di uscita dai KID di tre prodotti venduti allo sportello (esempio del KID: 10.000 €)</t>
  </si>
  <si>
    <t>Prodotto</t>
  </si>
  <si>
    <t>Costo totale se esci dopo 1 anno</t>
  </si>
  <si>
    <t>Costo annuo sul periodo raccomandato</t>
  </si>
  <si>
    <t>Periodo raccomandato (anni)</t>
  </si>
  <si>
    <t>Penali di riscatto</t>
  </si>
  <si>
    <t>Fonte</t>
  </si>
  <si>
    <t>Prodotto A (unit linked / multiramo)</t>
  </si>
  <si>
    <t>2,00% dopo 1 anno; 1,50% dopo 2; zero dal 3°</t>
  </si>
  <si>
    <t>KID del 22/11/2025: dipende dall'opzione, 2,7%-6,0% a 1 anno e 0,6%-4,0% l'anno sul periodo raccomandato (qui il valore massimo)</t>
  </si>
  <si>
    <t>Prodotto B (multiramo)</t>
  </si>
  <si>
    <t>nessuna al periodo raccomandato; anno per anno non pubblicate nel KID</t>
  </si>
  <si>
    <t>KID del 18/12/2025: 346 € dopo 1 anno, 2.006 € in 10 anni su 10.000 €</t>
  </si>
  <si>
    <t>Prodotto C (ramo I, gestione separata)</t>
  </si>
  <si>
    <t>anno per anno non pubblicate nel KID; costi concentrati nei primi anni</t>
  </si>
  <si>
    <t>KID del 14/04/2025: 509 € dopo 1 anno, 1.324 € sul periodo raccomandato su 10.000 €</t>
  </si>
  <si>
    <t>Il vostro prodotto (dal vostro KID)</t>
  </si>
  <si>
    <t>Tabella «Andamento dei costi nel tempo» del KID. Le penali anno per anno vanno nel foglio 1, riga 21</t>
  </si>
  <si>
    <t>Il costo del primo anno sul vostro capitale (foglio 1)</t>
  </si>
  <si>
    <t>Costo se esci dopo 1 anno</t>
  </si>
  <si>
    <t>Con l'ETF, lo stesso anno</t>
  </si>
  <si>
    <t>Costo totale del primo anno come nel KID (ingresso, uscita e costi correnti), applicato al capitale del foglio 1. Per il Prodotto A è il massimo fra le opzioni.</t>
  </si>
  <si>
    <t>Riscatto anno per anno contro l'ETF (numeri e penali del foglio 1)</t>
  </si>
  <si>
    <t>Penale in euro</t>
  </si>
  <si>
    <t>Polizza prima della penale</t>
  </si>
  <si>
    <t>Riscatto dopo la penale</t>
  </si>
  <si>
    <t>Polizza netta dopo le imposte</t>
  </si>
  <si>
    <t>Distanza netta (polizza − ETF)</t>
  </si>
  <si>
    <t>Imposta al riscatto: 26% (o l'aliquota del foglio 1) sul guadagno, calcolato dopo la penale. Righe vuote oltre la durata del foglio 1. Anche senza penale, nei primi anni i costi d'ingresso pesano di più (colonna B della tabella in alto).</t>
  </si>
  <si>
    <t>Riscatto</t>
  </si>
  <si>
    <t>Le medie IVASS: quanto costano le polizze d'investimento</t>
  </si>
  <si>
    <t>Dati ufficiali IVASS (celle bianche: non modificare)</t>
  </si>
  <si>
    <t>Ramo I (rivalutabili)</t>
  </si>
  <si>
    <t>Multiramo</t>
  </si>
  <si>
    <t>Unit linked</t>
  </si>
  <si>
    <t>Costo totale annuo medio (RIY, scenario moderato, sul periodo raccomandato)</t>
  </si>
  <si>
    <t>IVASS, Bollettino statistico n. 4/2025 (novembre 2025), cap. 9: KID al 15/09/2025, 529 prodotti</t>
  </si>
  <si>
    <t>Periodo di detenzione raccomandato medio (anni)</t>
  </si>
  <si>
    <t>Rendimento netto atteso medio (scenario moderato del KID)</t>
  </si>
  <si>
    <t>Tasso di riscatto 2024 (ramo I e ramo III)</t>
  </si>
  <si>
    <t>n.d.</t>
  </si>
  <si>
    <t>IVASS, Bollettino statistico n. 4/2025 (novembre 2025), cap. 9: KID al 15/09/2025, 529 prodotti (la colonna unit linked è il ramo III)</t>
  </si>
  <si>
    <t>Altri dati ufficiali</t>
  </si>
  <si>
    <t>Valore</t>
  </si>
  <si>
    <t>Raccolta vita 2024 passata da sportelli bancari e postali</t>
  </si>
  <si>
    <t>Unit linked e multiramo: costo medio più alto nel canale bancario</t>
  </si>
  <si>
    <t>Fondi esterni contro fondi interni: costo in più (punti)</t>
  </si>
  <si>
    <t>IVASS, Bollettino statistico n. 4/2025 (novembre 2025), cap. 9: KID al 15/09/2025, 529 prodotti, fig. 25</t>
  </si>
  <si>
    <t>Gestioni separate 2025: rendimento medio lordo</t>
  </si>
  <si>
    <t>IVASS, Relazione annuale sull'attività 2025 (18/06/2026)</t>
  </si>
  <si>
    <t>Gestioni separate 2025: rendimento passato agli assicurati</t>
  </si>
  <si>
    <t>Gestioni separate 2025: quota trattenuta sul rendimento</t>
  </si>
  <si>
    <t>BTP decennale 2025, rendimento medio</t>
  </si>
  <si>
    <t>Inflazione 2025</t>
  </si>
  <si>
    <t>Confronto con i costi medi (capitale, versamenti, anni e imposta del foglio 1)</t>
  </si>
  <si>
    <t>Secondo rendimento lordo (scenario prudente)</t>
  </si>
  <si>
    <t>Vicino al lordo 2025 delle gestioni separate. Il primo rendimento è quello del foglio 1</t>
  </si>
  <si>
    <t>Costo annuo di un portafoglio ETF 60/40</t>
  </si>
  <si>
    <t>60% azionario globale a 0,14% + 40% obbligazionario globale a 0,10%</t>
  </si>
  <si>
    <t>Strumento</t>
  </si>
  <si>
    <t>Costo annuo</t>
  </si>
  <si>
    <t>Capitale finale al rendimento del foglio 1</t>
  </si>
  <si>
    <t>Distanza dall'ETF</t>
  </si>
  <si>
    <t>Capitale finale al secondo rendimento</t>
  </si>
  <si>
    <t>Distanza dall'ETF (secondo)</t>
  </si>
  <si>
    <t>Netto dopo l'imposta (foglio 1)</t>
  </si>
  <si>
    <t>Distanza netta</t>
  </si>
  <si>
    <t>ETF, costo del foglio 1</t>
  </si>
  <si>
    <t>Portafoglio ETF 60/40</t>
  </si>
  <si>
    <t>Ramo I, media IVASS</t>
  </si>
  <si>
    <t>Prodotto B (KID, periodo raccomandato)</t>
  </si>
  <si>
    <t>Multiramo, media IVASS</t>
  </si>
  <si>
    <t>Unit linked, media IVASS</t>
  </si>
  <si>
    <t>Imposta sul guadagno con l'aliquota del foglio 1 (26%), senza quota titoli di Stato e senza bollo, come nel video. Per il ramo I la distanza vera è un po' più piccola: parte dei rendimenti è tassata al 12,5% e il bollo non si paga (provalo nel foglio 1, celle B13 e B17). Stesso rendimento lordo per strumenti di rischio diverso: ipotesi didattica.</t>
  </si>
  <si>
    <t>Fattore al rendimento 1</t>
  </si>
  <si>
    <t>Capitale 1</t>
  </si>
  <si>
    <t>Capitale 2</t>
  </si>
  <si>
    <t>Netto 1</t>
  </si>
  <si>
    <t>Fattore al rendimento 2</t>
  </si>
  <si>
    <t>Quando la polizza ha senso: successione e impignorabilità</t>
  </si>
  <si>
    <t>Successione: la stessa somma in polizza o nell'eredità (celle gialle)</t>
  </si>
  <si>
    <t>Patrimonio ereditario senza la polizza</t>
  </si>
  <si>
    <t>Tutto ciò che entra nell'eredità (esclusi titoli di Stato e polizze)</t>
  </si>
  <si>
    <t>Somma pagata dalla polizza al beneficiario</t>
  </si>
  <si>
    <t>Il capitale che la compagnia paga alla morte</t>
  </si>
  <si>
    <t>Chi riceve (un solo erede che è anche il beneficiario)</t>
  </si>
  <si>
    <t>coniuge o figli</t>
  </si>
  <si>
    <t>Con più eredi la franchigia vale per ciascuno: rifai il conto per ogni erede</t>
  </si>
  <si>
    <t>Erede con disabilità grave (L. 104/1992)?</t>
  </si>
  <si>
    <t>Sì = franchigia di 1.500.000 €</t>
  </si>
  <si>
    <t>Aliquote e franchigie (celle bianche)</t>
  </si>
  <si>
    <t>Chi riceve</t>
  </si>
  <si>
    <t>Aliquota</t>
  </si>
  <si>
    <t>Franchigia</t>
  </si>
  <si>
    <t>art. 7 D.Lgs. 346/1990 come sostituito dal D.Lgs. 139/2024 (già DL 262/2006, art. 2 c. 48-49). Verificate le aliquote col vostro notaio o consulente.</t>
  </si>
  <si>
    <t>fratelli o sorelle</t>
  </si>
  <si>
    <t>altri parenti fino al 4° grado o affini</t>
  </si>
  <si>
    <t>altri</t>
  </si>
  <si>
    <t>Franchigia per disabilità grave</t>
  </si>
  <si>
    <t>art. 7 D.Lgs. 346/1990 come sostituito dal D.Lgs. 139/2024 (già DL 262/2006, art. 2 c. 49-bis). Verificate col vostro notaio o consulente.</t>
  </si>
  <si>
    <t>Risultato</t>
  </si>
  <si>
    <t>Imposta di successione se la somma entra nell'eredità</t>
  </si>
  <si>
    <t>Imposta di successione con la polizza (somma esclusa dall'attivo)</t>
  </si>
  <si>
    <t>Risparmio sull'imposta di successione</t>
  </si>
  <si>
    <t>Stesso risparmio con titoli di Stato (anche loro esclusi dall'attivo)</t>
  </si>
  <si>
    <t>Quanto avresti in più con l'ETF sulla stessa somma (anni, rendimento e costi del foglio 1)</t>
  </si>
  <si>
    <t>Saldo: risparmio sulla successione − costo in più della polizza</t>
  </si>
  <si>
    <t>Verdetto</t>
  </si>
  <si>
    <t>Norma: art. 12 c. 1 lett. c) D.Lgs. 346/1990 fino al 31/12/2026, poi art. 97 D.Lgs. 123/2025 con lo stesso testo (art. 205 D.Lgs. 123/2025, come modificato dal DL 200/2025 conv. L. 26/2026). Il beneficiario ha un diritto proprio (art. 1920 c.c.). Restano collazione e riduzione per lesione di legittima (art. 1923 c. 2 c.c.). Il rendimento della polizza resta tassato anche alla morte (Agenzia Entrate, Ris. 76/E/2016). Costo in più calcolato prima delle imposte sul guadagno, come se la somma fosse rimasta investita per gli anni del foglio 1.</t>
  </si>
  <si>
    <t>Impignorabilità: cosa protegge e cosa no</t>
  </si>
  <si>
    <t>La regola</t>
  </si>
  <si>
    <t>Art. 1923 c.c.: le somme dovute dalla compagnia non possono essere pignorate né sequestrate.</t>
  </si>
  <si>
    <t>Limite 1</t>
  </si>
  <si>
    <t>Restano le azioni revocatorie sui premi pagati: chi versa in polizza per sfuggire ai creditori può vedersi revocare i versamenti.</t>
  </si>
  <si>
    <t>Limite 2</t>
  </si>
  <si>
    <t>Restano collazione, imputazione e riduzione delle donazioni: la polizza non scavalca la quota dei legittimari.</t>
  </si>
  <si>
    <t>Limite 3</t>
  </si>
  <si>
    <t>Per le unit linked puramente finanziarie la tutela non è automatica: la Cassazione (n. 3785 del 12/02/2024) chiede una vera funzione previdenziale, cioè un rischio legato alla vita (per esempio un capitale minimo garantito).</t>
  </si>
  <si>
    <t>In pratica</t>
  </si>
  <si>
    <t>Più la polizza assomiglia a un fondo d'investimento, più la protezione è debole. Non è uno scudo da comprare dopo che i debiti sono arrivati.</t>
  </si>
  <si>
    <t>Altri casi in cui una polizza può avere senso</t>
  </si>
  <si>
    <t>Garanzia del capitale</t>
  </si>
  <si>
    <t>Ramo I per chi non vuole oscillazioni: costo medio 1,7% (canale bancario 1,4%). Confronto onesto: titoli di Stato diretti, al 12,5%, esclusi dalla successione, senza costi annui.</t>
  </si>
  <si>
    <t>Beneficiari fuori famiglia</t>
  </si>
  <si>
    <t>Destinare una somma a chi ha franchigie basse o nessuna (vedi la tabella sopra).</t>
  </si>
  <si>
    <t>Coperture di puro rischio</t>
  </si>
  <si>
    <t>Temporanea caso morte e non autosufficienza: sono un'altra cosa, utili, e non sono prodotti d'investimento.</t>
  </si>
  <si>
    <t>Franchigia applicata</t>
  </si>
  <si>
    <t>Aliquota applicata</t>
  </si>
  <si>
    <t>Come leggere il KID: dove trovare i numeri da inserire</t>
  </si>
  <si>
    <t>Le parti del documento con le informazioni chiave (KID) che servono</t>
  </si>
  <si>
    <t>Dove, nel KID</t>
  </si>
  <si>
    <t>Cosa leggere</t>
  </si>
  <si>
    <t>Esempio: Prodotto B (KID, su 10.000 €)</t>
  </si>
  <si>
    <t>Dove va nel simulatore</t>
  </si>
  <si>
    <t>Cos'è questo prodotto?</t>
  </si>
  <si>
    <t>Il tipo: ramo I (gestione separata, spesso con garanzia), ramo III (unit linked), multiramo. E il periodo di detenzione raccomandato.</t>
  </si>
  <si>
    <t>Multiramo; periodo raccomandato 10 anni</t>
  </si>
  <si>
    <t>Foglio 1, B17 (il ramo I non paga il bollo); foglio 2, riga 9</t>
  </si>
  <si>
    <t>Quali sono i rischi e qual è il potenziale rendimento?</t>
  </si>
  <si>
    <t>Gli scenari: il «moderato» è una stima, non una promessa. Guarda il rendimento prima e dopo i costi.</t>
  </si>
  <si>
    <t>4,0% l'anno prima dei costi, 2,1% dopo</t>
  </si>
  <si>
    <t>Foglio 1, B8: usa lo stesso lordo per polizza ed ETF</t>
  </si>
  <si>
    <t>Quali sono i costi? — Andamento dei costi nel tempo</t>
  </si>
  <si>
    <t>Costi totali in euro e incidenza annuale se esci dopo 1 anno e alla fine del periodo raccomandato.</t>
  </si>
  <si>
    <t>346 € e 3,5% dopo 1 anno; 2.006 € e 1,9% l'anno a 10 anni</t>
  </si>
  <si>
    <t>Foglio 1, B9 (incidenza annuale sul periodo raccomandato); foglio 2, B9</t>
  </si>
  <si>
    <t>Quali sono i costi? — Composizione dei costi</t>
  </si>
  <si>
    <t>Ingresso, uscita, gestione, transazione, performance. Se ingresso e uscita pesano molto, uscire presto costa caro.</t>
  </si>
  <si>
    <t>Ingresso 0,2%; uscita nessuna a 10 anni; gestione 1,7% l'anno</t>
  </si>
  <si>
    <t>Serve a capire se il costo è concentrato all'inizio</t>
  </si>
  <si>
    <t>Per quanto tempo devo detenerlo e posso ritirare il capitale prematuramente?</t>
  </si>
  <si>
    <t>Da quando si può riscattare e con quali penali. Spesso la tabella anno per anno è nel documento aggiuntivo (DIP aggiuntivo).</t>
  </si>
  <si>
    <t>Nessuna commissione di uscita al periodo raccomandato</t>
  </si>
  <si>
    <t>Foglio 1, riga 21 (penale anno per anno)</t>
  </si>
  <si>
    <t>Documento aggiuntivo (DIP aggiuntivo)</t>
  </si>
  <si>
    <t>Imposte, garanzie (sul premio investito, cioè al netto dei costi, non sul premio versato), penali di riscatto.</t>
  </si>
  <si>
    <t>Garanzia sulla parte in gestione separata</t>
  </si>
  <si>
    <t>Foglio 1, B13 (quota in titoli di Stato) e riga 21</t>
  </si>
  <si>
    <t>Il vostro KID in tre numeri (celle gialle)</t>
  </si>
  <si>
    <t>Costi totali se esci dopo 1 anno (in euro, dalla tabella del KID)</t>
  </si>
  <si>
    <t>Importo dell'esempio del KID</t>
  </si>
  <si>
    <t>Di solito 10.000 €</t>
  </si>
  <si>
    <t>Incidenza annuale dei costi alla fine del periodo raccomandato</t>
  </si>
  <si>
    <t>Default: Prodotto B, 1,9% l'anno</t>
  </si>
  <si>
    <t>Cosa vuol dire sul vostro capitale (capitale, anni e rendimento del foglio 1)</t>
  </si>
  <si>
    <t>Costo se esci dopo 1 anno, in percentuale</t>
  </si>
  <si>
    <t>Lo stesso costo sul vostro capitale</t>
  </si>
  <si>
    <t>Capitale finale con questo costo annuo, prima delle imposte</t>
  </si>
  <si>
    <t>Capitale finale con l'ETF (foglio 1)</t>
  </si>
  <si>
    <t>Euro persi contro l'ETF, prima delle imposte</t>
  </si>
  <si>
    <t>Per il confronto completo (imposte, bollo, anno per anno) copia l'incidenza annuale nella cella B9 del foglio 1. Senza bollo, come i default del foglio 1.</t>
  </si>
  <si>
    <t>Fattore annuo con il vostro costo</t>
  </si>
  <si>
    <t>Capitale finale con il vostro costo</t>
  </si>
  <si>
    <t>Capitale finale ETF, senza bollo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</si>
</sst>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&quot; €&quot;"/>
    <numFmt numFmtId="165" formatCode="\+#,##0&quot; €&quot;;\-#,##0&quot; €&quot;;0&quot; €&quot;"/>
    <numFmt numFmtId="166" formatCode="0.00&quot; volte&quot;"/>
    <numFmt numFmtId="167" formatCode="0.000000"/>
    <numFmt numFmtId="168" formatCode="0.0%"/>
    <numFmt numFmtId="169" formatCode="0.0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1E40AF"/>
      </patternFill>
    </fill>
    <fill>
      <patternFill patternType="solid">
        <fgColor rgb="FFFFF59D"/>
      </patternFill>
    </fill>
    <fill>
      <patternFill patternType="solid">
        <fgColor rgb="FFFAFAFA"/>
      </patternFill>
    </fill>
    <fill>
      <patternFill patternType="solid">
        <fgColor rgb="FFDBEAFE"/>
      </patternFill>
    </fill>
    <fill>
      <patternFill patternType="solid">
        <fgColor rgb="FFC8E6C9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 wrapText="1"/>
    </xf>
    <xf numFmtId="1" fontId="5" fillId="4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right" vertical="center"/>
    </xf>
    <xf numFmtId="165" fontId="5" fillId="7" borderId="1" xfId="0" applyNumberFormat="1" applyFont="1" applyFill="1" applyBorder="1" applyAlignment="1">
      <alignment horizontal="right" vertical="center"/>
    </xf>
    <xf numFmtId="166" fontId="5" fillId="7" borderId="1" xfId="0" applyNumberFormat="1" applyFont="1" applyFill="1" applyBorder="1" applyAlignment="1">
      <alignment horizontal="right" vertical="center"/>
    </xf>
    <xf numFmtId="1" fontId="5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right" vertical="center"/>
    </xf>
    <xf numFmtId="10" fontId="5" fillId="7" borderId="1" xfId="0" applyNumberFormat="1" applyFont="1" applyFill="1" applyBorder="1" applyAlignment="1">
      <alignment horizontal="right" vertical="center"/>
    </xf>
    <xf numFmtId="167" fontId="5" fillId="7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168" fontId="5" fillId="8" borderId="1" xfId="0" applyNumberFormat="1" applyFont="1" applyFill="1" applyBorder="1" applyAlignment="1">
      <alignment horizontal="right" vertical="center"/>
    </xf>
    <xf numFmtId="1" fontId="5" fillId="8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169" fontId="5" fillId="8" borderId="1" xfId="0" applyNumberFormat="1" applyFont="1" applyFill="1" applyBorder="1" applyAlignment="1">
      <alignment horizontal="right" vertical="center"/>
    </xf>
    <xf numFmtId="164" fontId="5" fillId="8" borderId="1" xfId="0" applyNumberFormat="1" applyFont="1" applyFill="1" applyBorder="1" applyAlignment="1">
      <alignment horizontal="right" vertical="center"/>
    </xf>
    <xf numFmtId="49" fontId="5" fillId="7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168" fontId="5" fillId="7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6" fillId="5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5"/>
  <cols>
    <col min="1" max="1" width="60" customWidth="1"/>
    <col min="2" max="2" width="30" customWidth="1"/>
  </cols>
  <sheetData>
    <row r="1" spans="1:2" ht="32.1" customHeight="1">
      <c r="A1" s="31" t="s">
        <v>0</v>
      </c>
      <c r="B1" s="30"/>
    </row>
    <row r="2" spans="1:2" ht="32.1" customHeight="1">
      <c r="A2" s="29" t="s">
        <v>1</v>
      </c>
      <c r="B2" s="30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1" spans="1:2" ht="18.75">
      <c r="A11" s="1" t="s">
        <v>13</v>
      </c>
    </row>
    <row r="12" spans="1:2">
      <c r="A12" s="3" t="s">
        <v>14</v>
      </c>
    </row>
    <row r="13" spans="1:2">
      <c r="A13" s="3" t="s">
        <v>15</v>
      </c>
    </row>
    <row r="14" spans="1:2">
      <c r="A14" s="3" t="s">
        <v>16</v>
      </c>
    </row>
    <row r="15" spans="1:2">
      <c r="A15" s="3" t="s">
        <v>17</v>
      </c>
    </row>
    <row r="16" spans="1:2">
      <c r="A16" s="3" t="s">
        <v>18</v>
      </c>
    </row>
    <row r="17" spans="1:1" ht="18.75">
      <c r="A17" s="1" t="s">
        <v>19</v>
      </c>
    </row>
    <row r="18" spans="1:1">
      <c r="A18" s="3" t="s">
        <v>20</v>
      </c>
    </row>
    <row r="19" spans="1:1">
      <c r="A19" s="3" t="s">
        <v>21</v>
      </c>
    </row>
    <row r="20" spans="1:1">
      <c r="A20" s="3" t="s">
        <v>22</v>
      </c>
    </row>
    <row r="21" spans="1:1">
      <c r="A21" s="3" t="s">
        <v>23</v>
      </c>
    </row>
    <row r="22" spans="1:1">
      <c r="A22" s="3" t="s">
        <v>24</v>
      </c>
    </row>
    <row r="23" spans="1:1">
      <c r="A23" s="3" t="s">
        <v>25</v>
      </c>
    </row>
    <row r="24" spans="1:1">
      <c r="A24" s="3" t="s">
        <v>26</v>
      </c>
    </row>
    <row r="25" spans="1:1">
      <c r="A25" s="3" t="s">
        <v>27</v>
      </c>
    </row>
    <row r="26" spans="1:1">
      <c r="A26" s="3" t="s">
        <v>28</v>
      </c>
    </row>
    <row r="28" spans="1:1">
      <c r="A28" s="4" t="s">
        <v>29</v>
      </c>
    </row>
    <row r="30" spans="1:1">
      <c r="A30" s="3" t="s">
        <v>30</v>
      </c>
    </row>
    <row r="31" spans="1:1">
      <c r="A31" s="3" t="s">
        <v>31</v>
      </c>
    </row>
    <row r="32" spans="1:1">
      <c r="A32" s="3" t="s">
        <v>32</v>
      </c>
    </row>
    <row r="33" spans="1:1">
      <c r="A33" s="3" t="s">
        <v>33</v>
      </c>
    </row>
    <row r="34" spans="1:1">
      <c r="A34" s="3" t="s">
        <v>34</v>
      </c>
    </row>
    <row r="35" spans="1:1">
      <c r="A35" s="3" t="s">
        <v>35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tabSelected="1" workbookViewId="0">
      <selection sqref="A1:K1"/>
    </sheetView>
  </sheetViews>
  <sheetFormatPr defaultRowHeight="15"/>
  <cols>
    <col min="1" max="1" width="62" customWidth="1"/>
    <col min="2" max="2" width="16" customWidth="1"/>
    <col min="3" max="3" width="17.7109375" customWidth="1"/>
    <col min="4" max="4" width="19.85546875" customWidth="1"/>
    <col min="5" max="6" width="16" customWidth="1"/>
    <col min="7" max="7" width="25.5703125" customWidth="1"/>
    <col min="8" max="10" width="16" customWidth="1"/>
    <col min="11" max="11" width="12" customWidth="1"/>
  </cols>
  <sheetData>
    <row r="1" spans="1:11" ht="24.95" customHeight="1">
      <c r="A1" s="31" t="s">
        <v>36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32.1" customHeight="1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1">
      <c r="A4" s="33" t="s">
        <v>37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1" ht="15" customHeight="1">
      <c r="A5" s="5" t="s">
        <v>38</v>
      </c>
      <c r="B5" s="6">
        <v>50000</v>
      </c>
      <c r="C5" s="32" t="s">
        <v>39</v>
      </c>
      <c r="D5" s="30"/>
      <c r="E5" s="30"/>
      <c r="F5" s="30"/>
      <c r="G5" s="30"/>
      <c r="H5" s="30"/>
      <c r="I5" s="30"/>
      <c r="J5" s="30"/>
      <c r="K5" s="30"/>
    </row>
    <row r="6" spans="1:11" ht="15" customHeight="1">
      <c r="A6" s="5" t="s">
        <v>40</v>
      </c>
      <c r="B6" s="6">
        <v>0</v>
      </c>
      <c r="C6" s="32" t="s">
        <v>41</v>
      </c>
      <c r="D6" s="30"/>
      <c r="E6" s="30"/>
      <c r="F6" s="30"/>
      <c r="G6" s="30"/>
      <c r="H6" s="30"/>
      <c r="I6" s="30"/>
      <c r="J6" s="30"/>
      <c r="K6" s="30"/>
    </row>
    <row r="7" spans="1:11" ht="15" customHeight="1">
      <c r="A7" s="5" t="s">
        <v>42</v>
      </c>
      <c r="B7" s="8">
        <v>20</v>
      </c>
      <c r="C7" s="32" t="s">
        <v>43</v>
      </c>
      <c r="D7" s="30"/>
      <c r="E7" s="30"/>
      <c r="F7" s="30"/>
      <c r="G7" s="30"/>
      <c r="H7" s="30"/>
      <c r="I7" s="30"/>
      <c r="J7" s="30"/>
      <c r="K7" s="30"/>
    </row>
    <row r="8" spans="1:11" ht="15" customHeight="1">
      <c r="A8" s="5" t="s">
        <v>44</v>
      </c>
      <c r="B8" s="9">
        <v>0.05</v>
      </c>
      <c r="C8" s="32" t="s">
        <v>45</v>
      </c>
      <c r="D8" s="30"/>
      <c r="E8" s="30"/>
      <c r="F8" s="30"/>
      <c r="G8" s="30"/>
      <c r="H8" s="30"/>
      <c r="I8" s="30"/>
      <c r="J8" s="30"/>
      <c r="K8" s="30"/>
    </row>
    <row r="9" spans="1:11" ht="30" customHeight="1">
      <c r="A9" s="5" t="s">
        <v>46</v>
      </c>
      <c r="B9" s="9">
        <v>2.9000000000000001E-2</v>
      </c>
      <c r="C9" s="32" t="s">
        <v>47</v>
      </c>
      <c r="D9" s="30"/>
      <c r="E9" s="30"/>
      <c r="F9" s="30"/>
      <c r="G9" s="30"/>
      <c r="H9" s="30"/>
      <c r="I9" s="30"/>
      <c r="J9" s="30"/>
      <c r="K9" s="30"/>
    </row>
    <row r="10" spans="1:11" ht="30" customHeight="1">
      <c r="A10" s="5" t="s">
        <v>48</v>
      </c>
      <c r="B10" s="9">
        <v>2E-3</v>
      </c>
      <c r="C10" s="32" t="s">
        <v>49</v>
      </c>
      <c r="D10" s="30"/>
      <c r="E10" s="30"/>
      <c r="F10" s="30"/>
      <c r="G10" s="30"/>
      <c r="H10" s="30"/>
      <c r="I10" s="30"/>
      <c r="J10" s="30"/>
      <c r="K10" s="30"/>
    </row>
    <row r="11" spans="1:11" ht="15" customHeight="1">
      <c r="A11" s="5" t="s">
        <v>50</v>
      </c>
      <c r="B11" s="9">
        <v>0.26</v>
      </c>
      <c r="C11" s="32" t="s">
        <v>51</v>
      </c>
      <c r="D11" s="30"/>
      <c r="E11" s="30"/>
      <c r="F11" s="30"/>
      <c r="G11" s="30"/>
      <c r="H11" s="30"/>
      <c r="I11" s="30"/>
      <c r="J11" s="30"/>
      <c r="K11" s="30"/>
    </row>
    <row r="12" spans="1:11" ht="15" customHeight="1">
      <c r="A12" s="5" t="s">
        <v>52</v>
      </c>
      <c r="B12" s="9">
        <v>0.125</v>
      </c>
      <c r="C12" s="32" t="s">
        <v>53</v>
      </c>
      <c r="D12" s="30"/>
      <c r="E12" s="30"/>
      <c r="F12" s="30"/>
      <c r="G12" s="30"/>
      <c r="H12" s="30"/>
      <c r="I12" s="30"/>
      <c r="J12" s="30"/>
      <c r="K12" s="30"/>
    </row>
    <row r="13" spans="1:11" ht="30" customHeight="1">
      <c r="A13" s="5" t="s">
        <v>54</v>
      </c>
      <c r="B13" s="9">
        <v>0</v>
      </c>
      <c r="C13" s="32" t="s">
        <v>55</v>
      </c>
      <c r="D13" s="30"/>
      <c r="E13" s="30"/>
      <c r="F13" s="30"/>
      <c r="G13" s="30"/>
      <c r="H13" s="30"/>
      <c r="I13" s="30"/>
      <c r="J13" s="30"/>
      <c r="K13" s="30"/>
    </row>
    <row r="14" spans="1:11" ht="15" customHeight="1">
      <c r="A14" s="5" t="s">
        <v>56</v>
      </c>
      <c r="B14" s="9">
        <v>0</v>
      </c>
      <c r="C14" s="32" t="s">
        <v>57</v>
      </c>
      <c r="D14" s="30"/>
      <c r="E14" s="30"/>
      <c r="F14" s="30"/>
      <c r="G14" s="30"/>
      <c r="H14" s="30"/>
      <c r="I14" s="30"/>
      <c r="J14" s="30"/>
      <c r="K14" s="30"/>
    </row>
    <row r="15" spans="1:11" ht="15" customHeight="1">
      <c r="A15" s="5" t="s">
        <v>58</v>
      </c>
      <c r="B15" s="9">
        <v>2E-3</v>
      </c>
      <c r="C15" s="32" t="s">
        <v>59</v>
      </c>
      <c r="D15" s="30"/>
      <c r="E15" s="30"/>
      <c r="F15" s="30"/>
      <c r="G15" s="30"/>
      <c r="H15" s="30"/>
      <c r="I15" s="30"/>
      <c r="J15" s="30"/>
      <c r="K15" s="30"/>
    </row>
    <row r="16" spans="1:11" ht="30" customHeight="1">
      <c r="A16" s="5" t="s">
        <v>60</v>
      </c>
      <c r="B16" s="10" t="s">
        <v>61</v>
      </c>
      <c r="C16" s="32" t="s">
        <v>62</v>
      </c>
      <c r="D16" s="30"/>
      <c r="E16" s="30"/>
      <c r="F16" s="30"/>
      <c r="G16" s="30"/>
      <c r="H16" s="30"/>
      <c r="I16" s="30"/>
      <c r="J16" s="30"/>
      <c r="K16" s="30"/>
    </row>
    <row r="17" spans="1:11" ht="30" customHeight="1">
      <c r="A17" s="5" t="s">
        <v>63</v>
      </c>
      <c r="B17" s="10" t="s">
        <v>64</v>
      </c>
      <c r="C17" s="32" t="s">
        <v>65</v>
      </c>
      <c r="D17" s="30"/>
      <c r="E17" s="30"/>
      <c r="F17" s="30"/>
      <c r="G17" s="30"/>
      <c r="H17" s="30"/>
      <c r="I17" s="30"/>
      <c r="J17" s="30"/>
      <c r="K17" s="30"/>
    </row>
    <row r="19" spans="1:11">
      <c r="A19" s="33" t="s">
        <v>66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 ht="32.1" customHeight="1">
      <c r="A20" s="11" t="s">
        <v>67</v>
      </c>
      <c r="B20" s="11" t="s">
        <v>68</v>
      </c>
      <c r="C20" s="11" t="s">
        <v>69</v>
      </c>
      <c r="D20" s="11" t="s">
        <v>70</v>
      </c>
      <c r="E20" s="11" t="s">
        <v>71</v>
      </c>
      <c r="F20" s="11" t="s">
        <v>72</v>
      </c>
      <c r="G20" s="11" t="s">
        <v>73</v>
      </c>
      <c r="H20" s="11" t="s">
        <v>74</v>
      </c>
      <c r="I20" s="11" t="s">
        <v>75</v>
      </c>
      <c r="J20" s="11" t="s">
        <v>76</v>
      </c>
      <c r="K20" s="11" t="s">
        <v>77</v>
      </c>
    </row>
    <row r="21" spans="1:11">
      <c r="A21" s="5" t="s">
        <v>78</v>
      </c>
      <c r="B21" s="9">
        <v>0.02</v>
      </c>
      <c r="C21" s="9">
        <v>1.4999999999999999E-2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</row>
    <row r="22" spans="1:11" ht="45" customHeight="1">
      <c r="A22" s="32" t="s">
        <v>79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4" spans="1:11">
      <c r="A24" s="33" t="s">
        <v>80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 ht="32.1" customHeight="1">
      <c r="A25" s="11" t="s">
        <v>81</v>
      </c>
      <c r="B25" s="11" t="s">
        <v>82</v>
      </c>
      <c r="C25" s="11" t="s">
        <v>83</v>
      </c>
      <c r="D25" s="11" t="s">
        <v>84</v>
      </c>
    </row>
    <row r="26" spans="1:11">
      <c r="A26" s="5" t="s">
        <v>85</v>
      </c>
      <c r="B26" s="12">
        <f>IFERROR(IF($B$83,INDEX($B$92:$B$132,$B$7+1),"controlla le celle gialle del foglio 1"),"controlla le celle gialle del foglio 1")</f>
        <v>50000</v>
      </c>
      <c r="C26" s="12">
        <f>IFERROR(B26,"controlla le celle gialle del foglio 1")</f>
        <v>50000</v>
      </c>
    </row>
    <row r="27" spans="1:11">
      <c r="A27" s="5" t="s">
        <v>86</v>
      </c>
      <c r="B27" s="12">
        <f>IFERROR(IF($B$83,INDEX($C$92:$C$132,$B$7+1),"controlla le celle gialle del foglio 1"),"controlla le celle gialle del foglio 1")</f>
        <v>127701.39964649298</v>
      </c>
      <c r="C27" s="12">
        <f>IFERROR(IF($B$83,INDEX($D$92:$D$132,$B$7+1),"controlla le celle gialle del foglio 1"),"controlla le celle gialle del foglio 1")</f>
        <v>75767.829458161796</v>
      </c>
      <c r="D27" s="13">
        <f>IFERROR(C27-B27,"controlla le celle gialle del foglio 1")</f>
        <v>-51933.570188331185</v>
      </c>
    </row>
    <row r="28" spans="1:11">
      <c r="A28" s="5" t="s">
        <v>87</v>
      </c>
      <c r="B28" s="12">
        <f>IFERROR(MAX(0,B27-B26)*$B$84,"controlla le celle gialle del foglio 1")</f>
        <v>20202.363908088177</v>
      </c>
      <c r="C28" s="12">
        <f>IFERROR(MAX(0,C27-C26)*$B$85,"controlla le celle gialle del foglio 1")</f>
        <v>6699.6356591220674</v>
      </c>
      <c r="D28" s="13">
        <f>IFERROR(C28-B28,"controlla le celle gialle del foglio 1")</f>
        <v>-13502.728248966108</v>
      </c>
    </row>
    <row r="29" spans="1:11">
      <c r="A29" s="5" t="s">
        <v>88</v>
      </c>
      <c r="B29" s="12">
        <f>IFERROR(B27-B28,"controlla le celle gialle del foglio 1")</f>
        <v>107499.03573840481</v>
      </c>
      <c r="C29" s="12">
        <f>IFERROR(C27-C28,"controlla le celle gialle del foglio 1")</f>
        <v>69068.193799039727</v>
      </c>
      <c r="D29" s="13">
        <f>IFERROR(C29-B29,"controlla le celle gialle del foglio 1")</f>
        <v>-38430.841939365084</v>
      </c>
    </row>
    <row r="30" spans="1:11">
      <c r="A30" s="5" t="s">
        <v>89</v>
      </c>
      <c r="B30" s="13">
        <f>IFERROR(B29-B26,"controlla le celle gialle del foglio 1")</f>
        <v>57499.035738404811</v>
      </c>
      <c r="C30" s="13">
        <f>IFERROR(C29-C26,"controlla le celle gialle del foglio 1")</f>
        <v>19068.193799039727</v>
      </c>
      <c r="D30" s="13">
        <f>IFERROR(C30-B30,"controlla le celle gialle del foglio 1")</f>
        <v>-38430.841939365084</v>
      </c>
    </row>
    <row r="31" spans="1:11">
      <c r="A31" s="5" t="s">
        <v>90</v>
      </c>
      <c r="B31" s="12">
        <f>IFERROR(B27-C27,"controlla le celle gialle del foglio 1")</f>
        <v>51933.570188331185</v>
      </c>
    </row>
    <row r="32" spans="1:11">
      <c r="A32" s="5" t="s">
        <v>91</v>
      </c>
      <c r="B32" s="12">
        <f>IFERROR(B29-C29,"controlla le celle gialle del foglio 1")</f>
        <v>38430.841939365084</v>
      </c>
    </row>
    <row r="33" spans="1:11">
      <c r="A33" s="5" t="s">
        <v>92</v>
      </c>
      <c r="B33" s="14">
        <f>IFERROR(B27/C27,"controlla le celle gialle del foglio 1")</f>
        <v>1.685430354277317</v>
      </c>
    </row>
    <row r="34" spans="1:11" ht="45" customHeight="1">
      <c r="A34" s="32" t="s">
        <v>93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6" spans="1:11">
      <c r="A36" s="33" t="s">
        <v>94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 spans="1:11" ht="32.1" customHeight="1">
      <c r="A37" s="11" t="s">
        <v>95</v>
      </c>
      <c r="B37" s="11" t="s">
        <v>96</v>
      </c>
      <c r="C37" s="11" t="s">
        <v>97</v>
      </c>
      <c r="D37" s="11" t="s">
        <v>98</v>
      </c>
      <c r="E37" s="11" t="s">
        <v>99</v>
      </c>
      <c r="F37" s="11" t="s">
        <v>100</v>
      </c>
      <c r="G37" s="11" t="s">
        <v>101</v>
      </c>
      <c r="H37" s="11" t="s">
        <v>102</v>
      </c>
    </row>
    <row r="38" spans="1:11">
      <c r="A38" s="15">
        <f>IFERROR(IF(OR(NOT($B$83),0&gt;$B$7),"",0),"controlla le celle gialle del foglio 1")</f>
        <v>0</v>
      </c>
      <c r="B38" s="12">
        <f>IFERROR(IF($A38="","",$B$92),"controlla le celle gialle del foglio 1")</f>
        <v>50000</v>
      </c>
      <c r="C38" s="12">
        <f>IFERROR(IF($A38="","",$C$92),"controlla le celle gialle del foglio 1")</f>
        <v>50000</v>
      </c>
      <c r="D38" s="12">
        <f>IFERROR(IF($A38="","",$D$92),"controlla le celle gialle del foglio 1")</f>
        <v>50000</v>
      </c>
      <c r="E38" s="13">
        <f t="shared" ref="E38:E78" si="0">IFERROR(IF($A38="","",D38-C38),"controlla le celle gialle del foglio 1")</f>
        <v>0</v>
      </c>
      <c r="F38" s="12">
        <f>IFERROR(IF($A38="","",$H$92),"controlla le celle gialle del foglio 1")</f>
        <v>50000</v>
      </c>
      <c r="G38" s="12">
        <f>IFERROR(IF($A38="","",$J$92),"controlla le celle gialle del foglio 1")</f>
        <v>50000</v>
      </c>
      <c r="H38" s="13">
        <f t="shared" ref="H38:H78" si="1">IFERROR(IF($A38="","",G38-F38),"controlla le celle gialle del foglio 1")</f>
        <v>0</v>
      </c>
    </row>
    <row r="39" spans="1:11">
      <c r="A39" s="15">
        <f>IFERROR(IF(OR(NOT($B$83),1&gt;$B$7),"",1),"controlla le celle gialle del foglio 1")</f>
        <v>1</v>
      </c>
      <c r="B39" s="12">
        <f>IFERROR(IF($A39="","",$B$93),"controlla le celle gialle del foglio 1")</f>
        <v>50000</v>
      </c>
      <c r="C39" s="12">
        <f>IFERROR(IF($A39="","",$C$93),"controlla le celle gialle del foglio 1")</f>
        <v>52400</v>
      </c>
      <c r="D39" s="12">
        <f>IFERROR(IF($A39="","",$D$93),"controlla le celle gialle del foglio 1")</f>
        <v>51050.000000000007</v>
      </c>
      <c r="E39" s="13">
        <f t="shared" si="0"/>
        <v>-1349.9999999999927</v>
      </c>
      <c r="F39" s="12">
        <f>IFERROR(IF($A39="","",$H$93),"controlla le celle gialle del foglio 1")</f>
        <v>51776</v>
      </c>
      <c r="G39" s="12">
        <f>IFERROR(IF($A39="","",$J$93),"controlla le celle gialle del foglio 1")</f>
        <v>50021.460000000006</v>
      </c>
      <c r="H39" s="13">
        <f t="shared" si="1"/>
        <v>-1754.5399999999936</v>
      </c>
    </row>
    <row r="40" spans="1:11">
      <c r="A40" s="15">
        <f>IFERROR(IF(OR(NOT($B$83),2&gt;$B$7),"",2),"controlla le celle gialle del foglio 1")</f>
        <v>2</v>
      </c>
      <c r="B40" s="12">
        <f>IFERROR(IF($A40="","",$B$94),"controlla le celle gialle del foglio 1")</f>
        <v>50000</v>
      </c>
      <c r="C40" s="12">
        <f>IFERROR(IF($A40="","",$C$94),"controlla le celle gialle del foglio 1")</f>
        <v>54915.200000000004</v>
      </c>
      <c r="D40" s="12">
        <f>IFERROR(IF($A40="","",$D$94),"controlla le celle gialle del foglio 1")</f>
        <v>52122.050000000017</v>
      </c>
      <c r="E40" s="13">
        <f t="shared" si="0"/>
        <v>-2793.1499999999869</v>
      </c>
      <c r="F40" s="12">
        <f>IFERROR(IF($A40="","",$H$94),"controlla le celle gialle del foglio 1")</f>
        <v>53637.248000000007</v>
      </c>
      <c r="G40" s="12">
        <f>IFERROR(IF($A40="","",$J$94),"controlla le celle gialle del foglio 1")</f>
        <v>50991.762245000013</v>
      </c>
      <c r="H40" s="13">
        <f t="shared" si="1"/>
        <v>-2645.4857549999942</v>
      </c>
    </row>
    <row r="41" spans="1:11">
      <c r="A41" s="15">
        <f>IFERROR(IF(OR(NOT($B$83),3&gt;$B$7),"",3),"controlla le celle gialle del foglio 1")</f>
        <v>3</v>
      </c>
      <c r="B41" s="12">
        <f>IFERROR(IF($A41="","",$B$95),"controlla le celle gialle del foglio 1")</f>
        <v>50000</v>
      </c>
      <c r="C41" s="12">
        <f>IFERROR(IF($A41="","",$C$95),"controlla le celle gialle del foglio 1")</f>
        <v>57551.129600000007</v>
      </c>
      <c r="D41" s="12">
        <f>IFERROR(IF($A41="","",$D$95),"controlla le celle gialle del foglio 1")</f>
        <v>53216.613050000022</v>
      </c>
      <c r="E41" s="13">
        <f t="shared" si="0"/>
        <v>-4334.5165499999857</v>
      </c>
      <c r="F41" s="12">
        <f>IFERROR(IF($A41="","",$H$95),"controlla le celle gialle del foglio 1")</f>
        <v>55587.835904000007</v>
      </c>
      <c r="G41" s="12">
        <f>IFERROR(IF($A41="","",$J$95),"controlla le celle gialle del foglio 1")</f>
        <v>52380.293657000017</v>
      </c>
      <c r="H41" s="13">
        <f t="shared" si="1"/>
        <v>-3207.5422469999903</v>
      </c>
    </row>
    <row r="42" spans="1:11">
      <c r="A42" s="15">
        <f>IFERROR(IF(OR(NOT($B$83),4&gt;$B$7),"",4),"controlla le celle gialle del foglio 1")</f>
        <v>4</v>
      </c>
      <c r="B42" s="12">
        <f>IFERROR(IF($A42="","",$B$96),"controlla le celle gialle del foglio 1")</f>
        <v>50000</v>
      </c>
      <c r="C42" s="12">
        <f>IFERROR(IF($A42="","",$C$96),"controlla le celle gialle del foglio 1")</f>
        <v>60313.583820800013</v>
      </c>
      <c r="D42" s="12">
        <f>IFERROR(IF($A42="","",$D$96),"controlla le celle gialle del foglio 1")</f>
        <v>54334.161924050029</v>
      </c>
      <c r="E42" s="13">
        <f t="shared" si="0"/>
        <v>-5979.4218967499837</v>
      </c>
      <c r="F42" s="12">
        <f>IFERROR(IF($A42="","",$H$96),"controlla le celle gialle del foglio 1")</f>
        <v>57632.052027392012</v>
      </c>
      <c r="G42" s="12">
        <f>IFERROR(IF($A42="","",$J$96),"controlla le celle gialle del foglio 1")</f>
        <v>53207.27982379702</v>
      </c>
      <c r="H42" s="13">
        <f t="shared" si="1"/>
        <v>-4424.7722035949919</v>
      </c>
    </row>
    <row r="43" spans="1:11">
      <c r="A43" s="15">
        <f>IFERROR(IF(OR(NOT($B$83),5&gt;$B$7),"",5),"controlla le celle gialle del foglio 1")</f>
        <v>5</v>
      </c>
      <c r="B43" s="12">
        <f>IFERROR(IF($A43="","",$B$97),"controlla le celle gialle del foglio 1")</f>
        <v>50000</v>
      </c>
      <c r="C43" s="12">
        <f>IFERROR(IF($A43="","",$C$97),"controlla le celle gialle del foglio 1")</f>
        <v>63208.635844198419</v>
      </c>
      <c r="D43" s="12">
        <f>IFERROR(IF($A43="","",$D$97),"controlla le celle gialle del foglio 1")</f>
        <v>55475.179324455086</v>
      </c>
      <c r="E43" s="13">
        <f t="shared" si="0"/>
        <v>-7733.456519743333</v>
      </c>
      <c r="F43" s="12">
        <f>IFERROR(IF($A43="","",$H$97),"controlla le celle gialle del foglio 1")</f>
        <v>59774.390524706832</v>
      </c>
      <c r="G43" s="12">
        <f>IFERROR(IF($A43="","",$J$97),"controlla le celle gialle del foglio 1")</f>
        <v>54051.632700096765</v>
      </c>
      <c r="H43" s="13">
        <f t="shared" si="1"/>
        <v>-5722.7578246100675</v>
      </c>
    </row>
    <row r="44" spans="1:11">
      <c r="A44" s="15">
        <f>IFERROR(IF(OR(NOT($B$83),6&gt;$B$7),"",6),"controlla le celle gialle del foglio 1")</f>
        <v>6</v>
      </c>
      <c r="B44" s="12">
        <f>IFERROR(IF($A44="","",$B$98),"controlla le celle gialle del foglio 1")</f>
        <v>50000</v>
      </c>
      <c r="C44" s="12">
        <f>IFERROR(IF($A44="","",$C$98),"controlla le celle gialle del foglio 1")</f>
        <v>66242.650364719942</v>
      </c>
      <c r="D44" s="12">
        <f>IFERROR(IF($A44="","",$D$98),"controlla le celle gialle del foglio 1")</f>
        <v>56640.158090268647</v>
      </c>
      <c r="E44" s="13">
        <f t="shared" si="0"/>
        <v>-9602.4922744512951</v>
      </c>
      <c r="F44" s="12">
        <f>IFERROR(IF($A44="","",$H$98),"controlla le celle gialle del foglio 1")</f>
        <v>62019.561269892758</v>
      </c>
      <c r="G44" s="12">
        <f>IFERROR(IF($A44="","",$J$98),"controlla le celle gialle del foglio 1")</f>
        <v>54913.716986798798</v>
      </c>
      <c r="H44" s="13">
        <f t="shared" si="1"/>
        <v>-7105.8442830939603</v>
      </c>
    </row>
    <row r="45" spans="1:11">
      <c r="A45" s="15">
        <f>IFERROR(IF(OR(NOT($B$83),7&gt;$B$7),"",7),"controlla le celle gialle del foglio 1")</f>
        <v>7</v>
      </c>
      <c r="B45" s="12">
        <f>IFERROR(IF($A45="","",$B$99),"controlla le celle gialle del foglio 1")</f>
        <v>50000</v>
      </c>
      <c r="C45" s="12">
        <f>IFERROR(IF($A45="","",$C$99),"controlla le celle gialle del foglio 1")</f>
        <v>69422.2975822265</v>
      </c>
      <c r="D45" s="12">
        <f>IFERROR(IF($A45="","",$D$99),"controlla le celle gialle del foglio 1")</f>
        <v>57829.601410164294</v>
      </c>
      <c r="E45" s="13">
        <f t="shared" si="0"/>
        <v>-11592.696172062206</v>
      </c>
      <c r="F45" s="12">
        <f>IFERROR(IF($A45="","",$H$99),"controlla le celle gialle del foglio 1")</f>
        <v>64372.500210847611</v>
      </c>
      <c r="G45" s="12">
        <f>IFERROR(IF($A45="","",$J$99),"controlla le celle gialle del foglio 1")</f>
        <v>55793.905043521576</v>
      </c>
      <c r="H45" s="13">
        <f t="shared" si="1"/>
        <v>-8578.5951673260352</v>
      </c>
    </row>
    <row r="46" spans="1:11">
      <c r="A46" s="15">
        <f>IFERROR(IF(OR(NOT($B$83),8&gt;$B$7),"",8),"controlla le celle gialle del foglio 1")</f>
        <v>8</v>
      </c>
      <c r="B46" s="12">
        <f>IFERROR(IF($A46="","",$B$100),"controlla le celle gialle del foglio 1")</f>
        <v>50000</v>
      </c>
      <c r="C46" s="12">
        <f>IFERROR(IF($A46="","",$C$100),"controlla le celle gialle del foglio 1")</f>
        <v>72754.567866173369</v>
      </c>
      <c r="D46" s="12">
        <f>IFERROR(IF($A46="","",$D$100),"controlla le celle gialle del foglio 1")</f>
        <v>59044.023039777749</v>
      </c>
      <c r="E46" s="13">
        <f t="shared" si="0"/>
        <v>-13710.54482639562</v>
      </c>
      <c r="F46" s="12">
        <f>IFERROR(IF($A46="","",$H$100),"controlla le celle gialle del foglio 1")</f>
        <v>66838.380220968291</v>
      </c>
      <c r="G46" s="12">
        <f>IFERROR(IF($A46="","",$J$100),"controlla le celle gialle del foglio 1")</f>
        <v>56692.577049435531</v>
      </c>
      <c r="H46" s="13">
        <f t="shared" si="1"/>
        <v>-10145.80317153276</v>
      </c>
    </row>
    <row r="47" spans="1:11">
      <c r="A47" s="15">
        <f>IFERROR(IF(OR(NOT($B$83),9&gt;$B$7),"",9),"controlla le celle gialle del foglio 1")</f>
        <v>9</v>
      </c>
      <c r="B47" s="12">
        <f>IFERROR(IF($A47="","",$B$101),"controlla le celle gialle del foglio 1")</f>
        <v>50000</v>
      </c>
      <c r="C47" s="12">
        <f>IFERROR(IF($A47="","",$C$101),"controlla le celle gialle del foglio 1")</f>
        <v>76246.787123749687</v>
      </c>
      <c r="D47" s="12">
        <f>IFERROR(IF($A47="","",$D$101),"controlla le celle gialle del foglio 1")</f>
        <v>60283.947523613089</v>
      </c>
      <c r="E47" s="13">
        <f t="shared" si="0"/>
        <v>-15962.839600136598</v>
      </c>
      <c r="F47" s="12">
        <f>IFERROR(IF($A47="","",$H$101),"controlla le celle gialle del foglio 1")</f>
        <v>69422.622471574767</v>
      </c>
      <c r="G47" s="12">
        <f>IFERROR(IF($A47="","",$J$101),"controlla le celle gialle del foglio 1")</f>
        <v>57610.121167473684</v>
      </c>
      <c r="H47" s="13">
        <f t="shared" si="1"/>
        <v>-11812.501304101082</v>
      </c>
    </row>
    <row r="48" spans="1:11">
      <c r="A48" s="15">
        <f>IFERROR(IF(OR(NOT($B$83),10&gt;$B$7),"",10),"controlla le celle gialle del foglio 1")</f>
        <v>10</v>
      </c>
      <c r="B48" s="12">
        <f>IFERROR(IF($A48="","",$B$102),"controlla le celle gialle del foglio 1")</f>
        <v>50000</v>
      </c>
      <c r="C48" s="12">
        <f>IFERROR(IF($A48="","",$C$102),"controlla le celle gialle del foglio 1")</f>
        <v>79906.632905689679</v>
      </c>
      <c r="D48" s="12">
        <f>IFERROR(IF($A48="","",$D$102),"controlla le celle gialle del foglio 1")</f>
        <v>61549.910421608969</v>
      </c>
      <c r="E48" s="13">
        <f t="shared" si="0"/>
        <v>-18356.72248408071</v>
      </c>
      <c r="F48" s="12">
        <f>IFERROR(IF($A48="","",$H$102),"controlla le celle gialle del foglio 1")</f>
        <v>72130.90835021036</v>
      </c>
      <c r="G48" s="12">
        <f>IFERROR(IF($A48="","",$J$102),"controlla le celle gialle del foglio 1")</f>
        <v>58546.933711990634</v>
      </c>
      <c r="H48" s="13">
        <f t="shared" si="1"/>
        <v>-13583.974638219726</v>
      </c>
    </row>
    <row r="49" spans="1:8">
      <c r="A49" s="15">
        <f>IFERROR(IF(OR(NOT($B$83),11&gt;$B$7),"",11),"controlla le celle gialle del foglio 1")</f>
        <v>11</v>
      </c>
      <c r="B49" s="12">
        <f>IFERROR(IF($A49="","",$B$103),"controlla le celle gialle del foglio 1")</f>
        <v>50000</v>
      </c>
      <c r="C49" s="12">
        <f>IFERROR(IF($A49="","",$C$103),"controlla le celle gialle del foglio 1")</f>
        <v>83742.151285162792</v>
      </c>
      <c r="D49" s="12">
        <f>IFERROR(IF($A49="","",$D$103),"controlla le celle gialle del foglio 1")</f>
        <v>62842.458540462765</v>
      </c>
      <c r="E49" s="13">
        <f t="shared" si="0"/>
        <v>-20899.692744700027</v>
      </c>
      <c r="F49" s="12">
        <f>IFERROR(IF($A49="","",$H$103),"controlla le celle gialle del foglio 1")</f>
        <v>74969.191951020461</v>
      </c>
      <c r="G49" s="12">
        <f>IFERROR(IF($A49="","",$J$103),"controlla le celle gialle del foglio 1")</f>
        <v>59503.419319942448</v>
      </c>
      <c r="H49" s="13">
        <f t="shared" si="1"/>
        <v>-15465.772631078013</v>
      </c>
    </row>
    <row r="50" spans="1:8">
      <c r="A50" s="15">
        <f>IFERROR(IF(OR(NOT($B$83),12&gt;$B$7),"",12),"controlla le celle gialle del foglio 1")</f>
        <v>12</v>
      </c>
      <c r="B50" s="12">
        <f>IFERROR(IF($A50="","",$B$104),"controlla le celle gialle del foglio 1")</f>
        <v>50000</v>
      </c>
      <c r="C50" s="12">
        <f>IFERROR(IF($A50="","",$C$104),"controlla le celle gialle del foglio 1")</f>
        <v>87761.774546850604</v>
      </c>
      <c r="D50" s="12">
        <f>IFERROR(IF($A50="","",$D$104),"controlla le celle gialle del foglio 1")</f>
        <v>64162.150169812492</v>
      </c>
      <c r="E50" s="13">
        <f t="shared" si="0"/>
        <v>-23599.624377038112</v>
      </c>
      <c r="F50" s="12">
        <f>IFERROR(IF($A50="","",$H$104),"controlla le celle gialle del foglio 1")</f>
        <v>77943.713164669447</v>
      </c>
      <c r="G50" s="12">
        <f>IFERROR(IF($A50="","",$J$104),"controlla le celle gialle del foglio 1")</f>
        <v>60479.991125661247</v>
      </c>
      <c r="H50" s="13">
        <f t="shared" si="1"/>
        <v>-17463.7220390082</v>
      </c>
    </row>
    <row r="51" spans="1:8">
      <c r="A51" s="15">
        <f>IFERROR(IF(OR(NOT($B$83),13&gt;$B$7),"",13),"controlla le celle gialle del foglio 1")</f>
        <v>13</v>
      </c>
      <c r="B51" s="12">
        <f>IFERROR(IF($A51="","",$B$105),"controlla le celle gialle del foglio 1")</f>
        <v>50000</v>
      </c>
      <c r="C51" s="12">
        <f>IFERROR(IF($A51="","",$C$105),"controlla le celle gialle del foglio 1")</f>
        <v>91974.339725099431</v>
      </c>
      <c r="D51" s="12">
        <f>IFERROR(IF($A51="","",$D$105),"controlla le celle gialle del foglio 1")</f>
        <v>65509.555323378561</v>
      </c>
      <c r="E51" s="13">
        <f t="shared" si="0"/>
        <v>-26464.78440172087</v>
      </c>
      <c r="F51" s="12">
        <f>IFERROR(IF($A51="","",$H$105),"controlla le celle gialle del foglio 1")</f>
        <v>81061.01139657358</v>
      </c>
      <c r="G51" s="12">
        <f>IFERROR(IF($A51="","",$J$105),"controlla le celle gialle del foglio 1")</f>
        <v>61477.070939300138</v>
      </c>
      <c r="H51" s="13">
        <f t="shared" si="1"/>
        <v>-19583.940457273442</v>
      </c>
    </row>
    <row r="52" spans="1:8">
      <c r="A52" s="15">
        <f>IFERROR(IF(OR(NOT($B$83),14&gt;$B$7),"",14),"controlla le celle gialle del foglio 1")</f>
        <v>14</v>
      </c>
      <c r="B52" s="12">
        <f>IFERROR(IF($A52="","",$B$106),"controlla le celle gialle del foglio 1")</f>
        <v>50000</v>
      </c>
      <c r="C52" s="12">
        <f>IFERROR(IF($A52="","",$C$106),"controlla le celle gialle del foglio 1")</f>
        <v>96389.108031904208</v>
      </c>
      <c r="D52" s="12">
        <f>IFERROR(IF($A52="","",$D$106),"controlla le celle gialle del foglio 1")</f>
        <v>66885.255985169526</v>
      </c>
      <c r="E52" s="13">
        <f t="shared" si="0"/>
        <v>-29503.852046734683</v>
      </c>
      <c r="F52" s="12">
        <f>IFERROR(IF($A52="","",$H$106),"controlla le celle gialle del foglio 1")</f>
        <v>84327.939943609119</v>
      </c>
      <c r="G52" s="12">
        <f>IFERROR(IF($A52="","",$J$106),"controlla le celle gialle del foglio 1")</f>
        <v>62495.089429025451</v>
      </c>
      <c r="H52" s="13">
        <f t="shared" si="1"/>
        <v>-21832.850514583668</v>
      </c>
    </row>
    <row r="53" spans="1:8">
      <c r="A53" s="15">
        <f>IFERROR(IF(OR(NOT($B$83),15&gt;$B$7),"",15),"controlla le celle gialle del foglio 1")</f>
        <v>15</v>
      </c>
      <c r="B53" s="12">
        <f>IFERROR(IF($A53="","",$B$107),"controlla le celle gialle del foglio 1")</f>
        <v>50000</v>
      </c>
      <c r="C53" s="12">
        <f>IFERROR(IF($A53="","",$C$107),"controlla le celle gialle del foglio 1")</f>
        <v>101015.78521743561</v>
      </c>
      <c r="D53" s="12">
        <f>IFERROR(IF($A53="","",$D$107),"controlla le celle gialle del foglio 1")</f>
        <v>68289.846360858093</v>
      </c>
      <c r="E53" s="13">
        <f t="shared" si="0"/>
        <v>-32725.938856577515</v>
      </c>
      <c r="F53" s="12">
        <f>IFERROR(IF($A53="","",$H$107),"controlla le celle gialle del foglio 1")</f>
        <v>87751.681060902352</v>
      </c>
      <c r="G53" s="12">
        <f>IFERROR(IF($A53="","",$J$107),"controlla le celle gialle del foglio 1")</f>
        <v>63534.486307034989</v>
      </c>
      <c r="H53" s="13">
        <f t="shared" si="1"/>
        <v>-24217.194753867363</v>
      </c>
    </row>
    <row r="54" spans="1:8">
      <c r="A54" s="15">
        <f>IFERROR(IF(OR(NOT($B$83),16&gt;$B$7),"",16),"controlla le celle gialle del foglio 1")</f>
        <v>16</v>
      </c>
      <c r="B54" s="12">
        <f>IFERROR(IF($A54="","",$B$108),"controlla le celle gialle del foglio 1")</f>
        <v>50000</v>
      </c>
      <c r="C54" s="12">
        <f>IFERROR(IF($A54="","",$C$108),"controlla le celle gialle del foglio 1")</f>
        <v>105864.54290787253</v>
      </c>
      <c r="D54" s="12">
        <f>IFERROR(IF($A54="","",$D$108),"controlla le celle gialle del foglio 1")</f>
        <v>69723.933134436127</v>
      </c>
      <c r="E54" s="13">
        <f t="shared" si="0"/>
        <v>-36140.609773436401</v>
      </c>
      <c r="F54" s="12">
        <f>IFERROR(IF($A54="","",$H$108),"controlla le celle gialle del foglio 1")</f>
        <v>91339.761751825674</v>
      </c>
      <c r="G54" s="12">
        <f>IFERROR(IF($A54="","",$J$108),"controlla le celle gialle del foglio 1")</f>
        <v>64595.710519482731</v>
      </c>
      <c r="H54" s="13">
        <f t="shared" si="1"/>
        <v>-26744.051232342943</v>
      </c>
    </row>
    <row r="55" spans="1:8">
      <c r="A55" s="15">
        <f>IFERROR(IF(OR(NOT($B$83),17&gt;$B$7),"",17),"controlla le celle gialle del foglio 1")</f>
        <v>17</v>
      </c>
      <c r="B55" s="12">
        <f>IFERROR(IF($A55="","",$B$109),"controlla le celle gialle del foglio 1")</f>
        <v>50000</v>
      </c>
      <c r="C55" s="12">
        <f>IFERROR(IF($A55="","",$C$109),"controlla le celle gialle del foglio 1")</f>
        <v>110946.04096745042</v>
      </c>
      <c r="D55" s="12">
        <f>IFERROR(IF($A55="","",$D$109),"controlla le celle gialle del foglio 1")</f>
        <v>71188.135730259295</v>
      </c>
      <c r="E55" s="13">
        <f t="shared" si="0"/>
        <v>-39757.905237191124</v>
      </c>
      <c r="F55" s="12">
        <f>IFERROR(IF($A55="","",$H$109),"controlla le celle gialle del foglio 1")</f>
        <v>95100.070315913312</v>
      </c>
      <c r="G55" s="12">
        <f>IFERROR(IF($A55="","",$J$109),"controlla le celle gialle del foglio 1")</f>
        <v>65679.220440391873</v>
      </c>
      <c r="H55" s="13">
        <f t="shared" si="1"/>
        <v>-29420.849875521439</v>
      </c>
    </row>
    <row r="56" spans="1:8">
      <c r="A56" s="15">
        <f>IFERROR(IF(OR(NOT($B$83),18&gt;$B$7),"",18),"controlla le celle gialle del foglio 1")</f>
        <v>18</v>
      </c>
      <c r="B56" s="12">
        <f>IFERROR(IF($A56="","",$B$110),"controlla le celle gialle del foglio 1")</f>
        <v>50000</v>
      </c>
      <c r="C56" s="12">
        <f>IFERROR(IF($A56="","",$C$110),"controlla le celle gialle del foglio 1")</f>
        <v>116271.45093388805</v>
      </c>
      <c r="D56" s="12">
        <f>IFERROR(IF($A56="","",$D$110),"controlla le celle gialle del foglio 1")</f>
        <v>72683.086580594754</v>
      </c>
      <c r="E56" s="13">
        <f t="shared" si="0"/>
        <v>-43588.364353293291</v>
      </c>
      <c r="F56" s="12">
        <f>IFERROR(IF($A56="","",$H$110),"controlla le celle gialle del foglio 1")</f>
        <v>99040.873691077155</v>
      </c>
      <c r="G56" s="12">
        <f>IFERROR(IF($A56="","",$J$110),"controlla le celle gialle del foglio 1")</f>
        <v>66785.484069640122</v>
      </c>
      <c r="H56" s="13">
        <f t="shared" si="1"/>
        <v>-32255.389621437032</v>
      </c>
    </row>
    <row r="57" spans="1:8">
      <c r="A57" s="15">
        <f>IFERROR(IF(OR(NOT($B$83),19&gt;$B$7),"",19),"controlla le celle gialle del foglio 1")</f>
        <v>19</v>
      </c>
      <c r="B57" s="12">
        <f>IFERROR(IF($A57="","",$B$111),"controlla le celle gialle del foglio 1")</f>
        <v>50000</v>
      </c>
      <c r="C57" s="12">
        <f>IFERROR(IF($A57="","",$C$111),"controlla le celle gialle del foglio 1")</f>
        <v>121852.48057871468</v>
      </c>
      <c r="D57" s="12">
        <f>IFERROR(IF($A57="","",$D$111),"controlla le celle gialle del foglio 1")</f>
        <v>74209.431398787259</v>
      </c>
      <c r="E57" s="13">
        <f t="shared" si="0"/>
        <v>-47643.049179927417</v>
      </c>
      <c r="F57" s="12">
        <f>IFERROR(IF($A57="","",$H$111),"controlla le celle gialle del foglio 1")</f>
        <v>103170.83562824887</v>
      </c>
      <c r="G57" s="12">
        <f>IFERROR(IF($A57="","",$J$111),"controlla le celle gialle del foglio 1")</f>
        <v>67914.979235102568</v>
      </c>
      <c r="H57" s="13">
        <f t="shared" si="1"/>
        <v>-35255.8563931463</v>
      </c>
    </row>
    <row r="58" spans="1:8">
      <c r="A58" s="15">
        <f>IFERROR(IF(OR(NOT($B$83),20&gt;$B$7),"",20),"controlla le celle gialle del foglio 1")</f>
        <v>20</v>
      </c>
      <c r="B58" s="12">
        <f>IFERROR(IF($A58="","",$B$112),"controlla le celle gialle del foglio 1")</f>
        <v>50000</v>
      </c>
      <c r="C58" s="12">
        <f>IFERROR(IF($A58="","",$C$112),"controlla le celle gialle del foglio 1")</f>
        <v>127701.39964649298</v>
      </c>
      <c r="D58" s="12">
        <f>IFERROR(IF($A58="","",$D$112),"controlla le celle gialle del foglio 1")</f>
        <v>75767.829458161796</v>
      </c>
      <c r="E58" s="13">
        <f t="shared" si="0"/>
        <v>-51933.570188331185</v>
      </c>
      <c r="F58" s="12">
        <f>IFERROR(IF($A58="","",$H$112),"controlla le celle gialle del foglio 1")</f>
        <v>107499.03573840481</v>
      </c>
      <c r="G58" s="12">
        <f>IFERROR(IF($A58="","",$J$112),"controlla le celle gialle del foglio 1")</f>
        <v>69068.193799039727</v>
      </c>
      <c r="H58" s="13">
        <f t="shared" si="1"/>
        <v>-38430.841939365084</v>
      </c>
    </row>
    <row r="59" spans="1:8">
      <c r="A59" s="15" t="str">
        <f>IFERROR(IF(OR(NOT($B$83),21&gt;$B$7),"",21),"controlla le celle gialle del foglio 1")</f>
        <v/>
      </c>
      <c r="B59" s="12" t="str">
        <f>IFERROR(IF($A59="","",$B$113),"controlla le celle gialle del foglio 1")</f>
        <v/>
      </c>
      <c r="C59" s="12" t="str">
        <f>IFERROR(IF($A59="","",$C$113),"controlla le celle gialle del foglio 1")</f>
        <v/>
      </c>
      <c r="D59" s="12" t="str">
        <f>IFERROR(IF($A59="","",$D$113),"controlla le celle gialle del foglio 1")</f>
        <v/>
      </c>
      <c r="E59" s="13" t="str">
        <f t="shared" si="0"/>
        <v/>
      </c>
      <c r="F59" s="12" t="str">
        <f>IFERROR(IF($A59="","",$H$113),"controlla le celle gialle del foglio 1")</f>
        <v/>
      </c>
      <c r="G59" s="12" t="str">
        <f>IFERROR(IF($A59="","",$J$113),"controlla le celle gialle del foglio 1")</f>
        <v/>
      </c>
      <c r="H59" s="13" t="str">
        <f t="shared" si="1"/>
        <v/>
      </c>
    </row>
    <row r="60" spans="1:8">
      <c r="A60" s="15" t="str">
        <f>IFERROR(IF(OR(NOT($B$83),22&gt;$B$7),"",22),"controlla le celle gialle del foglio 1")</f>
        <v/>
      </c>
      <c r="B60" s="12" t="str">
        <f>IFERROR(IF($A60="","",$B$114),"controlla le celle gialle del foglio 1")</f>
        <v/>
      </c>
      <c r="C60" s="12" t="str">
        <f>IFERROR(IF($A60="","",$C$114),"controlla le celle gialle del foglio 1")</f>
        <v/>
      </c>
      <c r="D60" s="12" t="str">
        <f>IFERROR(IF($A60="","",$D$114),"controlla le celle gialle del foglio 1")</f>
        <v/>
      </c>
      <c r="E60" s="13" t="str">
        <f t="shared" si="0"/>
        <v/>
      </c>
      <c r="F60" s="12" t="str">
        <f>IFERROR(IF($A60="","",$H$114),"controlla le celle gialle del foglio 1")</f>
        <v/>
      </c>
      <c r="G60" s="12" t="str">
        <f>IFERROR(IF($A60="","",$J$114),"controlla le celle gialle del foglio 1")</f>
        <v/>
      </c>
      <c r="H60" s="13" t="str">
        <f t="shared" si="1"/>
        <v/>
      </c>
    </row>
    <row r="61" spans="1:8">
      <c r="A61" s="15" t="str">
        <f>IFERROR(IF(OR(NOT($B$83),23&gt;$B$7),"",23),"controlla le celle gialle del foglio 1")</f>
        <v/>
      </c>
      <c r="B61" s="12" t="str">
        <f>IFERROR(IF($A61="","",$B$115),"controlla le celle gialle del foglio 1")</f>
        <v/>
      </c>
      <c r="C61" s="12" t="str">
        <f>IFERROR(IF($A61="","",$C$115),"controlla le celle gialle del foglio 1")</f>
        <v/>
      </c>
      <c r="D61" s="12" t="str">
        <f>IFERROR(IF($A61="","",$D$115),"controlla le celle gialle del foglio 1")</f>
        <v/>
      </c>
      <c r="E61" s="13" t="str">
        <f t="shared" si="0"/>
        <v/>
      </c>
      <c r="F61" s="12" t="str">
        <f>IFERROR(IF($A61="","",$H$115),"controlla le celle gialle del foglio 1")</f>
        <v/>
      </c>
      <c r="G61" s="12" t="str">
        <f>IFERROR(IF($A61="","",$J$115),"controlla le celle gialle del foglio 1")</f>
        <v/>
      </c>
      <c r="H61" s="13" t="str">
        <f t="shared" si="1"/>
        <v/>
      </c>
    </row>
    <row r="62" spans="1:8">
      <c r="A62" s="15" t="str">
        <f>IFERROR(IF(OR(NOT($B$83),24&gt;$B$7),"",24),"controlla le celle gialle del foglio 1")</f>
        <v/>
      </c>
      <c r="B62" s="12" t="str">
        <f>IFERROR(IF($A62="","",$B$116),"controlla le celle gialle del foglio 1")</f>
        <v/>
      </c>
      <c r="C62" s="12" t="str">
        <f>IFERROR(IF($A62="","",$C$116),"controlla le celle gialle del foglio 1")</f>
        <v/>
      </c>
      <c r="D62" s="12" t="str">
        <f>IFERROR(IF($A62="","",$D$116),"controlla le celle gialle del foglio 1")</f>
        <v/>
      </c>
      <c r="E62" s="13" t="str">
        <f t="shared" si="0"/>
        <v/>
      </c>
      <c r="F62" s="12" t="str">
        <f>IFERROR(IF($A62="","",$H$116),"controlla le celle gialle del foglio 1")</f>
        <v/>
      </c>
      <c r="G62" s="12" t="str">
        <f>IFERROR(IF($A62="","",$J$116),"controlla le celle gialle del foglio 1")</f>
        <v/>
      </c>
      <c r="H62" s="13" t="str">
        <f t="shared" si="1"/>
        <v/>
      </c>
    </row>
    <row r="63" spans="1:8">
      <c r="A63" s="15" t="str">
        <f>IFERROR(IF(OR(NOT($B$83),25&gt;$B$7),"",25),"controlla le celle gialle del foglio 1")</f>
        <v/>
      </c>
      <c r="B63" s="12" t="str">
        <f>IFERROR(IF($A63="","",$B$117),"controlla le celle gialle del foglio 1")</f>
        <v/>
      </c>
      <c r="C63" s="12" t="str">
        <f>IFERROR(IF($A63="","",$C$117),"controlla le celle gialle del foglio 1")</f>
        <v/>
      </c>
      <c r="D63" s="12" t="str">
        <f>IFERROR(IF($A63="","",$D$117),"controlla le celle gialle del foglio 1")</f>
        <v/>
      </c>
      <c r="E63" s="13" t="str">
        <f t="shared" si="0"/>
        <v/>
      </c>
      <c r="F63" s="12" t="str">
        <f>IFERROR(IF($A63="","",$H$117),"controlla le celle gialle del foglio 1")</f>
        <v/>
      </c>
      <c r="G63" s="12" t="str">
        <f>IFERROR(IF($A63="","",$J$117),"controlla le celle gialle del foglio 1")</f>
        <v/>
      </c>
      <c r="H63" s="13" t="str">
        <f t="shared" si="1"/>
        <v/>
      </c>
    </row>
    <row r="64" spans="1:8">
      <c r="A64" s="15" t="str">
        <f>IFERROR(IF(OR(NOT($B$83),26&gt;$B$7),"",26),"controlla le celle gialle del foglio 1")</f>
        <v/>
      </c>
      <c r="B64" s="12" t="str">
        <f>IFERROR(IF($A64="","",$B$118),"controlla le celle gialle del foglio 1")</f>
        <v/>
      </c>
      <c r="C64" s="12" t="str">
        <f>IFERROR(IF($A64="","",$C$118),"controlla le celle gialle del foglio 1")</f>
        <v/>
      </c>
      <c r="D64" s="12" t="str">
        <f>IFERROR(IF($A64="","",$D$118),"controlla le celle gialle del foglio 1")</f>
        <v/>
      </c>
      <c r="E64" s="13" t="str">
        <f t="shared" si="0"/>
        <v/>
      </c>
      <c r="F64" s="12" t="str">
        <f>IFERROR(IF($A64="","",$H$118),"controlla le celle gialle del foglio 1")</f>
        <v/>
      </c>
      <c r="G64" s="12" t="str">
        <f>IFERROR(IF($A64="","",$J$118),"controlla le celle gialle del foglio 1")</f>
        <v/>
      </c>
      <c r="H64" s="13" t="str">
        <f t="shared" si="1"/>
        <v/>
      </c>
    </row>
    <row r="65" spans="1:8">
      <c r="A65" s="15" t="str">
        <f>IFERROR(IF(OR(NOT($B$83),27&gt;$B$7),"",27),"controlla le celle gialle del foglio 1")</f>
        <v/>
      </c>
      <c r="B65" s="12" t="str">
        <f>IFERROR(IF($A65="","",$B$119),"controlla le celle gialle del foglio 1")</f>
        <v/>
      </c>
      <c r="C65" s="12" t="str">
        <f>IFERROR(IF($A65="","",$C$119),"controlla le celle gialle del foglio 1")</f>
        <v/>
      </c>
      <c r="D65" s="12" t="str">
        <f>IFERROR(IF($A65="","",$D$119),"controlla le celle gialle del foglio 1")</f>
        <v/>
      </c>
      <c r="E65" s="13" t="str">
        <f t="shared" si="0"/>
        <v/>
      </c>
      <c r="F65" s="12" t="str">
        <f>IFERROR(IF($A65="","",$H$119),"controlla le celle gialle del foglio 1")</f>
        <v/>
      </c>
      <c r="G65" s="12" t="str">
        <f>IFERROR(IF($A65="","",$J$119),"controlla le celle gialle del foglio 1")</f>
        <v/>
      </c>
      <c r="H65" s="13" t="str">
        <f t="shared" si="1"/>
        <v/>
      </c>
    </row>
    <row r="66" spans="1:8">
      <c r="A66" s="15" t="str">
        <f>IFERROR(IF(OR(NOT($B$83),28&gt;$B$7),"",28),"controlla le celle gialle del foglio 1")</f>
        <v/>
      </c>
      <c r="B66" s="12" t="str">
        <f>IFERROR(IF($A66="","",$B$120),"controlla le celle gialle del foglio 1")</f>
        <v/>
      </c>
      <c r="C66" s="12" t="str">
        <f>IFERROR(IF($A66="","",$C$120),"controlla le celle gialle del foglio 1")</f>
        <v/>
      </c>
      <c r="D66" s="12" t="str">
        <f>IFERROR(IF($A66="","",$D$120),"controlla le celle gialle del foglio 1")</f>
        <v/>
      </c>
      <c r="E66" s="13" t="str">
        <f t="shared" si="0"/>
        <v/>
      </c>
      <c r="F66" s="12" t="str">
        <f>IFERROR(IF($A66="","",$H$120),"controlla le celle gialle del foglio 1")</f>
        <v/>
      </c>
      <c r="G66" s="12" t="str">
        <f>IFERROR(IF($A66="","",$J$120),"controlla le celle gialle del foglio 1")</f>
        <v/>
      </c>
      <c r="H66" s="13" t="str">
        <f t="shared" si="1"/>
        <v/>
      </c>
    </row>
    <row r="67" spans="1:8">
      <c r="A67" s="15" t="str">
        <f>IFERROR(IF(OR(NOT($B$83),29&gt;$B$7),"",29),"controlla le celle gialle del foglio 1")</f>
        <v/>
      </c>
      <c r="B67" s="12" t="str">
        <f>IFERROR(IF($A67="","",$B$121),"controlla le celle gialle del foglio 1")</f>
        <v/>
      </c>
      <c r="C67" s="12" t="str">
        <f>IFERROR(IF($A67="","",$C$121),"controlla le celle gialle del foglio 1")</f>
        <v/>
      </c>
      <c r="D67" s="12" t="str">
        <f>IFERROR(IF($A67="","",$D$121),"controlla le celle gialle del foglio 1")</f>
        <v/>
      </c>
      <c r="E67" s="13" t="str">
        <f t="shared" si="0"/>
        <v/>
      </c>
      <c r="F67" s="12" t="str">
        <f>IFERROR(IF($A67="","",$H$121),"controlla le celle gialle del foglio 1")</f>
        <v/>
      </c>
      <c r="G67" s="12" t="str">
        <f>IFERROR(IF($A67="","",$J$121),"controlla le celle gialle del foglio 1")</f>
        <v/>
      </c>
      <c r="H67" s="13" t="str">
        <f t="shared" si="1"/>
        <v/>
      </c>
    </row>
    <row r="68" spans="1:8">
      <c r="A68" s="15" t="str">
        <f>IFERROR(IF(OR(NOT($B$83),30&gt;$B$7),"",30),"controlla le celle gialle del foglio 1")</f>
        <v/>
      </c>
      <c r="B68" s="12" t="str">
        <f>IFERROR(IF($A68="","",$B$122),"controlla le celle gialle del foglio 1")</f>
        <v/>
      </c>
      <c r="C68" s="12" t="str">
        <f>IFERROR(IF($A68="","",$C$122),"controlla le celle gialle del foglio 1")</f>
        <v/>
      </c>
      <c r="D68" s="12" t="str">
        <f>IFERROR(IF($A68="","",$D$122),"controlla le celle gialle del foglio 1")</f>
        <v/>
      </c>
      <c r="E68" s="13" t="str">
        <f t="shared" si="0"/>
        <v/>
      </c>
      <c r="F68" s="12" t="str">
        <f>IFERROR(IF($A68="","",$H$122),"controlla le celle gialle del foglio 1")</f>
        <v/>
      </c>
      <c r="G68" s="12" t="str">
        <f>IFERROR(IF($A68="","",$J$122),"controlla le celle gialle del foglio 1")</f>
        <v/>
      </c>
      <c r="H68" s="13" t="str">
        <f t="shared" si="1"/>
        <v/>
      </c>
    </row>
    <row r="69" spans="1:8">
      <c r="A69" s="15" t="str">
        <f>IFERROR(IF(OR(NOT($B$83),31&gt;$B$7),"",31),"controlla le celle gialle del foglio 1")</f>
        <v/>
      </c>
      <c r="B69" s="12" t="str">
        <f>IFERROR(IF($A69="","",$B$123),"controlla le celle gialle del foglio 1")</f>
        <v/>
      </c>
      <c r="C69" s="12" t="str">
        <f>IFERROR(IF($A69="","",$C$123),"controlla le celle gialle del foglio 1")</f>
        <v/>
      </c>
      <c r="D69" s="12" t="str">
        <f>IFERROR(IF($A69="","",$D$123),"controlla le celle gialle del foglio 1")</f>
        <v/>
      </c>
      <c r="E69" s="13" t="str">
        <f t="shared" si="0"/>
        <v/>
      </c>
      <c r="F69" s="12" t="str">
        <f>IFERROR(IF($A69="","",$H$123),"controlla le celle gialle del foglio 1")</f>
        <v/>
      </c>
      <c r="G69" s="12" t="str">
        <f>IFERROR(IF($A69="","",$J$123),"controlla le celle gialle del foglio 1")</f>
        <v/>
      </c>
      <c r="H69" s="13" t="str">
        <f t="shared" si="1"/>
        <v/>
      </c>
    </row>
    <row r="70" spans="1:8">
      <c r="A70" s="15" t="str">
        <f>IFERROR(IF(OR(NOT($B$83),32&gt;$B$7),"",32),"controlla le celle gialle del foglio 1")</f>
        <v/>
      </c>
      <c r="B70" s="12" t="str">
        <f>IFERROR(IF($A70="","",$B$124),"controlla le celle gialle del foglio 1")</f>
        <v/>
      </c>
      <c r="C70" s="12" t="str">
        <f>IFERROR(IF($A70="","",$C$124),"controlla le celle gialle del foglio 1")</f>
        <v/>
      </c>
      <c r="D70" s="12" t="str">
        <f>IFERROR(IF($A70="","",$D$124),"controlla le celle gialle del foglio 1")</f>
        <v/>
      </c>
      <c r="E70" s="13" t="str">
        <f t="shared" si="0"/>
        <v/>
      </c>
      <c r="F70" s="12" t="str">
        <f>IFERROR(IF($A70="","",$H$124),"controlla le celle gialle del foglio 1")</f>
        <v/>
      </c>
      <c r="G70" s="12" t="str">
        <f>IFERROR(IF($A70="","",$J$124),"controlla le celle gialle del foglio 1")</f>
        <v/>
      </c>
      <c r="H70" s="13" t="str">
        <f t="shared" si="1"/>
        <v/>
      </c>
    </row>
    <row r="71" spans="1:8">
      <c r="A71" s="15" t="str">
        <f>IFERROR(IF(OR(NOT($B$83),33&gt;$B$7),"",33),"controlla le celle gialle del foglio 1")</f>
        <v/>
      </c>
      <c r="B71" s="12" t="str">
        <f>IFERROR(IF($A71="","",$B$125),"controlla le celle gialle del foglio 1")</f>
        <v/>
      </c>
      <c r="C71" s="12" t="str">
        <f>IFERROR(IF($A71="","",$C$125),"controlla le celle gialle del foglio 1")</f>
        <v/>
      </c>
      <c r="D71" s="12" t="str">
        <f>IFERROR(IF($A71="","",$D$125),"controlla le celle gialle del foglio 1")</f>
        <v/>
      </c>
      <c r="E71" s="13" t="str">
        <f t="shared" si="0"/>
        <v/>
      </c>
      <c r="F71" s="12" t="str">
        <f>IFERROR(IF($A71="","",$H$125),"controlla le celle gialle del foglio 1")</f>
        <v/>
      </c>
      <c r="G71" s="12" t="str">
        <f>IFERROR(IF($A71="","",$J$125),"controlla le celle gialle del foglio 1")</f>
        <v/>
      </c>
      <c r="H71" s="13" t="str">
        <f t="shared" si="1"/>
        <v/>
      </c>
    </row>
    <row r="72" spans="1:8">
      <c r="A72" s="15" t="str">
        <f>IFERROR(IF(OR(NOT($B$83),34&gt;$B$7),"",34),"controlla le celle gialle del foglio 1")</f>
        <v/>
      </c>
      <c r="B72" s="12" t="str">
        <f>IFERROR(IF($A72="","",$B$126),"controlla le celle gialle del foglio 1")</f>
        <v/>
      </c>
      <c r="C72" s="12" t="str">
        <f>IFERROR(IF($A72="","",$C$126),"controlla le celle gialle del foglio 1")</f>
        <v/>
      </c>
      <c r="D72" s="12" t="str">
        <f>IFERROR(IF($A72="","",$D$126),"controlla le celle gialle del foglio 1")</f>
        <v/>
      </c>
      <c r="E72" s="13" t="str">
        <f t="shared" si="0"/>
        <v/>
      </c>
      <c r="F72" s="12" t="str">
        <f>IFERROR(IF($A72="","",$H$126),"controlla le celle gialle del foglio 1")</f>
        <v/>
      </c>
      <c r="G72" s="12" t="str">
        <f>IFERROR(IF($A72="","",$J$126),"controlla le celle gialle del foglio 1")</f>
        <v/>
      </c>
      <c r="H72" s="13" t="str">
        <f t="shared" si="1"/>
        <v/>
      </c>
    </row>
    <row r="73" spans="1:8">
      <c r="A73" s="15" t="str">
        <f>IFERROR(IF(OR(NOT($B$83),35&gt;$B$7),"",35),"controlla le celle gialle del foglio 1")</f>
        <v/>
      </c>
      <c r="B73" s="12" t="str">
        <f>IFERROR(IF($A73="","",$B$127),"controlla le celle gialle del foglio 1")</f>
        <v/>
      </c>
      <c r="C73" s="12" t="str">
        <f>IFERROR(IF($A73="","",$C$127),"controlla le celle gialle del foglio 1")</f>
        <v/>
      </c>
      <c r="D73" s="12" t="str">
        <f>IFERROR(IF($A73="","",$D$127),"controlla le celle gialle del foglio 1")</f>
        <v/>
      </c>
      <c r="E73" s="13" t="str">
        <f t="shared" si="0"/>
        <v/>
      </c>
      <c r="F73" s="12" t="str">
        <f>IFERROR(IF($A73="","",$H$127),"controlla le celle gialle del foglio 1")</f>
        <v/>
      </c>
      <c r="G73" s="12" t="str">
        <f>IFERROR(IF($A73="","",$J$127),"controlla le celle gialle del foglio 1")</f>
        <v/>
      </c>
      <c r="H73" s="13" t="str">
        <f t="shared" si="1"/>
        <v/>
      </c>
    </row>
    <row r="74" spans="1:8">
      <c r="A74" s="15" t="str">
        <f>IFERROR(IF(OR(NOT($B$83),36&gt;$B$7),"",36),"controlla le celle gialle del foglio 1")</f>
        <v/>
      </c>
      <c r="B74" s="12" t="str">
        <f>IFERROR(IF($A74="","",$B$128),"controlla le celle gialle del foglio 1")</f>
        <v/>
      </c>
      <c r="C74" s="12" t="str">
        <f>IFERROR(IF($A74="","",$C$128),"controlla le celle gialle del foglio 1")</f>
        <v/>
      </c>
      <c r="D74" s="12" t="str">
        <f>IFERROR(IF($A74="","",$D$128),"controlla le celle gialle del foglio 1")</f>
        <v/>
      </c>
      <c r="E74" s="13" t="str">
        <f t="shared" si="0"/>
        <v/>
      </c>
      <c r="F74" s="12" t="str">
        <f>IFERROR(IF($A74="","",$H$128),"controlla le celle gialle del foglio 1")</f>
        <v/>
      </c>
      <c r="G74" s="12" t="str">
        <f>IFERROR(IF($A74="","",$J$128),"controlla le celle gialle del foglio 1")</f>
        <v/>
      </c>
      <c r="H74" s="13" t="str">
        <f t="shared" si="1"/>
        <v/>
      </c>
    </row>
    <row r="75" spans="1:8">
      <c r="A75" s="15" t="str">
        <f>IFERROR(IF(OR(NOT($B$83),37&gt;$B$7),"",37),"controlla le celle gialle del foglio 1")</f>
        <v/>
      </c>
      <c r="B75" s="12" t="str">
        <f>IFERROR(IF($A75="","",$B$129),"controlla le celle gialle del foglio 1")</f>
        <v/>
      </c>
      <c r="C75" s="12" t="str">
        <f>IFERROR(IF($A75="","",$C$129),"controlla le celle gialle del foglio 1")</f>
        <v/>
      </c>
      <c r="D75" s="12" t="str">
        <f>IFERROR(IF($A75="","",$D$129),"controlla le celle gialle del foglio 1")</f>
        <v/>
      </c>
      <c r="E75" s="13" t="str">
        <f t="shared" si="0"/>
        <v/>
      </c>
      <c r="F75" s="12" t="str">
        <f>IFERROR(IF($A75="","",$H$129),"controlla le celle gialle del foglio 1")</f>
        <v/>
      </c>
      <c r="G75" s="12" t="str">
        <f>IFERROR(IF($A75="","",$J$129),"controlla le celle gialle del foglio 1")</f>
        <v/>
      </c>
      <c r="H75" s="13" t="str">
        <f t="shared" si="1"/>
        <v/>
      </c>
    </row>
    <row r="76" spans="1:8">
      <c r="A76" s="15" t="str">
        <f>IFERROR(IF(OR(NOT($B$83),38&gt;$B$7),"",38),"controlla le celle gialle del foglio 1")</f>
        <v/>
      </c>
      <c r="B76" s="12" t="str">
        <f>IFERROR(IF($A76="","",$B$130),"controlla le celle gialle del foglio 1")</f>
        <v/>
      </c>
      <c r="C76" s="12" t="str">
        <f>IFERROR(IF($A76="","",$C$130),"controlla le celle gialle del foglio 1")</f>
        <v/>
      </c>
      <c r="D76" s="12" t="str">
        <f>IFERROR(IF($A76="","",$D$130),"controlla le celle gialle del foglio 1")</f>
        <v/>
      </c>
      <c r="E76" s="13" t="str">
        <f t="shared" si="0"/>
        <v/>
      </c>
      <c r="F76" s="12" t="str">
        <f>IFERROR(IF($A76="","",$H$130),"controlla le celle gialle del foglio 1")</f>
        <v/>
      </c>
      <c r="G76" s="12" t="str">
        <f>IFERROR(IF($A76="","",$J$130),"controlla le celle gialle del foglio 1")</f>
        <v/>
      </c>
      <c r="H76" s="13" t="str">
        <f t="shared" si="1"/>
        <v/>
      </c>
    </row>
    <row r="77" spans="1:8">
      <c r="A77" s="15" t="str">
        <f>IFERROR(IF(OR(NOT($B$83),39&gt;$B$7),"",39),"controlla le celle gialle del foglio 1")</f>
        <v/>
      </c>
      <c r="B77" s="12" t="str">
        <f>IFERROR(IF($A77="","",$B$131),"controlla le celle gialle del foglio 1")</f>
        <v/>
      </c>
      <c r="C77" s="12" t="str">
        <f>IFERROR(IF($A77="","",$C$131),"controlla le celle gialle del foglio 1")</f>
        <v/>
      </c>
      <c r="D77" s="12" t="str">
        <f>IFERROR(IF($A77="","",$D$131),"controlla le celle gialle del foglio 1")</f>
        <v/>
      </c>
      <c r="E77" s="13" t="str">
        <f t="shared" si="0"/>
        <v/>
      </c>
      <c r="F77" s="12" t="str">
        <f>IFERROR(IF($A77="","",$H$131),"controlla le celle gialle del foglio 1")</f>
        <v/>
      </c>
      <c r="G77" s="12" t="str">
        <f>IFERROR(IF($A77="","",$J$131),"controlla le celle gialle del foglio 1")</f>
        <v/>
      </c>
      <c r="H77" s="13" t="str">
        <f t="shared" si="1"/>
        <v/>
      </c>
    </row>
    <row r="78" spans="1:8">
      <c r="A78" s="15" t="str">
        <f>IFERROR(IF(OR(NOT($B$83),40&gt;$B$7),"",40),"controlla le celle gialle del foglio 1")</f>
        <v/>
      </c>
      <c r="B78" s="12" t="str">
        <f>IFERROR(IF($A78="","",$B$132),"controlla le celle gialle del foglio 1")</f>
        <v/>
      </c>
      <c r="C78" s="12" t="str">
        <f>IFERROR(IF($A78="","",$C$132),"controlla le celle gialle del foglio 1")</f>
        <v/>
      </c>
      <c r="D78" s="12" t="str">
        <f>IFERROR(IF($A78="","",$D$132),"controlla le celle gialle del foglio 1")</f>
        <v/>
      </c>
      <c r="E78" s="13" t="str">
        <f t="shared" si="0"/>
        <v/>
      </c>
      <c r="F78" s="12" t="str">
        <f>IFERROR(IF($A78="","",$H$132),"controlla le celle gialle del foglio 1")</f>
        <v/>
      </c>
      <c r="G78" s="12" t="str">
        <f>IFERROR(IF($A78="","",$J$132),"controlla le celle gialle del foglio 1")</f>
        <v/>
      </c>
      <c r="H78" s="13" t="str">
        <f t="shared" si="1"/>
        <v/>
      </c>
    </row>
    <row r="81" spans="1:11">
      <c r="A81" s="33" t="s">
        <v>103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</row>
    <row r="82" spans="1:11" ht="15" customHeight="1">
      <c r="A82" s="32" t="s">
        <v>104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>
      <c r="A83" s="5" t="s">
        <v>105</v>
      </c>
      <c r="B83" s="16" t="b">
        <f>IFERROR(AND(ISNUMBER(B5),B5&gt;=0,ISNUMBER(B6),B6&gt;=0,ISNUMBER(B7),B7&gt;=1,B7&lt;=40,INT(B7)=B7,ISNUMBER(B8),B8&gt;-0.5,B8&lt;0.5,ISNUMBER(B9),B9&gt;=0,B9&lt;0.5,ISNUMBER(B10),B10&gt;=0,B10&lt;0.5,ISNUMBER(B11),B11&gt;=0,B11&lt;=1,ISNUMBER(B12),B12&gt;=0,B12&lt;=1,ISNUMBER(B13),B13&gt;=0,B13&lt;=1,ISNUMBER(B14),B14&gt;=0,B14&lt;=1,ISNUMBER(B15),B15&gt;=0,B15&lt;0.1,OR(B16="sì",B16="no"),OR(B17="sì",B17="no"),COUNTIF($B$21:$K$21,"&lt;0")=0,COUNTIF($B$21:$K$21,"&gt;=1")=0,B5+B6&gt;0),FALSE)</f>
        <v>1</v>
      </c>
    </row>
    <row r="84" spans="1:11">
      <c r="A84" s="5" t="s">
        <v>106</v>
      </c>
      <c r="B84" s="17">
        <f>B11*(1-B14)+B12*B14</f>
        <v>0.26</v>
      </c>
    </row>
    <row r="85" spans="1:11">
      <c r="A85" s="5" t="s">
        <v>107</v>
      </c>
      <c r="B85" s="17">
        <f>B11*(1-B13)+B12*B13</f>
        <v>0.26</v>
      </c>
    </row>
    <row r="86" spans="1:11">
      <c r="A86" s="5" t="s">
        <v>108</v>
      </c>
      <c r="B86" s="17">
        <f>IF(B16="sì",B15,0)</f>
        <v>0</v>
      </c>
    </row>
    <row r="87" spans="1:11">
      <c r="A87" s="5" t="s">
        <v>109</v>
      </c>
      <c r="B87" s="17">
        <f>IF(AND(B16="sì",B17="sì"),B15,0)</f>
        <v>0</v>
      </c>
    </row>
    <row r="88" spans="1:11">
      <c r="A88" s="5" t="s">
        <v>110</v>
      </c>
      <c r="B88" s="18">
        <f>(1+B8-B10)*(1-$B$86)</f>
        <v>1.048</v>
      </c>
    </row>
    <row r="89" spans="1:11">
      <c r="A89" s="5" t="s">
        <v>111</v>
      </c>
      <c r="B89" s="18">
        <f>(1+B8-B9)*(1-$B$87)</f>
        <v>1.0210000000000001</v>
      </c>
    </row>
    <row r="91" spans="1:11" ht="32.1" customHeight="1">
      <c r="A91" s="11" t="s">
        <v>95</v>
      </c>
      <c r="B91" s="11" t="s">
        <v>96</v>
      </c>
      <c r="C91" s="11" t="s">
        <v>82</v>
      </c>
      <c r="D91" s="11" t="s">
        <v>83</v>
      </c>
      <c r="E91" s="11" t="s">
        <v>112</v>
      </c>
      <c r="F91" s="11" t="s">
        <v>113</v>
      </c>
      <c r="G91" s="11" t="s">
        <v>114</v>
      </c>
      <c r="H91" s="11" t="s">
        <v>115</v>
      </c>
      <c r="I91" s="11" t="s">
        <v>116</v>
      </c>
      <c r="J91" s="11" t="s">
        <v>117</v>
      </c>
    </row>
    <row r="92" spans="1:11">
      <c r="A92" s="15">
        <v>0</v>
      </c>
      <c r="B92" s="12">
        <f>$B$5</f>
        <v>50000</v>
      </c>
      <c r="C92" s="12">
        <f>$B$5</f>
        <v>50000</v>
      </c>
      <c r="D92" s="12">
        <f>$B$5</f>
        <v>50000</v>
      </c>
      <c r="E92" s="17">
        <v>0</v>
      </c>
      <c r="F92" s="12">
        <f t="shared" ref="F92:F132" si="2">D92*(1-E92)</f>
        <v>50000</v>
      </c>
      <c r="G92" s="12">
        <f t="shared" ref="G92:G132" si="3">MAX(0,C92-B92)*$B$84</f>
        <v>0</v>
      </c>
      <c r="H92" s="12">
        <f t="shared" ref="H92:H132" si="4">C92-G92</f>
        <v>50000</v>
      </c>
      <c r="I92" s="12">
        <f t="shared" ref="I92:I132" si="5">MAX(0,F92-B92)*$B$85</f>
        <v>0</v>
      </c>
      <c r="J92" s="12">
        <f t="shared" ref="J92:J132" si="6">F92-I92</f>
        <v>50000</v>
      </c>
    </row>
    <row r="93" spans="1:11">
      <c r="A93" s="15">
        <v>1</v>
      </c>
      <c r="B93" s="12">
        <f t="shared" ref="B93:B132" si="7">B92+$B$6</f>
        <v>50000</v>
      </c>
      <c r="C93" s="12">
        <f t="shared" ref="C93:C132" si="8">C92*$B$88+$B$6</f>
        <v>52400</v>
      </c>
      <c r="D93" s="12">
        <f t="shared" ref="D93:D132" si="9">D92*$B$89+$B$6</f>
        <v>51050.000000000007</v>
      </c>
      <c r="E93" s="17">
        <f>N(INDEX($B$21:$K$21,1))</f>
        <v>0.02</v>
      </c>
      <c r="F93" s="12">
        <f t="shared" si="2"/>
        <v>50029.000000000007</v>
      </c>
      <c r="G93" s="12">
        <f t="shared" si="3"/>
        <v>624</v>
      </c>
      <c r="H93" s="12">
        <f t="shared" si="4"/>
        <v>51776</v>
      </c>
      <c r="I93" s="12">
        <f t="shared" si="5"/>
        <v>7.5400000000018919</v>
      </c>
      <c r="J93" s="12">
        <f t="shared" si="6"/>
        <v>50021.460000000006</v>
      </c>
    </row>
    <row r="94" spans="1:11">
      <c r="A94" s="15">
        <v>2</v>
      </c>
      <c r="B94" s="12">
        <f t="shared" si="7"/>
        <v>50000</v>
      </c>
      <c r="C94" s="12">
        <f t="shared" si="8"/>
        <v>54915.200000000004</v>
      </c>
      <c r="D94" s="12">
        <f t="shared" si="9"/>
        <v>52122.050000000017</v>
      </c>
      <c r="E94" s="17">
        <f>N(INDEX($B$21:$K$21,2))</f>
        <v>1.4999999999999999E-2</v>
      </c>
      <c r="F94" s="12">
        <f t="shared" si="2"/>
        <v>51340.219250000016</v>
      </c>
      <c r="G94" s="12">
        <f t="shared" si="3"/>
        <v>1277.9520000000011</v>
      </c>
      <c r="H94" s="12">
        <f t="shared" si="4"/>
        <v>53637.248000000007</v>
      </c>
      <c r="I94" s="12">
        <f t="shared" si="5"/>
        <v>348.4570050000043</v>
      </c>
      <c r="J94" s="12">
        <f t="shared" si="6"/>
        <v>50991.762245000013</v>
      </c>
    </row>
    <row r="95" spans="1:11">
      <c r="A95" s="15">
        <v>3</v>
      </c>
      <c r="B95" s="12">
        <f t="shared" si="7"/>
        <v>50000</v>
      </c>
      <c r="C95" s="12">
        <f t="shared" si="8"/>
        <v>57551.129600000007</v>
      </c>
      <c r="D95" s="12">
        <f t="shared" si="9"/>
        <v>53216.613050000022</v>
      </c>
      <c r="E95" s="17">
        <f>N(INDEX($B$21:$K$21,3))</f>
        <v>0</v>
      </c>
      <c r="F95" s="12">
        <f t="shared" si="2"/>
        <v>53216.613050000022</v>
      </c>
      <c r="G95" s="12">
        <f t="shared" si="3"/>
        <v>1963.293696000002</v>
      </c>
      <c r="H95" s="12">
        <f t="shared" si="4"/>
        <v>55587.835904000007</v>
      </c>
      <c r="I95" s="12">
        <f t="shared" si="5"/>
        <v>836.31939300000568</v>
      </c>
      <c r="J95" s="12">
        <f t="shared" si="6"/>
        <v>52380.293657000017</v>
      </c>
    </row>
    <row r="96" spans="1:11">
      <c r="A96" s="15">
        <v>4</v>
      </c>
      <c r="B96" s="12">
        <f t="shared" si="7"/>
        <v>50000</v>
      </c>
      <c r="C96" s="12">
        <f t="shared" si="8"/>
        <v>60313.583820800013</v>
      </c>
      <c r="D96" s="12">
        <f t="shared" si="9"/>
        <v>54334.161924050029</v>
      </c>
      <c r="E96" s="17">
        <f>N(INDEX($B$21:$K$21,4))</f>
        <v>0</v>
      </c>
      <c r="F96" s="12">
        <f t="shared" si="2"/>
        <v>54334.161924050029</v>
      </c>
      <c r="G96" s="12">
        <f t="shared" si="3"/>
        <v>2681.5317934080035</v>
      </c>
      <c r="H96" s="12">
        <f t="shared" si="4"/>
        <v>57632.052027392012</v>
      </c>
      <c r="I96" s="12">
        <f t="shared" si="5"/>
        <v>1126.8821002530076</v>
      </c>
      <c r="J96" s="12">
        <f t="shared" si="6"/>
        <v>53207.27982379702</v>
      </c>
    </row>
    <row r="97" spans="1:10">
      <c r="A97" s="15">
        <v>5</v>
      </c>
      <c r="B97" s="12">
        <f t="shared" si="7"/>
        <v>50000</v>
      </c>
      <c r="C97" s="12">
        <f t="shared" si="8"/>
        <v>63208.635844198419</v>
      </c>
      <c r="D97" s="12">
        <f t="shared" si="9"/>
        <v>55475.179324455086</v>
      </c>
      <c r="E97" s="17">
        <f>N(INDEX($B$21:$K$21,5))</f>
        <v>0</v>
      </c>
      <c r="F97" s="12">
        <f t="shared" si="2"/>
        <v>55475.179324455086</v>
      </c>
      <c r="G97" s="12">
        <f t="shared" si="3"/>
        <v>3434.2453194915893</v>
      </c>
      <c r="H97" s="12">
        <f t="shared" si="4"/>
        <v>59774.390524706832</v>
      </c>
      <c r="I97" s="12">
        <f t="shared" si="5"/>
        <v>1423.5466243583226</v>
      </c>
      <c r="J97" s="12">
        <f t="shared" si="6"/>
        <v>54051.632700096765</v>
      </c>
    </row>
    <row r="98" spans="1:10">
      <c r="A98" s="15">
        <v>6</v>
      </c>
      <c r="B98" s="12">
        <f t="shared" si="7"/>
        <v>50000</v>
      </c>
      <c r="C98" s="12">
        <f t="shared" si="8"/>
        <v>66242.650364719942</v>
      </c>
      <c r="D98" s="12">
        <f t="shared" si="9"/>
        <v>56640.158090268647</v>
      </c>
      <c r="E98" s="17">
        <f>N(INDEX($B$21:$K$21,6))</f>
        <v>0</v>
      </c>
      <c r="F98" s="12">
        <f t="shared" si="2"/>
        <v>56640.158090268647</v>
      </c>
      <c r="G98" s="12">
        <f t="shared" si="3"/>
        <v>4223.0890948271854</v>
      </c>
      <c r="H98" s="12">
        <f t="shared" si="4"/>
        <v>62019.561269892758</v>
      </c>
      <c r="I98" s="12">
        <f t="shared" si="5"/>
        <v>1726.4411034698483</v>
      </c>
      <c r="J98" s="12">
        <f t="shared" si="6"/>
        <v>54913.716986798798</v>
      </c>
    </row>
    <row r="99" spans="1:10">
      <c r="A99" s="15">
        <v>7</v>
      </c>
      <c r="B99" s="12">
        <f t="shared" si="7"/>
        <v>50000</v>
      </c>
      <c r="C99" s="12">
        <f t="shared" si="8"/>
        <v>69422.2975822265</v>
      </c>
      <c r="D99" s="12">
        <f t="shared" si="9"/>
        <v>57829.601410164294</v>
      </c>
      <c r="E99" s="17">
        <f>N(INDEX($B$21:$K$21,7))</f>
        <v>0</v>
      </c>
      <c r="F99" s="12">
        <f t="shared" si="2"/>
        <v>57829.601410164294</v>
      </c>
      <c r="G99" s="12">
        <f t="shared" si="3"/>
        <v>5049.7973713788897</v>
      </c>
      <c r="H99" s="12">
        <f t="shared" si="4"/>
        <v>64372.500210847611</v>
      </c>
      <c r="I99" s="12">
        <f t="shared" si="5"/>
        <v>2035.6963666427166</v>
      </c>
      <c r="J99" s="12">
        <f t="shared" si="6"/>
        <v>55793.905043521576</v>
      </c>
    </row>
    <row r="100" spans="1:10">
      <c r="A100" s="15">
        <v>8</v>
      </c>
      <c r="B100" s="12">
        <f t="shared" si="7"/>
        <v>50000</v>
      </c>
      <c r="C100" s="12">
        <f t="shared" si="8"/>
        <v>72754.567866173369</v>
      </c>
      <c r="D100" s="12">
        <f t="shared" si="9"/>
        <v>59044.023039777749</v>
      </c>
      <c r="E100" s="17">
        <f>N(INDEX($B$21:$K$21,8))</f>
        <v>0</v>
      </c>
      <c r="F100" s="12">
        <f t="shared" si="2"/>
        <v>59044.023039777749</v>
      </c>
      <c r="G100" s="12">
        <f t="shared" si="3"/>
        <v>5916.1876452050765</v>
      </c>
      <c r="H100" s="12">
        <f t="shared" si="4"/>
        <v>66838.380220968291</v>
      </c>
      <c r="I100" s="12">
        <f t="shared" si="5"/>
        <v>2351.4459903422148</v>
      </c>
      <c r="J100" s="12">
        <f t="shared" si="6"/>
        <v>56692.577049435531</v>
      </c>
    </row>
    <row r="101" spans="1:10">
      <c r="A101" s="15">
        <v>9</v>
      </c>
      <c r="B101" s="12">
        <f t="shared" si="7"/>
        <v>50000</v>
      </c>
      <c r="C101" s="12">
        <f t="shared" si="8"/>
        <v>76246.787123749687</v>
      </c>
      <c r="D101" s="12">
        <f t="shared" si="9"/>
        <v>60283.947523613089</v>
      </c>
      <c r="E101" s="17">
        <f>N(INDEX($B$21:$K$21,9))</f>
        <v>0</v>
      </c>
      <c r="F101" s="12">
        <f t="shared" si="2"/>
        <v>60283.947523613089</v>
      </c>
      <c r="G101" s="12">
        <f t="shared" si="3"/>
        <v>6824.164652174919</v>
      </c>
      <c r="H101" s="12">
        <f t="shared" si="4"/>
        <v>69422.622471574767</v>
      </c>
      <c r="I101" s="12">
        <f t="shared" si="5"/>
        <v>2673.8263561394033</v>
      </c>
      <c r="J101" s="12">
        <f t="shared" si="6"/>
        <v>57610.121167473684</v>
      </c>
    </row>
    <row r="102" spans="1:10">
      <c r="A102" s="15">
        <v>10</v>
      </c>
      <c r="B102" s="12">
        <f t="shared" si="7"/>
        <v>50000</v>
      </c>
      <c r="C102" s="12">
        <f t="shared" si="8"/>
        <v>79906.632905689679</v>
      </c>
      <c r="D102" s="12">
        <f t="shared" si="9"/>
        <v>61549.910421608969</v>
      </c>
      <c r="E102" s="17">
        <f>N(INDEX($B$21:$K$21,10))</f>
        <v>0</v>
      </c>
      <c r="F102" s="12">
        <f t="shared" si="2"/>
        <v>61549.910421608969</v>
      </c>
      <c r="G102" s="12">
        <f t="shared" si="3"/>
        <v>7775.7245554793171</v>
      </c>
      <c r="H102" s="12">
        <f t="shared" si="4"/>
        <v>72130.90835021036</v>
      </c>
      <c r="I102" s="12">
        <f t="shared" si="5"/>
        <v>3002.9767096183323</v>
      </c>
      <c r="J102" s="12">
        <f t="shared" si="6"/>
        <v>58546.933711990634</v>
      </c>
    </row>
    <row r="103" spans="1:10">
      <c r="A103" s="15">
        <v>11</v>
      </c>
      <c r="B103" s="12">
        <f t="shared" si="7"/>
        <v>50000</v>
      </c>
      <c r="C103" s="12">
        <f t="shared" si="8"/>
        <v>83742.151285162792</v>
      </c>
      <c r="D103" s="12">
        <f t="shared" si="9"/>
        <v>62842.458540462765</v>
      </c>
      <c r="E103" s="17">
        <v>0</v>
      </c>
      <c r="F103" s="12">
        <f t="shared" si="2"/>
        <v>62842.458540462765</v>
      </c>
      <c r="G103" s="12">
        <f t="shared" si="3"/>
        <v>8772.959334142326</v>
      </c>
      <c r="H103" s="12">
        <f t="shared" si="4"/>
        <v>74969.191951020461</v>
      </c>
      <c r="I103" s="12">
        <f t="shared" si="5"/>
        <v>3339.0392205203188</v>
      </c>
      <c r="J103" s="12">
        <f t="shared" si="6"/>
        <v>59503.419319942448</v>
      </c>
    </row>
    <row r="104" spans="1:10">
      <c r="A104" s="15">
        <v>12</v>
      </c>
      <c r="B104" s="12">
        <f t="shared" si="7"/>
        <v>50000</v>
      </c>
      <c r="C104" s="12">
        <f t="shared" si="8"/>
        <v>87761.774546850604</v>
      </c>
      <c r="D104" s="12">
        <f t="shared" si="9"/>
        <v>64162.150169812492</v>
      </c>
      <c r="E104" s="17">
        <v>0</v>
      </c>
      <c r="F104" s="12">
        <f t="shared" si="2"/>
        <v>64162.150169812492</v>
      </c>
      <c r="G104" s="12">
        <f t="shared" si="3"/>
        <v>9818.0613821811567</v>
      </c>
      <c r="H104" s="12">
        <f t="shared" si="4"/>
        <v>77943.713164669447</v>
      </c>
      <c r="I104" s="12">
        <f t="shared" si="5"/>
        <v>3682.1590441512481</v>
      </c>
      <c r="J104" s="12">
        <f t="shared" si="6"/>
        <v>60479.991125661247</v>
      </c>
    </row>
    <row r="105" spans="1:10">
      <c r="A105" s="15">
        <v>13</v>
      </c>
      <c r="B105" s="12">
        <f t="shared" si="7"/>
        <v>50000</v>
      </c>
      <c r="C105" s="12">
        <f t="shared" si="8"/>
        <v>91974.339725099431</v>
      </c>
      <c r="D105" s="12">
        <f t="shared" si="9"/>
        <v>65509.555323378561</v>
      </c>
      <c r="E105" s="17">
        <v>0</v>
      </c>
      <c r="F105" s="12">
        <f t="shared" si="2"/>
        <v>65509.555323378561</v>
      </c>
      <c r="G105" s="12">
        <f t="shared" si="3"/>
        <v>10913.328328525853</v>
      </c>
      <c r="H105" s="12">
        <f t="shared" si="4"/>
        <v>81061.01139657358</v>
      </c>
      <c r="I105" s="12">
        <f t="shared" si="5"/>
        <v>4032.484384078426</v>
      </c>
      <c r="J105" s="12">
        <f t="shared" si="6"/>
        <v>61477.070939300138</v>
      </c>
    </row>
    <row r="106" spans="1:10">
      <c r="A106" s="15">
        <v>14</v>
      </c>
      <c r="B106" s="12">
        <f t="shared" si="7"/>
        <v>50000</v>
      </c>
      <c r="C106" s="12">
        <f t="shared" si="8"/>
        <v>96389.108031904208</v>
      </c>
      <c r="D106" s="12">
        <f t="shared" si="9"/>
        <v>66885.255985169526</v>
      </c>
      <c r="E106" s="17">
        <v>0</v>
      </c>
      <c r="F106" s="12">
        <f t="shared" si="2"/>
        <v>66885.255985169526</v>
      </c>
      <c r="G106" s="12">
        <f t="shared" si="3"/>
        <v>12061.168088295095</v>
      </c>
      <c r="H106" s="12">
        <f t="shared" si="4"/>
        <v>84327.939943609119</v>
      </c>
      <c r="I106" s="12">
        <f t="shared" si="5"/>
        <v>4390.1665561440768</v>
      </c>
      <c r="J106" s="12">
        <f t="shared" si="6"/>
        <v>62495.089429025451</v>
      </c>
    </row>
    <row r="107" spans="1:10">
      <c r="A107" s="15">
        <v>15</v>
      </c>
      <c r="B107" s="12">
        <f t="shared" si="7"/>
        <v>50000</v>
      </c>
      <c r="C107" s="12">
        <f t="shared" si="8"/>
        <v>101015.78521743561</v>
      </c>
      <c r="D107" s="12">
        <f t="shared" si="9"/>
        <v>68289.846360858093</v>
      </c>
      <c r="E107" s="17">
        <v>0</v>
      </c>
      <c r="F107" s="12">
        <f t="shared" si="2"/>
        <v>68289.846360858093</v>
      </c>
      <c r="G107" s="12">
        <f t="shared" si="3"/>
        <v>13264.104156533258</v>
      </c>
      <c r="H107" s="12">
        <f t="shared" si="4"/>
        <v>87751.681060902352</v>
      </c>
      <c r="I107" s="12">
        <f t="shared" si="5"/>
        <v>4755.360053823104</v>
      </c>
      <c r="J107" s="12">
        <f t="shared" si="6"/>
        <v>63534.486307034989</v>
      </c>
    </row>
    <row r="108" spans="1:10">
      <c r="A108" s="15">
        <v>16</v>
      </c>
      <c r="B108" s="12">
        <f t="shared" si="7"/>
        <v>50000</v>
      </c>
      <c r="C108" s="12">
        <f t="shared" si="8"/>
        <v>105864.54290787253</v>
      </c>
      <c r="D108" s="12">
        <f t="shared" si="9"/>
        <v>69723.933134436127</v>
      </c>
      <c r="E108" s="17">
        <v>0</v>
      </c>
      <c r="F108" s="12">
        <f t="shared" si="2"/>
        <v>69723.933134436127</v>
      </c>
      <c r="G108" s="12">
        <f t="shared" si="3"/>
        <v>14524.781156046858</v>
      </c>
      <c r="H108" s="12">
        <f t="shared" si="4"/>
        <v>91339.761751825674</v>
      </c>
      <c r="I108" s="12">
        <f t="shared" si="5"/>
        <v>5128.2226149533935</v>
      </c>
      <c r="J108" s="12">
        <f t="shared" si="6"/>
        <v>64595.710519482731</v>
      </c>
    </row>
    <row r="109" spans="1:10">
      <c r="A109" s="15">
        <v>17</v>
      </c>
      <c r="B109" s="12">
        <f t="shared" si="7"/>
        <v>50000</v>
      </c>
      <c r="C109" s="12">
        <f t="shared" si="8"/>
        <v>110946.04096745042</v>
      </c>
      <c r="D109" s="12">
        <f t="shared" si="9"/>
        <v>71188.135730259295</v>
      </c>
      <c r="E109" s="17">
        <v>0</v>
      </c>
      <c r="F109" s="12">
        <f t="shared" si="2"/>
        <v>71188.135730259295</v>
      </c>
      <c r="G109" s="12">
        <f t="shared" si="3"/>
        <v>15845.970651537109</v>
      </c>
      <c r="H109" s="12">
        <f t="shared" si="4"/>
        <v>95100.070315913312</v>
      </c>
      <c r="I109" s="12">
        <f t="shared" si="5"/>
        <v>5508.9152898674165</v>
      </c>
      <c r="J109" s="12">
        <f t="shared" si="6"/>
        <v>65679.220440391873</v>
      </c>
    </row>
    <row r="110" spans="1:10">
      <c r="A110" s="15">
        <v>18</v>
      </c>
      <c r="B110" s="12">
        <f t="shared" si="7"/>
        <v>50000</v>
      </c>
      <c r="C110" s="12">
        <f t="shared" si="8"/>
        <v>116271.45093388805</v>
      </c>
      <c r="D110" s="12">
        <f t="shared" si="9"/>
        <v>72683.086580594754</v>
      </c>
      <c r="E110" s="17">
        <v>0</v>
      </c>
      <c r="F110" s="12">
        <f t="shared" si="2"/>
        <v>72683.086580594754</v>
      </c>
      <c r="G110" s="12">
        <f t="shared" si="3"/>
        <v>17230.577242810894</v>
      </c>
      <c r="H110" s="12">
        <f t="shared" si="4"/>
        <v>99040.873691077155</v>
      </c>
      <c r="I110" s="12">
        <f t="shared" si="5"/>
        <v>5897.6025109546363</v>
      </c>
      <c r="J110" s="12">
        <f t="shared" si="6"/>
        <v>66785.484069640122</v>
      </c>
    </row>
    <row r="111" spans="1:10">
      <c r="A111" s="15">
        <v>19</v>
      </c>
      <c r="B111" s="12">
        <f t="shared" si="7"/>
        <v>50000</v>
      </c>
      <c r="C111" s="12">
        <f t="shared" si="8"/>
        <v>121852.48057871468</v>
      </c>
      <c r="D111" s="12">
        <f t="shared" si="9"/>
        <v>74209.431398787259</v>
      </c>
      <c r="E111" s="17">
        <v>0</v>
      </c>
      <c r="F111" s="12">
        <f t="shared" si="2"/>
        <v>74209.431398787259</v>
      </c>
      <c r="G111" s="12">
        <f t="shared" si="3"/>
        <v>18681.644950465816</v>
      </c>
      <c r="H111" s="12">
        <f t="shared" si="4"/>
        <v>103170.83562824887</v>
      </c>
      <c r="I111" s="12">
        <f t="shared" si="5"/>
        <v>6294.4521636846875</v>
      </c>
      <c r="J111" s="12">
        <f t="shared" si="6"/>
        <v>67914.979235102568</v>
      </c>
    </row>
    <row r="112" spans="1:10">
      <c r="A112" s="15">
        <v>20</v>
      </c>
      <c r="B112" s="12">
        <f t="shared" si="7"/>
        <v>50000</v>
      </c>
      <c r="C112" s="12">
        <f t="shared" si="8"/>
        <v>127701.39964649298</v>
      </c>
      <c r="D112" s="12">
        <f t="shared" si="9"/>
        <v>75767.829458161796</v>
      </c>
      <c r="E112" s="17">
        <v>0</v>
      </c>
      <c r="F112" s="12">
        <f t="shared" si="2"/>
        <v>75767.829458161796</v>
      </c>
      <c r="G112" s="12">
        <f t="shared" si="3"/>
        <v>20202.363908088177</v>
      </c>
      <c r="H112" s="12">
        <f t="shared" si="4"/>
        <v>107499.03573840481</v>
      </c>
      <c r="I112" s="12">
        <f t="shared" si="5"/>
        <v>6699.6356591220674</v>
      </c>
      <c r="J112" s="12">
        <f t="shared" si="6"/>
        <v>69068.193799039727</v>
      </c>
    </row>
    <row r="113" spans="1:10">
      <c r="A113" s="15">
        <v>21</v>
      </c>
      <c r="B113" s="12">
        <f t="shared" si="7"/>
        <v>50000</v>
      </c>
      <c r="C113" s="12">
        <f t="shared" si="8"/>
        <v>133831.06682952464</v>
      </c>
      <c r="D113" s="12">
        <f t="shared" si="9"/>
        <v>77358.953876783198</v>
      </c>
      <c r="E113" s="17">
        <v>0</v>
      </c>
      <c r="F113" s="12">
        <f t="shared" si="2"/>
        <v>77358.953876783198</v>
      </c>
      <c r="G113" s="12">
        <f t="shared" si="3"/>
        <v>21796.077375676407</v>
      </c>
      <c r="H113" s="12">
        <f t="shared" si="4"/>
        <v>112034.98945384823</v>
      </c>
      <c r="I113" s="12">
        <f t="shared" si="5"/>
        <v>7113.3280079636315</v>
      </c>
      <c r="J113" s="12">
        <f t="shared" si="6"/>
        <v>70245.625868819567</v>
      </c>
    </row>
    <row r="114" spans="1:10">
      <c r="A114" s="15">
        <v>22</v>
      </c>
      <c r="B114" s="12">
        <f t="shared" si="7"/>
        <v>50000</v>
      </c>
      <c r="C114" s="12">
        <f t="shared" si="8"/>
        <v>140254.95803734183</v>
      </c>
      <c r="D114" s="12">
        <f t="shared" si="9"/>
        <v>78983.491908195661</v>
      </c>
      <c r="E114" s="17">
        <v>0</v>
      </c>
      <c r="F114" s="12">
        <f t="shared" si="2"/>
        <v>78983.491908195661</v>
      </c>
      <c r="G114" s="12">
        <f t="shared" si="3"/>
        <v>23466.289089708876</v>
      </c>
      <c r="H114" s="12">
        <f t="shared" si="4"/>
        <v>116788.66894763295</v>
      </c>
      <c r="I114" s="12">
        <f t="shared" si="5"/>
        <v>7535.7078961308725</v>
      </c>
      <c r="J114" s="12">
        <f t="shared" si="6"/>
        <v>71447.784012064789</v>
      </c>
    </row>
    <row r="115" spans="1:10">
      <c r="A115" s="15">
        <v>23</v>
      </c>
      <c r="B115" s="12">
        <f t="shared" si="7"/>
        <v>50000</v>
      </c>
      <c r="C115" s="12">
        <f t="shared" si="8"/>
        <v>146987.19602313425</v>
      </c>
      <c r="D115" s="12">
        <f t="shared" si="9"/>
        <v>80642.145238267782</v>
      </c>
      <c r="E115" s="17">
        <v>0</v>
      </c>
      <c r="F115" s="12">
        <f t="shared" si="2"/>
        <v>80642.145238267782</v>
      </c>
      <c r="G115" s="12">
        <f t="shared" si="3"/>
        <v>25216.670966014906</v>
      </c>
      <c r="H115" s="12">
        <f t="shared" si="4"/>
        <v>121770.52505711935</v>
      </c>
      <c r="I115" s="12">
        <f t="shared" si="5"/>
        <v>7966.9577619496231</v>
      </c>
      <c r="J115" s="12">
        <f t="shared" si="6"/>
        <v>72675.187476318155</v>
      </c>
    </row>
    <row r="116" spans="1:10">
      <c r="A116" s="15">
        <v>24</v>
      </c>
      <c r="B116" s="12">
        <f t="shared" si="7"/>
        <v>50000</v>
      </c>
      <c r="C116" s="12">
        <f t="shared" si="8"/>
        <v>154042.58143224471</v>
      </c>
      <c r="D116" s="12">
        <f t="shared" si="9"/>
        <v>82335.630288271423</v>
      </c>
      <c r="E116" s="17">
        <v>0</v>
      </c>
      <c r="F116" s="12">
        <f t="shared" si="2"/>
        <v>82335.630288271423</v>
      </c>
      <c r="G116" s="12">
        <f t="shared" si="3"/>
        <v>27051.071172383625</v>
      </c>
      <c r="H116" s="12">
        <f t="shared" si="4"/>
        <v>126991.51025986108</v>
      </c>
      <c r="I116" s="12">
        <f t="shared" si="5"/>
        <v>8407.2638749505695</v>
      </c>
      <c r="J116" s="12">
        <f t="shared" si="6"/>
        <v>73928.366413320851</v>
      </c>
    </row>
    <row r="117" spans="1:10">
      <c r="A117" s="15">
        <v>25</v>
      </c>
      <c r="B117" s="12">
        <f t="shared" si="7"/>
        <v>50000</v>
      </c>
      <c r="C117" s="12">
        <f t="shared" si="8"/>
        <v>161436.62534099247</v>
      </c>
      <c r="D117" s="12">
        <f t="shared" si="9"/>
        <v>84064.678524325136</v>
      </c>
      <c r="E117" s="17">
        <v>0</v>
      </c>
      <c r="F117" s="12">
        <f t="shared" si="2"/>
        <v>84064.678524325136</v>
      </c>
      <c r="G117" s="12">
        <f t="shared" si="3"/>
        <v>28973.522588658041</v>
      </c>
      <c r="H117" s="12">
        <f t="shared" si="4"/>
        <v>132463.10275233444</v>
      </c>
      <c r="I117" s="12">
        <f t="shared" si="5"/>
        <v>8856.8164163245365</v>
      </c>
      <c r="J117" s="12">
        <f t="shared" si="6"/>
        <v>75207.862108000598</v>
      </c>
    </row>
    <row r="118" spans="1:10">
      <c r="A118" s="15">
        <v>26</v>
      </c>
      <c r="B118" s="12">
        <f t="shared" si="7"/>
        <v>50000</v>
      </c>
      <c r="C118" s="12">
        <f t="shared" si="8"/>
        <v>169185.58335736013</v>
      </c>
      <c r="D118" s="12">
        <f t="shared" si="9"/>
        <v>85830.036773335974</v>
      </c>
      <c r="E118" s="17">
        <v>0</v>
      </c>
      <c r="F118" s="12">
        <f t="shared" si="2"/>
        <v>85830.036773335974</v>
      </c>
      <c r="G118" s="12">
        <f t="shared" si="3"/>
        <v>30988.251672913633</v>
      </c>
      <c r="H118" s="12">
        <f t="shared" si="4"/>
        <v>138197.33168444649</v>
      </c>
      <c r="I118" s="12">
        <f t="shared" si="5"/>
        <v>9315.8095610673536</v>
      </c>
      <c r="J118" s="12">
        <f t="shared" si="6"/>
        <v>76514.227212268626</v>
      </c>
    </row>
    <row r="119" spans="1:10">
      <c r="A119" s="15">
        <v>27</v>
      </c>
      <c r="B119" s="12">
        <f t="shared" si="7"/>
        <v>50000</v>
      </c>
      <c r="C119" s="12">
        <f t="shared" si="8"/>
        <v>177306.49135851342</v>
      </c>
      <c r="D119" s="12">
        <f t="shared" si="9"/>
        <v>87632.467545576044</v>
      </c>
      <c r="E119" s="17">
        <v>0</v>
      </c>
      <c r="F119" s="12">
        <f t="shared" si="2"/>
        <v>87632.467545576044</v>
      </c>
      <c r="G119" s="12">
        <f t="shared" si="3"/>
        <v>33099.687753213489</v>
      </c>
      <c r="H119" s="12">
        <f t="shared" si="4"/>
        <v>144206.80360529994</v>
      </c>
      <c r="I119" s="12">
        <f t="shared" si="5"/>
        <v>9784.4415618497715</v>
      </c>
      <c r="J119" s="12">
        <f t="shared" si="6"/>
        <v>77848.025983726271</v>
      </c>
    </row>
    <row r="120" spans="1:10">
      <c r="A120" s="15">
        <v>28</v>
      </c>
      <c r="B120" s="12">
        <f t="shared" si="7"/>
        <v>50000</v>
      </c>
      <c r="C120" s="12">
        <f t="shared" si="8"/>
        <v>185817.20294372208</v>
      </c>
      <c r="D120" s="12">
        <f t="shared" si="9"/>
        <v>89472.749364033152</v>
      </c>
      <c r="E120" s="17">
        <v>0</v>
      </c>
      <c r="F120" s="12">
        <f t="shared" si="2"/>
        <v>89472.749364033152</v>
      </c>
      <c r="G120" s="12">
        <f t="shared" si="3"/>
        <v>35312.47276536774</v>
      </c>
      <c r="H120" s="12">
        <f t="shared" si="4"/>
        <v>150504.73017835434</v>
      </c>
      <c r="I120" s="12">
        <f t="shared" si="5"/>
        <v>10262.91483464862</v>
      </c>
      <c r="J120" s="12">
        <f t="shared" si="6"/>
        <v>79209.834529384534</v>
      </c>
    </row>
    <row r="121" spans="1:10">
      <c r="A121" s="15">
        <v>29</v>
      </c>
      <c r="B121" s="12">
        <f t="shared" si="7"/>
        <v>50000</v>
      </c>
      <c r="C121" s="12">
        <f t="shared" si="8"/>
        <v>194736.42868502074</v>
      </c>
      <c r="D121" s="12">
        <f t="shared" si="9"/>
        <v>91351.677100677858</v>
      </c>
      <c r="E121" s="17">
        <v>0</v>
      </c>
      <c r="F121" s="12">
        <f t="shared" si="2"/>
        <v>91351.677100677858</v>
      </c>
      <c r="G121" s="12">
        <f t="shared" si="3"/>
        <v>37631.471458105392</v>
      </c>
      <c r="H121" s="12">
        <f t="shared" si="4"/>
        <v>157104.95722691534</v>
      </c>
      <c r="I121" s="12">
        <f t="shared" si="5"/>
        <v>10751.436046176243</v>
      </c>
      <c r="J121" s="12">
        <f t="shared" si="6"/>
        <v>80600.241054501617</v>
      </c>
    </row>
    <row r="122" spans="1:10">
      <c r="A122" s="15">
        <v>30</v>
      </c>
      <c r="B122" s="12">
        <f t="shared" si="7"/>
        <v>50000</v>
      </c>
      <c r="C122" s="12">
        <f t="shared" si="8"/>
        <v>204083.77726190173</v>
      </c>
      <c r="D122" s="12">
        <f t="shared" si="9"/>
        <v>93270.062319792109</v>
      </c>
      <c r="E122" s="17">
        <v>0</v>
      </c>
      <c r="F122" s="12">
        <f t="shared" si="2"/>
        <v>93270.062319792109</v>
      </c>
      <c r="G122" s="12">
        <f t="shared" si="3"/>
        <v>40061.782088094449</v>
      </c>
      <c r="H122" s="12">
        <f t="shared" si="4"/>
        <v>164021.99517380729</v>
      </c>
      <c r="I122" s="12">
        <f t="shared" si="5"/>
        <v>11250.216203145948</v>
      </c>
      <c r="J122" s="12">
        <f t="shared" si="6"/>
        <v>82019.846116646164</v>
      </c>
    </row>
    <row r="123" spans="1:10">
      <c r="A123" s="15">
        <v>31</v>
      </c>
      <c r="B123" s="12">
        <f t="shared" si="7"/>
        <v>50000</v>
      </c>
      <c r="C123" s="12">
        <f t="shared" si="8"/>
        <v>213879.79857047304</v>
      </c>
      <c r="D123" s="12">
        <f t="shared" si="9"/>
        <v>95228.733628507762</v>
      </c>
      <c r="E123" s="17">
        <v>0</v>
      </c>
      <c r="F123" s="12">
        <f t="shared" si="2"/>
        <v>95228.733628507762</v>
      </c>
      <c r="G123" s="12">
        <f t="shared" si="3"/>
        <v>42608.747628322992</v>
      </c>
      <c r="H123" s="12">
        <f t="shared" si="4"/>
        <v>171271.05094215006</v>
      </c>
      <c r="I123" s="12">
        <f t="shared" si="5"/>
        <v>11759.470743412019</v>
      </c>
      <c r="J123" s="12">
        <f t="shared" si="6"/>
        <v>83469.262885095741</v>
      </c>
    </row>
    <row r="124" spans="1:10">
      <c r="A124" s="15">
        <v>32</v>
      </c>
      <c r="B124" s="12">
        <f t="shared" si="7"/>
        <v>50000</v>
      </c>
      <c r="C124" s="12">
        <f t="shared" si="8"/>
        <v>224146.02890185575</v>
      </c>
      <c r="D124" s="12">
        <f t="shared" si="9"/>
        <v>97228.537034706431</v>
      </c>
      <c r="E124" s="17">
        <v>0</v>
      </c>
      <c r="F124" s="12">
        <f t="shared" si="2"/>
        <v>97228.537034706431</v>
      </c>
      <c r="G124" s="12">
        <f t="shared" si="3"/>
        <v>45277.967514482494</v>
      </c>
      <c r="H124" s="12">
        <f t="shared" si="4"/>
        <v>178868.06138737325</v>
      </c>
      <c r="I124" s="12">
        <f t="shared" si="5"/>
        <v>12279.419629023672</v>
      </c>
      <c r="J124" s="12">
        <f t="shared" si="6"/>
        <v>84949.117405682759</v>
      </c>
    </row>
    <row r="125" spans="1:10">
      <c r="A125" s="15">
        <v>33</v>
      </c>
      <c r="B125" s="12">
        <f t="shared" si="7"/>
        <v>50000</v>
      </c>
      <c r="C125" s="12">
        <f t="shared" si="8"/>
        <v>234905.03828914484</v>
      </c>
      <c r="D125" s="12">
        <f t="shared" si="9"/>
        <v>99270.336312435276</v>
      </c>
      <c r="E125" s="17">
        <v>0</v>
      </c>
      <c r="F125" s="12">
        <f t="shared" si="2"/>
        <v>99270.336312435276</v>
      </c>
      <c r="G125" s="12">
        <f t="shared" si="3"/>
        <v>48075.309955177661</v>
      </c>
      <c r="H125" s="12">
        <f t="shared" si="4"/>
        <v>186829.72833396718</v>
      </c>
      <c r="I125" s="12">
        <f t="shared" si="5"/>
        <v>12810.287441233173</v>
      </c>
      <c r="J125" s="12">
        <f t="shared" si="6"/>
        <v>86460.048871202103</v>
      </c>
    </row>
    <row r="126" spans="1:10">
      <c r="A126" s="15">
        <v>34</v>
      </c>
      <c r="B126" s="12">
        <f t="shared" si="7"/>
        <v>50000</v>
      </c>
      <c r="C126" s="12">
        <f t="shared" si="8"/>
        <v>246180.48012702379</v>
      </c>
      <c r="D126" s="12">
        <f t="shared" si="9"/>
        <v>101355.01337499643</v>
      </c>
      <c r="E126" s="17">
        <v>0</v>
      </c>
      <c r="F126" s="12">
        <f t="shared" si="2"/>
        <v>101355.01337499643</v>
      </c>
      <c r="G126" s="12">
        <f t="shared" si="3"/>
        <v>51006.924833026191</v>
      </c>
      <c r="H126" s="12">
        <f t="shared" si="4"/>
        <v>195173.5552939976</v>
      </c>
      <c r="I126" s="12">
        <f t="shared" si="5"/>
        <v>13352.303477499072</v>
      </c>
      <c r="J126" s="12">
        <f t="shared" si="6"/>
        <v>88002.709897497363</v>
      </c>
    </row>
    <row r="127" spans="1:10">
      <c r="A127" s="15">
        <v>35</v>
      </c>
      <c r="B127" s="12">
        <f t="shared" si="7"/>
        <v>50000</v>
      </c>
      <c r="C127" s="12">
        <f t="shared" si="8"/>
        <v>257997.14317312094</v>
      </c>
      <c r="D127" s="12">
        <f t="shared" si="9"/>
        <v>103483.46865587137</v>
      </c>
      <c r="E127" s="17">
        <v>0</v>
      </c>
      <c r="F127" s="12">
        <f t="shared" si="2"/>
        <v>103483.46865587137</v>
      </c>
      <c r="G127" s="12">
        <f t="shared" si="3"/>
        <v>54079.257225011446</v>
      </c>
      <c r="H127" s="12">
        <f t="shared" si="4"/>
        <v>203917.8859481095</v>
      </c>
      <c r="I127" s="12">
        <f t="shared" si="5"/>
        <v>13905.701850526557</v>
      </c>
      <c r="J127" s="12">
        <f t="shared" si="6"/>
        <v>89577.766805344814</v>
      </c>
    </row>
    <row r="128" spans="1:10">
      <c r="A128" s="15">
        <v>36</v>
      </c>
      <c r="B128" s="12">
        <f t="shared" si="7"/>
        <v>50000</v>
      </c>
      <c r="C128" s="12">
        <f t="shared" si="8"/>
        <v>270381.00604543078</v>
      </c>
      <c r="D128" s="12">
        <f t="shared" si="9"/>
        <v>105656.62149764468</v>
      </c>
      <c r="E128" s="17">
        <v>0</v>
      </c>
      <c r="F128" s="12">
        <f t="shared" si="2"/>
        <v>105656.62149764468</v>
      </c>
      <c r="G128" s="12">
        <f t="shared" si="3"/>
        <v>57299.061571812003</v>
      </c>
      <c r="H128" s="12">
        <f t="shared" si="4"/>
        <v>213081.94447361879</v>
      </c>
      <c r="I128" s="12">
        <f t="shared" si="5"/>
        <v>14470.721589387616</v>
      </c>
      <c r="J128" s="12">
        <f t="shared" si="6"/>
        <v>91185.899908257066</v>
      </c>
    </row>
    <row r="129" spans="1:10">
      <c r="A129" s="15">
        <v>37</v>
      </c>
      <c r="B129" s="12">
        <f t="shared" si="7"/>
        <v>50000</v>
      </c>
      <c r="C129" s="12">
        <f t="shared" si="8"/>
        <v>283359.29433561146</v>
      </c>
      <c r="D129" s="12">
        <f t="shared" si="9"/>
        <v>107875.41054909524</v>
      </c>
      <c r="E129" s="17">
        <v>0</v>
      </c>
      <c r="F129" s="12">
        <f t="shared" si="2"/>
        <v>107875.41054909524</v>
      </c>
      <c r="G129" s="12">
        <f t="shared" si="3"/>
        <v>60673.416527258982</v>
      </c>
      <c r="H129" s="12">
        <f t="shared" si="4"/>
        <v>222685.87780835247</v>
      </c>
      <c r="I129" s="12">
        <f t="shared" si="5"/>
        <v>15047.606742764761</v>
      </c>
      <c r="J129" s="12">
        <f t="shared" si="6"/>
        <v>92827.80380633047</v>
      </c>
    </row>
    <row r="130" spans="1:10">
      <c r="A130" s="15">
        <v>38</v>
      </c>
      <c r="B130" s="12">
        <f t="shared" si="7"/>
        <v>50000</v>
      </c>
      <c r="C130" s="12">
        <f t="shared" si="8"/>
        <v>296960.5404637208</v>
      </c>
      <c r="D130" s="12">
        <f t="shared" si="9"/>
        <v>110140.79417062625</v>
      </c>
      <c r="E130" s="17">
        <v>0</v>
      </c>
      <c r="F130" s="12">
        <f t="shared" si="2"/>
        <v>110140.79417062625</v>
      </c>
      <c r="G130" s="12">
        <f t="shared" si="3"/>
        <v>64209.740520567408</v>
      </c>
      <c r="H130" s="12">
        <f t="shared" si="4"/>
        <v>232750.7999431534</v>
      </c>
      <c r="I130" s="12">
        <f t="shared" si="5"/>
        <v>15636.606484362825</v>
      </c>
      <c r="J130" s="12">
        <f t="shared" si="6"/>
        <v>94504.187686263424</v>
      </c>
    </row>
    <row r="131" spans="1:10">
      <c r="A131" s="15">
        <v>39</v>
      </c>
      <c r="B131" s="12">
        <f t="shared" si="7"/>
        <v>50000</v>
      </c>
      <c r="C131" s="12">
        <f t="shared" si="8"/>
        <v>311214.64640597941</v>
      </c>
      <c r="D131" s="12">
        <f t="shared" si="9"/>
        <v>112453.75084820941</v>
      </c>
      <c r="E131" s="17">
        <v>0</v>
      </c>
      <c r="F131" s="12">
        <f t="shared" si="2"/>
        <v>112453.75084820941</v>
      </c>
      <c r="G131" s="12">
        <f t="shared" si="3"/>
        <v>67915.808065554651</v>
      </c>
      <c r="H131" s="12">
        <f t="shared" si="4"/>
        <v>243298.83834042476</v>
      </c>
      <c r="I131" s="12">
        <f t="shared" si="5"/>
        <v>16237.975220534448</v>
      </c>
      <c r="J131" s="12">
        <f t="shared" si="6"/>
        <v>96215.775627674971</v>
      </c>
    </row>
    <row r="132" spans="1:10">
      <c r="A132" s="15">
        <v>40</v>
      </c>
      <c r="B132" s="12">
        <f t="shared" si="7"/>
        <v>50000</v>
      </c>
      <c r="C132" s="12">
        <f t="shared" si="8"/>
        <v>326152.94943346642</v>
      </c>
      <c r="D132" s="12">
        <f t="shared" si="9"/>
        <v>114815.27961602183</v>
      </c>
      <c r="E132" s="17">
        <v>0</v>
      </c>
      <c r="F132" s="12">
        <f t="shared" si="2"/>
        <v>114815.27961602183</v>
      </c>
      <c r="G132" s="12">
        <f t="shared" si="3"/>
        <v>71799.766852701272</v>
      </c>
      <c r="H132" s="12">
        <f t="shared" si="4"/>
        <v>254353.18258076516</v>
      </c>
      <c r="I132" s="12">
        <f t="shared" si="5"/>
        <v>16851.972700165676</v>
      </c>
      <c r="J132" s="12">
        <f t="shared" si="6"/>
        <v>97963.306915856156</v>
      </c>
    </row>
  </sheetData>
  <mergeCells count="23">
    <mergeCell ref="C9:K9"/>
    <mergeCell ref="A36:K36"/>
    <mergeCell ref="A1:K1"/>
    <mergeCell ref="C12:K12"/>
    <mergeCell ref="C11:K11"/>
    <mergeCell ref="C17:K17"/>
    <mergeCell ref="C8:K8"/>
    <mergeCell ref="C7:K7"/>
    <mergeCell ref="C13:K13"/>
    <mergeCell ref="A2:K2"/>
    <mergeCell ref="C6:K6"/>
    <mergeCell ref="A22:K22"/>
    <mergeCell ref="C15:K15"/>
    <mergeCell ref="A4:K4"/>
    <mergeCell ref="C5:K5"/>
    <mergeCell ref="C14:K14"/>
    <mergeCell ref="C16:K16"/>
    <mergeCell ref="A34:K34"/>
    <mergeCell ref="C10:K10"/>
    <mergeCell ref="A82:K82"/>
    <mergeCell ref="A24:K24"/>
    <mergeCell ref="A81:K81"/>
    <mergeCell ref="A19:K19"/>
  </mergeCells>
  <dataValidations count="23">
    <dataValidation type="decimal" allowBlank="1" errorTitle="Valore non valido" error="Valore fuori dal campo del simulatore" sqref="B5">
      <formula1>0</formula1>
      <formula2>100000000</formula2>
    </dataValidation>
    <dataValidation type="decimal" allowBlank="1" errorTitle="Valore non valido" error="Valore fuori dal campo del simulatore" sqref="B6">
      <formula1>0</formula1>
      <formula2>10000000</formula2>
    </dataValidation>
    <dataValidation type="whole" allowBlank="1" errorTitle="Valore non valido" error="Anni interi da 1 a 40" sqref="B7">
      <formula1>1</formula1>
      <formula2>40</formula2>
    </dataValidation>
    <dataValidation type="decimal" allowBlank="1" errorTitle="Valore non valido" error="Valore fuori dal campo del simulatore" sqref="B8">
      <formula1>-0.2</formula1>
      <formula2>0.3</formula2>
    </dataValidation>
    <dataValidation type="decimal" allowBlank="1" errorTitle="Valore non valido" error="Valore fuori dal campo del simulatore" sqref="B9">
      <formula1>0</formula1>
      <formula2>0.15</formula2>
    </dataValidation>
    <dataValidation type="decimal" allowBlank="1" errorTitle="Valore non valido" error="Valore fuori dal campo del simulatore" sqref="B10">
      <formula1>0</formula1>
      <formula2>0.15</formula2>
    </dataValidation>
    <dataValidation type="decimal" allowBlank="1" errorTitle="Valore non valido" error="Valore fuori dal campo del simulatore" sqref="B11">
      <formula1>0</formula1>
      <formula2>1</formula2>
    </dataValidation>
    <dataValidation type="decimal" allowBlank="1" errorTitle="Valore non valido" error="Valore fuori dal campo del simulatore" sqref="B12">
      <formula1>0</formula1>
      <formula2>1</formula2>
    </dataValidation>
    <dataValidation type="decimal" allowBlank="1" errorTitle="Valore non valido" error="Valore fuori dal campo del simulatore" sqref="B13">
      <formula1>0</formula1>
      <formula2>1</formula2>
    </dataValidation>
    <dataValidation type="decimal" allowBlank="1" errorTitle="Valore non valido" error="Valore fuori dal campo del simulatore" sqref="B14">
      <formula1>0</formula1>
      <formula2>1</formula2>
    </dataValidation>
    <dataValidation type="decimal" allowBlank="1" errorTitle="Valore non valido" error="Valore fuori dal campo del simulatore" sqref="B15">
      <formula1>0</formula1>
      <formula2>0.02</formula2>
    </dataValidation>
    <dataValidation type="list" errorTitle="Valore non valido" error="Scegli un valore dall'elenco" sqref="B16">
      <formula1>"sì,no"</formula1>
    </dataValidation>
    <dataValidation type="list" errorTitle="Valore non valido" error="Scegli un valore dall'elenco" sqref="B17">
      <formula1>"sì,no"</formula1>
    </dataValidation>
    <dataValidation type="decimal" allowBlank="1" errorTitle="Valore non valido" error="Valore fuori dal campo del simulatore" sqref="B21">
      <formula1>0</formula1>
      <formula2>0.5</formula2>
    </dataValidation>
    <dataValidation type="decimal" allowBlank="1" errorTitle="Valore non valido" error="Valore fuori dal campo del simulatore" sqref="C21">
      <formula1>0</formula1>
      <formula2>0.5</formula2>
    </dataValidation>
    <dataValidation type="decimal" allowBlank="1" errorTitle="Valore non valido" error="Valore fuori dal campo del simulatore" sqref="D21">
      <formula1>0</formula1>
      <formula2>0.5</formula2>
    </dataValidation>
    <dataValidation type="decimal" allowBlank="1" errorTitle="Valore non valido" error="Valore fuori dal campo del simulatore" sqref="E21">
      <formula1>0</formula1>
      <formula2>0.5</formula2>
    </dataValidation>
    <dataValidation type="decimal" allowBlank="1" errorTitle="Valore non valido" error="Valore fuori dal campo del simulatore" sqref="F21">
      <formula1>0</formula1>
      <formula2>0.5</formula2>
    </dataValidation>
    <dataValidation type="decimal" allowBlank="1" errorTitle="Valore non valido" error="Valore fuori dal campo del simulatore" sqref="G21">
      <formula1>0</formula1>
      <formula2>0.5</formula2>
    </dataValidation>
    <dataValidation type="decimal" allowBlank="1" errorTitle="Valore non valido" error="Valore fuori dal campo del simulatore" sqref="H21">
      <formula1>0</formula1>
      <formula2>0.5</formula2>
    </dataValidation>
    <dataValidation type="decimal" allowBlank="1" errorTitle="Valore non valido" error="Valore fuori dal campo del simulatore" sqref="I21">
      <formula1>0</formula1>
      <formula2>0.5</formula2>
    </dataValidation>
    <dataValidation type="decimal" allowBlank="1" errorTitle="Valore non valido" error="Valore fuori dal campo del simulatore" sqref="J21">
      <formula1>0</formula1>
      <formula2>0.5</formula2>
    </dataValidation>
    <dataValidation type="decimal" allowBlank="1" errorTitle="Valore non valido" error="Valore fuori dal campo del simulatore" sqref="K21">
      <formula1>0</formula1>
      <formula2>0.5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/>
  </sheetViews>
  <sheetFormatPr defaultRowHeight="15"/>
  <cols>
    <col min="1" max="1" width="40" customWidth="1"/>
    <col min="2" max="2" width="22.140625" customWidth="1"/>
    <col min="3" max="3" width="24.42578125" customWidth="1"/>
    <col min="4" max="4" width="19.85546875" customWidth="1"/>
    <col min="5" max="6" width="47" customWidth="1"/>
    <col min="7" max="7" width="16" customWidth="1"/>
    <col min="8" max="8" width="21" customWidth="1"/>
  </cols>
  <sheetData>
    <row r="1" spans="1:8" ht="24.95" customHeight="1">
      <c r="A1" s="31" t="s">
        <v>118</v>
      </c>
      <c r="B1" s="30"/>
      <c r="C1" s="30"/>
      <c r="D1" s="30"/>
      <c r="E1" s="30"/>
      <c r="F1" s="30"/>
      <c r="G1" s="30"/>
      <c r="H1" s="30"/>
    </row>
    <row r="2" spans="1:8" ht="32.1" customHeight="1">
      <c r="A2" s="29" t="s">
        <v>1</v>
      </c>
      <c r="B2" s="30"/>
      <c r="C2" s="30"/>
      <c r="D2" s="30"/>
      <c r="E2" s="30"/>
      <c r="F2" s="30"/>
      <c r="G2" s="30"/>
      <c r="H2" s="30"/>
    </row>
    <row r="4" spans="1:8">
      <c r="A4" s="33" t="s">
        <v>119</v>
      </c>
      <c r="B4" s="30"/>
      <c r="C4" s="30"/>
      <c r="D4" s="30"/>
      <c r="E4" s="30"/>
      <c r="F4" s="30"/>
      <c r="G4" s="30"/>
      <c r="H4" s="30"/>
    </row>
    <row r="5" spans="1:8" ht="32.1" customHeight="1">
      <c r="A5" s="11" t="s">
        <v>120</v>
      </c>
      <c r="B5" s="11" t="s">
        <v>121</v>
      </c>
      <c r="C5" s="11" t="s">
        <v>122</v>
      </c>
      <c r="D5" s="11" t="s">
        <v>123</v>
      </c>
      <c r="E5" s="11" t="s">
        <v>124</v>
      </c>
      <c r="F5" s="11" t="s">
        <v>125</v>
      </c>
    </row>
    <row r="6" spans="1:8" ht="105" customHeight="1">
      <c r="A6" s="19" t="s">
        <v>126</v>
      </c>
      <c r="B6" s="20">
        <v>0.06</v>
      </c>
      <c r="C6" s="20">
        <v>0.04</v>
      </c>
      <c r="D6" s="21">
        <v>8</v>
      </c>
      <c r="E6" s="22" t="s">
        <v>127</v>
      </c>
      <c r="F6" s="7" t="s">
        <v>128</v>
      </c>
    </row>
    <row r="7" spans="1:8" ht="60" customHeight="1">
      <c r="A7" s="19" t="s">
        <v>129</v>
      </c>
      <c r="B7" s="20">
        <v>3.5000000000000003E-2</v>
      </c>
      <c r="C7" s="20">
        <v>1.9E-2</v>
      </c>
      <c r="D7" s="21">
        <v>10</v>
      </c>
      <c r="E7" s="22" t="s">
        <v>130</v>
      </c>
      <c r="F7" s="7" t="s">
        <v>131</v>
      </c>
    </row>
    <row r="8" spans="1:8" ht="75" customHeight="1">
      <c r="A8" s="19" t="s">
        <v>132</v>
      </c>
      <c r="B8" s="20">
        <v>5.1999999999999998E-2</v>
      </c>
      <c r="C8" s="20">
        <v>1.6E-2</v>
      </c>
      <c r="D8" s="21">
        <v>8</v>
      </c>
      <c r="E8" s="22" t="s">
        <v>133</v>
      </c>
      <c r="F8" s="7" t="s">
        <v>134</v>
      </c>
    </row>
    <row r="9" spans="1:8" ht="75" customHeight="1">
      <c r="A9" s="5" t="s">
        <v>135</v>
      </c>
      <c r="B9" s="9">
        <v>3.5000000000000003E-2</v>
      </c>
      <c r="C9" s="9">
        <v>1.9E-2</v>
      </c>
      <c r="D9" s="8">
        <v>10</v>
      </c>
      <c r="E9" s="32" t="s">
        <v>136</v>
      </c>
      <c r="F9" s="30"/>
    </row>
    <row r="11" spans="1:8">
      <c r="A11" s="33" t="s">
        <v>137</v>
      </c>
      <c r="B11" s="30"/>
      <c r="C11" s="30"/>
      <c r="D11" s="30"/>
      <c r="E11" s="30"/>
      <c r="F11" s="30"/>
      <c r="G11" s="30"/>
      <c r="H11" s="30"/>
    </row>
    <row r="12" spans="1:8" ht="32.1" customHeight="1">
      <c r="A12" s="11" t="s">
        <v>120</v>
      </c>
      <c r="B12" s="11" t="s">
        <v>138</v>
      </c>
      <c r="C12" s="11" t="s">
        <v>139</v>
      </c>
      <c r="D12" s="11" t="s">
        <v>99</v>
      </c>
    </row>
    <row r="13" spans="1:8">
      <c r="A13" s="23" t="str">
        <f>IFERROR(A6,"controlla le celle gialle del foglio 1")</f>
        <v>Prodotto A (unit linked / multiramo)</v>
      </c>
      <c r="B13" s="12">
        <f>IFERROR('1 - Il tuo confronto'!$B$5*B6,"controlla le celle gialle del foglio 1")</f>
        <v>3000</v>
      </c>
      <c r="C13" s="12">
        <f>IFERROR('1 - Il tuo confronto'!$B$5*'1 - Il tuo confronto'!$B$10,"controlla le celle gialle del foglio 1")</f>
        <v>100</v>
      </c>
      <c r="D13" s="12">
        <f>IFERROR(B13-C13,"controlla le celle gialle del foglio 1")</f>
        <v>2900</v>
      </c>
    </row>
    <row r="14" spans="1:8">
      <c r="A14" s="23" t="str">
        <f>IFERROR(A7,"controlla le celle gialle del foglio 1")</f>
        <v>Prodotto B (multiramo)</v>
      </c>
      <c r="B14" s="12">
        <f>IFERROR('1 - Il tuo confronto'!$B$5*B7,"controlla le celle gialle del foglio 1")</f>
        <v>1750.0000000000002</v>
      </c>
      <c r="C14" s="12">
        <f>IFERROR('1 - Il tuo confronto'!$B$5*'1 - Il tuo confronto'!$B$10,"controlla le celle gialle del foglio 1")</f>
        <v>100</v>
      </c>
      <c r="D14" s="12">
        <f>IFERROR(B14-C14,"controlla le celle gialle del foglio 1")</f>
        <v>1650.0000000000002</v>
      </c>
    </row>
    <row r="15" spans="1:8">
      <c r="A15" s="23" t="str">
        <f>IFERROR(A8,"controlla le celle gialle del foglio 1")</f>
        <v>Prodotto C (ramo I, gestione separata)</v>
      </c>
      <c r="B15" s="12">
        <f>IFERROR('1 - Il tuo confronto'!$B$5*B8,"controlla le celle gialle del foglio 1")</f>
        <v>2600</v>
      </c>
      <c r="C15" s="12">
        <f>IFERROR('1 - Il tuo confronto'!$B$5*'1 - Il tuo confronto'!$B$10,"controlla le celle gialle del foglio 1")</f>
        <v>100</v>
      </c>
      <c r="D15" s="12">
        <f>IFERROR(B15-C15,"controlla le celle gialle del foglio 1")</f>
        <v>2500</v>
      </c>
    </row>
    <row r="16" spans="1:8">
      <c r="A16" s="23" t="str">
        <f>IFERROR(A9,"controlla le celle gialle del foglio 1")</f>
        <v>Il vostro prodotto (dal vostro KID)</v>
      </c>
      <c r="B16" s="12">
        <f>IFERROR('1 - Il tuo confronto'!$B$5*B9,"controlla le celle gialle del foglio 1")</f>
        <v>1750.0000000000002</v>
      </c>
      <c r="C16" s="12">
        <f>IFERROR('1 - Il tuo confronto'!$B$5*'1 - Il tuo confronto'!$B$10,"controlla le celle gialle del foglio 1")</f>
        <v>100</v>
      </c>
      <c r="D16" s="12">
        <f>IFERROR(B16-C16,"controlla le celle gialle del foglio 1")</f>
        <v>1650.0000000000002</v>
      </c>
    </row>
    <row r="17" spans="1:8" ht="45" customHeight="1">
      <c r="A17" s="32" t="s">
        <v>140</v>
      </c>
      <c r="B17" s="30"/>
      <c r="C17" s="30"/>
      <c r="D17" s="30"/>
      <c r="E17" s="30"/>
      <c r="F17" s="30"/>
      <c r="G17" s="30"/>
      <c r="H17" s="30"/>
    </row>
    <row r="19" spans="1:8">
      <c r="A19" s="33" t="s">
        <v>141</v>
      </c>
      <c r="B19" s="30"/>
      <c r="C19" s="30"/>
      <c r="D19" s="30"/>
      <c r="E19" s="30"/>
      <c r="F19" s="30"/>
      <c r="G19" s="30"/>
      <c r="H19" s="30"/>
    </row>
    <row r="20" spans="1:8" ht="32.1" customHeight="1">
      <c r="A20" s="11" t="s">
        <v>67</v>
      </c>
      <c r="B20" s="11" t="s">
        <v>112</v>
      </c>
      <c r="C20" s="11" t="s">
        <v>142</v>
      </c>
      <c r="D20" s="11" t="s">
        <v>143</v>
      </c>
      <c r="E20" s="11" t="s">
        <v>144</v>
      </c>
      <c r="F20" s="11" t="s">
        <v>145</v>
      </c>
      <c r="G20" s="11" t="s">
        <v>100</v>
      </c>
      <c r="H20" s="11" t="s">
        <v>146</v>
      </c>
    </row>
    <row r="21" spans="1:8">
      <c r="A21" s="15">
        <f t="shared" ref="A21:A30" si="0">IFERROR(IF(A38="","",A38),"controlla le celle gialle del foglio 1")</f>
        <v>1</v>
      </c>
      <c r="B21" s="17">
        <f t="shared" ref="B21:B30" si="1">IFERROR(IF($A21="","",B38),"controlla le celle gialle del foglio 1")</f>
        <v>0.02</v>
      </c>
      <c r="C21" s="12">
        <f t="shared" ref="C21:C30" si="2">IFERROR(IF($A21="","",C38*B38),"controlla le celle gialle del foglio 1")</f>
        <v>1021.0000000000001</v>
      </c>
      <c r="D21" s="12">
        <f t="shared" ref="D21:G30" si="3">IFERROR(IF($A21="","",C38),"controlla le celle gialle del foglio 1")</f>
        <v>51050.000000000007</v>
      </c>
      <c r="E21" s="12">
        <f t="shared" si="3"/>
        <v>50029.000000000007</v>
      </c>
      <c r="F21" s="12">
        <f t="shared" si="3"/>
        <v>50021.460000000006</v>
      </c>
      <c r="G21" s="12">
        <f t="shared" si="3"/>
        <v>51776</v>
      </c>
      <c r="H21" s="13">
        <f t="shared" ref="H21:H30" si="4">IFERROR(IF($A21="","",F21-G21),"controlla le celle gialle del foglio 1")</f>
        <v>-1754.5399999999936</v>
      </c>
    </row>
    <row r="22" spans="1:8">
      <c r="A22" s="15">
        <f t="shared" si="0"/>
        <v>2</v>
      </c>
      <c r="B22" s="17">
        <f t="shared" si="1"/>
        <v>1.4999999999999999E-2</v>
      </c>
      <c r="C22" s="12">
        <f t="shared" si="2"/>
        <v>781.83075000000019</v>
      </c>
      <c r="D22" s="12">
        <f t="shared" si="3"/>
        <v>52122.050000000017</v>
      </c>
      <c r="E22" s="12">
        <f t="shared" si="3"/>
        <v>51340.219250000016</v>
      </c>
      <c r="F22" s="12">
        <f t="shared" si="3"/>
        <v>50991.762245000013</v>
      </c>
      <c r="G22" s="12">
        <f t="shared" si="3"/>
        <v>53637.248000000007</v>
      </c>
      <c r="H22" s="13">
        <f t="shared" si="4"/>
        <v>-2645.4857549999942</v>
      </c>
    </row>
    <row r="23" spans="1:8">
      <c r="A23" s="15">
        <f t="shared" si="0"/>
        <v>3</v>
      </c>
      <c r="B23" s="17">
        <f t="shared" si="1"/>
        <v>0</v>
      </c>
      <c r="C23" s="12">
        <f t="shared" si="2"/>
        <v>0</v>
      </c>
      <c r="D23" s="12">
        <f t="shared" si="3"/>
        <v>53216.613050000022</v>
      </c>
      <c r="E23" s="12">
        <f t="shared" si="3"/>
        <v>53216.613050000022</v>
      </c>
      <c r="F23" s="12">
        <f t="shared" si="3"/>
        <v>52380.293657000017</v>
      </c>
      <c r="G23" s="12">
        <f t="shared" si="3"/>
        <v>55587.835904000007</v>
      </c>
      <c r="H23" s="13">
        <f t="shared" si="4"/>
        <v>-3207.5422469999903</v>
      </c>
    </row>
    <row r="24" spans="1:8">
      <c r="A24" s="15">
        <f t="shared" si="0"/>
        <v>4</v>
      </c>
      <c r="B24" s="17">
        <f t="shared" si="1"/>
        <v>0</v>
      </c>
      <c r="C24" s="12">
        <f t="shared" si="2"/>
        <v>0</v>
      </c>
      <c r="D24" s="12">
        <f t="shared" si="3"/>
        <v>54334.161924050029</v>
      </c>
      <c r="E24" s="12">
        <f t="shared" si="3"/>
        <v>54334.161924050029</v>
      </c>
      <c r="F24" s="12">
        <f t="shared" si="3"/>
        <v>53207.27982379702</v>
      </c>
      <c r="G24" s="12">
        <f t="shared" si="3"/>
        <v>57632.052027392012</v>
      </c>
      <c r="H24" s="13">
        <f t="shared" si="4"/>
        <v>-4424.7722035949919</v>
      </c>
    </row>
    <row r="25" spans="1:8">
      <c r="A25" s="15">
        <f t="shared" si="0"/>
        <v>5</v>
      </c>
      <c r="B25" s="17">
        <f t="shared" si="1"/>
        <v>0</v>
      </c>
      <c r="C25" s="12">
        <f t="shared" si="2"/>
        <v>0</v>
      </c>
      <c r="D25" s="12">
        <f t="shared" si="3"/>
        <v>55475.179324455086</v>
      </c>
      <c r="E25" s="12">
        <f t="shared" si="3"/>
        <v>55475.179324455086</v>
      </c>
      <c r="F25" s="12">
        <f t="shared" si="3"/>
        <v>54051.632700096765</v>
      </c>
      <c r="G25" s="12">
        <f t="shared" si="3"/>
        <v>59774.390524706832</v>
      </c>
      <c r="H25" s="13">
        <f t="shared" si="4"/>
        <v>-5722.7578246100675</v>
      </c>
    </row>
    <row r="26" spans="1:8">
      <c r="A26" s="15">
        <f t="shared" si="0"/>
        <v>6</v>
      </c>
      <c r="B26" s="17">
        <f t="shared" si="1"/>
        <v>0</v>
      </c>
      <c r="C26" s="12">
        <f t="shared" si="2"/>
        <v>0</v>
      </c>
      <c r="D26" s="12">
        <f t="shared" si="3"/>
        <v>56640.158090268647</v>
      </c>
      <c r="E26" s="12">
        <f t="shared" si="3"/>
        <v>56640.158090268647</v>
      </c>
      <c r="F26" s="12">
        <f t="shared" si="3"/>
        <v>54913.716986798798</v>
      </c>
      <c r="G26" s="12">
        <f t="shared" si="3"/>
        <v>62019.561269892758</v>
      </c>
      <c r="H26" s="13">
        <f t="shared" si="4"/>
        <v>-7105.8442830939603</v>
      </c>
    </row>
    <row r="27" spans="1:8">
      <c r="A27" s="15">
        <f t="shared" si="0"/>
        <v>7</v>
      </c>
      <c r="B27" s="17">
        <f t="shared" si="1"/>
        <v>0</v>
      </c>
      <c r="C27" s="12">
        <f t="shared" si="2"/>
        <v>0</v>
      </c>
      <c r="D27" s="12">
        <f t="shared" si="3"/>
        <v>57829.601410164294</v>
      </c>
      <c r="E27" s="12">
        <f t="shared" si="3"/>
        <v>57829.601410164294</v>
      </c>
      <c r="F27" s="12">
        <f t="shared" si="3"/>
        <v>55793.905043521576</v>
      </c>
      <c r="G27" s="12">
        <f t="shared" si="3"/>
        <v>64372.500210847611</v>
      </c>
      <c r="H27" s="13">
        <f t="shared" si="4"/>
        <v>-8578.5951673260352</v>
      </c>
    </row>
    <row r="28" spans="1:8">
      <c r="A28" s="15">
        <f t="shared" si="0"/>
        <v>8</v>
      </c>
      <c r="B28" s="17">
        <f t="shared" si="1"/>
        <v>0</v>
      </c>
      <c r="C28" s="12">
        <f t="shared" si="2"/>
        <v>0</v>
      </c>
      <c r="D28" s="12">
        <f t="shared" si="3"/>
        <v>59044.023039777749</v>
      </c>
      <c r="E28" s="12">
        <f t="shared" si="3"/>
        <v>59044.023039777749</v>
      </c>
      <c r="F28" s="12">
        <f t="shared" si="3"/>
        <v>56692.577049435531</v>
      </c>
      <c r="G28" s="12">
        <f t="shared" si="3"/>
        <v>66838.380220968291</v>
      </c>
      <c r="H28" s="13">
        <f t="shared" si="4"/>
        <v>-10145.80317153276</v>
      </c>
    </row>
    <row r="29" spans="1:8">
      <c r="A29" s="15">
        <f t="shared" si="0"/>
        <v>9</v>
      </c>
      <c r="B29" s="17">
        <f t="shared" si="1"/>
        <v>0</v>
      </c>
      <c r="C29" s="12">
        <f t="shared" si="2"/>
        <v>0</v>
      </c>
      <c r="D29" s="12">
        <f t="shared" si="3"/>
        <v>60283.947523613089</v>
      </c>
      <c r="E29" s="12">
        <f t="shared" si="3"/>
        <v>60283.947523613089</v>
      </c>
      <c r="F29" s="12">
        <f t="shared" si="3"/>
        <v>57610.121167473684</v>
      </c>
      <c r="G29" s="12">
        <f t="shared" si="3"/>
        <v>69422.622471574767</v>
      </c>
      <c r="H29" s="13">
        <f t="shared" si="4"/>
        <v>-11812.501304101082</v>
      </c>
    </row>
    <row r="30" spans="1:8">
      <c r="A30" s="15">
        <f t="shared" si="0"/>
        <v>10</v>
      </c>
      <c r="B30" s="17">
        <f t="shared" si="1"/>
        <v>0</v>
      </c>
      <c r="C30" s="12">
        <f t="shared" si="2"/>
        <v>0</v>
      </c>
      <c r="D30" s="12">
        <f t="shared" si="3"/>
        <v>61549.910421608969</v>
      </c>
      <c r="E30" s="12">
        <f t="shared" si="3"/>
        <v>61549.910421608969</v>
      </c>
      <c r="F30" s="12">
        <f t="shared" si="3"/>
        <v>58546.933711990634</v>
      </c>
      <c r="G30" s="12">
        <f t="shared" si="3"/>
        <v>72130.90835021036</v>
      </c>
      <c r="H30" s="13">
        <f t="shared" si="4"/>
        <v>-13583.974638219726</v>
      </c>
    </row>
    <row r="31" spans="1:8" ht="60" customHeight="1">
      <c r="A31" s="32" t="s">
        <v>147</v>
      </c>
      <c r="B31" s="30"/>
      <c r="C31" s="30"/>
      <c r="D31" s="30"/>
      <c r="E31" s="30"/>
      <c r="F31" s="30"/>
      <c r="G31" s="30"/>
      <c r="H31" s="30"/>
    </row>
    <row r="35" spans="1:8">
      <c r="A35" s="33" t="s">
        <v>103</v>
      </c>
      <c r="B35" s="30"/>
      <c r="C35" s="30"/>
      <c r="D35" s="30"/>
      <c r="E35" s="30"/>
      <c r="F35" s="30"/>
      <c r="G35" s="30"/>
      <c r="H35" s="30"/>
    </row>
    <row r="36" spans="1:8" ht="30" customHeight="1">
      <c r="A36" s="32" t="s">
        <v>104</v>
      </c>
      <c r="B36" s="30"/>
      <c r="C36" s="30"/>
      <c r="D36" s="30"/>
      <c r="E36" s="30"/>
      <c r="F36" s="30"/>
      <c r="G36" s="30"/>
      <c r="H36" s="30"/>
    </row>
    <row r="37" spans="1:8" ht="32.1" customHeight="1">
      <c r="A37" s="11" t="s">
        <v>95</v>
      </c>
      <c r="B37" s="11" t="s">
        <v>112</v>
      </c>
      <c r="C37" s="11" t="s">
        <v>83</v>
      </c>
      <c r="D37" s="11" t="s">
        <v>148</v>
      </c>
      <c r="E37" s="11" t="s">
        <v>117</v>
      </c>
      <c r="F37" s="11" t="s">
        <v>115</v>
      </c>
    </row>
    <row r="38" spans="1:8">
      <c r="A38" s="15">
        <f>IF(OR(NOT('1 - Il tuo confronto'!$B$83),1&gt;'1 - Il tuo confronto'!$B$7),"",1)</f>
        <v>1</v>
      </c>
      <c r="B38" s="17">
        <f>'1 - Il tuo confronto'!$E$93</f>
        <v>0.02</v>
      </c>
      <c r="C38" s="12">
        <f>'1 - Il tuo confronto'!$D$93</f>
        <v>51050.000000000007</v>
      </c>
      <c r="D38" s="12">
        <f>'1 - Il tuo confronto'!$F$93</f>
        <v>50029.000000000007</v>
      </c>
      <c r="E38" s="12">
        <f>'1 - Il tuo confronto'!$J$93</f>
        <v>50021.460000000006</v>
      </c>
      <c r="F38" s="12">
        <f>'1 - Il tuo confronto'!$H$93</f>
        <v>51776</v>
      </c>
    </row>
    <row r="39" spans="1:8">
      <c r="A39" s="15">
        <f>IF(OR(NOT('1 - Il tuo confronto'!$B$83),2&gt;'1 - Il tuo confronto'!$B$7),"",2)</f>
        <v>2</v>
      </c>
      <c r="B39" s="17">
        <f>'1 - Il tuo confronto'!$E$94</f>
        <v>1.4999999999999999E-2</v>
      </c>
      <c r="C39" s="12">
        <f>'1 - Il tuo confronto'!$D$94</f>
        <v>52122.050000000017</v>
      </c>
      <c r="D39" s="12">
        <f>'1 - Il tuo confronto'!$F$94</f>
        <v>51340.219250000016</v>
      </c>
      <c r="E39" s="12">
        <f>'1 - Il tuo confronto'!$J$94</f>
        <v>50991.762245000013</v>
      </c>
      <c r="F39" s="12">
        <f>'1 - Il tuo confronto'!$H$94</f>
        <v>53637.248000000007</v>
      </c>
    </row>
    <row r="40" spans="1:8">
      <c r="A40" s="15">
        <f>IF(OR(NOT('1 - Il tuo confronto'!$B$83),3&gt;'1 - Il tuo confronto'!$B$7),"",3)</f>
        <v>3</v>
      </c>
      <c r="B40" s="17">
        <f>'1 - Il tuo confronto'!$E$95</f>
        <v>0</v>
      </c>
      <c r="C40" s="12">
        <f>'1 - Il tuo confronto'!$D$95</f>
        <v>53216.613050000022</v>
      </c>
      <c r="D40" s="12">
        <f>'1 - Il tuo confronto'!$F$95</f>
        <v>53216.613050000022</v>
      </c>
      <c r="E40" s="12">
        <f>'1 - Il tuo confronto'!$J$95</f>
        <v>52380.293657000017</v>
      </c>
      <c r="F40" s="12">
        <f>'1 - Il tuo confronto'!$H$95</f>
        <v>55587.835904000007</v>
      </c>
    </row>
    <row r="41" spans="1:8">
      <c r="A41" s="15">
        <f>IF(OR(NOT('1 - Il tuo confronto'!$B$83),4&gt;'1 - Il tuo confronto'!$B$7),"",4)</f>
        <v>4</v>
      </c>
      <c r="B41" s="17">
        <f>'1 - Il tuo confronto'!$E$96</f>
        <v>0</v>
      </c>
      <c r="C41" s="12">
        <f>'1 - Il tuo confronto'!$D$96</f>
        <v>54334.161924050029</v>
      </c>
      <c r="D41" s="12">
        <f>'1 - Il tuo confronto'!$F$96</f>
        <v>54334.161924050029</v>
      </c>
      <c r="E41" s="12">
        <f>'1 - Il tuo confronto'!$J$96</f>
        <v>53207.27982379702</v>
      </c>
      <c r="F41" s="12">
        <f>'1 - Il tuo confronto'!$H$96</f>
        <v>57632.052027392012</v>
      </c>
    </row>
    <row r="42" spans="1:8">
      <c r="A42" s="15">
        <f>IF(OR(NOT('1 - Il tuo confronto'!$B$83),5&gt;'1 - Il tuo confronto'!$B$7),"",5)</f>
        <v>5</v>
      </c>
      <c r="B42" s="17">
        <f>'1 - Il tuo confronto'!$E$97</f>
        <v>0</v>
      </c>
      <c r="C42" s="12">
        <f>'1 - Il tuo confronto'!$D$97</f>
        <v>55475.179324455086</v>
      </c>
      <c r="D42" s="12">
        <f>'1 - Il tuo confronto'!$F$97</f>
        <v>55475.179324455086</v>
      </c>
      <c r="E42" s="12">
        <f>'1 - Il tuo confronto'!$J$97</f>
        <v>54051.632700096765</v>
      </c>
      <c r="F42" s="12">
        <f>'1 - Il tuo confronto'!$H$97</f>
        <v>59774.390524706832</v>
      </c>
    </row>
    <row r="43" spans="1:8">
      <c r="A43" s="15">
        <f>IF(OR(NOT('1 - Il tuo confronto'!$B$83),6&gt;'1 - Il tuo confronto'!$B$7),"",6)</f>
        <v>6</v>
      </c>
      <c r="B43" s="17">
        <f>'1 - Il tuo confronto'!$E$98</f>
        <v>0</v>
      </c>
      <c r="C43" s="12">
        <f>'1 - Il tuo confronto'!$D$98</f>
        <v>56640.158090268647</v>
      </c>
      <c r="D43" s="12">
        <f>'1 - Il tuo confronto'!$F$98</f>
        <v>56640.158090268647</v>
      </c>
      <c r="E43" s="12">
        <f>'1 - Il tuo confronto'!$J$98</f>
        <v>54913.716986798798</v>
      </c>
      <c r="F43" s="12">
        <f>'1 - Il tuo confronto'!$H$98</f>
        <v>62019.561269892758</v>
      </c>
    </row>
    <row r="44" spans="1:8">
      <c r="A44" s="15">
        <f>IF(OR(NOT('1 - Il tuo confronto'!$B$83),7&gt;'1 - Il tuo confronto'!$B$7),"",7)</f>
        <v>7</v>
      </c>
      <c r="B44" s="17">
        <f>'1 - Il tuo confronto'!$E$99</f>
        <v>0</v>
      </c>
      <c r="C44" s="12">
        <f>'1 - Il tuo confronto'!$D$99</f>
        <v>57829.601410164294</v>
      </c>
      <c r="D44" s="12">
        <f>'1 - Il tuo confronto'!$F$99</f>
        <v>57829.601410164294</v>
      </c>
      <c r="E44" s="12">
        <f>'1 - Il tuo confronto'!$J$99</f>
        <v>55793.905043521576</v>
      </c>
      <c r="F44" s="12">
        <f>'1 - Il tuo confronto'!$H$99</f>
        <v>64372.500210847611</v>
      </c>
    </row>
    <row r="45" spans="1:8">
      <c r="A45" s="15">
        <f>IF(OR(NOT('1 - Il tuo confronto'!$B$83),8&gt;'1 - Il tuo confronto'!$B$7),"",8)</f>
        <v>8</v>
      </c>
      <c r="B45" s="17">
        <f>'1 - Il tuo confronto'!$E$100</f>
        <v>0</v>
      </c>
      <c r="C45" s="12">
        <f>'1 - Il tuo confronto'!$D$100</f>
        <v>59044.023039777749</v>
      </c>
      <c r="D45" s="12">
        <f>'1 - Il tuo confronto'!$F$100</f>
        <v>59044.023039777749</v>
      </c>
      <c r="E45" s="12">
        <f>'1 - Il tuo confronto'!$J$100</f>
        <v>56692.577049435531</v>
      </c>
      <c r="F45" s="12">
        <f>'1 - Il tuo confronto'!$H$100</f>
        <v>66838.380220968291</v>
      </c>
    </row>
    <row r="46" spans="1:8">
      <c r="A46" s="15">
        <f>IF(OR(NOT('1 - Il tuo confronto'!$B$83),9&gt;'1 - Il tuo confronto'!$B$7),"",9)</f>
        <v>9</v>
      </c>
      <c r="B46" s="17">
        <f>'1 - Il tuo confronto'!$E$101</f>
        <v>0</v>
      </c>
      <c r="C46" s="12">
        <f>'1 - Il tuo confronto'!$D$101</f>
        <v>60283.947523613089</v>
      </c>
      <c r="D46" s="12">
        <f>'1 - Il tuo confronto'!$F$101</f>
        <v>60283.947523613089</v>
      </c>
      <c r="E46" s="12">
        <f>'1 - Il tuo confronto'!$J$101</f>
        <v>57610.121167473684</v>
      </c>
      <c r="F46" s="12">
        <f>'1 - Il tuo confronto'!$H$101</f>
        <v>69422.622471574767</v>
      </c>
    </row>
    <row r="47" spans="1:8">
      <c r="A47" s="15">
        <f>IF(OR(NOT('1 - Il tuo confronto'!$B$83),10&gt;'1 - Il tuo confronto'!$B$7),"",10)</f>
        <v>10</v>
      </c>
      <c r="B47" s="17">
        <f>'1 - Il tuo confronto'!$E$102</f>
        <v>0</v>
      </c>
      <c r="C47" s="12">
        <f>'1 - Il tuo confronto'!$D$102</f>
        <v>61549.910421608969</v>
      </c>
      <c r="D47" s="12">
        <f>'1 - Il tuo confronto'!$F$102</f>
        <v>61549.910421608969</v>
      </c>
      <c r="E47" s="12">
        <f>'1 - Il tuo confronto'!$J$102</f>
        <v>58546.933711990634</v>
      </c>
      <c r="F47" s="12">
        <f>'1 - Il tuo confronto'!$H$102</f>
        <v>72130.90835021036</v>
      </c>
    </row>
  </sheetData>
  <mergeCells count="10">
    <mergeCell ref="A36:H36"/>
    <mergeCell ref="A1:H1"/>
    <mergeCell ref="E9:F9"/>
    <mergeCell ref="A31:H31"/>
    <mergeCell ref="A17:H17"/>
    <mergeCell ref="A4:H4"/>
    <mergeCell ref="A35:H35"/>
    <mergeCell ref="A2:H2"/>
    <mergeCell ref="A19:H19"/>
    <mergeCell ref="A11:H11"/>
  </mergeCells>
  <dataValidations count="2">
    <dataValidation type="decimal" allowBlank="1" errorTitle="Valore non valido" error="Valore fuori dal campo del simulatore" sqref="B9">
      <formula1>0</formula1>
      <formula2>0.5</formula2>
    </dataValidation>
    <dataValidation type="decimal" allowBlank="1" errorTitle="Valore non valido" error="Valore fuori dal campo del simulatore" sqref="C9">
      <formula1>0</formula1>
      <formula2>0.5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/>
  </sheetViews>
  <sheetFormatPr defaultRowHeight="15"/>
  <cols>
    <col min="1" max="1" width="66" customWidth="1"/>
    <col min="2" max="2" width="17.7109375" customWidth="1"/>
    <col min="3" max="3" width="27.7109375" customWidth="1"/>
    <col min="4" max="4" width="16" customWidth="1"/>
    <col min="5" max="5" width="47" customWidth="1"/>
    <col min="6" max="6" width="19.85546875" customWidth="1"/>
    <col min="7" max="7" width="22.140625" customWidth="1"/>
    <col min="8" max="8" width="16" customWidth="1"/>
  </cols>
  <sheetData>
    <row r="1" spans="1:8" ht="24.95" customHeight="1">
      <c r="A1" s="31" t="s">
        <v>149</v>
      </c>
      <c r="B1" s="30"/>
      <c r="C1" s="30"/>
      <c r="D1" s="30"/>
      <c r="E1" s="30"/>
      <c r="F1" s="30"/>
      <c r="G1" s="30"/>
      <c r="H1" s="30"/>
    </row>
    <row r="2" spans="1:8" ht="32.1" customHeight="1">
      <c r="A2" s="29" t="s">
        <v>1</v>
      </c>
      <c r="B2" s="30"/>
      <c r="C2" s="30"/>
      <c r="D2" s="30"/>
      <c r="E2" s="30"/>
      <c r="F2" s="30"/>
      <c r="G2" s="30"/>
      <c r="H2" s="30"/>
    </row>
    <row r="4" spans="1:8">
      <c r="A4" s="33" t="s">
        <v>150</v>
      </c>
      <c r="B4" s="30"/>
      <c r="C4" s="30"/>
      <c r="D4" s="30"/>
      <c r="E4" s="30"/>
      <c r="F4" s="30"/>
      <c r="G4" s="30"/>
      <c r="H4" s="30"/>
    </row>
    <row r="5" spans="1:8" ht="32.1" customHeight="1">
      <c r="A5" s="11" t="s">
        <v>81</v>
      </c>
      <c r="B5" s="11" t="s">
        <v>151</v>
      </c>
      <c r="C5" s="11" t="s">
        <v>152</v>
      </c>
      <c r="D5" s="11" t="s">
        <v>153</v>
      </c>
      <c r="E5" s="11" t="s">
        <v>125</v>
      </c>
    </row>
    <row r="6" spans="1:8" ht="75" customHeight="1">
      <c r="A6" s="5" t="s">
        <v>154</v>
      </c>
      <c r="B6" s="20">
        <v>1.7000000000000001E-2</v>
      </c>
      <c r="C6" s="20">
        <v>2.5000000000000001E-2</v>
      </c>
      <c r="D6" s="20">
        <v>2.9000000000000001E-2</v>
      </c>
      <c r="E6" s="7" t="s">
        <v>155</v>
      </c>
    </row>
    <row r="7" spans="1:8" ht="75" customHeight="1">
      <c r="A7" s="5" t="s">
        <v>156</v>
      </c>
      <c r="B7" s="24">
        <v>7.9</v>
      </c>
      <c r="C7" s="24">
        <v>7.7</v>
      </c>
      <c r="D7" s="24">
        <v>9.1999999999999993</v>
      </c>
      <c r="E7" s="7" t="s">
        <v>155</v>
      </c>
    </row>
    <row r="8" spans="1:8" ht="75" customHeight="1">
      <c r="A8" s="5" t="s">
        <v>157</v>
      </c>
      <c r="B8" s="20">
        <v>1.6E-2</v>
      </c>
      <c r="C8" s="20">
        <v>2.7E-2</v>
      </c>
      <c r="D8" s="20">
        <v>0.03</v>
      </c>
      <c r="E8" s="7" t="s">
        <v>155</v>
      </c>
    </row>
    <row r="9" spans="1:8" ht="105" customHeight="1">
      <c r="A9" s="5" t="s">
        <v>158</v>
      </c>
      <c r="B9" s="20">
        <v>9.5000000000000001E-2</v>
      </c>
      <c r="C9" s="22" t="s">
        <v>159</v>
      </c>
      <c r="D9" s="20">
        <v>0.121</v>
      </c>
      <c r="E9" s="7" t="s">
        <v>160</v>
      </c>
    </row>
    <row r="11" spans="1:8">
      <c r="A11" s="33" t="s">
        <v>161</v>
      </c>
      <c r="B11" s="30"/>
      <c r="C11" s="30"/>
      <c r="D11" s="30"/>
      <c r="E11" s="30"/>
      <c r="F11" s="30"/>
      <c r="G11" s="30"/>
      <c r="H11" s="30"/>
    </row>
    <row r="12" spans="1:8" ht="32.1" customHeight="1">
      <c r="A12" s="11" t="s">
        <v>81</v>
      </c>
      <c r="B12" s="11" t="s">
        <v>162</v>
      </c>
      <c r="C12" s="11" t="s">
        <v>125</v>
      </c>
    </row>
    <row r="13" spans="1:8" ht="30" customHeight="1">
      <c r="A13" s="5" t="s">
        <v>163</v>
      </c>
      <c r="B13" s="20">
        <v>0.72099999999999997</v>
      </c>
      <c r="C13" s="32" t="s">
        <v>155</v>
      </c>
      <c r="D13" s="30"/>
      <c r="E13" s="30"/>
      <c r="F13" s="30"/>
      <c r="G13" s="30"/>
      <c r="H13" s="30"/>
    </row>
    <row r="14" spans="1:8" ht="30" customHeight="1">
      <c r="A14" s="5" t="s">
        <v>164</v>
      </c>
      <c r="B14" s="22" t="s">
        <v>64</v>
      </c>
      <c r="C14" s="32" t="s">
        <v>155</v>
      </c>
      <c r="D14" s="30"/>
      <c r="E14" s="30"/>
      <c r="F14" s="30"/>
      <c r="G14" s="30"/>
      <c r="H14" s="30"/>
    </row>
    <row r="15" spans="1:8" ht="30" customHeight="1">
      <c r="A15" s="5" t="s">
        <v>165</v>
      </c>
      <c r="B15" s="20">
        <v>8.0000000000000002E-3</v>
      </c>
      <c r="C15" s="32" t="s">
        <v>166</v>
      </c>
      <c r="D15" s="30"/>
      <c r="E15" s="30"/>
      <c r="F15" s="30"/>
      <c r="G15" s="30"/>
      <c r="H15" s="30"/>
    </row>
    <row r="16" spans="1:8" ht="15" customHeight="1">
      <c r="A16" s="5" t="s">
        <v>167</v>
      </c>
      <c r="B16" s="20">
        <v>0.03</v>
      </c>
      <c r="C16" s="32" t="s">
        <v>168</v>
      </c>
      <c r="D16" s="30"/>
      <c r="E16" s="30"/>
      <c r="F16" s="30"/>
      <c r="G16" s="30"/>
      <c r="H16" s="30"/>
    </row>
    <row r="17" spans="1:8" ht="15" customHeight="1">
      <c r="A17" s="5" t="s">
        <v>169</v>
      </c>
      <c r="B17" s="20">
        <v>1.9E-2</v>
      </c>
      <c r="C17" s="32" t="s">
        <v>168</v>
      </c>
      <c r="D17" s="30"/>
      <c r="E17" s="30"/>
      <c r="F17" s="30"/>
      <c r="G17" s="30"/>
      <c r="H17" s="30"/>
    </row>
    <row r="18" spans="1:8" ht="15" customHeight="1">
      <c r="A18" s="5" t="s">
        <v>170</v>
      </c>
      <c r="B18" s="20">
        <v>0.35599999999999998</v>
      </c>
      <c r="C18" s="32" t="s">
        <v>168</v>
      </c>
      <c r="D18" s="30"/>
      <c r="E18" s="30"/>
      <c r="F18" s="30"/>
      <c r="G18" s="30"/>
      <c r="H18" s="30"/>
    </row>
    <row r="19" spans="1:8" ht="15" customHeight="1">
      <c r="A19" s="5" t="s">
        <v>171</v>
      </c>
      <c r="B19" s="20">
        <v>3.5999999999999997E-2</v>
      </c>
      <c r="C19" s="32" t="s">
        <v>168</v>
      </c>
      <c r="D19" s="30"/>
      <c r="E19" s="30"/>
      <c r="F19" s="30"/>
      <c r="G19" s="30"/>
      <c r="H19" s="30"/>
    </row>
    <row r="20" spans="1:8" ht="15" customHeight="1">
      <c r="A20" s="5" t="s">
        <v>172</v>
      </c>
      <c r="B20" s="20">
        <v>1.4E-2</v>
      </c>
      <c r="C20" s="32" t="s">
        <v>168</v>
      </c>
      <c r="D20" s="30"/>
      <c r="E20" s="30"/>
      <c r="F20" s="30"/>
      <c r="G20" s="30"/>
      <c r="H20" s="30"/>
    </row>
    <row r="21" spans="1:8">
      <c r="A21" s="33" t="s">
        <v>173</v>
      </c>
      <c r="B21" s="30"/>
      <c r="C21" s="30"/>
      <c r="D21" s="30"/>
      <c r="E21" s="30"/>
      <c r="F21" s="30"/>
      <c r="G21" s="30"/>
      <c r="H21" s="30"/>
    </row>
    <row r="22" spans="1:8" ht="30" customHeight="1">
      <c r="A22" s="5" t="s">
        <v>174</v>
      </c>
      <c r="B22" s="9">
        <v>0.03</v>
      </c>
      <c r="C22" s="32" t="s">
        <v>175</v>
      </c>
      <c r="D22" s="30"/>
      <c r="E22" s="30"/>
      <c r="F22" s="30"/>
      <c r="G22" s="30"/>
      <c r="H22" s="30"/>
    </row>
    <row r="23" spans="1:8" ht="30" customHeight="1">
      <c r="A23" s="5" t="s">
        <v>176</v>
      </c>
      <c r="B23" s="9">
        <v>1.1999999999999999E-3</v>
      </c>
      <c r="C23" s="32" t="s">
        <v>177</v>
      </c>
      <c r="D23" s="30"/>
      <c r="E23" s="30"/>
      <c r="F23" s="30"/>
      <c r="G23" s="30"/>
      <c r="H23" s="30"/>
    </row>
    <row r="25" spans="1:8" ht="32.1" customHeight="1">
      <c r="A25" s="11" t="s">
        <v>178</v>
      </c>
      <c r="B25" s="11" t="s">
        <v>179</v>
      </c>
      <c r="C25" s="11" t="s">
        <v>180</v>
      </c>
      <c r="D25" s="11" t="s">
        <v>181</v>
      </c>
      <c r="E25" s="11" t="s">
        <v>182</v>
      </c>
      <c r="F25" s="11" t="s">
        <v>183</v>
      </c>
      <c r="G25" s="11" t="s">
        <v>184</v>
      </c>
      <c r="H25" s="11" t="s">
        <v>185</v>
      </c>
    </row>
    <row r="26" spans="1:8">
      <c r="A26" s="19" t="s">
        <v>186</v>
      </c>
      <c r="B26" s="17">
        <f>IFERROR('1 - Il tuo confronto'!$B$10,"controlla le celle gialle del foglio 1")</f>
        <v>2E-3</v>
      </c>
      <c r="C26" s="12">
        <f>IFERROR(IF('1 - Il tuo confronto'!$B$83,C39,"controlla le celle gialle del foglio 1"),"controlla le celle gialle del foglio 1")</f>
        <v>127701.39964649314</v>
      </c>
      <c r="D26" s="13">
        <f t="shared" ref="D26:D31" si="0">IFERROR(C26-$C$26,"controlla le celle gialle del foglio 1")</f>
        <v>0</v>
      </c>
      <c r="E26" s="12">
        <f>IFERROR(IF('1 - Il tuo confronto'!$B$83,D39,"controlla le celle gialle del foglio 1"),"controlla le celle gialle del foglio 1")</f>
        <v>86862.494566504771</v>
      </c>
      <c r="F26" s="13">
        <f t="shared" ref="F26:F31" si="1">IFERROR(E26-$E$26,"controlla le celle gialle del foglio 1")</f>
        <v>0</v>
      </c>
      <c r="G26" s="12">
        <f>IFERROR(IF('1 - Il tuo confronto'!$B$83,E39,"controlla le celle gialle del foglio 1"),"controlla le celle gialle del foglio 1")</f>
        <v>107499.03573840493</v>
      </c>
      <c r="H26" s="13">
        <f t="shared" ref="H26:H31" si="2">IFERROR(G26-$G$26,"controlla le celle gialle del foglio 1")</f>
        <v>0</v>
      </c>
    </row>
    <row r="27" spans="1:8">
      <c r="A27" s="19" t="s">
        <v>187</v>
      </c>
      <c r="B27" s="17">
        <f>IFERROR($B$23,"controlla le celle gialle del foglio 1")</f>
        <v>1.1999999999999999E-3</v>
      </c>
      <c r="C27" s="12">
        <f>IFERROR(IF('1 - Il tuo confronto'!$B$83,C40,"controlla le celle gialle del foglio 1"),"controlla le celle gialle del foglio 1")</f>
        <v>129665.24291177452</v>
      </c>
      <c r="D27" s="13">
        <f t="shared" si="0"/>
        <v>1963.843265281379</v>
      </c>
      <c r="E27" s="12">
        <f>IFERROR(IF('1 - Il tuo confronto'!$B$83,D40,"controlla le celle gialle del foglio 1"),"controlla le celle gialle del foglio 1")</f>
        <v>88224.481758270485</v>
      </c>
      <c r="F27" s="13">
        <f t="shared" si="1"/>
        <v>1361.9871917657147</v>
      </c>
      <c r="G27" s="12">
        <f>IFERROR(IF('1 - Il tuo confronto'!$B$83,E40,"controlla le celle gialle del foglio 1"),"controlla le celle gialle del foglio 1")</f>
        <v>108952.27975471315</v>
      </c>
      <c r="H27" s="13">
        <f t="shared" si="2"/>
        <v>1453.244016308221</v>
      </c>
    </row>
    <row r="28" spans="1:8">
      <c r="A28" s="19" t="s">
        <v>188</v>
      </c>
      <c r="B28" s="17">
        <f>IFERROR($B$6,"controlla le celle gialle del foglio 1")</f>
        <v>1.7000000000000001E-2</v>
      </c>
      <c r="C28" s="12">
        <f>IFERROR(IF('1 - Il tuo confronto'!$B$83,C41,"controlla le celle gialle del foglio 1"),"controlla le celle gialle del foglio 1")</f>
        <v>95714.213435524769</v>
      </c>
      <c r="D28" s="13">
        <f t="shared" si="0"/>
        <v>-31987.186210968372</v>
      </c>
      <c r="E28" s="12">
        <f>IFERROR(IF('1 - Il tuo confronto'!$B$83,D41,"controlla le celle gialle del foglio 1"),"controlla le celle gialle del foglio 1")</f>
        <v>64737.945331381139</v>
      </c>
      <c r="F28" s="13">
        <f t="shared" si="1"/>
        <v>-22124.549235123632</v>
      </c>
      <c r="G28" s="12">
        <f>IFERROR(IF('1 - Il tuo confronto'!$B$83,E41,"controlla le celle gialle del foglio 1"),"controlla le celle gialle del foglio 1")</f>
        <v>83828.517942288323</v>
      </c>
      <c r="H28" s="13">
        <f t="shared" si="2"/>
        <v>-23670.517796116605</v>
      </c>
    </row>
    <row r="29" spans="1:8">
      <c r="A29" s="19" t="s">
        <v>189</v>
      </c>
      <c r="B29" s="17">
        <f>IFERROR('2 - Uscire prima'!$C$7,"controlla le celle gialle del foglio 1")</f>
        <v>1.9E-2</v>
      </c>
      <c r="C29" s="12">
        <f>IFERROR(IF('1 - Il tuo confronto'!$B$83,C42,"controlla le celle gialle del foglio 1"),"controlla le celle gialle del foglio 1")</f>
        <v>92075.335502895672</v>
      </c>
      <c r="D29" s="13">
        <f t="shared" si="0"/>
        <v>-35626.064143597469</v>
      </c>
      <c r="E29" s="12">
        <f>IFERROR(IF('1 - Il tuo confronto'!$B$83,D42,"controlla le celle gialle del foglio 1"),"controlla le celle gialle del foglio 1")</f>
        <v>62229.042139173071</v>
      </c>
      <c r="F29" s="13">
        <f t="shared" si="1"/>
        <v>-24633.4524273317</v>
      </c>
      <c r="G29" s="12">
        <f>IFERROR(IF('1 - Il tuo confronto'!$B$83,E42,"controlla le celle gialle del foglio 1"),"controlla le celle gialle del foglio 1")</f>
        <v>81135.748272142795</v>
      </c>
      <c r="H29" s="13">
        <f t="shared" si="2"/>
        <v>-26363.287466262133</v>
      </c>
    </row>
    <row r="30" spans="1:8">
      <c r="A30" s="19" t="s">
        <v>190</v>
      </c>
      <c r="B30" s="17">
        <f>IFERROR($C$6,"controlla le celle gialle del foglio 1")</f>
        <v>2.5000000000000001E-2</v>
      </c>
      <c r="C30" s="12">
        <f>IFERROR(IF('1 - Il tuo confronto'!$B$83,C43,"controlla le celle gialle del foglio 1"),"controlla le celle gialle del foglio 1")</f>
        <v>81930.822014520178</v>
      </c>
      <c r="D30" s="13">
        <f t="shared" si="0"/>
        <v>-45770.577631972963</v>
      </c>
      <c r="E30" s="12">
        <f>IFERROR(IF('1 - Il tuo confronto'!$B$83,D43,"controlla le celle gialle del foglio 1"),"controlla le celle gialle del foglio 1")</f>
        <v>55244.778859336664</v>
      </c>
      <c r="F30" s="13">
        <f t="shared" si="1"/>
        <v>-31617.715707168107</v>
      </c>
      <c r="G30" s="12">
        <f>IFERROR(IF('1 - Il tuo confronto'!$B$83,E43,"controlla le celle gialle del foglio 1"),"controlla le celle gialle del foglio 1")</f>
        <v>73628.808290744928</v>
      </c>
      <c r="H30" s="13">
        <f t="shared" si="2"/>
        <v>-33870.22744766</v>
      </c>
    </row>
    <row r="31" spans="1:8">
      <c r="A31" s="19" t="s">
        <v>191</v>
      </c>
      <c r="B31" s="17">
        <f>IFERROR($D$6,"controlla le celle gialle del foglio 1")</f>
        <v>2.9000000000000001E-2</v>
      </c>
      <c r="C31" s="12">
        <f>IFERROR(IF('1 - Il tuo confronto'!$B$83,C44,"controlla le celle gialle del foglio 1"),"controlla le celle gialle del foglio 1")</f>
        <v>75767.829458161737</v>
      </c>
      <c r="D31" s="13">
        <f t="shared" si="0"/>
        <v>-51933.570188331403</v>
      </c>
      <c r="E31" s="12">
        <f>IFERROR(IF('1 - Il tuo confronto'!$B$83,D44,"controlla le celle gialle del foglio 1"),"controlla le celle gialle del foglio 1")</f>
        <v>51009.55724302723</v>
      </c>
      <c r="F31" s="13">
        <f t="shared" si="1"/>
        <v>-35852.937323477541</v>
      </c>
      <c r="G31" s="12">
        <f>IFERROR(IF('1 - Il tuo confronto'!$B$83,E44,"controlla le celle gialle del foglio 1"),"controlla le celle gialle del foglio 1")</f>
        <v>69068.193799039684</v>
      </c>
      <c r="H31" s="13">
        <f t="shared" si="2"/>
        <v>-38430.841939365244</v>
      </c>
    </row>
    <row r="32" spans="1:8" ht="75" customHeight="1">
      <c r="A32" s="32" t="s">
        <v>192</v>
      </c>
      <c r="B32" s="30"/>
      <c r="C32" s="30"/>
      <c r="D32" s="30"/>
      <c r="E32" s="30"/>
      <c r="F32" s="30"/>
      <c r="G32" s="30"/>
      <c r="H32" s="30"/>
    </row>
    <row r="36" spans="1:8">
      <c r="A36" s="33" t="s">
        <v>103</v>
      </c>
      <c r="B36" s="30"/>
      <c r="C36" s="30"/>
      <c r="D36" s="30"/>
      <c r="E36" s="30"/>
      <c r="F36" s="30"/>
      <c r="G36" s="30"/>
      <c r="H36" s="30"/>
    </row>
    <row r="37" spans="1:8" ht="30" customHeight="1">
      <c r="A37" s="32" t="s">
        <v>104</v>
      </c>
      <c r="B37" s="30"/>
      <c r="C37" s="30"/>
      <c r="D37" s="30"/>
      <c r="E37" s="30"/>
      <c r="F37" s="30"/>
      <c r="G37" s="30"/>
      <c r="H37" s="30"/>
    </row>
    <row r="38" spans="1:8" ht="32.1" customHeight="1">
      <c r="A38" s="11" t="s">
        <v>178</v>
      </c>
      <c r="B38" s="11" t="s">
        <v>193</v>
      </c>
      <c r="C38" s="11" t="s">
        <v>194</v>
      </c>
      <c r="D38" s="11" t="s">
        <v>195</v>
      </c>
      <c r="E38" s="11" t="s">
        <v>196</v>
      </c>
      <c r="F38" s="11" t="s">
        <v>197</v>
      </c>
      <c r="G38" s="11" t="s">
        <v>96</v>
      </c>
    </row>
    <row r="39" spans="1:8">
      <c r="A39" s="16" t="str">
        <f t="shared" ref="A39:A44" si="3">A26</f>
        <v>ETF, costo del foglio 1</v>
      </c>
      <c r="B39" s="18">
        <f>1+'1 - Il tuo confronto'!$B$8-B26</f>
        <v>1.048</v>
      </c>
      <c r="C39" s="12">
        <f>IF(ABS(B39-1)&lt;0.000000000001,'1 - Il tuo confronto'!$B$5+'1 - Il tuo confronto'!$B$6*'1 - Il tuo confronto'!$B$7,'1 - Il tuo confronto'!$B$5*B39^'1 - Il tuo confronto'!$B$7+'1 - Il tuo confronto'!$B$6*(B39^'1 - Il tuo confronto'!$B$7-1)/(B39-1))</f>
        <v>127701.39964649314</v>
      </c>
      <c r="D39" s="12">
        <f>IF(ABS(F39-1)&lt;0.000000000001,'1 - Il tuo confronto'!$B$5+'1 - Il tuo confronto'!$B$6*'1 - Il tuo confronto'!$B$7,'1 - Il tuo confronto'!$B$5*F39^'1 - Il tuo confronto'!$B$7+'1 - Il tuo confronto'!$B$6*(F39^'1 - Il tuo confronto'!$B$7-1)/(F39-1))</f>
        <v>86862.494566504771</v>
      </c>
      <c r="E39" s="12">
        <f>C39-MAX(0,C39-G39)*'1 - Il tuo confronto'!$B$11</f>
        <v>107499.03573840493</v>
      </c>
      <c r="F39" s="18">
        <f t="shared" ref="F39:F44" si="4">1+$B$22-B26</f>
        <v>1.028</v>
      </c>
      <c r="G39" s="12">
        <f>'1 - Il tuo confronto'!$B$5+'1 - Il tuo confronto'!$B$6*'1 - Il tuo confronto'!$B$7</f>
        <v>50000</v>
      </c>
    </row>
    <row r="40" spans="1:8">
      <c r="A40" s="16" t="str">
        <f t="shared" si="3"/>
        <v>Portafoglio ETF 60/40</v>
      </c>
      <c r="B40" s="18">
        <f>1+'1 - Il tuo confronto'!$B$8-B27</f>
        <v>1.0488</v>
      </c>
      <c r="C40" s="12">
        <f>IF(ABS(B40-1)&lt;0.000000000001,'1 - Il tuo confronto'!$B$5+'1 - Il tuo confronto'!$B$6*'1 - Il tuo confronto'!$B$7,'1 - Il tuo confronto'!$B$5*B40^'1 - Il tuo confronto'!$B$7+'1 - Il tuo confronto'!$B$6*(B40^'1 - Il tuo confronto'!$B$7-1)/(B40-1))</f>
        <v>129665.24291177452</v>
      </c>
      <c r="D40" s="12">
        <f>IF(ABS(F40-1)&lt;0.000000000001,'1 - Il tuo confronto'!$B$5+'1 - Il tuo confronto'!$B$6*'1 - Il tuo confronto'!$B$7,'1 - Il tuo confronto'!$B$5*F40^'1 - Il tuo confronto'!$B$7+'1 - Il tuo confronto'!$B$6*(F40^'1 - Il tuo confronto'!$B$7-1)/(F40-1))</f>
        <v>88224.481758270485</v>
      </c>
      <c r="E40" s="12">
        <f>C40-MAX(0,C40-G40)*'1 - Il tuo confronto'!$B$11</f>
        <v>108952.27975471315</v>
      </c>
      <c r="F40" s="18">
        <f t="shared" si="4"/>
        <v>1.0287999999999999</v>
      </c>
      <c r="G40" s="12">
        <f>'1 - Il tuo confronto'!$B$5+'1 - Il tuo confronto'!$B$6*'1 - Il tuo confronto'!$B$7</f>
        <v>50000</v>
      </c>
    </row>
    <row r="41" spans="1:8">
      <c r="A41" s="16" t="str">
        <f t="shared" si="3"/>
        <v>Ramo I, media IVASS</v>
      </c>
      <c r="B41" s="18">
        <f>1+'1 - Il tuo confronto'!$B$8-B28</f>
        <v>1.0330000000000001</v>
      </c>
      <c r="C41" s="12">
        <f>IF(ABS(B41-1)&lt;0.000000000001,'1 - Il tuo confronto'!$B$5+'1 - Il tuo confronto'!$B$6*'1 - Il tuo confronto'!$B$7,'1 - Il tuo confronto'!$B$5*B41^'1 - Il tuo confronto'!$B$7+'1 - Il tuo confronto'!$B$6*(B41^'1 - Il tuo confronto'!$B$7-1)/(B41-1))</f>
        <v>95714.213435524769</v>
      </c>
      <c r="D41" s="12">
        <f>IF(ABS(F41-1)&lt;0.000000000001,'1 - Il tuo confronto'!$B$5+'1 - Il tuo confronto'!$B$6*'1 - Il tuo confronto'!$B$7,'1 - Il tuo confronto'!$B$5*F41^'1 - Il tuo confronto'!$B$7+'1 - Il tuo confronto'!$B$6*(F41^'1 - Il tuo confronto'!$B$7-1)/(F41-1))</f>
        <v>64737.945331381139</v>
      </c>
      <c r="E41" s="12">
        <f>C41-MAX(0,C41-G41)*'1 - Il tuo confronto'!$B$11</f>
        <v>83828.517942288323</v>
      </c>
      <c r="F41" s="18">
        <f t="shared" si="4"/>
        <v>1.0130000000000001</v>
      </c>
      <c r="G41" s="12">
        <f>'1 - Il tuo confronto'!$B$5+'1 - Il tuo confronto'!$B$6*'1 - Il tuo confronto'!$B$7</f>
        <v>50000</v>
      </c>
    </row>
    <row r="42" spans="1:8">
      <c r="A42" s="16" t="str">
        <f t="shared" si="3"/>
        <v>Prodotto B (KID, periodo raccomandato)</v>
      </c>
      <c r="B42" s="18">
        <f>1+'1 - Il tuo confronto'!$B$8-B29</f>
        <v>1.0310000000000001</v>
      </c>
      <c r="C42" s="12">
        <f>IF(ABS(B42-1)&lt;0.000000000001,'1 - Il tuo confronto'!$B$5+'1 - Il tuo confronto'!$B$6*'1 - Il tuo confronto'!$B$7,'1 - Il tuo confronto'!$B$5*B42^'1 - Il tuo confronto'!$B$7+'1 - Il tuo confronto'!$B$6*(B42^'1 - Il tuo confronto'!$B$7-1)/(B42-1))</f>
        <v>92075.335502895672</v>
      </c>
      <c r="D42" s="12">
        <f>IF(ABS(F42-1)&lt;0.000000000001,'1 - Il tuo confronto'!$B$5+'1 - Il tuo confronto'!$B$6*'1 - Il tuo confronto'!$B$7,'1 - Il tuo confronto'!$B$5*F42^'1 - Il tuo confronto'!$B$7+'1 - Il tuo confronto'!$B$6*(F42^'1 - Il tuo confronto'!$B$7-1)/(F42-1))</f>
        <v>62229.042139173071</v>
      </c>
      <c r="E42" s="12">
        <f>C42-MAX(0,C42-G42)*'1 - Il tuo confronto'!$B$11</f>
        <v>81135.748272142795</v>
      </c>
      <c r="F42" s="18">
        <f t="shared" si="4"/>
        <v>1.0110000000000001</v>
      </c>
      <c r="G42" s="12">
        <f>'1 - Il tuo confronto'!$B$5+'1 - Il tuo confronto'!$B$6*'1 - Il tuo confronto'!$B$7</f>
        <v>50000</v>
      </c>
    </row>
    <row r="43" spans="1:8">
      <c r="A43" s="16" t="str">
        <f t="shared" si="3"/>
        <v>Multiramo, media IVASS</v>
      </c>
      <c r="B43" s="18">
        <f>1+'1 - Il tuo confronto'!$B$8-B30</f>
        <v>1.0250000000000001</v>
      </c>
      <c r="C43" s="12">
        <f>IF(ABS(B43-1)&lt;0.000000000001,'1 - Il tuo confronto'!$B$5+'1 - Il tuo confronto'!$B$6*'1 - Il tuo confronto'!$B$7,'1 - Il tuo confronto'!$B$5*B43^'1 - Il tuo confronto'!$B$7+'1 - Il tuo confronto'!$B$6*(B43^'1 - Il tuo confronto'!$B$7-1)/(B43-1))</f>
        <v>81930.822014520178</v>
      </c>
      <c r="D43" s="12">
        <f>IF(ABS(F43-1)&lt;0.000000000001,'1 - Il tuo confronto'!$B$5+'1 - Il tuo confronto'!$B$6*'1 - Il tuo confronto'!$B$7,'1 - Il tuo confronto'!$B$5*F43^'1 - Il tuo confronto'!$B$7+'1 - Il tuo confronto'!$B$6*(F43^'1 - Il tuo confronto'!$B$7-1)/(F43-1))</f>
        <v>55244.778859336664</v>
      </c>
      <c r="E43" s="12">
        <f>C43-MAX(0,C43-G43)*'1 - Il tuo confronto'!$B$11</f>
        <v>73628.808290744928</v>
      </c>
      <c r="F43" s="18">
        <f t="shared" si="4"/>
        <v>1.0050000000000001</v>
      </c>
      <c r="G43" s="12">
        <f>'1 - Il tuo confronto'!$B$5+'1 - Il tuo confronto'!$B$6*'1 - Il tuo confronto'!$B$7</f>
        <v>50000</v>
      </c>
    </row>
    <row r="44" spans="1:8">
      <c r="A44" s="16" t="str">
        <f t="shared" si="3"/>
        <v>Unit linked, media IVASS</v>
      </c>
      <c r="B44" s="18">
        <f>1+'1 - Il tuo confronto'!$B$8-B31</f>
        <v>1.0210000000000001</v>
      </c>
      <c r="C44" s="12">
        <f>IF(ABS(B44-1)&lt;0.000000000001,'1 - Il tuo confronto'!$B$5+'1 - Il tuo confronto'!$B$6*'1 - Il tuo confronto'!$B$7,'1 - Il tuo confronto'!$B$5*B44^'1 - Il tuo confronto'!$B$7+'1 - Il tuo confronto'!$B$6*(B44^'1 - Il tuo confronto'!$B$7-1)/(B44-1))</f>
        <v>75767.829458161737</v>
      </c>
      <c r="D44" s="12">
        <f>IF(ABS(F44-1)&lt;0.000000000001,'1 - Il tuo confronto'!$B$5+'1 - Il tuo confronto'!$B$6*'1 - Il tuo confronto'!$B$7,'1 - Il tuo confronto'!$B$5*F44^'1 - Il tuo confronto'!$B$7+'1 - Il tuo confronto'!$B$6*(F44^'1 - Il tuo confronto'!$B$7-1)/(F44-1))</f>
        <v>51009.55724302723</v>
      </c>
      <c r="E44" s="12">
        <f>C44-MAX(0,C44-G44)*'1 - Il tuo confronto'!$B$11</f>
        <v>69068.193799039684</v>
      </c>
      <c r="F44" s="18">
        <f t="shared" si="4"/>
        <v>1.0010000000000001</v>
      </c>
      <c r="G44" s="12">
        <f>'1 - Il tuo confronto'!$B$5+'1 - Il tuo confronto'!$B$6*'1 - Il tuo confronto'!$B$7</f>
        <v>50000</v>
      </c>
    </row>
  </sheetData>
  <mergeCells count="18">
    <mergeCell ref="A1:H1"/>
    <mergeCell ref="A37:H37"/>
    <mergeCell ref="A32:H32"/>
    <mergeCell ref="C15:H15"/>
    <mergeCell ref="A2:H2"/>
    <mergeCell ref="C17:H17"/>
    <mergeCell ref="C22:H22"/>
    <mergeCell ref="C23:H23"/>
    <mergeCell ref="A36:H36"/>
    <mergeCell ref="A11:H11"/>
    <mergeCell ref="C18:H18"/>
    <mergeCell ref="A4:H4"/>
    <mergeCell ref="C20:H20"/>
    <mergeCell ref="C16:H16"/>
    <mergeCell ref="C19:H19"/>
    <mergeCell ref="A21:H21"/>
    <mergeCell ref="C14:H14"/>
    <mergeCell ref="C13:H13"/>
  </mergeCells>
  <dataValidations count="2">
    <dataValidation type="decimal" allowBlank="1" errorTitle="Valore non valido" error="Valore fuori dal campo del simulatore" sqref="B22">
      <formula1>-0.2</formula1>
      <formula2>0.3</formula2>
    </dataValidation>
    <dataValidation type="decimal" allowBlank="1" errorTitle="Valore non valido" error="Valore fuori dal campo del simulatore" sqref="B23">
      <formula1>0</formula1>
      <formula2>0.15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/>
  </sheetViews>
  <sheetFormatPr defaultRowHeight="15"/>
  <cols>
    <col min="1" max="1" width="62" customWidth="1"/>
    <col min="2" max="2" width="26" customWidth="1"/>
    <col min="3" max="3" width="13.140625" customWidth="1"/>
    <col min="4" max="4" width="8" customWidth="1"/>
  </cols>
  <sheetData>
    <row r="1" spans="1:5" ht="24.95" customHeight="1">
      <c r="A1" s="31" t="s">
        <v>198</v>
      </c>
      <c r="B1" s="30"/>
      <c r="C1" s="30"/>
      <c r="D1" s="30"/>
      <c r="E1" s="30"/>
    </row>
    <row r="2" spans="1:5" ht="32.1" customHeight="1">
      <c r="A2" s="29" t="s">
        <v>1</v>
      </c>
      <c r="B2" s="30"/>
      <c r="C2" s="30"/>
      <c r="D2" s="30"/>
      <c r="E2" s="30"/>
    </row>
    <row r="4" spans="1:5">
      <c r="A4" s="33" t="s">
        <v>199</v>
      </c>
      <c r="B4" s="30"/>
      <c r="C4" s="30"/>
      <c r="D4" s="30"/>
      <c r="E4" s="30"/>
    </row>
    <row r="5" spans="1:5" ht="45" customHeight="1">
      <c r="A5" s="5" t="s">
        <v>200</v>
      </c>
      <c r="B5" s="6">
        <v>1200000</v>
      </c>
      <c r="C5" s="32" t="s">
        <v>201</v>
      </c>
      <c r="D5" s="30"/>
      <c r="E5" s="30"/>
    </row>
    <row r="6" spans="1:5" ht="30" customHeight="1">
      <c r="A6" s="5" t="s">
        <v>202</v>
      </c>
      <c r="B6" s="6">
        <v>300000</v>
      </c>
      <c r="C6" s="32" t="s">
        <v>203</v>
      </c>
      <c r="D6" s="30"/>
      <c r="E6" s="30"/>
    </row>
    <row r="7" spans="1:5" ht="45" customHeight="1">
      <c r="A7" s="5" t="s">
        <v>204</v>
      </c>
      <c r="B7" s="10" t="s">
        <v>205</v>
      </c>
      <c r="C7" s="32" t="s">
        <v>206</v>
      </c>
      <c r="D7" s="30"/>
      <c r="E7" s="30"/>
    </row>
    <row r="8" spans="1:5" ht="30" customHeight="1">
      <c r="A8" s="5" t="s">
        <v>207</v>
      </c>
      <c r="B8" s="10" t="s">
        <v>61</v>
      </c>
      <c r="C8" s="32" t="s">
        <v>208</v>
      </c>
      <c r="D8" s="30"/>
      <c r="E8" s="30"/>
    </row>
    <row r="10" spans="1:5">
      <c r="A10" s="33" t="s">
        <v>209</v>
      </c>
      <c r="B10" s="30"/>
      <c r="C10" s="30"/>
      <c r="D10" s="30"/>
      <c r="E10" s="30"/>
    </row>
    <row r="11" spans="1:5" ht="32.1" customHeight="1">
      <c r="A11" s="11" t="s">
        <v>210</v>
      </c>
      <c r="B11" s="11" t="s">
        <v>211</v>
      </c>
      <c r="C11" s="11" t="s">
        <v>212</v>
      </c>
      <c r="D11" s="11" t="s">
        <v>125</v>
      </c>
    </row>
    <row r="12" spans="1:5" ht="120" customHeight="1">
      <c r="A12" s="19" t="s">
        <v>205</v>
      </c>
      <c r="B12" s="20">
        <v>0.04</v>
      </c>
      <c r="C12" s="25">
        <v>1000000</v>
      </c>
      <c r="D12" s="32" t="s">
        <v>213</v>
      </c>
      <c r="E12" s="30"/>
    </row>
    <row r="13" spans="1:5" ht="120" customHeight="1">
      <c r="A13" s="19" t="s">
        <v>214</v>
      </c>
      <c r="B13" s="20">
        <v>0.06</v>
      </c>
      <c r="C13" s="25">
        <v>100000</v>
      </c>
      <c r="D13" s="32" t="s">
        <v>213</v>
      </c>
      <c r="E13" s="30"/>
    </row>
    <row r="14" spans="1:5" ht="120" customHeight="1">
      <c r="A14" s="19" t="s">
        <v>215</v>
      </c>
      <c r="B14" s="20">
        <v>0.06</v>
      </c>
      <c r="C14" s="25">
        <v>0</v>
      </c>
      <c r="D14" s="32" t="s">
        <v>213</v>
      </c>
      <c r="E14" s="30"/>
    </row>
    <row r="15" spans="1:5" ht="120" customHeight="1">
      <c r="A15" s="19" t="s">
        <v>216</v>
      </c>
      <c r="B15" s="20">
        <v>0.08</v>
      </c>
      <c r="C15" s="25">
        <v>0</v>
      </c>
      <c r="D15" s="32" t="s">
        <v>213</v>
      </c>
      <c r="E15" s="30"/>
    </row>
    <row r="16" spans="1:5" ht="105" customHeight="1">
      <c r="A16" s="5" t="s">
        <v>217</v>
      </c>
      <c r="C16" s="25">
        <v>1500000</v>
      </c>
      <c r="D16" s="32" t="s">
        <v>218</v>
      </c>
      <c r="E16" s="30"/>
    </row>
    <row r="18" spans="1:5">
      <c r="A18" s="33" t="s">
        <v>219</v>
      </c>
      <c r="B18" s="30"/>
      <c r="C18" s="30"/>
      <c r="D18" s="30"/>
      <c r="E18" s="30"/>
    </row>
    <row r="19" spans="1:5">
      <c r="A19" s="5" t="s">
        <v>220</v>
      </c>
      <c r="B19" s="12">
        <f>IFERROR(IF($B$54,MAX(0,B5+B6-$B$52)*$B$53,"controlla le celle gialle del foglio 4"),"controlla le celle gialle")</f>
        <v>20000</v>
      </c>
    </row>
    <row r="20" spans="1:5">
      <c r="A20" s="5" t="s">
        <v>221</v>
      </c>
      <c r="B20" s="12">
        <f>IFERROR(IF($B$54,MAX(0,B5-$B$52)*$B$53,"controlla le celle gialle del foglio 4"),"controlla le celle gialle")</f>
        <v>8000</v>
      </c>
    </row>
    <row r="21" spans="1:5">
      <c r="A21" s="5" t="s">
        <v>222</v>
      </c>
      <c r="B21" s="12">
        <f>IFERROR(B19-B20,"controlla le celle gialle")</f>
        <v>12000</v>
      </c>
    </row>
    <row r="22" spans="1:5">
      <c r="A22" s="5" t="s">
        <v>223</v>
      </c>
      <c r="B22" s="12">
        <f>IFERROR(B21,"controlla le celle gialle")</f>
        <v>12000</v>
      </c>
    </row>
    <row r="23" spans="1:5" ht="30">
      <c r="A23" s="5" t="s">
        <v>224</v>
      </c>
      <c r="B23" s="12">
        <f>IFERROR(IF('1 - Il tuo confronto'!$B$83,B6*(('1 - Il tuo confronto'!$B$88/'1 - Il tuo confronto'!$B$89)^'1 - Il tuo confronto'!$B$7-1),"controlla le celle gialle del foglio 1"),"controlla le celle gialle")</f>
        <v>205629.10628319398</v>
      </c>
    </row>
    <row r="24" spans="1:5">
      <c r="A24" s="5" t="s">
        <v>225</v>
      </c>
      <c r="B24" s="13">
        <f>IFERROR(B21-B23,"controlla le celle gialle")</f>
        <v>-193629.10628319398</v>
      </c>
    </row>
    <row r="25" spans="1:5" ht="45">
      <c r="A25" s="5" t="s">
        <v>226</v>
      </c>
      <c r="B25" s="26" t="str">
        <f>IFERROR(IF(B24&gt;0,"il risparmio sulla successione supera il costo in più","il costo in più della polizza supera il risparmio sulla successione"),"controlla le celle gialle")</f>
        <v>il costo in più della polizza supera il risparmio sulla successione</v>
      </c>
    </row>
    <row r="26" spans="1:5" ht="180" customHeight="1">
      <c r="A26" s="32" t="s">
        <v>227</v>
      </c>
      <c r="B26" s="30"/>
      <c r="C26" s="30"/>
      <c r="D26" s="30"/>
      <c r="E26" s="30"/>
    </row>
    <row r="28" spans="1:5">
      <c r="A28" s="33" t="s">
        <v>228</v>
      </c>
      <c r="B28" s="30"/>
      <c r="C28" s="30"/>
      <c r="D28" s="30"/>
      <c r="E28" s="30"/>
    </row>
    <row r="29" spans="1:5" ht="48" customHeight="1">
      <c r="A29" s="5" t="s">
        <v>229</v>
      </c>
      <c r="B29" s="34" t="s">
        <v>230</v>
      </c>
      <c r="C29" s="35"/>
      <c r="D29" s="35"/>
      <c r="E29" s="36"/>
    </row>
    <row r="30" spans="1:5" ht="48" customHeight="1">
      <c r="A30" s="5" t="s">
        <v>231</v>
      </c>
      <c r="B30" s="34" t="s">
        <v>232</v>
      </c>
      <c r="C30" s="35"/>
      <c r="D30" s="35"/>
      <c r="E30" s="36"/>
    </row>
    <row r="31" spans="1:5" ht="48" customHeight="1">
      <c r="A31" s="5" t="s">
        <v>233</v>
      </c>
      <c r="B31" s="34" t="s">
        <v>234</v>
      </c>
      <c r="C31" s="35"/>
      <c r="D31" s="35"/>
      <c r="E31" s="36"/>
    </row>
    <row r="32" spans="1:5" ht="48" customHeight="1">
      <c r="A32" s="5" t="s">
        <v>235</v>
      </c>
      <c r="B32" s="34" t="s">
        <v>236</v>
      </c>
      <c r="C32" s="35"/>
      <c r="D32" s="35"/>
      <c r="E32" s="36"/>
    </row>
    <row r="33" spans="1:5" ht="48" customHeight="1">
      <c r="A33" s="5" t="s">
        <v>237</v>
      </c>
      <c r="B33" s="34" t="s">
        <v>238</v>
      </c>
      <c r="C33" s="35"/>
      <c r="D33" s="35"/>
      <c r="E33" s="36"/>
    </row>
    <row r="35" spans="1:5">
      <c r="A35" s="33" t="s">
        <v>239</v>
      </c>
      <c r="B35" s="30"/>
      <c r="C35" s="30"/>
      <c r="D35" s="30"/>
      <c r="E35" s="30"/>
    </row>
    <row r="36" spans="1:5" ht="36" customHeight="1">
      <c r="A36" s="5" t="s">
        <v>240</v>
      </c>
      <c r="B36" s="34" t="s">
        <v>241</v>
      </c>
      <c r="C36" s="35"/>
      <c r="D36" s="35"/>
      <c r="E36" s="36"/>
    </row>
    <row r="37" spans="1:5" ht="36" customHeight="1">
      <c r="A37" s="5" t="s">
        <v>242</v>
      </c>
      <c r="B37" s="34" t="s">
        <v>243</v>
      </c>
      <c r="C37" s="35"/>
      <c r="D37" s="35"/>
      <c r="E37" s="36"/>
    </row>
    <row r="38" spans="1:5" ht="36" customHeight="1">
      <c r="A38" s="5" t="s">
        <v>244</v>
      </c>
      <c r="B38" s="34" t="s">
        <v>245</v>
      </c>
      <c r="C38" s="35"/>
      <c r="D38" s="35"/>
      <c r="E38" s="36"/>
    </row>
    <row r="50" spans="1:5">
      <c r="A50" s="33" t="s">
        <v>103</v>
      </c>
      <c r="B50" s="30"/>
      <c r="C50" s="30"/>
      <c r="D50" s="30"/>
      <c r="E50" s="30"/>
    </row>
    <row r="51" spans="1:5" ht="30" customHeight="1">
      <c r="A51" s="32" t="s">
        <v>104</v>
      </c>
      <c r="B51" s="30"/>
      <c r="C51" s="30"/>
      <c r="D51" s="30"/>
      <c r="E51" s="30"/>
    </row>
    <row r="52" spans="1:5">
      <c r="A52" s="5" t="s">
        <v>246</v>
      </c>
      <c r="B52" s="12">
        <f>IF(B8="sì",$C$16,INDEX($C$12:$C$15,MATCH(B7,$A$12:$A$15,0)))</f>
        <v>1000000</v>
      </c>
    </row>
    <row r="53" spans="1:5">
      <c r="A53" s="5" t="s">
        <v>247</v>
      </c>
      <c r="B53" s="28">
        <f>INDEX($B$12:$B$15,MATCH(B7,$A$12:$A$15,0))</f>
        <v>0.04</v>
      </c>
    </row>
    <row r="54" spans="1:5">
      <c r="A54" s="5" t="s">
        <v>105</v>
      </c>
      <c r="B54" s="16" t="b">
        <f>IFERROR(AND(ISNUMBER(B5),B5&gt;=0,ISNUMBER(B6),B6&gt;=0,ISNUMBER($B$52),ISNUMBER($B$53)),FALSE)</f>
        <v>1</v>
      </c>
    </row>
  </sheetData>
  <mergeCells count="27">
    <mergeCell ref="B38:E38"/>
    <mergeCell ref="B29:E29"/>
    <mergeCell ref="D14:E14"/>
    <mergeCell ref="B37:E37"/>
    <mergeCell ref="C6:E6"/>
    <mergeCell ref="A35:E35"/>
    <mergeCell ref="A4:E4"/>
    <mergeCell ref="C5:E5"/>
    <mergeCell ref="D15:E15"/>
    <mergeCell ref="A10:E10"/>
    <mergeCell ref="A28:E28"/>
    <mergeCell ref="B30:E30"/>
    <mergeCell ref="A51:E51"/>
    <mergeCell ref="B33:E33"/>
    <mergeCell ref="A1:E1"/>
    <mergeCell ref="B36:E36"/>
    <mergeCell ref="B32:E32"/>
    <mergeCell ref="D13:E13"/>
    <mergeCell ref="C8:E8"/>
    <mergeCell ref="C7:E7"/>
    <mergeCell ref="A18:E18"/>
    <mergeCell ref="B31:E31"/>
    <mergeCell ref="D16:E16"/>
    <mergeCell ref="A50:E50"/>
    <mergeCell ref="A26:E26"/>
    <mergeCell ref="A2:E2"/>
    <mergeCell ref="D12:E12"/>
  </mergeCells>
  <dataValidations count="4">
    <dataValidation type="list" errorTitle="Valore non valido" error="Scegli un valore dall'elenco" sqref="B7">
      <formula1>"coniuge o figli,fratelli o sorelle,altri parenti fino al 4° grado o affini,altri"</formula1>
    </dataValidation>
    <dataValidation type="list" errorTitle="Valore non valido" error="Scegli un valore dall'elenco" sqref="B8">
      <formula1>"sì,no"</formula1>
    </dataValidation>
    <dataValidation type="decimal" allowBlank="1" errorTitle="Valore non valido" error="Valore fuori dal campo del simulatore" sqref="B5">
      <formula1>0</formula1>
      <formula2>1000000000</formula2>
    </dataValidation>
    <dataValidation type="decimal" allowBlank="1" errorTitle="Valore non valido" error="Valore fuori dal campo del simulatore" sqref="B6">
      <formula1>0</formula1>
      <formula2>1000000000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cols>
    <col min="1" max="1" width="62" customWidth="1"/>
    <col min="2" max="4" width="40" customWidth="1"/>
  </cols>
  <sheetData>
    <row r="1" spans="1:4" ht="24.95" customHeight="1">
      <c r="A1" s="31" t="s">
        <v>248</v>
      </c>
      <c r="B1" s="30"/>
      <c r="C1" s="30"/>
      <c r="D1" s="30"/>
    </row>
    <row r="2" spans="1:4" ht="32.1" customHeight="1">
      <c r="A2" s="29" t="s">
        <v>1</v>
      </c>
      <c r="B2" s="30"/>
      <c r="C2" s="30"/>
      <c r="D2" s="30"/>
    </row>
    <row r="4" spans="1:4">
      <c r="A4" s="33" t="s">
        <v>249</v>
      </c>
      <c r="B4" s="30"/>
      <c r="C4" s="30"/>
      <c r="D4" s="30"/>
    </row>
    <row r="5" spans="1:4" ht="32.1" customHeight="1">
      <c r="A5" s="11" t="s">
        <v>250</v>
      </c>
      <c r="B5" s="11" t="s">
        <v>251</v>
      </c>
      <c r="C5" s="11" t="s">
        <v>252</v>
      </c>
      <c r="D5" s="11" t="s">
        <v>253</v>
      </c>
    </row>
    <row r="6" spans="1:4" ht="63.95" customHeight="1">
      <c r="A6" s="27" t="s">
        <v>254</v>
      </c>
      <c r="B6" s="27" t="s">
        <v>255</v>
      </c>
      <c r="C6" s="27" t="s">
        <v>256</v>
      </c>
      <c r="D6" s="27" t="s">
        <v>257</v>
      </c>
    </row>
    <row r="7" spans="1:4" ht="63.95" customHeight="1">
      <c r="A7" s="27" t="s">
        <v>258</v>
      </c>
      <c r="B7" s="27" t="s">
        <v>259</v>
      </c>
      <c r="C7" s="27" t="s">
        <v>260</v>
      </c>
      <c r="D7" s="27" t="s">
        <v>261</v>
      </c>
    </row>
    <row r="8" spans="1:4" ht="63.95" customHeight="1">
      <c r="A8" s="27" t="s">
        <v>262</v>
      </c>
      <c r="B8" s="27" t="s">
        <v>263</v>
      </c>
      <c r="C8" s="27" t="s">
        <v>264</v>
      </c>
      <c r="D8" s="27" t="s">
        <v>265</v>
      </c>
    </row>
    <row r="9" spans="1:4" ht="63.95" customHeight="1">
      <c r="A9" s="27" t="s">
        <v>266</v>
      </c>
      <c r="B9" s="27" t="s">
        <v>267</v>
      </c>
      <c r="C9" s="27" t="s">
        <v>268</v>
      </c>
      <c r="D9" s="27" t="s">
        <v>269</v>
      </c>
    </row>
    <row r="10" spans="1:4" ht="63.95" customHeight="1">
      <c r="A10" s="27" t="s">
        <v>270</v>
      </c>
      <c r="B10" s="27" t="s">
        <v>271</v>
      </c>
      <c r="C10" s="27" t="s">
        <v>272</v>
      </c>
      <c r="D10" s="27" t="s">
        <v>273</v>
      </c>
    </row>
    <row r="11" spans="1:4" ht="63.95" customHeight="1">
      <c r="A11" s="27" t="s">
        <v>274</v>
      </c>
      <c r="B11" s="27" t="s">
        <v>275</v>
      </c>
      <c r="C11" s="27" t="s">
        <v>276</v>
      </c>
      <c r="D11" s="27" t="s">
        <v>277</v>
      </c>
    </row>
    <row r="13" spans="1:4">
      <c r="A13" s="33" t="s">
        <v>278</v>
      </c>
      <c r="B13" s="30"/>
      <c r="C13" s="30"/>
      <c r="D13" s="30"/>
    </row>
    <row r="14" spans="1:4">
      <c r="A14" s="5" t="s">
        <v>279</v>
      </c>
      <c r="B14" s="6">
        <v>346</v>
      </c>
    </row>
    <row r="15" spans="1:4" ht="15" customHeight="1">
      <c r="A15" s="5" t="s">
        <v>280</v>
      </c>
      <c r="B15" s="6">
        <v>10000</v>
      </c>
      <c r="C15" s="32" t="s">
        <v>281</v>
      </c>
      <c r="D15" s="30"/>
    </row>
    <row r="16" spans="1:4" ht="30" customHeight="1">
      <c r="A16" s="5" t="s">
        <v>282</v>
      </c>
      <c r="B16" s="9">
        <v>1.9E-2</v>
      </c>
      <c r="C16" s="32" t="s">
        <v>283</v>
      </c>
      <c r="D16" s="30"/>
    </row>
    <row r="18" spans="1:4">
      <c r="A18" s="33" t="s">
        <v>284</v>
      </c>
      <c r="B18" s="30"/>
      <c r="C18" s="30"/>
      <c r="D18" s="30"/>
    </row>
    <row r="19" spans="1:4">
      <c r="A19" s="5" t="s">
        <v>285</v>
      </c>
      <c r="B19" s="17">
        <f>IFERROR(B14/B15,"controlla le celle gialle del foglio 1")</f>
        <v>3.4599999999999999E-2</v>
      </c>
    </row>
    <row r="20" spans="1:4">
      <c r="A20" s="5" t="s">
        <v>286</v>
      </c>
      <c r="B20" s="12">
        <f>IFERROR(B19*'1 - Il tuo confronto'!$B$5,"controlla le celle gialle del foglio 1")</f>
        <v>1730</v>
      </c>
    </row>
    <row r="21" spans="1:4">
      <c r="A21" s="5" t="s">
        <v>287</v>
      </c>
      <c r="B21" s="12">
        <f>IFERROR(IF('1 - Il tuo confronto'!$B$83,$B$33,"controlla le celle gialle del foglio 1"),"controlla le celle gialle del foglio 1")</f>
        <v>92075.335502895672</v>
      </c>
    </row>
    <row r="22" spans="1:4">
      <c r="A22" s="5" t="s">
        <v>288</v>
      </c>
      <c r="B22" s="12">
        <f>IFERROR(IF('1 - Il tuo confronto'!$B$83,$B$34,"controlla le celle gialle del foglio 1"),"controlla le celle gialle del foglio 1")</f>
        <v>127701.39964649314</v>
      </c>
    </row>
    <row r="23" spans="1:4">
      <c r="A23" s="5" t="s">
        <v>289</v>
      </c>
      <c r="B23" s="12">
        <f>IFERROR(B22-B21,"controlla le celle gialle del foglio 1")</f>
        <v>35626.064143597469</v>
      </c>
    </row>
    <row r="24" spans="1:4" ht="75" customHeight="1">
      <c r="A24" s="32" t="s">
        <v>290</v>
      </c>
      <c r="B24" s="30"/>
      <c r="C24" s="30"/>
      <c r="D24" s="30"/>
    </row>
    <row r="30" spans="1:4">
      <c r="A30" s="33" t="s">
        <v>103</v>
      </c>
      <c r="B30" s="30"/>
      <c r="C30" s="30"/>
      <c r="D30" s="30"/>
    </row>
    <row r="31" spans="1:4" ht="45" customHeight="1">
      <c r="A31" s="32" t="s">
        <v>104</v>
      </c>
      <c r="B31" s="30"/>
      <c r="C31" s="30"/>
      <c r="D31" s="30"/>
    </row>
    <row r="32" spans="1:4">
      <c r="A32" s="5" t="s">
        <v>291</v>
      </c>
      <c r="B32" s="18">
        <f>1+'1 - Il tuo confronto'!$B$8-B16</f>
        <v>1.0310000000000001</v>
      </c>
    </row>
    <row r="33" spans="1:2">
      <c r="A33" s="5" t="s">
        <v>292</v>
      </c>
      <c r="B33" s="12">
        <f>IF(ABS($B$32-1)&lt;0.000000000001,'1 - Il tuo confronto'!$B$5+'1 - Il tuo confronto'!$B$6*'1 - Il tuo confronto'!$B$7,'1 - Il tuo confronto'!$B$5*$B$32^'1 - Il tuo confronto'!$B$7+'1 - Il tuo confronto'!$B$6*($B$32^'1 - Il tuo confronto'!$B$7-1)/($B$32-1))</f>
        <v>92075.335502895672</v>
      </c>
    </row>
    <row r="34" spans="1:2">
      <c r="A34" s="5" t="s">
        <v>293</v>
      </c>
      <c r="B34" s="12">
        <f>IF(ABS((1+'1 - Il tuo confronto'!$B$8-'1 - Il tuo confronto'!$B$10)-1)&lt;0.000000000001,'1 - Il tuo confronto'!$B$5+'1 - Il tuo confronto'!$B$6*'1 - Il tuo confronto'!$B$7,'1 - Il tuo confronto'!$B$5*(1+'1 - Il tuo confronto'!$B$8-'1 - Il tuo confronto'!$B$10)^'1 - Il tuo confronto'!$B$7+'1 - Il tuo confronto'!$B$6*((1+'1 - Il tuo confronto'!$B$8-'1 - Il tuo confronto'!$B$10)^'1 - Il tuo confronto'!$B$7-1)/((1+'1 - Il tuo confronto'!$B$8-'1 - Il tuo confronto'!$B$10)-1))</f>
        <v>127701.39964649314</v>
      </c>
    </row>
  </sheetData>
  <mergeCells count="10">
    <mergeCell ref="A1:D1"/>
    <mergeCell ref="A18:D18"/>
    <mergeCell ref="A31:D31"/>
    <mergeCell ref="C16:D16"/>
    <mergeCell ref="C15:D15"/>
    <mergeCell ref="A4:D4"/>
    <mergeCell ref="A30:D30"/>
    <mergeCell ref="A24:D24"/>
    <mergeCell ref="A2:D2"/>
    <mergeCell ref="A13:D13"/>
  </mergeCells>
  <dataValidations count="3">
    <dataValidation type="decimal" allowBlank="1" errorTitle="Valore non valido" error="Valore fuori dal campo del simulatore" sqref="B14">
      <formula1>0</formula1>
      <formula2>10000000</formula2>
    </dataValidation>
    <dataValidation type="decimal" allowBlank="1" errorTitle="Valore non valido" error="Valore fuori dal campo del simulatore" sqref="B15">
      <formula1>1</formula1>
      <formula2>10000000</formula2>
    </dataValidation>
    <dataValidation type="decimal" allowBlank="1" errorTitle="Valore non valido" error="Valore fuori dal campo del simulatore" sqref="B16">
      <formula1>0</formula1>
      <formula2>0.15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0 - Indice</vt:lpstr>
      <vt:lpstr>1 - Il tuo confronto</vt:lpstr>
      <vt:lpstr>2 - Uscire prima</vt:lpstr>
      <vt:lpstr>3 - Le medie IVASS</vt:lpstr>
      <vt:lpstr>4 - Quando la polizza ha senso</vt:lpstr>
      <vt:lpstr>5 - Come leggere il KID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2026-10-01T06:49:55Z</dcterms:created>
  <dcterms:modified xsi:type="dcterms:W3CDTF">2026-10-01T06:49:57Z</dcterms:modified>
</cp:coreProperties>
</file>