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 - Indice" sheetId="1" state="visible" r:id="rId1"/>
    <sheet name="1 - COSTO" sheetId="2" state="visible" r:id="rId2"/>
    <sheet name="2 - PENSIONE" sheetId="3" state="visible" r:id="rId3"/>
    <sheet name="3 - CONFRONTO" sheetId="4" state="visible" r:id="rId4"/>
    <sheet name="4 - ORDIN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&quot; €&quot;"/>
    <numFmt numFmtId="165" formatCode="0.0%"/>
    <numFmt numFmtId="166" formatCode="0.000%"/>
    <numFmt numFmtId="167" formatCode="0.0"/>
    <numFmt numFmtId="168" formatCode="#,##0&quot; €&quot;"/>
    <numFmt numFmtId="169" formatCode="0.00&quot;x&quot;"/>
  </numFmts>
  <fonts count="8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AFAF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 wrapText="1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6" fontId="5" fillId="4" borderId="1" applyAlignment="1" pivotButton="0" quotePrefix="0" xfId="0">
      <alignment horizontal="right" vertical="center"/>
    </xf>
    <xf numFmtId="1" fontId="5" fillId="6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9" fontId="5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Riscatto della Laurea 2026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3" t="inlineStr">
        <is>
          <t>Indice</t>
        </is>
      </c>
    </row>
    <row r="5" ht="22" customHeight="1">
      <c r="A5" s="4" t="inlineStr">
        <is>
          <t>1 - COSTO</t>
        </is>
      </c>
      <c r="B5" s="5" t="inlineStr">
        <is>
          <t>Costo lordo, risparmio fiscale, costo netto e rata</t>
        </is>
      </c>
    </row>
    <row r="6" ht="22" customHeight="1">
      <c r="A6" s="4" t="inlineStr">
        <is>
          <t>2 - PENSIONE</t>
        </is>
      </c>
      <c r="B6" s="5" t="inlineStr">
        <is>
          <t>Montante, rivalutazione e pensione attesa in più</t>
        </is>
      </c>
    </row>
    <row r="7" ht="22" customHeight="1">
      <c r="A7" s="4" t="inlineStr">
        <is>
          <t>3 - CONFRONTO</t>
        </is>
      </c>
      <c r="B7" s="5" t="inlineStr">
        <is>
          <t>Riscatto vs ETF vs anticipo effettivo dell'uscita</t>
        </is>
      </c>
    </row>
    <row r="8" ht="22" customHeight="1">
      <c r="A8" s="4" t="inlineStr">
        <is>
          <t>4 - ORDINARIO</t>
        </is>
      </c>
      <c r="B8" s="5" t="inlineStr">
        <is>
          <t>Riscatto ordinario col metodo percentuale</t>
        </is>
      </c>
    </row>
    <row r="10">
      <c r="A10" s="3" t="inlineStr">
        <is>
          <t>Come usare</t>
        </is>
      </c>
    </row>
    <row r="11">
      <c r="A11" s="5" t="inlineStr">
        <is>
          <t>1. Le celle GIALLE sono input — modificale coi tuoi numeri.</t>
        </is>
      </c>
    </row>
    <row r="12">
      <c r="A12" s="5" t="inlineStr">
        <is>
          <t>2. Le celle VERDI sono output — si aggiornano automaticamente.</t>
        </is>
      </c>
    </row>
    <row r="13">
      <c r="A13" s="5" t="inlineStr">
        <is>
          <t>3. Tutti i numeri di default sono al 2026 da fonti pubbliche.</t>
        </is>
      </c>
    </row>
    <row r="14">
      <c r="A14" s="5" t="inlineStr">
        <is>
          <t>4. Niente codice nascosto: l'Excel è solo formule modificabili.</t>
        </is>
      </c>
    </row>
    <row r="16">
      <c r="A16" s="3" t="inlineStr">
        <is>
          <t>Fonti dati</t>
        </is>
      </c>
    </row>
    <row r="17">
      <c r="A17" s="5" t="inlineStr">
        <is>
          <t>• INPS, circolare n. 14 del 9 febbraio 2026 — minimale artigiani e commercianti 2026: 18.808,00 €</t>
        </is>
      </c>
    </row>
    <row r="18">
      <c r="A18" s="5" t="inlineStr">
        <is>
          <t>• D.L. 4/2019 art. 20 c. 6 (conv. L. 26/2019) — riscatto agevolato: minimale × aliquota IVS 33%</t>
        </is>
      </c>
    </row>
    <row r="19">
      <c r="A19" s="5" t="inlineStr">
        <is>
          <t>• D.P.R. 917/1986 (TUIR) art. 10 c. 1 lett. e) — deducibilità integrale dal reddito complessivo</t>
        </is>
      </c>
    </row>
    <row r="20">
      <c r="A20" s="5" t="inlineStr">
        <is>
          <t>• D.M. 20 novembre 2024 — coefficienti di trasformazione biennio 2025-2026 (67 anni: 5,608%)</t>
        </is>
      </c>
    </row>
    <row r="21">
      <c r="A21" s="5" t="inlineStr">
        <is>
          <t>• Normativa vigente 2026 — pensione anticipata 42a10m (uomini) / 41a10m (donne); vecchiaia 67 anni con 20 di contributi</t>
        </is>
      </c>
    </row>
    <row r="22">
      <c r="A22" s="5" t="inlineStr">
        <is>
          <t>• L. 199/2025 (Bilancio 2026) — riscatto agevolato confermato; decreto interministeriale atteso sui periodi ante 1996</t>
        </is>
      </c>
    </row>
    <row r="24">
      <c r="A24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5" customHeight="1">
      <c r="A1" s="1" t="inlineStr">
        <is>
          <t>Quanto costa DAVVERO riscattare la laurea (2026)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 — cambia solo le celle gialle</t>
        </is>
      </c>
    </row>
    <row r="5">
      <c r="A5" s="8" t="inlineStr">
        <is>
          <t>Anni da riscattare (solo durata legale del corso)</t>
        </is>
      </c>
      <c r="B5" s="9" t="n">
        <v>5</v>
      </c>
    </row>
    <row r="6">
      <c r="A6" s="8" t="inlineStr">
        <is>
          <t>Minimale INPS artigiani/commercianti 2026 (€)</t>
        </is>
      </c>
      <c r="B6" s="10" t="n">
        <v>18808</v>
      </c>
    </row>
    <row r="7">
      <c r="A7" s="8" t="inlineStr">
        <is>
          <t>Aliquota IVS di computo (%)</t>
        </is>
      </c>
      <c r="B7" s="11" t="n">
        <v>0.33</v>
      </c>
    </row>
    <row r="8">
      <c r="A8" s="8" t="inlineStr">
        <is>
          <t>La TUA aliquota marginale IRPEF (23% / 33% / 43%)</t>
        </is>
      </c>
      <c r="B8" s="11" t="n">
        <v>0.33</v>
      </c>
    </row>
    <row r="9">
      <c r="A9" s="8" t="inlineStr">
        <is>
          <t>Addizionali regionali+comunali (%) — opzionale</t>
        </is>
      </c>
      <c r="B9" s="11" t="n">
        <v>0</v>
      </c>
    </row>
    <row r="10">
      <c r="A10" s="8" t="inlineStr">
        <is>
          <t>Numero di rate mensili (max 120, senza interessi)</t>
        </is>
      </c>
      <c r="B10" s="9" t="n">
        <v>120</v>
      </c>
    </row>
    <row r="11" ht="45" customHeight="1">
      <c r="A11" s="12" t="inlineStr">
        <is>
          <t>Scaglioni IRPEF 2026: 23% fino a 28.000 €, 33% da 28.000 a 50.000 €, 43% oltre 50.000 €. Usa l'aliquota dell'ULTIMO euro del tuo reddito. Le addizionali sono lasciate a 0 per prudenza: se le inserisci (tipicamente 1,5-3%) il risparmio fiscale reale sale ancora.</t>
        </is>
      </c>
    </row>
    <row r="13">
      <c r="A13" s="7" t="inlineStr">
        <is>
          <t>OUTPUT — riscatto AGEVOLATO</t>
        </is>
      </c>
    </row>
    <row r="14">
      <c r="A14" s="8" t="inlineStr">
        <is>
          <t>Costo per 1 anno riscattato</t>
        </is>
      </c>
      <c r="B14" s="13">
        <f>B6*B7</f>
        <v/>
      </c>
    </row>
    <row r="15">
      <c r="A15" s="8" t="inlineStr">
        <is>
          <t>Costo LORDO totale</t>
        </is>
      </c>
      <c r="B15" s="13">
        <f>B14*B5</f>
        <v/>
      </c>
    </row>
    <row r="16">
      <c r="A16" s="8" t="inlineStr">
        <is>
          <t>Risparmio fiscale (deduzione art. 10 TUIR)</t>
        </is>
      </c>
      <c r="B16" s="13">
        <f>B15*(B8+B9)</f>
        <v/>
      </c>
    </row>
    <row r="17">
      <c r="A17" s="8" t="inlineStr">
        <is>
          <t>COSTO NETTO REALE</t>
        </is>
      </c>
      <c r="B17" s="13">
        <f>B15-B16</f>
        <v/>
      </c>
    </row>
    <row r="18">
      <c r="A18" s="8" t="inlineStr">
        <is>
          <t>Rata mensile (senza interessi)</t>
        </is>
      </c>
      <c r="B18" s="13">
        <f>B15/B10</f>
        <v/>
      </c>
    </row>
    <row r="19">
      <c r="A19" s="8" t="inlineStr">
        <is>
          <t>Rata NETTA equivalente dopo deduzione</t>
        </is>
      </c>
      <c r="B19" s="13">
        <f>B17/B10</f>
        <v/>
      </c>
    </row>
    <row r="20">
      <c r="A20" s="8" t="inlineStr">
        <is>
          <t>Sconto fiscale in percentuale</t>
        </is>
      </c>
      <c r="B20" s="14">
        <f>B16/B15</f>
        <v/>
      </c>
    </row>
    <row r="22">
      <c r="A22" s="7" t="inlineStr">
        <is>
          <t>CONFRONTO — costo netto per aliquota marginale</t>
        </is>
      </c>
    </row>
    <row r="23">
      <c r="A23" s="15" t="inlineStr">
        <is>
          <t>Aliquota marginale</t>
        </is>
      </c>
      <c r="B23" s="15" t="inlineStr">
        <is>
          <t>Costo netto totale</t>
        </is>
      </c>
    </row>
    <row r="24">
      <c r="A24" s="8" t="inlineStr">
        <is>
          <t>23%</t>
        </is>
      </c>
      <c r="B24" s="13">
        <f>$B$15*(1-(0.23+$B$9))</f>
        <v/>
      </c>
    </row>
    <row r="25">
      <c r="A25" s="8" t="inlineStr">
        <is>
          <t>33%</t>
        </is>
      </c>
      <c r="B25" s="13">
        <f>$B$15*(1-(0.33+$B$9))</f>
        <v/>
      </c>
    </row>
    <row r="26">
      <c r="A26" s="8" t="inlineStr">
        <is>
          <t>43%</t>
        </is>
      </c>
      <c r="B26" s="13">
        <f>$B$15*(1-(0.43+$B$9))</f>
        <v/>
      </c>
    </row>
    <row r="28" ht="60" customHeight="1">
      <c r="A28" s="12" t="inlineStr">
        <is>
          <t>Puoi riscattare SOLO gli anni di durata legale del corso: gli anni fuori corso non sono riscattabili. Il riscatto agevolato vale per i periodi collocati nel sistema contributivo (dal 1996), o anche prima se la pensione è liquidata interamente col contributivo.</t>
        </is>
      </c>
    </row>
  </sheetData>
  <mergeCells count="7">
    <mergeCell ref="A1:D1"/>
    <mergeCell ref="A22:D22"/>
    <mergeCell ref="A4:D4"/>
    <mergeCell ref="A11:B11"/>
    <mergeCell ref="A28:B28"/>
    <mergeCell ref="A2:D2"/>
    <mergeCell ref="A13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5" customHeight="1">
      <c r="A1" s="1" t="inlineStr">
        <is>
          <t>Quanta pensione in più ti dà il riscatto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La tua età oggi</t>
        </is>
      </c>
      <c r="B5" s="9" t="n">
        <v>35</v>
      </c>
    </row>
    <row r="6">
      <c r="A6" s="8" t="inlineStr">
        <is>
          <t>Età prevista di pensionamento</t>
        </is>
      </c>
      <c r="B6" s="9" t="n">
        <v>67</v>
      </c>
    </row>
    <row r="7">
      <c r="A7" s="8" t="inlineStr">
        <is>
          <t>Crescita media annua del PIL nominale (%)</t>
        </is>
      </c>
      <c r="B7" s="11" t="n">
        <v>0.02</v>
      </c>
    </row>
    <row r="8">
      <c r="A8" s="8" t="inlineStr">
        <is>
          <t>Coefficiente di trasformazione atteso (%)</t>
        </is>
      </c>
      <c r="B8" s="16" t="n">
        <v>0.05</v>
      </c>
    </row>
    <row r="9" ht="45" customHeight="1">
      <c r="A9" s="12" t="inlineStr">
        <is>
          <t>Il montante contributivo si rivaluta con la media quinquennale del PIL nominale, NON con i mercati. Coefficiente a 67 anni per il biennio 2025-2026: 5,608%. Peggiora nel tempo: per proiezioni lontane usa 5,0% o meno (prudenziale).</t>
        </is>
      </c>
    </row>
    <row r="11">
      <c r="A11" s="7" t="inlineStr">
        <is>
          <t>OUTPUT</t>
        </is>
      </c>
    </row>
    <row r="12">
      <c r="A12" s="8" t="inlineStr">
        <is>
          <t>Anni di rivalutazione del montante</t>
        </is>
      </c>
      <c r="B12" s="17">
        <f>B6-B5</f>
        <v/>
      </c>
    </row>
    <row r="13">
      <c r="A13" s="8" t="inlineStr">
        <is>
          <t>Montante accreditato oggi (= costo lordo)</t>
        </is>
      </c>
      <c r="B13" s="13">
        <f>'1 - COSTO'!B15</f>
        <v/>
      </c>
    </row>
    <row r="14">
      <c r="A14" s="8" t="inlineStr">
        <is>
          <t>Montante rivalutato al pensionamento</t>
        </is>
      </c>
      <c r="B14" s="13">
        <f>B13*(1+B7)^B12</f>
        <v/>
      </c>
    </row>
    <row r="15">
      <c r="A15" s="8" t="inlineStr">
        <is>
          <t>Pensione LORDA annua in più</t>
        </is>
      </c>
      <c r="B15" s="13">
        <f>B14*B8</f>
        <v/>
      </c>
    </row>
    <row r="16">
      <c r="A16" s="8" t="inlineStr">
        <is>
          <t>Pensione lorda mensile in più (13 mensilità)</t>
        </is>
      </c>
      <c r="B16" s="13">
        <f>B15/13</f>
        <v/>
      </c>
    </row>
    <row r="17">
      <c r="A17" s="8" t="inlineStr">
        <is>
          <t>Anni di pensione per recuperare il costo netto</t>
        </is>
      </c>
      <c r="B17" s="18">
        <f>IFERROR('1 - COSTO'!B17/B15,NA())</f>
        <v/>
      </c>
    </row>
    <row r="19">
      <c r="A19" s="7" t="inlineStr">
        <is>
          <t>SENSITIVITÀ — pensione mensile lorda in più</t>
        </is>
      </c>
    </row>
    <row r="20">
      <c r="A20" s="15" t="inlineStr">
        <is>
          <t>PIL nominale</t>
        </is>
      </c>
      <c r="B20" s="15" t="inlineStr">
        <is>
          <t>Coeff. 5,608%</t>
        </is>
      </c>
      <c r="C20" s="15" t="inlineStr">
        <is>
          <t>Coeff. 5,00%</t>
        </is>
      </c>
      <c r="D20" s="15" t="inlineStr">
        <is>
          <t>Coeff. 4,50%</t>
        </is>
      </c>
    </row>
    <row r="21">
      <c r="A21" s="8" t="inlineStr">
        <is>
          <t>1,5%</t>
        </is>
      </c>
      <c r="B21" s="19">
        <f>$B$13*(1+0.015)^$B$12*0.05608/13</f>
        <v/>
      </c>
      <c r="C21" s="19">
        <f>$B$13*(1+0.015)^$B$12*0.05/13</f>
        <v/>
      </c>
      <c r="D21" s="19">
        <f>$B$13*(1+0.015)^$B$12*0.045/13</f>
        <v/>
      </c>
    </row>
    <row r="22">
      <c r="A22" s="8" t="inlineStr">
        <is>
          <t>2,0%</t>
        </is>
      </c>
      <c r="B22" s="19">
        <f>$B$13*(1+0.02)^$B$12*0.05608/13</f>
        <v/>
      </c>
      <c r="C22" s="19">
        <f>$B$13*(1+0.02)^$B$12*0.05/13</f>
        <v/>
      </c>
      <c r="D22" s="19">
        <f>$B$13*(1+0.02)^$B$12*0.045/13</f>
        <v/>
      </c>
    </row>
    <row r="23">
      <c r="A23" s="8" t="inlineStr">
        <is>
          <t>2,5%</t>
        </is>
      </c>
      <c r="B23" s="19">
        <f>$B$13*(1+0.025)^$B$12*0.05608/13</f>
        <v/>
      </c>
      <c r="C23" s="19">
        <f>$B$13*(1+0.025)^$B$12*0.05/13</f>
        <v/>
      </c>
      <c r="D23" s="19">
        <f>$B$13*(1+0.025)^$B$12*0.045/13</f>
        <v/>
      </c>
    </row>
    <row r="24">
      <c r="A24" s="8" t="inlineStr">
        <is>
          <t>3,0%</t>
        </is>
      </c>
      <c r="B24" s="19">
        <f>$B$13*(1+0.03)^$B$12*0.05608/13</f>
        <v/>
      </c>
      <c r="C24" s="19">
        <f>$B$13*(1+0.03)^$B$12*0.05/13</f>
        <v/>
      </c>
      <c r="D24" s="19">
        <f>$B$13*(1+0.03)^$B$12*0.045/13</f>
        <v/>
      </c>
    </row>
    <row r="26" ht="45" customHeight="1">
      <c r="A26" s="12" t="inlineStr">
        <is>
          <t>Come PURO investimento il riscatto rende poco. Il suo valore vero è ANTICIPARE la pensione (foglio 3) o sbloccare il requisito minimo dei 20 anni per la vecchiaia.</t>
        </is>
      </c>
    </row>
  </sheetData>
  <mergeCells count="7">
    <mergeCell ref="A1:D1"/>
    <mergeCell ref="A4:D4"/>
    <mergeCell ref="A26:D26"/>
    <mergeCell ref="A2:D2"/>
    <mergeCell ref="A11:D11"/>
    <mergeCell ref="A9:B9"/>
    <mergeCell ref="A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5" customHeight="1">
      <c r="A1" s="1" t="inlineStr">
        <is>
          <t>Riscatto vs ETF vs anticipo della pensione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Rendimento nominale netto ipotizzato per l'ETF (%)</t>
        </is>
      </c>
      <c r="B5" s="11" t="n">
        <v>0.05</v>
      </c>
    </row>
    <row r="6">
      <c r="A6" s="8" t="inlineStr">
        <is>
          <t>Pensione annua lorda attesa (€)</t>
        </is>
      </c>
      <c r="B6" s="20" t="n">
        <v>25000</v>
      </c>
    </row>
    <row r="7">
      <c r="A7" s="8" t="inlineStr">
        <is>
          <t>Anni di anticipo ottenuti col riscatto</t>
        </is>
      </c>
      <c r="B7" s="9" t="n">
        <v>5</v>
      </c>
    </row>
    <row r="8">
      <c r="A8" s="8" t="inlineStr">
        <is>
          <t>Stipendio annuo lordo che rinunci anticipando (€)</t>
        </is>
      </c>
      <c r="B8" s="20" t="n">
        <v>32000</v>
      </c>
    </row>
    <row r="9">
      <c r="A9" s="8" t="inlineStr">
        <is>
          <t>Riduzione % dell'assegno per uscita anticipata</t>
        </is>
      </c>
      <c r="B9" s="21" t="n">
        <v>0.08</v>
      </c>
    </row>
    <row r="10" ht="45" customHeight="1">
      <c r="A10" s="12" t="inlineStr">
        <is>
          <t>L'anticipo è possibile solo se gli anni riscattati ti portano davvero sopra la soglia della pensione anticipata (42 anni e 10 mesi per gli uomini, 41 e 10 per le donne). Se andresti comunque a 67 anni, metti 0.</t>
        </is>
      </c>
    </row>
    <row r="12">
      <c r="A12" s="7" t="inlineStr">
        <is>
          <t>STRADA A — riscatto, ma vai comunque in pensione a 67</t>
        </is>
      </c>
    </row>
    <row r="13">
      <c r="A13" s="8" t="inlineStr">
        <is>
          <t>Esborso netto</t>
        </is>
      </c>
      <c r="B13" s="19">
        <f>'1 - COSTO'!B17</f>
        <v/>
      </c>
    </row>
    <row r="14">
      <c r="A14" s="8" t="inlineStr">
        <is>
          <t>Pensione lorda mensile in più, a vita</t>
        </is>
      </c>
      <c r="B14" s="19">
        <f>'2 - PENSIONE'!B16</f>
        <v/>
      </c>
    </row>
    <row r="15">
      <c r="A15" s="8" t="inlineStr">
        <is>
          <t>Anni per rientrare del costo netto</t>
        </is>
      </c>
      <c r="B15" s="18">
        <f>IFERROR('2 - PENSIONE'!B17,NA())</f>
        <v/>
      </c>
    </row>
    <row r="17">
      <c r="A17" s="7" t="inlineStr">
        <is>
          <t>STRADA B — investi la stessa cifra in ETF</t>
        </is>
      </c>
    </row>
    <row r="18">
      <c r="A18" s="8" t="inlineStr">
        <is>
          <t>Capitale investito (= esborso netto)</t>
        </is>
      </c>
      <c r="B18" s="19">
        <f>B13</f>
        <v/>
      </c>
    </row>
    <row r="19">
      <c r="A19" s="8" t="inlineStr">
        <is>
          <t>Anni di investimento</t>
        </is>
      </c>
      <c r="B19" s="17">
        <f>'2 - PENSIONE'!B12</f>
        <v/>
      </c>
    </row>
    <row r="20">
      <c r="A20" s="8" t="inlineStr">
        <is>
          <t>Capitale a scadenza</t>
        </is>
      </c>
      <c r="B20" s="19">
        <f>B18*(1+B5)^B19</f>
        <v/>
      </c>
    </row>
    <row r="21">
      <c r="A21" s="8" t="inlineStr">
        <is>
          <t>Prelievo sostenibile al 4% annuo</t>
        </is>
      </c>
      <c r="B21" s="19">
        <f>B20*0.04</f>
        <v/>
      </c>
    </row>
    <row r="22">
      <c r="A22" s="8" t="inlineStr">
        <is>
          <t>Prelievo mensile equivalente</t>
        </is>
      </c>
      <c r="B22" s="19">
        <f>B21/12</f>
        <v/>
      </c>
    </row>
    <row r="23" ht="45" customHeight="1">
      <c r="A23" s="12" t="inlineStr">
        <is>
          <t>Differenza chiave: con l'ETF il capitale resta tuo (ed è ereditabile), ma non è garantito. Con il riscatto compri una rendita vitalizia rivalutata: è un'assicurazione sulla longevità.</t>
        </is>
      </c>
    </row>
    <row r="25">
      <c r="A25" s="7" t="inlineStr">
        <is>
          <t>STRADA C — riscatto E anticipi davvero l'uscita</t>
        </is>
      </c>
    </row>
    <row r="26">
      <c r="A26" s="8" t="inlineStr">
        <is>
          <t>Annualità di pensione incassate in più</t>
        </is>
      </c>
      <c r="B26" s="19">
        <f>B6*B7</f>
        <v/>
      </c>
    </row>
    <row r="27">
      <c r="A27" s="8" t="inlineStr">
        <is>
          <t>Stipendi lordi a cui rinunci</t>
        </is>
      </c>
      <c r="B27" s="19">
        <f>-B8*B7</f>
        <v/>
      </c>
    </row>
    <row r="28">
      <c r="A28" s="8" t="inlineStr">
        <is>
          <t>Minore assegno per tutta la vita (25 anni stimati)</t>
        </is>
      </c>
      <c r="B28" s="19">
        <f>-B6*B9*25</f>
        <v/>
      </c>
    </row>
    <row r="29">
      <c r="A29" s="8" t="inlineStr">
        <is>
          <t>Costo netto del riscatto</t>
        </is>
      </c>
      <c r="B29" s="19">
        <f>-B13</f>
        <v/>
      </c>
    </row>
    <row r="30">
      <c r="A30" s="8" t="inlineStr">
        <is>
          <t>SALDO NETTO della strada C</t>
        </is>
      </c>
      <c r="B30" s="19">
        <f>B26+B27+B28+B29</f>
        <v/>
      </c>
    </row>
    <row r="32" ht="60" customHeight="1">
      <c r="A32" s="12" t="inlineStr">
        <is>
          <t>Se il saldo della strada C è positivo, il riscatto conviene MOLTO: è l'unico caso in cui batte nettamente l'ETF. Se è negativo, stai pagando per smettere prima: è una scelta legittima, ma è un costo, non un guadagno.</t>
        </is>
      </c>
    </row>
  </sheetData>
  <mergeCells count="9">
    <mergeCell ref="A1:D1"/>
    <mergeCell ref="A17:D17"/>
    <mergeCell ref="A12:D12"/>
    <mergeCell ref="A4:D4"/>
    <mergeCell ref="A10:B10"/>
    <mergeCell ref="A32:B32"/>
    <mergeCell ref="A25:D25"/>
    <mergeCell ref="A2:D2"/>
    <mergeCell ref="A23:B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4" customWidth="1" min="3" max="3"/>
    <col width="38" customWidth="1" min="4" max="4"/>
    <col width="18" customWidth="1" min="5" max="5"/>
  </cols>
  <sheetData>
    <row r="1" ht="25" customHeight="1">
      <c r="A1" s="1" t="inlineStr">
        <is>
          <t>Riscatto ORDINARIO (metodo percentuale) — confronto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4">
      <c r="A4" s="7" t="inlineStr">
        <is>
          <t>INPUT</t>
        </is>
      </c>
    </row>
    <row r="5">
      <c r="A5" s="8" t="inlineStr">
        <is>
          <t>Retribuzione imponibile ultimi 12 mesi (€)</t>
        </is>
      </c>
      <c r="B5" s="20" t="n">
        <v>35000</v>
      </c>
    </row>
    <row r="6">
      <c r="A6" s="8" t="inlineStr">
        <is>
          <t>Aliquota contributiva di computo (%)</t>
        </is>
      </c>
      <c r="B6" s="11" t="n">
        <v>0.33</v>
      </c>
    </row>
    <row r="7">
      <c r="A7" s="8" t="inlineStr">
        <is>
          <t>Anni da riscattare</t>
        </is>
      </c>
      <c r="B7" s="17">
        <f>'1 - COSTO'!B5</f>
        <v/>
      </c>
    </row>
    <row r="9">
      <c r="A9" s="7" t="inlineStr">
        <is>
          <t>OUTPUT</t>
        </is>
      </c>
    </row>
    <row r="10">
      <c r="A10" s="8" t="inlineStr">
        <is>
          <t>Costo ORDINARIO per 1 anno</t>
        </is>
      </c>
      <c r="B10" s="13">
        <f>B5*B6</f>
        <v/>
      </c>
    </row>
    <row r="11">
      <c r="A11" s="8" t="inlineStr">
        <is>
          <t>Costo ORDINARIO totale</t>
        </is>
      </c>
      <c r="B11" s="13">
        <f>B10*B7</f>
        <v/>
      </c>
    </row>
    <row r="12">
      <c r="A12" s="8" t="inlineStr">
        <is>
          <t>Costo AGEVOLATO totale (foglio 1)</t>
        </is>
      </c>
      <c r="B12" s="13">
        <f>'1 - COSTO'!B15</f>
        <v/>
      </c>
    </row>
    <row r="13">
      <c r="A13" s="8" t="inlineStr">
        <is>
          <t>Differenza a favore dell'agevolato</t>
        </is>
      </c>
      <c r="B13" s="13">
        <f>B11-B12</f>
        <v/>
      </c>
    </row>
    <row r="14">
      <c r="A14" s="8" t="inlineStr">
        <is>
          <t>Quante volte costa di più l'ordinario</t>
        </is>
      </c>
      <c r="B14" s="22">
        <f>IFERROR(B11/B12,NA())</f>
        <v/>
      </c>
    </row>
    <row r="16">
      <c r="A16" s="7" t="inlineStr">
        <is>
          <t>Costo ordinario di 1 anno, per livello di reddito</t>
        </is>
      </c>
    </row>
    <row r="17">
      <c r="A17" s="15" t="inlineStr">
        <is>
          <t>Reddito imponibile</t>
        </is>
      </c>
      <c r="B17" s="15" t="inlineStr">
        <is>
          <t>Costo 1 anno</t>
        </is>
      </c>
    </row>
    <row r="18">
      <c r="A18" s="8" t="inlineStr">
        <is>
          <t>20.000 €</t>
        </is>
      </c>
      <c r="B18" s="19">
        <f>20000*$B$6</f>
        <v/>
      </c>
    </row>
    <row r="19">
      <c r="A19" s="8" t="inlineStr">
        <is>
          <t>25.000 €</t>
        </is>
      </c>
      <c r="B19" s="19">
        <f>25000*$B$6</f>
        <v/>
      </c>
    </row>
    <row r="20">
      <c r="A20" s="8" t="inlineStr">
        <is>
          <t>30.000 €</t>
        </is>
      </c>
      <c r="B20" s="19">
        <f>30000*$B$6</f>
        <v/>
      </c>
    </row>
    <row r="21">
      <c r="A21" s="8" t="inlineStr">
        <is>
          <t>35.000 €</t>
        </is>
      </c>
      <c r="B21" s="19">
        <f>35000*$B$6</f>
        <v/>
      </c>
    </row>
    <row r="22">
      <c r="A22" s="8" t="inlineStr">
        <is>
          <t>45.000 €</t>
        </is>
      </c>
      <c r="B22" s="19">
        <f>45000*$B$6</f>
        <v/>
      </c>
    </row>
    <row r="23">
      <c r="A23" s="8" t="inlineStr">
        <is>
          <t>60.000 €</t>
        </is>
      </c>
      <c r="B23" s="19">
        <f>60000*$B$6</f>
        <v/>
      </c>
    </row>
    <row r="25" ht="75" customHeight="1">
      <c r="A25" s="12" t="inlineStr">
        <is>
          <t>ATTENZIONE: per i periodi ANTERIORI al 1996 si applica il criterio della riserva matematica, molto più oneroso e non calcolabile con una semplice percentuale. La Legge di Bilancio 2026 ha inoltre delegato a un decreto interministeriale l'aggiornamento di quel calcolo: alla data di questo file il decreto non risulta pubblicato. Usa sempre il simulatore ufficiale INPS prima di presentare domanda.</t>
        </is>
      </c>
    </row>
  </sheetData>
  <mergeCells count="6">
    <mergeCell ref="A1:D1"/>
    <mergeCell ref="A9:D9"/>
    <mergeCell ref="A25:B25"/>
    <mergeCell ref="A4:D4"/>
    <mergeCell ref="A16:D16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2026-07-24T21:25:36Z</dcterms:created>
  <dcterms:modified xsi:type="dcterms:W3CDTF">2026-07-24T21:25:36Z</dcterms:modified>
</cp:coreProperties>
</file>