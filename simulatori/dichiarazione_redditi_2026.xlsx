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Quadro RW" sheetId="2" state="visible" r:id="rId2"/>
    <sheet name="2 - Quadro RT" sheetId="3" state="visible" r:id="rId3"/>
    <sheet name="3 - Credito este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€&quot;"/>
    <numFmt numFmtId="165" formatCode="#,##0.00&quot; €&quot;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Dichiarazione Redditi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Quadro RW</t>
        </is>
      </c>
      <c r="B5" s="5" t="inlineStr">
        <is>
          <t>IVAFE conti esteri e broker</t>
        </is>
      </c>
    </row>
    <row r="6" ht="22" customHeight="1">
      <c r="A6" s="4" t="inlineStr">
        <is>
          <t>2 - Quadro RT</t>
        </is>
      </c>
      <c r="B6" s="5" t="inlineStr">
        <is>
          <t>Plusvalenze ETF e compensazione minus</t>
        </is>
      </c>
    </row>
    <row r="7" ht="22" customHeight="1">
      <c r="A7" s="4" t="inlineStr">
        <is>
          <t>3 - Credito estero</t>
        </is>
      </c>
      <c r="B7" s="5" t="inlineStr">
        <is>
          <t>Doppia imposizione e crediti</t>
        </is>
      </c>
    </row>
    <row r="9">
      <c r="A9" s="3" t="inlineStr">
        <is>
          <t>Come usare</t>
        </is>
      </c>
    </row>
    <row r="10">
      <c r="A10" s="5" t="inlineStr">
        <is>
          <t>1. Le celle GIALLE sono input — modificale coi tuoi numeri.</t>
        </is>
      </c>
    </row>
    <row r="11">
      <c r="A11" s="5" t="inlineStr">
        <is>
          <t>2. Le celle VERDI sono output — si aggiornano automaticamente.</t>
        </is>
      </c>
    </row>
    <row r="12">
      <c r="A12" s="5" t="inlineStr">
        <is>
          <t>3. Tutti i numeri di default sono al 2026 da fonti pubbliche.</t>
        </is>
      </c>
    </row>
    <row r="13">
      <c r="A13" s="5" t="inlineStr">
        <is>
          <t>4. Niente codice nascosto: l'Excel è solo formule modificabili.</t>
        </is>
      </c>
    </row>
    <row r="15">
      <c r="A15" s="3" t="inlineStr">
        <is>
          <t>Fonti dati</t>
        </is>
      </c>
    </row>
    <row r="16">
      <c r="A16" s="5" t="inlineStr">
        <is>
          <t>• Agenzia Entrate — IVAFE 34,20 € fissa conti correnti esteri / 0,2% strumenti</t>
        </is>
      </c>
    </row>
    <row r="17">
      <c r="A17" s="5" t="inlineStr">
        <is>
          <t>• TUIR — Compensazione minus entro 4 anni</t>
        </is>
      </c>
    </row>
    <row r="18">
      <c r="A18" s="5" t="inlineStr">
        <is>
          <t>• Convenzioni doppie imposizioni — credito estero su dividendi USA, UK, ecc.</t>
        </is>
      </c>
    </row>
    <row r="20">
      <c r="A20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Quadro RW — IVAFE conti e broker esteri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Saldo medio conto corrente estero (€)</t>
        </is>
      </c>
      <c r="B5" s="9" t="n">
        <v>8000</v>
      </c>
    </row>
    <row r="6">
      <c r="A6" s="8" t="inlineStr">
        <is>
          <t>Valore di mercato broker estero (ETF, azioni) (€)</t>
        </is>
      </c>
      <c r="B6" s="9" t="n">
        <v>50000</v>
      </c>
    </row>
    <row r="8">
      <c r="A8" s="7" t="inlineStr">
        <is>
          <t>OUTPUT</t>
        </is>
      </c>
    </row>
    <row r="9">
      <c r="A9" s="8" t="inlineStr">
        <is>
          <t>IVAFE conto corrente (34,20 € fisso se &gt;5k)</t>
        </is>
      </c>
      <c r="B9" s="10">
        <f>IF(B5&gt;=5000, 34.20, 0)</f>
        <v/>
      </c>
    </row>
    <row r="10">
      <c r="A10" s="8" t="inlineStr">
        <is>
          <t>IVAFE strumenti (0,2% su valore mercato)</t>
        </is>
      </c>
      <c r="B10" s="10">
        <f>B6*0.002</f>
        <v/>
      </c>
    </row>
    <row r="11">
      <c r="A11" s="8" t="inlineStr">
        <is>
          <t>Totale IVAFE annua</t>
        </is>
      </c>
      <c r="B11" s="10">
        <f>B9+B10</f>
        <v/>
      </c>
    </row>
    <row r="13" ht="45" customHeight="1">
      <c r="A13" s="11" t="inlineStr">
        <is>
          <t>OBBLIGO RW: scatta sempre se hai conto/broker estero, anche se sotto 5k (IVAFE però non si applica a conti &lt;5k). Compilazione obbligatoria con dichiarazione redditi.</t>
        </is>
      </c>
    </row>
  </sheetData>
  <mergeCells count="5">
    <mergeCell ref="A1:D1"/>
    <mergeCell ref="A8:D8"/>
    <mergeCell ref="A4:D4"/>
    <mergeCell ref="A13:B1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Quadro RT — plusvalenze ETF e compensazione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Plusvalenze ETF azionari/corporate (€)</t>
        </is>
      </c>
      <c r="B5" s="9" t="n">
        <v>5000</v>
      </c>
    </row>
    <row r="6">
      <c r="A6" s="8" t="inlineStr">
        <is>
          <t>Plusvalenze ETF titoli Stato white-list (€)</t>
        </is>
      </c>
      <c r="B6" s="9" t="n">
        <v>1000</v>
      </c>
    </row>
    <row r="7">
      <c r="A7" s="8" t="inlineStr">
        <is>
          <t>Minusvalenze cumulate (max 4 anni)</t>
        </is>
      </c>
      <c r="B7" s="9" t="n">
        <v>2000</v>
      </c>
    </row>
    <row r="8">
      <c r="A8" s="8" t="inlineStr">
        <is>
          <t>Plus 'redditi diversi' (azioni dirette, certif., ETC)</t>
        </is>
      </c>
      <c r="B8" s="9" t="n">
        <v>1500</v>
      </c>
    </row>
    <row r="10">
      <c r="A10" s="7" t="inlineStr">
        <is>
          <t>OUTPUT</t>
        </is>
      </c>
    </row>
    <row r="11">
      <c r="A11" s="8" t="inlineStr">
        <is>
          <t>Tasse ETF azionari 26%</t>
        </is>
      </c>
      <c r="B11" s="12">
        <f>B5*0.26</f>
        <v/>
      </c>
    </row>
    <row r="12">
      <c r="A12" s="8" t="inlineStr">
        <is>
          <t>Tasse ETF titoli Stato 12,5%</t>
        </is>
      </c>
      <c r="B12" s="12">
        <f>B6*0.125</f>
        <v/>
      </c>
    </row>
    <row r="13">
      <c r="A13" s="8" t="inlineStr">
        <is>
          <t>Minus compensata con plus 'redditi diversi'</t>
        </is>
      </c>
      <c r="B13" s="12">
        <f>MIN(B7,B8)</f>
        <v/>
      </c>
    </row>
    <row r="14">
      <c r="A14" s="8" t="inlineStr">
        <is>
          <t>Risparmio fiscale da compensazione (26%)</t>
        </is>
      </c>
      <c r="B14" s="12">
        <f>B13*0.26</f>
        <v/>
      </c>
    </row>
    <row r="16" ht="60" customHeight="1">
      <c r="A16" s="11" t="inlineStr">
        <is>
          <t>REGOLA CHIAVE Italia: minus ETF NON si compensano con plus ETF. Si compensano solo con redditi diversi (azioni dirette, certificati, ETC). Asimmetria fiscale che svantaggia i piccoli investitori ETF.</t>
        </is>
      </c>
    </row>
  </sheetData>
  <mergeCells count="5">
    <mergeCell ref="A1:D1"/>
    <mergeCell ref="A16:B16"/>
    <mergeCell ref="A4:D4"/>
    <mergeCell ref="A2:D2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Credito imposta estero su dividendi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Dividendi lordi esteri (€)</t>
        </is>
      </c>
      <c r="B5" s="9" t="n">
        <v>1000</v>
      </c>
    </row>
    <row r="6">
      <c r="A6" s="8" t="inlineStr">
        <is>
          <t>Ritenuta paese estero (%)</t>
        </is>
      </c>
      <c r="B6" s="13" t="n">
        <v>0.15</v>
      </c>
    </row>
    <row r="7">
      <c r="A7" s="8" t="inlineStr">
        <is>
          <t>Ritenuta Italia (%)</t>
        </is>
      </c>
      <c r="B7" s="13" t="n">
        <v>0.26</v>
      </c>
    </row>
    <row r="9">
      <c r="A9" s="7" t="inlineStr">
        <is>
          <t>OUTPUT</t>
        </is>
      </c>
    </row>
    <row r="10">
      <c r="A10" s="8" t="inlineStr">
        <is>
          <t>Ritenuta paese estero (€)</t>
        </is>
      </c>
      <c r="B10" s="12">
        <f>B5*B6</f>
        <v/>
      </c>
    </row>
    <row r="11">
      <c r="A11" s="8" t="inlineStr">
        <is>
          <t>Imposta sostitutiva Italia 26% su NETTO</t>
        </is>
      </c>
      <c r="B11" s="12">
        <f>(B5-B10)*B7</f>
        <v/>
      </c>
    </row>
    <row r="12">
      <c r="A12" s="8" t="inlineStr">
        <is>
          <t>Carico totale (estero + italia)</t>
        </is>
      </c>
      <c r="B12" s="12">
        <f>B10+B11</f>
        <v/>
      </c>
    </row>
    <row r="13">
      <c r="A13" s="8" t="inlineStr">
        <is>
          <t>Aliquota effettiva totale</t>
        </is>
      </c>
      <c r="B13" s="14">
        <f>B12/B5</f>
        <v/>
      </c>
    </row>
    <row r="15" ht="60" customHeight="1">
      <c r="A15" s="11" t="inlineStr">
        <is>
          <t>Esempio USA: ritenuta 15% (con W-8BEN) + 26% Italia sul netto. Carico effettivo ~37,1%. UK: 0% ritenuta + 26% Italia. Strategia: ETF accumulazione in Irlanda evita ritenuta paese di domicilio fondo.</t>
        </is>
      </c>
    </row>
  </sheetData>
  <mergeCells count="5">
    <mergeCell ref="A1:D1"/>
    <mergeCell ref="A9:D9"/>
    <mergeCell ref="A15:B15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2026-05-22T20:01:38Z</dcterms:created>
  <dcterms:modified xsi:type="dcterms:W3CDTF">2026-05-22T20:01:38Z</dcterms:modified>
</cp:coreProperties>
</file>