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Montante FP" sheetId="2" state="visible" r:id="rId2"/>
    <sheet name="2 - Risparmio fiscale" sheetId="3" state="visible" r:id="rId3"/>
    <sheet name="3 - TFR azienda vs FP" sheetId="4" state="visible" r:id="rId4"/>
    <sheet name="4 - Anticipazioni-Riscat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Simulatori Fondo Pensione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Montante FP</t>
        </is>
      </c>
      <c r="B5" s="5" t="inlineStr">
        <is>
          <t>Simulazione del capitale finale e della rendita vitalizia stimata</t>
        </is>
      </c>
    </row>
    <row r="6" ht="22" customHeight="1">
      <c r="A6" s="4" t="inlineStr">
        <is>
          <t>2 - Risparmio fiscale</t>
        </is>
      </c>
      <c r="B6" s="5" t="inlineStr">
        <is>
          <t>Calcolo deduzione IRPEF + addizionali regionali e comunali</t>
        </is>
      </c>
    </row>
    <row r="7" ht="22" customHeight="1">
      <c r="A7" s="4" t="inlineStr">
        <is>
          <t>3 - TFR azienda vs FP</t>
        </is>
      </c>
      <c r="B7" s="5" t="inlineStr">
        <is>
          <t>Confronto TFR lasciato in azienda vs versato al FP bilanciato</t>
        </is>
      </c>
    </row>
    <row r="8" ht="22" customHeight="1">
      <c r="A8" s="4" t="inlineStr">
        <is>
          <t>4 - Anticipazioni-Riscatto</t>
        </is>
      </c>
      <c r="B8" s="5" t="inlineStr">
        <is>
          <t>Tassazione per causale di prelievo (anticipazione, riscatto)</t>
        </is>
      </c>
    </row>
    <row r="10">
      <c r="A10" s="3" t="inlineStr">
        <is>
          <t>Come usare</t>
        </is>
      </c>
    </row>
    <row r="11">
      <c r="A11" s="5" t="inlineStr">
        <is>
          <t>1. Le celle GIALLE sono input — modificale coi tuoi numeri.</t>
        </is>
      </c>
    </row>
    <row r="12">
      <c r="A12" s="5" t="inlineStr">
        <is>
          <t>2. Le celle VERDI sono output — si aggiornano automaticamente.</t>
        </is>
      </c>
    </row>
    <row r="13">
      <c r="A13" s="5" t="inlineStr">
        <is>
          <t>3. Tutti i numeri di default sono al 2026 da fonti pubbliche (COVIP, Agenzia Entrate, ISTAT).</t>
        </is>
      </c>
    </row>
    <row r="14">
      <c r="A14" s="5" t="inlineStr">
        <is>
          <t>4. Niente codice nascosto: l'Excel è solo formule modificabili.</t>
        </is>
      </c>
    </row>
    <row r="16">
      <c r="A16" s="3" t="inlineStr">
        <is>
          <t>Fonti dati</t>
        </is>
      </c>
    </row>
    <row r="17">
      <c r="A17" s="5" t="inlineStr">
        <is>
          <t>• COVIP — Relazione Annuale 2024 (giugno 2025): rendimenti netti 10y per comparto</t>
        </is>
      </c>
    </row>
    <row r="18">
      <c r="A18" s="5" t="inlineStr">
        <is>
          <t>• Agenzia delle Entrate — Aliquote IRPEF 2026: 23% / 33% / 43%</t>
        </is>
      </c>
    </row>
    <row r="19">
      <c r="A19" s="5" t="inlineStr">
        <is>
          <t>• Addizionali regionali 2026: range 1,23% — 3,33%</t>
        </is>
      </c>
    </row>
    <row r="20">
      <c r="A20" s="5" t="inlineStr">
        <is>
          <t>• Addizionali comunali 2026: range 0% — 0,90%</t>
        </is>
      </c>
    </row>
    <row r="21">
      <c r="A21" s="5" t="inlineStr">
        <is>
          <t>• D.Lgs. 252/2005 + Legge di Bilancio 2026: deducibilità 5.300 €, capitale 60/40, RITA estesa</t>
        </is>
      </c>
    </row>
    <row r="22">
      <c r="A22" s="5" t="inlineStr">
        <is>
          <t>• Banca d'Italia + ISTAT: rivalutazione TFR (1,5% + 75% inflazione FOI)</t>
        </is>
      </c>
    </row>
    <row r="23">
      <c r="A23" s="5" t="inlineStr">
        <is>
          <t>• ANIA tav. A62I: coefficienti orientativi conversione capitale-rendita</t>
        </is>
      </c>
    </row>
    <row r="26">
      <c r="A26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Simulatore montante Fondo Pensione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— modifica le celle gialle</t>
        </is>
      </c>
    </row>
    <row r="5">
      <c r="A5" s="8" t="inlineStr">
        <is>
          <t>Età attuale (anni)</t>
        </is>
      </c>
      <c r="B5" s="9" t="n">
        <v>30</v>
      </c>
    </row>
    <row r="6">
      <c r="A6" s="8" t="inlineStr">
        <is>
          <t>Età pensione di vecchiaia (anni)</t>
        </is>
      </c>
      <c r="B6" s="9" t="n">
        <v>67</v>
      </c>
    </row>
    <row r="7">
      <c r="A7" s="8" t="inlineStr">
        <is>
          <t>Contributo annuo personale (€, max 5.300)</t>
        </is>
      </c>
      <c r="B7" s="10" t="n">
        <v>3000</v>
      </c>
    </row>
    <row r="8">
      <c r="A8" s="8" t="inlineStr">
        <is>
          <t>TFR conferito annuo (€)</t>
        </is>
      </c>
      <c r="B8" s="10" t="n">
        <v>2200</v>
      </c>
    </row>
    <row r="9">
      <c r="A9" s="8" t="inlineStr">
        <is>
          <t>Contributo datore annuo (€)</t>
        </is>
      </c>
      <c r="B9" s="10" t="n">
        <v>600</v>
      </c>
    </row>
    <row r="10">
      <c r="A10" s="8" t="inlineStr">
        <is>
          <t>Rendimento netto medio annuo comparto (%)</t>
        </is>
      </c>
      <c r="B10" s="11" t="n">
        <v>0.022</v>
      </c>
    </row>
    <row r="11" ht="30" customHeight="1">
      <c r="A11" s="12" t="inlineStr">
        <is>
          <t>Rendimenti netti medi 10y per comparto (COVIP 2014-2024): Garantito ~0,8% / Obbligazionario ~1,5% / Bilanciato ~2,2% / Azionario ~4,5%</t>
        </is>
      </c>
    </row>
    <row r="13">
      <c r="A13" s="7" t="inlineStr">
        <is>
          <t>OUTPUT — calcolato automaticamente</t>
        </is>
      </c>
    </row>
    <row r="14">
      <c r="A14" s="8" t="inlineStr">
        <is>
          <t>Anni di accumulo</t>
        </is>
      </c>
      <c r="B14" s="13">
        <f>B6-B5</f>
        <v/>
      </c>
    </row>
    <row r="15">
      <c r="A15" s="8" t="inlineStr">
        <is>
          <t>Versamento annuo totale (perso. + TFR + datore)</t>
        </is>
      </c>
      <c r="B15" s="14">
        <f>B7+B8+B9</f>
        <v/>
      </c>
    </row>
    <row r="16">
      <c r="A16" s="8" t="inlineStr">
        <is>
          <t>Capitale finale stimato (lordo)</t>
        </is>
      </c>
      <c r="B16" s="14">
        <f>IFERROR(B15*(((1+B10)^B14-1)/B10), B15*B14)</f>
        <v/>
      </c>
    </row>
    <row r="17">
      <c r="A17" s="8" t="inlineStr">
        <is>
          <t>Anni partecipazione (assunzione = accumulo)</t>
        </is>
      </c>
      <c r="B17" s="13">
        <f>B14</f>
        <v/>
      </c>
    </row>
    <row r="18">
      <c r="A18" s="8" t="inlineStr">
        <is>
          <t>Aliquota prestazione finale (15% → 9%)</t>
        </is>
      </c>
      <c r="B18" s="15">
        <f>MAX(0.09, 0.15 - MAX(0, B17-15)*0.003)</f>
        <v/>
      </c>
    </row>
    <row r="19">
      <c r="A19" s="8" t="inlineStr">
        <is>
          <t>Tasse stimate (sul capitale, ipotesi semplificata)</t>
        </is>
      </c>
      <c r="B19" s="14">
        <f>B16*B18</f>
        <v/>
      </c>
    </row>
    <row r="20">
      <c r="A20" s="8" t="inlineStr">
        <is>
          <t>Capitale finale NETTO stimato</t>
        </is>
      </c>
      <c r="B20" s="14">
        <f>B16-B19</f>
        <v/>
      </c>
    </row>
    <row r="22">
      <c r="A22" s="7" t="inlineStr">
        <is>
          <t>Conversione in rendita vitalizia (orientativa)</t>
        </is>
      </c>
    </row>
    <row r="23">
      <c r="A23" s="8" t="inlineStr">
        <is>
          <t>Coefficiente conversione orientativo a 67y (%)</t>
        </is>
      </c>
      <c r="B23" s="11" t="n">
        <v>0.054</v>
      </c>
    </row>
    <row r="24" ht="30" customHeight="1">
      <c r="A24" s="12" t="inlineStr">
        <is>
          <t>Coefficiente ANIA tav. A62I — orientativo. Sui dati reali consulta Documento sulle Rendite del tuo fondo.</t>
        </is>
      </c>
    </row>
    <row r="25">
      <c r="A25" s="8" t="inlineStr">
        <is>
          <t>Rendita annua lorda (€/anno)</t>
        </is>
      </c>
      <c r="B25" s="14">
        <f>B16*B23</f>
        <v/>
      </c>
    </row>
    <row r="26">
      <c r="A26" s="8" t="inlineStr">
        <is>
          <t>Rendita mensile lorda (€/mese, ÷13)</t>
        </is>
      </c>
      <c r="B26" s="14">
        <f>B25/13</f>
        <v/>
      </c>
    </row>
    <row r="28" ht="45" customHeight="1">
      <c r="A28" s="12" t="inlineStr">
        <is>
          <t>Note: simulazione semplificata. Non considera (a) variazione contributi nel tempo, (b) rendimento variabile, (c) cambio comparto in corso (lifecycle), (d) inflazione.</t>
        </is>
      </c>
    </row>
  </sheetData>
  <mergeCells count="8">
    <mergeCell ref="A1:D1"/>
    <mergeCell ref="A24:B24"/>
    <mergeCell ref="A22:D22"/>
    <mergeCell ref="A4:D4"/>
    <mergeCell ref="A11:B11"/>
    <mergeCell ref="A28:B28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Calcolatore risparmio fiscale FP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Contributo annuo personale (€)</t>
        </is>
      </c>
      <c r="B5" s="10" t="n">
        <v>5300</v>
      </c>
    </row>
    <row r="6">
      <c r="A6" s="8" t="inlineStr">
        <is>
          <t>Scaglione IRPEF marginale (% — 23 / 33 / 43)</t>
        </is>
      </c>
      <c r="B6" s="11" t="n">
        <v>0.33</v>
      </c>
    </row>
    <row r="7">
      <c r="A7" s="8" t="inlineStr">
        <is>
          <t>Addizionale regionale (% — range 1,23 / 3,33)</t>
        </is>
      </c>
      <c r="B7" s="11" t="n">
        <v>0.0173</v>
      </c>
    </row>
    <row r="8">
      <c r="A8" s="8" t="inlineStr">
        <is>
          <t>Addizionale comunale (% — range 0 / 0,9)</t>
        </is>
      </c>
      <c r="B8" s="11" t="n">
        <v>0.008</v>
      </c>
    </row>
    <row r="9" ht="30" customHeight="1">
      <c r="A9" s="12" t="inlineStr">
        <is>
          <t>IRPEF 2026: 23% fino 28k / 33% 28-50k / 43% oltre 50k. Addizionali variano per regione/comune di residenza.</t>
        </is>
      </c>
    </row>
    <row r="11">
      <c r="A11" s="7" t="inlineStr">
        <is>
          <t>OUTPUT</t>
        </is>
      </c>
    </row>
    <row r="12">
      <c r="A12" s="8" t="inlineStr">
        <is>
          <t>Aliquota fiscale totale (IRPEF + regionale + comunale)</t>
        </is>
      </c>
      <c r="B12" s="15">
        <f>B6+B7+B8</f>
        <v/>
      </c>
    </row>
    <row r="13">
      <c r="A13" s="8" t="inlineStr">
        <is>
          <t>Contributo dedotto entro il limite (max 5.300 €)</t>
        </is>
      </c>
      <c r="B13" s="14">
        <f>MIN(B5, 5300)</f>
        <v/>
      </c>
    </row>
    <row r="14">
      <c r="A14" s="8" t="inlineStr">
        <is>
          <t>Contributo NON dedotto (eccedenza oltre 5.300)</t>
        </is>
      </c>
      <c r="B14" s="14">
        <f>MAX(0, B5-5300)</f>
        <v/>
      </c>
    </row>
    <row r="15">
      <c r="A15" s="8" t="inlineStr">
        <is>
          <t>Risparmio fiscale REALE (deducibilità × aliq. totale)</t>
        </is>
      </c>
      <c r="B15" s="14">
        <f>B13*B12</f>
        <v/>
      </c>
    </row>
    <row r="16">
      <c r="A16" s="8" t="inlineStr">
        <is>
          <t xml:space="preserve">  di cui da addizionali regionali + comunali</t>
        </is>
      </c>
      <c r="B16" s="14">
        <f>B13*(B7+B8)</f>
        <v/>
      </c>
    </row>
    <row r="17">
      <c r="A17" s="8" t="inlineStr">
        <is>
          <t>Costo NETTO effettivo del contributo</t>
        </is>
      </c>
      <c r="B17" s="14">
        <f>B5-B15</f>
        <v/>
      </c>
    </row>
    <row r="18">
      <c r="A18" s="8" t="inlineStr">
        <is>
          <t>Rapporto costo netto / versamento</t>
        </is>
      </c>
      <c r="B18" s="16">
        <f>1-B12*B13/B5</f>
        <v/>
      </c>
    </row>
    <row r="20">
      <c r="A20" s="7" t="inlineStr">
        <is>
          <t>Confronto con / senza addizionali locali</t>
        </is>
      </c>
    </row>
    <row r="21">
      <c r="A21" s="8" t="inlineStr">
        <is>
          <t>Risparmio considerando SOLO IRPEF nazionale</t>
        </is>
      </c>
      <c r="B21" s="14">
        <f>B13*B6</f>
        <v/>
      </c>
    </row>
    <row r="22">
      <c r="A22" s="8" t="inlineStr">
        <is>
          <t>Bonus risparmio da addizionali locali</t>
        </is>
      </c>
      <c r="B22" s="14">
        <f>B15-B21</f>
        <v/>
      </c>
    </row>
    <row r="23">
      <c r="A23" s="8" t="inlineStr">
        <is>
          <t>% miglioramento grazie alle addizionali</t>
        </is>
      </c>
      <c r="B23" s="15">
        <f>IFERROR((B15-B21)/B21, 0)</f>
        <v/>
      </c>
    </row>
    <row r="25" ht="45" customHeight="1">
      <c r="A25" s="12" t="inlineStr">
        <is>
          <t>Il contributo non dedotto NON viene tassato in uscita. Devi comunicarlo al fondo entro il 31/12 dell'anno successivo al versamento (modulo 'contributi non dedotti').</t>
        </is>
      </c>
    </row>
  </sheetData>
  <mergeCells count="7">
    <mergeCell ref="A1:D1"/>
    <mergeCell ref="A25:B25"/>
    <mergeCell ref="A4:D4"/>
    <mergeCell ref="A20:D20"/>
    <mergeCell ref="A2:D2"/>
    <mergeCell ref="A11:D11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TFR in azienda vs TFR nel Fondo Pensione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Stipendio lordo annuo (€)</t>
        </is>
      </c>
      <c r="B5" s="10" t="n">
        <v>30000</v>
      </c>
    </row>
    <row r="6">
      <c r="A6" s="8" t="inlineStr">
        <is>
          <t>Anni residui di carriera</t>
        </is>
      </c>
      <c r="B6" s="9" t="n">
        <v>25</v>
      </c>
    </row>
    <row r="7">
      <c r="A7" s="8" t="inlineStr">
        <is>
          <t>Inflazione media attesa (% — usata per TFR azienda)</t>
        </is>
      </c>
      <c r="B7" s="11" t="n">
        <v>0.022</v>
      </c>
    </row>
    <row r="8">
      <c r="A8" s="8" t="inlineStr">
        <is>
          <t>Rendimento netto medio comparto FP scelto (%)</t>
        </is>
      </c>
      <c r="B8" s="11" t="n">
        <v>0.022</v>
      </c>
    </row>
    <row r="9">
      <c r="A9" s="8" t="inlineStr">
        <is>
          <t>Aliquota IRPEF media ultimi 5 anni (TFR azienda)</t>
        </is>
      </c>
      <c r="B9" s="11" t="n">
        <v>0.27</v>
      </c>
    </row>
    <row r="10" ht="45" customHeight="1">
      <c r="A10" s="12" t="inlineStr">
        <is>
          <t>TFR azienda: rivalutazione = 1,5% + 75% inflazione. Tassazione separata aliq. IRPEF media. TFR in FP: cresce col rendimento del comparto. Tassazione 15→9% dopo 35 anni.</t>
        </is>
      </c>
    </row>
    <row r="12">
      <c r="A12" s="7" t="inlineStr">
        <is>
          <t>Calcolo TFR conferito annuo</t>
        </is>
      </c>
    </row>
    <row r="13">
      <c r="A13" s="8" t="inlineStr">
        <is>
          <t>Quota TFR annua (= stipendio lordo / 13,5)</t>
        </is>
      </c>
      <c r="B13" s="14">
        <f>B5/13.5</f>
        <v/>
      </c>
    </row>
    <row r="15">
      <c r="A15" s="7" t="inlineStr">
        <is>
          <t>Scenario A — TFR in azienda</t>
        </is>
      </c>
    </row>
    <row r="16">
      <c r="A16" s="8" t="inlineStr">
        <is>
          <t>Tasso rivalutazione annuo (1,5% + 75% inflaz.)</t>
        </is>
      </c>
      <c r="B16" s="15">
        <f>0.015+0.75*B7</f>
        <v/>
      </c>
    </row>
    <row r="17">
      <c r="A17" s="8" t="inlineStr">
        <is>
          <t>Capitale finale LORDO</t>
        </is>
      </c>
      <c r="B17" s="14">
        <f>IFERROR(B13*(((1+B16)^B6-1)/B16), B13*B6)</f>
        <v/>
      </c>
    </row>
    <row r="18">
      <c r="A18" s="8" t="inlineStr">
        <is>
          <t>Capitale finale NETTO (aliq. IRPEF media)</t>
        </is>
      </c>
      <c r="B18" s="14">
        <f>B17*(1-B9)</f>
        <v/>
      </c>
    </row>
    <row r="20">
      <c r="A20" s="7" t="inlineStr">
        <is>
          <t>Scenario B — TFR nel Fondo Pensione</t>
        </is>
      </c>
    </row>
    <row r="21">
      <c r="A21" s="8" t="inlineStr">
        <is>
          <t>Anni partecipazione = anni residui</t>
        </is>
      </c>
      <c r="B21" s="13">
        <f>B6</f>
        <v/>
      </c>
    </row>
    <row r="22">
      <c r="A22" s="8" t="inlineStr">
        <is>
          <t>Aliquota prestazione finale FP (15→9%)</t>
        </is>
      </c>
      <c r="B22" s="15">
        <f>MAX(0.09, 0.15 - MAX(0, B21-15)*0.003)</f>
        <v/>
      </c>
    </row>
    <row r="23">
      <c r="A23" s="8" t="inlineStr">
        <is>
          <t>Capitale finale LORDO</t>
        </is>
      </c>
      <c r="B23" s="14">
        <f>IFERROR(B13*(((1+B8)^B6-1)/B8), B13*B6)</f>
        <v/>
      </c>
    </row>
    <row r="24">
      <c r="A24" s="8" t="inlineStr">
        <is>
          <t>Capitale finale NETTO (aliq. FP)</t>
        </is>
      </c>
      <c r="B24" s="14">
        <f>B23*(1-B22)</f>
        <v/>
      </c>
    </row>
    <row r="26">
      <c r="A26" s="7" t="inlineStr">
        <is>
          <t>Confronto</t>
        </is>
      </c>
    </row>
    <row r="27">
      <c r="A27" s="8" t="inlineStr">
        <is>
          <t>Differenza NETTA a favore del FP</t>
        </is>
      </c>
      <c r="B27" s="14">
        <f>B24-B18</f>
        <v/>
      </c>
    </row>
    <row r="28">
      <c r="A28" s="8" t="inlineStr">
        <is>
          <t>Differenza in % del capitale TFR azienda</t>
        </is>
      </c>
      <c r="B28" s="16">
        <f>IFERROR((B24-B18)/B18, 0)</f>
        <v/>
      </c>
    </row>
    <row r="30" ht="60" customHeight="1">
      <c r="A30" s="12" t="inlineStr">
        <is>
          <t>ATTENZIONE: se scegli comparto GARANTITO (rendimento medio &lt;1%) lo scenario B può perdere contro lo scenario A in periodi di inflazione bassa. Il confronto dipende dalla scelta del comparto, non solo dalla scelta dello strumento.</t>
        </is>
      </c>
    </row>
  </sheetData>
  <mergeCells count="9">
    <mergeCell ref="A1:D1"/>
    <mergeCell ref="A30:B30"/>
    <mergeCell ref="A12:D12"/>
    <mergeCell ref="A4:D4"/>
    <mergeCell ref="A20:D20"/>
    <mergeCell ref="A10:B10"/>
    <mergeCell ref="A26:D26"/>
    <mergeCell ref="A15:D1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5" customHeight="1">
      <c r="A1" s="1" t="inlineStr">
        <is>
          <t>Tassazione anticipazioni e riscatto FP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Montante accumulato finora (€)</t>
        </is>
      </c>
      <c r="B5" s="10" t="n">
        <v>100000</v>
      </c>
    </row>
    <row r="6">
      <c r="A6" s="8" t="inlineStr">
        <is>
          <t>Anni di partecipazione al fondo</t>
        </is>
      </c>
      <c r="B6" s="9" t="n">
        <v>20</v>
      </c>
    </row>
    <row r="7">
      <c r="A7" s="8" t="inlineStr">
        <is>
          <t>Importo da prelevare ora (€)</t>
        </is>
      </c>
      <c r="B7" s="10" t="n">
        <v>30000</v>
      </c>
    </row>
    <row r="8" ht="30" customHeight="1">
      <c r="A8" s="12" t="inlineStr">
        <is>
          <t>Causali disponibili: vedi tabella sotto. Le aliquote agevolate (15%→9%) scendono di 0,3% per ogni anno oltre 15 di partecipazione.</t>
        </is>
      </c>
    </row>
    <row r="10">
      <c r="A10" s="7" t="inlineStr">
        <is>
          <t>Aliquote agevolate per anzianità (15% → 9%)</t>
        </is>
      </c>
    </row>
    <row r="11">
      <c r="A11" s="8" t="inlineStr">
        <is>
          <t>Aliquota agevolata per i tuoi anni partecipazione</t>
        </is>
      </c>
      <c r="B11" s="15">
        <f>MAX(0.09, 0.15 - MAX(0, B6-15)*0.003)</f>
        <v/>
      </c>
    </row>
    <row r="13">
      <c r="A13" s="7" t="inlineStr">
        <is>
          <t>Causali — aliquota applicabile e netto disponibile</t>
        </is>
      </c>
    </row>
    <row r="14">
      <c r="A14" s="17" t="inlineStr">
        <is>
          <t>Causale</t>
        </is>
      </c>
      <c r="B14" s="17" t="inlineStr">
        <is>
          <t>Aliquota</t>
        </is>
      </c>
      <c r="C14" s="17" t="inlineStr">
        <is>
          <t>Max prelevabile</t>
        </is>
      </c>
      <c r="D14" s="17" t="inlineStr">
        <is>
          <t>Tasse stimate</t>
        </is>
      </c>
      <c r="E14" s="17" t="inlineStr">
        <is>
          <t>Netto disponibile</t>
        </is>
      </c>
    </row>
    <row r="15">
      <c r="A15" s="8" t="inlineStr">
        <is>
          <t>Spese mediche straordinarie (max 75%)</t>
        </is>
      </c>
      <c r="B15" s="15">
        <f>B11</f>
        <v/>
      </c>
      <c r="C15" s="14">
        <f>B5*0.75</f>
        <v/>
      </c>
      <c r="D15" s="14">
        <f>MIN(B7,C15)*B15</f>
        <v/>
      </c>
      <c r="E15" s="14">
        <f>MIN(B7,C15)-D15</f>
        <v/>
      </c>
    </row>
    <row r="16">
      <c r="A16" s="8" t="inlineStr">
        <is>
          <t>Prima casa / ristrutturazione (max 75%, dopo 8y)</t>
        </is>
      </c>
      <c r="B16" s="15">
        <f>IF(B6&gt;=8, 0.23, NA())</f>
        <v/>
      </c>
      <c r="C16" s="14">
        <f>IF(B6&gt;=8, B5*0.75, 0)</f>
        <v/>
      </c>
      <c r="D16" s="14">
        <f>IFERROR(MIN(B7,C16)*B16, 0)</f>
        <v/>
      </c>
      <c r="E16" s="14">
        <f>IFERROR(MIN(B7,C16)-D16, 0)</f>
        <v/>
      </c>
    </row>
    <row r="17">
      <c r="A17" s="8" t="inlineStr">
        <is>
          <t>Anticipazione libera senza causale (max 30%, dopo 8y)</t>
        </is>
      </c>
      <c r="B17" s="15">
        <f>IF(B6&gt;=8, 0.23, NA())</f>
        <v/>
      </c>
      <c r="C17" s="14">
        <f>IF(B6&gt;=8, B5*0.30, 0)</f>
        <v/>
      </c>
      <c r="D17" s="14">
        <f>IFERROR(MIN(B7,C17)*B17, 0)</f>
        <v/>
      </c>
      <c r="E17" s="14">
        <f>IFERROR(MIN(B7,C17)-D17, 0)</f>
        <v/>
      </c>
    </row>
    <row r="18">
      <c r="A18" s="8" t="inlineStr">
        <is>
          <t>Riscatto disoccupazione &gt;12 mesi / invalidità</t>
        </is>
      </c>
      <c r="B18" s="15">
        <f>B11</f>
        <v/>
      </c>
      <c r="C18" s="14">
        <f>B5</f>
        <v/>
      </c>
      <c r="D18" s="14">
        <f>B5*B18</f>
        <v/>
      </c>
      <c r="E18" s="14">
        <f>B5-D18</f>
        <v/>
      </c>
    </row>
    <row r="19">
      <c r="A19" s="8" t="inlineStr">
        <is>
          <t>Riscatto cause diverse (dimissioni con nuovo lavoro)</t>
        </is>
      </c>
      <c r="B19" s="15">
        <f>0.23</f>
        <v/>
      </c>
      <c r="C19" s="14">
        <f>B5</f>
        <v/>
      </c>
      <c r="D19" s="14">
        <f>B5*B19</f>
        <v/>
      </c>
      <c r="E19" s="14">
        <f>B5-D19</f>
        <v/>
      </c>
    </row>
    <row r="21">
      <c r="A21" s="7" t="inlineStr">
        <is>
          <t>Differenza riscatto disoccupato vs dimesso</t>
        </is>
      </c>
    </row>
    <row r="22">
      <c r="A22" s="8" t="inlineStr">
        <is>
          <t>Risparmio fiscale aspettando la disoccupazione</t>
        </is>
      </c>
      <c r="B22" s="14">
        <f>D19-D18</f>
        <v/>
      </c>
    </row>
    <row r="24" ht="60" customHeight="1">
      <c r="A24" s="12" t="inlineStr">
        <is>
          <t>ESEMPIO chiave: su un montante di 100.000€, riscattare dopo 12 mesi di disoccupazione vs dimettersi con nuovo lavoro fa una differenza di ~14.000€ di tasse in meno. Il timing del riscatto può valere migliaia di euro.</t>
        </is>
      </c>
    </row>
  </sheetData>
  <mergeCells count="8">
    <mergeCell ref="A1:D1"/>
    <mergeCell ref="A24:B24"/>
    <mergeCell ref="A4:D4"/>
    <mergeCell ref="A21:D21"/>
    <mergeCell ref="A2:D2"/>
    <mergeCell ref="A10:D10"/>
    <mergeCell ref="A8:B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2026-05-22T17:34:41Z</dcterms:created>
  <dcterms:modified xsi:type="dcterms:W3CDTF">2026-05-22T17:34:41Z</dcterms:modified>
</cp:coreProperties>
</file>