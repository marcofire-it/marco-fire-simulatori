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/>
  </bookViews>
  <sheets>
    <sheet name="0 - Indice" sheetId="1" r:id="rId1"/>
    <sheet name="1 - Dati" sheetId="2" r:id="rId2"/>
    <sheet name="2 - Pensioni" sheetId="3" r:id="rId3"/>
    <sheet name="3 - Numero FIRE" sheetId="4" r:id="rId4"/>
    <sheet name="4 - Vedovanza" sheetId="5" r:id="rId5"/>
    <sheet name="5 - Motore e tabelle" sheetId="6" r:id="rId6"/>
  </sheets>
  <definedNames>
    <definedName name="Cm_m26">'1 - Dati'!$C$30</definedName>
    <definedName name="Cm_nasc_a">'1 - Dati'!$C$26</definedName>
    <definedName name="Cm_nasc_m">'1 - Dati'!$C$27</definedName>
    <definedName name="Cm_netto">'2 - Pensioni'!$C$17</definedName>
    <definedName name="Cm_ord_cf">'5 - Motore e tabelle'!$H$358</definedName>
    <definedName name="Cm_ord_da">'5 - Motore e tabelle'!$H$353</definedName>
    <definedName name="Cm_ord_dm">'5 - Motore e tabelle'!$H$354</definedName>
    <definedName name="Cm_ord_em">'5 - Motore e tabelle'!$H$352</definedName>
    <definedName name="Cm_primo">'1 - Dati'!$C$29</definedName>
    <definedName name="Cm_ral">'1 - Dati'!$C$28</definedName>
    <definedName name="Cm_v71_cf">'5 - Motore e tabelle'!$I$358</definedName>
    <definedName name="Cm_v71_da">'5 - Motore e tabelle'!$I$353</definedName>
    <definedName name="Cm_v71_dm">'5 - Motore e tabelle'!$I$354</definedName>
    <definedName name="Cm_v71_em">'5 - Motore e tabelle'!$I$352</definedName>
    <definedName name="CT_eta">'5 - Motore e tabelle'!$A$106:$A$120</definedName>
    <definedName name="CT_val">'5 - Motore e tabelle'!$B$106:$B$120</definedName>
    <definedName name="Dist_tot_1">'2 - Pensioni'!$F$22</definedName>
    <definedName name="Dist_tot_2">'2 - Pensioni'!$F$23</definedName>
    <definedName name="Dist_tot_3">'2 - Pensioni'!$F$24</definedName>
    <definedName name="Dist_tot_4">'2 - Pensioni'!$F$25</definedName>
    <definedName name="Ered_2026">'1 - Dati'!$B$51</definedName>
    <definedName name="Ered_anno">'1 - Dati'!$B$50</definedName>
    <definedName name="Ered_nom">'1 - Dati'!$B$49</definedName>
    <definedName name="F_nom">'5 - Motore e tabelle'!$B$21</definedName>
    <definedName name="FZ_key">'5 - Motore e tabelle'!$A$310:$A$321</definedName>
    <definedName name="FZ_val">'5 - Motore e tabelle'!$E$310:$E$321</definedName>
    <definedName name="G_real">'5 - Motore e tabelle'!$B$22</definedName>
    <definedName name="imp_R1">'5 - Motore e tabelle'!$B$323</definedName>
    <definedName name="imp_R2">'5 - Motore e tabelle'!$B$324</definedName>
    <definedName name="K_raw">'5 - Motore e tabelle'!$E$138:$E$306</definedName>
    <definedName name="lam_A0">'5 - Motore e tabelle'!$B$24</definedName>
    <definedName name="lam_C0">'5 - Motore e tabelle'!$B$23</definedName>
    <definedName name="Leva_C">'3 - Numero FIRE'!$B$57</definedName>
    <definedName name="Leva_T">'3 - Numero FIRE'!$B$56</definedName>
    <definedName name="N_eta">'5 - Motore e tabelle'!$A$125:$A$134</definedName>
    <definedName name="Nodi_2013">'5 - Motore e tabelle'!$B$125:$B$134</definedName>
    <definedName name="Nodi_2025">'5 - Motore e tabelle'!$C$125:$C$134</definedName>
    <definedName name="Num_esito_1">'3 - Numero FIRE'!$B$14</definedName>
    <definedName name="Num_esito_2">'3 - Numero FIRE'!$C$14</definedName>
    <definedName name="Num_esito_3">'3 - Numero FIRE'!$D$14</definedName>
    <definedName name="Num_fine26_1">'3 - Numero FIRE'!$B$16</definedName>
    <definedName name="Num_fine26_2">'3 - Numero FIRE'!$C$16</definedName>
    <definedName name="Num_fine26_3">'3 - Numero FIRE'!$D$16</definedName>
    <definedName name="Num_marg_1">'3 - Numero FIRE'!$B$12</definedName>
    <definedName name="Num_marg_2">'3 - Numero FIRE'!$C$12</definedName>
    <definedName name="Num_marg_3">'3 - Numero FIRE'!$D$12</definedName>
    <definedName name="Num_patr_1">'3 - Numero FIRE'!$B$10</definedName>
    <definedName name="Num_patr_2">'3 - Numero FIRE'!$C$10</definedName>
    <definedName name="Num_patr_3">'3 - Numero FIRE'!$D$10</definedName>
    <definedName name="Num_ric_1">'3 - Numero FIRE'!$B$11</definedName>
    <definedName name="Num_ric_2">'3 - Numero FIRE'!$C$11</definedName>
    <definedName name="Num_ric_3">'3 - Numero FIRE'!$D$11</definedName>
    <definedName name="p_add">'1 - Dati'!$B$10</definedName>
    <definedName name="p_anni_eff">'1 - Dati'!$B$20</definedName>
    <definedName name="p_anni_min">'1 - Dati'!$B$19</definedName>
    <definedName name="p_AS">'1 - Dati'!$B$14</definedName>
    <definedName name="p_banda">'1 - Dati'!$B$22</definedName>
    <definedName name="p_bollo">'1 - Dati'!$B$8</definedName>
    <definedName name="p_cgt">'1 - Dati'!$B$9</definedName>
    <definedName name="p_comp">'1 - Dati'!$B$12</definedName>
    <definedName name="p_contr">'1 - Dati'!$B$13</definedName>
    <definedName name="p_g">'1 - Dati'!$B$11</definedName>
    <definedName name="p_infl">'1 - Dati'!$B$7</definedName>
    <definedName name="p_ivs_aliq">'1 - Dati'!$B$18</definedName>
    <definedName name="p_ivs_soglia">'1 - Dati'!$B$17</definedName>
    <definedName name="p_orizz">'1 - Dati'!$B$16</definedName>
    <definedName name="p_rend">'1 - Dati'!$B$6</definedName>
    <definedName name="p_scarto">'1 - Dati'!$B$21</definedName>
    <definedName name="p_sp_C">'1 - Dati'!$B$36</definedName>
    <definedName name="p_sp_com">'1 - Dati'!$B$34</definedName>
    <definedName name="p_sp_T">'1 - Dati'!$B$35</definedName>
    <definedName name="p_spesa">'1 - Dati'!$B$37</definedName>
    <definedName name="p_TM">'1 - Dati'!$B$15</definedName>
    <definedName name="Pat_B">'1 - Dati'!$C$47</definedName>
    <definedName name="Pat_lat">'1 - Dati'!$D$47</definedName>
    <definedName name="Pat_W">'1 - Dati'!$B$47</definedName>
    <definedName name="PC_da">'2 - Pensioni'!$E$72:$E$92</definedName>
    <definedName name="PC_dm">'2 - Pensioni'!$F$72:$F$92</definedName>
    <definedName name="PC_em">'2 - Pensioni'!$G$72:$G$92</definedName>
    <definedName name="PC_lorda">'2 - Pensioni'!$J$72:$J$92</definedName>
    <definedName name="PC_netta">'2 - Pensioni'!$L$72:$L$92</definedName>
    <definedName name="PC_via">'2 - Pensioni'!$C$72:$C$92</definedName>
    <definedName name="Pt_C_base">'1 - Dati'!$C$45</definedName>
    <definedName name="Pt_C_val">'1 - Dati'!$B$45</definedName>
    <definedName name="PT_da">'2 - Pensioni'!$E$48:$E$68</definedName>
    <definedName name="PT_dm">'2 - Pensioni'!$F$48:$F$68</definedName>
    <definedName name="PT_em">'2 - Pensioni'!$G$48:$G$68</definedName>
    <definedName name="Pt_J_base">'1 - Dati'!$C$46</definedName>
    <definedName name="Pt_J_val">'1 - Dati'!$B$46</definedName>
    <definedName name="PT_lorda">'2 - Pensioni'!$J$48:$J$68</definedName>
    <definedName name="PT_netta">'2 - Pensioni'!$L$48:$L$68</definedName>
    <definedName name="Pt_T_base">'1 - Dati'!$C$44</definedName>
    <definedName name="Pt_T_val">'1 - Dati'!$B$44</definedName>
    <definedName name="PT_via">'2 - Pensioni'!$C$48:$C$68</definedName>
    <definedName name="q_meta_C">'1 - Dati'!$B$39</definedName>
    <definedName name="q_meta_T">'1 - Dati'!$B$38</definedName>
    <definedName name="q_prop">'1 - Dati'!$B$40</definedName>
    <definedName name="REQ_71">'5 - Motore e tabelle'!$C$28:$C$100</definedName>
    <definedName name="REQ_a0">'5 - Motore e tabelle'!$B$102</definedName>
    <definedName name="REQ_a1">'5 - Motore e tabelle'!$B$101</definedName>
    <definedName name="REQ_anno">'5 - Motore e tabelle'!$A$28:$A$100</definedName>
    <definedName name="REQ_ord">'5 - Motore e tabelle'!$B$28:$B$100</definedName>
    <definedName name="sc_A1">'5 - Motore e tabelle'!$B$8</definedName>
    <definedName name="sc_A2">'5 - Motore e tabelle'!$B$9</definedName>
    <definedName name="sc_A3">'5 - Motore e tabelle'!$B$10</definedName>
    <definedName name="sc_B1">'5 - Motore e tabelle'!$B$11</definedName>
    <definedName name="sc_B2">'5 - Motore e tabelle'!$B$12</definedName>
    <definedName name="sc_L1">'5 - Motore e tabelle'!$B$6</definedName>
    <definedName name="sc_L2">'5 - Motore e tabelle'!$B$7</definedName>
    <definedName name="Sens_pct">'3 - Numero FIRE'!$B$58</definedName>
    <definedName name="Sens_ric_giu">'3 - Numero FIRE'!$B$59</definedName>
    <definedName name="Sens_ric_su">'3 - Numero FIRE'!$B$60</definedName>
    <definedName name="Tab_marg">'3 - Numero FIRE'!$D$32:$D$51</definedName>
    <definedName name="tf_M3">'5 - Motore e tabelle'!$D$16</definedName>
    <definedName name="tf_M4">'5 - Motore e tabelle'!$D$17</definedName>
    <definedName name="tf_M5">'5 - Motore e tabelle'!$D$18</definedName>
    <definedName name="tf_S3">'5 - Motore e tabelle'!$B$16</definedName>
    <definedName name="tf_S4">'5 - Motore e tabelle'!$B$17</definedName>
    <definedName name="tf_S5">'5 - Motore e tabelle'!$B$18</definedName>
    <definedName name="Tr_aponte_1">'3 - Numero FIRE'!$B$24</definedName>
    <definedName name="Tr_aponte_2">'3 - Numero FIRE'!$C$24</definedName>
    <definedName name="Tr_aponte_3">'3 - Numero FIRE'!$D$24</definedName>
    <definedName name="Tr_due_1">'3 - Numero FIRE'!$B$22</definedName>
    <definedName name="Tr_due_2">'3 - Numero FIRE'!$C$22</definedName>
    <definedName name="Tr_due_3">'3 - Numero FIRE'!$D$22</definedName>
    <definedName name="Tr_ponte_1">'3 - Numero FIRE'!$B$20</definedName>
    <definedName name="Tr_ponte_2">'3 - Numero FIRE'!$C$20</definedName>
    <definedName name="Tr_ponte_3">'3 - Numero FIRE'!$D$20</definedName>
    <definedName name="Tr_tot_1">'3 - Numero FIRE'!$B$23</definedName>
    <definedName name="Tr_tot_2">'3 - Numero FIRE'!$C$23</definedName>
    <definedName name="Tr_tot_3">'3 - Numero FIRE'!$D$23</definedName>
    <definedName name="Tr_una_1">'3 - Numero FIRE'!$B$21</definedName>
    <definedName name="Tr_una_2">'3 - Numero FIRE'!$C$21</definedName>
    <definedName name="Tr_una_3">'3 - Numero FIRE'!$D$21</definedName>
    <definedName name="Tra_anni">'3 - Numero FIRE'!$B$53</definedName>
    <definedName name="Tra_U">'3 - Numero FIRE'!$B$52</definedName>
    <definedName name="Tz_m26">'1 - Dati'!$B$30</definedName>
    <definedName name="Tz_nasc_a">'1 - Dati'!$B$26</definedName>
    <definedName name="Tz_nasc_m">'1 - Dati'!$B$27</definedName>
    <definedName name="Tz_netto">'2 - Pensioni'!$B$17</definedName>
    <definedName name="Tz_ord_cf">'5 - Motore e tabelle'!$B$358</definedName>
    <definedName name="Tz_ord_da">'5 - Motore e tabelle'!$B$353</definedName>
    <definedName name="Tz_ord_dm">'5 - Motore e tabelle'!$B$354</definedName>
    <definedName name="Tz_ord_em">'5 - Motore e tabelle'!$B$352</definedName>
    <definedName name="Tz_primo">'1 - Dati'!$B$29</definedName>
    <definedName name="Tz_ral">'1 - Dati'!$B$28</definedName>
    <definedName name="Tz_v71_cf">'5 - Motore e tabelle'!$C$358</definedName>
    <definedName name="Tz_v71_da">'5 - Motore e tabelle'!$C$353</definedName>
    <definedName name="Tz_v71_dm">'5 - Motore e tabelle'!$C$354</definedName>
    <definedName name="Tz_v71_em">'5 - Motore e tabelle'!$C$352</definedName>
    <definedName name="U_com">'1 - Dati'!$B$56</definedName>
    <definedName name="U_lib_C">'1 - Dati'!$B$58</definedName>
    <definedName name="U_lib_T">'1 - Dati'!$B$57</definedName>
    <definedName name="U_oggi_C">'1 - Dati'!$B$55</definedName>
    <definedName name="U_oggi_T">'1 - Dati'!$B$54</definedName>
    <definedName name="V_aliq">'1 - Dati'!$B$67</definedName>
    <definedName name="V_anno">'1 - Dati'!$B$62</definedName>
    <definedName name="V_chi">'1 - Dati'!$B$61</definedName>
    <definedName name="V_den64">'1 - Dati'!$B$68</definedName>
    <definedName name="V_den65">'1 - Dati'!$B$69</definedName>
    <definedName name="V_fam">'1 - Dati'!$B$65</definedName>
    <definedName name="V_figli">'1 - Dati'!$B$66</definedName>
    <definedName name="V_regime">'1 - Dati'!$B$63</definedName>
    <definedName name="V_test">'1 - Dati'!$B$64</definedName>
    <definedName name="Ved_esaur">'4 - Vedovanza'!$E$7</definedName>
    <definedName name="Ved_finale">'4 - Vedovanza'!$E$8</definedName>
    <definedName name="Ved_ind_Cm">'4 - Vedovanza'!$B$24</definedName>
    <definedName name="Ved_ind_Tz">'4 - Vedovanza'!$B$18</definedName>
    <definedName name="Ved_q">'4 - Vedovanza'!$B$14</definedName>
    <definedName name="Ved_qb">'4 - Vedovanza'!$B$15</definedName>
    <definedName name="Ved_rev_lorda">'4 - Vedovanza'!$E$10</definedName>
    <definedName name="Ved_rev_ridotta">'4 - Vedovanza'!$E$11</definedName>
  </definedNames>
  <calcPr calcId="144525"/>
</workbook>
</file>

<file path=xl/calcChain.xml><?xml version="1.0" encoding="utf-8"?>
<calcChain xmlns="http://schemas.openxmlformats.org/spreadsheetml/2006/main">
  <c r="V442" i="6" l="1"/>
  <c r="V387" i="6" s="1"/>
  <c r="R366" i="6"/>
  <c r="Q366" i="6"/>
  <c r="P366" i="6"/>
  <c r="Z365" i="6"/>
  <c r="Z450" i="6" s="1"/>
  <c r="Z395" i="6" s="1"/>
  <c r="Y365" i="6"/>
  <c r="Y366" i="6" s="1"/>
  <c r="X365" i="6"/>
  <c r="X452" i="6" s="1"/>
  <c r="X397" i="6" s="1"/>
  <c r="W365" i="6"/>
  <c r="W453" i="6" s="1"/>
  <c r="W398" i="6" s="1"/>
  <c r="V365" i="6"/>
  <c r="V452" i="6" s="1"/>
  <c r="V397" i="6" s="1"/>
  <c r="U365" i="6"/>
  <c r="U455" i="6" s="1"/>
  <c r="U400" i="6" s="1"/>
  <c r="T365" i="6"/>
  <c r="T370" i="6" s="1"/>
  <c r="S365" i="6"/>
  <c r="S448" i="6" s="1"/>
  <c r="S393" i="6" s="1"/>
  <c r="R365" i="6"/>
  <c r="R370" i="6" s="1"/>
  <c r="Q365" i="6"/>
  <c r="Q451" i="6" s="1"/>
  <c r="Q396" i="6" s="1"/>
  <c r="P365" i="6"/>
  <c r="O365" i="6"/>
  <c r="O366" i="6" s="1"/>
  <c r="N365" i="6"/>
  <c r="M365" i="6"/>
  <c r="M442" i="6" s="1"/>
  <c r="L365" i="6"/>
  <c r="L446" i="6" s="1"/>
  <c r="L391" i="6" s="1"/>
  <c r="K365" i="6"/>
  <c r="J365" i="6"/>
  <c r="I365" i="6"/>
  <c r="H365" i="6"/>
  <c r="H366" i="6" s="1"/>
  <c r="G365" i="6"/>
  <c r="G370" i="6" s="1"/>
  <c r="AB363" i="6"/>
  <c r="AA363" i="6"/>
  <c r="F363" i="6"/>
  <c r="E363" i="6"/>
  <c r="D363" i="6"/>
  <c r="D8" i="4" s="1"/>
  <c r="C363" i="6"/>
  <c r="C8" i="4" s="1"/>
  <c r="B363" i="6"/>
  <c r="AB362" i="6"/>
  <c r="AB365" i="6" s="1"/>
  <c r="AB370" i="6" s="1"/>
  <c r="AA362" i="6"/>
  <c r="F362" i="6"/>
  <c r="E362" i="6"/>
  <c r="D362" i="6"/>
  <c r="C362" i="6"/>
  <c r="C7" i="4" s="1"/>
  <c r="B362" i="6"/>
  <c r="B7" i="4" s="1"/>
  <c r="I356" i="6"/>
  <c r="H356" i="6"/>
  <c r="C356" i="6"/>
  <c r="B356" i="6"/>
  <c r="G348" i="6"/>
  <c r="A348" i="6"/>
  <c r="G347" i="6"/>
  <c r="A347" i="6"/>
  <c r="G346" i="6"/>
  <c r="A346" i="6"/>
  <c r="G345" i="6"/>
  <c r="A345" i="6"/>
  <c r="G344" i="6"/>
  <c r="A344" i="6"/>
  <c r="G343" i="6"/>
  <c r="A343" i="6"/>
  <c r="G342" i="6"/>
  <c r="A342" i="6"/>
  <c r="G341" i="6"/>
  <c r="A341" i="6"/>
  <c r="G340" i="6"/>
  <c r="A340" i="6"/>
  <c r="G339" i="6"/>
  <c r="A339" i="6"/>
  <c r="G338" i="6"/>
  <c r="A338" i="6"/>
  <c r="G337" i="6"/>
  <c r="A337" i="6"/>
  <c r="G336" i="6"/>
  <c r="A336" i="6"/>
  <c r="G335" i="6"/>
  <c r="A335" i="6"/>
  <c r="G334" i="6"/>
  <c r="A334" i="6"/>
  <c r="G333" i="6"/>
  <c r="A333" i="6"/>
  <c r="G332" i="6"/>
  <c r="A332" i="6"/>
  <c r="G331" i="6"/>
  <c r="A331" i="6"/>
  <c r="G330" i="6"/>
  <c r="A330" i="6"/>
  <c r="G329" i="6"/>
  <c r="A329" i="6"/>
  <c r="G328" i="6"/>
  <c r="A328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B306" i="6"/>
  <c r="D306" i="6" s="1"/>
  <c r="B305" i="6"/>
  <c r="B304" i="6"/>
  <c r="D304" i="6" s="1"/>
  <c r="B303" i="6"/>
  <c r="C303" i="6" s="1"/>
  <c r="B302" i="6"/>
  <c r="D302" i="6" s="1"/>
  <c r="B301" i="6"/>
  <c r="B300" i="6"/>
  <c r="D300" i="6" s="1"/>
  <c r="B299" i="6"/>
  <c r="C299" i="6" s="1"/>
  <c r="B298" i="6"/>
  <c r="D298" i="6" s="1"/>
  <c r="B297" i="6"/>
  <c r="B296" i="6"/>
  <c r="D296" i="6" s="1"/>
  <c r="B295" i="6"/>
  <c r="B294" i="6"/>
  <c r="C294" i="6" s="1"/>
  <c r="B293" i="6"/>
  <c r="B292" i="6"/>
  <c r="B291" i="6"/>
  <c r="C291" i="6" s="1"/>
  <c r="D290" i="6"/>
  <c r="C290" i="6"/>
  <c r="B290" i="6"/>
  <c r="B289" i="6"/>
  <c r="B288" i="6"/>
  <c r="B287" i="6"/>
  <c r="C287" i="6" s="1"/>
  <c r="B286" i="6"/>
  <c r="D286" i="6" s="1"/>
  <c r="B285" i="6"/>
  <c r="B284" i="6"/>
  <c r="C284" i="6" s="1"/>
  <c r="B283" i="6"/>
  <c r="C283" i="6" s="1"/>
  <c r="B282" i="6"/>
  <c r="D282" i="6" s="1"/>
  <c r="B281" i="6"/>
  <c r="B280" i="6"/>
  <c r="D280" i="6" s="1"/>
  <c r="B279" i="6"/>
  <c r="C279" i="6" s="1"/>
  <c r="D278" i="6"/>
  <c r="C278" i="6"/>
  <c r="B278" i="6"/>
  <c r="B277" i="6"/>
  <c r="C276" i="6"/>
  <c r="B276" i="6"/>
  <c r="D276" i="6" s="1"/>
  <c r="C275" i="6"/>
  <c r="E275" i="6" s="1"/>
  <c r="B275" i="6"/>
  <c r="D275" i="6" s="1"/>
  <c r="B274" i="6"/>
  <c r="D274" i="6" s="1"/>
  <c r="B273" i="6"/>
  <c r="D273" i="6" s="1"/>
  <c r="C272" i="6"/>
  <c r="B272" i="6"/>
  <c r="D272" i="6" s="1"/>
  <c r="B271" i="6"/>
  <c r="C271" i="6" s="1"/>
  <c r="B270" i="6"/>
  <c r="C270" i="6" s="1"/>
  <c r="B269" i="6"/>
  <c r="D269" i="6" s="1"/>
  <c r="B268" i="6"/>
  <c r="D268" i="6" s="1"/>
  <c r="B267" i="6"/>
  <c r="B266" i="6"/>
  <c r="D266" i="6" s="1"/>
  <c r="B265" i="6"/>
  <c r="B264" i="6"/>
  <c r="D264" i="6" s="1"/>
  <c r="B263" i="6"/>
  <c r="B262" i="6"/>
  <c r="C262" i="6" s="1"/>
  <c r="B261" i="6"/>
  <c r="D261" i="6" s="1"/>
  <c r="B260" i="6"/>
  <c r="B259" i="6"/>
  <c r="D259" i="6" s="1"/>
  <c r="D258" i="6"/>
  <c r="B258" i="6"/>
  <c r="C258" i="6" s="1"/>
  <c r="B257" i="6"/>
  <c r="D257" i="6" s="1"/>
  <c r="B256" i="6"/>
  <c r="D256" i="6" s="1"/>
  <c r="B255" i="6"/>
  <c r="B254" i="6"/>
  <c r="C254" i="6" s="1"/>
  <c r="B253" i="6"/>
  <c r="D253" i="6" s="1"/>
  <c r="B252" i="6"/>
  <c r="C252" i="6" s="1"/>
  <c r="B251" i="6"/>
  <c r="D251" i="6" s="1"/>
  <c r="B250" i="6"/>
  <c r="C250" i="6" s="1"/>
  <c r="B249" i="6"/>
  <c r="B248" i="6"/>
  <c r="B247" i="6"/>
  <c r="D247" i="6" s="1"/>
  <c r="B246" i="6"/>
  <c r="C246" i="6" s="1"/>
  <c r="B245" i="6"/>
  <c r="D245" i="6" s="1"/>
  <c r="B244" i="6"/>
  <c r="C244" i="6" s="1"/>
  <c r="B243" i="6"/>
  <c r="D243" i="6" s="1"/>
  <c r="B242" i="6"/>
  <c r="D242" i="6" s="1"/>
  <c r="B241" i="6"/>
  <c r="D241" i="6" s="1"/>
  <c r="D240" i="6"/>
  <c r="B240" i="6"/>
  <c r="C240" i="6" s="1"/>
  <c r="E240" i="6" s="1"/>
  <c r="B239" i="6"/>
  <c r="C239" i="6" s="1"/>
  <c r="D238" i="6"/>
  <c r="C238" i="6"/>
  <c r="E238" i="6" s="1"/>
  <c r="B238" i="6"/>
  <c r="B237" i="6"/>
  <c r="D236" i="6"/>
  <c r="B236" i="6"/>
  <c r="C236" i="6" s="1"/>
  <c r="B235" i="6"/>
  <c r="B234" i="6"/>
  <c r="C234" i="6" s="1"/>
  <c r="B233" i="6"/>
  <c r="B232" i="6"/>
  <c r="D232" i="6" s="1"/>
  <c r="B231" i="6"/>
  <c r="B230" i="6"/>
  <c r="C230" i="6" s="1"/>
  <c r="B229" i="6"/>
  <c r="D229" i="6" s="1"/>
  <c r="B228" i="6"/>
  <c r="D228" i="6" s="1"/>
  <c r="B227" i="6"/>
  <c r="D227" i="6" s="1"/>
  <c r="D226" i="6"/>
  <c r="B226" i="6"/>
  <c r="C226" i="6" s="1"/>
  <c r="E226" i="6" s="1"/>
  <c r="B225" i="6"/>
  <c r="D225" i="6" s="1"/>
  <c r="B224" i="6"/>
  <c r="D224" i="6" s="1"/>
  <c r="B223" i="6"/>
  <c r="C223" i="6" s="1"/>
  <c r="D222" i="6"/>
  <c r="B222" i="6"/>
  <c r="C222" i="6" s="1"/>
  <c r="B221" i="6"/>
  <c r="D221" i="6" s="1"/>
  <c r="B220" i="6"/>
  <c r="B219" i="6"/>
  <c r="C219" i="6" s="1"/>
  <c r="D218" i="6"/>
  <c r="B218" i="6"/>
  <c r="C218" i="6" s="1"/>
  <c r="B217" i="6"/>
  <c r="D217" i="6" s="1"/>
  <c r="B216" i="6"/>
  <c r="B215" i="6"/>
  <c r="C215" i="6" s="1"/>
  <c r="D214" i="6"/>
  <c r="B214" i="6"/>
  <c r="C214" i="6" s="1"/>
  <c r="B213" i="6"/>
  <c r="D213" i="6" s="1"/>
  <c r="B212" i="6"/>
  <c r="D212" i="6" s="1"/>
  <c r="B211" i="6"/>
  <c r="D211" i="6" s="1"/>
  <c r="B210" i="6"/>
  <c r="D210" i="6" s="1"/>
  <c r="B209" i="6"/>
  <c r="D209" i="6" s="1"/>
  <c r="B208" i="6"/>
  <c r="C208" i="6" s="1"/>
  <c r="B207" i="6"/>
  <c r="D207" i="6" s="1"/>
  <c r="B206" i="6"/>
  <c r="D206" i="6" s="1"/>
  <c r="B205" i="6"/>
  <c r="D205" i="6" s="1"/>
  <c r="D204" i="6"/>
  <c r="C204" i="6"/>
  <c r="B204" i="6"/>
  <c r="B203" i="6"/>
  <c r="C203" i="6" s="1"/>
  <c r="D202" i="6"/>
  <c r="C202" i="6"/>
  <c r="B202" i="6"/>
  <c r="B201" i="6"/>
  <c r="B200" i="6"/>
  <c r="D200" i="6" s="1"/>
  <c r="B199" i="6"/>
  <c r="B198" i="6"/>
  <c r="D198" i="6" s="1"/>
  <c r="D197" i="6"/>
  <c r="B197" i="6"/>
  <c r="C197" i="6" s="1"/>
  <c r="B196" i="6"/>
  <c r="B195" i="6"/>
  <c r="D195" i="6" s="1"/>
  <c r="B194" i="6"/>
  <c r="D194" i="6" s="1"/>
  <c r="B193" i="6"/>
  <c r="D193" i="6" s="1"/>
  <c r="B192" i="6"/>
  <c r="D192" i="6" s="1"/>
  <c r="D191" i="6"/>
  <c r="C191" i="6"/>
  <c r="B191" i="6"/>
  <c r="B190" i="6"/>
  <c r="C190" i="6" s="1"/>
  <c r="B189" i="6"/>
  <c r="C189" i="6" s="1"/>
  <c r="B188" i="6"/>
  <c r="C188" i="6" s="1"/>
  <c r="B187" i="6"/>
  <c r="D187" i="6" s="1"/>
  <c r="B186" i="6"/>
  <c r="D186" i="6" s="1"/>
  <c r="B185" i="6"/>
  <c r="D185" i="6" s="1"/>
  <c r="D184" i="6"/>
  <c r="C184" i="6"/>
  <c r="B184" i="6"/>
  <c r="B183" i="6"/>
  <c r="D183" i="6" s="1"/>
  <c r="B182" i="6"/>
  <c r="D182" i="6" s="1"/>
  <c r="B181" i="6"/>
  <c r="D181" i="6" s="1"/>
  <c r="B180" i="6"/>
  <c r="B179" i="6"/>
  <c r="C179" i="6" s="1"/>
  <c r="B178" i="6"/>
  <c r="D178" i="6" s="1"/>
  <c r="B177" i="6"/>
  <c r="B176" i="6"/>
  <c r="D176" i="6" s="1"/>
  <c r="B175" i="6"/>
  <c r="C174" i="6"/>
  <c r="B174" i="6"/>
  <c r="D174" i="6" s="1"/>
  <c r="B173" i="6"/>
  <c r="D173" i="6" s="1"/>
  <c r="B172" i="6"/>
  <c r="D172" i="6" s="1"/>
  <c r="B171" i="6"/>
  <c r="C171" i="6" s="1"/>
  <c r="D170" i="6"/>
  <c r="C170" i="6"/>
  <c r="B170" i="6"/>
  <c r="B169" i="6"/>
  <c r="D169" i="6" s="1"/>
  <c r="B168" i="6"/>
  <c r="C168" i="6" s="1"/>
  <c r="B167" i="6"/>
  <c r="D167" i="6" s="1"/>
  <c r="B166" i="6"/>
  <c r="C166" i="6" s="1"/>
  <c r="B165" i="6"/>
  <c r="C165" i="6" s="1"/>
  <c r="B164" i="6"/>
  <c r="D163" i="6"/>
  <c r="B163" i="6"/>
  <c r="C163" i="6" s="1"/>
  <c r="B162" i="6"/>
  <c r="C162" i="6" s="1"/>
  <c r="B161" i="6"/>
  <c r="D161" i="6" s="1"/>
  <c r="B160" i="6"/>
  <c r="D160" i="6" s="1"/>
  <c r="B159" i="6"/>
  <c r="D159" i="6" s="1"/>
  <c r="D158" i="6"/>
  <c r="C158" i="6"/>
  <c r="B158" i="6"/>
  <c r="B157" i="6"/>
  <c r="C157" i="6" s="1"/>
  <c r="B156" i="6"/>
  <c r="C156" i="6" s="1"/>
  <c r="D155" i="6"/>
  <c r="C155" i="6"/>
  <c r="B155" i="6"/>
  <c r="B154" i="6"/>
  <c r="C154" i="6" s="1"/>
  <c r="B153" i="6"/>
  <c r="D153" i="6" s="1"/>
  <c r="B152" i="6"/>
  <c r="C151" i="6"/>
  <c r="E151" i="6" s="1"/>
  <c r="B151" i="6"/>
  <c r="D151" i="6" s="1"/>
  <c r="B150" i="6"/>
  <c r="D150" i="6" s="1"/>
  <c r="B149" i="6"/>
  <c r="D149" i="6" s="1"/>
  <c r="B148" i="6"/>
  <c r="B147" i="6"/>
  <c r="C147" i="6" s="1"/>
  <c r="B146" i="6"/>
  <c r="D146" i="6" s="1"/>
  <c r="B145" i="6"/>
  <c r="D145" i="6" s="1"/>
  <c r="E144" i="6"/>
  <c r="C144" i="6"/>
  <c r="B144" i="6"/>
  <c r="D144" i="6" s="1"/>
  <c r="B143" i="6"/>
  <c r="D143" i="6" s="1"/>
  <c r="B142" i="6"/>
  <c r="C142" i="6" s="1"/>
  <c r="D141" i="6"/>
  <c r="C141" i="6"/>
  <c r="B141" i="6"/>
  <c r="B140" i="6"/>
  <c r="D140" i="6" s="1"/>
  <c r="B139" i="6"/>
  <c r="C139" i="6" s="1"/>
  <c r="B138" i="6"/>
  <c r="D138" i="6" s="1"/>
  <c r="B102" i="6"/>
  <c r="B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B24" i="6"/>
  <c r="B23" i="6"/>
  <c r="B22" i="6"/>
  <c r="B21" i="6"/>
  <c r="B18" i="6"/>
  <c r="B17" i="6"/>
  <c r="B16" i="6"/>
  <c r="B11" i="6"/>
  <c r="B12" i="6" s="1"/>
  <c r="D23" i="3" s="1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H75" i="5" s="1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H52" i="5"/>
  <c r="B52" i="5"/>
  <c r="Q52" i="5" s="1"/>
  <c r="B51" i="5"/>
  <c r="G51" i="5" s="1"/>
  <c r="B50" i="5"/>
  <c r="Q50" i="5" s="1"/>
  <c r="G49" i="5"/>
  <c r="B49" i="5"/>
  <c r="Q49" i="5" s="1"/>
  <c r="B48" i="5"/>
  <c r="Q48" i="5" s="1"/>
  <c r="B47" i="5"/>
  <c r="H47" i="5" s="1"/>
  <c r="B46" i="5"/>
  <c r="Q46" i="5" s="1"/>
  <c r="B45" i="5"/>
  <c r="U44" i="5"/>
  <c r="U45" i="5" s="1"/>
  <c r="U46" i="5" s="1"/>
  <c r="U47" i="5" s="1"/>
  <c r="U48" i="5" s="1"/>
  <c r="U49" i="5" s="1"/>
  <c r="U50" i="5" s="1"/>
  <c r="U51" i="5" s="1"/>
  <c r="U52" i="5" s="1"/>
  <c r="U53" i="5" s="1"/>
  <c r="U54" i="5" s="1"/>
  <c r="U55" i="5" s="1"/>
  <c r="U56" i="5" s="1"/>
  <c r="U57" i="5" s="1"/>
  <c r="U58" i="5" s="1"/>
  <c r="U59" i="5" s="1"/>
  <c r="U60" i="5" s="1"/>
  <c r="U61" i="5" s="1"/>
  <c r="U62" i="5" s="1"/>
  <c r="U63" i="5" s="1"/>
  <c r="U64" i="5" s="1"/>
  <c r="U65" i="5" s="1"/>
  <c r="U66" i="5" s="1"/>
  <c r="U67" i="5" s="1"/>
  <c r="U68" i="5" s="1"/>
  <c r="U69" i="5" s="1"/>
  <c r="U70" i="5" s="1"/>
  <c r="U71" i="5" s="1"/>
  <c r="U72" i="5" s="1"/>
  <c r="U73" i="5" s="1"/>
  <c r="U74" i="5" s="1"/>
  <c r="U75" i="5" s="1"/>
  <c r="U76" i="5" s="1"/>
  <c r="U77" i="5" s="1"/>
  <c r="U78" i="5" s="1"/>
  <c r="U79" i="5" s="1"/>
  <c r="U80" i="5" s="1"/>
  <c r="U81" i="5" s="1"/>
  <c r="U82" i="5" s="1"/>
  <c r="U83" i="5" s="1"/>
  <c r="U84" i="5" s="1"/>
  <c r="U85" i="5" s="1"/>
  <c r="U86" i="5" s="1"/>
  <c r="U87" i="5" s="1"/>
  <c r="U88" i="5" s="1"/>
  <c r="U89" i="5" s="1"/>
  <c r="U90" i="5" s="1"/>
  <c r="U91" i="5" s="1"/>
  <c r="U92" i="5" s="1"/>
  <c r="U93" i="5" s="1"/>
  <c r="U94" i="5" s="1"/>
  <c r="U95" i="5" s="1"/>
  <c r="Q44" i="5"/>
  <c r="H44" i="5"/>
  <c r="B44" i="5"/>
  <c r="B31" i="5"/>
  <c r="H53" i="5" s="1"/>
  <c r="B30" i="5"/>
  <c r="B23" i="5"/>
  <c r="B24" i="5" s="1"/>
  <c r="B17" i="5"/>
  <c r="B18" i="5" s="1"/>
  <c r="B16" i="5"/>
  <c r="B13" i="5"/>
  <c r="B12" i="5"/>
  <c r="B9" i="5"/>
  <c r="B8" i="5"/>
  <c r="B7" i="5"/>
  <c r="B6" i="5"/>
  <c r="B8" i="4"/>
  <c r="D7" i="4"/>
  <c r="I92" i="3"/>
  <c r="B92" i="3"/>
  <c r="C92" i="3" s="1"/>
  <c r="I91" i="3"/>
  <c r="B91" i="3"/>
  <c r="C91" i="3" s="1"/>
  <c r="D91" i="3" s="1"/>
  <c r="I90" i="3"/>
  <c r="C90" i="3"/>
  <c r="B90" i="3"/>
  <c r="I89" i="3"/>
  <c r="C89" i="3"/>
  <c r="B89" i="3"/>
  <c r="I88" i="3"/>
  <c r="B88" i="3"/>
  <c r="C88" i="3" s="1"/>
  <c r="I87" i="3"/>
  <c r="B87" i="3"/>
  <c r="C87" i="3" s="1"/>
  <c r="I86" i="3"/>
  <c r="B86" i="3"/>
  <c r="C86" i="3" s="1"/>
  <c r="I85" i="3"/>
  <c r="B85" i="3"/>
  <c r="C85" i="3" s="1"/>
  <c r="I84" i="3"/>
  <c r="C84" i="3"/>
  <c r="B84" i="3"/>
  <c r="I83" i="3"/>
  <c r="B83" i="3"/>
  <c r="C83" i="3" s="1"/>
  <c r="I82" i="3"/>
  <c r="B82" i="3"/>
  <c r="C82" i="3" s="1"/>
  <c r="D82" i="3" s="1"/>
  <c r="I81" i="3"/>
  <c r="B81" i="3"/>
  <c r="C81" i="3" s="1"/>
  <c r="D81" i="3" s="1"/>
  <c r="I80" i="3"/>
  <c r="B80" i="3"/>
  <c r="C80" i="3" s="1"/>
  <c r="I79" i="3"/>
  <c r="B79" i="3"/>
  <c r="C79" i="3" s="1"/>
  <c r="I78" i="3"/>
  <c r="B78" i="3"/>
  <c r="C78" i="3" s="1"/>
  <c r="D78" i="3" s="1"/>
  <c r="I77" i="3"/>
  <c r="B77" i="3"/>
  <c r="C77" i="3" s="1"/>
  <c r="D77" i="3" s="1"/>
  <c r="I76" i="3"/>
  <c r="B76" i="3"/>
  <c r="C76" i="3" s="1"/>
  <c r="I75" i="3"/>
  <c r="B75" i="3"/>
  <c r="C75" i="3" s="1"/>
  <c r="I74" i="3"/>
  <c r="B74" i="3"/>
  <c r="C74" i="3" s="1"/>
  <c r="I73" i="3"/>
  <c r="B73" i="3"/>
  <c r="C73" i="3" s="1"/>
  <c r="I72" i="3"/>
  <c r="D72" i="3"/>
  <c r="B72" i="3"/>
  <c r="C72" i="3" s="1"/>
  <c r="I68" i="3"/>
  <c r="B68" i="3"/>
  <c r="C68" i="3" s="1"/>
  <c r="I67" i="3"/>
  <c r="B67" i="3"/>
  <c r="C67" i="3" s="1"/>
  <c r="D67" i="3" s="1"/>
  <c r="I66" i="3"/>
  <c r="B66" i="3"/>
  <c r="C66" i="3" s="1"/>
  <c r="D66" i="3" s="1"/>
  <c r="I65" i="3"/>
  <c r="B65" i="3"/>
  <c r="C65" i="3" s="1"/>
  <c r="D65" i="3" s="1"/>
  <c r="I64" i="3"/>
  <c r="B64" i="3"/>
  <c r="C64" i="3" s="1"/>
  <c r="I63" i="3"/>
  <c r="B63" i="3"/>
  <c r="C63" i="3" s="1"/>
  <c r="D63" i="3" s="1"/>
  <c r="I62" i="3"/>
  <c r="B62" i="3"/>
  <c r="C62" i="3" s="1"/>
  <c r="I61" i="3"/>
  <c r="B61" i="3"/>
  <c r="C61" i="3" s="1"/>
  <c r="D61" i="3" s="1"/>
  <c r="I60" i="3"/>
  <c r="B60" i="3"/>
  <c r="C60" i="3" s="1"/>
  <c r="I59" i="3"/>
  <c r="B59" i="3"/>
  <c r="C59" i="3" s="1"/>
  <c r="D59" i="3" s="1"/>
  <c r="I58" i="3"/>
  <c r="C58" i="3"/>
  <c r="D58" i="3" s="1"/>
  <c r="B58" i="3"/>
  <c r="I57" i="3"/>
  <c r="B57" i="3"/>
  <c r="C57" i="3" s="1"/>
  <c r="I56" i="3"/>
  <c r="B56" i="3"/>
  <c r="C56" i="3" s="1"/>
  <c r="I55" i="3"/>
  <c r="B55" i="3"/>
  <c r="C55" i="3" s="1"/>
  <c r="I54" i="3"/>
  <c r="B54" i="3"/>
  <c r="C54" i="3" s="1"/>
  <c r="I53" i="3"/>
  <c r="B53" i="3"/>
  <c r="C53" i="3" s="1"/>
  <c r="D53" i="3" s="1"/>
  <c r="I52" i="3"/>
  <c r="B52" i="3"/>
  <c r="C52" i="3" s="1"/>
  <c r="I51" i="3"/>
  <c r="B51" i="3"/>
  <c r="C51" i="3" s="1"/>
  <c r="D51" i="3" s="1"/>
  <c r="I50" i="3"/>
  <c r="B50" i="3"/>
  <c r="C50" i="3" s="1"/>
  <c r="I49" i="3"/>
  <c r="B49" i="3"/>
  <c r="C49" i="3" s="1"/>
  <c r="I48" i="3"/>
  <c r="B48" i="3"/>
  <c r="C48" i="3" s="1"/>
  <c r="G33" i="3"/>
  <c r="D33" i="3"/>
  <c r="G31" i="3"/>
  <c r="G32" i="3" s="1"/>
  <c r="F31" i="3"/>
  <c r="F32" i="3" s="1"/>
  <c r="E31" i="3"/>
  <c r="E32" i="3" s="1"/>
  <c r="D31" i="3"/>
  <c r="D32" i="3" s="1"/>
  <c r="C31" i="3"/>
  <c r="C33" i="3" s="1"/>
  <c r="B31" i="3"/>
  <c r="B32" i="3" s="1"/>
  <c r="G30" i="3"/>
  <c r="F30" i="3"/>
  <c r="E30" i="3"/>
  <c r="D30" i="3"/>
  <c r="C30" i="3"/>
  <c r="B30" i="3"/>
  <c r="E25" i="3"/>
  <c r="D24" i="3"/>
  <c r="E23" i="3"/>
  <c r="E22" i="3"/>
  <c r="D22" i="3"/>
  <c r="C9" i="3"/>
  <c r="B9" i="3"/>
  <c r="C8" i="3"/>
  <c r="B8" i="3"/>
  <c r="C7" i="3"/>
  <c r="B7" i="3"/>
  <c r="B51" i="2"/>
  <c r="C47" i="2"/>
  <c r="B47" i="2"/>
  <c r="D46" i="2"/>
  <c r="D45" i="2"/>
  <c r="D44" i="2"/>
  <c r="B37" i="2"/>
  <c r="C181" i="6" l="1"/>
  <c r="E191" i="6"/>
  <c r="C210" i="6"/>
  <c r="E222" i="6"/>
  <c r="D254" i="6"/>
  <c r="C302" i="6"/>
  <c r="C211" i="6"/>
  <c r="E211" i="6" s="1"/>
  <c r="D162" i="6"/>
  <c r="D234" i="6"/>
  <c r="D244" i="6"/>
  <c r="E244" i="6" s="1"/>
  <c r="C153" i="6"/>
  <c r="E153" i="6" s="1"/>
  <c r="H51" i="5"/>
  <c r="I51" i="5" s="1"/>
  <c r="K51" i="5" s="1"/>
  <c r="L51" i="5" s="1"/>
  <c r="M51" i="5" s="1"/>
  <c r="N51" i="5" s="1"/>
  <c r="E163" i="6"/>
  <c r="C173" i="6"/>
  <c r="E173" i="6" s="1"/>
  <c r="C194" i="6"/>
  <c r="C224" i="6"/>
  <c r="E224" i="6" s="1"/>
  <c r="C257" i="6"/>
  <c r="E257" i="6" s="1"/>
  <c r="D271" i="6"/>
  <c r="J51" i="5"/>
  <c r="E155" i="6"/>
  <c r="E204" i="6"/>
  <c r="E236" i="6"/>
  <c r="E174" i="6"/>
  <c r="Q51" i="5"/>
  <c r="B344" i="6"/>
  <c r="C344" i="6" s="1"/>
  <c r="C195" i="6"/>
  <c r="E195" i="6" s="1"/>
  <c r="D294" i="6"/>
  <c r="E294" i="6" s="1"/>
  <c r="S366" i="6"/>
  <c r="C10" i="3"/>
  <c r="C15" i="3" s="1"/>
  <c r="G52" i="5"/>
  <c r="D156" i="6"/>
  <c r="D165" i="6"/>
  <c r="C273" i="6"/>
  <c r="E273" i="6" s="1"/>
  <c r="D283" i="6"/>
  <c r="B10" i="5"/>
  <c r="I52" i="5"/>
  <c r="H67" i="5"/>
  <c r="E250" i="6"/>
  <c r="D347" i="6"/>
  <c r="E347" i="6" s="1"/>
  <c r="F22" i="3"/>
  <c r="J52" i="5"/>
  <c r="C138" i="6"/>
  <c r="D147" i="6"/>
  <c r="E147" i="6" s="1"/>
  <c r="D166" i="6"/>
  <c r="E166" i="6" s="1"/>
  <c r="C176" i="6"/>
  <c r="E176" i="6" s="1"/>
  <c r="C187" i="6"/>
  <c r="E187" i="6" s="1"/>
  <c r="C207" i="6"/>
  <c r="E207" i="6" s="1"/>
  <c r="E218" i="6"/>
  <c r="D250" i="6"/>
  <c r="D284" i="6"/>
  <c r="D340" i="6"/>
  <c r="E340" i="6" s="1"/>
  <c r="L370" i="6"/>
  <c r="L443" i="6"/>
  <c r="L388" i="6" s="1"/>
  <c r="D219" i="6"/>
  <c r="E219" i="6" s="1"/>
  <c r="C229" i="6"/>
  <c r="E229" i="6" s="1"/>
  <c r="E254" i="6"/>
  <c r="D142" i="6"/>
  <c r="E142" i="6" s="1"/>
  <c r="E33" i="3"/>
  <c r="E24" i="3"/>
  <c r="F24" i="3" s="1"/>
  <c r="F33" i="3"/>
  <c r="C159" i="6"/>
  <c r="E159" i="6" s="1"/>
  <c r="C209" i="6"/>
  <c r="E209" i="6" s="1"/>
  <c r="C253" i="6"/>
  <c r="E253" i="6" s="1"/>
  <c r="W446" i="6"/>
  <c r="W391" i="6" s="1"/>
  <c r="C182" i="6"/>
  <c r="E284" i="6"/>
  <c r="B14" i="5"/>
  <c r="E12" i="5" s="1"/>
  <c r="D139" i="6"/>
  <c r="E139" i="6" s="1"/>
  <c r="D188" i="6"/>
  <c r="E188" i="6" s="1"/>
  <c r="C261" i="6"/>
  <c r="E261" i="6" s="1"/>
  <c r="C269" i="6"/>
  <c r="E269" i="6" s="1"/>
  <c r="B332" i="6"/>
  <c r="C332" i="6" s="1"/>
  <c r="D262" i="6"/>
  <c r="E262" i="6" s="1"/>
  <c r="D270" i="6"/>
  <c r="E270" i="6" s="1"/>
  <c r="Q444" i="6"/>
  <c r="Q389" i="6" s="1"/>
  <c r="B10" i="3"/>
  <c r="G48" i="5"/>
  <c r="D154" i="6"/>
  <c r="D190" i="6"/>
  <c r="D203" i="6"/>
  <c r="D215" i="6"/>
  <c r="E215" i="6" s="1"/>
  <c r="D223" i="6"/>
  <c r="E223" i="6" s="1"/>
  <c r="D230" i="6"/>
  <c r="E230" i="6" s="1"/>
  <c r="D239" i="6"/>
  <c r="E239" i="6" s="1"/>
  <c r="D246" i="6"/>
  <c r="E246" i="6" s="1"/>
  <c r="C256" i="6"/>
  <c r="E256" i="6" s="1"/>
  <c r="E271" i="6"/>
  <c r="C286" i="6"/>
  <c r="E286" i="6" s="1"/>
  <c r="C296" i="6"/>
  <c r="D303" i="6"/>
  <c r="Q445" i="6"/>
  <c r="Q390" i="6" s="1"/>
  <c r="C140" i="6"/>
  <c r="E140" i="6" s="1"/>
  <c r="E203" i="6"/>
  <c r="D208" i="6"/>
  <c r="E208" i="6" s="1"/>
  <c r="E197" i="6"/>
  <c r="R445" i="6"/>
  <c r="R390" i="6" s="1"/>
  <c r="S88" i="5"/>
  <c r="K52" i="5"/>
  <c r="E141" i="6"/>
  <c r="C146" i="6"/>
  <c r="E146" i="6" s="1"/>
  <c r="H65" i="5"/>
  <c r="E210" i="6"/>
  <c r="E272" i="6"/>
  <c r="C365" i="6"/>
  <c r="C32" i="3"/>
  <c r="H49" i="5"/>
  <c r="J336" i="6"/>
  <c r="K336" i="6" s="1"/>
  <c r="C149" i="6"/>
  <c r="C178" i="6"/>
  <c r="C198" i="6"/>
  <c r="E198" i="6" s="1"/>
  <c r="C266" i="6"/>
  <c r="C298" i="6"/>
  <c r="C306" i="6"/>
  <c r="B329" i="6"/>
  <c r="C329" i="6" s="1"/>
  <c r="D365" i="6"/>
  <c r="D9" i="4" s="1"/>
  <c r="M370" i="6"/>
  <c r="R447" i="6"/>
  <c r="R392" i="6" s="1"/>
  <c r="C160" i="6"/>
  <c r="E160" i="6" s="1"/>
  <c r="J49" i="5"/>
  <c r="H66" i="5"/>
  <c r="F23" i="3"/>
  <c r="E156" i="6"/>
  <c r="D171" i="6"/>
  <c r="E171" i="6" s="1"/>
  <c r="C185" i="6"/>
  <c r="E185" i="6" s="1"/>
  <c r="C192" i="6"/>
  <c r="E192" i="6" s="1"/>
  <c r="C241" i="6"/>
  <c r="E241" i="6" s="1"/>
  <c r="Q370" i="6"/>
  <c r="W447" i="6"/>
  <c r="W392" i="6" s="1"/>
  <c r="H336" i="6"/>
  <c r="I336" i="6" s="1"/>
  <c r="G50" i="5"/>
  <c r="C150" i="6"/>
  <c r="E150" i="6" s="1"/>
  <c r="D179" i="6"/>
  <c r="E179" i="6" s="1"/>
  <c r="C186" i="6"/>
  <c r="C193" i="6"/>
  <c r="E193" i="6" s="1"/>
  <c r="C206" i="6"/>
  <c r="E206" i="6" s="1"/>
  <c r="C242" i="6"/>
  <c r="E242" i="6" s="1"/>
  <c r="C282" i="6"/>
  <c r="E282" i="6" s="1"/>
  <c r="D299" i="6"/>
  <c r="U370" i="6"/>
  <c r="W448" i="6"/>
  <c r="W393" i="6" s="1"/>
  <c r="B33" i="3"/>
  <c r="H50" i="5"/>
  <c r="C143" i="6"/>
  <c r="D157" i="6"/>
  <c r="C172" i="6"/>
  <c r="E172" i="6" s="1"/>
  <c r="C200" i="6"/>
  <c r="E200" i="6" s="1"/>
  <c r="C212" i="6"/>
  <c r="E212" i="6" s="1"/>
  <c r="C259" i="6"/>
  <c r="E259" i="6" s="1"/>
  <c r="C268" i="6"/>
  <c r="E268" i="6" s="1"/>
  <c r="C274" i="6"/>
  <c r="E274" i="6" s="1"/>
  <c r="V370" i="6"/>
  <c r="S58" i="5"/>
  <c r="E138" i="6"/>
  <c r="C227" i="6"/>
  <c r="C300" i="6"/>
  <c r="D331" i="6"/>
  <c r="E331" i="6" s="1"/>
  <c r="W370" i="6"/>
  <c r="E194" i="6"/>
  <c r="D54" i="3"/>
  <c r="B13" i="3"/>
  <c r="B12" i="3"/>
  <c r="B11" i="3"/>
  <c r="B16" i="3"/>
  <c r="B15" i="3"/>
  <c r="D74" i="3"/>
  <c r="C11" i="3"/>
  <c r="C16" i="3"/>
  <c r="D50" i="3"/>
  <c r="D85" i="3"/>
  <c r="B11" i="5"/>
  <c r="B15" i="5" s="1"/>
  <c r="X44" i="5"/>
  <c r="D48" i="3"/>
  <c r="D87" i="3"/>
  <c r="D47" i="2"/>
  <c r="D60" i="3"/>
  <c r="D62" i="3"/>
  <c r="D79" i="3"/>
  <c r="D84" i="3"/>
  <c r="D90" i="3"/>
  <c r="H45" i="5"/>
  <c r="G45" i="5"/>
  <c r="Q45" i="5"/>
  <c r="J45" i="5"/>
  <c r="S45" i="5"/>
  <c r="H60" i="5"/>
  <c r="H62" i="5"/>
  <c r="S62" i="5"/>
  <c r="D260" i="6"/>
  <c r="C260" i="6"/>
  <c r="E260" i="6" s="1"/>
  <c r="S60" i="5"/>
  <c r="D52" i="3"/>
  <c r="D75" i="3"/>
  <c r="H88" i="5"/>
  <c r="H74" i="5"/>
  <c r="H58" i="5"/>
  <c r="H55" i="5"/>
  <c r="H87" i="5"/>
  <c r="H89" i="5"/>
  <c r="H70" i="5"/>
  <c r="H71" i="5"/>
  <c r="H92" i="5"/>
  <c r="S47" i="5"/>
  <c r="S53" i="5"/>
  <c r="S67" i="5"/>
  <c r="S75" i="5"/>
  <c r="C152" i="6"/>
  <c r="D152" i="6"/>
  <c r="I49" i="5"/>
  <c r="K49" i="5" s="1"/>
  <c r="D56" i="3"/>
  <c r="D80" i="3"/>
  <c r="H69" i="5"/>
  <c r="H85" i="5"/>
  <c r="H95" i="5"/>
  <c r="H94" i="5"/>
  <c r="S94" i="5"/>
  <c r="C295" i="6"/>
  <c r="D295" i="6"/>
  <c r="Q364" i="6"/>
  <c r="M364" i="6"/>
  <c r="AB364" i="6"/>
  <c r="L364" i="6"/>
  <c r="AA364" i="6"/>
  <c r="Z364" i="6"/>
  <c r="J364" i="6"/>
  <c r="W364" i="6"/>
  <c r="C364" i="6"/>
  <c r="V364" i="6"/>
  <c r="B364" i="6"/>
  <c r="U364" i="6"/>
  <c r="R364" i="6"/>
  <c r="P364" i="6"/>
  <c r="O364" i="6"/>
  <c r="N364" i="6"/>
  <c r="X364" i="6"/>
  <c r="T364" i="6"/>
  <c r="S364" i="6"/>
  <c r="H364" i="6"/>
  <c r="E364" i="6"/>
  <c r="D364" i="6"/>
  <c r="S82" i="5"/>
  <c r="K364" i="6"/>
  <c r="S72" i="5"/>
  <c r="S56" i="5"/>
  <c r="I364" i="6"/>
  <c r="S85" i="5"/>
  <c r="G364" i="6"/>
  <c r="F364" i="6"/>
  <c r="S95" i="5"/>
  <c r="S66" i="5"/>
  <c r="Y364" i="6"/>
  <c r="S79" i="5"/>
  <c r="S78" i="5"/>
  <c r="S77" i="5"/>
  <c r="S65" i="5"/>
  <c r="S87" i="5"/>
  <c r="S44" i="5"/>
  <c r="S92" i="5"/>
  <c r="S74" i="5"/>
  <c r="S50" i="5"/>
  <c r="S55" i="5"/>
  <c r="D73" i="3"/>
  <c r="H46" i="5"/>
  <c r="S46" i="5"/>
  <c r="J46" i="5"/>
  <c r="G46" i="5"/>
  <c r="H63" i="5"/>
  <c r="S63" i="5"/>
  <c r="S80" i="5"/>
  <c r="H80" i="5"/>
  <c r="S86" i="5"/>
  <c r="H86" i="5"/>
  <c r="H83" i="5"/>
  <c r="S83" i="5"/>
  <c r="D177" i="6"/>
  <c r="C177" i="6"/>
  <c r="D231" i="6"/>
  <c r="C231" i="6"/>
  <c r="D49" i="3"/>
  <c r="D57" i="3"/>
  <c r="S71" i="5"/>
  <c r="H76" i="5"/>
  <c r="S76" i="5"/>
  <c r="D249" i="6"/>
  <c r="C249" i="6"/>
  <c r="S52" i="5"/>
  <c r="S54" i="5"/>
  <c r="S68" i="5"/>
  <c r="S93" i="5"/>
  <c r="D89" i="3"/>
  <c r="D25" i="3"/>
  <c r="F25" i="3" s="1"/>
  <c r="H64" i="5"/>
  <c r="S64" i="5"/>
  <c r="H81" i="5"/>
  <c r="H90" i="5"/>
  <c r="S90" i="5"/>
  <c r="H93" i="5"/>
  <c r="D199" i="6"/>
  <c r="C199" i="6"/>
  <c r="D55" i="3"/>
  <c r="D76" i="3"/>
  <c r="D279" i="6"/>
  <c r="E279" i="6" s="1"/>
  <c r="J47" i="5"/>
  <c r="G47" i="5"/>
  <c r="Q47" i="5"/>
  <c r="S48" i="5"/>
  <c r="H54" i="5"/>
  <c r="H68" i="5"/>
  <c r="D164" i="6"/>
  <c r="C164" i="6"/>
  <c r="H61" i="5"/>
  <c r="S61" i="5"/>
  <c r="D235" i="6"/>
  <c r="C235" i="6"/>
  <c r="C267" i="6"/>
  <c r="D267" i="6"/>
  <c r="D64" i="3"/>
  <c r="D83" i="3"/>
  <c r="D92" i="3"/>
  <c r="S49" i="5"/>
  <c r="H73" i="5"/>
  <c r="S73" i="5"/>
  <c r="C180" i="6"/>
  <c r="D180" i="6"/>
  <c r="C280" i="6"/>
  <c r="E280" i="6" s="1"/>
  <c r="D88" i="3"/>
  <c r="H72" i="5"/>
  <c r="S84" i="5"/>
  <c r="H84" i="5"/>
  <c r="D201" i="6"/>
  <c r="C201" i="6"/>
  <c r="D237" i="6"/>
  <c r="C237" i="6"/>
  <c r="S59" i="5"/>
  <c r="D68" i="3"/>
  <c r="D86" i="3"/>
  <c r="H57" i="5"/>
  <c r="S57" i="5"/>
  <c r="H59" i="5"/>
  <c r="S89" i="5"/>
  <c r="C148" i="6"/>
  <c r="D148" i="6"/>
  <c r="C161" i="6"/>
  <c r="E161" i="6" s="1"/>
  <c r="D168" i="6"/>
  <c r="E168" i="6" s="1"/>
  <c r="W44" i="5"/>
  <c r="Y44" i="5" s="1"/>
  <c r="H56" i="5"/>
  <c r="E182" i="6"/>
  <c r="D255" i="6"/>
  <c r="C255" i="6"/>
  <c r="S69" i="5"/>
  <c r="S81" i="5"/>
  <c r="H91" i="5"/>
  <c r="S91" i="5"/>
  <c r="S51" i="5"/>
  <c r="C196" i="6"/>
  <c r="D196" i="6"/>
  <c r="D265" i="6"/>
  <c r="C265" i="6"/>
  <c r="C243" i="6"/>
  <c r="E243" i="6" s="1"/>
  <c r="D285" i="6"/>
  <c r="C285" i="6"/>
  <c r="H335" i="6"/>
  <c r="I335" i="6" s="1"/>
  <c r="B340" i="6"/>
  <c r="C340" i="6" s="1"/>
  <c r="M387" i="6"/>
  <c r="J328" i="6"/>
  <c r="K328" i="6" s="1"/>
  <c r="J345" i="6"/>
  <c r="K345" i="6" s="1"/>
  <c r="B336" i="6"/>
  <c r="C336" i="6" s="1"/>
  <c r="D343" i="6"/>
  <c r="E343" i="6" s="1"/>
  <c r="D338" i="6"/>
  <c r="E338" i="6" s="1"/>
  <c r="H328" i="6"/>
  <c r="I328" i="6" s="1"/>
  <c r="J337" i="6"/>
  <c r="K337" i="6" s="1"/>
  <c r="B328" i="6"/>
  <c r="C328" i="6" s="1"/>
  <c r="J344" i="6"/>
  <c r="K344" i="6" s="1"/>
  <c r="J339" i="6"/>
  <c r="K339" i="6" s="1"/>
  <c r="B335" i="6"/>
  <c r="C335" i="6" s="1"/>
  <c r="J329" i="6"/>
  <c r="K329" i="6" s="1"/>
  <c r="H344" i="6"/>
  <c r="I344" i="6" s="1"/>
  <c r="D346" i="6"/>
  <c r="E346" i="6" s="1"/>
  <c r="J338" i="6"/>
  <c r="K338" i="6" s="1"/>
  <c r="D335" i="6"/>
  <c r="E335" i="6" s="1"/>
  <c r="J331" i="6"/>
  <c r="K331" i="6" s="1"/>
  <c r="H338" i="6"/>
  <c r="I338" i="6" s="1"/>
  <c r="D348" i="6"/>
  <c r="E348" i="6" s="1"/>
  <c r="J333" i="6"/>
  <c r="K333" i="6" s="1"/>
  <c r="J347" i="6"/>
  <c r="K347" i="6" s="1"/>
  <c r="D330" i="6"/>
  <c r="E330" i="6" s="1"/>
  <c r="C288" i="6"/>
  <c r="D288" i="6"/>
  <c r="D332" i="6"/>
  <c r="E332" i="6" s="1"/>
  <c r="H341" i="6"/>
  <c r="I341" i="6" s="1"/>
  <c r="J346" i="6"/>
  <c r="K346" i="6" s="1"/>
  <c r="T453" i="6"/>
  <c r="T398" i="6" s="1"/>
  <c r="T450" i="6"/>
  <c r="T395" i="6" s="1"/>
  <c r="T454" i="6"/>
  <c r="T399" i="6" s="1"/>
  <c r="T452" i="6"/>
  <c r="T397" i="6" s="1"/>
  <c r="T447" i="6"/>
  <c r="T392" i="6" s="1"/>
  <c r="T445" i="6"/>
  <c r="T390" i="6" s="1"/>
  <c r="T443" i="6"/>
  <c r="T388" i="6" s="1"/>
  <c r="T442" i="6"/>
  <c r="T448" i="6"/>
  <c r="T393" i="6" s="1"/>
  <c r="T444" i="6"/>
  <c r="T389" i="6" s="1"/>
  <c r="T451" i="6"/>
  <c r="T396" i="6" s="1"/>
  <c r="T446" i="6"/>
  <c r="T391" i="6" s="1"/>
  <c r="T449" i="6"/>
  <c r="T394" i="6" s="1"/>
  <c r="T366" i="6"/>
  <c r="J48" i="5"/>
  <c r="H48" i="5"/>
  <c r="I48" i="5" s="1"/>
  <c r="K48" i="5" s="1"/>
  <c r="C169" i="6"/>
  <c r="E169" i="6" s="1"/>
  <c r="D175" i="6"/>
  <c r="C175" i="6"/>
  <c r="E175" i="6" s="1"/>
  <c r="C232" i="6"/>
  <c r="E232" i="6" s="1"/>
  <c r="H346" i="6"/>
  <c r="I346" i="6" s="1"/>
  <c r="C442" i="6"/>
  <c r="C444" i="6"/>
  <c r="C389" i="6" s="1"/>
  <c r="C443" i="6"/>
  <c r="C388" i="6" s="1"/>
  <c r="C370" i="6"/>
  <c r="S70" i="5"/>
  <c r="H77" i="5"/>
  <c r="E157" i="6"/>
  <c r="C225" i="6"/>
  <c r="E225" i="6" s="1"/>
  <c r="D248" i="6"/>
  <c r="C248" i="6"/>
  <c r="H342" i="6"/>
  <c r="I342" i="6" s="1"/>
  <c r="H333" i="6"/>
  <c r="I333" i="6" s="1"/>
  <c r="B343" i="6"/>
  <c r="C343" i="6" s="1"/>
  <c r="J44" i="5"/>
  <c r="G44" i="5"/>
  <c r="H78" i="5"/>
  <c r="C213" i="6"/>
  <c r="E213" i="6" s="1"/>
  <c r="D220" i="6"/>
  <c r="C220" i="6"/>
  <c r="E220" i="6" s="1"/>
  <c r="D292" i="6"/>
  <c r="C292" i="6"/>
  <c r="E365" i="6"/>
  <c r="D293" i="6"/>
  <c r="C293" i="6"/>
  <c r="H334" i="6"/>
  <c r="I334" i="6" s="1"/>
  <c r="D339" i="6"/>
  <c r="E339" i="6" s="1"/>
  <c r="H79" i="5"/>
  <c r="E184" i="6"/>
  <c r="E227" i="6"/>
  <c r="D277" i="6"/>
  <c r="C277" i="6"/>
  <c r="H343" i="6"/>
  <c r="I343" i="6" s="1"/>
  <c r="J50" i="5"/>
  <c r="E154" i="6"/>
  <c r="E170" i="6"/>
  <c r="D263" i="6"/>
  <c r="C263" i="6"/>
  <c r="E263" i="6" s="1"/>
  <c r="B337" i="6"/>
  <c r="C337" i="6" s="1"/>
  <c r="E143" i="6"/>
  <c r="D233" i="6"/>
  <c r="C233" i="6"/>
  <c r="J330" i="6"/>
  <c r="K330" i="6" s="1"/>
  <c r="E165" i="6"/>
  <c r="C245" i="6"/>
  <c r="E245" i="6" s="1"/>
  <c r="D252" i="6"/>
  <c r="E252" i="6" s="1"/>
  <c r="C264" i="6"/>
  <c r="E264" i="6" s="1"/>
  <c r="H330" i="6"/>
  <c r="I330" i="6" s="1"/>
  <c r="B348" i="6"/>
  <c r="C348" i="6" s="1"/>
  <c r="B365" i="6"/>
  <c r="E149" i="6"/>
  <c r="E276" i="6"/>
  <c r="E283" i="6"/>
  <c r="D297" i="6"/>
  <c r="C297" i="6"/>
  <c r="J341" i="6"/>
  <c r="K341" i="6" s="1"/>
  <c r="B345" i="6"/>
  <c r="C345" i="6" s="1"/>
  <c r="D216" i="6"/>
  <c r="C216" i="6"/>
  <c r="E216" i="6" s="1"/>
  <c r="D305" i="6"/>
  <c r="C305" i="6"/>
  <c r="F365" i="6"/>
  <c r="C145" i="6"/>
  <c r="E145" i="6" s="1"/>
  <c r="C183" i="6"/>
  <c r="E183" i="6" s="1"/>
  <c r="C228" i="6"/>
  <c r="E228" i="6" s="1"/>
  <c r="C247" i="6"/>
  <c r="E247" i="6" s="1"/>
  <c r="D291" i="6"/>
  <c r="E291" i="6" s="1"/>
  <c r="H82" i="5"/>
  <c r="E162" i="6"/>
  <c r="C167" i="6"/>
  <c r="E167" i="6" s="1"/>
  <c r="E178" i="6"/>
  <c r="D189" i="6"/>
  <c r="E189" i="6" s="1"/>
  <c r="C205" i="6"/>
  <c r="E205" i="6" s="1"/>
  <c r="C217" i="6"/>
  <c r="E217" i="6" s="1"/>
  <c r="H442" i="6"/>
  <c r="H370" i="6"/>
  <c r="X457" i="6"/>
  <c r="X402" i="6" s="1"/>
  <c r="X454" i="6"/>
  <c r="X399" i="6" s="1"/>
  <c r="X458" i="6"/>
  <c r="X403" i="6" s="1"/>
  <c r="X445" i="6"/>
  <c r="X390" i="6" s="1"/>
  <c r="X443" i="6"/>
  <c r="X388" i="6" s="1"/>
  <c r="X451" i="6"/>
  <c r="X396" i="6" s="1"/>
  <c r="X449" i="6"/>
  <c r="X394" i="6" s="1"/>
  <c r="X447" i="6"/>
  <c r="X392" i="6" s="1"/>
  <c r="X455" i="6"/>
  <c r="X400" i="6" s="1"/>
  <c r="X453" i="6"/>
  <c r="X398" i="6" s="1"/>
  <c r="X442" i="6"/>
  <c r="X450" i="6"/>
  <c r="X395" i="6" s="1"/>
  <c r="X456" i="6"/>
  <c r="X401" i="6" s="1"/>
  <c r="X448" i="6"/>
  <c r="X393" i="6" s="1"/>
  <c r="X444" i="6"/>
  <c r="X389" i="6" s="1"/>
  <c r="X446" i="6"/>
  <c r="X391" i="6" s="1"/>
  <c r="X370" i="6"/>
  <c r="X366" i="6"/>
  <c r="B346" i="6"/>
  <c r="C346" i="6" s="1"/>
  <c r="I443" i="6"/>
  <c r="I388" i="6" s="1"/>
  <c r="I442" i="6"/>
  <c r="I370" i="6"/>
  <c r="I366" i="6"/>
  <c r="Y454" i="6"/>
  <c r="Y399" i="6" s="1"/>
  <c r="Y451" i="6"/>
  <c r="Y396" i="6" s="1"/>
  <c r="Y445" i="6"/>
  <c r="Y390" i="6" s="1"/>
  <c r="Y443" i="6"/>
  <c r="Y388" i="6" s="1"/>
  <c r="Y449" i="6"/>
  <c r="Y394" i="6" s="1"/>
  <c r="Y447" i="6"/>
  <c r="Y392" i="6" s="1"/>
  <c r="Y459" i="6"/>
  <c r="Y404" i="6" s="1"/>
  <c r="Y453" i="6"/>
  <c r="Y398" i="6" s="1"/>
  <c r="Y458" i="6"/>
  <c r="Y403" i="6" s="1"/>
  <c r="Y456" i="6"/>
  <c r="Y401" i="6" s="1"/>
  <c r="Y455" i="6"/>
  <c r="Y400" i="6" s="1"/>
  <c r="Y442" i="6"/>
  <c r="Y448" i="6"/>
  <c r="Y393" i="6" s="1"/>
  <c r="Y457" i="6"/>
  <c r="Y402" i="6" s="1"/>
  <c r="Y446" i="6"/>
  <c r="Y391" i="6" s="1"/>
  <c r="Y444" i="6"/>
  <c r="Y389" i="6" s="1"/>
  <c r="Y370" i="6"/>
  <c r="Y450" i="6"/>
  <c r="Y395" i="6" s="1"/>
  <c r="Y452" i="6"/>
  <c r="Y397" i="6" s="1"/>
  <c r="C221" i="6"/>
  <c r="E221" i="6" s="1"/>
  <c r="C251" i="6"/>
  <c r="E251" i="6" s="1"/>
  <c r="C304" i="6"/>
  <c r="E202" i="6"/>
  <c r="E266" i="6"/>
  <c r="D281" i="6"/>
  <c r="C281" i="6"/>
  <c r="D287" i="6"/>
  <c r="E287" i="6" s="1"/>
  <c r="N446" i="6"/>
  <c r="N391" i="6" s="1"/>
  <c r="N444" i="6"/>
  <c r="N389" i="6" s="1"/>
  <c r="N443" i="6"/>
  <c r="N388" i="6" s="1"/>
  <c r="N447" i="6"/>
  <c r="N392" i="6" s="1"/>
  <c r="N442" i="6"/>
  <c r="N445" i="6"/>
  <c r="N390" i="6" s="1"/>
  <c r="N448" i="6"/>
  <c r="N393" i="6" s="1"/>
  <c r="N370" i="6"/>
  <c r="N366" i="6"/>
  <c r="E158" i="6"/>
  <c r="E190" i="6"/>
  <c r="E258" i="6"/>
  <c r="D289" i="6"/>
  <c r="C289" i="6"/>
  <c r="AA365" i="6"/>
  <c r="E181" i="6"/>
  <c r="E214" i="6"/>
  <c r="E278" i="6"/>
  <c r="D301" i="6"/>
  <c r="C301" i="6"/>
  <c r="E186" i="6"/>
  <c r="E234" i="6"/>
  <c r="E290" i="6"/>
  <c r="S453" i="6"/>
  <c r="S398" i="6" s="1"/>
  <c r="S452" i="6"/>
  <c r="S397" i="6" s="1"/>
  <c r="S442" i="6"/>
  <c r="S443" i="6"/>
  <c r="S388" i="6" s="1"/>
  <c r="S450" i="6"/>
  <c r="S395" i="6" s="1"/>
  <c r="S451" i="6"/>
  <c r="S396" i="6" s="1"/>
  <c r="S444" i="6"/>
  <c r="S389" i="6" s="1"/>
  <c r="S446" i="6"/>
  <c r="S391" i="6" s="1"/>
  <c r="S445" i="6"/>
  <c r="S390" i="6" s="1"/>
  <c r="S370" i="6"/>
  <c r="S449" i="6"/>
  <c r="S394" i="6" s="1"/>
  <c r="S447" i="6"/>
  <c r="S392" i="6" s="1"/>
  <c r="D329" i="6"/>
  <c r="E329" i="6" s="1"/>
  <c r="B334" i="6"/>
  <c r="C334" i="6" s="1"/>
  <c r="D337" i="6"/>
  <c r="E337" i="6" s="1"/>
  <c r="B342" i="6"/>
  <c r="C342" i="6" s="1"/>
  <c r="D345" i="6"/>
  <c r="E345" i="6" s="1"/>
  <c r="J444" i="6"/>
  <c r="J389" i="6" s="1"/>
  <c r="J443" i="6"/>
  <c r="J388" i="6" s="1"/>
  <c r="J366" i="6"/>
  <c r="J370" i="6"/>
  <c r="Z451" i="6"/>
  <c r="Z396" i="6" s="1"/>
  <c r="Z448" i="6"/>
  <c r="Z393" i="6" s="1"/>
  <c r="Z449" i="6"/>
  <c r="Z394" i="6" s="1"/>
  <c r="Z447" i="6"/>
  <c r="Z392" i="6" s="1"/>
  <c r="Z460" i="6"/>
  <c r="Z405" i="6" s="1"/>
  <c r="Z455" i="6"/>
  <c r="Z400" i="6" s="1"/>
  <c r="Z453" i="6"/>
  <c r="Z398" i="6" s="1"/>
  <c r="Z457" i="6"/>
  <c r="Z402" i="6" s="1"/>
  <c r="Z458" i="6"/>
  <c r="Z403" i="6" s="1"/>
  <c r="Z456" i="6"/>
  <c r="Z401" i="6" s="1"/>
  <c r="Z452" i="6"/>
  <c r="Z397" i="6" s="1"/>
  <c r="Z442" i="6"/>
  <c r="Z459" i="6"/>
  <c r="Z404" i="6" s="1"/>
  <c r="Z443" i="6"/>
  <c r="Z388" i="6" s="1"/>
  <c r="Z444" i="6"/>
  <c r="Z389" i="6" s="1"/>
  <c r="Z445" i="6"/>
  <c r="Z390" i="6" s="1"/>
  <c r="Z446" i="6"/>
  <c r="Z391" i="6" s="1"/>
  <c r="Z366" i="6"/>
  <c r="Z370" i="6"/>
  <c r="J442" i="6"/>
  <c r="H332" i="6"/>
  <c r="I332" i="6" s="1"/>
  <c r="J335" i="6"/>
  <c r="K335" i="6" s="1"/>
  <c r="H340" i="6"/>
  <c r="I340" i="6" s="1"/>
  <c r="J343" i="6"/>
  <c r="K343" i="6" s="1"/>
  <c r="H348" i="6"/>
  <c r="I348" i="6" s="1"/>
  <c r="K445" i="6"/>
  <c r="K390" i="6" s="1"/>
  <c r="K444" i="6"/>
  <c r="K389" i="6" s="1"/>
  <c r="K366" i="6"/>
  <c r="K443" i="6"/>
  <c r="K388" i="6" s="1"/>
  <c r="K370" i="6"/>
  <c r="K442" i="6"/>
  <c r="B331" i="6"/>
  <c r="C331" i="6" s="1"/>
  <c r="D334" i="6"/>
  <c r="E334" i="6" s="1"/>
  <c r="B339" i="6"/>
  <c r="C339" i="6" s="1"/>
  <c r="D342" i="6"/>
  <c r="E342" i="6" s="1"/>
  <c r="B347" i="6"/>
  <c r="C347" i="6" s="1"/>
  <c r="L445" i="6"/>
  <c r="L390" i="6" s="1"/>
  <c r="L442" i="6"/>
  <c r="L366" i="6"/>
  <c r="AB366" i="6"/>
  <c r="H329" i="6"/>
  <c r="I329" i="6" s="1"/>
  <c r="J332" i="6"/>
  <c r="K332" i="6" s="1"/>
  <c r="H337" i="6"/>
  <c r="I337" i="6" s="1"/>
  <c r="J340" i="6"/>
  <c r="K340" i="6" s="1"/>
  <c r="H345" i="6"/>
  <c r="I345" i="6" s="1"/>
  <c r="J348" i="6"/>
  <c r="K348" i="6" s="1"/>
  <c r="M446" i="6"/>
  <c r="M391" i="6" s="1"/>
  <c r="M444" i="6"/>
  <c r="M389" i="6" s="1"/>
  <c r="M445" i="6"/>
  <c r="M390" i="6" s="1"/>
  <c r="M443" i="6"/>
  <c r="M388" i="6" s="1"/>
  <c r="M447" i="6"/>
  <c r="M392" i="6" s="1"/>
  <c r="D328" i="6"/>
  <c r="E328" i="6" s="1"/>
  <c r="B333" i="6"/>
  <c r="C333" i="6" s="1"/>
  <c r="D336" i="6"/>
  <c r="E336" i="6" s="1"/>
  <c r="B341" i="6"/>
  <c r="C341" i="6" s="1"/>
  <c r="D344" i="6"/>
  <c r="E344" i="6" s="1"/>
  <c r="Z454" i="6"/>
  <c r="Z399" i="6" s="1"/>
  <c r="H331" i="6"/>
  <c r="I331" i="6" s="1"/>
  <c r="J334" i="6"/>
  <c r="K334" i="6" s="1"/>
  <c r="H339" i="6"/>
  <c r="I339" i="6" s="1"/>
  <c r="J342" i="6"/>
  <c r="K342" i="6" s="1"/>
  <c r="H347" i="6"/>
  <c r="I347" i="6" s="1"/>
  <c r="M366" i="6"/>
  <c r="L444" i="6"/>
  <c r="L389" i="6" s="1"/>
  <c r="B330" i="6"/>
  <c r="C330" i="6" s="1"/>
  <c r="D333" i="6"/>
  <c r="E333" i="6" s="1"/>
  <c r="B338" i="6"/>
  <c r="C338" i="6" s="1"/>
  <c r="D341" i="6"/>
  <c r="E341" i="6" s="1"/>
  <c r="O449" i="6"/>
  <c r="O394" i="6" s="1"/>
  <c r="O446" i="6"/>
  <c r="O391" i="6" s="1"/>
  <c r="O444" i="6"/>
  <c r="O389" i="6" s="1"/>
  <c r="O448" i="6"/>
  <c r="O393" i="6" s="1"/>
  <c r="O442" i="6"/>
  <c r="O447" i="6"/>
  <c r="O392" i="6" s="1"/>
  <c r="O445" i="6"/>
  <c r="O390" i="6" s="1"/>
  <c r="O443" i="6"/>
  <c r="O388" i="6" s="1"/>
  <c r="W442" i="6"/>
  <c r="P449" i="6"/>
  <c r="P394" i="6" s="1"/>
  <c r="P446" i="6"/>
  <c r="P391" i="6" s="1"/>
  <c r="P444" i="6"/>
  <c r="P389" i="6" s="1"/>
  <c r="P450" i="6"/>
  <c r="P395" i="6" s="1"/>
  <c r="P448" i="6"/>
  <c r="P393" i="6" s="1"/>
  <c r="P447" i="6"/>
  <c r="P392" i="6" s="1"/>
  <c r="P442" i="6"/>
  <c r="P443" i="6"/>
  <c r="P388" i="6" s="1"/>
  <c r="P445" i="6"/>
  <c r="P390" i="6" s="1"/>
  <c r="U366" i="6"/>
  <c r="U445" i="6"/>
  <c r="U390" i="6" s="1"/>
  <c r="Q446" i="6"/>
  <c r="Q391" i="6" s="1"/>
  <c r="Q450" i="6"/>
  <c r="Q395" i="6" s="1"/>
  <c r="Q448" i="6"/>
  <c r="Q393" i="6" s="1"/>
  <c r="Q442" i="6"/>
  <c r="Q443" i="6"/>
  <c r="Q388" i="6" s="1"/>
  <c r="Q449" i="6"/>
  <c r="Q394" i="6" s="1"/>
  <c r="V366" i="6"/>
  <c r="R450" i="6"/>
  <c r="R395" i="6" s="1"/>
  <c r="R448" i="6"/>
  <c r="R393" i="6" s="1"/>
  <c r="R446" i="6"/>
  <c r="R391" i="6" s="1"/>
  <c r="R452" i="6"/>
  <c r="R397" i="6" s="1"/>
  <c r="R442" i="6"/>
  <c r="R449" i="6"/>
  <c r="R394" i="6" s="1"/>
  <c r="R443" i="6"/>
  <c r="R388" i="6" s="1"/>
  <c r="R451" i="6"/>
  <c r="R396" i="6" s="1"/>
  <c r="R444" i="6"/>
  <c r="R389" i="6" s="1"/>
  <c r="G366" i="6"/>
  <c r="W366" i="6"/>
  <c r="W452" i="6"/>
  <c r="W397" i="6" s="1"/>
  <c r="U450" i="6"/>
  <c r="U395" i="6" s="1"/>
  <c r="U447" i="6"/>
  <c r="U392" i="6" s="1"/>
  <c r="U442" i="6"/>
  <c r="U448" i="6"/>
  <c r="U393" i="6" s="1"/>
  <c r="U454" i="6"/>
  <c r="U399" i="6" s="1"/>
  <c r="U449" i="6"/>
  <c r="U394" i="6" s="1"/>
  <c r="U443" i="6"/>
  <c r="U388" i="6" s="1"/>
  <c r="U444" i="6"/>
  <c r="U389" i="6" s="1"/>
  <c r="U452" i="6"/>
  <c r="U397" i="6" s="1"/>
  <c r="U451" i="6"/>
  <c r="U396" i="6" s="1"/>
  <c r="U453" i="6"/>
  <c r="U398" i="6" s="1"/>
  <c r="U446" i="6"/>
  <c r="U391" i="6" s="1"/>
  <c r="V447" i="6"/>
  <c r="V392" i="6" s="1"/>
  <c r="V444" i="6"/>
  <c r="V389" i="6" s="1"/>
  <c r="V456" i="6"/>
  <c r="V401" i="6" s="1"/>
  <c r="V445" i="6"/>
  <c r="V390" i="6" s="1"/>
  <c r="V443" i="6"/>
  <c r="V451" i="6"/>
  <c r="V396" i="6" s="1"/>
  <c r="V449" i="6"/>
  <c r="V394" i="6" s="1"/>
  <c r="V448" i="6"/>
  <c r="V393" i="6" s="1"/>
  <c r="V454" i="6"/>
  <c r="V399" i="6" s="1"/>
  <c r="V455" i="6"/>
  <c r="V400" i="6" s="1"/>
  <c r="V450" i="6"/>
  <c r="V395" i="6" s="1"/>
  <c r="V453" i="6"/>
  <c r="V398" i="6" s="1"/>
  <c r="V446" i="6"/>
  <c r="V391" i="6" s="1"/>
  <c r="O370" i="6"/>
  <c r="W444" i="6"/>
  <c r="W389" i="6" s="1"/>
  <c r="W457" i="6"/>
  <c r="W402" i="6" s="1"/>
  <c r="W445" i="6"/>
  <c r="W390" i="6" s="1"/>
  <c r="W443" i="6"/>
  <c r="W388" i="6" s="1"/>
  <c r="W455" i="6"/>
  <c r="W400" i="6" s="1"/>
  <c r="W454" i="6"/>
  <c r="W399" i="6" s="1"/>
  <c r="W449" i="6"/>
  <c r="W394" i="6" s="1"/>
  <c r="W451" i="6"/>
  <c r="W396" i="6" s="1"/>
  <c r="W450" i="6"/>
  <c r="W395" i="6" s="1"/>
  <c r="P370" i="6"/>
  <c r="Q447" i="6"/>
  <c r="Q392" i="6" s="1"/>
  <c r="W456" i="6"/>
  <c r="W401" i="6" s="1"/>
  <c r="E164" i="6" l="1"/>
  <c r="E231" i="6"/>
  <c r="C13" i="3"/>
  <c r="L49" i="5"/>
  <c r="M49" i="5" s="1"/>
  <c r="N49" i="5" s="1"/>
  <c r="L52" i="5"/>
  <c r="M52" i="5" s="1"/>
  <c r="N52" i="5" s="1"/>
  <c r="E180" i="6"/>
  <c r="E289" i="6"/>
  <c r="C12" i="3"/>
  <c r="C14" i="3" s="1"/>
  <c r="C17" i="3" s="1"/>
  <c r="E265" i="6"/>
  <c r="D370" i="6"/>
  <c r="D366" i="6"/>
  <c r="E277" i="6"/>
  <c r="E152" i="6"/>
  <c r="E233" i="6"/>
  <c r="E285" i="6"/>
  <c r="E267" i="6"/>
  <c r="E293" i="6"/>
  <c r="E235" i="6"/>
  <c r="I50" i="5"/>
  <c r="K50" i="5" s="1"/>
  <c r="L50" i="5" s="1"/>
  <c r="M50" i="5" s="1"/>
  <c r="N50" i="5" s="1"/>
  <c r="E288" i="6"/>
  <c r="E148" i="6"/>
  <c r="E281" i="6"/>
  <c r="C366" i="6"/>
  <c r="C16" i="4"/>
  <c r="C9" i="4"/>
  <c r="E177" i="6"/>
  <c r="O52" i="5"/>
  <c r="P52" i="5"/>
  <c r="AA366" i="6"/>
  <c r="AA370" i="6"/>
  <c r="P387" i="6"/>
  <c r="L387" i="6"/>
  <c r="T387" i="6"/>
  <c r="U387" i="6"/>
  <c r="B350" i="6"/>
  <c r="I47" i="5"/>
  <c r="K47" i="5" s="1"/>
  <c r="L47" i="5" s="1"/>
  <c r="M47" i="5" s="1"/>
  <c r="N47" i="5" s="1"/>
  <c r="Q387" i="6"/>
  <c r="R387" i="6"/>
  <c r="E366" i="6"/>
  <c r="E370" i="6"/>
  <c r="F366" i="6"/>
  <c r="F370" i="6"/>
  <c r="E292" i="6"/>
  <c r="P49" i="5"/>
  <c r="O49" i="5"/>
  <c r="I45" i="5"/>
  <c r="K45" i="5" s="1"/>
  <c r="L45" i="5" s="1"/>
  <c r="M45" i="5" s="1"/>
  <c r="N45" i="5" s="1"/>
  <c r="N387" i="6"/>
  <c r="I46" i="5"/>
  <c r="K46" i="5" s="1"/>
  <c r="L46" i="5" s="1"/>
  <c r="M46" i="5" s="1"/>
  <c r="N46" i="5" s="1"/>
  <c r="Y387" i="6"/>
  <c r="E248" i="6"/>
  <c r="E255" i="6"/>
  <c r="E249" i="6"/>
  <c r="C350" i="6"/>
  <c r="C387" i="6"/>
  <c r="O387" i="6"/>
  <c r="V388" i="6"/>
  <c r="K387" i="6"/>
  <c r="E306" i="6"/>
  <c r="E302" i="6"/>
  <c r="E298" i="6"/>
  <c r="E305" i="6"/>
  <c r="E301" i="6"/>
  <c r="E297" i="6"/>
  <c r="E295" i="6"/>
  <c r="E300" i="6"/>
  <c r="E303" i="6"/>
  <c r="E296" i="6"/>
  <c r="E299" i="6"/>
  <c r="E304" i="6"/>
  <c r="H387" i="6"/>
  <c r="B14" i="3"/>
  <c r="B17" i="3" s="1"/>
  <c r="Z387" i="6"/>
  <c r="L48" i="5"/>
  <c r="M48" i="5" s="1"/>
  <c r="N48" i="5" s="1"/>
  <c r="B366" i="6"/>
  <c r="B370" i="6"/>
  <c r="B9" i="4"/>
  <c r="I44" i="5"/>
  <c r="K44" i="5" s="1"/>
  <c r="L44" i="5" s="1"/>
  <c r="M44" i="5" s="1"/>
  <c r="N44" i="5" s="1"/>
  <c r="H350" i="6"/>
  <c r="E237" i="6"/>
  <c r="O51" i="5"/>
  <c r="P51" i="5"/>
  <c r="E196" i="6"/>
  <c r="E201" i="6"/>
  <c r="E199" i="6"/>
  <c r="W387" i="6"/>
  <c r="J387" i="6"/>
  <c r="S387" i="6"/>
  <c r="I387" i="6"/>
  <c r="X387" i="6"/>
  <c r="I350" i="6"/>
  <c r="O47" i="5" l="1"/>
  <c r="P47" i="5"/>
  <c r="P44" i="5"/>
  <c r="O44" i="5"/>
  <c r="O46" i="5"/>
  <c r="P46" i="5"/>
  <c r="P45" i="5"/>
  <c r="O45" i="5"/>
  <c r="P50" i="5"/>
  <c r="O50" i="5"/>
  <c r="P48" i="5"/>
  <c r="O48" i="5"/>
  <c r="C351" i="6"/>
  <c r="C354" i="6" s="1"/>
  <c r="AA368" i="6"/>
  <c r="AA371" i="6" s="1"/>
  <c r="I351" i="6"/>
  <c r="I353" i="6" s="1"/>
  <c r="H351" i="6"/>
  <c r="H354" i="6" s="1"/>
  <c r="Q367" i="6"/>
  <c r="P367" i="6"/>
  <c r="O367" i="6"/>
  <c r="AB367" i="6"/>
  <c r="L367" i="6"/>
  <c r="AA367" i="6"/>
  <c r="AA369" i="6" s="1"/>
  <c r="K367" i="6"/>
  <c r="Z367" i="6"/>
  <c r="J367" i="6"/>
  <c r="Y367" i="6"/>
  <c r="I367" i="6"/>
  <c r="N367" i="6"/>
  <c r="M367" i="6"/>
  <c r="H367" i="6"/>
  <c r="E367" i="6"/>
  <c r="E369" i="6" s="1"/>
  <c r="D367" i="6"/>
  <c r="C367" i="6"/>
  <c r="B367" i="6"/>
  <c r="B369" i="6" s="1"/>
  <c r="C86" i="5"/>
  <c r="C89" i="5"/>
  <c r="V367" i="6"/>
  <c r="U367" i="6"/>
  <c r="C93" i="5"/>
  <c r="T367" i="6"/>
  <c r="W367" i="6"/>
  <c r="C92" i="5"/>
  <c r="C87" i="5"/>
  <c r="C67" i="5"/>
  <c r="C51" i="5"/>
  <c r="S367" i="6"/>
  <c r="C68" i="5"/>
  <c r="C52" i="5"/>
  <c r="R367" i="6"/>
  <c r="C80" i="5"/>
  <c r="C69" i="5"/>
  <c r="C53" i="5"/>
  <c r="C72" i="5"/>
  <c r="C56" i="5"/>
  <c r="C88" i="5"/>
  <c r="C83" i="5"/>
  <c r="C73" i="5"/>
  <c r="C57" i="5"/>
  <c r="C81" i="5"/>
  <c r="C75" i="5"/>
  <c r="C59" i="5"/>
  <c r="C49" i="5"/>
  <c r="X367" i="6"/>
  <c r="C48" i="5"/>
  <c r="G367" i="6"/>
  <c r="F367" i="6"/>
  <c r="F369" i="6" s="1"/>
  <c r="C63" i="5"/>
  <c r="C58" i="5"/>
  <c r="C91" i="5"/>
  <c r="C55" i="5"/>
  <c r="C77" i="5"/>
  <c r="C50" i="5"/>
  <c r="C70" i="5"/>
  <c r="C78" i="5"/>
  <c r="C71" i="5"/>
  <c r="C84" i="5"/>
  <c r="C94" i="5"/>
  <c r="C82" i="5"/>
  <c r="C61" i="5"/>
  <c r="C90" i="5"/>
  <c r="C85" i="5"/>
  <c r="C62" i="5"/>
  <c r="C74" i="5"/>
  <c r="C64" i="5"/>
  <c r="B40" i="2"/>
  <c r="C45" i="5"/>
  <c r="C54" i="5"/>
  <c r="C76" i="5"/>
  <c r="C66" i="5"/>
  <c r="C46" i="5"/>
  <c r="B38" i="2"/>
  <c r="C95" i="5"/>
  <c r="C44" i="5"/>
  <c r="C65" i="5"/>
  <c r="C79" i="5"/>
  <c r="C47" i="5"/>
  <c r="C60" i="5"/>
  <c r="E88" i="5"/>
  <c r="E91" i="5"/>
  <c r="E95" i="5"/>
  <c r="E80" i="5"/>
  <c r="E69" i="5"/>
  <c r="E53" i="5"/>
  <c r="E85" i="5"/>
  <c r="E70" i="5"/>
  <c r="E54" i="5"/>
  <c r="E90" i="5"/>
  <c r="E71" i="5"/>
  <c r="E55" i="5"/>
  <c r="E93" i="5"/>
  <c r="E74" i="5"/>
  <c r="E58" i="5"/>
  <c r="E81" i="5"/>
  <c r="E75" i="5"/>
  <c r="E59" i="5"/>
  <c r="E86" i="5"/>
  <c r="E77" i="5"/>
  <c r="E61" i="5"/>
  <c r="E45" i="5"/>
  <c r="E73" i="5"/>
  <c r="E65" i="5"/>
  <c r="E60" i="5"/>
  <c r="E52" i="5"/>
  <c r="E72" i="5"/>
  <c r="E64" i="5"/>
  <c r="E76" i="5"/>
  <c r="E68" i="5"/>
  <c r="E47" i="5"/>
  <c r="E67" i="5"/>
  <c r="E89" i="5"/>
  <c r="E56" i="5"/>
  <c r="E84" i="5"/>
  <c r="E78" i="5"/>
  <c r="E57" i="5"/>
  <c r="E94" i="5"/>
  <c r="E87" i="5"/>
  <c r="E79" i="5"/>
  <c r="E63" i="5"/>
  <c r="E44" i="5"/>
  <c r="E66" i="5"/>
  <c r="E62" i="5"/>
  <c r="E92" i="5"/>
  <c r="E83" i="5"/>
  <c r="E50" i="5"/>
  <c r="E46" i="5"/>
  <c r="E48" i="5"/>
  <c r="E82" i="5"/>
  <c r="E51" i="5"/>
  <c r="E49" i="5"/>
  <c r="B39" i="2"/>
  <c r="B351" i="6"/>
  <c r="B354" i="6" s="1"/>
  <c r="C353" i="6" l="1"/>
  <c r="C357" i="6" s="1"/>
  <c r="B352" i="6"/>
  <c r="C352" i="6"/>
  <c r="C355" i="6" s="1"/>
  <c r="C358" i="6" s="1"/>
  <c r="H353" i="6"/>
  <c r="M369" i="6"/>
  <c r="M368" i="6"/>
  <c r="M371" i="6" s="1"/>
  <c r="Y369" i="6"/>
  <c r="Y368" i="6"/>
  <c r="Y371" i="6" s="1"/>
  <c r="I369" i="6"/>
  <c r="I368" i="6"/>
  <c r="I371" i="6" s="1"/>
  <c r="F59" i="3"/>
  <c r="R376" i="6" s="1"/>
  <c r="F64" i="3"/>
  <c r="W376" i="6" s="1"/>
  <c r="F51" i="3"/>
  <c r="F57" i="3"/>
  <c r="P376" i="6" s="1"/>
  <c r="F49" i="3"/>
  <c r="F62" i="3"/>
  <c r="U376" i="6" s="1"/>
  <c r="F65" i="3"/>
  <c r="X376" i="6" s="1"/>
  <c r="F63" i="3"/>
  <c r="V376" i="6" s="1"/>
  <c r="F60" i="3"/>
  <c r="S376" i="6" s="1"/>
  <c r="F61" i="3"/>
  <c r="T376" i="6" s="1"/>
  <c r="F54" i="3"/>
  <c r="M376" i="6" s="1"/>
  <c r="F56" i="3"/>
  <c r="O376" i="6" s="1"/>
  <c r="F67" i="3"/>
  <c r="Z376" i="6" s="1"/>
  <c r="F52" i="3"/>
  <c r="K376" i="6" s="1"/>
  <c r="F58" i="3"/>
  <c r="Q376" i="6" s="1"/>
  <c r="F66" i="3"/>
  <c r="Y376" i="6" s="1"/>
  <c r="F50" i="3"/>
  <c r="I376" i="6" s="1"/>
  <c r="F48" i="3"/>
  <c r="F55" i="3"/>
  <c r="N376" i="6" s="1"/>
  <c r="F53" i="3"/>
  <c r="L376" i="6" s="1"/>
  <c r="F68" i="3"/>
  <c r="B355" i="6"/>
  <c r="G59" i="3"/>
  <c r="M59" i="3" s="1"/>
  <c r="G57" i="3"/>
  <c r="M57" i="3" s="1"/>
  <c r="G50" i="3"/>
  <c r="M50" i="3" s="1"/>
  <c r="G48" i="3"/>
  <c r="G56" i="3"/>
  <c r="M56" i="3" s="1"/>
  <c r="G51" i="3"/>
  <c r="G64" i="3"/>
  <c r="M64" i="3" s="1"/>
  <c r="G54" i="3"/>
  <c r="M54" i="3" s="1"/>
  <c r="G62" i="3"/>
  <c r="M62" i="3" s="1"/>
  <c r="G55" i="3"/>
  <c r="M55" i="3" s="1"/>
  <c r="G58" i="3"/>
  <c r="M58" i="3" s="1"/>
  <c r="G65" i="3"/>
  <c r="M65" i="3" s="1"/>
  <c r="G53" i="3"/>
  <c r="M53" i="3" s="1"/>
  <c r="G52" i="3"/>
  <c r="M52" i="3" s="1"/>
  <c r="G60" i="3"/>
  <c r="M60" i="3" s="1"/>
  <c r="G61" i="3"/>
  <c r="M61" i="3" s="1"/>
  <c r="G68" i="3"/>
  <c r="M68" i="3" s="1"/>
  <c r="G63" i="3"/>
  <c r="M63" i="3" s="1"/>
  <c r="G67" i="3"/>
  <c r="M67" i="3" s="1"/>
  <c r="G49" i="3"/>
  <c r="M49" i="3" s="1"/>
  <c r="G66" i="3"/>
  <c r="M66" i="3" s="1"/>
  <c r="I357" i="6"/>
  <c r="E72" i="3"/>
  <c r="I354" i="6"/>
  <c r="F72" i="3" s="1"/>
  <c r="I352" i="6"/>
  <c r="B353" i="6"/>
  <c r="N369" i="6"/>
  <c r="N368" i="6"/>
  <c r="N371" i="6" s="1"/>
  <c r="E368" i="6"/>
  <c r="E371" i="6" s="1"/>
  <c r="J369" i="6"/>
  <c r="J368" i="6"/>
  <c r="J371" i="6" s="1"/>
  <c r="T369" i="6"/>
  <c r="T368" i="6"/>
  <c r="T371" i="6" s="1"/>
  <c r="Z369" i="6"/>
  <c r="Z368" i="6"/>
  <c r="Z371" i="6" s="1"/>
  <c r="K369" i="6"/>
  <c r="K368" i="6"/>
  <c r="K371" i="6" s="1"/>
  <c r="W369" i="6"/>
  <c r="W368" i="6"/>
  <c r="W371" i="6" s="1"/>
  <c r="U369" i="6"/>
  <c r="U368" i="6"/>
  <c r="U371" i="6" s="1"/>
  <c r="AA372" i="6"/>
  <c r="B368" i="6"/>
  <c r="B371" i="6" s="1"/>
  <c r="L369" i="6"/>
  <c r="L368" i="6"/>
  <c r="L371" i="6" s="1"/>
  <c r="AB369" i="6"/>
  <c r="AB368" i="6"/>
  <c r="AB371" i="6" s="1"/>
  <c r="H352" i="6"/>
  <c r="V369" i="6"/>
  <c r="V368" i="6"/>
  <c r="V371" i="6" s="1"/>
  <c r="O369" i="6"/>
  <c r="O368" i="6"/>
  <c r="O371" i="6" s="1"/>
  <c r="F81" i="3"/>
  <c r="P378" i="6" s="1"/>
  <c r="F83" i="3"/>
  <c r="R378" i="6" s="1"/>
  <c r="F86" i="3"/>
  <c r="U378" i="6" s="1"/>
  <c r="F75" i="3"/>
  <c r="F84" i="3"/>
  <c r="S378" i="6" s="1"/>
  <c r="F91" i="3"/>
  <c r="Z378" i="6" s="1"/>
  <c r="F79" i="3"/>
  <c r="F73" i="3"/>
  <c r="F88" i="3"/>
  <c r="W378" i="6" s="1"/>
  <c r="F74" i="3"/>
  <c r="I378" i="6" s="1"/>
  <c r="F78" i="3"/>
  <c r="M378" i="6" s="1"/>
  <c r="F82" i="3"/>
  <c r="Q378" i="6" s="1"/>
  <c r="F77" i="3"/>
  <c r="L378" i="6" s="1"/>
  <c r="F85" i="3"/>
  <c r="T378" i="6" s="1"/>
  <c r="F92" i="3"/>
  <c r="F87" i="3"/>
  <c r="V378" i="6" s="1"/>
  <c r="F76" i="3"/>
  <c r="K378" i="6" s="1"/>
  <c r="F90" i="3"/>
  <c r="Y378" i="6" s="1"/>
  <c r="F80" i="3"/>
  <c r="O378" i="6" s="1"/>
  <c r="F89" i="3"/>
  <c r="X378" i="6" s="1"/>
  <c r="P368" i="6"/>
  <c r="P371" i="6" s="1"/>
  <c r="P369" i="6"/>
  <c r="E88" i="3"/>
  <c r="E81" i="3"/>
  <c r="E79" i="3"/>
  <c r="E77" i="3"/>
  <c r="E80" i="3"/>
  <c r="E86" i="3"/>
  <c r="E89" i="3"/>
  <c r="E83" i="3"/>
  <c r="E91" i="3"/>
  <c r="E73" i="3"/>
  <c r="E74" i="3"/>
  <c r="E78" i="3"/>
  <c r="E82" i="3"/>
  <c r="E84" i="3"/>
  <c r="E92" i="3"/>
  <c r="H357" i="6"/>
  <c r="E87" i="3"/>
  <c r="E85" i="3"/>
  <c r="E90" i="3"/>
  <c r="E76" i="3"/>
  <c r="E75" i="3"/>
  <c r="G369" i="6"/>
  <c r="G368" i="6"/>
  <c r="G371" i="6" s="1"/>
  <c r="R369" i="6"/>
  <c r="R368" i="6"/>
  <c r="R371" i="6" s="1"/>
  <c r="C368" i="6"/>
  <c r="C371" i="6" s="1"/>
  <c r="C369" i="6"/>
  <c r="Q369" i="6"/>
  <c r="Q368" i="6"/>
  <c r="Q371" i="6" s="1"/>
  <c r="D369" i="6"/>
  <c r="D368" i="6"/>
  <c r="D371" i="6" s="1"/>
  <c r="X369" i="6"/>
  <c r="X368" i="6"/>
  <c r="X371" i="6" s="1"/>
  <c r="F368" i="6"/>
  <c r="F371" i="6" s="1"/>
  <c r="S368" i="6"/>
  <c r="S371" i="6" s="1"/>
  <c r="S369" i="6"/>
  <c r="S372" i="6" s="1"/>
  <c r="H369" i="6"/>
  <c r="H368" i="6"/>
  <c r="H371" i="6" s="1"/>
  <c r="I372" i="6" l="1"/>
  <c r="AB372" i="6"/>
  <c r="H372" i="6"/>
  <c r="J372" i="6"/>
  <c r="L372" i="6"/>
  <c r="P372" i="6"/>
  <c r="C10" i="4"/>
  <c r="Z377" i="6"/>
  <c r="B44" i="4"/>
  <c r="T377" i="6"/>
  <c r="D372" i="6"/>
  <c r="V377" i="6"/>
  <c r="W377" i="6"/>
  <c r="B37" i="4"/>
  <c r="B35" i="4"/>
  <c r="D10" i="4"/>
  <c r="H378" i="6"/>
  <c r="F378" i="6"/>
  <c r="H376" i="6"/>
  <c r="E376" i="6"/>
  <c r="N378" i="6"/>
  <c r="D378" i="6"/>
  <c r="G34" i="3"/>
  <c r="B39" i="4"/>
  <c r="Q377" i="6"/>
  <c r="F372" i="6"/>
  <c r="B46" i="4"/>
  <c r="N372" i="6"/>
  <c r="G376" i="6"/>
  <c r="F34" i="3"/>
  <c r="D376" i="6"/>
  <c r="B34" i="3"/>
  <c r="AA376" i="6"/>
  <c r="F376" i="6"/>
  <c r="AB376" i="6"/>
  <c r="B376" i="6"/>
  <c r="B48" i="4"/>
  <c r="B50" i="4"/>
  <c r="J376" i="6"/>
  <c r="C376" i="6"/>
  <c r="B22" i="5"/>
  <c r="Q372" i="6"/>
  <c r="M377" i="6"/>
  <c r="J378" i="6"/>
  <c r="B28" i="5"/>
  <c r="E34" i="3"/>
  <c r="C378" i="6"/>
  <c r="U372" i="6"/>
  <c r="W372" i="6"/>
  <c r="R372" i="6"/>
  <c r="P377" i="6"/>
  <c r="B41" i="4"/>
  <c r="B10" i="4"/>
  <c r="S377" i="6"/>
  <c r="B372" i="6"/>
  <c r="B42" i="4"/>
  <c r="B33" i="4"/>
  <c r="C372" i="6"/>
  <c r="I377" i="6"/>
  <c r="E51" i="3"/>
  <c r="D34" i="3" s="1"/>
  <c r="E60" i="3"/>
  <c r="E64" i="3"/>
  <c r="E62" i="3"/>
  <c r="E57" i="3"/>
  <c r="E61" i="3"/>
  <c r="E56" i="3"/>
  <c r="E50" i="3"/>
  <c r="E67" i="3"/>
  <c r="B357" i="6"/>
  <c r="B358" i="6" s="1"/>
  <c r="E59" i="3"/>
  <c r="E54" i="3"/>
  <c r="E63" i="3"/>
  <c r="E66" i="3"/>
  <c r="E55" i="3"/>
  <c r="E65" i="3"/>
  <c r="E53" i="3"/>
  <c r="E48" i="3"/>
  <c r="E49" i="3"/>
  <c r="E58" i="3"/>
  <c r="E68" i="3"/>
  <c r="E52" i="3"/>
  <c r="B34" i="4"/>
  <c r="B43" i="4"/>
  <c r="R377" i="6"/>
  <c r="K372" i="6"/>
  <c r="U377" i="6"/>
  <c r="B51" i="4"/>
  <c r="B38" i="4"/>
  <c r="B40" i="4"/>
  <c r="G377" i="6"/>
  <c r="E377" i="6"/>
  <c r="AA377" i="6"/>
  <c r="AB377" i="6"/>
  <c r="B377" i="6"/>
  <c r="O372" i="6"/>
  <c r="M51" i="3"/>
  <c r="D35" i="3"/>
  <c r="B47" i="4"/>
  <c r="E372" i="6"/>
  <c r="J377" i="6"/>
  <c r="B27" i="5"/>
  <c r="C377" i="6"/>
  <c r="O377" i="6"/>
  <c r="V372" i="6"/>
  <c r="Z372" i="6"/>
  <c r="F35" i="3"/>
  <c r="B35" i="3"/>
  <c r="M48" i="3"/>
  <c r="M372" i="6"/>
  <c r="I355" i="6"/>
  <c r="I358" i="6" s="1"/>
  <c r="H72" i="3" s="1"/>
  <c r="J72" i="3" s="1"/>
  <c r="G72" i="3"/>
  <c r="Y372" i="6"/>
  <c r="X377" i="6"/>
  <c r="B49" i="4"/>
  <c r="K377" i="6"/>
  <c r="L377" i="6"/>
  <c r="H355" i="6"/>
  <c r="H358" i="6" s="1"/>
  <c r="G81" i="3"/>
  <c r="M81" i="3" s="1"/>
  <c r="G92" i="3"/>
  <c r="M92" i="3" s="1"/>
  <c r="G86" i="3"/>
  <c r="M86" i="3" s="1"/>
  <c r="G73" i="3"/>
  <c r="M73" i="3" s="1"/>
  <c r="G91" i="3"/>
  <c r="M91" i="3" s="1"/>
  <c r="G76" i="3"/>
  <c r="M76" i="3" s="1"/>
  <c r="G74" i="3"/>
  <c r="M74" i="3" s="1"/>
  <c r="G82" i="3"/>
  <c r="M82" i="3" s="1"/>
  <c r="G84" i="3"/>
  <c r="M84" i="3" s="1"/>
  <c r="G75" i="3"/>
  <c r="G83" i="3"/>
  <c r="M83" i="3" s="1"/>
  <c r="G78" i="3"/>
  <c r="M78" i="3" s="1"/>
  <c r="G77" i="3"/>
  <c r="M77" i="3" s="1"/>
  <c r="G88" i="3"/>
  <c r="M88" i="3" s="1"/>
  <c r="G85" i="3"/>
  <c r="M85" i="3" s="1"/>
  <c r="G87" i="3"/>
  <c r="M87" i="3" s="1"/>
  <c r="G89" i="3"/>
  <c r="M89" i="3" s="1"/>
  <c r="G80" i="3"/>
  <c r="M80" i="3" s="1"/>
  <c r="G90" i="3"/>
  <c r="M90" i="3" s="1"/>
  <c r="G79" i="3"/>
  <c r="B45" i="4"/>
  <c r="H377" i="6"/>
  <c r="F377" i="6"/>
  <c r="G378" i="6"/>
  <c r="AB378" i="6"/>
  <c r="E378" i="6"/>
  <c r="C34" i="3"/>
  <c r="AA378" i="6"/>
  <c r="B378" i="6"/>
  <c r="B36" i="4"/>
  <c r="B32" i="4"/>
  <c r="G372" i="6"/>
  <c r="X372" i="6"/>
  <c r="Y377" i="6"/>
  <c r="N377" i="6"/>
  <c r="D377" i="6"/>
  <c r="T372" i="6"/>
  <c r="H59" i="3" l="1"/>
  <c r="H65" i="3"/>
  <c r="H63" i="3"/>
  <c r="H48" i="3"/>
  <c r="J48" i="3" s="1"/>
  <c r="H64" i="3"/>
  <c r="H57" i="3"/>
  <c r="J57" i="3" s="1"/>
  <c r="H68" i="3"/>
  <c r="J68" i="3" s="1"/>
  <c r="H54" i="3"/>
  <c r="H62" i="3"/>
  <c r="J62" i="3" s="1"/>
  <c r="H58" i="3"/>
  <c r="J58" i="3" s="1"/>
  <c r="H66" i="3"/>
  <c r="J66" i="3" s="1"/>
  <c r="H56" i="3"/>
  <c r="J56" i="3" s="1"/>
  <c r="H55" i="3"/>
  <c r="J55" i="3" s="1"/>
  <c r="H51" i="3"/>
  <c r="J51" i="3" s="1"/>
  <c r="H50" i="3"/>
  <c r="J50" i="3" s="1"/>
  <c r="H49" i="3"/>
  <c r="J49" i="3" s="1"/>
  <c r="H61" i="3"/>
  <c r="H67" i="3"/>
  <c r="H60" i="3"/>
  <c r="H52" i="3"/>
  <c r="H53" i="3"/>
  <c r="J53" i="3" s="1"/>
  <c r="C36" i="3"/>
  <c r="C39" i="3" s="1"/>
  <c r="K72" i="3"/>
  <c r="L72" i="3" s="1"/>
  <c r="L375" i="6"/>
  <c r="J375" i="6"/>
  <c r="B21" i="5"/>
  <c r="B29" i="5" s="1"/>
  <c r="C375" i="6"/>
  <c r="M72" i="3"/>
  <c r="C35" i="3"/>
  <c r="X375" i="6"/>
  <c r="J65" i="3"/>
  <c r="R375" i="6"/>
  <c r="J59" i="3"/>
  <c r="N375" i="6"/>
  <c r="M79" i="3"/>
  <c r="G35" i="3"/>
  <c r="Y375" i="6"/>
  <c r="V375" i="6"/>
  <c r="J63" i="3"/>
  <c r="M375" i="6"/>
  <c r="J54" i="3"/>
  <c r="H81" i="3"/>
  <c r="J81" i="3" s="1"/>
  <c r="H86" i="3"/>
  <c r="J86" i="3" s="1"/>
  <c r="H92" i="3"/>
  <c r="J92" i="3" s="1"/>
  <c r="H80" i="3"/>
  <c r="J80" i="3" s="1"/>
  <c r="H82" i="3"/>
  <c r="J82" i="3" s="1"/>
  <c r="H76" i="3"/>
  <c r="J76" i="3" s="1"/>
  <c r="H78" i="3"/>
  <c r="J78" i="3" s="1"/>
  <c r="H79" i="3"/>
  <c r="J79" i="3" s="1"/>
  <c r="H73" i="3"/>
  <c r="J73" i="3" s="1"/>
  <c r="H83" i="3"/>
  <c r="J83" i="3" s="1"/>
  <c r="H84" i="3"/>
  <c r="J84" i="3" s="1"/>
  <c r="H74" i="3"/>
  <c r="J74" i="3" s="1"/>
  <c r="H91" i="3"/>
  <c r="J91" i="3" s="1"/>
  <c r="H77" i="3"/>
  <c r="J77" i="3" s="1"/>
  <c r="H87" i="3"/>
  <c r="J87" i="3" s="1"/>
  <c r="H85" i="3"/>
  <c r="J85" i="3" s="1"/>
  <c r="H90" i="3"/>
  <c r="J90" i="3" s="1"/>
  <c r="H89" i="3"/>
  <c r="J89" i="3" s="1"/>
  <c r="H88" i="3"/>
  <c r="J88" i="3" s="1"/>
  <c r="H75" i="3"/>
  <c r="J75" i="3" s="1"/>
  <c r="Z375" i="6"/>
  <c r="J67" i="3"/>
  <c r="I375" i="6"/>
  <c r="O375" i="6"/>
  <c r="K375" i="6"/>
  <c r="J52" i="3"/>
  <c r="Q375" i="6"/>
  <c r="U375" i="6"/>
  <c r="T375" i="6"/>
  <c r="J61" i="3"/>
  <c r="H375" i="6"/>
  <c r="E375" i="6"/>
  <c r="W375" i="6"/>
  <c r="J64" i="3"/>
  <c r="P375" i="6"/>
  <c r="M75" i="3"/>
  <c r="E35" i="3"/>
  <c r="G375" i="6"/>
  <c r="AB375" i="6"/>
  <c r="F375" i="6"/>
  <c r="B375" i="6"/>
  <c r="AA375" i="6"/>
  <c r="D375" i="6"/>
  <c r="S375" i="6"/>
  <c r="J60" i="3"/>
  <c r="K49" i="3" l="1"/>
  <c r="L49" i="3" s="1"/>
  <c r="K55" i="3"/>
  <c r="L55" i="3" s="1"/>
  <c r="K50" i="3"/>
  <c r="L50" i="3" s="1"/>
  <c r="K66" i="3"/>
  <c r="L66" i="3" s="1"/>
  <c r="E374" i="6"/>
  <c r="N72" i="3"/>
  <c r="G374" i="6"/>
  <c r="C37" i="3"/>
  <c r="C38" i="3" s="1"/>
  <c r="AB374" i="6"/>
  <c r="AA374" i="6"/>
  <c r="B374" i="6"/>
  <c r="K68" i="3"/>
  <c r="L68" i="3" s="1"/>
  <c r="N68" i="3" s="1"/>
  <c r="K53" i="3"/>
  <c r="L53" i="3" s="1"/>
  <c r="B36" i="3"/>
  <c r="B39" i="3" s="1"/>
  <c r="K48" i="3"/>
  <c r="L48" i="3" s="1"/>
  <c r="F36" i="3"/>
  <c r="F39" i="3" s="1"/>
  <c r="T383" i="6"/>
  <c r="T382" i="6"/>
  <c r="K90" i="3"/>
  <c r="L90" i="3" s="1"/>
  <c r="K81" i="3"/>
  <c r="L81" i="3" s="1"/>
  <c r="K86" i="3"/>
  <c r="L86" i="3" s="1"/>
  <c r="K85" i="3"/>
  <c r="L85" i="3" s="1"/>
  <c r="K87" i="3"/>
  <c r="L87" i="3" s="1"/>
  <c r="M383" i="6"/>
  <c r="M382" i="6"/>
  <c r="K58" i="3"/>
  <c r="L58" i="3" s="1"/>
  <c r="K91" i="3"/>
  <c r="L91" i="3" s="1"/>
  <c r="V382" i="6"/>
  <c r="V383" i="6"/>
  <c r="J382" i="6"/>
  <c r="J383" i="6"/>
  <c r="D382" i="6"/>
  <c r="D383" i="6"/>
  <c r="AA383" i="6"/>
  <c r="AA382" i="6"/>
  <c r="K54" i="3"/>
  <c r="L54" i="3" s="1"/>
  <c r="J78" i="5"/>
  <c r="J71" i="5"/>
  <c r="J57" i="5"/>
  <c r="J87" i="5"/>
  <c r="J72" i="5"/>
  <c r="J61" i="5"/>
  <c r="J92" i="5"/>
  <c r="J65" i="5"/>
  <c r="J86" i="5"/>
  <c r="J89" i="5"/>
  <c r="J95" i="5"/>
  <c r="J69" i="5"/>
  <c r="J55" i="5"/>
  <c r="J85" i="5"/>
  <c r="J62" i="5"/>
  <c r="J54" i="5"/>
  <c r="J70" i="5"/>
  <c r="J68" i="5"/>
  <c r="J56" i="5"/>
  <c r="J60" i="5"/>
  <c r="J80" i="5"/>
  <c r="J93" i="5"/>
  <c r="J83" i="5"/>
  <c r="J81" i="5"/>
  <c r="J53" i="5"/>
  <c r="J76" i="5"/>
  <c r="J64" i="5"/>
  <c r="J88" i="5"/>
  <c r="J75" i="5"/>
  <c r="J58" i="5"/>
  <c r="J77" i="5"/>
  <c r="J74" i="5"/>
  <c r="J67" i="5"/>
  <c r="J91" i="5"/>
  <c r="J73" i="5"/>
  <c r="J90" i="5"/>
  <c r="J66" i="5"/>
  <c r="J94" i="5"/>
  <c r="J63" i="5"/>
  <c r="J79" i="5"/>
  <c r="J59" i="5"/>
  <c r="J82" i="5"/>
  <c r="J84" i="5"/>
  <c r="G382" i="6"/>
  <c r="G383" i="6"/>
  <c r="K52" i="3"/>
  <c r="L52" i="3" s="1"/>
  <c r="K74" i="3"/>
  <c r="L74" i="3" s="1"/>
  <c r="K89" i="3"/>
  <c r="L89" i="3" s="1"/>
  <c r="B383" i="6"/>
  <c r="B382" i="6"/>
  <c r="K51" i="3"/>
  <c r="L51" i="3" s="1"/>
  <c r="B19" i="5"/>
  <c r="D36" i="3"/>
  <c r="D39" i="3" s="1"/>
  <c r="F382" i="6"/>
  <c r="F383" i="6"/>
  <c r="U383" i="6"/>
  <c r="U382" i="6"/>
  <c r="C383" i="6"/>
  <c r="C382" i="6"/>
  <c r="AB383" i="6"/>
  <c r="AB382" i="6"/>
  <c r="K77" i="3"/>
  <c r="L77" i="3" s="1"/>
  <c r="K63" i="3"/>
  <c r="L63" i="3" s="1"/>
  <c r="Q383" i="6"/>
  <c r="Q382" i="6"/>
  <c r="K383" i="6"/>
  <c r="K382" i="6"/>
  <c r="K84" i="3"/>
  <c r="L84" i="3" s="1"/>
  <c r="Y383" i="6"/>
  <c r="Y382" i="6"/>
  <c r="L383" i="6"/>
  <c r="L382" i="6"/>
  <c r="K57" i="3"/>
  <c r="L57" i="3" s="1"/>
  <c r="K56" i="3"/>
  <c r="L56" i="3" s="1"/>
  <c r="O382" i="6"/>
  <c r="O383" i="6"/>
  <c r="K64" i="3"/>
  <c r="L64" i="3" s="1"/>
  <c r="K61" i="3"/>
  <c r="L61" i="3" s="1"/>
  <c r="K62" i="3"/>
  <c r="L62" i="3" s="1"/>
  <c r="K83" i="3"/>
  <c r="L83" i="3" s="1"/>
  <c r="P382" i="6"/>
  <c r="P383" i="6"/>
  <c r="W382" i="6"/>
  <c r="W383" i="6"/>
  <c r="K76" i="3"/>
  <c r="L76" i="3" s="1"/>
  <c r="Z383" i="6"/>
  <c r="Z382" i="6"/>
  <c r="R383" i="6"/>
  <c r="R382" i="6"/>
  <c r="K73" i="3"/>
  <c r="L73" i="3" s="1"/>
  <c r="G36" i="3"/>
  <c r="G39" i="3" s="1"/>
  <c r="K79" i="3"/>
  <c r="L79" i="3" s="1"/>
  <c r="I382" i="6"/>
  <c r="I383" i="6"/>
  <c r="K67" i="3"/>
  <c r="L67" i="3" s="1"/>
  <c r="K65" i="3"/>
  <c r="L65" i="3" s="1"/>
  <c r="K78" i="3"/>
  <c r="L78" i="3" s="1"/>
  <c r="N382" i="6"/>
  <c r="N383" i="6"/>
  <c r="E383" i="6"/>
  <c r="E382" i="6"/>
  <c r="K59" i="3"/>
  <c r="L59" i="3" s="1"/>
  <c r="K60" i="3"/>
  <c r="L60" i="3" s="1"/>
  <c r="K82" i="3"/>
  <c r="L82" i="3" s="1"/>
  <c r="S383" i="6"/>
  <c r="S382" i="6"/>
  <c r="H382" i="6"/>
  <c r="H383" i="6"/>
  <c r="B25" i="5"/>
  <c r="L75" i="3"/>
  <c r="E36" i="3"/>
  <c r="E39" i="3" s="1"/>
  <c r="K75" i="3"/>
  <c r="K80" i="3"/>
  <c r="L80" i="3" s="1"/>
  <c r="K88" i="3"/>
  <c r="L88" i="3" s="1"/>
  <c r="K92" i="3"/>
  <c r="L92" i="3" s="1"/>
  <c r="N92" i="3" s="1"/>
  <c r="X383" i="6"/>
  <c r="X382" i="6"/>
  <c r="Q373" i="6" l="1"/>
  <c r="N58" i="3"/>
  <c r="X373" i="6"/>
  <c r="N65" i="3"/>
  <c r="R374" i="6"/>
  <c r="N83" i="3"/>
  <c r="X374" i="6"/>
  <c r="N89" i="3"/>
  <c r="M373" i="6"/>
  <c r="N54" i="3"/>
  <c r="T374" i="6"/>
  <c r="N85" i="3"/>
  <c r="N86" i="3"/>
  <c r="U374" i="6"/>
  <c r="L374" i="6"/>
  <c r="N77" i="3"/>
  <c r="Y374" i="6"/>
  <c r="N90" i="3"/>
  <c r="N373" i="6"/>
  <c r="N55" i="3"/>
  <c r="J373" i="6"/>
  <c r="B20" i="5"/>
  <c r="D37" i="3"/>
  <c r="D38" i="3" s="1"/>
  <c r="N51" i="3"/>
  <c r="C373" i="6"/>
  <c r="V373" i="6"/>
  <c r="N63" i="3"/>
  <c r="Y373" i="6"/>
  <c r="N66" i="3"/>
  <c r="S374" i="6"/>
  <c r="N84" i="3"/>
  <c r="U373" i="6"/>
  <c r="N62" i="3"/>
  <c r="I374" i="6"/>
  <c r="N74" i="3"/>
  <c r="K373" i="6"/>
  <c r="N52" i="3"/>
  <c r="P374" i="6"/>
  <c r="N81" i="3"/>
  <c r="W373" i="6"/>
  <c r="N64" i="3"/>
  <c r="F374" i="6"/>
  <c r="N73" i="3"/>
  <c r="H374" i="6"/>
  <c r="I373" i="6"/>
  <c r="N50" i="3"/>
  <c r="W374" i="6"/>
  <c r="N88" i="3"/>
  <c r="O373" i="6"/>
  <c r="N56" i="3"/>
  <c r="O374" i="6"/>
  <c r="N80" i="3"/>
  <c r="P373" i="6"/>
  <c r="N57" i="3"/>
  <c r="G373" i="6"/>
  <c r="AB373" i="6"/>
  <c r="D373" i="6"/>
  <c r="F37" i="3"/>
  <c r="F38" i="3" s="1"/>
  <c r="B37" i="3"/>
  <c r="B38" i="3" s="1"/>
  <c r="N48" i="3"/>
  <c r="B373" i="6"/>
  <c r="AA373" i="6"/>
  <c r="F373" i="6"/>
  <c r="D24" i="4"/>
  <c r="R373" i="6"/>
  <c r="N59" i="3"/>
  <c r="B24" i="4"/>
  <c r="Q374" i="6"/>
  <c r="N82" i="3"/>
  <c r="S373" i="6"/>
  <c r="N60" i="3"/>
  <c r="D26" i="4"/>
  <c r="D25" i="4"/>
  <c r="T373" i="6"/>
  <c r="N61" i="3"/>
  <c r="M374" i="6"/>
  <c r="N78" i="3"/>
  <c r="N374" i="6"/>
  <c r="N79" i="3"/>
  <c r="G37" i="3"/>
  <c r="G38" i="3" s="1"/>
  <c r="D374" i="6"/>
  <c r="B26" i="4"/>
  <c r="B25" i="4"/>
  <c r="G72" i="5"/>
  <c r="G56" i="5"/>
  <c r="G92" i="5"/>
  <c r="G88" i="5"/>
  <c r="G82" i="5"/>
  <c r="G69" i="5"/>
  <c r="G78" i="5"/>
  <c r="G70" i="5"/>
  <c r="G58" i="5"/>
  <c r="G87" i="5"/>
  <c r="G79" i="5"/>
  <c r="G85" i="5"/>
  <c r="G74" i="5"/>
  <c r="G68" i="5"/>
  <c r="G67" i="5"/>
  <c r="G65" i="5"/>
  <c r="G53" i="5"/>
  <c r="G66" i="5"/>
  <c r="G64" i="5"/>
  <c r="G55" i="5"/>
  <c r="G84" i="5"/>
  <c r="G54" i="5"/>
  <c r="G60" i="5"/>
  <c r="G93" i="5"/>
  <c r="G81" i="5"/>
  <c r="G75" i="5"/>
  <c r="G57" i="5"/>
  <c r="G83" i="5"/>
  <c r="G62" i="5"/>
  <c r="G77" i="5"/>
  <c r="G86" i="5"/>
  <c r="G61" i="5"/>
  <c r="G59" i="5"/>
  <c r="G71" i="5"/>
  <c r="G89" i="5"/>
  <c r="G94" i="5"/>
  <c r="G91" i="5"/>
  <c r="G73" i="5"/>
  <c r="G63" i="5"/>
  <c r="G90" i="5"/>
  <c r="G95" i="5"/>
  <c r="G76" i="5"/>
  <c r="G80" i="5"/>
  <c r="Z373" i="6"/>
  <c r="N67" i="3"/>
  <c r="V374" i="6"/>
  <c r="N87" i="3"/>
  <c r="L373" i="6"/>
  <c r="N53" i="3"/>
  <c r="E10" i="5"/>
  <c r="Z374" i="6"/>
  <c r="N91" i="3"/>
  <c r="J374" i="6"/>
  <c r="B26" i="5"/>
  <c r="E37" i="3"/>
  <c r="E38" i="3" s="1"/>
  <c r="N75" i="3"/>
  <c r="C374" i="6"/>
  <c r="K374" i="6"/>
  <c r="N76" i="3"/>
  <c r="C24" i="4"/>
  <c r="H373" i="6"/>
  <c r="N49" i="3"/>
  <c r="E373" i="6"/>
  <c r="C26" i="4"/>
  <c r="C25" i="4"/>
  <c r="I62" i="5" l="1"/>
  <c r="K62" i="5" s="1"/>
  <c r="L62" i="5" s="1"/>
  <c r="M62" i="5" s="1"/>
  <c r="Q62" i="5" s="1"/>
  <c r="I74" i="5"/>
  <c r="K74" i="5" s="1"/>
  <c r="L74" i="5" s="1"/>
  <c r="M74" i="5" s="1"/>
  <c r="Q74" i="5" s="1"/>
  <c r="U486" i="6"/>
  <c r="U431" i="6" s="1"/>
  <c r="U460" i="6"/>
  <c r="U405" i="6" s="1"/>
  <c r="U493" i="6"/>
  <c r="U438" i="6" s="1"/>
  <c r="U463" i="6"/>
  <c r="U408" i="6" s="1"/>
  <c r="U481" i="6"/>
  <c r="U426" i="6" s="1"/>
  <c r="U464" i="6"/>
  <c r="U409" i="6" s="1"/>
  <c r="U461" i="6"/>
  <c r="U406" i="6" s="1"/>
  <c r="U492" i="6"/>
  <c r="U437" i="6" s="1"/>
  <c r="U475" i="6"/>
  <c r="U420" i="6" s="1"/>
  <c r="U456" i="6"/>
  <c r="U462" i="6"/>
  <c r="U407" i="6" s="1"/>
  <c r="U467" i="6"/>
  <c r="U412" i="6" s="1"/>
  <c r="U477" i="6"/>
  <c r="U422" i="6" s="1"/>
  <c r="U476" i="6"/>
  <c r="U421" i="6" s="1"/>
  <c r="U458" i="6"/>
  <c r="U403" i="6" s="1"/>
  <c r="U474" i="6"/>
  <c r="U419" i="6" s="1"/>
  <c r="U470" i="6"/>
  <c r="U415" i="6" s="1"/>
  <c r="U488" i="6"/>
  <c r="U433" i="6" s="1"/>
  <c r="U485" i="6"/>
  <c r="U430" i="6" s="1"/>
  <c r="U480" i="6"/>
  <c r="U425" i="6" s="1"/>
  <c r="U466" i="6"/>
  <c r="U411" i="6" s="1"/>
  <c r="U490" i="6"/>
  <c r="U435" i="6" s="1"/>
  <c r="U471" i="6"/>
  <c r="U416" i="6" s="1"/>
  <c r="U472" i="6"/>
  <c r="U417" i="6" s="1"/>
  <c r="U482" i="6"/>
  <c r="U427" i="6" s="1"/>
  <c r="U478" i="6"/>
  <c r="U423" i="6" s="1"/>
  <c r="U483" i="6"/>
  <c r="U428" i="6" s="1"/>
  <c r="U484" i="6"/>
  <c r="U429" i="6" s="1"/>
  <c r="U459" i="6"/>
  <c r="U404" i="6" s="1"/>
  <c r="U479" i="6"/>
  <c r="U424" i="6" s="1"/>
  <c r="U489" i="6"/>
  <c r="U434" i="6" s="1"/>
  <c r="U469" i="6"/>
  <c r="U414" i="6" s="1"/>
  <c r="U468" i="6"/>
  <c r="U413" i="6" s="1"/>
  <c r="U473" i="6"/>
  <c r="U418" i="6" s="1"/>
  <c r="U491" i="6"/>
  <c r="U436" i="6" s="1"/>
  <c r="U487" i="6"/>
  <c r="U432" i="6" s="1"/>
  <c r="U457" i="6"/>
  <c r="U402" i="6" s="1"/>
  <c r="U465" i="6"/>
  <c r="U410" i="6" s="1"/>
  <c r="I83" i="5"/>
  <c r="K83" i="5" s="1"/>
  <c r="L83" i="5" s="1"/>
  <c r="M83" i="5" s="1"/>
  <c r="Q83" i="5" s="1"/>
  <c r="I85" i="5"/>
  <c r="K85" i="5" s="1"/>
  <c r="L85" i="5" s="1"/>
  <c r="M85" i="5" s="1"/>
  <c r="Q85" i="5" s="1"/>
  <c r="F458" i="6"/>
  <c r="F403" i="6" s="1"/>
  <c r="F450" i="6"/>
  <c r="F395" i="6" s="1"/>
  <c r="F448" i="6"/>
  <c r="F393" i="6" s="1"/>
  <c r="F461" i="6"/>
  <c r="F406" i="6" s="1"/>
  <c r="F492" i="6"/>
  <c r="F437" i="6" s="1"/>
  <c r="F467" i="6"/>
  <c r="F412" i="6" s="1"/>
  <c r="F493" i="6"/>
  <c r="F438" i="6" s="1"/>
  <c r="F491" i="6"/>
  <c r="F436" i="6" s="1"/>
  <c r="F454" i="6"/>
  <c r="F399" i="6" s="1"/>
  <c r="F459" i="6"/>
  <c r="F404" i="6" s="1"/>
  <c r="F445" i="6"/>
  <c r="F390" i="6" s="1"/>
  <c r="F451" i="6"/>
  <c r="F396" i="6" s="1"/>
  <c r="F484" i="6"/>
  <c r="F429" i="6" s="1"/>
  <c r="F485" i="6"/>
  <c r="F430" i="6" s="1"/>
  <c r="F446" i="6"/>
  <c r="F391" i="6" s="1"/>
  <c r="F460" i="6"/>
  <c r="F405" i="6" s="1"/>
  <c r="F463" i="6"/>
  <c r="F408" i="6" s="1"/>
  <c r="F490" i="6"/>
  <c r="F435" i="6" s="1"/>
  <c r="F457" i="6"/>
  <c r="F402" i="6" s="1"/>
  <c r="F447" i="6"/>
  <c r="F392" i="6" s="1"/>
  <c r="F444" i="6"/>
  <c r="F389" i="6" s="1"/>
  <c r="F471" i="6"/>
  <c r="F416" i="6" s="1"/>
  <c r="F468" i="6"/>
  <c r="F413" i="6" s="1"/>
  <c r="F452" i="6"/>
  <c r="F397" i="6" s="1"/>
  <c r="F474" i="6"/>
  <c r="F419" i="6" s="1"/>
  <c r="F455" i="6"/>
  <c r="F400" i="6" s="1"/>
  <c r="F489" i="6"/>
  <c r="F434" i="6" s="1"/>
  <c r="F465" i="6"/>
  <c r="F410" i="6" s="1"/>
  <c r="F456" i="6"/>
  <c r="F401" i="6" s="1"/>
  <c r="F453" i="6"/>
  <c r="F398" i="6" s="1"/>
  <c r="F469" i="6"/>
  <c r="F414" i="6" s="1"/>
  <c r="F473" i="6"/>
  <c r="F418" i="6" s="1"/>
  <c r="F486" i="6"/>
  <c r="F431" i="6" s="1"/>
  <c r="F466" i="6"/>
  <c r="F411" i="6" s="1"/>
  <c r="F480" i="6"/>
  <c r="F425" i="6" s="1"/>
  <c r="F442" i="6"/>
  <c r="F479" i="6"/>
  <c r="F424" i="6" s="1"/>
  <c r="F477" i="6"/>
  <c r="F422" i="6" s="1"/>
  <c r="F482" i="6"/>
  <c r="F427" i="6" s="1"/>
  <c r="F464" i="6"/>
  <c r="F409" i="6" s="1"/>
  <c r="F475" i="6"/>
  <c r="F420" i="6" s="1"/>
  <c r="F449" i="6"/>
  <c r="F394" i="6" s="1"/>
  <c r="F470" i="6"/>
  <c r="F415" i="6" s="1"/>
  <c r="F488" i="6"/>
  <c r="F433" i="6" s="1"/>
  <c r="F472" i="6"/>
  <c r="F417" i="6" s="1"/>
  <c r="F478" i="6"/>
  <c r="F423" i="6" s="1"/>
  <c r="F476" i="6"/>
  <c r="F421" i="6" s="1"/>
  <c r="F487" i="6"/>
  <c r="F432" i="6" s="1"/>
  <c r="F483" i="6"/>
  <c r="F428" i="6" s="1"/>
  <c r="F481" i="6"/>
  <c r="F426" i="6" s="1"/>
  <c r="F462" i="6"/>
  <c r="F407" i="6" s="1"/>
  <c r="F443" i="6"/>
  <c r="F388" i="6" s="1"/>
  <c r="I76" i="5"/>
  <c r="K76" i="5" s="1"/>
  <c r="L76" i="5" s="1"/>
  <c r="M76" i="5" s="1"/>
  <c r="Q76" i="5" s="1"/>
  <c r="I75" i="5"/>
  <c r="K75" i="5" s="1"/>
  <c r="L75" i="5" s="1"/>
  <c r="M75" i="5" s="1"/>
  <c r="Q75" i="5" s="1"/>
  <c r="I465" i="6"/>
  <c r="I410" i="6" s="1"/>
  <c r="I461" i="6"/>
  <c r="I406" i="6" s="1"/>
  <c r="I483" i="6"/>
  <c r="I428" i="6" s="1"/>
  <c r="I489" i="6"/>
  <c r="I434" i="6" s="1"/>
  <c r="I459" i="6"/>
  <c r="I404" i="6" s="1"/>
  <c r="I457" i="6"/>
  <c r="I402" i="6" s="1"/>
  <c r="I452" i="6"/>
  <c r="I397" i="6" s="1"/>
  <c r="I482" i="6"/>
  <c r="I427" i="6" s="1"/>
  <c r="I488" i="6"/>
  <c r="I433" i="6" s="1"/>
  <c r="I454" i="6"/>
  <c r="I399" i="6" s="1"/>
  <c r="I492" i="6"/>
  <c r="I437" i="6" s="1"/>
  <c r="I453" i="6"/>
  <c r="I398" i="6" s="1"/>
  <c r="I479" i="6"/>
  <c r="I424" i="6" s="1"/>
  <c r="I480" i="6"/>
  <c r="I425" i="6" s="1"/>
  <c r="I451" i="6"/>
  <c r="I396" i="6" s="1"/>
  <c r="I486" i="6"/>
  <c r="I431" i="6" s="1"/>
  <c r="I467" i="6"/>
  <c r="I412" i="6" s="1"/>
  <c r="I476" i="6"/>
  <c r="I421" i="6" s="1"/>
  <c r="I464" i="6"/>
  <c r="I409" i="6" s="1"/>
  <c r="I470" i="6"/>
  <c r="I415" i="6" s="1"/>
  <c r="I477" i="6"/>
  <c r="I422" i="6" s="1"/>
  <c r="I447" i="6"/>
  <c r="I392" i="6" s="1"/>
  <c r="I490" i="6"/>
  <c r="I435" i="6" s="1"/>
  <c r="I448" i="6"/>
  <c r="I393" i="6" s="1"/>
  <c r="I445" i="6"/>
  <c r="I390" i="6" s="1"/>
  <c r="I468" i="6"/>
  <c r="I413" i="6" s="1"/>
  <c r="I485" i="6"/>
  <c r="I430" i="6" s="1"/>
  <c r="I493" i="6"/>
  <c r="I438" i="6" s="1"/>
  <c r="I481" i="6"/>
  <c r="I426" i="6" s="1"/>
  <c r="I491" i="6"/>
  <c r="I436" i="6" s="1"/>
  <c r="I473" i="6"/>
  <c r="I418" i="6" s="1"/>
  <c r="I471" i="6"/>
  <c r="I416" i="6" s="1"/>
  <c r="I469" i="6"/>
  <c r="I414" i="6" s="1"/>
  <c r="I487" i="6"/>
  <c r="I432" i="6" s="1"/>
  <c r="I484" i="6"/>
  <c r="I429" i="6" s="1"/>
  <c r="I449" i="6"/>
  <c r="I394" i="6" s="1"/>
  <c r="I455" i="6"/>
  <c r="I400" i="6" s="1"/>
  <c r="I474" i="6"/>
  <c r="I419" i="6" s="1"/>
  <c r="I463" i="6"/>
  <c r="I408" i="6" s="1"/>
  <c r="I460" i="6"/>
  <c r="I405" i="6" s="1"/>
  <c r="I462" i="6"/>
  <c r="I407" i="6" s="1"/>
  <c r="I450" i="6"/>
  <c r="I395" i="6" s="1"/>
  <c r="I478" i="6"/>
  <c r="I423" i="6" s="1"/>
  <c r="I444" i="6"/>
  <c r="I472" i="6"/>
  <c r="I417" i="6" s="1"/>
  <c r="I446" i="6"/>
  <c r="I391" i="6" s="1"/>
  <c r="I475" i="6"/>
  <c r="I420" i="6" s="1"/>
  <c r="I456" i="6"/>
  <c r="I401" i="6" s="1"/>
  <c r="I466" i="6"/>
  <c r="I411" i="6" s="1"/>
  <c r="I458" i="6"/>
  <c r="I403" i="6" s="1"/>
  <c r="I95" i="5"/>
  <c r="K95" i="5" s="1"/>
  <c r="L95" i="5" s="1"/>
  <c r="M95" i="5" s="1"/>
  <c r="Q95" i="5" s="1"/>
  <c r="L485" i="6"/>
  <c r="L430" i="6" s="1"/>
  <c r="L468" i="6"/>
  <c r="L413" i="6" s="1"/>
  <c r="L470" i="6"/>
  <c r="L415" i="6" s="1"/>
  <c r="L447" i="6"/>
  <c r="L455" i="6"/>
  <c r="L400" i="6" s="1"/>
  <c r="L474" i="6"/>
  <c r="L419" i="6" s="1"/>
  <c r="L469" i="6"/>
  <c r="L414" i="6" s="1"/>
  <c r="L458" i="6"/>
  <c r="L403" i="6" s="1"/>
  <c r="L483" i="6"/>
  <c r="L428" i="6" s="1"/>
  <c r="L482" i="6"/>
  <c r="L427" i="6" s="1"/>
  <c r="L472" i="6"/>
  <c r="L417" i="6" s="1"/>
  <c r="L492" i="6"/>
  <c r="L437" i="6" s="1"/>
  <c r="L467" i="6"/>
  <c r="L412" i="6" s="1"/>
  <c r="L480" i="6"/>
  <c r="L425" i="6" s="1"/>
  <c r="L477" i="6"/>
  <c r="L422" i="6" s="1"/>
  <c r="L452" i="6"/>
  <c r="L397" i="6" s="1"/>
  <c r="L475" i="6"/>
  <c r="L420" i="6" s="1"/>
  <c r="L490" i="6"/>
  <c r="L435" i="6" s="1"/>
  <c r="L454" i="6"/>
  <c r="L399" i="6" s="1"/>
  <c r="L489" i="6"/>
  <c r="L434" i="6" s="1"/>
  <c r="L459" i="6"/>
  <c r="L404" i="6" s="1"/>
  <c r="L478" i="6"/>
  <c r="L423" i="6" s="1"/>
  <c r="L450" i="6"/>
  <c r="L395" i="6" s="1"/>
  <c r="L461" i="6"/>
  <c r="L406" i="6" s="1"/>
  <c r="L460" i="6"/>
  <c r="L405" i="6" s="1"/>
  <c r="L476" i="6"/>
  <c r="L421" i="6" s="1"/>
  <c r="L473" i="6"/>
  <c r="L418" i="6" s="1"/>
  <c r="L471" i="6"/>
  <c r="L416" i="6" s="1"/>
  <c r="L462" i="6"/>
  <c r="L407" i="6" s="1"/>
  <c r="L449" i="6"/>
  <c r="L394" i="6" s="1"/>
  <c r="L466" i="6"/>
  <c r="L411" i="6" s="1"/>
  <c r="L487" i="6"/>
  <c r="L432" i="6" s="1"/>
  <c r="L457" i="6"/>
  <c r="L402" i="6" s="1"/>
  <c r="L451" i="6"/>
  <c r="L396" i="6" s="1"/>
  <c r="L493" i="6"/>
  <c r="L438" i="6" s="1"/>
  <c r="L486" i="6"/>
  <c r="L431" i="6" s="1"/>
  <c r="L464" i="6"/>
  <c r="L409" i="6" s="1"/>
  <c r="L453" i="6"/>
  <c r="L398" i="6" s="1"/>
  <c r="L448" i="6"/>
  <c r="L393" i="6" s="1"/>
  <c r="L456" i="6"/>
  <c r="L401" i="6" s="1"/>
  <c r="L463" i="6"/>
  <c r="L408" i="6" s="1"/>
  <c r="L481" i="6"/>
  <c r="L426" i="6" s="1"/>
  <c r="L465" i="6"/>
  <c r="L410" i="6" s="1"/>
  <c r="L479" i="6"/>
  <c r="L424" i="6" s="1"/>
  <c r="L491" i="6"/>
  <c r="L436" i="6" s="1"/>
  <c r="L488" i="6"/>
  <c r="L433" i="6" s="1"/>
  <c r="L484" i="6"/>
  <c r="L429" i="6" s="1"/>
  <c r="I70" i="5"/>
  <c r="K70" i="5" s="1"/>
  <c r="L70" i="5" s="1"/>
  <c r="M70" i="5" s="1"/>
  <c r="Q70" i="5" s="1"/>
  <c r="I57" i="5"/>
  <c r="K57" i="5" s="1"/>
  <c r="L57" i="5" s="1"/>
  <c r="M57" i="5" s="1"/>
  <c r="Q57" i="5" s="1"/>
  <c r="S454" i="6"/>
  <c r="S461" i="6"/>
  <c r="S406" i="6" s="1"/>
  <c r="S479" i="6"/>
  <c r="S424" i="6" s="1"/>
  <c r="S491" i="6"/>
  <c r="S436" i="6" s="1"/>
  <c r="S484" i="6"/>
  <c r="S429" i="6" s="1"/>
  <c r="S477" i="6"/>
  <c r="S422" i="6" s="1"/>
  <c r="S466" i="6"/>
  <c r="S411" i="6" s="1"/>
  <c r="S463" i="6"/>
  <c r="S408" i="6" s="1"/>
  <c r="S493" i="6"/>
  <c r="S438" i="6" s="1"/>
  <c r="S470" i="6"/>
  <c r="S415" i="6" s="1"/>
  <c r="S455" i="6"/>
  <c r="S400" i="6" s="1"/>
  <c r="S478" i="6"/>
  <c r="S423" i="6" s="1"/>
  <c r="S490" i="6"/>
  <c r="S435" i="6" s="1"/>
  <c r="S458" i="6"/>
  <c r="S403" i="6" s="1"/>
  <c r="S472" i="6"/>
  <c r="S417" i="6" s="1"/>
  <c r="S482" i="6"/>
  <c r="S427" i="6" s="1"/>
  <c r="S467" i="6"/>
  <c r="S412" i="6" s="1"/>
  <c r="S485" i="6"/>
  <c r="S430" i="6" s="1"/>
  <c r="S465" i="6"/>
  <c r="S410" i="6" s="1"/>
  <c r="S475" i="6"/>
  <c r="S420" i="6" s="1"/>
  <c r="S460" i="6"/>
  <c r="S405" i="6" s="1"/>
  <c r="S464" i="6"/>
  <c r="S409" i="6" s="1"/>
  <c r="S456" i="6"/>
  <c r="S401" i="6" s="1"/>
  <c r="S473" i="6"/>
  <c r="S418" i="6" s="1"/>
  <c r="S476" i="6"/>
  <c r="S421" i="6" s="1"/>
  <c r="S489" i="6"/>
  <c r="S434" i="6" s="1"/>
  <c r="S481" i="6"/>
  <c r="S426" i="6" s="1"/>
  <c r="S483" i="6"/>
  <c r="S428" i="6" s="1"/>
  <c r="S462" i="6"/>
  <c r="S407" i="6" s="1"/>
  <c r="S457" i="6"/>
  <c r="S402" i="6" s="1"/>
  <c r="S469" i="6"/>
  <c r="S414" i="6" s="1"/>
  <c r="S492" i="6"/>
  <c r="S437" i="6" s="1"/>
  <c r="S468" i="6"/>
  <c r="S413" i="6" s="1"/>
  <c r="S480" i="6"/>
  <c r="S425" i="6" s="1"/>
  <c r="S471" i="6"/>
  <c r="S416" i="6" s="1"/>
  <c r="S459" i="6"/>
  <c r="S404" i="6" s="1"/>
  <c r="S487" i="6"/>
  <c r="S432" i="6" s="1"/>
  <c r="S488" i="6"/>
  <c r="S433" i="6" s="1"/>
  <c r="S486" i="6"/>
  <c r="S431" i="6" s="1"/>
  <c r="S474" i="6"/>
  <c r="S419" i="6" s="1"/>
  <c r="I87" i="5"/>
  <c r="K87" i="5" s="1"/>
  <c r="L87" i="5" s="1"/>
  <c r="M87" i="5" s="1"/>
  <c r="Q87" i="5" s="1"/>
  <c r="B443" i="6"/>
  <c r="B388" i="6" s="1"/>
  <c r="B466" i="6"/>
  <c r="B411" i="6" s="1"/>
  <c r="B445" i="6"/>
  <c r="B390" i="6" s="1"/>
  <c r="B477" i="6"/>
  <c r="B422" i="6" s="1"/>
  <c r="B463" i="6"/>
  <c r="B408" i="6" s="1"/>
  <c r="B444" i="6"/>
  <c r="B389" i="6" s="1"/>
  <c r="B485" i="6"/>
  <c r="B430" i="6" s="1"/>
  <c r="B472" i="6"/>
  <c r="B417" i="6" s="1"/>
  <c r="B450" i="6"/>
  <c r="B395" i="6" s="1"/>
  <c r="B454" i="6"/>
  <c r="B399" i="6" s="1"/>
  <c r="B470" i="6"/>
  <c r="B415" i="6" s="1"/>
  <c r="B453" i="6"/>
  <c r="B398" i="6" s="1"/>
  <c r="B442" i="6"/>
  <c r="B493" i="6"/>
  <c r="B438" i="6" s="1"/>
  <c r="B464" i="6"/>
  <c r="B409" i="6" s="1"/>
  <c r="B473" i="6"/>
  <c r="B418" i="6" s="1"/>
  <c r="B491" i="6"/>
  <c r="B436" i="6" s="1"/>
  <c r="B476" i="6"/>
  <c r="B421" i="6" s="1"/>
  <c r="B446" i="6"/>
  <c r="B391" i="6" s="1"/>
  <c r="B465" i="6"/>
  <c r="B410" i="6" s="1"/>
  <c r="B447" i="6"/>
  <c r="B392" i="6" s="1"/>
  <c r="B448" i="6"/>
  <c r="B393" i="6" s="1"/>
  <c r="B456" i="6"/>
  <c r="B401" i="6" s="1"/>
  <c r="B492" i="6"/>
  <c r="B437" i="6" s="1"/>
  <c r="B469" i="6"/>
  <c r="B414" i="6" s="1"/>
  <c r="B462" i="6"/>
  <c r="B407" i="6" s="1"/>
  <c r="B455" i="6"/>
  <c r="B400" i="6" s="1"/>
  <c r="B458" i="6"/>
  <c r="B403" i="6" s="1"/>
  <c r="B468" i="6"/>
  <c r="B413" i="6" s="1"/>
  <c r="B488" i="6"/>
  <c r="B433" i="6" s="1"/>
  <c r="B459" i="6"/>
  <c r="B404" i="6" s="1"/>
  <c r="B489" i="6"/>
  <c r="B434" i="6" s="1"/>
  <c r="B475" i="6"/>
  <c r="B420" i="6" s="1"/>
  <c r="B457" i="6"/>
  <c r="B402" i="6" s="1"/>
  <c r="B449" i="6"/>
  <c r="B394" i="6" s="1"/>
  <c r="B484" i="6"/>
  <c r="B429" i="6" s="1"/>
  <c r="B482" i="6"/>
  <c r="B427" i="6" s="1"/>
  <c r="B461" i="6"/>
  <c r="B406" i="6" s="1"/>
  <c r="B487" i="6"/>
  <c r="B432" i="6" s="1"/>
  <c r="B490" i="6"/>
  <c r="B435" i="6" s="1"/>
  <c r="B481" i="6"/>
  <c r="B426" i="6" s="1"/>
  <c r="B467" i="6"/>
  <c r="B412" i="6" s="1"/>
  <c r="B452" i="6"/>
  <c r="B397" i="6" s="1"/>
  <c r="B460" i="6"/>
  <c r="B405" i="6" s="1"/>
  <c r="B474" i="6"/>
  <c r="B419" i="6" s="1"/>
  <c r="B486" i="6"/>
  <c r="B431" i="6" s="1"/>
  <c r="B451" i="6"/>
  <c r="B396" i="6" s="1"/>
  <c r="B471" i="6"/>
  <c r="B416" i="6" s="1"/>
  <c r="B480" i="6"/>
  <c r="B425" i="6" s="1"/>
  <c r="B479" i="6"/>
  <c r="B424" i="6" s="1"/>
  <c r="B483" i="6"/>
  <c r="B428" i="6" s="1"/>
  <c r="B478" i="6"/>
  <c r="B423" i="6" s="1"/>
  <c r="I58" i="5"/>
  <c r="K58" i="5" s="1"/>
  <c r="L58" i="5" s="1"/>
  <c r="M58" i="5" s="1"/>
  <c r="Q58" i="5" s="1"/>
  <c r="Y471" i="6"/>
  <c r="Y416" i="6" s="1"/>
  <c r="Y461" i="6"/>
  <c r="Y406" i="6" s="1"/>
  <c r="Y479" i="6"/>
  <c r="Y424" i="6" s="1"/>
  <c r="Y484" i="6"/>
  <c r="Y429" i="6" s="1"/>
  <c r="Y467" i="6"/>
  <c r="Y412" i="6" s="1"/>
  <c r="Y466" i="6"/>
  <c r="Y411" i="6" s="1"/>
  <c r="Y482" i="6"/>
  <c r="Y427" i="6" s="1"/>
  <c r="Y469" i="6"/>
  <c r="Y414" i="6" s="1"/>
  <c r="Y485" i="6"/>
  <c r="Y430" i="6" s="1"/>
  <c r="Y493" i="6"/>
  <c r="Y438" i="6" s="1"/>
  <c r="Y475" i="6"/>
  <c r="Y420" i="6" s="1"/>
  <c r="Y462" i="6"/>
  <c r="Y407" i="6" s="1"/>
  <c r="Y489" i="6"/>
  <c r="Y434" i="6" s="1"/>
  <c r="Y472" i="6"/>
  <c r="Y417" i="6" s="1"/>
  <c r="Y476" i="6"/>
  <c r="Y421" i="6" s="1"/>
  <c r="Y464" i="6"/>
  <c r="Y409" i="6" s="1"/>
  <c r="Y487" i="6"/>
  <c r="Y432" i="6" s="1"/>
  <c r="Y478" i="6"/>
  <c r="Y423" i="6" s="1"/>
  <c r="Y492" i="6"/>
  <c r="Y437" i="6" s="1"/>
  <c r="Y488" i="6"/>
  <c r="Y433" i="6" s="1"/>
  <c r="Y486" i="6"/>
  <c r="Y431" i="6" s="1"/>
  <c r="Y477" i="6"/>
  <c r="Y422" i="6" s="1"/>
  <c r="Y490" i="6"/>
  <c r="Y435" i="6" s="1"/>
  <c r="Y463" i="6"/>
  <c r="Y408" i="6" s="1"/>
  <c r="Y473" i="6"/>
  <c r="Y418" i="6" s="1"/>
  <c r="Y480" i="6"/>
  <c r="Y425" i="6" s="1"/>
  <c r="Y481" i="6"/>
  <c r="Y426" i="6" s="1"/>
  <c r="Y460" i="6"/>
  <c r="Y474" i="6"/>
  <c r="Y419" i="6" s="1"/>
  <c r="Y470" i="6"/>
  <c r="Y415" i="6" s="1"/>
  <c r="Y483" i="6"/>
  <c r="Y428" i="6" s="1"/>
  <c r="Y468" i="6"/>
  <c r="Y413" i="6" s="1"/>
  <c r="Y465" i="6"/>
  <c r="Y410" i="6" s="1"/>
  <c r="Y491" i="6"/>
  <c r="Y436" i="6" s="1"/>
  <c r="I90" i="5"/>
  <c r="K90" i="5" s="1"/>
  <c r="L90" i="5" s="1"/>
  <c r="M90" i="5" s="1"/>
  <c r="Q90" i="5" s="1"/>
  <c r="I63" i="5"/>
  <c r="K63" i="5" s="1"/>
  <c r="L63" i="5" s="1"/>
  <c r="M63" i="5" s="1"/>
  <c r="Q63" i="5" s="1"/>
  <c r="I60" i="5"/>
  <c r="K60" i="5" s="1"/>
  <c r="L60" i="5" s="1"/>
  <c r="M60" i="5" s="1"/>
  <c r="Q60" i="5" s="1"/>
  <c r="I78" i="5"/>
  <c r="K78" i="5" s="1"/>
  <c r="L78" i="5" s="1"/>
  <c r="M78" i="5" s="1"/>
  <c r="Q78" i="5" s="1"/>
  <c r="V462" i="6"/>
  <c r="V407" i="6" s="1"/>
  <c r="V483" i="6"/>
  <c r="V428" i="6" s="1"/>
  <c r="V463" i="6"/>
  <c r="V408" i="6" s="1"/>
  <c r="V490" i="6"/>
  <c r="V435" i="6" s="1"/>
  <c r="V488" i="6"/>
  <c r="V433" i="6" s="1"/>
  <c r="V468" i="6"/>
  <c r="V413" i="6" s="1"/>
  <c r="V482" i="6"/>
  <c r="V427" i="6" s="1"/>
  <c r="V476" i="6"/>
  <c r="V421" i="6" s="1"/>
  <c r="V471" i="6"/>
  <c r="V416" i="6" s="1"/>
  <c r="V479" i="6"/>
  <c r="V424" i="6" s="1"/>
  <c r="V474" i="6"/>
  <c r="V419" i="6" s="1"/>
  <c r="V472" i="6"/>
  <c r="V417" i="6" s="1"/>
  <c r="V493" i="6"/>
  <c r="V438" i="6" s="1"/>
  <c r="V491" i="6"/>
  <c r="V436" i="6" s="1"/>
  <c r="V492" i="6"/>
  <c r="V437" i="6" s="1"/>
  <c r="V470" i="6"/>
  <c r="V415" i="6" s="1"/>
  <c r="V464" i="6"/>
  <c r="V409" i="6" s="1"/>
  <c r="V458" i="6"/>
  <c r="V403" i="6" s="1"/>
  <c r="V465" i="6"/>
  <c r="V410" i="6" s="1"/>
  <c r="V461" i="6"/>
  <c r="V406" i="6" s="1"/>
  <c r="V466" i="6"/>
  <c r="V411" i="6" s="1"/>
  <c r="V459" i="6"/>
  <c r="V404" i="6" s="1"/>
  <c r="V487" i="6"/>
  <c r="V432" i="6" s="1"/>
  <c r="V478" i="6"/>
  <c r="V423" i="6" s="1"/>
  <c r="V473" i="6"/>
  <c r="V418" i="6" s="1"/>
  <c r="V469" i="6"/>
  <c r="V414" i="6" s="1"/>
  <c r="V480" i="6"/>
  <c r="V425" i="6" s="1"/>
  <c r="V475" i="6"/>
  <c r="V420" i="6" s="1"/>
  <c r="V467" i="6"/>
  <c r="V412" i="6" s="1"/>
  <c r="V481" i="6"/>
  <c r="V426" i="6" s="1"/>
  <c r="V457" i="6"/>
  <c r="V486" i="6"/>
  <c r="V431" i="6" s="1"/>
  <c r="V477" i="6"/>
  <c r="V422" i="6" s="1"/>
  <c r="V460" i="6"/>
  <c r="V405" i="6" s="1"/>
  <c r="V489" i="6"/>
  <c r="V434" i="6" s="1"/>
  <c r="V484" i="6"/>
  <c r="V429" i="6" s="1"/>
  <c r="V485" i="6"/>
  <c r="V430" i="6" s="1"/>
  <c r="I79" i="5"/>
  <c r="K79" i="5" s="1"/>
  <c r="L79" i="5" s="1"/>
  <c r="M79" i="5" s="1"/>
  <c r="Q79" i="5" s="1"/>
  <c r="AA468" i="6"/>
  <c r="AA413" i="6" s="1"/>
  <c r="AA446" i="6"/>
  <c r="AA391" i="6" s="1"/>
  <c r="AA443" i="6"/>
  <c r="AA388" i="6" s="1"/>
  <c r="AA449" i="6"/>
  <c r="AA394" i="6" s="1"/>
  <c r="AA459" i="6"/>
  <c r="AA404" i="6" s="1"/>
  <c r="AA479" i="6"/>
  <c r="AA424" i="6" s="1"/>
  <c r="AA466" i="6"/>
  <c r="AA411" i="6" s="1"/>
  <c r="AA447" i="6"/>
  <c r="AA392" i="6" s="1"/>
  <c r="AA472" i="6"/>
  <c r="AA417" i="6" s="1"/>
  <c r="AA451" i="6"/>
  <c r="AA396" i="6" s="1"/>
  <c r="AA467" i="6"/>
  <c r="AA412" i="6" s="1"/>
  <c r="AA481" i="6"/>
  <c r="AA426" i="6" s="1"/>
  <c r="AA471" i="6"/>
  <c r="AA416" i="6" s="1"/>
  <c r="AA477" i="6"/>
  <c r="AA422" i="6" s="1"/>
  <c r="AA492" i="6"/>
  <c r="AA437" i="6" s="1"/>
  <c r="AA457" i="6"/>
  <c r="AA402" i="6" s="1"/>
  <c r="AA489" i="6"/>
  <c r="AA434" i="6" s="1"/>
  <c r="AA463" i="6"/>
  <c r="AA408" i="6" s="1"/>
  <c r="AA444" i="6"/>
  <c r="AA389" i="6" s="1"/>
  <c r="AA469" i="6"/>
  <c r="AA414" i="6" s="1"/>
  <c r="AA484" i="6"/>
  <c r="AA429" i="6" s="1"/>
  <c r="AA452" i="6"/>
  <c r="AA397" i="6" s="1"/>
  <c r="AA490" i="6"/>
  <c r="AA435" i="6" s="1"/>
  <c r="AA461" i="6"/>
  <c r="AA406" i="6" s="1"/>
  <c r="AA442" i="6"/>
  <c r="AA475" i="6"/>
  <c r="AA420" i="6" s="1"/>
  <c r="AA480" i="6"/>
  <c r="AA425" i="6" s="1"/>
  <c r="AA482" i="6"/>
  <c r="AA427" i="6" s="1"/>
  <c r="AA458" i="6"/>
  <c r="AA403" i="6" s="1"/>
  <c r="AA470" i="6"/>
  <c r="AA415" i="6" s="1"/>
  <c r="AA474" i="6"/>
  <c r="AA419" i="6" s="1"/>
  <c r="AA473" i="6"/>
  <c r="AA418" i="6" s="1"/>
  <c r="AA487" i="6"/>
  <c r="AA432" i="6" s="1"/>
  <c r="AA488" i="6"/>
  <c r="AA433" i="6" s="1"/>
  <c r="AA485" i="6"/>
  <c r="AA430" i="6" s="1"/>
  <c r="AA462" i="6"/>
  <c r="AA407" i="6" s="1"/>
  <c r="AA491" i="6"/>
  <c r="AA436" i="6" s="1"/>
  <c r="AA476" i="6"/>
  <c r="AA421" i="6" s="1"/>
  <c r="AA445" i="6"/>
  <c r="AA390" i="6" s="1"/>
  <c r="AA453" i="6"/>
  <c r="AA398" i="6" s="1"/>
  <c r="AA493" i="6"/>
  <c r="AA438" i="6" s="1"/>
  <c r="AA460" i="6"/>
  <c r="AA405" i="6" s="1"/>
  <c r="AA454" i="6"/>
  <c r="AA399" i="6" s="1"/>
  <c r="AA478" i="6"/>
  <c r="AA423" i="6" s="1"/>
  <c r="AA448" i="6"/>
  <c r="AA393" i="6" s="1"/>
  <c r="AA450" i="6"/>
  <c r="AA395" i="6" s="1"/>
  <c r="AA464" i="6"/>
  <c r="AA409" i="6" s="1"/>
  <c r="AA486" i="6"/>
  <c r="AA431" i="6" s="1"/>
  <c r="AA456" i="6"/>
  <c r="AA401" i="6" s="1"/>
  <c r="AA483" i="6"/>
  <c r="AA428" i="6" s="1"/>
  <c r="AA455" i="6"/>
  <c r="AA400" i="6" s="1"/>
  <c r="AA465" i="6"/>
  <c r="AA410" i="6" s="1"/>
  <c r="I81" i="5"/>
  <c r="K81" i="5" s="1"/>
  <c r="L81" i="5" s="1"/>
  <c r="M81" i="5" s="1"/>
  <c r="Q81" i="5" s="1"/>
  <c r="I93" i="5"/>
  <c r="K93" i="5" s="1"/>
  <c r="L93" i="5" s="1"/>
  <c r="M93" i="5" s="1"/>
  <c r="Q93" i="5" s="1"/>
  <c r="I73" i="5"/>
  <c r="K73" i="5" s="1"/>
  <c r="L73" i="5" s="1"/>
  <c r="M73" i="5" s="1"/>
  <c r="Q73" i="5" s="1"/>
  <c r="N73" i="5"/>
  <c r="I54" i="5"/>
  <c r="K54" i="5" s="1"/>
  <c r="L54" i="5" s="1"/>
  <c r="M54" i="5" s="1"/>
  <c r="Q54" i="5" s="1"/>
  <c r="I69" i="5"/>
  <c r="K69" i="5" s="1"/>
  <c r="L69" i="5" s="1"/>
  <c r="M69" i="5" s="1"/>
  <c r="Q69" i="5" s="1"/>
  <c r="D452" i="6"/>
  <c r="D397" i="6" s="1"/>
  <c r="D487" i="6"/>
  <c r="D432" i="6" s="1"/>
  <c r="D467" i="6"/>
  <c r="D412" i="6" s="1"/>
  <c r="D453" i="6"/>
  <c r="D398" i="6" s="1"/>
  <c r="D454" i="6"/>
  <c r="D399" i="6" s="1"/>
  <c r="D489" i="6"/>
  <c r="D434" i="6" s="1"/>
  <c r="D469" i="6"/>
  <c r="D414" i="6" s="1"/>
  <c r="D445" i="6"/>
  <c r="D390" i="6" s="1"/>
  <c r="D444" i="6"/>
  <c r="D389" i="6" s="1"/>
  <c r="D476" i="6"/>
  <c r="D421" i="6" s="1"/>
  <c r="D447" i="6"/>
  <c r="D392" i="6" s="1"/>
  <c r="D475" i="6"/>
  <c r="D420" i="6" s="1"/>
  <c r="D486" i="6"/>
  <c r="D431" i="6" s="1"/>
  <c r="D485" i="6"/>
  <c r="D430" i="6" s="1"/>
  <c r="D484" i="6"/>
  <c r="D429" i="6" s="1"/>
  <c r="D462" i="6"/>
  <c r="D407" i="6" s="1"/>
  <c r="D463" i="6"/>
  <c r="D408" i="6" s="1"/>
  <c r="D460" i="6"/>
  <c r="D405" i="6" s="1"/>
  <c r="D472" i="6"/>
  <c r="D417" i="6" s="1"/>
  <c r="D464" i="6"/>
  <c r="D409" i="6" s="1"/>
  <c r="D459" i="6"/>
  <c r="D404" i="6" s="1"/>
  <c r="D442" i="6"/>
  <c r="D474" i="6"/>
  <c r="D419" i="6" s="1"/>
  <c r="D488" i="6"/>
  <c r="D433" i="6" s="1"/>
  <c r="D490" i="6"/>
  <c r="D435" i="6" s="1"/>
  <c r="D482" i="6"/>
  <c r="D427" i="6" s="1"/>
  <c r="D493" i="6"/>
  <c r="D438" i="6" s="1"/>
  <c r="D446" i="6"/>
  <c r="D391" i="6" s="1"/>
  <c r="D471" i="6"/>
  <c r="D416" i="6" s="1"/>
  <c r="D473" i="6"/>
  <c r="D418" i="6" s="1"/>
  <c r="D477" i="6"/>
  <c r="D422" i="6" s="1"/>
  <c r="D492" i="6"/>
  <c r="D437" i="6" s="1"/>
  <c r="D466" i="6"/>
  <c r="D411" i="6" s="1"/>
  <c r="D456" i="6"/>
  <c r="D401" i="6" s="1"/>
  <c r="D481" i="6"/>
  <c r="D426" i="6" s="1"/>
  <c r="D450" i="6"/>
  <c r="D395" i="6" s="1"/>
  <c r="D479" i="6"/>
  <c r="D424" i="6" s="1"/>
  <c r="D491" i="6"/>
  <c r="D436" i="6" s="1"/>
  <c r="D483" i="6"/>
  <c r="D428" i="6" s="1"/>
  <c r="D478" i="6"/>
  <c r="D423" i="6" s="1"/>
  <c r="D457" i="6"/>
  <c r="D402" i="6" s="1"/>
  <c r="D449" i="6"/>
  <c r="D394" i="6" s="1"/>
  <c r="D455" i="6"/>
  <c r="D400" i="6" s="1"/>
  <c r="D465" i="6"/>
  <c r="D410" i="6" s="1"/>
  <c r="D443" i="6"/>
  <c r="D388" i="6" s="1"/>
  <c r="D448" i="6"/>
  <c r="D393" i="6" s="1"/>
  <c r="D458" i="6"/>
  <c r="D403" i="6" s="1"/>
  <c r="D461" i="6"/>
  <c r="D406" i="6" s="1"/>
  <c r="D480" i="6"/>
  <c r="D425" i="6" s="1"/>
  <c r="D470" i="6"/>
  <c r="D415" i="6" s="1"/>
  <c r="D468" i="6"/>
  <c r="D413" i="6" s="1"/>
  <c r="D451" i="6"/>
  <c r="D396" i="6" s="1"/>
  <c r="C488" i="6"/>
  <c r="C433" i="6" s="1"/>
  <c r="C447" i="6"/>
  <c r="C392" i="6" s="1"/>
  <c r="C464" i="6"/>
  <c r="C409" i="6" s="1"/>
  <c r="C477" i="6"/>
  <c r="C422" i="6" s="1"/>
  <c r="C485" i="6"/>
  <c r="C430" i="6" s="1"/>
  <c r="C472" i="6"/>
  <c r="C417" i="6" s="1"/>
  <c r="C462" i="6"/>
  <c r="C407" i="6" s="1"/>
  <c r="C457" i="6"/>
  <c r="C402" i="6" s="1"/>
  <c r="C451" i="6"/>
  <c r="C396" i="6" s="1"/>
  <c r="C482" i="6"/>
  <c r="C427" i="6" s="1"/>
  <c r="C483" i="6"/>
  <c r="C428" i="6" s="1"/>
  <c r="C479" i="6"/>
  <c r="C424" i="6" s="1"/>
  <c r="C493" i="6"/>
  <c r="C438" i="6" s="1"/>
  <c r="C456" i="6"/>
  <c r="C401" i="6" s="1"/>
  <c r="C454" i="6"/>
  <c r="C399" i="6" s="1"/>
  <c r="C453" i="6"/>
  <c r="C398" i="6" s="1"/>
  <c r="C460" i="6"/>
  <c r="C405" i="6" s="1"/>
  <c r="C470" i="6"/>
  <c r="C415" i="6" s="1"/>
  <c r="C463" i="6"/>
  <c r="C408" i="6" s="1"/>
  <c r="C486" i="6"/>
  <c r="C431" i="6" s="1"/>
  <c r="C487" i="6"/>
  <c r="C432" i="6" s="1"/>
  <c r="C474" i="6"/>
  <c r="C419" i="6" s="1"/>
  <c r="C452" i="6"/>
  <c r="C397" i="6" s="1"/>
  <c r="C490" i="6"/>
  <c r="C435" i="6" s="1"/>
  <c r="C478" i="6"/>
  <c r="C423" i="6" s="1"/>
  <c r="C461" i="6"/>
  <c r="C406" i="6" s="1"/>
  <c r="C455" i="6"/>
  <c r="C400" i="6" s="1"/>
  <c r="C480" i="6"/>
  <c r="C425" i="6" s="1"/>
  <c r="C465" i="6"/>
  <c r="C410" i="6" s="1"/>
  <c r="C445" i="6"/>
  <c r="C467" i="6"/>
  <c r="C412" i="6" s="1"/>
  <c r="C450" i="6"/>
  <c r="C395" i="6" s="1"/>
  <c r="C469" i="6"/>
  <c r="C414" i="6" s="1"/>
  <c r="C458" i="6"/>
  <c r="C403" i="6" s="1"/>
  <c r="C446" i="6"/>
  <c r="C391" i="6" s="1"/>
  <c r="C492" i="6"/>
  <c r="C437" i="6" s="1"/>
  <c r="C466" i="6"/>
  <c r="C411" i="6" s="1"/>
  <c r="C448" i="6"/>
  <c r="C393" i="6" s="1"/>
  <c r="C471" i="6"/>
  <c r="C416" i="6" s="1"/>
  <c r="C459" i="6"/>
  <c r="C404" i="6" s="1"/>
  <c r="C481" i="6"/>
  <c r="C426" i="6" s="1"/>
  <c r="C476" i="6"/>
  <c r="C421" i="6" s="1"/>
  <c r="C468" i="6"/>
  <c r="C413" i="6" s="1"/>
  <c r="C489" i="6"/>
  <c r="C434" i="6" s="1"/>
  <c r="C491" i="6"/>
  <c r="C436" i="6" s="1"/>
  <c r="C484" i="6"/>
  <c r="C429" i="6" s="1"/>
  <c r="C473" i="6"/>
  <c r="C418" i="6" s="1"/>
  <c r="C475" i="6"/>
  <c r="C420" i="6" s="1"/>
  <c r="C449" i="6"/>
  <c r="C394" i="6" s="1"/>
  <c r="M457" i="6"/>
  <c r="M402" i="6" s="1"/>
  <c r="M462" i="6"/>
  <c r="M407" i="6" s="1"/>
  <c r="M466" i="6"/>
  <c r="M411" i="6" s="1"/>
  <c r="M450" i="6"/>
  <c r="M395" i="6" s="1"/>
  <c r="M454" i="6"/>
  <c r="M399" i="6" s="1"/>
  <c r="M460" i="6"/>
  <c r="M405" i="6" s="1"/>
  <c r="M475" i="6"/>
  <c r="M420" i="6" s="1"/>
  <c r="M492" i="6"/>
  <c r="M437" i="6" s="1"/>
  <c r="M449" i="6"/>
  <c r="M394" i="6" s="1"/>
  <c r="M478" i="6"/>
  <c r="M423" i="6" s="1"/>
  <c r="M451" i="6"/>
  <c r="M396" i="6" s="1"/>
  <c r="M465" i="6"/>
  <c r="M410" i="6" s="1"/>
  <c r="M479" i="6"/>
  <c r="M424" i="6" s="1"/>
  <c r="M455" i="6"/>
  <c r="M400" i="6" s="1"/>
  <c r="M463" i="6"/>
  <c r="M408" i="6" s="1"/>
  <c r="M493" i="6"/>
  <c r="M438" i="6" s="1"/>
  <c r="M484" i="6"/>
  <c r="M429" i="6" s="1"/>
  <c r="M481" i="6"/>
  <c r="M426" i="6" s="1"/>
  <c r="M476" i="6"/>
  <c r="M421" i="6" s="1"/>
  <c r="M453" i="6"/>
  <c r="M398" i="6" s="1"/>
  <c r="M456" i="6"/>
  <c r="M401" i="6" s="1"/>
  <c r="M477" i="6"/>
  <c r="M422" i="6" s="1"/>
  <c r="M485" i="6"/>
  <c r="M430" i="6" s="1"/>
  <c r="M470" i="6"/>
  <c r="M415" i="6" s="1"/>
  <c r="M461" i="6"/>
  <c r="M406" i="6" s="1"/>
  <c r="M490" i="6"/>
  <c r="M435" i="6" s="1"/>
  <c r="M471" i="6"/>
  <c r="M416" i="6" s="1"/>
  <c r="M491" i="6"/>
  <c r="M436" i="6" s="1"/>
  <c r="M448" i="6"/>
  <c r="M489" i="6"/>
  <c r="M434" i="6" s="1"/>
  <c r="M486" i="6"/>
  <c r="M431" i="6" s="1"/>
  <c r="M472" i="6"/>
  <c r="M417" i="6" s="1"/>
  <c r="M469" i="6"/>
  <c r="M414" i="6" s="1"/>
  <c r="M464" i="6"/>
  <c r="M409" i="6" s="1"/>
  <c r="M483" i="6"/>
  <c r="M428" i="6" s="1"/>
  <c r="M487" i="6"/>
  <c r="M432" i="6" s="1"/>
  <c r="M482" i="6"/>
  <c r="M427" i="6" s="1"/>
  <c r="M458" i="6"/>
  <c r="M403" i="6" s="1"/>
  <c r="M488" i="6"/>
  <c r="M433" i="6" s="1"/>
  <c r="M474" i="6"/>
  <c r="M419" i="6" s="1"/>
  <c r="M473" i="6"/>
  <c r="M418" i="6" s="1"/>
  <c r="M467" i="6"/>
  <c r="M412" i="6" s="1"/>
  <c r="M480" i="6"/>
  <c r="M425" i="6" s="1"/>
  <c r="M459" i="6"/>
  <c r="M404" i="6" s="1"/>
  <c r="M452" i="6"/>
  <c r="M397" i="6" s="1"/>
  <c r="M468" i="6"/>
  <c r="M413" i="6" s="1"/>
  <c r="N80" i="5"/>
  <c r="I80" i="5"/>
  <c r="K80" i="5" s="1"/>
  <c r="L80" i="5" s="1"/>
  <c r="M80" i="5" s="1"/>
  <c r="Q80" i="5" s="1"/>
  <c r="I88" i="5"/>
  <c r="K88" i="5" s="1"/>
  <c r="L88" i="5" s="1"/>
  <c r="M88" i="5" s="1"/>
  <c r="Q88" i="5" s="1"/>
  <c r="I89" i="5"/>
  <c r="K89" i="5" s="1"/>
  <c r="L89" i="5" s="1"/>
  <c r="M89" i="5" s="1"/>
  <c r="Q89" i="5" s="1"/>
  <c r="I71" i="5"/>
  <c r="K71" i="5" s="1"/>
  <c r="L71" i="5" s="1"/>
  <c r="M71" i="5" s="1"/>
  <c r="Q71" i="5" s="1"/>
  <c r="J485" i="6"/>
  <c r="J430" i="6" s="1"/>
  <c r="J454" i="6"/>
  <c r="J399" i="6" s="1"/>
  <c r="J468" i="6"/>
  <c r="J413" i="6" s="1"/>
  <c r="J492" i="6"/>
  <c r="J437" i="6" s="1"/>
  <c r="J467" i="6"/>
  <c r="J412" i="6" s="1"/>
  <c r="J473" i="6"/>
  <c r="J418" i="6" s="1"/>
  <c r="J471" i="6"/>
  <c r="J416" i="6" s="1"/>
  <c r="J458" i="6"/>
  <c r="J403" i="6" s="1"/>
  <c r="J451" i="6"/>
  <c r="J396" i="6" s="1"/>
  <c r="J449" i="6"/>
  <c r="J394" i="6" s="1"/>
  <c r="J457" i="6"/>
  <c r="J402" i="6" s="1"/>
  <c r="J488" i="6"/>
  <c r="J433" i="6" s="1"/>
  <c r="J447" i="6"/>
  <c r="J392" i="6" s="1"/>
  <c r="J461" i="6"/>
  <c r="J406" i="6" s="1"/>
  <c r="J478" i="6"/>
  <c r="J423" i="6" s="1"/>
  <c r="J463" i="6"/>
  <c r="J408" i="6" s="1"/>
  <c r="J462" i="6"/>
  <c r="J407" i="6" s="1"/>
  <c r="J445" i="6"/>
  <c r="J493" i="6"/>
  <c r="J438" i="6" s="1"/>
  <c r="J481" i="6"/>
  <c r="J426" i="6" s="1"/>
  <c r="J491" i="6"/>
  <c r="J436" i="6" s="1"/>
  <c r="J448" i="6"/>
  <c r="J393" i="6" s="1"/>
  <c r="J486" i="6"/>
  <c r="J431" i="6" s="1"/>
  <c r="J472" i="6"/>
  <c r="J417" i="6" s="1"/>
  <c r="J483" i="6"/>
  <c r="J428" i="6" s="1"/>
  <c r="J452" i="6"/>
  <c r="J397" i="6" s="1"/>
  <c r="J470" i="6"/>
  <c r="J415" i="6" s="1"/>
  <c r="J459" i="6"/>
  <c r="J404" i="6" s="1"/>
  <c r="J466" i="6"/>
  <c r="J411" i="6" s="1"/>
  <c r="J477" i="6"/>
  <c r="J422" i="6" s="1"/>
  <c r="J465" i="6"/>
  <c r="J410" i="6" s="1"/>
  <c r="J489" i="6"/>
  <c r="J434" i="6" s="1"/>
  <c r="J464" i="6"/>
  <c r="J409" i="6" s="1"/>
  <c r="J484" i="6"/>
  <c r="J429" i="6" s="1"/>
  <c r="J475" i="6"/>
  <c r="J420" i="6" s="1"/>
  <c r="J450" i="6"/>
  <c r="J395" i="6" s="1"/>
  <c r="J469" i="6"/>
  <c r="J414" i="6" s="1"/>
  <c r="J480" i="6"/>
  <c r="J425" i="6" s="1"/>
  <c r="J474" i="6"/>
  <c r="J419" i="6" s="1"/>
  <c r="J460" i="6"/>
  <c r="J405" i="6" s="1"/>
  <c r="J487" i="6"/>
  <c r="J432" i="6" s="1"/>
  <c r="J476" i="6"/>
  <c r="J421" i="6" s="1"/>
  <c r="J455" i="6"/>
  <c r="J400" i="6" s="1"/>
  <c r="J456" i="6"/>
  <c r="J401" i="6" s="1"/>
  <c r="J479" i="6"/>
  <c r="J424" i="6" s="1"/>
  <c r="J446" i="6"/>
  <c r="J391" i="6" s="1"/>
  <c r="J453" i="6"/>
  <c r="J398" i="6" s="1"/>
  <c r="J490" i="6"/>
  <c r="J435" i="6" s="1"/>
  <c r="J482" i="6"/>
  <c r="J427" i="6" s="1"/>
  <c r="AB467" i="6"/>
  <c r="AB412" i="6" s="1"/>
  <c r="AB465" i="6"/>
  <c r="AB410" i="6" s="1"/>
  <c r="AB443" i="6"/>
  <c r="AB388" i="6" s="1"/>
  <c r="AB445" i="6"/>
  <c r="AB390" i="6" s="1"/>
  <c r="AB454" i="6"/>
  <c r="AB399" i="6" s="1"/>
  <c r="AB486" i="6"/>
  <c r="AB431" i="6" s="1"/>
  <c r="AB475" i="6"/>
  <c r="AB420" i="6" s="1"/>
  <c r="AB456" i="6"/>
  <c r="AB401" i="6" s="1"/>
  <c r="AB451" i="6"/>
  <c r="AB396" i="6" s="1"/>
  <c r="AB485" i="6"/>
  <c r="AB430" i="6" s="1"/>
  <c r="AB455" i="6"/>
  <c r="AB400" i="6" s="1"/>
  <c r="AB446" i="6"/>
  <c r="AB391" i="6" s="1"/>
  <c r="AB452" i="6"/>
  <c r="AB397" i="6" s="1"/>
  <c r="AB457" i="6"/>
  <c r="AB402" i="6" s="1"/>
  <c r="AB493" i="6"/>
  <c r="AB438" i="6" s="1"/>
  <c r="AB487" i="6"/>
  <c r="AB432" i="6" s="1"/>
  <c r="AB481" i="6"/>
  <c r="AB426" i="6" s="1"/>
  <c r="AB472" i="6"/>
  <c r="AB417" i="6" s="1"/>
  <c r="AB444" i="6"/>
  <c r="AB389" i="6" s="1"/>
  <c r="AB471" i="6"/>
  <c r="AB416" i="6" s="1"/>
  <c r="AB466" i="6"/>
  <c r="AB411" i="6" s="1"/>
  <c r="AB458" i="6"/>
  <c r="AB403" i="6" s="1"/>
  <c r="AB469" i="6"/>
  <c r="AB414" i="6" s="1"/>
  <c r="AB462" i="6"/>
  <c r="AB407" i="6" s="1"/>
  <c r="AB483" i="6"/>
  <c r="AB428" i="6" s="1"/>
  <c r="AB473" i="6"/>
  <c r="AB418" i="6" s="1"/>
  <c r="AB459" i="6"/>
  <c r="AB404" i="6" s="1"/>
  <c r="AB490" i="6"/>
  <c r="AB435" i="6" s="1"/>
  <c r="AB484" i="6"/>
  <c r="AB429" i="6" s="1"/>
  <c r="AB448" i="6"/>
  <c r="AB393" i="6" s="1"/>
  <c r="AB480" i="6"/>
  <c r="AB425" i="6" s="1"/>
  <c r="AB449" i="6"/>
  <c r="AB394" i="6" s="1"/>
  <c r="AB492" i="6"/>
  <c r="AB437" i="6" s="1"/>
  <c r="AB464" i="6"/>
  <c r="AB409" i="6" s="1"/>
  <c r="AB470" i="6"/>
  <c r="AB415" i="6" s="1"/>
  <c r="AB482" i="6"/>
  <c r="AB427" i="6" s="1"/>
  <c r="AB491" i="6"/>
  <c r="AB436" i="6" s="1"/>
  <c r="AB447" i="6"/>
  <c r="AB392" i="6" s="1"/>
  <c r="AB453" i="6"/>
  <c r="AB398" i="6" s="1"/>
  <c r="AB474" i="6"/>
  <c r="AB419" i="6" s="1"/>
  <c r="AB476" i="6"/>
  <c r="AB421" i="6" s="1"/>
  <c r="AB463" i="6"/>
  <c r="AB408" i="6" s="1"/>
  <c r="AB442" i="6"/>
  <c r="AB468" i="6"/>
  <c r="AB413" i="6" s="1"/>
  <c r="AB477" i="6"/>
  <c r="AB422" i="6" s="1"/>
  <c r="AB460" i="6"/>
  <c r="AB405" i="6" s="1"/>
  <c r="AB450" i="6"/>
  <c r="AB395" i="6" s="1"/>
  <c r="AB461" i="6"/>
  <c r="AB406" i="6" s="1"/>
  <c r="AB478" i="6"/>
  <c r="AB423" i="6" s="1"/>
  <c r="AB479" i="6"/>
  <c r="AB424" i="6" s="1"/>
  <c r="AB488" i="6"/>
  <c r="AB433" i="6" s="1"/>
  <c r="AB489" i="6"/>
  <c r="AB434" i="6" s="1"/>
  <c r="I94" i="5"/>
  <c r="K94" i="5" s="1"/>
  <c r="L94" i="5" s="1"/>
  <c r="M94" i="5" s="1"/>
  <c r="Q94" i="5" s="1"/>
  <c r="G475" i="6"/>
  <c r="G420" i="6" s="1"/>
  <c r="G446" i="6"/>
  <c r="G391" i="6" s="1"/>
  <c r="G452" i="6"/>
  <c r="G397" i="6" s="1"/>
  <c r="G458" i="6"/>
  <c r="G403" i="6" s="1"/>
  <c r="G477" i="6"/>
  <c r="G422" i="6" s="1"/>
  <c r="G447" i="6"/>
  <c r="G392" i="6" s="1"/>
  <c r="G492" i="6"/>
  <c r="G437" i="6" s="1"/>
  <c r="G493" i="6"/>
  <c r="G438" i="6" s="1"/>
  <c r="G480" i="6"/>
  <c r="G425" i="6" s="1"/>
  <c r="G457" i="6"/>
  <c r="G402" i="6" s="1"/>
  <c r="G489" i="6"/>
  <c r="G434" i="6" s="1"/>
  <c r="G469" i="6"/>
  <c r="G414" i="6" s="1"/>
  <c r="G463" i="6"/>
  <c r="G408" i="6" s="1"/>
  <c r="G450" i="6"/>
  <c r="G395" i="6" s="1"/>
  <c r="G474" i="6"/>
  <c r="G419" i="6" s="1"/>
  <c r="G488" i="6"/>
  <c r="G433" i="6" s="1"/>
  <c r="G491" i="6"/>
  <c r="G436" i="6" s="1"/>
  <c r="G485" i="6"/>
  <c r="G430" i="6" s="1"/>
  <c r="G478" i="6"/>
  <c r="G423" i="6" s="1"/>
  <c r="G466" i="6"/>
  <c r="G411" i="6" s="1"/>
  <c r="G455" i="6"/>
  <c r="G400" i="6" s="1"/>
  <c r="G476" i="6"/>
  <c r="G421" i="6" s="1"/>
  <c r="G454" i="6"/>
  <c r="G399" i="6" s="1"/>
  <c r="G481" i="6"/>
  <c r="G426" i="6" s="1"/>
  <c r="G449" i="6"/>
  <c r="G394" i="6" s="1"/>
  <c r="G445" i="6"/>
  <c r="G390" i="6" s="1"/>
  <c r="G471" i="6"/>
  <c r="G416" i="6" s="1"/>
  <c r="G442" i="6"/>
  <c r="G487" i="6"/>
  <c r="G432" i="6" s="1"/>
  <c r="G448" i="6"/>
  <c r="G393" i="6" s="1"/>
  <c r="G484" i="6"/>
  <c r="G429" i="6" s="1"/>
  <c r="G451" i="6"/>
  <c r="G396" i="6" s="1"/>
  <c r="G456" i="6"/>
  <c r="G401" i="6" s="1"/>
  <c r="G464" i="6"/>
  <c r="G409" i="6" s="1"/>
  <c r="G482" i="6"/>
  <c r="G427" i="6" s="1"/>
  <c r="G465" i="6"/>
  <c r="G410" i="6" s="1"/>
  <c r="G467" i="6"/>
  <c r="G412" i="6" s="1"/>
  <c r="G444" i="6"/>
  <c r="G389" i="6" s="1"/>
  <c r="G453" i="6"/>
  <c r="G398" i="6" s="1"/>
  <c r="G479" i="6"/>
  <c r="G424" i="6" s="1"/>
  <c r="G472" i="6"/>
  <c r="G417" i="6" s="1"/>
  <c r="G462" i="6"/>
  <c r="G407" i="6" s="1"/>
  <c r="G483" i="6"/>
  <c r="G428" i="6" s="1"/>
  <c r="G468" i="6"/>
  <c r="G413" i="6" s="1"/>
  <c r="G473" i="6"/>
  <c r="G418" i="6" s="1"/>
  <c r="G490" i="6"/>
  <c r="G435" i="6" s="1"/>
  <c r="G460" i="6"/>
  <c r="G405" i="6" s="1"/>
  <c r="G459" i="6"/>
  <c r="G404" i="6" s="1"/>
  <c r="G486" i="6"/>
  <c r="G431" i="6" s="1"/>
  <c r="G443" i="6"/>
  <c r="G388" i="6" s="1"/>
  <c r="G470" i="6"/>
  <c r="G415" i="6" s="1"/>
  <c r="G461" i="6"/>
  <c r="G406" i="6" s="1"/>
  <c r="I64" i="5"/>
  <c r="K64" i="5" s="1"/>
  <c r="L64" i="5" s="1"/>
  <c r="M64" i="5" s="1"/>
  <c r="Q64" i="5" s="1"/>
  <c r="D87" i="5"/>
  <c r="D90" i="5"/>
  <c r="D94" i="5"/>
  <c r="D68" i="5"/>
  <c r="D52" i="5"/>
  <c r="D80" i="5"/>
  <c r="D69" i="5"/>
  <c r="D53" i="5"/>
  <c r="D85" i="5"/>
  <c r="D70" i="5"/>
  <c r="D54" i="5"/>
  <c r="D88" i="5"/>
  <c r="D83" i="5"/>
  <c r="D73" i="5"/>
  <c r="D57" i="5"/>
  <c r="D93" i="5"/>
  <c r="D74" i="5"/>
  <c r="D58" i="5"/>
  <c r="D76" i="5"/>
  <c r="D60" i="5"/>
  <c r="D44" i="5"/>
  <c r="D78" i="5"/>
  <c r="D56" i="5"/>
  <c r="D72" i="5"/>
  <c r="D64" i="5"/>
  <c r="D59" i="5"/>
  <c r="D55" i="5"/>
  <c r="D95" i="5"/>
  <c r="D75" i="5"/>
  <c r="D71" i="5"/>
  <c r="D46" i="5"/>
  <c r="D81" i="5"/>
  <c r="D77" i="5"/>
  <c r="D50" i="5"/>
  <c r="D49" i="5"/>
  <c r="R49" i="5" s="1"/>
  <c r="T49" i="5" s="1"/>
  <c r="V49" i="5" s="1"/>
  <c r="D89" i="5"/>
  <c r="D84" i="5"/>
  <c r="D62" i="5"/>
  <c r="D45" i="5"/>
  <c r="D91" i="5"/>
  <c r="D66" i="5"/>
  <c r="D61" i="5"/>
  <c r="D92" i="5"/>
  <c r="D86" i="5"/>
  <c r="D63" i="5"/>
  <c r="D48" i="5"/>
  <c r="D67" i="5"/>
  <c r="D65" i="5"/>
  <c r="D79" i="5"/>
  <c r="D82" i="5"/>
  <c r="D51" i="5"/>
  <c r="R51" i="5" s="1"/>
  <c r="T51" i="5" s="1"/>
  <c r="V51" i="5" s="1"/>
  <c r="D47" i="5"/>
  <c r="F89" i="5"/>
  <c r="F92" i="5"/>
  <c r="F85" i="5"/>
  <c r="F70" i="5"/>
  <c r="F54" i="5"/>
  <c r="F90" i="5"/>
  <c r="F71" i="5"/>
  <c r="F55" i="5"/>
  <c r="F95" i="5"/>
  <c r="F72" i="5"/>
  <c r="F56" i="5"/>
  <c r="F81" i="5"/>
  <c r="F75" i="5"/>
  <c r="F59" i="5"/>
  <c r="F76" i="5"/>
  <c r="F60" i="5"/>
  <c r="F44" i="5"/>
  <c r="F91" i="5"/>
  <c r="F78" i="5"/>
  <c r="F62" i="5"/>
  <c r="F46" i="5"/>
  <c r="F77" i="5"/>
  <c r="F69" i="5"/>
  <c r="F48" i="5"/>
  <c r="F68" i="5"/>
  <c r="F47" i="5"/>
  <c r="F51" i="5"/>
  <c r="F94" i="5"/>
  <c r="F93" i="5"/>
  <c r="F84" i="5"/>
  <c r="F57" i="5"/>
  <c r="F58" i="5"/>
  <c r="F87" i="5"/>
  <c r="F79" i="5"/>
  <c r="F82" i="5"/>
  <c r="F63" i="5"/>
  <c r="F45" i="5"/>
  <c r="F74" i="5"/>
  <c r="F49" i="5"/>
  <c r="F52" i="5"/>
  <c r="F61" i="5"/>
  <c r="F50" i="5"/>
  <c r="F83" i="5"/>
  <c r="F86" i="5"/>
  <c r="F80" i="5"/>
  <c r="F73" i="5"/>
  <c r="F67" i="5"/>
  <c r="F65" i="5"/>
  <c r="F53" i="5"/>
  <c r="F88" i="5"/>
  <c r="F66" i="5"/>
  <c r="F64" i="5"/>
  <c r="I66" i="5"/>
  <c r="K66" i="5" s="1"/>
  <c r="L66" i="5" s="1"/>
  <c r="M66" i="5" s="1"/>
  <c r="Q66" i="5" s="1"/>
  <c r="I59" i="5"/>
  <c r="K59" i="5" s="1"/>
  <c r="L59" i="5" s="1"/>
  <c r="M59" i="5" s="1"/>
  <c r="Q59" i="5" s="1"/>
  <c r="Z481" i="6"/>
  <c r="Z426" i="6" s="1"/>
  <c r="Z487" i="6"/>
  <c r="Z432" i="6" s="1"/>
  <c r="Z477" i="6"/>
  <c r="Z422" i="6" s="1"/>
  <c r="Z467" i="6"/>
  <c r="Z412" i="6" s="1"/>
  <c r="Z491" i="6"/>
  <c r="Z436" i="6" s="1"/>
  <c r="Z468" i="6"/>
  <c r="Z413" i="6" s="1"/>
  <c r="Z493" i="6"/>
  <c r="Z438" i="6" s="1"/>
  <c r="Z463" i="6"/>
  <c r="Z408" i="6" s="1"/>
  <c r="Z478" i="6"/>
  <c r="Z423" i="6" s="1"/>
  <c r="Z490" i="6"/>
  <c r="Z435" i="6" s="1"/>
  <c r="Z480" i="6"/>
  <c r="Z425" i="6" s="1"/>
  <c r="Z471" i="6"/>
  <c r="Z416" i="6" s="1"/>
  <c r="Z473" i="6"/>
  <c r="Z418" i="6" s="1"/>
  <c r="Z476" i="6"/>
  <c r="Z421" i="6" s="1"/>
  <c r="Z485" i="6"/>
  <c r="Z430" i="6" s="1"/>
  <c r="Z484" i="6"/>
  <c r="Z429" i="6" s="1"/>
  <c r="Z486" i="6"/>
  <c r="Z431" i="6" s="1"/>
  <c r="Z462" i="6"/>
  <c r="Z407" i="6" s="1"/>
  <c r="Z488" i="6"/>
  <c r="Z433" i="6" s="1"/>
  <c r="Z465" i="6"/>
  <c r="Z410" i="6" s="1"/>
  <c r="Z489" i="6"/>
  <c r="Z434" i="6" s="1"/>
  <c r="Z479" i="6"/>
  <c r="Z424" i="6" s="1"/>
  <c r="Z492" i="6"/>
  <c r="Z437" i="6" s="1"/>
  <c r="Z466" i="6"/>
  <c r="Z411" i="6" s="1"/>
  <c r="Z474" i="6"/>
  <c r="Z419" i="6" s="1"/>
  <c r="Z482" i="6"/>
  <c r="Z427" i="6" s="1"/>
  <c r="Z475" i="6"/>
  <c r="Z420" i="6" s="1"/>
  <c r="Z469" i="6"/>
  <c r="Z414" i="6" s="1"/>
  <c r="Z483" i="6"/>
  <c r="Z428" i="6" s="1"/>
  <c r="Z464" i="6"/>
  <c r="Z409" i="6" s="1"/>
  <c r="Z470" i="6"/>
  <c r="Z415" i="6" s="1"/>
  <c r="Z472" i="6"/>
  <c r="Z417" i="6" s="1"/>
  <c r="Z461" i="6"/>
  <c r="I61" i="5"/>
  <c r="K61" i="5" s="1"/>
  <c r="L61" i="5" s="1"/>
  <c r="M61" i="5" s="1"/>
  <c r="Q61" i="5" s="1"/>
  <c r="I65" i="5"/>
  <c r="K65" i="5" s="1"/>
  <c r="L65" i="5" s="1"/>
  <c r="M65" i="5" s="1"/>
  <c r="Q65" i="5" s="1"/>
  <c r="T459" i="6"/>
  <c r="T404" i="6" s="1"/>
  <c r="T473" i="6"/>
  <c r="T418" i="6" s="1"/>
  <c r="T462" i="6"/>
  <c r="T407" i="6" s="1"/>
  <c r="T456" i="6"/>
  <c r="T401" i="6" s="1"/>
  <c r="T481" i="6"/>
  <c r="T426" i="6" s="1"/>
  <c r="T455" i="6"/>
  <c r="T477" i="6"/>
  <c r="T422" i="6" s="1"/>
  <c r="T467" i="6"/>
  <c r="T412" i="6" s="1"/>
  <c r="T484" i="6"/>
  <c r="T429" i="6" s="1"/>
  <c r="T472" i="6"/>
  <c r="T417" i="6" s="1"/>
  <c r="T461" i="6"/>
  <c r="T406" i="6" s="1"/>
  <c r="T491" i="6"/>
  <c r="T436" i="6" s="1"/>
  <c r="T468" i="6"/>
  <c r="T413" i="6" s="1"/>
  <c r="T483" i="6"/>
  <c r="T428" i="6" s="1"/>
  <c r="T479" i="6"/>
  <c r="T424" i="6" s="1"/>
  <c r="T470" i="6"/>
  <c r="T415" i="6" s="1"/>
  <c r="T460" i="6"/>
  <c r="T405" i="6" s="1"/>
  <c r="T475" i="6"/>
  <c r="T420" i="6" s="1"/>
  <c r="T466" i="6"/>
  <c r="T411" i="6" s="1"/>
  <c r="T463" i="6"/>
  <c r="T408" i="6" s="1"/>
  <c r="T482" i="6"/>
  <c r="T427" i="6" s="1"/>
  <c r="T464" i="6"/>
  <c r="T409" i="6" s="1"/>
  <c r="T471" i="6"/>
  <c r="T416" i="6" s="1"/>
  <c r="T480" i="6"/>
  <c r="T425" i="6" s="1"/>
  <c r="T489" i="6"/>
  <c r="T434" i="6" s="1"/>
  <c r="T485" i="6"/>
  <c r="T430" i="6" s="1"/>
  <c r="T492" i="6"/>
  <c r="T437" i="6" s="1"/>
  <c r="T493" i="6"/>
  <c r="T438" i="6" s="1"/>
  <c r="T476" i="6"/>
  <c r="T421" i="6" s="1"/>
  <c r="T458" i="6"/>
  <c r="T403" i="6" s="1"/>
  <c r="T487" i="6"/>
  <c r="T432" i="6" s="1"/>
  <c r="T469" i="6"/>
  <c r="T414" i="6" s="1"/>
  <c r="T457" i="6"/>
  <c r="T402" i="6" s="1"/>
  <c r="T490" i="6"/>
  <c r="T435" i="6" s="1"/>
  <c r="T486" i="6"/>
  <c r="T431" i="6" s="1"/>
  <c r="T474" i="6"/>
  <c r="T419" i="6" s="1"/>
  <c r="T488" i="6"/>
  <c r="T433" i="6" s="1"/>
  <c r="T465" i="6"/>
  <c r="T410" i="6" s="1"/>
  <c r="T478" i="6"/>
  <c r="T423" i="6" s="1"/>
  <c r="R466" i="6"/>
  <c r="R411" i="6" s="1"/>
  <c r="R490" i="6"/>
  <c r="R435" i="6" s="1"/>
  <c r="R478" i="6"/>
  <c r="R423" i="6" s="1"/>
  <c r="R491" i="6"/>
  <c r="R436" i="6" s="1"/>
  <c r="R489" i="6"/>
  <c r="R434" i="6" s="1"/>
  <c r="R461" i="6"/>
  <c r="R406" i="6" s="1"/>
  <c r="R472" i="6"/>
  <c r="R417" i="6" s="1"/>
  <c r="R464" i="6"/>
  <c r="R409" i="6" s="1"/>
  <c r="R455" i="6"/>
  <c r="R400" i="6" s="1"/>
  <c r="R468" i="6"/>
  <c r="R413" i="6" s="1"/>
  <c r="R467" i="6"/>
  <c r="R412" i="6" s="1"/>
  <c r="R457" i="6"/>
  <c r="R402" i="6" s="1"/>
  <c r="R481" i="6"/>
  <c r="R426" i="6" s="1"/>
  <c r="R482" i="6"/>
  <c r="R427" i="6" s="1"/>
  <c r="R456" i="6"/>
  <c r="R401" i="6" s="1"/>
  <c r="R487" i="6"/>
  <c r="R432" i="6" s="1"/>
  <c r="R453" i="6"/>
  <c r="R465" i="6"/>
  <c r="R410" i="6" s="1"/>
  <c r="R469" i="6"/>
  <c r="R414" i="6" s="1"/>
  <c r="R488" i="6"/>
  <c r="R433" i="6" s="1"/>
  <c r="R462" i="6"/>
  <c r="R407" i="6" s="1"/>
  <c r="R483" i="6"/>
  <c r="R428" i="6" s="1"/>
  <c r="R480" i="6"/>
  <c r="R425" i="6" s="1"/>
  <c r="R485" i="6"/>
  <c r="R430" i="6" s="1"/>
  <c r="R458" i="6"/>
  <c r="R403" i="6" s="1"/>
  <c r="R486" i="6"/>
  <c r="R431" i="6" s="1"/>
  <c r="R479" i="6"/>
  <c r="R424" i="6" s="1"/>
  <c r="R492" i="6"/>
  <c r="R437" i="6" s="1"/>
  <c r="R474" i="6"/>
  <c r="R419" i="6" s="1"/>
  <c r="R471" i="6"/>
  <c r="R416" i="6" s="1"/>
  <c r="R477" i="6"/>
  <c r="R422" i="6" s="1"/>
  <c r="R459" i="6"/>
  <c r="R404" i="6" s="1"/>
  <c r="R476" i="6"/>
  <c r="R421" i="6" s="1"/>
  <c r="R463" i="6"/>
  <c r="R408" i="6" s="1"/>
  <c r="R454" i="6"/>
  <c r="R399" i="6" s="1"/>
  <c r="R484" i="6"/>
  <c r="R429" i="6" s="1"/>
  <c r="R493" i="6"/>
  <c r="R438" i="6" s="1"/>
  <c r="R460" i="6"/>
  <c r="R405" i="6" s="1"/>
  <c r="R475" i="6"/>
  <c r="R420" i="6" s="1"/>
  <c r="R470" i="6"/>
  <c r="R415" i="6" s="1"/>
  <c r="R473" i="6"/>
  <c r="R418" i="6" s="1"/>
  <c r="N492" i="6"/>
  <c r="N437" i="6" s="1"/>
  <c r="N460" i="6"/>
  <c r="N405" i="6" s="1"/>
  <c r="N458" i="6"/>
  <c r="N403" i="6" s="1"/>
  <c r="N476" i="6"/>
  <c r="N421" i="6" s="1"/>
  <c r="N454" i="6"/>
  <c r="N399" i="6" s="1"/>
  <c r="N449" i="6"/>
  <c r="N453" i="6"/>
  <c r="N398" i="6" s="1"/>
  <c r="N472" i="6"/>
  <c r="N417" i="6" s="1"/>
  <c r="N451" i="6"/>
  <c r="N396" i="6" s="1"/>
  <c r="N488" i="6"/>
  <c r="N433" i="6" s="1"/>
  <c r="N459" i="6"/>
  <c r="N404" i="6" s="1"/>
  <c r="N470" i="6"/>
  <c r="N415" i="6" s="1"/>
  <c r="N491" i="6"/>
  <c r="N436" i="6" s="1"/>
  <c r="N467" i="6"/>
  <c r="N412" i="6" s="1"/>
  <c r="N484" i="6"/>
  <c r="N429" i="6" s="1"/>
  <c r="N468" i="6"/>
  <c r="N413" i="6" s="1"/>
  <c r="N482" i="6"/>
  <c r="N427" i="6" s="1"/>
  <c r="N461" i="6"/>
  <c r="N406" i="6" s="1"/>
  <c r="N456" i="6"/>
  <c r="N401" i="6" s="1"/>
  <c r="N462" i="6"/>
  <c r="N407" i="6" s="1"/>
  <c r="N469" i="6"/>
  <c r="N414" i="6" s="1"/>
  <c r="N486" i="6"/>
  <c r="N431" i="6" s="1"/>
  <c r="N478" i="6"/>
  <c r="N423" i="6" s="1"/>
  <c r="N479" i="6"/>
  <c r="N424" i="6" s="1"/>
  <c r="N464" i="6"/>
  <c r="N409" i="6" s="1"/>
  <c r="N477" i="6"/>
  <c r="N422" i="6" s="1"/>
  <c r="N480" i="6"/>
  <c r="N425" i="6" s="1"/>
  <c r="N481" i="6"/>
  <c r="N426" i="6" s="1"/>
  <c r="N465" i="6"/>
  <c r="N410" i="6" s="1"/>
  <c r="N457" i="6"/>
  <c r="N402" i="6" s="1"/>
  <c r="N471" i="6"/>
  <c r="N416" i="6" s="1"/>
  <c r="N487" i="6"/>
  <c r="N432" i="6" s="1"/>
  <c r="N455" i="6"/>
  <c r="N400" i="6" s="1"/>
  <c r="N473" i="6"/>
  <c r="N418" i="6" s="1"/>
  <c r="N489" i="6"/>
  <c r="N434" i="6" s="1"/>
  <c r="N466" i="6"/>
  <c r="N411" i="6" s="1"/>
  <c r="N463" i="6"/>
  <c r="N408" i="6" s="1"/>
  <c r="N485" i="6"/>
  <c r="N430" i="6" s="1"/>
  <c r="N483" i="6"/>
  <c r="N428" i="6" s="1"/>
  <c r="N474" i="6"/>
  <c r="N419" i="6" s="1"/>
  <c r="N493" i="6"/>
  <c r="N438" i="6" s="1"/>
  <c r="N450" i="6"/>
  <c r="N395" i="6" s="1"/>
  <c r="N452" i="6"/>
  <c r="N397" i="6" s="1"/>
  <c r="N475" i="6"/>
  <c r="N420" i="6" s="1"/>
  <c r="N490" i="6"/>
  <c r="N435" i="6" s="1"/>
  <c r="X474" i="6"/>
  <c r="X419" i="6" s="1"/>
  <c r="X461" i="6"/>
  <c r="X406" i="6" s="1"/>
  <c r="X483" i="6"/>
  <c r="X428" i="6" s="1"/>
  <c r="X479" i="6"/>
  <c r="X424" i="6" s="1"/>
  <c r="X471" i="6"/>
  <c r="X416" i="6" s="1"/>
  <c r="X490" i="6"/>
  <c r="X435" i="6" s="1"/>
  <c r="X469" i="6"/>
  <c r="X414" i="6" s="1"/>
  <c r="X487" i="6"/>
  <c r="X432" i="6" s="1"/>
  <c r="X466" i="6"/>
  <c r="X411" i="6" s="1"/>
  <c r="X467" i="6"/>
  <c r="X412" i="6" s="1"/>
  <c r="X463" i="6"/>
  <c r="X408" i="6" s="1"/>
  <c r="X492" i="6"/>
  <c r="X437" i="6" s="1"/>
  <c r="X486" i="6"/>
  <c r="X431" i="6" s="1"/>
  <c r="X488" i="6"/>
  <c r="X433" i="6" s="1"/>
  <c r="X493" i="6"/>
  <c r="X438" i="6" s="1"/>
  <c r="X460" i="6"/>
  <c r="X405" i="6" s="1"/>
  <c r="X480" i="6"/>
  <c r="X425" i="6" s="1"/>
  <c r="X462" i="6"/>
  <c r="X407" i="6" s="1"/>
  <c r="X472" i="6"/>
  <c r="X417" i="6" s="1"/>
  <c r="X491" i="6"/>
  <c r="X436" i="6" s="1"/>
  <c r="X473" i="6"/>
  <c r="X418" i="6" s="1"/>
  <c r="X489" i="6"/>
  <c r="X434" i="6" s="1"/>
  <c r="X464" i="6"/>
  <c r="X409" i="6" s="1"/>
  <c r="X465" i="6"/>
  <c r="X410" i="6" s="1"/>
  <c r="X478" i="6"/>
  <c r="X423" i="6" s="1"/>
  <c r="X484" i="6"/>
  <c r="X429" i="6" s="1"/>
  <c r="X477" i="6"/>
  <c r="X422" i="6" s="1"/>
  <c r="X482" i="6"/>
  <c r="X427" i="6" s="1"/>
  <c r="X459" i="6"/>
  <c r="X481" i="6"/>
  <c r="X426" i="6" s="1"/>
  <c r="X475" i="6"/>
  <c r="X420" i="6" s="1"/>
  <c r="X468" i="6"/>
  <c r="X413" i="6" s="1"/>
  <c r="X470" i="6"/>
  <c r="X415" i="6" s="1"/>
  <c r="X476" i="6"/>
  <c r="X421" i="6" s="1"/>
  <c r="X485" i="6"/>
  <c r="X430" i="6" s="1"/>
  <c r="I91" i="5"/>
  <c r="K91" i="5" s="1"/>
  <c r="L91" i="5" s="1"/>
  <c r="M91" i="5" s="1"/>
  <c r="Q91" i="5" s="1"/>
  <c r="I84" i="5"/>
  <c r="K84" i="5" s="1"/>
  <c r="L84" i="5" s="1"/>
  <c r="M84" i="5" s="1"/>
  <c r="Q84" i="5" s="1"/>
  <c r="I82" i="5"/>
  <c r="K82" i="5" s="1"/>
  <c r="L82" i="5" s="1"/>
  <c r="M82" i="5" s="1"/>
  <c r="Q82" i="5" s="1"/>
  <c r="W475" i="6"/>
  <c r="W420" i="6" s="1"/>
  <c r="W470" i="6"/>
  <c r="W415" i="6" s="1"/>
  <c r="W474" i="6"/>
  <c r="W419" i="6" s="1"/>
  <c r="W492" i="6"/>
  <c r="W437" i="6" s="1"/>
  <c r="W466" i="6"/>
  <c r="W411" i="6" s="1"/>
  <c r="W460" i="6"/>
  <c r="W405" i="6" s="1"/>
  <c r="W486" i="6"/>
  <c r="W431" i="6" s="1"/>
  <c r="W480" i="6"/>
  <c r="W425" i="6" s="1"/>
  <c r="W459" i="6"/>
  <c r="W404" i="6" s="1"/>
  <c r="W488" i="6"/>
  <c r="W433" i="6" s="1"/>
  <c r="W483" i="6"/>
  <c r="W428" i="6" s="1"/>
  <c r="W484" i="6"/>
  <c r="W429" i="6" s="1"/>
  <c r="W458" i="6"/>
  <c r="W467" i="6"/>
  <c r="W412" i="6" s="1"/>
  <c r="W477" i="6"/>
  <c r="W422" i="6" s="1"/>
  <c r="W482" i="6"/>
  <c r="W427" i="6" s="1"/>
  <c r="W463" i="6"/>
  <c r="W408" i="6" s="1"/>
  <c r="W472" i="6"/>
  <c r="W417" i="6" s="1"/>
  <c r="W465" i="6"/>
  <c r="W410" i="6" s="1"/>
  <c r="W485" i="6"/>
  <c r="W430" i="6" s="1"/>
  <c r="W479" i="6"/>
  <c r="W424" i="6" s="1"/>
  <c r="W478" i="6"/>
  <c r="W423" i="6" s="1"/>
  <c r="W469" i="6"/>
  <c r="W414" i="6" s="1"/>
  <c r="W471" i="6"/>
  <c r="W416" i="6" s="1"/>
  <c r="W461" i="6"/>
  <c r="W406" i="6" s="1"/>
  <c r="W487" i="6"/>
  <c r="W432" i="6" s="1"/>
  <c r="W489" i="6"/>
  <c r="W434" i="6" s="1"/>
  <c r="W490" i="6"/>
  <c r="W435" i="6" s="1"/>
  <c r="W493" i="6"/>
  <c r="W438" i="6" s="1"/>
  <c r="W473" i="6"/>
  <c r="W418" i="6" s="1"/>
  <c r="W481" i="6"/>
  <c r="W426" i="6" s="1"/>
  <c r="W462" i="6"/>
  <c r="W407" i="6" s="1"/>
  <c r="W476" i="6"/>
  <c r="W421" i="6" s="1"/>
  <c r="W468" i="6"/>
  <c r="W413" i="6" s="1"/>
  <c r="W464" i="6"/>
  <c r="W409" i="6" s="1"/>
  <c r="W491" i="6"/>
  <c r="W436" i="6" s="1"/>
  <c r="I72" i="5"/>
  <c r="K72" i="5" s="1"/>
  <c r="L72" i="5" s="1"/>
  <c r="M72" i="5" s="1"/>
  <c r="Q72" i="5" s="1"/>
  <c r="K456" i="6"/>
  <c r="K401" i="6" s="1"/>
  <c r="K493" i="6"/>
  <c r="K438" i="6" s="1"/>
  <c r="K457" i="6"/>
  <c r="K402" i="6" s="1"/>
  <c r="K466" i="6"/>
  <c r="K411" i="6" s="1"/>
  <c r="K492" i="6"/>
  <c r="K437" i="6" s="1"/>
  <c r="K462" i="6"/>
  <c r="K407" i="6" s="1"/>
  <c r="K478" i="6"/>
  <c r="K423" i="6" s="1"/>
  <c r="K490" i="6"/>
  <c r="K435" i="6" s="1"/>
  <c r="K449" i="6"/>
  <c r="K394" i="6" s="1"/>
  <c r="K467" i="6"/>
  <c r="K412" i="6" s="1"/>
  <c r="K484" i="6"/>
  <c r="K429" i="6" s="1"/>
  <c r="K447" i="6"/>
  <c r="K392" i="6" s="1"/>
  <c r="K468" i="6"/>
  <c r="K413" i="6" s="1"/>
  <c r="K477" i="6"/>
  <c r="K422" i="6" s="1"/>
  <c r="K463" i="6"/>
  <c r="K408" i="6" s="1"/>
  <c r="K480" i="6"/>
  <c r="K425" i="6" s="1"/>
  <c r="K479" i="6"/>
  <c r="K424" i="6" s="1"/>
  <c r="K448" i="6"/>
  <c r="K393" i="6" s="1"/>
  <c r="K469" i="6"/>
  <c r="K414" i="6" s="1"/>
  <c r="K458" i="6"/>
  <c r="K403" i="6" s="1"/>
  <c r="K465" i="6"/>
  <c r="K410" i="6" s="1"/>
  <c r="K475" i="6"/>
  <c r="K420" i="6" s="1"/>
  <c r="K455" i="6"/>
  <c r="K400" i="6" s="1"/>
  <c r="K489" i="6"/>
  <c r="K434" i="6" s="1"/>
  <c r="K454" i="6"/>
  <c r="K399" i="6" s="1"/>
  <c r="K464" i="6"/>
  <c r="K409" i="6" s="1"/>
  <c r="K473" i="6"/>
  <c r="K418" i="6" s="1"/>
  <c r="K474" i="6"/>
  <c r="K419" i="6" s="1"/>
  <c r="K461" i="6"/>
  <c r="K406" i="6" s="1"/>
  <c r="K453" i="6"/>
  <c r="K398" i="6" s="1"/>
  <c r="K486" i="6"/>
  <c r="K431" i="6" s="1"/>
  <c r="K460" i="6"/>
  <c r="K405" i="6" s="1"/>
  <c r="K482" i="6"/>
  <c r="K427" i="6" s="1"/>
  <c r="K446" i="6"/>
  <c r="K491" i="6"/>
  <c r="K436" i="6" s="1"/>
  <c r="K483" i="6"/>
  <c r="K428" i="6" s="1"/>
  <c r="K487" i="6"/>
  <c r="K432" i="6" s="1"/>
  <c r="K471" i="6"/>
  <c r="K416" i="6" s="1"/>
  <c r="K485" i="6"/>
  <c r="K430" i="6" s="1"/>
  <c r="K452" i="6"/>
  <c r="K397" i="6" s="1"/>
  <c r="K481" i="6"/>
  <c r="K426" i="6" s="1"/>
  <c r="K470" i="6"/>
  <c r="K415" i="6" s="1"/>
  <c r="K488" i="6"/>
  <c r="K433" i="6" s="1"/>
  <c r="K476" i="6"/>
  <c r="K421" i="6" s="1"/>
  <c r="K451" i="6"/>
  <c r="K396" i="6" s="1"/>
  <c r="K450" i="6"/>
  <c r="K395" i="6" s="1"/>
  <c r="K459" i="6"/>
  <c r="K404" i="6" s="1"/>
  <c r="K472" i="6"/>
  <c r="K417" i="6" s="1"/>
  <c r="H454" i="6"/>
  <c r="H399" i="6" s="1"/>
  <c r="H478" i="6"/>
  <c r="H423" i="6" s="1"/>
  <c r="H492" i="6"/>
  <c r="H437" i="6" s="1"/>
  <c r="H481" i="6"/>
  <c r="H426" i="6" s="1"/>
  <c r="H486" i="6"/>
  <c r="H431" i="6" s="1"/>
  <c r="H458" i="6"/>
  <c r="H403" i="6" s="1"/>
  <c r="H485" i="6"/>
  <c r="H430" i="6" s="1"/>
  <c r="H459" i="6"/>
  <c r="H404" i="6" s="1"/>
  <c r="H490" i="6"/>
  <c r="H435" i="6" s="1"/>
  <c r="H467" i="6"/>
  <c r="H412" i="6" s="1"/>
  <c r="H453" i="6"/>
  <c r="H398" i="6" s="1"/>
  <c r="H468" i="6"/>
  <c r="H413" i="6" s="1"/>
  <c r="H460" i="6"/>
  <c r="H405" i="6" s="1"/>
  <c r="H455" i="6"/>
  <c r="H400" i="6" s="1"/>
  <c r="H474" i="6"/>
  <c r="H419" i="6" s="1"/>
  <c r="H471" i="6"/>
  <c r="H416" i="6" s="1"/>
  <c r="H476" i="6"/>
  <c r="H421" i="6" s="1"/>
  <c r="H462" i="6"/>
  <c r="H407" i="6" s="1"/>
  <c r="H469" i="6"/>
  <c r="H414" i="6" s="1"/>
  <c r="H472" i="6"/>
  <c r="H417" i="6" s="1"/>
  <c r="H450" i="6"/>
  <c r="H395" i="6" s="1"/>
  <c r="H446" i="6"/>
  <c r="H391" i="6" s="1"/>
  <c r="H493" i="6"/>
  <c r="H438" i="6" s="1"/>
  <c r="H487" i="6"/>
  <c r="H432" i="6" s="1"/>
  <c r="H489" i="6"/>
  <c r="H434" i="6" s="1"/>
  <c r="H451" i="6"/>
  <c r="H396" i="6" s="1"/>
  <c r="H445" i="6"/>
  <c r="H390" i="6" s="1"/>
  <c r="H447" i="6"/>
  <c r="H392" i="6" s="1"/>
  <c r="H465" i="6"/>
  <c r="H410" i="6" s="1"/>
  <c r="H449" i="6"/>
  <c r="H394" i="6" s="1"/>
  <c r="H452" i="6"/>
  <c r="H397" i="6" s="1"/>
  <c r="H466" i="6"/>
  <c r="H411" i="6" s="1"/>
  <c r="H484" i="6"/>
  <c r="H429" i="6" s="1"/>
  <c r="H491" i="6"/>
  <c r="H436" i="6" s="1"/>
  <c r="H448" i="6"/>
  <c r="H393" i="6" s="1"/>
  <c r="H470" i="6"/>
  <c r="H415" i="6" s="1"/>
  <c r="H475" i="6"/>
  <c r="H420" i="6" s="1"/>
  <c r="H477" i="6"/>
  <c r="H422" i="6" s="1"/>
  <c r="H463" i="6"/>
  <c r="H408" i="6" s="1"/>
  <c r="H483" i="6"/>
  <c r="H428" i="6" s="1"/>
  <c r="H457" i="6"/>
  <c r="H402" i="6" s="1"/>
  <c r="H479" i="6"/>
  <c r="H424" i="6" s="1"/>
  <c r="H456" i="6"/>
  <c r="H401" i="6" s="1"/>
  <c r="H473" i="6"/>
  <c r="H418" i="6" s="1"/>
  <c r="H480" i="6"/>
  <c r="H425" i="6" s="1"/>
  <c r="H464" i="6"/>
  <c r="H409" i="6" s="1"/>
  <c r="H461" i="6"/>
  <c r="H406" i="6" s="1"/>
  <c r="H488" i="6"/>
  <c r="H433" i="6" s="1"/>
  <c r="H443" i="6"/>
  <c r="H482" i="6"/>
  <c r="H427" i="6" s="1"/>
  <c r="H444" i="6"/>
  <c r="H389" i="6" s="1"/>
  <c r="I86" i="5"/>
  <c r="K86" i="5" s="1"/>
  <c r="L86" i="5" s="1"/>
  <c r="M86" i="5" s="1"/>
  <c r="Q86" i="5" s="1"/>
  <c r="I67" i="5"/>
  <c r="K67" i="5" s="1"/>
  <c r="L67" i="5" s="1"/>
  <c r="M67" i="5" s="1"/>
  <c r="Q67" i="5" s="1"/>
  <c r="I55" i="5"/>
  <c r="K55" i="5" s="1"/>
  <c r="L55" i="5" s="1"/>
  <c r="M55" i="5" s="1"/>
  <c r="Q55" i="5" s="1"/>
  <c r="I92" i="5"/>
  <c r="K92" i="5" s="1"/>
  <c r="L92" i="5" s="1"/>
  <c r="M92" i="5" s="1"/>
  <c r="Q92" i="5" s="1"/>
  <c r="I56" i="5"/>
  <c r="K56" i="5" s="1"/>
  <c r="L56" i="5" s="1"/>
  <c r="M56" i="5" s="1"/>
  <c r="Q56" i="5" s="1"/>
  <c r="P457" i="6"/>
  <c r="P402" i="6" s="1"/>
  <c r="P492" i="6"/>
  <c r="P437" i="6" s="1"/>
  <c r="P473" i="6"/>
  <c r="P418" i="6" s="1"/>
  <c r="P465" i="6"/>
  <c r="P410" i="6" s="1"/>
  <c r="P488" i="6"/>
  <c r="P433" i="6" s="1"/>
  <c r="P477" i="6"/>
  <c r="P422" i="6" s="1"/>
  <c r="P460" i="6"/>
  <c r="P405" i="6" s="1"/>
  <c r="P493" i="6"/>
  <c r="P438" i="6" s="1"/>
  <c r="P454" i="6"/>
  <c r="P399" i="6" s="1"/>
  <c r="P482" i="6"/>
  <c r="P427" i="6" s="1"/>
  <c r="P485" i="6"/>
  <c r="P430" i="6" s="1"/>
  <c r="P481" i="6"/>
  <c r="P426" i="6" s="1"/>
  <c r="P491" i="6"/>
  <c r="P436" i="6" s="1"/>
  <c r="P480" i="6"/>
  <c r="P425" i="6" s="1"/>
  <c r="P476" i="6"/>
  <c r="P421" i="6" s="1"/>
  <c r="P479" i="6"/>
  <c r="P424" i="6" s="1"/>
  <c r="P464" i="6"/>
  <c r="P409" i="6" s="1"/>
  <c r="P467" i="6"/>
  <c r="P412" i="6" s="1"/>
  <c r="P455" i="6"/>
  <c r="P400" i="6" s="1"/>
  <c r="P462" i="6"/>
  <c r="P407" i="6" s="1"/>
  <c r="P470" i="6"/>
  <c r="P415" i="6" s="1"/>
  <c r="P463" i="6"/>
  <c r="P408" i="6" s="1"/>
  <c r="P486" i="6"/>
  <c r="P431" i="6" s="1"/>
  <c r="P471" i="6"/>
  <c r="P416" i="6" s="1"/>
  <c r="P472" i="6"/>
  <c r="P417" i="6" s="1"/>
  <c r="P474" i="6"/>
  <c r="P419" i="6" s="1"/>
  <c r="P478" i="6"/>
  <c r="P423" i="6" s="1"/>
  <c r="P468" i="6"/>
  <c r="P413" i="6" s="1"/>
  <c r="P452" i="6"/>
  <c r="P397" i="6" s="1"/>
  <c r="P487" i="6"/>
  <c r="P432" i="6" s="1"/>
  <c r="P475" i="6"/>
  <c r="P420" i="6" s="1"/>
  <c r="P489" i="6"/>
  <c r="P434" i="6" s="1"/>
  <c r="P461" i="6"/>
  <c r="P406" i="6" s="1"/>
  <c r="P484" i="6"/>
  <c r="P429" i="6" s="1"/>
  <c r="P469" i="6"/>
  <c r="P414" i="6" s="1"/>
  <c r="P483" i="6"/>
  <c r="P428" i="6" s="1"/>
  <c r="P453" i="6"/>
  <c r="P398" i="6" s="1"/>
  <c r="P456" i="6"/>
  <c r="P401" i="6" s="1"/>
  <c r="P451" i="6"/>
  <c r="P459" i="6"/>
  <c r="P404" i="6" s="1"/>
  <c r="P490" i="6"/>
  <c r="P435" i="6" s="1"/>
  <c r="P458" i="6"/>
  <c r="P403" i="6" s="1"/>
  <c r="P466" i="6"/>
  <c r="P411" i="6" s="1"/>
  <c r="E464" i="6"/>
  <c r="E409" i="6" s="1"/>
  <c r="E476" i="6"/>
  <c r="E421" i="6" s="1"/>
  <c r="E452" i="6"/>
  <c r="E397" i="6" s="1"/>
  <c r="E460" i="6"/>
  <c r="E405" i="6" s="1"/>
  <c r="E470" i="6"/>
  <c r="E415" i="6" s="1"/>
  <c r="E443" i="6"/>
  <c r="E388" i="6" s="1"/>
  <c r="E444" i="6"/>
  <c r="E389" i="6" s="1"/>
  <c r="E450" i="6"/>
  <c r="E395" i="6" s="1"/>
  <c r="E490" i="6"/>
  <c r="E435" i="6" s="1"/>
  <c r="E468" i="6"/>
  <c r="E413" i="6" s="1"/>
  <c r="E480" i="6"/>
  <c r="E425" i="6" s="1"/>
  <c r="E491" i="6"/>
  <c r="E436" i="6" s="1"/>
  <c r="E449" i="6"/>
  <c r="E394" i="6" s="1"/>
  <c r="E469" i="6"/>
  <c r="E414" i="6" s="1"/>
  <c r="E458" i="6"/>
  <c r="E403" i="6" s="1"/>
  <c r="E484" i="6"/>
  <c r="E429" i="6" s="1"/>
  <c r="E492" i="6"/>
  <c r="E437" i="6" s="1"/>
  <c r="E459" i="6"/>
  <c r="E404" i="6" s="1"/>
  <c r="E473" i="6"/>
  <c r="E418" i="6" s="1"/>
  <c r="E445" i="6"/>
  <c r="E390" i="6" s="1"/>
  <c r="E455" i="6"/>
  <c r="E400" i="6" s="1"/>
  <c r="E489" i="6"/>
  <c r="E434" i="6" s="1"/>
  <c r="E485" i="6"/>
  <c r="E430" i="6" s="1"/>
  <c r="E477" i="6"/>
  <c r="E422" i="6" s="1"/>
  <c r="E483" i="6"/>
  <c r="E428" i="6" s="1"/>
  <c r="E463" i="6"/>
  <c r="E408" i="6" s="1"/>
  <c r="E447" i="6"/>
  <c r="E392" i="6" s="1"/>
  <c r="E482" i="6"/>
  <c r="E427" i="6" s="1"/>
  <c r="E454" i="6"/>
  <c r="E399" i="6" s="1"/>
  <c r="E481" i="6"/>
  <c r="E426" i="6" s="1"/>
  <c r="E488" i="6"/>
  <c r="E433" i="6" s="1"/>
  <c r="E472" i="6"/>
  <c r="E417" i="6" s="1"/>
  <c r="E442" i="6"/>
  <c r="E479" i="6"/>
  <c r="E424" i="6" s="1"/>
  <c r="E467" i="6"/>
  <c r="E412" i="6" s="1"/>
  <c r="E448" i="6"/>
  <c r="E393" i="6" s="1"/>
  <c r="E462" i="6"/>
  <c r="E407" i="6" s="1"/>
  <c r="E465" i="6"/>
  <c r="E410" i="6" s="1"/>
  <c r="E453" i="6"/>
  <c r="E398" i="6" s="1"/>
  <c r="E461" i="6"/>
  <c r="E406" i="6" s="1"/>
  <c r="E457" i="6"/>
  <c r="E402" i="6" s="1"/>
  <c r="E471" i="6"/>
  <c r="E416" i="6" s="1"/>
  <c r="E466" i="6"/>
  <c r="E411" i="6" s="1"/>
  <c r="E446" i="6"/>
  <c r="E391" i="6" s="1"/>
  <c r="E487" i="6"/>
  <c r="E432" i="6" s="1"/>
  <c r="E456" i="6"/>
  <c r="E401" i="6" s="1"/>
  <c r="E493" i="6"/>
  <c r="E438" i="6" s="1"/>
  <c r="E478" i="6"/>
  <c r="E423" i="6" s="1"/>
  <c r="E451" i="6"/>
  <c r="E396" i="6" s="1"/>
  <c r="E486" i="6"/>
  <c r="E431" i="6" s="1"/>
  <c r="E474" i="6"/>
  <c r="E419" i="6" s="1"/>
  <c r="E475" i="6"/>
  <c r="E420" i="6" s="1"/>
  <c r="I53" i="5"/>
  <c r="K53" i="5" s="1"/>
  <c r="L53" i="5" s="1"/>
  <c r="M53" i="5" s="1"/>
  <c r="N53" i="5" s="1"/>
  <c r="I77" i="5"/>
  <c r="K77" i="5" s="1"/>
  <c r="L77" i="5" s="1"/>
  <c r="M77" i="5" s="1"/>
  <c r="Q77" i="5" s="1"/>
  <c r="I68" i="5"/>
  <c r="K68" i="5" s="1"/>
  <c r="L68" i="5" s="1"/>
  <c r="M68" i="5" s="1"/>
  <c r="Q68" i="5" s="1"/>
  <c r="O460" i="6"/>
  <c r="O405" i="6" s="1"/>
  <c r="O493" i="6"/>
  <c r="O438" i="6" s="1"/>
  <c r="O468" i="6"/>
  <c r="O413" i="6" s="1"/>
  <c r="O491" i="6"/>
  <c r="O436" i="6" s="1"/>
  <c r="O476" i="6"/>
  <c r="O421" i="6" s="1"/>
  <c r="O451" i="6"/>
  <c r="O396" i="6" s="1"/>
  <c r="O457" i="6"/>
  <c r="O402" i="6" s="1"/>
  <c r="O483" i="6"/>
  <c r="O428" i="6" s="1"/>
  <c r="O485" i="6"/>
  <c r="O430" i="6" s="1"/>
  <c r="O452" i="6"/>
  <c r="O397" i="6" s="1"/>
  <c r="O467" i="6"/>
  <c r="O412" i="6" s="1"/>
  <c r="O479" i="6"/>
  <c r="O424" i="6" s="1"/>
  <c r="O470" i="6"/>
  <c r="O415" i="6" s="1"/>
  <c r="O454" i="6"/>
  <c r="O399" i="6" s="1"/>
  <c r="O474" i="6"/>
  <c r="O419" i="6" s="1"/>
  <c r="O466" i="6"/>
  <c r="O411" i="6" s="1"/>
  <c r="O463" i="6"/>
  <c r="O408" i="6" s="1"/>
  <c r="O462" i="6"/>
  <c r="O407" i="6" s="1"/>
  <c r="O450" i="6"/>
  <c r="O458" i="6"/>
  <c r="O403" i="6" s="1"/>
  <c r="O489" i="6"/>
  <c r="O434" i="6" s="1"/>
  <c r="O488" i="6"/>
  <c r="O433" i="6" s="1"/>
  <c r="O478" i="6"/>
  <c r="O423" i="6" s="1"/>
  <c r="O492" i="6"/>
  <c r="O437" i="6" s="1"/>
  <c r="O480" i="6"/>
  <c r="O425" i="6" s="1"/>
  <c r="O482" i="6"/>
  <c r="O427" i="6" s="1"/>
  <c r="O464" i="6"/>
  <c r="O409" i="6" s="1"/>
  <c r="O461" i="6"/>
  <c r="O406" i="6" s="1"/>
  <c r="O484" i="6"/>
  <c r="O429" i="6" s="1"/>
  <c r="O477" i="6"/>
  <c r="O422" i="6" s="1"/>
  <c r="O471" i="6"/>
  <c r="O416" i="6" s="1"/>
  <c r="O455" i="6"/>
  <c r="O400" i="6" s="1"/>
  <c r="O481" i="6"/>
  <c r="O426" i="6" s="1"/>
  <c r="O459" i="6"/>
  <c r="O404" i="6" s="1"/>
  <c r="O469" i="6"/>
  <c r="O414" i="6" s="1"/>
  <c r="O490" i="6"/>
  <c r="O435" i="6" s="1"/>
  <c r="O473" i="6"/>
  <c r="O418" i="6" s="1"/>
  <c r="O456" i="6"/>
  <c r="O401" i="6" s="1"/>
  <c r="O487" i="6"/>
  <c r="O432" i="6" s="1"/>
  <c r="O475" i="6"/>
  <c r="O420" i="6" s="1"/>
  <c r="O486" i="6"/>
  <c r="O431" i="6" s="1"/>
  <c r="O453" i="6"/>
  <c r="O398" i="6" s="1"/>
  <c r="O472" i="6"/>
  <c r="O417" i="6" s="1"/>
  <c r="O465" i="6"/>
  <c r="O410" i="6" s="1"/>
  <c r="Q487" i="6"/>
  <c r="Q432" i="6" s="1"/>
  <c r="Q464" i="6"/>
  <c r="Q409" i="6" s="1"/>
  <c r="Q470" i="6"/>
  <c r="Q415" i="6" s="1"/>
  <c r="Q486" i="6"/>
  <c r="Q431" i="6" s="1"/>
  <c r="Q474" i="6"/>
  <c r="Q419" i="6" s="1"/>
  <c r="Q490" i="6"/>
  <c r="Q435" i="6" s="1"/>
  <c r="Q460" i="6"/>
  <c r="Q405" i="6" s="1"/>
  <c r="Q452" i="6"/>
  <c r="Q455" i="6"/>
  <c r="Q400" i="6" s="1"/>
  <c r="Q473" i="6"/>
  <c r="Q418" i="6" s="1"/>
  <c r="Q488" i="6"/>
  <c r="Q433" i="6" s="1"/>
  <c r="Q477" i="6"/>
  <c r="Q422" i="6" s="1"/>
  <c r="Q467" i="6"/>
  <c r="Q412" i="6" s="1"/>
  <c r="Q491" i="6"/>
  <c r="Q436" i="6" s="1"/>
  <c r="Q479" i="6"/>
  <c r="Q424" i="6" s="1"/>
  <c r="Q483" i="6"/>
  <c r="Q428" i="6" s="1"/>
  <c r="Q461" i="6"/>
  <c r="Q406" i="6" s="1"/>
  <c r="Q482" i="6"/>
  <c r="Q427" i="6" s="1"/>
  <c r="Q478" i="6"/>
  <c r="Q423" i="6" s="1"/>
  <c r="Q485" i="6"/>
  <c r="Q430" i="6" s="1"/>
  <c r="Q453" i="6"/>
  <c r="Q398" i="6" s="1"/>
  <c r="Q466" i="6"/>
  <c r="Q411" i="6" s="1"/>
  <c r="Q458" i="6"/>
  <c r="Q403" i="6" s="1"/>
  <c r="Q469" i="6"/>
  <c r="Q414" i="6" s="1"/>
  <c r="Q481" i="6"/>
  <c r="Q426" i="6" s="1"/>
  <c r="Q457" i="6"/>
  <c r="Q402" i="6" s="1"/>
  <c r="Q462" i="6"/>
  <c r="Q407" i="6" s="1"/>
  <c r="Q456" i="6"/>
  <c r="Q401" i="6" s="1"/>
  <c r="Q475" i="6"/>
  <c r="Q420" i="6" s="1"/>
  <c r="Q489" i="6"/>
  <c r="Q434" i="6" s="1"/>
  <c r="Q480" i="6"/>
  <c r="Q425" i="6" s="1"/>
  <c r="Q493" i="6"/>
  <c r="Q438" i="6" s="1"/>
  <c r="Q454" i="6"/>
  <c r="Q399" i="6" s="1"/>
  <c r="Q471" i="6"/>
  <c r="Q416" i="6" s="1"/>
  <c r="Q492" i="6"/>
  <c r="Q437" i="6" s="1"/>
  <c r="Q472" i="6"/>
  <c r="Q417" i="6" s="1"/>
  <c r="Q468" i="6"/>
  <c r="Q413" i="6" s="1"/>
  <c r="Q459" i="6"/>
  <c r="Q404" i="6" s="1"/>
  <c r="Q484" i="6"/>
  <c r="Q429" i="6" s="1"/>
  <c r="Q465" i="6"/>
  <c r="Q410" i="6" s="1"/>
  <c r="Q463" i="6"/>
  <c r="Q408" i="6" s="1"/>
  <c r="Q476" i="6"/>
  <c r="Q421" i="6" s="1"/>
  <c r="N83" i="5" l="1"/>
  <c r="N84" i="5"/>
  <c r="N93" i="5"/>
  <c r="R52" i="5"/>
  <c r="T52" i="5" s="1"/>
  <c r="V52" i="5" s="1"/>
  <c r="R47" i="5"/>
  <c r="T47" i="5" s="1"/>
  <c r="V47" i="5" s="1"/>
  <c r="N72" i="5"/>
  <c r="N54" i="5"/>
  <c r="N87" i="5"/>
  <c r="O87" i="5" s="1"/>
  <c r="P87" i="5" s="1"/>
  <c r="R87" i="5" s="1"/>
  <c r="T87" i="5" s="1"/>
  <c r="V87" i="5" s="1"/>
  <c r="N56" i="5"/>
  <c r="N71" i="5"/>
  <c r="O71" i="5" s="1"/>
  <c r="P71" i="5" s="1"/>
  <c r="R71" i="5" s="1"/>
  <c r="T71" i="5" s="1"/>
  <c r="V71" i="5" s="1"/>
  <c r="N92" i="5"/>
  <c r="R50" i="5"/>
  <c r="T50" i="5" s="1"/>
  <c r="V50" i="5" s="1"/>
  <c r="N89" i="5"/>
  <c r="O89" i="5" s="1"/>
  <c r="P89" i="5" s="1"/>
  <c r="R89" i="5" s="1"/>
  <c r="T89" i="5" s="1"/>
  <c r="V89" i="5" s="1"/>
  <c r="N81" i="5"/>
  <c r="O81" i="5" s="1"/>
  <c r="P81" i="5" s="1"/>
  <c r="R81" i="5" s="1"/>
  <c r="T81" i="5" s="1"/>
  <c r="V81" i="5" s="1"/>
  <c r="N90" i="5"/>
  <c r="N78" i="5"/>
  <c r="N55" i="5"/>
  <c r="N65" i="5"/>
  <c r="O65" i="5" s="1"/>
  <c r="P65" i="5" s="1"/>
  <c r="R65" i="5" s="1"/>
  <c r="T65" i="5" s="1"/>
  <c r="V65" i="5" s="1"/>
  <c r="N64" i="5"/>
  <c r="O64" i="5" s="1"/>
  <c r="P64" i="5" s="1"/>
  <c r="R64" i="5" s="1"/>
  <c r="T64" i="5" s="1"/>
  <c r="V64" i="5" s="1"/>
  <c r="N58" i="5"/>
  <c r="N57" i="5"/>
  <c r="O57" i="5" s="1"/>
  <c r="P57" i="5" s="1"/>
  <c r="R57" i="5" s="1"/>
  <c r="T57" i="5" s="1"/>
  <c r="V57" i="5" s="1"/>
  <c r="N66" i="5"/>
  <c r="O66" i="5"/>
  <c r="P66" i="5" s="1"/>
  <c r="R66" i="5" s="1"/>
  <c r="T66" i="5" s="1"/>
  <c r="V66" i="5" s="1"/>
  <c r="O73" i="5"/>
  <c r="P73" i="5" s="1"/>
  <c r="R73" i="5" s="1"/>
  <c r="T73" i="5" s="1"/>
  <c r="V73" i="5" s="1"/>
  <c r="N91" i="5"/>
  <c r="N77" i="5"/>
  <c r="O72" i="5"/>
  <c r="P72" i="5" s="1"/>
  <c r="R72" i="5" s="1"/>
  <c r="T72" i="5" s="1"/>
  <c r="V72" i="5" s="1"/>
  <c r="N59" i="5"/>
  <c r="O80" i="5"/>
  <c r="P80" i="5" s="1"/>
  <c r="R80" i="5" s="1"/>
  <c r="T80" i="5" s="1"/>
  <c r="V80" i="5" s="1"/>
  <c r="O90" i="5"/>
  <c r="P90" i="5" s="1"/>
  <c r="R90" i="5" s="1"/>
  <c r="T90" i="5" s="1"/>
  <c r="V90" i="5" s="1"/>
  <c r="Q397" i="6"/>
  <c r="Q379" i="6" s="1"/>
  <c r="Q381" i="6"/>
  <c r="V402" i="6"/>
  <c r="V379" i="6" s="1"/>
  <c r="V381" i="6"/>
  <c r="E11" i="5"/>
  <c r="Q53" i="5"/>
  <c r="X404" i="6"/>
  <c r="X379" i="6" s="1"/>
  <c r="X381" i="6"/>
  <c r="D22" i="4"/>
  <c r="M393" i="6"/>
  <c r="M379" i="6" s="1"/>
  <c r="M381" i="6"/>
  <c r="C390" i="6"/>
  <c r="C381" i="6"/>
  <c r="C15" i="4" s="1"/>
  <c r="N79" i="5"/>
  <c r="S399" i="6"/>
  <c r="S379" i="6" s="1"/>
  <c r="S381" i="6"/>
  <c r="L392" i="6"/>
  <c r="L379" i="6" s="1"/>
  <c r="L381" i="6"/>
  <c r="U401" i="6"/>
  <c r="U379" i="6" s="1"/>
  <c r="U381" i="6"/>
  <c r="N85" i="5"/>
  <c r="O83" i="5"/>
  <c r="P83" i="5" s="1"/>
  <c r="R83" i="5" s="1"/>
  <c r="T83" i="5" s="1"/>
  <c r="V83" i="5" s="1"/>
  <c r="R398" i="6"/>
  <c r="R379" i="6" s="1"/>
  <c r="R381" i="6"/>
  <c r="N94" i="5"/>
  <c r="O92" i="5"/>
  <c r="P92" i="5" s="1"/>
  <c r="R92" i="5" s="1"/>
  <c r="T92" i="5" s="1"/>
  <c r="V92" i="5" s="1"/>
  <c r="N394" i="6"/>
  <c r="N379" i="6" s="1"/>
  <c r="N381" i="6"/>
  <c r="T400" i="6"/>
  <c r="T379" i="6" s="1"/>
  <c r="T381" i="6"/>
  <c r="R45" i="5"/>
  <c r="T45" i="5" s="1"/>
  <c r="V45" i="5" s="1"/>
  <c r="C22" i="4"/>
  <c r="N69" i="5"/>
  <c r="O58" i="5"/>
  <c r="P58" i="5" s="1"/>
  <c r="R58" i="5" s="1"/>
  <c r="T58" i="5" s="1"/>
  <c r="V58" i="5" s="1"/>
  <c r="D21" i="4"/>
  <c r="E387" i="6"/>
  <c r="E379" i="6" s="1"/>
  <c r="E380" i="6" s="1"/>
  <c r="E381" i="6"/>
  <c r="N82" i="5"/>
  <c r="G387" i="6"/>
  <c r="G379" i="6" s="1"/>
  <c r="G381" i="6"/>
  <c r="N70" i="5"/>
  <c r="N95" i="5"/>
  <c r="O55" i="5"/>
  <c r="P55" i="5" s="1"/>
  <c r="R55" i="5" s="1"/>
  <c r="T55" i="5" s="1"/>
  <c r="V55" i="5" s="1"/>
  <c r="R44" i="5"/>
  <c r="T44" i="5" s="1"/>
  <c r="V44" i="5" s="1"/>
  <c r="J390" i="6"/>
  <c r="J379" i="6" s="1"/>
  <c r="J381" i="6"/>
  <c r="O54" i="5"/>
  <c r="P54" i="5" s="1"/>
  <c r="R54" i="5" s="1"/>
  <c r="T54" i="5" s="1"/>
  <c r="V54" i="5" s="1"/>
  <c r="Y405" i="6"/>
  <c r="Y379" i="6" s="1"/>
  <c r="Y381" i="6"/>
  <c r="AA387" i="6"/>
  <c r="AA379" i="6" s="1"/>
  <c r="AA381" i="6"/>
  <c r="B22" i="4"/>
  <c r="C21" i="4"/>
  <c r="N75" i="5"/>
  <c r="O93" i="5"/>
  <c r="P93" i="5" s="1"/>
  <c r="R93" i="5" s="1"/>
  <c r="T93" i="5" s="1"/>
  <c r="V93" i="5" s="1"/>
  <c r="P396" i="6"/>
  <c r="P379" i="6" s="1"/>
  <c r="P381" i="6"/>
  <c r="N86" i="5"/>
  <c r="N60" i="5"/>
  <c r="B381" i="6"/>
  <c r="B15" i="4" s="1"/>
  <c r="B387" i="6"/>
  <c r="N74" i="5"/>
  <c r="W403" i="6"/>
  <c r="W379" i="6" s="1"/>
  <c r="W381" i="6"/>
  <c r="O395" i="6"/>
  <c r="O379" i="6" s="1"/>
  <c r="O381" i="6"/>
  <c r="N76" i="5"/>
  <c r="O84" i="5"/>
  <c r="P84" i="5" s="1"/>
  <c r="R84" i="5" s="1"/>
  <c r="T84" i="5" s="1"/>
  <c r="V84" i="5" s="1"/>
  <c r="N67" i="5"/>
  <c r="K391" i="6"/>
  <c r="K379" i="6" s="1"/>
  <c r="K381" i="6"/>
  <c r="R46" i="5"/>
  <c r="T46" i="5" s="1"/>
  <c r="V46" i="5" s="1"/>
  <c r="AB387" i="6"/>
  <c r="AB379" i="6" s="1"/>
  <c r="AB381" i="6"/>
  <c r="N68" i="5"/>
  <c r="H388" i="6"/>
  <c r="H379" i="6" s="1"/>
  <c r="H381" i="6"/>
  <c r="N61" i="5"/>
  <c r="R48" i="5"/>
  <c r="T48" i="5" s="1"/>
  <c r="V48" i="5" s="1"/>
  <c r="N88" i="5"/>
  <c r="D387" i="6"/>
  <c r="D381" i="6"/>
  <c r="D15" i="4" s="1"/>
  <c r="N63" i="5"/>
  <c r="I389" i="6"/>
  <c r="I379" i="6" s="1"/>
  <c r="I381" i="6"/>
  <c r="F381" i="6"/>
  <c r="F387" i="6"/>
  <c r="F379" i="6" s="1"/>
  <c r="F380" i="6" s="1"/>
  <c r="O53" i="5"/>
  <c r="P53" i="5" s="1"/>
  <c r="R53" i="5" s="1"/>
  <c r="T53" i="5" s="1"/>
  <c r="V53" i="5" s="1"/>
  <c r="O56" i="5"/>
  <c r="P56" i="5" s="1"/>
  <c r="R56" i="5" s="1"/>
  <c r="T56" i="5" s="1"/>
  <c r="V56" i="5" s="1"/>
  <c r="Z406" i="6"/>
  <c r="Z379" i="6" s="1"/>
  <c r="Z381" i="6"/>
  <c r="B21" i="4"/>
  <c r="N62" i="5"/>
  <c r="O78" i="5" l="1"/>
  <c r="P78" i="5" s="1"/>
  <c r="R78" i="5" s="1"/>
  <c r="T78" i="5" s="1"/>
  <c r="V78" i="5" s="1"/>
  <c r="O76" i="5"/>
  <c r="P76" i="5" s="1"/>
  <c r="R76" i="5" s="1"/>
  <c r="T76" i="5" s="1"/>
  <c r="V76" i="5" s="1"/>
  <c r="O82" i="5"/>
  <c r="P82" i="5" s="1"/>
  <c r="R82" i="5" s="1"/>
  <c r="T82" i="5" s="1"/>
  <c r="V82" i="5" s="1"/>
  <c r="C33" i="4"/>
  <c r="H380" i="6"/>
  <c r="C50" i="4"/>
  <c r="Y380" i="6"/>
  <c r="C43" i="4"/>
  <c r="R380" i="6"/>
  <c r="C38" i="4"/>
  <c r="M380" i="6"/>
  <c r="B60" i="4"/>
  <c r="AB380" i="6"/>
  <c r="AB384" i="6" s="1"/>
  <c r="C40" i="4"/>
  <c r="O380" i="6"/>
  <c r="O85" i="5"/>
  <c r="P85" i="5" s="1"/>
  <c r="R85" i="5" s="1"/>
  <c r="T85" i="5" s="1"/>
  <c r="V85" i="5" s="1"/>
  <c r="C49" i="4"/>
  <c r="X380" i="6"/>
  <c r="O59" i="5"/>
  <c r="P59" i="5" s="1"/>
  <c r="R59" i="5" s="1"/>
  <c r="T59" i="5" s="1"/>
  <c r="V59" i="5" s="1"/>
  <c r="C35" i="4"/>
  <c r="J380" i="6"/>
  <c r="O62" i="5"/>
  <c r="P62" i="5" s="1"/>
  <c r="R62" i="5" s="1"/>
  <c r="T62" i="5" s="1"/>
  <c r="V62" i="5" s="1"/>
  <c r="F384" i="6"/>
  <c r="C48" i="4"/>
  <c r="W380" i="6"/>
  <c r="O69" i="5"/>
  <c r="P69" i="5" s="1"/>
  <c r="R69" i="5" s="1"/>
  <c r="T69" i="5" s="1"/>
  <c r="V69" i="5" s="1"/>
  <c r="E384" i="6"/>
  <c r="O77" i="5"/>
  <c r="P77" i="5" s="1"/>
  <c r="R77" i="5" s="1"/>
  <c r="T77" i="5" s="1"/>
  <c r="V77" i="5" s="1"/>
  <c r="Z46" i="5"/>
  <c r="O74" i="5"/>
  <c r="P74" i="5" s="1"/>
  <c r="R74" i="5" s="1"/>
  <c r="T74" i="5" s="1"/>
  <c r="V74" i="5" s="1"/>
  <c r="B379" i="6"/>
  <c r="B20" i="4"/>
  <c r="O75" i="5"/>
  <c r="P75" i="5" s="1"/>
  <c r="R75" i="5" s="1"/>
  <c r="T75" i="5" s="1"/>
  <c r="V75" i="5" s="1"/>
  <c r="Z45" i="5"/>
  <c r="C46" i="4"/>
  <c r="U380" i="6"/>
  <c r="C47" i="4"/>
  <c r="V380" i="6"/>
  <c r="O91" i="5"/>
  <c r="P91" i="5" s="1"/>
  <c r="R91" i="5" s="1"/>
  <c r="T91" i="5" s="1"/>
  <c r="V91" i="5" s="1"/>
  <c r="C45" i="4"/>
  <c r="T380" i="6"/>
  <c r="C37" i="4"/>
  <c r="L380" i="6"/>
  <c r="C51" i="4"/>
  <c r="Z380" i="6"/>
  <c r="O68" i="5"/>
  <c r="P68" i="5" s="1"/>
  <c r="R68" i="5" s="1"/>
  <c r="T68" i="5" s="1"/>
  <c r="V68" i="5" s="1"/>
  <c r="AB44" i="5"/>
  <c r="AD44" i="5" s="1"/>
  <c r="Z44" i="5"/>
  <c r="AA44" i="5" s="1"/>
  <c r="AC44" i="5"/>
  <c r="AE44" i="5" s="1"/>
  <c r="X45" i="5" s="1"/>
  <c r="AC45" i="5" s="1"/>
  <c r="AE45" i="5" s="1"/>
  <c r="X46" i="5" s="1"/>
  <c r="AC46" i="5" s="1"/>
  <c r="AE46" i="5" s="1"/>
  <c r="X47" i="5" s="1"/>
  <c r="O63" i="5"/>
  <c r="P63" i="5" s="1"/>
  <c r="R63" i="5" s="1"/>
  <c r="T63" i="5" s="1"/>
  <c r="V63" i="5" s="1"/>
  <c r="O60" i="5"/>
  <c r="P60" i="5" s="1"/>
  <c r="R60" i="5" s="1"/>
  <c r="T60" i="5" s="1"/>
  <c r="V60" i="5" s="1"/>
  <c r="D379" i="6"/>
  <c r="D20" i="4"/>
  <c r="B59" i="4"/>
  <c r="AA380" i="6"/>
  <c r="AA384" i="6" s="1"/>
  <c r="O95" i="5"/>
  <c r="P95" i="5"/>
  <c r="R95" i="5" s="1"/>
  <c r="T95" i="5" s="1"/>
  <c r="V95" i="5" s="1"/>
  <c r="C39" i="4"/>
  <c r="N380" i="6"/>
  <c r="C44" i="4"/>
  <c r="S380" i="6"/>
  <c r="C34" i="4"/>
  <c r="I380" i="6"/>
  <c r="C36" i="4"/>
  <c r="K380" i="6"/>
  <c r="O86" i="5"/>
  <c r="P86" i="5" s="1"/>
  <c r="R86" i="5" s="1"/>
  <c r="T86" i="5" s="1"/>
  <c r="V86" i="5" s="1"/>
  <c r="O88" i="5"/>
  <c r="P88" i="5" s="1"/>
  <c r="R88" i="5" s="1"/>
  <c r="T88" i="5" s="1"/>
  <c r="V88" i="5" s="1"/>
  <c r="O67" i="5"/>
  <c r="P67" i="5" s="1"/>
  <c r="R67" i="5" s="1"/>
  <c r="T67" i="5" s="1"/>
  <c r="V67" i="5" s="1"/>
  <c r="C41" i="4"/>
  <c r="P380" i="6"/>
  <c r="O70" i="5"/>
  <c r="P70" i="5" s="1"/>
  <c r="R70" i="5" s="1"/>
  <c r="T70" i="5" s="1"/>
  <c r="V70" i="5" s="1"/>
  <c r="O79" i="5"/>
  <c r="P79" i="5" s="1"/>
  <c r="R79" i="5" s="1"/>
  <c r="T79" i="5" s="1"/>
  <c r="V79" i="5" s="1"/>
  <c r="O61" i="5"/>
  <c r="P61" i="5" s="1"/>
  <c r="R61" i="5" s="1"/>
  <c r="T61" i="5" s="1"/>
  <c r="V61" i="5" s="1"/>
  <c r="C32" i="4"/>
  <c r="G380" i="6"/>
  <c r="O94" i="5"/>
  <c r="P94" i="5" s="1"/>
  <c r="R94" i="5" s="1"/>
  <c r="T94" i="5" s="1"/>
  <c r="V94" i="5" s="1"/>
  <c r="C379" i="6"/>
  <c r="C20" i="4"/>
  <c r="C42" i="4"/>
  <c r="Q380" i="6"/>
  <c r="N384" i="6" l="1"/>
  <c r="D39" i="4"/>
  <c r="E39" i="4" s="1"/>
  <c r="Q384" i="6"/>
  <c r="D42" i="4"/>
  <c r="E42" i="4" s="1"/>
  <c r="H384" i="6"/>
  <c r="D33" i="4"/>
  <c r="E33" i="4" s="1"/>
  <c r="Z384" i="6"/>
  <c r="D51" i="4"/>
  <c r="E51" i="4" s="1"/>
  <c r="X384" i="6"/>
  <c r="D49" i="4"/>
  <c r="E49" i="4" s="1"/>
  <c r="B23" i="4"/>
  <c r="B27" i="4" s="1"/>
  <c r="D23" i="4"/>
  <c r="D27" i="4" s="1"/>
  <c r="T384" i="6"/>
  <c r="D45" i="4"/>
  <c r="E45" i="4" s="1"/>
  <c r="G384" i="6"/>
  <c r="D32" i="4"/>
  <c r="E32" i="4" s="1"/>
  <c r="D11" i="4"/>
  <c r="D16" i="4"/>
  <c r="D380" i="6"/>
  <c r="B11" i="4"/>
  <c r="B16" i="4"/>
  <c r="B380" i="6"/>
  <c r="O384" i="6"/>
  <c r="D40" i="4"/>
  <c r="E40" i="4" s="1"/>
  <c r="P384" i="6"/>
  <c r="D41" i="4"/>
  <c r="E41" i="4" s="1"/>
  <c r="C11" i="4"/>
  <c r="C380" i="6"/>
  <c r="W384" i="6"/>
  <c r="D48" i="4"/>
  <c r="E48" i="4" s="1"/>
  <c r="K384" i="6"/>
  <c r="D36" i="4"/>
  <c r="E36" i="4" s="1"/>
  <c r="L384" i="6"/>
  <c r="D37" i="4"/>
  <c r="E37" i="4" s="1"/>
  <c r="I384" i="6"/>
  <c r="D34" i="4"/>
  <c r="E34" i="4" s="1"/>
  <c r="C23" i="4"/>
  <c r="C27" i="4" s="1"/>
  <c r="M384" i="6"/>
  <c r="D38" i="4"/>
  <c r="E38" i="4" s="1"/>
  <c r="R384" i="6"/>
  <c r="D43" i="4"/>
  <c r="E43" i="4" s="1"/>
  <c r="V384" i="6"/>
  <c r="D47" i="4"/>
  <c r="E47" i="4" s="1"/>
  <c r="S384" i="6"/>
  <c r="D44" i="4"/>
  <c r="E44" i="4" s="1"/>
  <c r="W45" i="5"/>
  <c r="AF44" i="5"/>
  <c r="U384" i="6"/>
  <c r="D46" i="4"/>
  <c r="E46" i="4" s="1"/>
  <c r="J384" i="6"/>
  <c r="D35" i="4"/>
  <c r="E35" i="4" s="1"/>
  <c r="Y384" i="6"/>
  <c r="D50" i="4"/>
  <c r="E50" i="4" s="1"/>
  <c r="D384" i="6" l="1"/>
  <c r="D13" i="4"/>
  <c r="D12" i="4"/>
  <c r="D14" i="4"/>
  <c r="C384" i="6"/>
  <c r="C14" i="4"/>
  <c r="C12" i="4"/>
  <c r="C13" i="4"/>
  <c r="B52" i="4"/>
  <c r="B53" i="4" s="1"/>
  <c r="B384" i="6"/>
  <c r="B14" i="4"/>
  <c r="B12" i="4"/>
  <c r="B13" i="4"/>
  <c r="B57" i="4"/>
  <c r="B56" i="4"/>
  <c r="Y45" i="5"/>
  <c r="AB45" i="5"/>
  <c r="AD45" i="5" s="1"/>
  <c r="AA45" i="5"/>
  <c r="W46" i="5" l="1"/>
  <c r="AF45" i="5"/>
  <c r="Y46" i="5" l="1"/>
  <c r="AB46" i="5"/>
  <c r="AD46" i="5" s="1"/>
  <c r="AA46" i="5"/>
  <c r="W47" i="5" l="1"/>
  <c r="AF46" i="5"/>
  <c r="Y47" i="5" l="1"/>
  <c r="Z47" i="5" s="1"/>
  <c r="AA47" i="5" s="1"/>
  <c r="AC47" i="5"/>
  <c r="AE47" i="5" s="1"/>
  <c r="X48" i="5" s="1"/>
  <c r="AB47" i="5"/>
  <c r="AD47" i="5" s="1"/>
  <c r="AF47" i="5" l="1"/>
  <c r="W48" i="5"/>
  <c r="Y48" i="5" l="1"/>
  <c r="Z48" i="5" s="1"/>
  <c r="AA48" i="5" s="1"/>
  <c r="AB48" i="5" l="1"/>
  <c r="AD48" i="5" s="1"/>
  <c r="AC48" i="5"/>
  <c r="AE48" i="5" s="1"/>
  <c r="X49" i="5" s="1"/>
  <c r="AF48" i="5" l="1"/>
  <c r="W49" i="5"/>
  <c r="Y49" i="5" l="1"/>
  <c r="Z49" i="5" s="1"/>
  <c r="AA49" i="5" s="1"/>
  <c r="AC49" i="5" l="1"/>
  <c r="AE49" i="5" s="1"/>
  <c r="X50" i="5" s="1"/>
  <c r="AB49" i="5"/>
  <c r="AD49" i="5" s="1"/>
  <c r="AF49" i="5" s="1"/>
  <c r="W50" i="5" l="1"/>
  <c r="Y50" i="5"/>
  <c r="Z50" i="5" s="1"/>
  <c r="AA50" i="5" s="1"/>
  <c r="AB50" i="5"/>
  <c r="AD50" i="5" s="1"/>
  <c r="AC50" i="5"/>
  <c r="AE50" i="5" s="1"/>
  <c r="X51" i="5" s="1"/>
  <c r="AF50" i="5" l="1"/>
  <c r="W51" i="5"/>
  <c r="Y51" i="5" l="1"/>
  <c r="Z51" i="5" s="1"/>
  <c r="AA51" i="5" s="1"/>
  <c r="AB51" i="5" l="1"/>
  <c r="AD51" i="5" s="1"/>
  <c r="AC51" i="5"/>
  <c r="AE51" i="5" s="1"/>
  <c r="X52" i="5" s="1"/>
  <c r="W52" i="5" l="1"/>
  <c r="AF51" i="5"/>
  <c r="Y52" i="5" l="1"/>
  <c r="Z52" i="5" s="1"/>
  <c r="AA52" i="5" s="1"/>
  <c r="AC52" i="5"/>
  <c r="AE52" i="5" s="1"/>
  <c r="X53" i="5" s="1"/>
  <c r="AB52" i="5" l="1"/>
  <c r="AD52" i="5" s="1"/>
  <c r="AF52" i="5" s="1"/>
  <c r="W53" i="5" l="1"/>
  <c r="Y53" i="5"/>
  <c r="Z53" i="5" s="1"/>
  <c r="AA53" i="5" s="1"/>
  <c r="AB53" i="5" l="1"/>
  <c r="AD53" i="5" s="1"/>
  <c r="AC53" i="5"/>
  <c r="AE53" i="5" s="1"/>
  <c r="X54" i="5" s="1"/>
  <c r="AF53" i="5" l="1"/>
  <c r="W54" i="5"/>
  <c r="Y54" i="5" l="1"/>
  <c r="Z54" i="5" s="1"/>
  <c r="AA54" i="5" s="1"/>
  <c r="AC54" i="5" l="1"/>
  <c r="AE54" i="5" s="1"/>
  <c r="X55" i="5" s="1"/>
  <c r="AB54" i="5"/>
  <c r="AD54" i="5" s="1"/>
  <c r="W55" i="5"/>
  <c r="AF54" i="5"/>
  <c r="Y55" i="5" l="1"/>
  <c r="Z55" i="5" s="1"/>
  <c r="AA55" i="5" s="1"/>
  <c r="AC55" i="5"/>
  <c r="AE55" i="5" s="1"/>
  <c r="X56" i="5" s="1"/>
  <c r="AB55" i="5" l="1"/>
  <c r="AD55" i="5" s="1"/>
  <c r="W56" i="5"/>
  <c r="AF55" i="5"/>
  <c r="Y56" i="5" l="1"/>
  <c r="Z56" i="5" s="1"/>
  <c r="AA56" i="5" s="1"/>
  <c r="AB56" i="5" l="1"/>
  <c r="AD56" i="5" s="1"/>
  <c r="AC56" i="5"/>
  <c r="AE56" i="5" s="1"/>
  <c r="X57" i="5" s="1"/>
  <c r="W57" i="5" l="1"/>
  <c r="AF56" i="5"/>
  <c r="Y57" i="5" l="1"/>
  <c r="Z57" i="5" s="1"/>
  <c r="AA57" i="5" s="1"/>
  <c r="AC57" i="5" l="1"/>
  <c r="AE57" i="5" s="1"/>
  <c r="X58" i="5" s="1"/>
  <c r="AB57" i="5"/>
  <c r="AD57" i="5" s="1"/>
  <c r="AF57" i="5" l="1"/>
  <c r="W58" i="5"/>
  <c r="Y58" i="5" l="1"/>
  <c r="Z58" i="5" s="1"/>
  <c r="AA58" i="5" s="1"/>
  <c r="AC58" i="5" l="1"/>
  <c r="AE58" i="5" s="1"/>
  <c r="X59" i="5" s="1"/>
  <c r="AB58" i="5"/>
  <c r="AD58" i="5" s="1"/>
  <c r="AF58" i="5"/>
  <c r="W59" i="5"/>
  <c r="Y59" i="5" l="1"/>
  <c r="Z59" i="5" s="1"/>
  <c r="AA59" i="5" s="1"/>
  <c r="AB59" i="5"/>
  <c r="AD59" i="5" s="1"/>
  <c r="AC59" i="5" l="1"/>
  <c r="AE59" i="5" s="1"/>
  <c r="X60" i="5" s="1"/>
  <c r="W60" i="5"/>
  <c r="AF59" i="5"/>
  <c r="Y60" i="5" l="1"/>
  <c r="Z60" i="5" s="1"/>
  <c r="AA60" i="5" s="1"/>
  <c r="AC60" i="5" l="1"/>
  <c r="AE60" i="5" s="1"/>
  <c r="X61" i="5" s="1"/>
  <c r="AB60" i="5"/>
  <c r="AD60" i="5" s="1"/>
  <c r="W61" i="5" l="1"/>
  <c r="AF60" i="5"/>
  <c r="Y61" i="5" l="1"/>
  <c r="Z61" i="5" s="1"/>
  <c r="AA61" i="5" s="1"/>
  <c r="AC61" i="5"/>
  <c r="AE61" i="5" s="1"/>
  <c r="X62" i="5" s="1"/>
  <c r="AB61" i="5" l="1"/>
  <c r="AD61" i="5" s="1"/>
  <c r="W62" i="5"/>
  <c r="AF61" i="5"/>
  <c r="Y62" i="5" l="1"/>
  <c r="Z62" i="5" s="1"/>
  <c r="AA62" i="5" s="1"/>
  <c r="AC62" i="5"/>
  <c r="AE62" i="5" s="1"/>
  <c r="X63" i="5" s="1"/>
  <c r="AB62" i="5" l="1"/>
  <c r="AD62" i="5" s="1"/>
  <c r="W63" i="5" s="1"/>
  <c r="AF62" i="5" l="1"/>
  <c r="Y63" i="5"/>
  <c r="Z63" i="5" s="1"/>
  <c r="AA63" i="5" s="1"/>
  <c r="AB63" i="5" l="1"/>
  <c r="AD63" i="5" s="1"/>
  <c r="AC63" i="5"/>
  <c r="AE63" i="5" s="1"/>
  <c r="X64" i="5" s="1"/>
  <c r="W64" i="5"/>
  <c r="AF63" i="5"/>
  <c r="Y64" i="5" l="1"/>
  <c r="Z64" i="5" s="1"/>
  <c r="AA64" i="5" s="1"/>
  <c r="AC64" i="5" l="1"/>
  <c r="AE64" i="5" s="1"/>
  <c r="X65" i="5" s="1"/>
  <c r="AB64" i="5"/>
  <c r="AD64" i="5" s="1"/>
  <c r="AF64" i="5" l="1"/>
  <c r="W65" i="5"/>
  <c r="Y65" i="5" l="1"/>
  <c r="Z65" i="5" s="1"/>
  <c r="AA65" i="5" s="1"/>
  <c r="AC65" i="5" l="1"/>
  <c r="AE65" i="5" s="1"/>
  <c r="X66" i="5" s="1"/>
  <c r="AB65" i="5"/>
  <c r="AD65" i="5" s="1"/>
  <c r="AF65" i="5" l="1"/>
  <c r="W66" i="5"/>
  <c r="Y66" i="5" l="1"/>
  <c r="Z66" i="5" s="1"/>
  <c r="AA66" i="5" s="1"/>
  <c r="AC66" i="5" l="1"/>
  <c r="AE66" i="5" s="1"/>
  <c r="X67" i="5" s="1"/>
  <c r="AB66" i="5"/>
  <c r="AD66" i="5" s="1"/>
  <c r="AF66" i="5" l="1"/>
  <c r="W67" i="5"/>
  <c r="Y67" i="5" l="1"/>
  <c r="Z67" i="5" s="1"/>
  <c r="AA67" i="5" s="1"/>
  <c r="AC67" i="5" l="1"/>
  <c r="AE67" i="5" s="1"/>
  <c r="X68" i="5" s="1"/>
  <c r="AB67" i="5"/>
  <c r="AD67" i="5" s="1"/>
  <c r="W68" i="5" l="1"/>
  <c r="AF67" i="5"/>
  <c r="Y68" i="5" l="1"/>
  <c r="Z68" i="5" s="1"/>
  <c r="AA68" i="5" s="1"/>
  <c r="AC68" i="5"/>
  <c r="AE68" i="5" s="1"/>
  <c r="X69" i="5" s="1"/>
  <c r="AB68" i="5"/>
  <c r="AD68" i="5" s="1"/>
  <c r="AF68" i="5" l="1"/>
  <c r="W69" i="5"/>
  <c r="Y69" i="5" l="1"/>
  <c r="Z69" i="5" s="1"/>
  <c r="AA69" i="5" s="1"/>
  <c r="AC69" i="5" l="1"/>
  <c r="AE69" i="5" s="1"/>
  <c r="X70" i="5" s="1"/>
  <c r="AB69" i="5"/>
  <c r="AD69" i="5" s="1"/>
  <c r="AF69" i="5"/>
  <c r="W70" i="5"/>
  <c r="Y70" i="5" l="1"/>
  <c r="Z70" i="5" s="1"/>
  <c r="AA70" i="5" s="1"/>
  <c r="AB70" i="5" l="1"/>
  <c r="AD70" i="5" s="1"/>
  <c r="AC70" i="5"/>
  <c r="AE70" i="5" s="1"/>
  <c r="X71" i="5" s="1"/>
  <c r="W71" i="5"/>
  <c r="AF70" i="5"/>
  <c r="Y71" i="5" l="1"/>
  <c r="Z71" i="5" s="1"/>
  <c r="AA71" i="5" s="1"/>
  <c r="AB71" i="5"/>
  <c r="AD71" i="5" s="1"/>
  <c r="AC71" i="5"/>
  <c r="AE71" i="5" s="1"/>
  <c r="X72" i="5" s="1"/>
  <c r="W72" i="5" l="1"/>
  <c r="AF71" i="5"/>
  <c r="Y72" i="5" l="1"/>
  <c r="Z72" i="5" s="1"/>
  <c r="AA72" i="5" s="1"/>
  <c r="AC72" i="5"/>
  <c r="AE72" i="5" s="1"/>
  <c r="X73" i="5" s="1"/>
  <c r="AB72" i="5"/>
  <c r="AD72" i="5" s="1"/>
  <c r="W73" i="5" l="1"/>
  <c r="AF72" i="5"/>
  <c r="Y73" i="5" l="1"/>
  <c r="Z73" i="5" s="1"/>
  <c r="AA73" i="5" s="1"/>
  <c r="AC73" i="5" l="1"/>
  <c r="AE73" i="5" s="1"/>
  <c r="X74" i="5" s="1"/>
  <c r="AB73" i="5"/>
  <c r="AD73" i="5" s="1"/>
  <c r="AF73" i="5" l="1"/>
  <c r="W74" i="5"/>
  <c r="Y74" i="5" l="1"/>
  <c r="Z74" i="5" s="1"/>
  <c r="AA74" i="5" s="1"/>
  <c r="AB74" i="5"/>
  <c r="AD74" i="5" s="1"/>
  <c r="AC74" i="5"/>
  <c r="AE74" i="5" s="1"/>
  <c r="X75" i="5" s="1"/>
  <c r="W75" i="5" l="1"/>
  <c r="AF74" i="5"/>
  <c r="Y75" i="5" l="1"/>
  <c r="Z75" i="5" s="1"/>
  <c r="AA75" i="5" s="1"/>
  <c r="AC75" i="5"/>
  <c r="AE75" i="5" s="1"/>
  <c r="X76" i="5" s="1"/>
  <c r="AB75" i="5"/>
  <c r="AD75" i="5" s="1"/>
  <c r="W76" i="5" l="1"/>
  <c r="AF75" i="5"/>
  <c r="Y76" i="5" l="1"/>
  <c r="Z76" i="5" s="1"/>
  <c r="AA76" i="5" s="1"/>
  <c r="AC76" i="5"/>
  <c r="AE76" i="5" s="1"/>
  <c r="X77" i="5" s="1"/>
  <c r="AB76" i="5"/>
  <c r="AD76" i="5" s="1"/>
  <c r="W77" i="5" l="1"/>
  <c r="AF76" i="5"/>
  <c r="Y77" i="5" l="1"/>
  <c r="Z77" i="5" s="1"/>
  <c r="AA77" i="5" s="1"/>
  <c r="AC77" i="5"/>
  <c r="AE77" i="5" s="1"/>
  <c r="X78" i="5" s="1"/>
  <c r="AB77" i="5" l="1"/>
  <c r="AD77" i="5" s="1"/>
  <c r="AF77" i="5" s="1"/>
  <c r="W78" i="5" l="1"/>
  <c r="Y78" i="5" s="1"/>
  <c r="Z78" i="5" s="1"/>
  <c r="AA78" i="5" s="1"/>
  <c r="AC78" i="5" l="1"/>
  <c r="AE78" i="5" s="1"/>
  <c r="X79" i="5" s="1"/>
  <c r="AB78" i="5"/>
  <c r="AD78" i="5" s="1"/>
  <c r="AF78" i="5" l="1"/>
  <c r="W79" i="5"/>
  <c r="Y79" i="5" l="1"/>
  <c r="Z79" i="5" s="1"/>
  <c r="AA79" i="5" s="1"/>
  <c r="AC79" i="5" l="1"/>
  <c r="AE79" i="5" s="1"/>
  <c r="X80" i="5" s="1"/>
  <c r="AB79" i="5"/>
  <c r="AD79" i="5" s="1"/>
  <c r="W80" i="5" l="1"/>
  <c r="AF79" i="5"/>
  <c r="Y80" i="5" l="1"/>
  <c r="Z80" i="5" s="1"/>
  <c r="AA80" i="5" s="1"/>
  <c r="AB80" i="5" l="1"/>
  <c r="AD80" i="5" s="1"/>
  <c r="AC80" i="5"/>
  <c r="AE80" i="5" s="1"/>
  <c r="X81" i="5" s="1"/>
  <c r="W81" i="5" l="1"/>
  <c r="AF80" i="5"/>
  <c r="Y81" i="5" l="1"/>
  <c r="Z81" i="5" s="1"/>
  <c r="AA81" i="5" s="1"/>
  <c r="AB81" i="5" l="1"/>
  <c r="AD81" i="5" s="1"/>
  <c r="AF81" i="5" s="1"/>
  <c r="AC81" i="5"/>
  <c r="AE81" i="5" s="1"/>
  <c r="X82" i="5" s="1"/>
  <c r="W82" i="5" l="1"/>
  <c r="Y82" i="5" s="1"/>
  <c r="Z82" i="5" s="1"/>
  <c r="AA82" i="5" s="1"/>
  <c r="AC82" i="5" l="1"/>
  <c r="AE82" i="5" s="1"/>
  <c r="X83" i="5" s="1"/>
  <c r="AB82" i="5"/>
  <c r="AD82" i="5" s="1"/>
  <c r="W83" i="5" l="1"/>
  <c r="AF82" i="5"/>
  <c r="Y83" i="5" l="1"/>
  <c r="Z83" i="5" s="1"/>
  <c r="AA83" i="5" s="1"/>
  <c r="AB83" i="5" l="1"/>
  <c r="AD83" i="5" s="1"/>
  <c r="W84" i="5" s="1"/>
  <c r="AC83" i="5"/>
  <c r="AE83" i="5" s="1"/>
  <c r="X84" i="5" s="1"/>
  <c r="AF83" i="5" l="1"/>
  <c r="Y84" i="5"/>
  <c r="Z84" i="5" s="1"/>
  <c r="AA84" i="5" s="1"/>
  <c r="AC84" i="5" l="1"/>
  <c r="AE84" i="5" s="1"/>
  <c r="X85" i="5" s="1"/>
  <c r="AB84" i="5"/>
  <c r="AD84" i="5" s="1"/>
  <c r="W85" i="5" s="1"/>
  <c r="AF84" i="5" l="1"/>
  <c r="Y85" i="5"/>
  <c r="Z85" i="5" s="1"/>
  <c r="AA85" i="5" s="1"/>
  <c r="AB85" i="5"/>
  <c r="AD85" i="5" s="1"/>
  <c r="AC85" i="5"/>
  <c r="AE85" i="5" s="1"/>
  <c r="X86" i="5" s="1"/>
  <c r="W86" i="5" l="1"/>
  <c r="AF85" i="5"/>
  <c r="Y86" i="5" l="1"/>
  <c r="Z86" i="5" s="1"/>
  <c r="AA86" i="5" s="1"/>
  <c r="AB86" i="5"/>
  <c r="AD86" i="5" s="1"/>
  <c r="AC86" i="5"/>
  <c r="AE86" i="5" s="1"/>
  <c r="X87" i="5" s="1"/>
  <c r="AF86" i="5" l="1"/>
  <c r="W87" i="5"/>
  <c r="Y87" i="5" l="1"/>
  <c r="Z87" i="5" s="1"/>
  <c r="AA87" i="5" s="1"/>
  <c r="AC87" i="5" l="1"/>
  <c r="AE87" i="5" s="1"/>
  <c r="X88" i="5" s="1"/>
  <c r="AB87" i="5"/>
  <c r="AD87" i="5" s="1"/>
  <c r="W88" i="5" l="1"/>
  <c r="AF87" i="5"/>
  <c r="Y88" i="5" l="1"/>
  <c r="Z88" i="5" s="1"/>
  <c r="AA88" i="5" s="1"/>
  <c r="AC88" i="5"/>
  <c r="AE88" i="5" s="1"/>
  <c r="X89" i="5" s="1"/>
  <c r="AB88" i="5"/>
  <c r="AD88" i="5" s="1"/>
  <c r="AF88" i="5" l="1"/>
  <c r="W89" i="5"/>
  <c r="Y89" i="5" l="1"/>
  <c r="Z89" i="5" s="1"/>
  <c r="AA89" i="5" s="1"/>
  <c r="AB89" i="5" l="1"/>
  <c r="AD89" i="5" s="1"/>
  <c r="AC89" i="5"/>
  <c r="AE89" i="5" s="1"/>
  <c r="X90" i="5" s="1"/>
  <c r="W90" i="5" l="1"/>
  <c r="AF89" i="5"/>
  <c r="Y90" i="5" l="1"/>
  <c r="Z90" i="5" s="1"/>
  <c r="AA90" i="5" s="1"/>
  <c r="AB90" i="5" l="1"/>
  <c r="AD90" i="5" s="1"/>
  <c r="AC90" i="5"/>
  <c r="AE90" i="5" s="1"/>
  <c r="X91" i="5" s="1"/>
  <c r="AF90" i="5" l="1"/>
  <c r="W91" i="5"/>
  <c r="Y91" i="5" l="1"/>
  <c r="Z91" i="5" s="1"/>
  <c r="AA91" i="5" s="1"/>
  <c r="AB91" i="5" l="1"/>
  <c r="AD91" i="5" s="1"/>
  <c r="AC91" i="5"/>
  <c r="AE91" i="5" s="1"/>
  <c r="X92" i="5" s="1"/>
  <c r="W92" i="5"/>
  <c r="AF91" i="5"/>
  <c r="Y92" i="5" l="1"/>
  <c r="Z92" i="5" s="1"/>
  <c r="AA92" i="5" s="1"/>
  <c r="AB92" i="5" l="1"/>
  <c r="AD92" i="5" s="1"/>
  <c r="AC92" i="5"/>
  <c r="AE92" i="5" s="1"/>
  <c r="X93" i="5" s="1"/>
  <c r="W93" i="5" l="1"/>
  <c r="AF92" i="5"/>
  <c r="Y93" i="5" l="1"/>
  <c r="Z93" i="5" s="1"/>
  <c r="AA93" i="5" s="1"/>
  <c r="AC93" i="5" l="1"/>
  <c r="AE93" i="5" s="1"/>
  <c r="X94" i="5" s="1"/>
  <c r="AB93" i="5"/>
  <c r="AD93" i="5" s="1"/>
  <c r="W94" i="5" l="1"/>
  <c r="AF93" i="5"/>
  <c r="Y94" i="5" l="1"/>
  <c r="Z94" i="5" s="1"/>
  <c r="AA94" i="5" s="1"/>
  <c r="AB94" i="5" l="1"/>
  <c r="AD94" i="5" s="1"/>
  <c r="AC94" i="5"/>
  <c r="AE94" i="5" s="1"/>
  <c r="X95" i="5" s="1"/>
  <c r="AF94" i="5" l="1"/>
  <c r="W95" i="5"/>
  <c r="Y95" i="5" l="1"/>
  <c r="Z95" i="5" s="1"/>
  <c r="AA95" i="5" s="1"/>
  <c r="E7" i="5" s="1"/>
  <c r="AB95" i="5" l="1"/>
  <c r="AD95" i="5" s="1"/>
  <c r="AF95" i="5" s="1"/>
  <c r="AC95" i="5"/>
  <c r="AE95" i="5" s="1"/>
  <c r="E8" i="5"/>
  <c r="E9" i="5" s="1"/>
</calcChain>
</file>

<file path=xl/sharedStrings.xml><?xml version="1.0" encoding="utf-8"?>
<sst xmlns="http://schemas.openxmlformats.org/spreadsheetml/2006/main" count="592" uniqueCount="399">
  <si>
    <t>FIRE in coppia: un numero o due? Il caso di Tiziano e Camilla (caso inventato e illustrativo)</t>
  </si>
  <si>
    <t>Strumento informativo / divulgativo. NON è consulenza finanziaria. I valori sono indicativi al 2026 e vanno verificati col tuo consulente.</t>
  </si>
  <si>
    <t>Indice</t>
  </si>
  <si>
    <t>0 - Indice</t>
  </si>
  <si>
    <t>Questo indice</t>
  </si>
  <si>
    <t>1 - Dati</t>
  </si>
  <si>
    <t>I tuoi dati (celle gialle): ipotesi, persone, spese, patrimonio, scenari, vedovanza</t>
  </si>
  <si>
    <t>2 - Pensioni</t>
  </si>
  <si>
    <t>Stipendio netto e pensione di vecchiaia di ciascuno, regola dei 20 anni</t>
  </si>
  <si>
    <t>3 - Numero FIRE</t>
  </si>
  <si>
    <t>Il numero FIRE: quanto serve, ponte e tratti, anni al traguardo, leve</t>
  </si>
  <si>
    <t>4 - Vedovanza</t>
  </si>
  <si>
    <t>Vedovanza: il piano se uno dei due muore, reversibilità e successione</t>
  </si>
  <si>
    <t>5 - Motore e tabelle</t>
  </si>
  <si>
    <t>Tabelle con fonte e data, motore del calcolo (non modificare)</t>
  </si>
  <si>
    <t>Come usare</t>
  </si>
  <si>
    <t>1. Le celle GIALLE sono input — modificale coi tuoi numeri.</t>
  </si>
  <si>
    <t>2. Le celle VERDI sono output — si aggiornano automaticamente.</t>
  </si>
  <si>
    <t>3. Tutti i numeri di default sono al 2026 da fonti pubbliche.</t>
  </si>
  <si>
    <t>4. Niente codice nascosto: l'Excel è solo formule modificabili.</t>
  </si>
  <si>
    <t>Fonti dati</t>
  </si>
  <si>
    <t>• Spesa delle famiglie: Istituto di statistica, indagine sulle spese 2025, tavole per componenti e stato abitativo (P)</t>
  </si>
  <si>
    <t>• Pensione di vecchiaia: DL 201/2011 art. 24 (testo vigente al 17/10/2026); INPS circ. 28/2026 (requisiti 2027-28); RGS 27 Tab. A1.4 (proiezione dal 2029) (P)</t>
  </si>
  <si>
    <t>• Coefficienti di trasformazione: decreto direttoriale 20/11/2024 (P); revisione dei coefficienti: RGS 27 Tab. A1.1 e riquadro 6.1 (P, ipotesi E)</t>
  </si>
  <si>
    <t>• Fisco 2026: TUIR artt. 11-13; L. 207/2024 art. 1 c. 4-9; INPS circ. 6/2026 par. 5 per la prima fascia pensionabile (P)</t>
  </si>
  <si>
    <t>• Reversibilità: L. 335/1995 tab. F e sentenza della Corte costituzionale 162/2022; trattamento minimo e assegno sociale: INPS circ. 153/2025 e 2026 (P)</t>
  </si>
  <si>
    <t>• Successioni: codice civile artt. 179, 538, 544, 582, 583; D.Lgs. 346/1990 art. 7 (P)</t>
  </si>
  <si>
    <t>• CALCOLI MIEI (E): il caso di Tiziano e Camilla, la storia dei risparmi, gli scenari. Gradi: P = fonte primaria, E = stima o calcolo mio. Data dei dati: 18/10/2026</t>
  </si>
  <si>
    <t>Aggiornamenti: github.com/marcofire-it/marco-fire-simulatori</t>
  </si>
  <si>
    <t>Note</t>
  </si>
  <si>
    <t>Fotografia di oggi, con le regole del 2026: dal 2029 i requisiti di età sono proiezioni, i coefficienti possono scendere (menu «banda» nel foglio 1).</t>
  </si>
  <si>
    <t>Il caso di Tiziano e Camilla è inventato e illustrativo e non è un consiglio. Prima di decidere, fai i conti sul tuo caso e parlane con professionisti abilitati.</t>
  </si>
  <si>
    <t>Il motore del calcolo è in fondo al foglio 5: non modificare. Nessuna macro, solo formule.</t>
  </si>
  <si>
    <t>Sotto i 20 anni di contributi la pensione di vecchiaia arriva a 71 anni adeguati: un anno di lavoro in più può anticipare la pensione di oltre quattro anni.</t>
  </si>
  <si>
    <t>1 - Dati: le celle gialle sono tue, cambiale con i numeri del tuo caso</t>
  </si>
  <si>
    <t>Il caso di Tiziano e Camilla è inventato e illustrativo. Ogni importo è in euro del 2026 (reali), salvo dove indicato. Le celle verdi si calcolano da sole. Il foglio non ricostruisce la storia dei risparmi: la base di costo dei conti è un dato dichiarato.</t>
  </si>
  <si>
    <t>Canone: ipotesi e parametri 2026 (caso base)</t>
  </si>
  <si>
    <t>Rendimento reale annuo</t>
  </si>
  <si>
    <t>ipotesi</t>
  </si>
  <si>
    <t>Inflazione annua</t>
  </si>
  <si>
    <t>Bollo sul patrimonio (annuo)</t>
  </si>
  <si>
    <t>imposta di bollo sugli strumenti finanziari</t>
  </si>
  <si>
    <t>Imposta sui guadagni di capitale</t>
  </si>
  <si>
    <t>aliquota sostitutiva</t>
  </si>
  <si>
    <t>Addizionali regionali e comunali</t>
  </si>
  <si>
    <t>convenzione del canale</t>
  </si>
  <si>
    <t>Rivalutazione reale del montante contributivo</t>
  </si>
  <si>
    <t>ipotesi; a zero il montante cresce solo con i contributi</t>
  </si>
  <si>
    <t>Aliquota di computo</t>
  </si>
  <si>
    <t>dipendenti: 33% della retribuzione</t>
  </si>
  <si>
    <t>Contributi a carico del dipendente</t>
  </si>
  <si>
    <t>INPS 2026</t>
  </si>
  <si>
    <t>Assegno sociale (€ al mese, per 13 mensilità)</t>
  </si>
  <si>
    <t>Trattamento minimo annuo (provvisorio)</t>
  </si>
  <si>
    <t>INPS circ. 153/2025: 611,85 € × 13</t>
  </si>
  <si>
    <t>Ultimo anno del piano (orizzonte)</t>
  </si>
  <si>
    <t>Camilla a 95 anni</t>
  </si>
  <si>
    <t>Prima fascia pensionabile 2026 (€ l'anno)</t>
  </si>
  <si>
    <t>INPS circ. 6/2026 par. 5</t>
  </si>
  <si>
    <t>Contributo aggiuntivo oltre la fascia</t>
  </si>
  <si>
    <t>a carico del lavoratore, deducibile</t>
  </si>
  <si>
    <t>Anni minimi per la vecchiaia ordinaria</t>
  </si>
  <si>
    <t>0 spegne la regola (prova di regressione)</t>
  </si>
  <si>
    <t>Anni effettivi per la via dei 71 anni</t>
  </si>
  <si>
    <t>DL 201/2011 art. 24 c. 7</t>
  </si>
  <si>
    <t>Scarto della via dei 71 anni (mesi)</t>
  </si>
  <si>
    <t>ipotesi dell'analista dal 2029: ordinario + 48 mesi; la legge dice «da adeguare»</t>
  </si>
  <si>
    <t>Coefficienti di trasformazione (banda)</t>
  </si>
  <si>
    <t>coefficienti di oggi</t>
  </si>
  <si>
    <t>«coefficienti di oggi» è il caso più favorevole; le altre due sono proiezioni</t>
  </si>
  <si>
    <t>Le due persone</t>
  </si>
  <si>
    <t>Tiziano</t>
  </si>
  <si>
    <t>Camilla</t>
  </si>
  <si>
    <t>Anno di nascita</t>
  </si>
  <si>
    <t>Mese di nascita</t>
  </si>
  <si>
    <t>Retribuzione annua lorda (RAL)</t>
  </si>
  <si>
    <t>Primo anno di contributi</t>
  </si>
  <si>
    <t>Montante contributivo al 31/12/2026</t>
  </si>
  <si>
    <t>dall'estratto conto previdenziale; qui valori del caso</t>
  </si>
  <si>
    <t>Nome</t>
  </si>
  <si>
    <t>Spese della coppia (euro l'anno)</t>
  </si>
  <si>
    <t>Spese comuni</t>
  </si>
  <si>
    <t>Spese individuali di Tiziano</t>
  </si>
  <si>
    <t>Spese individuali di Camilla</t>
  </si>
  <si>
    <t>Spesa totale</t>
  </si>
  <si>
    <t>Quota della spesa se si divide a metà, sul netto di Tiziano</t>
  </si>
  <si>
    <t>Quota della spesa se si divide a metà, sul netto di Camilla</t>
  </si>
  <si>
    <t>Quota della spesa in proporzione al netto (uguale per entrambi)</t>
  </si>
  <si>
    <t>Patrimonio per intestatario (euro del 2026)</t>
  </si>
  <si>
    <t>Valore</t>
  </si>
  <si>
    <t>Base di costo</t>
  </si>
  <si>
    <t>Quota di guadagno latente</t>
  </si>
  <si>
    <t>Conto di Tiziano</t>
  </si>
  <si>
    <t>Conto di Camilla</t>
  </si>
  <si>
    <t>Conto cointestato</t>
  </si>
  <si>
    <t>Totale</t>
  </si>
  <si>
    <t>Base derivata da una storia dichiarata (risparmi dal 2004 e dal 2008, eredità del 2015): se conosci la tua, sostituiscila.</t>
  </si>
  <si>
    <t>Eredità personale di Tiziano (importo nominale)</t>
  </si>
  <si>
    <t>Anno dell'eredità</t>
  </si>
  <si>
    <t>Eredità personale di Tiziano a fine 2026 (rivalutata)</t>
  </si>
  <si>
    <t>bene personale (art. 179 c.c.); la base di costo resta l'importo nominale</t>
  </si>
  <si>
    <t>Scenari di uscita: ultimo anno lavorato (2026 = già fermo)</t>
  </si>
  <si>
    <t>Se smettete oggi: Tiziano</t>
  </si>
  <si>
    <t>Se smettete oggi: Camilla</t>
  </si>
  <si>
    <t>Scenario comune: ultimo anno di entrambi</t>
  </si>
  <si>
    <t>Scenario libero: Tiziano</t>
  </si>
  <si>
    <t>Scenario libero: Camilla</t>
  </si>
  <si>
    <t>Vedovanza: cosa succede se uno dei due muore (usa lo scenario comune)</t>
  </si>
  <si>
    <t>Chi muore (T = Tiziano, C = Camilla, nessuno)</t>
  </si>
  <si>
    <t>T</t>
  </si>
  <si>
    <t>Anno della morte</t>
  </si>
  <si>
    <t>Regime (1 marito e moglie o unione civile; 2 conviventi)</t>
  </si>
  <si>
    <t>Testamento a favore del superstite (0 no, 1 sì)</t>
  </si>
  <si>
    <t>Famiglia d'origine (0 nessuno, 1 ascendenti, 2 fratelli)</t>
  </si>
  <si>
    <t>Figli minori (0 no, 1 sì: nessuna riduzione della reversibilità)</t>
  </si>
  <si>
    <t>Aliquota di reversibilità (solo regime 1)</t>
  </si>
  <si>
    <t>Spesa di chi resta: rapporto con la coppia, sotto i 65 anni (divisore)</t>
  </si>
  <si>
    <t>ISTAT 2025: il superstite spende 1/1,4921 della spesa di coppia</t>
  </si>
  <si>
    <t>Spesa di chi resta: dai 65 anni (divisore)</t>
  </si>
  <si>
    <t>2 - Pensioni: lo stipendio netto e la pensione di vecchiaia di ciascuno</t>
  </si>
  <si>
    <t>La pensione si calcola con il metodo contributivo: montante × coefficiente di trasformazione all'età di decorrenza. La pensione anticipata contributiva (a 65 anni e 10 mesi per Tiziano, gennaio 2044) è esclusa: richiede un assegno almeno 3,2 volte l'assegno sociale e nel caso base non lo raggiunge.</t>
  </si>
  <si>
    <t>Netto dello stipendio (fisco 2026, euro l'anno)</t>
  </si>
  <si>
    <t>Retribuzione lorda (RAL)</t>
  </si>
  <si>
    <t>Contributi del dipendente</t>
  </si>
  <si>
    <t>Reddito imponibile</t>
  </si>
  <si>
    <t>IRPEF lorda</t>
  </si>
  <si>
    <t>Detrazione per lavoro dipendente</t>
  </si>
  <si>
    <t>Ulteriore detrazione (20.000-40.000 €)</t>
  </si>
  <si>
    <t>IRPEF netta</t>
  </si>
  <si>
    <t>Addizionali</t>
  </si>
  <si>
    <t>Somma non imponibile (reddito fino a 20.000 €)</t>
  </si>
  <si>
    <t>Stipendio netto</t>
  </si>
  <si>
    <t>Il netto è quanto entra davvero in cassa: RAL meno contributi, imposte e addizionali, più la somma non imponibile se spetta.</t>
  </si>
  <si>
    <t>Confronto: come cambia il netto se i due redditi sono distribuiti in modo diverso (stessa RAL totale)</t>
  </si>
  <si>
    <t>Distribuzione</t>
  </si>
  <si>
    <t>RAL Tiziano</t>
  </si>
  <si>
    <t>RAL Camilla</t>
  </si>
  <si>
    <t>Netto Tiziano</t>
  </si>
  <si>
    <t>Netto Camilla</t>
  </si>
  <si>
    <t>Netto della coppia</t>
  </si>
  <si>
    <t>Caso (54 + 29)</t>
  </si>
  <si>
    <t>Più sbilanciati (65 + 18)</t>
  </si>
  <si>
    <t>Uguali (41,5 + 41,5)</t>
  </si>
  <si>
    <t>Un solo reddito (83 + 0)</t>
  </si>
  <si>
    <t>Lordo identico, netto diverso: l'IRPEF è individuale, quindi conta come il lordo si distribuisce fra i due.</t>
  </si>
  <si>
    <t>Le due pensioni nei tuoi scenari (ultimo anno lavorato dalle celle gialle del foglio 1)</t>
  </si>
  <si>
    <t>Oggi: Tiziano</t>
  </si>
  <si>
    <t>Oggi: Camilla</t>
  </si>
  <si>
    <t>Comune: Tiziano</t>
  </si>
  <si>
    <t>Comune: Camilla</t>
  </si>
  <si>
    <t>Libero: Tiziano</t>
  </si>
  <si>
    <t>Libero: Camilla</t>
  </si>
  <si>
    <t>Ultimo anno lavorato</t>
  </si>
  <si>
    <t>Anni di contributi</t>
  </si>
  <si>
    <t>Regola applicata</t>
  </si>
  <si>
    <t>Avviso</t>
  </si>
  <si>
    <t>Decorrenza (mese/anno)</t>
  </si>
  <si>
    <t>Età alla decorrenza</t>
  </si>
  <si>
    <t>Pensione lorda</t>
  </si>
  <si>
    <t>Pensione netta</t>
  </si>
  <si>
    <t>Rapporto con il netto dello stipendio</t>
  </si>
  <si>
    <t>Almeno l'assegno sociale annuo?</t>
  </si>
  <si>
    <t>Soglia dei 20 anni: con il primo contributo nel 2008, Camilla arriva a 20 anni se l'ultimo anno lavorato è il 2027 o dopo. Il salto fra 2026 e 2027 sposta la decorrenza di oltre quattro anni.</t>
  </si>
  <si>
    <t>Pensione di vecchiaia di Tiziano per ultimo anno lavorato (euro del 2026)</t>
  </si>
  <si>
    <t>Via 71 anni (1 = sì)</t>
  </si>
  <si>
    <t>Regola</t>
  </si>
  <si>
    <t>Anno decorrenza</t>
  </si>
  <si>
    <t>Mese decorrenza</t>
  </si>
  <si>
    <t>Età (mesi)</t>
  </si>
  <si>
    <t>Coefficiente</t>
  </si>
  <si>
    <t>Montante all'ultimo anno</t>
  </si>
  <si>
    <t>Imposta netta</t>
  </si>
  <si>
    <t>Rapporto con il netto</t>
  </si>
  <si>
    <t>Pensione di vecchiaia di Camilla per ultimo anno lavorato (euro del 2026)</t>
  </si>
  <si>
    <t>3 - Il numero FIRE della coppia: quanto serve, e da quando</t>
  </si>
  <si>
    <t>Il numero è il capitale che, con le pensioni di entrambi, copre la spesa fino al 2078 (euro del 2026, rendimento reale e imposte dichiarati nel foglio 1). I tre scenari sono separati: «se smettete oggi», «scenario comune» (stesso ultimo anno per entrambi) e «scenario libero» (anni diversi).</t>
  </si>
  <si>
    <t>A - Numero FIRE per scenario</t>
  </si>
  <si>
    <t>Se smettete oggi</t>
  </si>
  <si>
    <t>Scenario comune</t>
  </si>
  <si>
    <t>Scenario libero</t>
  </si>
  <si>
    <t>Ultimo anno lavorato di Tiziano</t>
  </si>
  <si>
    <t>Ultimo anno lavorato di Camilla</t>
  </si>
  <si>
    <t>Primo dei due che smette</t>
  </si>
  <si>
    <t>Patrimonio (euro reali, a inizio anno dopo m)</t>
  </si>
  <si>
    <t>Capitale richiesto (numero FIRE)</t>
  </si>
  <si>
    <t>Margine (patrimonio meno richiesto)</t>
  </si>
  <si>
    <t>In parole</t>
  </si>
  <si>
    <t>Si può smettere?</t>
  </si>
  <si>
    <t>Capitale richiesto a fine 2026</t>
  </si>
  <si>
    <t>B - Ponte e tratti (convenzione: l'anno in cui parte una pensione appartiene al tratto precedente)</t>
  </si>
  <si>
    <t>Ponte: dal primo anno senza stipendio alla prima pensione</t>
  </si>
  <si>
    <t>Una sola pensione</t>
  </si>
  <si>
    <t>Due pensioni</t>
  </si>
  <si>
    <t>Anni di ponte</t>
  </si>
  <si>
    <t>Anni con una pensione</t>
  </si>
  <si>
    <t>Anni con due pensioni</t>
  </si>
  <si>
    <t>Quota del ponte sul totale</t>
  </si>
  <si>
    <t>Con l'altra convenzione (l'anno di decorrenza nel tratto successivo) i tratti cambiano, il totale no: nello scenario «se smettete oggi» sarebbe 697.682 + 163.590 + 100.915 €.</t>
  </si>
  <si>
    <t>C - Anni al traguardo: stesso ultimo anno lavorato per entrambi</t>
  </si>
  <si>
    <t>Ultimo anno lavorato di entrambi</t>
  </si>
  <si>
    <t>Patrimonio (reale)</t>
  </si>
  <si>
    <t>Capitale richiesto</t>
  </si>
  <si>
    <t>Margine</t>
  </si>
  <si>
    <t>Primo ultimo anno comune con margine ≥ 0</t>
  </si>
  <si>
    <t>Anni da fine 2026</t>
  </si>
  <si>
    <t>D - Leve: quanto vale un anno in più di lavoro, e la spesa</t>
  </si>
  <si>
    <t>Un anno in più di Tiziano (riduzione del mancante, scenario «oggi»)</t>
  </si>
  <si>
    <t>Un anno in più di Camilla (riduzione del mancante, scenario «oggi»)</t>
  </si>
  <si>
    <t>Camilla vale tanto perché il suo anno in più la porta a 20 anni di contributi.</t>
  </si>
  <si>
    <t>Variazione della spesa per la prova di sensibilità</t>
  </si>
  <si>
    <t>Numero FIRE con spesa ridotta (scenario «oggi»)</t>
  </si>
  <si>
    <t>Numero FIRE con spesa aumentata (scenario «oggi»)</t>
  </si>
  <si>
    <t>4 - Vedovanza: che cosa succede al piano se uno dei due muore</t>
  </si>
  <si>
    <t>Il piano è quello dello scenario comune (foglio 1). Scegli chi muore, quando, il regime e il testamento. Reversibilità dall'anno dopo la morte, a rata piena (semplificazione). La quota ereditata conserva la base di costo del defunto (ipotesi prudente); quote costanti nel tempo. Limiti: calcolo deterministico, una famiglia d'origine per volta, il 4% di successione oltre 1.000.000 € non è modellato, non è consulenza.</t>
  </si>
  <si>
    <t>Ingressi (dal foglio 1) e quote ereditarie</t>
  </si>
  <si>
    <t>Chi muore</t>
  </si>
  <si>
    <t>ESITI</t>
  </si>
  <si>
    <t>Anno di esaurimento del patrimonio (0 = non si esaurisce)</t>
  </si>
  <si>
    <t>Ultimo anno lavorato (scenario comune)</t>
  </si>
  <si>
    <t>Patrimonio finale in euro reali (−1 = esaurito)</t>
  </si>
  <si>
    <t>Chi resta</t>
  </si>
  <si>
    <t>Quota del defunto sul valore del patrimonio</t>
  </si>
  <si>
    <t>Reversibilità piena nel primo anno dopo la morte</t>
  </si>
  <si>
    <t>Quota del defunto sulla base di costo</t>
  </si>
  <si>
    <t>Reversibilità dopo la riduzione per reddito, primo anno</t>
  </si>
  <si>
    <t>Quota dell'eredità che va al superstite</t>
  </si>
  <si>
    <t>Imposta di successione</t>
  </si>
  <si>
    <t>Fattore sul valore del patrimonio (q)</t>
  </si>
  <si>
    <t>Fattore sulla base di costo</t>
  </si>
  <si>
    <t>Aliquota di reversibilità applicata</t>
  </si>
  <si>
    <t>Montante di Tiziano alla morte</t>
  </si>
  <si>
    <t>Reversibilità indiretta di Tiziano (aliquota × montante × coefficiente dell'età)</t>
  </si>
  <si>
    <t>Pensione lorda di Tiziano (scenario comune)</t>
  </si>
  <si>
    <t>Pensione netta di Tiziano (scenario comune)</t>
  </si>
  <si>
    <t>Anno di decorrenza di Tiziano</t>
  </si>
  <si>
    <t>Mese di decorrenza di Tiziano</t>
  </si>
  <si>
    <t>Montante di Camilla alla morte</t>
  </si>
  <si>
    <t>Reversibilità indiretta di Camilla (aliquota × montante × coefficiente dell'età)</t>
  </si>
  <si>
    <t>Pensione lorda di Camilla (scenario comune)</t>
  </si>
  <si>
    <t>Pensione netta di Camilla (scenario comune)</t>
  </si>
  <si>
    <t>Anno di decorrenza di Camilla</t>
  </si>
  <si>
    <t>Mese di decorrenza di Camilla</t>
  </si>
  <si>
    <t>Base della reversibilità (pensione propria del defunto se già in pagamento, altrimenti indiretta)</t>
  </si>
  <si>
    <t>Anno di nascita di chi resta</t>
  </si>
  <si>
    <t>RAL di chi resta</t>
  </si>
  <si>
    <t>Piano anno per anno (euro nominali; l'ultima colonna è il patrimonio in euro reali)</t>
  </si>
  <si>
    <t>Anno</t>
  </si>
  <si>
    <t>Dopo la morte (1 = sì)</t>
  </si>
  <si>
    <t>Stipendio Tiziano</t>
  </si>
  <si>
    <t>Pensione Tiziano</t>
  </si>
  <si>
    <t>Stipendio Camilla</t>
  </si>
  <si>
    <t>Pensione Camilla</t>
  </si>
  <si>
    <t>Pensione lorda di chi resta</t>
  </si>
  <si>
    <t>Reddito da lavoro di chi resta</t>
  </si>
  <si>
    <t>Reddito lordo di chi resta</t>
  </si>
  <si>
    <t>Reversibilità piena</t>
  </si>
  <si>
    <t>Moltiplicatore</t>
  </si>
  <si>
    <t>Riduzione</t>
  </si>
  <si>
    <t>Reversibilità dopo la riduzione</t>
  </si>
  <si>
    <t>Pensione + reversibilità (lordo)</t>
  </si>
  <si>
    <t>Imposta sulla pensione</t>
  </si>
  <si>
    <t>Netto da pensione</t>
  </si>
  <si>
    <t>Netto della reversibilità (con lavoro)</t>
  </si>
  <si>
    <t>Entrate nette</t>
  </si>
  <si>
    <t>Spesa</t>
  </si>
  <si>
    <t>Fabbisogno (reale)</t>
  </si>
  <si>
    <t>Indice prezzi</t>
  </si>
  <si>
    <t>Fabbisogno nominale</t>
  </si>
  <si>
    <t>Patrimonio a inizio anno</t>
  </si>
  <si>
    <t>Base di costo a inizio anno</t>
  </si>
  <si>
    <t>Vendita lorda</t>
  </si>
  <si>
    <t>Anno di esaurimento</t>
  </si>
  <si>
    <t>Patrimonio dopo il prelievo</t>
  </si>
  <si>
    <t>Base dopo il prelievo</t>
  </si>
  <si>
    <t>Patrimonio a fine anno</t>
  </si>
  <si>
    <t>Base a fine anno</t>
  </si>
  <si>
    <t>Patrimonio a fine anno (euro reali)</t>
  </si>
  <si>
    <t>5 - Motore e tabelle (non modificare)</t>
  </si>
  <si>
    <t>Le tabelle sono dati di legge e di fonti ufficiali con la data accanto; le celle gialle si possono aggiornare quando le norme cambiano. Il motore del calcolo, in fondo al foglio, ripete il conto per molti scenari: non modificarlo.</t>
  </si>
  <si>
    <t>Scaglioni IRPEF 2026 e costanti derivate (TUIR artt. 11-13; L. 207/2024; verifica ottobre 2026 (18/10/2026))</t>
  </si>
  <si>
    <t>Primo scaglione, fino a (€)</t>
  </si>
  <si>
    <t>Secondo scaglione, fino a (€)</t>
  </si>
  <si>
    <t>Aliquota 1° scaglione</t>
  </si>
  <si>
    <t>Aliquota 2° scaglione</t>
  </si>
  <si>
    <t>Aliquota 3° scaglione</t>
  </si>
  <si>
    <t>Imposta a fine 1° scaglione (€)</t>
  </si>
  <si>
    <t>Imposta a fine 2° scaglione (€)</t>
  </si>
  <si>
    <t>Detrazioni nelle formule (importi di legge, anno 2026): lavoro dipendente 1.955 € fino a 15.000 €, poi decrescente fino a 50.000 €, +65 € da 25.000 a 35.000 €; ulteriore detrazione 1.000 € da 20.000 a 32.000 €, decrescente fino a 40.000 €; pensione 1.955 € fino a 8.500 €, poi decrescente fino a 50.000 €, +50 € da 25.000 a 29.000 €. Somma non imponibile (L. 207/2024 art. 1 c. 4): 7,1% fino a 8.500 €, 5,3% fino a 15.000 €, 4,8% fino a 20.000 €, zero oltre.</t>
  </si>
  <si>
    <t>Riduzione della reversibilità per reddito (Tabella F, L. 335/1995; soglie provvisorie; verifica ottobre 2026 (18/10/2026))</t>
  </si>
  <si>
    <t>Soglia 3 volte il trattamento minimo (€)</t>
  </si>
  <si>
    <t>Reversibilità pagata al 75%</t>
  </si>
  <si>
    <t>Soglia 4 volte il trattamento minimo (€)</t>
  </si>
  <si>
    <t>Reversibilità pagata al 60%</t>
  </si>
  <si>
    <t>Soglia 5 volte il trattamento minimo (€)</t>
  </si>
  <si>
    <t>Reversibilità pagata al 50%</t>
  </si>
  <si>
    <t>Costanti di calcolo derivate</t>
  </si>
  <si>
    <t>Fattore di crescita nominale annuo F</t>
  </si>
  <si>
    <t>Fattore di crescita reale annuo G</t>
  </si>
  <si>
    <t>Rapporto tra tasso di revisione e età (revisione continua)</t>
  </si>
  <si>
    <t>RGS 27, riquadro 6.1: coefficiente da 64,7 a 58,4 in 44 anni</t>
  </si>
  <si>
    <t>Rapporto tra tasso di revisione e età (revisione accelerata)</t>
  </si>
  <si>
    <t>Ipotesi dell'analista: 6,024 a 5,3 in 30 anni (età di riferimento 69)</t>
  </si>
  <si>
    <t>Requisiti di età per la pensione di vecchiaia (INPS circ. 28/2026 per 2027-28; RGS 27 Tab. A1.4 dal 2029; verifica ottobre 2026 (18/10/2026))</t>
  </si>
  <si>
    <t>Ordinario (mesi)</t>
  </si>
  <si>
    <t>Via 71 anni (mesi)</t>
  </si>
  <si>
    <t>Norma / proiezione</t>
  </si>
  <si>
    <t>norma</t>
  </si>
  <si>
    <t>proiezione RGS</t>
  </si>
  <si>
    <t>Ultimo anno in tabella</t>
  </si>
  <si>
    <t>Primo anno in tabella</t>
  </si>
  <si>
    <t>Coefficienti di trasformazione 57-71 anni (DD 20/11/2024, validi 2025-26; verifica ottobre 2026 (18/10/2026))</t>
  </si>
  <si>
    <t>Età</t>
  </si>
  <si>
    <t>Tra un'età e l'altra si interpola in modo lineare sui mesi; oltre 71 anni vale il coefficiente di 71 anni.</t>
  </si>
  <si>
    <t>Coefficienti 2013 e 2025 ai nodi (RGS 27 Tab. A1.1, per la revisione dei coefficienti), in %</t>
  </si>
  <si>
    <t>Anno 2013</t>
  </si>
  <si>
    <t>Anno 2025</t>
  </si>
  <si>
    <t>Griglia mensile 57-71 anni: log del rapporto 2025/2013 (supporto alla revisione dei coefficienti)</t>
  </si>
  <si>
    <t>Mesi</t>
  </si>
  <si>
    <t>Età (anni)</t>
  </si>
  <si>
    <t>Coeff. 2025 interpolato</t>
  </si>
  <si>
    <t>Coeff. 2013 interpolato</t>
  </si>
  <si>
    <t>log del rapporto</t>
  </si>
  <si>
    <t>Quota dell'eredità che va al superstite (codice civile artt. 538, 544, 582, 583) e imposta di successione (D.Lgs. 346/1990 art. 7)</t>
  </si>
  <si>
    <t>Chiave</t>
  </si>
  <si>
    <t>Regime</t>
  </si>
  <si>
    <t>Testamento</t>
  </si>
  <si>
    <t>Famiglia d'origine</t>
  </si>
  <si>
    <t>Quota al superstite</t>
  </si>
  <si>
    <t>Regime 1 = marito e moglie o unione civile; regime 2 = conviventi di fatto. Testamento 1 = a favore del superstite. Famiglia: 0 nessun ascendente né fratello; 1 ascendenti viventi; 2 fratelli. Sposati con testamento e ascendenti: il superstite tiene tre quarti (riserva di un quarto).</t>
  </si>
  <si>
    <t>Imposta di successione, regime 1</t>
  </si>
  <si>
    <t>Imposta di successione, regime 2 (8%, nessuna franchigia)</t>
  </si>
  <si>
    <t>Il 4% sulla quota oltre 1.000.000 € per fratelli e coniuge non è modellato.</t>
  </si>
  <si>
    <t>Supporto alla decorrenza: primo mese in cui l'età raggiunge il requisito dell'anno (ordinario e via 71 anni)</t>
  </si>
  <si>
    <t>Tiziano: anno</t>
  </si>
  <si>
    <t>j ordinario</t>
  </si>
  <si>
    <t>valido ord.</t>
  </si>
  <si>
    <t>j via 71</t>
  </si>
  <si>
    <t>valido 71</t>
  </si>
  <si>
    <t>Camilla: anno</t>
  </si>
  <si>
    <t>Ordinario</t>
  </si>
  <si>
    <t>Via 71 anni</t>
  </si>
  <si>
    <t>Anno del primo mese valido</t>
  </si>
  <si>
    <t>Mese valido</t>
  </si>
  <si>
    <t>Età in mesi alla decorrenza</t>
  </si>
  <si>
    <t>Anno di decorrenza</t>
  </si>
  <si>
    <t>Mese di decorrenza</t>
  </si>
  <si>
    <t>Coefficiente base</t>
  </si>
  <si>
    <t>Tasso di revisione</t>
  </si>
  <si>
    <t>Fattore di revisione</t>
  </si>
  <si>
    <t>Coefficiente usato</t>
  </si>
  <si>
    <t>Motore del calcolo, non modificare (scenari e griglia anni 2027-2078)</t>
  </si>
  <si>
    <t>Scenario</t>
  </si>
  <si>
    <t>Oggi + 1 anno Tiziano</t>
  </si>
  <si>
    <t>Oggi + 1 anno Camilla</t>
  </si>
  <si>
    <t>Comune 2026</t>
  </si>
  <si>
    <t>Comune 2027</t>
  </si>
  <si>
    <t>Comune 2028</t>
  </si>
  <si>
    <t>Comune 2029</t>
  </si>
  <si>
    <t>Comune 2030</t>
  </si>
  <si>
    <t>Comune 2031</t>
  </si>
  <si>
    <t>Comune 2032</t>
  </si>
  <si>
    <t>Comune 2033</t>
  </si>
  <si>
    <t>Comune 2034</t>
  </si>
  <si>
    <t>Comune 2035</t>
  </si>
  <si>
    <t>Comune 2036</t>
  </si>
  <si>
    <t>Comune 2037</t>
  </si>
  <si>
    <t>Comune 2038</t>
  </si>
  <si>
    <t>Comune 2039</t>
  </si>
  <si>
    <t>Comune 2040</t>
  </si>
  <si>
    <t>Comune 2041</t>
  </si>
  <si>
    <t>Comune 2042</t>
  </si>
  <si>
    <t>Comune 2043</t>
  </si>
  <si>
    <t>Comune 2044</t>
  </si>
  <si>
    <t>Comune 2045</t>
  </si>
  <si>
    <t>Oggi, spesa ridotta</t>
  </si>
  <si>
    <t>Oggi, spesa aumentata</t>
  </si>
  <si>
    <t>Spesa annua usata</t>
  </si>
  <si>
    <t>Primo dei due che smette (m)</t>
  </si>
  <si>
    <t>Anni di accumulo (m − 2026)</t>
  </si>
  <si>
    <t>Risparmio annuo (netti − spesa)</t>
  </si>
  <si>
    <t>Patrimonio nominale a fine m</t>
  </si>
  <si>
    <t>Base di costo nominale a fine m</t>
  </si>
  <si>
    <t>Indice prezzi a inizio m+1</t>
  </si>
  <si>
    <t>Patrimonio reale a inizio m+1</t>
  </si>
  <si>
    <t>Quota di base di costo (B/W)</t>
  </si>
  <si>
    <t>Pensione netta di Tiziano</t>
  </si>
  <si>
    <t>Pensione netta di Camilla</t>
  </si>
  <si>
    <t>Anno decorrenza Tiziano</t>
  </si>
  <si>
    <t>Mese decorrenza Tiziano</t>
  </si>
  <si>
    <t>Anno decorrenza Camilla</t>
  </si>
  <si>
    <t>Mese decorrenza Camilla</t>
  </si>
  <si>
    <t>Capitale richiesto (reale, inizio m+1)</t>
  </si>
  <si>
    <t>Margine (patrimonio − richiesto)</t>
  </si>
  <si>
    <t>Anni con fabbisogno negativo dopo m</t>
  </si>
  <si>
    <t>Anno della prima pensione</t>
  </si>
  <si>
    <t>Anno della seconda pensione</t>
  </si>
  <si>
    <t>Ultimo anno comune con margine ≥ 0</t>
  </si>
  <si>
    <t>Griglia: valore attuale del fabbisogno per anno (euro reali a inizio m+1)</t>
  </si>
  <si>
    <t>Griglia: fabbisogno netto per anno prima dello sconto (euro reali del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</si>
</sst>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#,##0&quot; €&quot;"/>
    <numFmt numFmtId="165" formatCode="0.0%"/>
    <numFmt numFmtId="166" formatCode="#,##0.00&quot; €&quot;"/>
    <numFmt numFmtId="167" formatCode="0.000000"/>
    <numFmt numFmtId="168" formatCode="0&quot; anni&quot;"/>
    <numFmt numFmtId="169" formatCode="0.000%"/>
    <numFmt numFmtId="170" formatCode="0.000"/>
    <numFmt numFmtId="171" formatCode="0.0000"/>
    <numFmt numFmtId="172" formatCode="0.0000%"/>
  </numFmts>
  <fonts count="8">
    <font>
      <sz val="11"/>
      <color theme="1"/>
      <name val="Calibri"/>
      <family val="2"/>
      <scheme val="minor"/>
    </font>
    <font>
      <b/>
      <sz val="16"/>
      <color rgb="FF1E40AF"/>
      <name val="Calibri"/>
    </font>
    <font>
      <i/>
      <sz val="10"/>
      <color rgb="FF991B1B"/>
      <name val="Calibri"/>
    </font>
    <font>
      <b/>
      <sz val="14"/>
      <name val="Calibri"/>
    </font>
    <font>
      <b/>
      <sz val="11"/>
      <name val="Calibri"/>
    </font>
    <font>
      <sz val="11"/>
      <name val="Calibri"/>
    </font>
    <font>
      <i/>
      <sz val="9"/>
      <color rgb="FF666666"/>
      <name val="Calibri"/>
    </font>
    <font>
      <b/>
      <sz val="13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FAFAFA"/>
      </patternFill>
    </fill>
    <fill>
      <patternFill patternType="solid">
        <fgColor rgb="FF1E40AF"/>
      </patternFill>
    </fill>
    <fill>
      <patternFill patternType="solid">
        <fgColor rgb="FFFFF59D"/>
      </patternFill>
    </fill>
    <fill>
      <patternFill patternType="solid">
        <fgColor rgb="FFC8E6C9"/>
      </patternFill>
    </fill>
    <fill>
      <patternFill patternType="solid">
        <fgColor rgb="FFDBEAFE"/>
      </patternFill>
    </fill>
    <fill>
      <patternFill patternType="solid">
        <fgColor rgb="FFFECACA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3" borderId="0" xfId="0" applyFont="1" applyFill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0" fontId="5" fillId="5" borderId="1" xfId="0" applyNumberFormat="1" applyFont="1" applyFill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1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49" fontId="5" fillId="5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right" vertical="center"/>
    </xf>
    <xf numFmtId="165" fontId="5" fillId="6" borderId="1" xfId="0" applyNumberFormat="1" applyFont="1" applyFill="1" applyBorder="1" applyAlignment="1">
      <alignment horizontal="right" vertical="center"/>
    </xf>
    <xf numFmtId="166" fontId="5" fillId="6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171" fontId="5" fillId="5" borderId="1" xfId="0" applyNumberFormat="1" applyFont="1" applyFill="1" applyBorder="1" applyAlignment="1">
      <alignment horizontal="right" vertical="center"/>
    </xf>
    <xf numFmtId="1" fontId="5" fillId="6" borderId="1" xfId="0" applyNumberFormat="1" applyFont="1" applyFill="1" applyBorder="1" applyAlignment="1">
      <alignment horizontal="right" vertical="center"/>
    </xf>
    <xf numFmtId="49" fontId="5" fillId="6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 wrapText="1"/>
    </xf>
    <xf numFmtId="1" fontId="5" fillId="0" borderId="1" xfId="0" applyNumberFormat="1" applyFont="1" applyBorder="1"/>
    <xf numFmtId="172" fontId="5" fillId="6" borderId="1" xfId="0" applyNumberFormat="1" applyFont="1" applyFill="1" applyBorder="1" applyAlignment="1">
      <alignment horizontal="right" vertical="center"/>
    </xf>
    <xf numFmtId="171" fontId="5" fillId="6" borderId="1" xfId="0" applyNumberFormat="1" applyFont="1" applyFill="1" applyBorder="1" applyAlignment="1">
      <alignment horizontal="right" vertical="center"/>
    </xf>
    <xf numFmtId="2" fontId="5" fillId="6" borderId="1" xfId="0" applyNumberFormat="1" applyFont="1" applyFill="1" applyBorder="1" applyAlignment="1">
      <alignment horizontal="right" vertical="center"/>
    </xf>
    <xf numFmtId="167" fontId="5" fillId="6" borderId="1" xfId="0" applyNumberFormat="1" applyFont="1" applyFill="1" applyBorder="1" applyAlignment="1">
      <alignment horizontal="right" vertical="center"/>
    </xf>
    <xf numFmtId="0" fontId="5" fillId="0" borderId="1" xfId="0" applyFont="1" applyBorder="1"/>
    <xf numFmtId="168" fontId="5" fillId="0" borderId="1" xfId="0" applyNumberFormat="1" applyFont="1" applyBorder="1"/>
    <xf numFmtId="169" fontId="5" fillId="5" borderId="1" xfId="0" applyNumberFormat="1" applyFont="1" applyFill="1" applyBorder="1" applyAlignment="1">
      <alignment horizontal="right" vertical="center"/>
    </xf>
    <xf numFmtId="170" fontId="5" fillId="5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 wrapText="1"/>
    </xf>
    <xf numFmtId="0" fontId="0" fillId="0" borderId="0" xfId="0"/>
    <xf numFmtId="0" fontId="1" fillId="0" borderId="0" xfId="0" applyFont="1"/>
    <xf numFmtId="0" fontId="7" fillId="4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1"/>
  <c:style val="2"/>
  <c:chart>
    <c:title>
      <c:tx>
        <c:rich>
          <a:bodyPr/>
          <a:lstStyle/>
          <a:p>
            <a:pPr>
              <a:defRPr/>
            </a:pPr>
            <a:r>
              <a:t>Patrimonio in euro reali dopo la morte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'4 - Vedovanza'!$AF$43</c:f>
              <c:strCache>
                <c:ptCount val="1"/>
                <c:pt idx="0">
                  <c:v>Patrimonio a fine anno (euro reali)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'4 - Vedovanza'!$A$44:$A$95</c:f>
              <c:numCache>
                <c:formatCode>0</c:formatCode>
                <c:ptCount val="52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  <c:pt idx="43">
                  <c:v>2070</c:v>
                </c:pt>
                <c:pt idx="44">
                  <c:v>2071</c:v>
                </c:pt>
                <c:pt idx="45">
                  <c:v>2072</c:v>
                </c:pt>
                <c:pt idx="46">
                  <c:v>2073</c:v>
                </c:pt>
                <c:pt idx="47">
                  <c:v>2074</c:v>
                </c:pt>
                <c:pt idx="48">
                  <c:v>2075</c:v>
                </c:pt>
                <c:pt idx="49">
                  <c:v>2076</c:v>
                </c:pt>
                <c:pt idx="50">
                  <c:v>2077</c:v>
                </c:pt>
                <c:pt idx="51">
                  <c:v>2078</c:v>
                </c:pt>
              </c:numCache>
            </c:numRef>
          </c:cat>
          <c:val>
            <c:numRef>
              <c:f>'4 - Vedovanza'!$AF$44:$AF$95</c:f>
              <c:numCache>
                <c:formatCode>#,##0" €"</c:formatCode>
                <c:ptCount val="52"/>
                <c:pt idx="0">
                  <c:v>789495.41603798908</c:v>
                </c:pt>
                <c:pt idx="1">
                  <c:v>830094.33400007943</c:v>
                </c:pt>
                <c:pt idx="2">
                  <c:v>871827.58573003055</c:v>
                </c:pt>
                <c:pt idx="3">
                  <c:v>850194.49248191959</c:v>
                </c:pt>
                <c:pt idx="4">
                  <c:v>827605.59802224487</c:v>
                </c:pt>
                <c:pt idx="5">
                  <c:v>804045.41133688577</c:v>
                </c:pt>
                <c:pt idx="6">
                  <c:v>779497.84353171813</c:v>
                </c:pt>
                <c:pt idx="7">
                  <c:v>753946.17770584347</c:v>
                </c:pt>
                <c:pt idx="8">
                  <c:v>727373.0394300383</c:v>
                </c:pt>
                <c:pt idx="9">
                  <c:v>727549.88150720869</c:v>
                </c:pt>
                <c:pt idx="10">
                  <c:v>727611.12573750841</c:v>
                </c:pt>
                <c:pt idx="11">
                  <c:v>727557.76628699992</c:v>
                </c:pt>
                <c:pt idx="12">
                  <c:v>727390.73056274164</c:v>
                </c:pt>
                <c:pt idx="13">
                  <c:v>727110.87500865979</c:v>
                </c:pt>
                <c:pt idx="14">
                  <c:v>726718.98124327254</c:v>
                </c:pt>
                <c:pt idx="15">
                  <c:v>726215.75252063479</c:v>
                </c:pt>
                <c:pt idx="16">
                  <c:v>725601.81049523561</c:v>
                </c:pt>
                <c:pt idx="17">
                  <c:v>724877.69227117358</c:v>
                </c:pt>
                <c:pt idx="18">
                  <c:v>724043.8477157302</c:v>
                </c:pt>
                <c:pt idx="19">
                  <c:v>723100.63701744413</c:v>
                </c:pt>
                <c:pt idx="20">
                  <c:v>722048.32846892928</c:v>
                </c:pt>
                <c:pt idx="21">
                  <c:v>722467.7790742662</c:v>
                </c:pt>
                <c:pt idx="22">
                  <c:v>722828.2094448948</c:v>
                </c:pt>
                <c:pt idx="23">
                  <c:v>723130.7690171944</c:v>
                </c:pt>
                <c:pt idx="24">
                  <c:v>723376.5482544892</c:v>
                </c:pt>
                <c:pt idx="25">
                  <c:v>724516.68709111365</c:v>
                </c:pt>
                <c:pt idx="26">
                  <c:v>736114.008648786</c:v>
                </c:pt>
                <c:pt idx="27">
                  <c:v>748010.54125304485</c:v>
                </c:pt>
                <c:pt idx="28">
                  <c:v>760215.65971842175</c:v>
                </c:pt>
                <c:pt idx="29">
                  <c:v>772738.96487826516</c:v>
                </c:pt>
                <c:pt idx="30">
                  <c:v>785590.29068733577</c:v>
                </c:pt>
                <c:pt idx="31">
                  <c:v>798779.71155056253</c:v>
                </c:pt>
                <c:pt idx="32">
                  <c:v>812317.5498789202</c:v>
                </c:pt>
                <c:pt idx="33">
                  <c:v>826214.38387384056</c:v>
                </c:pt>
                <c:pt idx="34">
                  <c:v>840481.0555420171</c:v>
                </c:pt>
                <c:pt idx="35">
                  <c:v>855128.67894291016</c:v>
                </c:pt>
                <c:pt idx="36">
                  <c:v>870168.64867169724</c:v>
                </c:pt>
                <c:pt idx="37">
                  <c:v>885612.64858084114</c:v>
                </c:pt>
                <c:pt idx="38">
                  <c:v>901472.66074387636</c:v>
                </c:pt>
                <c:pt idx="39">
                  <c:v>917760.97466542979</c:v>
                </c:pt>
                <c:pt idx="40">
                  <c:v>934490.19674189563</c:v>
                </c:pt>
                <c:pt idx="41">
                  <c:v>951673.25997758913</c:v>
                </c:pt>
                <c:pt idx="42">
                  <c:v>969323.43396159459</c:v>
                </c:pt>
                <c:pt idx="43">
                  <c:v>987454.33511090768</c:v>
                </c:pt>
                <c:pt idx="44">
                  <c:v>1006079.9371858472</c:v>
                </c:pt>
                <c:pt idx="45">
                  <c:v>1025214.5820840921</c:v>
                </c:pt>
                <c:pt idx="46">
                  <c:v>1044872.9909200527</c:v>
                </c:pt>
                <c:pt idx="47">
                  <c:v>1065070.2753966551</c:v>
                </c:pt>
                <c:pt idx="48">
                  <c:v>1085821.9494769673</c:v>
                </c:pt>
                <c:pt idx="49">
                  <c:v>1107143.9413634534</c:v>
                </c:pt>
                <c:pt idx="50">
                  <c:v>1129052.6057929804</c:v>
                </c:pt>
                <c:pt idx="51">
                  <c:v>1151564.7366560581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717760"/>
        <c:axId val="191719680"/>
      </c:lineChart>
      <c:catAx>
        <c:axId val="191717760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191719680"/>
        <c:crosses val="autoZero"/>
        <c:auto val="1"/>
        <c:lblAlgn val="ctr"/>
        <c:lblOffset val="100"/>
        <c:noMultiLvlLbl val="1"/>
      </c:catAx>
      <c:valAx>
        <c:axId val="19171968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euro reali</a:t>
                </a:r>
              </a:p>
            </c:rich>
          </c:tx>
          <c:overlay val="1"/>
        </c:title>
        <c:numFmt formatCode="#,##0&quot; €&quot;" sourceLinked="1"/>
        <c:majorTickMark val="none"/>
        <c:minorTickMark val="none"/>
        <c:tickLblPos val="nextTo"/>
        <c:crossAx val="1917177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4</xdr:row>
      <xdr:rowOff>0</xdr:rowOff>
    </xdr:from>
    <xdr:ext cx="648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>
      <selection sqref="A1:B1"/>
    </sheetView>
  </sheetViews>
  <sheetFormatPr defaultRowHeight="15"/>
  <cols>
    <col min="1" max="1" width="112" customWidth="1"/>
    <col min="2" max="2" width="86" customWidth="1"/>
  </cols>
  <sheetData>
    <row r="1" spans="1:2" ht="32.1" customHeight="1">
      <c r="A1" s="32" t="s">
        <v>0</v>
      </c>
      <c r="B1" s="31"/>
    </row>
    <row r="2" spans="1:2" ht="32.1" customHeight="1">
      <c r="A2" s="30" t="s">
        <v>1</v>
      </c>
      <c r="B2" s="31"/>
    </row>
    <row r="4" spans="1:2" ht="18.75">
      <c r="A4" s="1" t="s">
        <v>2</v>
      </c>
    </row>
    <row r="5" spans="1:2" ht="21.95" customHeight="1">
      <c r="A5" s="2" t="s">
        <v>3</v>
      </c>
      <c r="B5" s="3" t="s">
        <v>4</v>
      </c>
    </row>
    <row r="6" spans="1:2" ht="21.95" customHeight="1">
      <c r="A6" s="2" t="s">
        <v>5</v>
      </c>
      <c r="B6" s="3" t="s">
        <v>6</v>
      </c>
    </row>
    <row r="7" spans="1:2" ht="21.95" customHeight="1">
      <c r="A7" s="2" t="s">
        <v>7</v>
      </c>
      <c r="B7" s="3" t="s">
        <v>8</v>
      </c>
    </row>
    <row r="8" spans="1:2" ht="21.95" customHeight="1">
      <c r="A8" s="2" t="s">
        <v>9</v>
      </c>
      <c r="B8" s="3" t="s">
        <v>10</v>
      </c>
    </row>
    <row r="9" spans="1:2" ht="21.95" customHeight="1">
      <c r="A9" s="2" t="s">
        <v>11</v>
      </c>
      <c r="B9" s="3" t="s">
        <v>12</v>
      </c>
    </row>
    <row r="10" spans="1:2" ht="21.95" customHeight="1">
      <c r="A10" s="2" t="s">
        <v>13</v>
      </c>
      <c r="B10" s="3" t="s">
        <v>14</v>
      </c>
    </row>
    <row r="12" spans="1:2" ht="18.75">
      <c r="A12" s="1" t="s">
        <v>15</v>
      </c>
    </row>
    <row r="13" spans="1:2">
      <c r="A13" s="3" t="s">
        <v>16</v>
      </c>
    </row>
    <row r="14" spans="1:2">
      <c r="A14" s="3" t="s">
        <v>17</v>
      </c>
    </row>
    <row r="15" spans="1:2">
      <c r="A15" s="3" t="s">
        <v>18</v>
      </c>
    </row>
    <row r="16" spans="1:2">
      <c r="A16" s="3" t="s">
        <v>19</v>
      </c>
    </row>
    <row r="18" spans="1:1" ht="18.75">
      <c r="A18" s="1" t="s">
        <v>20</v>
      </c>
    </row>
    <row r="19" spans="1:1">
      <c r="A19" s="3" t="s">
        <v>21</v>
      </c>
    </row>
    <row r="20" spans="1:1">
      <c r="A20" s="3" t="s">
        <v>22</v>
      </c>
    </row>
    <row r="21" spans="1:1">
      <c r="A21" s="3" t="s">
        <v>23</v>
      </c>
    </row>
    <row r="22" spans="1:1">
      <c r="A22" s="3" t="s">
        <v>24</v>
      </c>
    </row>
    <row r="23" spans="1:1">
      <c r="A23" s="3" t="s">
        <v>25</v>
      </c>
    </row>
    <row r="24" spans="1:1">
      <c r="A24" s="3" t="s">
        <v>26</v>
      </c>
    </row>
    <row r="25" spans="1:1">
      <c r="A25" s="3" t="s">
        <v>27</v>
      </c>
    </row>
    <row r="27" spans="1:1">
      <c r="A27" s="4" t="s">
        <v>28</v>
      </c>
    </row>
    <row r="28" spans="1:1">
      <c r="A28" s="2" t="s">
        <v>29</v>
      </c>
    </row>
    <row r="29" spans="1:1">
      <c r="A29" s="3" t="s">
        <v>30</v>
      </c>
    </row>
    <row r="30" spans="1:1">
      <c r="A30" s="3" t="s">
        <v>31</v>
      </c>
    </row>
    <row r="31" spans="1:1">
      <c r="A31" s="3" t="s">
        <v>32</v>
      </c>
    </row>
    <row r="32" spans="1:1">
      <c r="A32" s="3" t="s">
        <v>33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workbookViewId="0"/>
  </sheetViews>
  <sheetFormatPr defaultRowHeight="15"/>
  <cols>
    <col min="1" max="1" width="25" customWidth="1"/>
    <col min="2" max="2" width="23" customWidth="1"/>
    <col min="3" max="3" width="17" customWidth="1"/>
    <col min="4" max="4" width="25" customWidth="1"/>
  </cols>
  <sheetData>
    <row r="1" spans="1:4" ht="24.95" customHeight="1">
      <c r="A1" s="32" t="s">
        <v>34</v>
      </c>
      <c r="B1" s="31"/>
      <c r="C1" s="31"/>
      <c r="D1" s="31"/>
    </row>
    <row r="2" spans="1:4" ht="32.1" customHeight="1">
      <c r="A2" s="30" t="s">
        <v>1</v>
      </c>
      <c r="B2" s="31"/>
      <c r="C2" s="31"/>
      <c r="D2" s="31"/>
    </row>
    <row r="3" spans="1:4" ht="30" customHeight="1">
      <c r="A3" s="34" t="s">
        <v>35</v>
      </c>
      <c r="B3" s="31"/>
      <c r="C3" s="31"/>
      <c r="D3" s="31"/>
    </row>
    <row r="5" spans="1:4">
      <c r="A5" s="33" t="s">
        <v>36</v>
      </c>
      <c r="B5" s="31"/>
      <c r="C5" s="31"/>
      <c r="D5" s="31"/>
    </row>
    <row r="6" spans="1:4" ht="15" customHeight="1">
      <c r="A6" s="6" t="s">
        <v>37</v>
      </c>
      <c r="B6" s="7">
        <v>0.03</v>
      </c>
      <c r="D6" s="5" t="s">
        <v>38</v>
      </c>
    </row>
    <row r="7" spans="1:4" ht="15" customHeight="1">
      <c r="A7" s="6" t="s">
        <v>39</v>
      </c>
      <c r="B7" s="7">
        <v>0.02</v>
      </c>
      <c r="D7" s="5" t="s">
        <v>38</v>
      </c>
    </row>
    <row r="8" spans="1:4" ht="15" customHeight="1">
      <c r="A8" s="6" t="s">
        <v>40</v>
      </c>
      <c r="B8" s="7">
        <v>2E-3</v>
      </c>
      <c r="D8" s="5" t="s">
        <v>41</v>
      </c>
    </row>
    <row r="9" spans="1:4" ht="15" customHeight="1">
      <c r="A9" s="6" t="s">
        <v>42</v>
      </c>
      <c r="B9" s="7">
        <v>0.26</v>
      </c>
      <c r="D9" s="5" t="s">
        <v>43</v>
      </c>
    </row>
    <row r="10" spans="1:4" ht="15" customHeight="1">
      <c r="A10" s="6" t="s">
        <v>44</v>
      </c>
      <c r="B10" s="7">
        <v>0.02</v>
      </c>
      <c r="D10" s="5" t="s">
        <v>45</v>
      </c>
    </row>
    <row r="11" spans="1:4" ht="15" customHeight="1">
      <c r="A11" s="6" t="s">
        <v>46</v>
      </c>
      <c r="B11" s="7">
        <v>5.0000000000000001E-3</v>
      </c>
      <c r="D11" s="5" t="s">
        <v>47</v>
      </c>
    </row>
    <row r="12" spans="1:4" ht="15" customHeight="1">
      <c r="A12" s="6" t="s">
        <v>48</v>
      </c>
      <c r="B12" s="7">
        <v>0.33</v>
      </c>
      <c r="D12" s="5" t="s">
        <v>49</v>
      </c>
    </row>
    <row r="13" spans="1:4" ht="15" customHeight="1">
      <c r="A13" s="6" t="s">
        <v>50</v>
      </c>
      <c r="B13" s="7">
        <v>9.1899999999999996E-2</v>
      </c>
      <c r="D13" s="5" t="s">
        <v>51</v>
      </c>
    </row>
    <row r="14" spans="1:4" ht="15" customHeight="1">
      <c r="A14" s="6" t="s">
        <v>52</v>
      </c>
      <c r="B14" s="8">
        <v>546.24</v>
      </c>
      <c r="D14" s="5" t="s">
        <v>51</v>
      </c>
    </row>
    <row r="15" spans="1:4" ht="15" customHeight="1">
      <c r="A15" s="6" t="s">
        <v>53</v>
      </c>
      <c r="B15" s="8">
        <v>7954.05</v>
      </c>
      <c r="D15" s="5" t="s">
        <v>54</v>
      </c>
    </row>
    <row r="16" spans="1:4" ht="15" customHeight="1">
      <c r="A16" s="6" t="s">
        <v>55</v>
      </c>
      <c r="B16" s="9">
        <v>2078</v>
      </c>
      <c r="D16" s="5" t="s">
        <v>56</v>
      </c>
    </row>
    <row r="17" spans="1:4" ht="15" customHeight="1">
      <c r="A17" s="6" t="s">
        <v>57</v>
      </c>
      <c r="B17" s="10">
        <v>56224</v>
      </c>
      <c r="D17" s="5" t="s">
        <v>58</v>
      </c>
    </row>
    <row r="18" spans="1:4" ht="15" customHeight="1">
      <c r="A18" s="6" t="s">
        <v>59</v>
      </c>
      <c r="B18" s="7">
        <v>0.01</v>
      </c>
      <c r="D18" s="5" t="s">
        <v>60</v>
      </c>
    </row>
    <row r="19" spans="1:4" ht="15" customHeight="1">
      <c r="A19" s="6" t="s">
        <v>61</v>
      </c>
      <c r="B19" s="9">
        <v>20</v>
      </c>
      <c r="D19" s="5" t="s">
        <v>62</v>
      </c>
    </row>
    <row r="20" spans="1:4" ht="15" customHeight="1">
      <c r="A20" s="6" t="s">
        <v>63</v>
      </c>
      <c r="B20" s="9">
        <v>5</v>
      </c>
      <c r="D20" s="5" t="s">
        <v>64</v>
      </c>
    </row>
    <row r="21" spans="1:4" ht="30" customHeight="1">
      <c r="A21" s="6" t="s">
        <v>65</v>
      </c>
      <c r="B21" s="9">
        <v>48</v>
      </c>
      <c r="D21" s="5" t="s">
        <v>66</v>
      </c>
    </row>
    <row r="22" spans="1:4" ht="30" customHeight="1">
      <c r="A22" s="6" t="s">
        <v>67</v>
      </c>
      <c r="B22" s="11" t="s">
        <v>68</v>
      </c>
      <c r="D22" s="5" t="s">
        <v>69</v>
      </c>
    </row>
    <row r="24" spans="1:4">
      <c r="A24" s="33" t="s">
        <v>70</v>
      </c>
      <c r="B24" s="31"/>
      <c r="C24" s="31"/>
      <c r="D24" s="31"/>
    </row>
    <row r="25" spans="1:4">
      <c r="A25" s="12"/>
      <c r="B25" s="12" t="s">
        <v>71</v>
      </c>
      <c r="C25" s="12" t="s">
        <v>72</v>
      </c>
    </row>
    <row r="26" spans="1:4">
      <c r="A26" s="6" t="s">
        <v>73</v>
      </c>
      <c r="B26" s="9">
        <v>1978</v>
      </c>
      <c r="C26" s="9">
        <v>1983</v>
      </c>
    </row>
    <row r="27" spans="1:4">
      <c r="A27" s="6" t="s">
        <v>74</v>
      </c>
      <c r="B27" s="9">
        <v>3</v>
      </c>
      <c r="C27" s="9">
        <v>9</v>
      </c>
    </row>
    <row r="28" spans="1:4" ht="30">
      <c r="A28" s="6" t="s">
        <v>75</v>
      </c>
      <c r="B28" s="10">
        <v>54000</v>
      </c>
      <c r="C28" s="10">
        <v>29000</v>
      </c>
    </row>
    <row r="29" spans="1:4">
      <c r="A29" s="6" t="s">
        <v>76</v>
      </c>
      <c r="B29" s="9">
        <v>2004</v>
      </c>
      <c r="C29" s="9">
        <v>2008</v>
      </c>
    </row>
    <row r="30" spans="1:4" ht="15" customHeight="1">
      <c r="A30" s="6" t="s">
        <v>77</v>
      </c>
      <c r="B30" s="8">
        <v>355887.26</v>
      </c>
      <c r="C30" s="8">
        <v>156401.91</v>
      </c>
      <c r="D30" s="5" t="s">
        <v>78</v>
      </c>
    </row>
    <row r="31" spans="1:4">
      <c r="A31" s="6" t="s">
        <v>79</v>
      </c>
      <c r="B31" s="11" t="s">
        <v>71</v>
      </c>
      <c r="C31" s="11" t="s">
        <v>72</v>
      </c>
    </row>
    <row r="33" spans="1:4">
      <c r="A33" s="33" t="s">
        <v>80</v>
      </c>
      <c r="B33" s="31"/>
      <c r="C33" s="31"/>
      <c r="D33" s="31"/>
    </row>
    <row r="34" spans="1:4">
      <c r="A34" s="6" t="s">
        <v>81</v>
      </c>
      <c r="B34" s="10">
        <v>39600</v>
      </c>
    </row>
    <row r="35" spans="1:4" ht="30">
      <c r="A35" s="6" t="s">
        <v>82</v>
      </c>
      <c r="B35" s="10">
        <v>0</v>
      </c>
    </row>
    <row r="36" spans="1:4" ht="30">
      <c r="A36" s="6" t="s">
        <v>83</v>
      </c>
      <c r="B36" s="10">
        <v>0</v>
      </c>
    </row>
    <row r="37" spans="1:4">
      <c r="A37" s="6" t="s">
        <v>84</v>
      </c>
      <c r="B37" s="13">
        <f>p_sp_com+p_sp_T+p_sp_C</f>
        <v>39600</v>
      </c>
    </row>
    <row r="38" spans="1:4" ht="45">
      <c r="A38" s="6" t="s">
        <v>85</v>
      </c>
      <c r="B38" s="14">
        <f>p_spesa/2/Tz_netto</f>
        <v>0.5696549768504694</v>
      </c>
    </row>
    <row r="39" spans="1:4" ht="45">
      <c r="A39" s="6" t="s">
        <v>86</v>
      </c>
      <c r="B39" s="14">
        <f>p_spesa/2/Cm_netto</f>
        <v>0.86543773342946984</v>
      </c>
    </row>
    <row r="40" spans="1:4" ht="45">
      <c r="A40" s="6" t="s">
        <v>87</v>
      </c>
      <c r="B40" s="14">
        <f>p_spesa/(Tz_netto+Cm_netto)</f>
        <v>0.68706489618516575</v>
      </c>
    </row>
    <row r="42" spans="1:4">
      <c r="A42" s="33" t="s">
        <v>88</v>
      </c>
      <c r="B42" s="31"/>
      <c r="C42" s="31"/>
      <c r="D42" s="31"/>
    </row>
    <row r="43" spans="1:4">
      <c r="A43" s="12"/>
      <c r="B43" s="12" t="s">
        <v>89</v>
      </c>
      <c r="C43" s="12" t="s">
        <v>90</v>
      </c>
      <c r="D43" s="12" t="s">
        <v>91</v>
      </c>
    </row>
    <row r="44" spans="1:4">
      <c r="A44" s="6" t="s">
        <v>92</v>
      </c>
      <c r="B44" s="8">
        <v>400000</v>
      </c>
      <c r="C44" s="8">
        <v>238297.25</v>
      </c>
      <c r="D44" s="14">
        <f>1-C44/B44</f>
        <v>0.40425687499999996</v>
      </c>
    </row>
    <row r="45" spans="1:4">
      <c r="A45" s="6" t="s">
        <v>93</v>
      </c>
      <c r="B45" s="8">
        <v>180000</v>
      </c>
      <c r="C45" s="8">
        <v>119854.49</v>
      </c>
      <c r="D45" s="14">
        <f>1-C45/B45</f>
        <v>0.33414172222222216</v>
      </c>
    </row>
    <row r="46" spans="1:4">
      <c r="A46" s="6" t="s">
        <v>94</v>
      </c>
      <c r="B46" s="8">
        <v>170000</v>
      </c>
      <c r="C46" s="8">
        <v>102895.12</v>
      </c>
      <c r="D46" s="14">
        <f>1-C46/B46</f>
        <v>0.39473458823529417</v>
      </c>
    </row>
    <row r="47" spans="1:4">
      <c r="A47" s="6" t="s">
        <v>95</v>
      </c>
      <c r="B47" s="15">
        <f>Pt_T_val+Pt_C_val+Pt_J_val</f>
        <v>750000</v>
      </c>
      <c r="C47" s="15">
        <f>Pt_T_base+Pt_C_base+Pt_J_base</f>
        <v>461046.86</v>
      </c>
      <c r="D47" s="14">
        <f>1-Pat_B/Pat_W</f>
        <v>0.38527085333333333</v>
      </c>
    </row>
    <row r="48" spans="1:4" ht="15" customHeight="1">
      <c r="A48" s="34" t="s">
        <v>96</v>
      </c>
      <c r="B48" s="31"/>
      <c r="C48" s="31"/>
      <c r="D48" s="31"/>
    </row>
    <row r="49" spans="1:4" ht="45">
      <c r="A49" s="6" t="s">
        <v>97</v>
      </c>
      <c r="B49" s="10">
        <v>200000</v>
      </c>
    </row>
    <row r="50" spans="1:4">
      <c r="A50" s="6" t="s">
        <v>98</v>
      </c>
      <c r="B50" s="9">
        <v>2015</v>
      </c>
    </row>
    <row r="51" spans="1:4" ht="30" customHeight="1">
      <c r="A51" s="6" t="s">
        <v>99</v>
      </c>
      <c r="B51" s="15">
        <f>Ered_nom*F_nom^(2026-Ered_anno)</f>
        <v>336726.51142746926</v>
      </c>
      <c r="D51" s="5" t="s">
        <v>100</v>
      </c>
    </row>
    <row r="53" spans="1:4">
      <c r="A53" s="33" t="s">
        <v>101</v>
      </c>
      <c r="B53" s="31"/>
      <c r="C53" s="31"/>
      <c r="D53" s="31"/>
    </row>
    <row r="54" spans="1:4">
      <c r="A54" s="6" t="s">
        <v>102</v>
      </c>
      <c r="B54" s="9">
        <v>2026</v>
      </c>
    </row>
    <row r="55" spans="1:4">
      <c r="A55" s="6" t="s">
        <v>103</v>
      </c>
      <c r="B55" s="9">
        <v>2026</v>
      </c>
    </row>
    <row r="56" spans="1:4" ht="30">
      <c r="A56" s="6" t="s">
        <v>104</v>
      </c>
      <c r="B56" s="9">
        <v>2029</v>
      </c>
    </row>
    <row r="57" spans="1:4">
      <c r="A57" s="6" t="s">
        <v>105</v>
      </c>
      <c r="B57" s="9">
        <v>2026</v>
      </c>
    </row>
    <row r="58" spans="1:4">
      <c r="A58" s="6" t="s">
        <v>106</v>
      </c>
      <c r="B58" s="9">
        <v>2033</v>
      </c>
    </row>
    <row r="60" spans="1:4">
      <c r="A60" s="33" t="s">
        <v>107</v>
      </c>
      <c r="B60" s="31"/>
      <c r="C60" s="31"/>
      <c r="D60" s="31"/>
    </row>
    <row r="61" spans="1:4" ht="30">
      <c r="A61" s="6" t="s">
        <v>108</v>
      </c>
      <c r="B61" s="11" t="s">
        <v>109</v>
      </c>
    </row>
    <row r="62" spans="1:4">
      <c r="A62" s="6" t="s">
        <v>110</v>
      </c>
      <c r="B62" s="9">
        <v>2035</v>
      </c>
    </row>
    <row r="63" spans="1:4" ht="45">
      <c r="A63" s="6" t="s">
        <v>111</v>
      </c>
      <c r="B63" s="9">
        <v>1</v>
      </c>
    </row>
    <row r="64" spans="1:4" ht="30">
      <c r="A64" s="6" t="s">
        <v>112</v>
      </c>
      <c r="B64" s="9">
        <v>0</v>
      </c>
    </row>
    <row r="65" spans="1:4" ht="45">
      <c r="A65" s="6" t="s">
        <v>113</v>
      </c>
      <c r="B65" s="9">
        <v>0</v>
      </c>
    </row>
    <row r="66" spans="1:4" ht="45">
      <c r="A66" s="6" t="s">
        <v>114</v>
      </c>
      <c r="B66" s="9">
        <v>0</v>
      </c>
    </row>
    <row r="67" spans="1:4" ht="30">
      <c r="A67" s="6" t="s">
        <v>115</v>
      </c>
      <c r="B67" s="16">
        <v>0.6</v>
      </c>
    </row>
    <row r="68" spans="1:4" ht="15" customHeight="1">
      <c r="A68" s="6" t="s">
        <v>116</v>
      </c>
      <c r="B68" s="17">
        <v>1.4921</v>
      </c>
      <c r="D68" s="5" t="s">
        <v>117</v>
      </c>
    </row>
    <row r="69" spans="1:4" ht="30">
      <c r="A69" s="6" t="s">
        <v>118</v>
      </c>
      <c r="B69" s="17">
        <v>1.5648</v>
      </c>
    </row>
  </sheetData>
  <mergeCells count="10">
    <mergeCell ref="A60:D60"/>
    <mergeCell ref="A1:D1"/>
    <mergeCell ref="A5:D5"/>
    <mergeCell ref="A53:D53"/>
    <mergeCell ref="A48:D48"/>
    <mergeCell ref="A3:D3"/>
    <mergeCell ref="A24:D24"/>
    <mergeCell ref="A2:D2"/>
    <mergeCell ref="A33:D33"/>
    <mergeCell ref="A42:D42"/>
  </mergeCells>
  <dataValidations count="12">
    <dataValidation type="list" sqref="B22">
      <formula1>"coefficienti di oggi,revisione continua,revisione accelerata"</formula1>
    </dataValidation>
    <dataValidation type="whole" error="Inserisci un numero intero tra 2026 e 2044" sqref="B54">
      <formula1>2026</formula1>
      <formula2>2044</formula2>
    </dataValidation>
    <dataValidation type="whole" error="Inserisci un numero intero tra 2026 e 2044" sqref="B55">
      <formula1>2026</formula1>
      <formula2>2044</formula2>
    </dataValidation>
    <dataValidation type="whole" error="Inserisci un numero intero tra 2026 e 2044" sqref="B56">
      <formula1>2026</formula1>
      <formula2>2044</formula2>
    </dataValidation>
    <dataValidation type="whole" error="Inserisci un numero intero tra 2026 e 2044" sqref="B57">
      <formula1>2026</formula1>
      <formula2>2044</formula2>
    </dataValidation>
    <dataValidation type="whole" error="Inserisci un numero intero tra 2026 e 2044" sqref="B58">
      <formula1>2026</formula1>
      <formula2>2044</formula2>
    </dataValidation>
    <dataValidation type="list" sqref="B61">
      <formula1>"T,C,nessuno"</formula1>
    </dataValidation>
    <dataValidation type="whole" error="Inserisci un numero intero tra 2026 e 2077" sqref="B62">
      <formula1>2026</formula1>
      <formula2>2077</formula2>
    </dataValidation>
    <dataValidation type="whole" error="Inserisci un numero intero tra 1 e 2" sqref="B63">
      <formula1>1</formula1>
      <formula2>2</formula2>
    </dataValidation>
    <dataValidation type="whole" error="Inserisci un numero intero tra 0 e 1" sqref="B64">
      <formula1>0</formula1>
      <formula2>1</formula2>
    </dataValidation>
    <dataValidation type="whole" error="Inserisci un numero intero tra 0 e 2" sqref="B65">
      <formula1>0</formula1>
      <formula2>2</formula2>
    </dataValidation>
    <dataValidation type="whole" error="Inserisci un numero intero tra 0 e 1" sqref="B66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2"/>
  <sheetViews>
    <sheetView workbookViewId="0"/>
  </sheetViews>
  <sheetFormatPr defaultRowHeight="15"/>
  <cols>
    <col min="1" max="1" width="25" customWidth="1"/>
    <col min="2" max="2" width="21" customWidth="1"/>
    <col min="3" max="3" width="23" customWidth="1"/>
    <col min="4" max="5" width="18" customWidth="1"/>
    <col min="6" max="6" width="21" customWidth="1"/>
    <col min="7" max="7" width="18" customWidth="1"/>
    <col min="8" max="8" width="17" customWidth="1"/>
    <col min="9" max="9" width="25" customWidth="1"/>
    <col min="10" max="12" width="17" customWidth="1"/>
    <col min="13" max="13" width="22" customWidth="1"/>
    <col min="14" max="14" width="24" customWidth="1"/>
  </cols>
  <sheetData>
    <row r="1" spans="1:8" ht="24.95" customHeight="1">
      <c r="A1" s="32" t="s">
        <v>119</v>
      </c>
      <c r="B1" s="31"/>
      <c r="C1" s="31"/>
      <c r="D1" s="31"/>
      <c r="E1" s="31"/>
      <c r="F1" s="31"/>
      <c r="G1" s="31"/>
      <c r="H1" s="31"/>
    </row>
    <row r="2" spans="1:8" ht="32.1" customHeight="1">
      <c r="A2" s="30" t="s">
        <v>1</v>
      </c>
      <c r="B2" s="31"/>
      <c r="C2" s="31"/>
      <c r="D2" s="31"/>
      <c r="E2" s="31"/>
      <c r="F2" s="31"/>
      <c r="G2" s="31"/>
      <c r="H2" s="31"/>
    </row>
    <row r="3" spans="1:8" ht="30" customHeight="1">
      <c r="A3" s="34" t="s">
        <v>120</v>
      </c>
      <c r="B3" s="31"/>
      <c r="C3" s="31"/>
      <c r="D3" s="31"/>
      <c r="E3" s="31"/>
      <c r="F3" s="31"/>
      <c r="G3" s="31"/>
      <c r="H3" s="31"/>
    </row>
    <row r="5" spans="1:8">
      <c r="A5" s="33" t="s">
        <v>121</v>
      </c>
      <c r="B5" s="31"/>
      <c r="C5" s="31"/>
    </row>
    <row r="6" spans="1:8">
      <c r="A6" s="12"/>
      <c r="B6" s="12" t="s">
        <v>71</v>
      </c>
      <c r="C6" s="12" t="s">
        <v>72</v>
      </c>
    </row>
    <row r="7" spans="1:8">
      <c r="A7" s="6" t="s">
        <v>122</v>
      </c>
      <c r="B7" s="15">
        <f>Tz_ral</f>
        <v>54000</v>
      </c>
      <c r="C7" s="15">
        <f>Cm_ral</f>
        <v>29000</v>
      </c>
    </row>
    <row r="8" spans="1:8">
      <c r="A8" s="6" t="s">
        <v>123</v>
      </c>
      <c r="B8" s="15">
        <f>p_contr*Tz_ral</f>
        <v>4962.5999999999995</v>
      </c>
      <c r="C8" s="15">
        <f>p_contr*Cm_ral</f>
        <v>2665.1</v>
      </c>
    </row>
    <row r="9" spans="1:8" ht="30">
      <c r="A9" s="6" t="s">
        <v>59</v>
      </c>
      <c r="B9" s="15">
        <f>p_ivs_aliq*MAX(0,Tz_ral-p_ivs_soglia)</f>
        <v>0</v>
      </c>
      <c r="C9" s="15">
        <f>p_ivs_aliq*MAX(0,Cm_ral-p_ivs_soglia)</f>
        <v>0</v>
      </c>
    </row>
    <row r="10" spans="1:8">
      <c r="A10" s="6" t="s">
        <v>124</v>
      </c>
      <c r="B10" s="15">
        <f>Tz_ral-B8-B9</f>
        <v>49037.4</v>
      </c>
      <c r="C10" s="15">
        <f>Cm_ral-C8-C9</f>
        <v>26334.9</v>
      </c>
    </row>
    <row r="11" spans="1:8">
      <c r="A11" s="6" t="s">
        <v>125</v>
      </c>
      <c r="B11" s="15">
        <f>IF(B10&lt;=sc_L1,sc_A1*B10,IF(B10&lt;=sc_L2,sc_B1+sc_A2*(B10-sc_L1),sc_B2+sc_A3*(B10-sc_L2)))</f>
        <v>13382.342000000001</v>
      </c>
      <c r="C11" s="15">
        <f>IF(C10&lt;=sc_L1,sc_A1*C10,IF(C10&lt;=sc_L2,sc_B1+sc_A2*(C10-sc_L1),sc_B2+sc_A3*(C10-sc_L2)))</f>
        <v>6057.027000000001</v>
      </c>
    </row>
    <row r="12" spans="1:8" ht="30">
      <c r="A12" s="6" t="s">
        <v>126</v>
      </c>
      <c r="B12" s="15">
        <f>(IF(B10&lt;=15000,1955,IF(B10&lt;=28000,1910+1190*(28000-B10)/13000,IF(B10&lt;=50000,1910*(50000-B10)/22000,0)))+IF(AND(B10&gt;25000,B10&lt;=35000),65,0))</f>
        <v>83.571181818181685</v>
      </c>
      <c r="C12" s="15">
        <f>(IF(C10&lt;=15000,1955,IF(C10&lt;=28000,1910+1190*(28000-C10)/13000,IF(C10&lt;=50000,1910*(50000-C10)/22000,0)))+IF(AND(C10&gt;25000,C10&lt;=35000),65,0))</f>
        <v>2127.4206923076922</v>
      </c>
    </row>
    <row r="13" spans="1:8" ht="30">
      <c r="A13" s="6" t="s">
        <v>127</v>
      </c>
      <c r="B13" s="15">
        <f>IF(AND(B10&gt;20000,B10&lt;=32000),1000,IF(AND(B10&gt;32000,B10&lt;=40000),1000*(40000-B10)/8000,0))</f>
        <v>0</v>
      </c>
      <c r="C13" s="15">
        <f>IF(AND(C10&gt;20000,C10&lt;=32000),1000,IF(AND(C10&gt;32000,C10&lt;=40000),1000*(40000-C10)/8000,0))</f>
        <v>1000</v>
      </c>
    </row>
    <row r="14" spans="1:8">
      <c r="A14" s="6" t="s">
        <v>128</v>
      </c>
      <c r="B14" s="15">
        <f>MAX(0,B11-B12-B13)</f>
        <v>13298.77081818182</v>
      </c>
      <c r="C14" s="15">
        <f>MAX(0,C11-C12-C13)</f>
        <v>2929.6063076923087</v>
      </c>
    </row>
    <row r="15" spans="1:8">
      <c r="A15" s="6" t="s">
        <v>129</v>
      </c>
      <c r="B15" s="15">
        <f>p_add*B10</f>
        <v>980.74800000000005</v>
      </c>
      <c r="C15" s="15">
        <f>p_add*C10</f>
        <v>526.69800000000009</v>
      </c>
    </row>
    <row r="16" spans="1:8" ht="30">
      <c r="A16" s="6" t="s">
        <v>130</v>
      </c>
      <c r="B16" s="15">
        <f>IF(B10&gt;20000,0,IF(B10&lt;=8500,0.071*B10,IF(B10&lt;=15000,0.053*B10,0.048*B10)))</f>
        <v>0</v>
      </c>
      <c r="C16" s="15">
        <f>IF(C10&gt;20000,0,IF(C10&lt;=8500,0.071*C10,IF(C10&lt;=15000,0.053*C10,0.048*C10)))</f>
        <v>0</v>
      </c>
    </row>
    <row r="17" spans="1:7">
      <c r="A17" s="6" t="s">
        <v>131</v>
      </c>
      <c r="B17" s="15">
        <f>B7-B8-B9-B14-B15+B16</f>
        <v>34757.881181818178</v>
      </c>
      <c r="C17" s="15">
        <f>C7-C8-C9-C14-C15+C16</f>
        <v>22878.595692307692</v>
      </c>
    </row>
    <row r="18" spans="1:7">
      <c r="A18" s="34" t="s">
        <v>132</v>
      </c>
      <c r="B18" s="31"/>
      <c r="C18" s="31"/>
    </row>
    <row r="20" spans="1:7">
      <c r="A20" s="33" t="s">
        <v>133</v>
      </c>
      <c r="B20" s="31"/>
      <c r="C20" s="31"/>
      <c r="D20" s="31"/>
      <c r="E20" s="31"/>
      <c r="F20" s="31"/>
    </row>
    <row r="21" spans="1:7" ht="32.1" customHeight="1">
      <c r="A21" s="12" t="s">
        <v>134</v>
      </c>
      <c r="B21" s="12" t="s">
        <v>135</v>
      </c>
      <c r="C21" s="12" t="s">
        <v>136</v>
      </c>
      <c r="D21" s="12" t="s">
        <v>137</v>
      </c>
      <c r="E21" s="12" t="s">
        <v>138</v>
      </c>
      <c r="F21" s="12" t="s">
        <v>139</v>
      </c>
    </row>
    <row r="22" spans="1:7">
      <c r="A22" s="6" t="s">
        <v>140</v>
      </c>
      <c r="B22" s="10">
        <v>54000</v>
      </c>
      <c r="C22" s="10">
        <v>29000</v>
      </c>
      <c r="D22" s="15">
        <f t="shared" ref="D22:E25" si="0">B22-p_contr*B22-p_ivs_aliq*MAX(0,B22-p_ivs_soglia)-MAX(0,IF((B22-p_contr*B22-p_ivs_aliq*MAX(0,B22-p_ivs_soglia))&lt;=sc_L1,sc_A1*(B22-p_contr*B22-p_ivs_aliq*MAX(0,B22-p_ivs_soglia)),IF((B22-p_contr*B22-p_ivs_aliq*MAX(0,B22-p_ivs_soglia))&lt;=sc_L2,sc_B1+sc_A2*((B22-p_contr*B22-p_ivs_aliq*MAX(0,B22-p_ivs_soglia))-sc_L1),sc_B2+sc_A3*((B22-p_contr*B22-p_ivs_aliq*MAX(0,B22-p_ivs_soglia))-sc_L2)))-(IF((B22-p_contr*B22-p_ivs_aliq*MAX(0,B22-p_ivs_soglia))&lt;=15000,1955,IF((B22-p_contr*B22-p_ivs_aliq*MAX(0,B22-p_ivs_soglia))&lt;=28000,1910+1190*(28000-(B22-p_contr*B22-p_ivs_aliq*MAX(0,B22-p_ivs_soglia)))/13000,IF((B22-p_contr*B22-p_ivs_aliq*MAX(0,B22-p_ivs_soglia))&lt;=50000,1910*(50000-(B22-p_contr*B22-p_ivs_aliq*MAX(0,B22-p_ivs_soglia)))/22000,0)))+IF(AND((B22-p_contr*B22-p_ivs_aliq*MAX(0,B22-p_ivs_soglia))&gt;25000,(B22-p_contr*B22-p_ivs_aliq*MAX(0,B22-p_ivs_soglia))&lt;=35000),65,0))-IF(AND((B22-p_contr*B22-p_ivs_aliq*MAX(0,B22-p_ivs_soglia))&gt;20000,(B22-p_contr*B22-p_ivs_aliq*MAX(0,B22-p_ivs_soglia))&lt;=32000),1000,IF(AND((B22-p_contr*B22-p_ivs_aliq*MAX(0,B22-p_ivs_soglia))&gt;32000,(B22-p_contr*B22-p_ivs_aliq*MAX(0,B22-p_ivs_soglia))&lt;=40000),1000*(40000-(B22-p_contr*B22-p_ivs_aliq*MAX(0,B22-p_ivs_soglia)))/8000,0)))-p_add*(B22-p_contr*B22-p_ivs_aliq*MAX(0,B22-p_ivs_soglia))+IF((B22-p_contr*B22-p_ivs_aliq*MAX(0,B22-p_ivs_soglia))&gt;20000,0,IF((B22-p_contr*B22-p_ivs_aliq*MAX(0,B22-p_ivs_soglia))&lt;=8500,0.071*(B22-p_contr*B22-p_ivs_aliq*MAX(0,B22-p_ivs_soglia)),IF((B22-p_contr*B22-p_ivs_aliq*MAX(0,B22-p_ivs_soglia))&lt;=15000,0.053*(B22-p_contr*B22-p_ivs_aliq*MAX(0,B22-p_ivs_soglia)),0.048*(B22-p_contr*B22-p_ivs_aliq*MAX(0,B22-p_ivs_soglia)))))</f>
        <v>34757.881181818178</v>
      </c>
      <c r="E22" s="15">
        <f t="shared" si="0"/>
        <v>22878.595692307692</v>
      </c>
      <c r="F22" s="15">
        <f>D22+E22</f>
        <v>57636.476874125874</v>
      </c>
    </row>
    <row r="23" spans="1:7">
      <c r="A23" s="6" t="s">
        <v>141</v>
      </c>
      <c r="B23" s="10">
        <v>65000</v>
      </c>
      <c r="C23" s="10">
        <v>18000</v>
      </c>
      <c r="D23" s="15">
        <f t="shared" si="0"/>
        <v>40216.307000000001</v>
      </c>
      <c r="E23" s="15">
        <f t="shared" si="0"/>
        <v>16020.75593846154</v>
      </c>
      <c r="F23" s="15">
        <f>D23+E23</f>
        <v>56237.062938461539</v>
      </c>
    </row>
    <row r="24" spans="1:7">
      <c r="A24" s="6" t="s">
        <v>142</v>
      </c>
      <c r="B24" s="10">
        <v>41500</v>
      </c>
      <c r="C24" s="10">
        <v>41500</v>
      </c>
      <c r="D24" s="15">
        <f t="shared" si="0"/>
        <v>28654.294818181817</v>
      </c>
      <c r="E24" s="15">
        <f t="shared" si="0"/>
        <v>28654.294818181817</v>
      </c>
      <c r="F24" s="15">
        <f>D24+E24</f>
        <v>57308.589636363635</v>
      </c>
    </row>
    <row r="25" spans="1:7">
      <c r="A25" s="6" t="s">
        <v>143</v>
      </c>
      <c r="B25" s="10">
        <v>83000</v>
      </c>
      <c r="C25" s="10">
        <v>0</v>
      </c>
      <c r="D25" s="15">
        <f t="shared" si="0"/>
        <v>49107.49700000001</v>
      </c>
      <c r="E25" s="15">
        <f t="shared" si="0"/>
        <v>0</v>
      </c>
      <c r="F25" s="15">
        <f>D25+E25</f>
        <v>49107.49700000001</v>
      </c>
    </row>
    <row r="26" spans="1:7" ht="15" customHeight="1">
      <c r="A26" s="34" t="s">
        <v>144</v>
      </c>
      <c r="B26" s="31"/>
      <c r="C26" s="31"/>
      <c r="D26" s="31"/>
      <c r="E26" s="31"/>
      <c r="F26" s="31"/>
    </row>
    <row r="28" spans="1:7">
      <c r="A28" s="33" t="s">
        <v>145</v>
      </c>
      <c r="B28" s="31"/>
      <c r="C28" s="31"/>
      <c r="D28" s="31"/>
      <c r="E28" s="31"/>
      <c r="F28" s="31"/>
      <c r="G28" s="31"/>
    </row>
    <row r="29" spans="1:7" ht="32.1" customHeight="1">
      <c r="A29" s="12"/>
      <c r="B29" s="12" t="s">
        <v>146</v>
      </c>
      <c r="C29" s="12" t="s">
        <v>147</v>
      </c>
      <c r="D29" s="12" t="s">
        <v>148</v>
      </c>
      <c r="E29" s="12" t="s">
        <v>149</v>
      </c>
      <c r="F29" s="12" t="s">
        <v>150</v>
      </c>
      <c r="G29" s="12" t="s">
        <v>151</v>
      </c>
    </row>
    <row r="30" spans="1:7">
      <c r="A30" s="6" t="s">
        <v>152</v>
      </c>
      <c r="B30" s="18">
        <f>U_oggi_T</f>
        <v>2026</v>
      </c>
      <c r="C30" s="18">
        <f>U_oggi_C</f>
        <v>2026</v>
      </c>
      <c r="D30" s="18">
        <f>U_com</f>
        <v>2029</v>
      </c>
      <c r="E30" s="18">
        <f>U_com</f>
        <v>2029</v>
      </c>
      <c r="F30" s="18">
        <f>U_lib_T</f>
        <v>2026</v>
      </c>
      <c r="G30" s="18">
        <f>U_lib_C</f>
        <v>2033</v>
      </c>
    </row>
    <row r="31" spans="1:7">
      <c r="A31" s="6" t="s">
        <v>153</v>
      </c>
      <c r="B31" s="18">
        <f>U_oggi_T-Tz_primo+1</f>
        <v>23</v>
      </c>
      <c r="C31" s="18">
        <f>U_oggi_C-Cm_primo+1</f>
        <v>19</v>
      </c>
      <c r="D31" s="18">
        <f>U_com-Tz_primo+1</f>
        <v>26</v>
      </c>
      <c r="E31" s="18">
        <f>U_com-Cm_primo+1</f>
        <v>22</v>
      </c>
      <c r="F31" s="18">
        <f>U_lib_T-Tz_primo+1</f>
        <v>23</v>
      </c>
      <c r="G31" s="18">
        <f>U_lib_C-Cm_primo+1</f>
        <v>26</v>
      </c>
    </row>
    <row r="32" spans="1:7">
      <c r="A32" s="6" t="s">
        <v>154</v>
      </c>
      <c r="B32" s="19" t="str">
        <f t="shared" ref="B32:G32" si="1">IF(B31&lt;p_anni_min,"via dei 71 anni adeguati","vecchiaia ordinaria")</f>
        <v>vecchiaia ordinaria</v>
      </c>
      <c r="C32" s="19" t="str">
        <f t="shared" si="1"/>
        <v>via dei 71 anni adeguati</v>
      </c>
      <c r="D32" s="19" t="str">
        <f t="shared" si="1"/>
        <v>vecchiaia ordinaria</v>
      </c>
      <c r="E32" s="19" t="str">
        <f t="shared" si="1"/>
        <v>vecchiaia ordinaria</v>
      </c>
      <c r="F32" s="19" t="str">
        <f t="shared" si="1"/>
        <v>vecchiaia ordinaria</v>
      </c>
      <c r="G32" s="19" t="str">
        <f t="shared" si="1"/>
        <v>vecchiaia ordinaria</v>
      </c>
    </row>
    <row r="33" spans="1:14" ht="150" customHeight="1">
      <c r="A33" s="6" t="s">
        <v>155</v>
      </c>
      <c r="B33" s="20" t="str">
        <f t="shared" ref="B33:G33" si="2">IF(B31&lt;p_anni_eff,"Con meno di "&amp;p_anni_eff&amp;" anni effettivi la pensione di vecchiaia non spetta",IF(B31&lt;p_anni_min,"Sotto i "&amp;p_anni_min&amp;" anni di contributi la pensione di vecchiaia arriva al requisito dei 71 anni adeguati (DL 201/2011 art. 24 c. 7), con almeno "&amp;p_anni_eff&amp;" anni effettivi. Dal 2029 il requisito è una proiezione. Un anno di lavoro in più può anticipare la pensione di oltre quattro anni.",""))</f>
        <v/>
      </c>
      <c r="C33" s="20" t="str">
        <f t="shared" si="2"/>
        <v>Sotto i 20 anni di contributi la pensione di vecchiaia arriva al requisito dei 71 anni adeguati (DL 201/2011 art. 24 c. 7), con almeno 5 anni effettivi. Dal 2029 il requisito è una proiezione. Un anno di lavoro in più può anticipare la pensione di oltre quattro anni.</v>
      </c>
      <c r="D33" s="20" t="str">
        <f t="shared" si="2"/>
        <v/>
      </c>
      <c r="E33" s="20" t="str">
        <f t="shared" si="2"/>
        <v/>
      </c>
      <c r="F33" s="20" t="str">
        <f t="shared" si="2"/>
        <v/>
      </c>
      <c r="G33" s="20" t="str">
        <f t="shared" si="2"/>
        <v/>
      </c>
    </row>
    <row r="34" spans="1:14">
      <c r="A34" s="6" t="s">
        <v>156</v>
      </c>
      <c r="B34" s="19" t="str">
        <f>TEXT(INDEX(PT_dm,U_oggi_T-2025),"00")&amp;"/"&amp;INDEX(PT_da,U_oggi_T-2025)</f>
        <v>12/2046</v>
      </c>
      <c r="C34" s="19" t="str">
        <f>TEXT(INDEX(PC_dm,U_oggi_C-2025),"00")&amp;"/"&amp;INDEX(PC_da,U_oggi_C-2025)</f>
        <v>05/2057</v>
      </c>
      <c r="D34" s="19" t="str">
        <f>TEXT(INDEX(PT_dm,U_com-2025),"00")&amp;"/"&amp;INDEX(PT_da,U_com-2025)</f>
        <v>12/2046</v>
      </c>
      <c r="E34" s="19" t="str">
        <f>TEXT(INDEX(PC_dm,U_com-2025),"00")&amp;"/"&amp;INDEX(PC_da,U_com-2025)</f>
        <v>12/2052</v>
      </c>
      <c r="F34" s="19" t="str">
        <f>TEXT(INDEX(PT_dm,U_lib_T-2025),"00")&amp;"/"&amp;INDEX(PT_da,U_lib_T-2025)</f>
        <v>12/2046</v>
      </c>
      <c r="G34" s="19" t="str">
        <f>TEXT(INDEX(PC_dm,U_lib_C-2025),"00")&amp;"/"&amp;INDEX(PC_da,U_lib_C-2025)</f>
        <v>12/2052</v>
      </c>
    </row>
    <row r="35" spans="1:14">
      <c r="A35" s="6" t="s">
        <v>157</v>
      </c>
      <c r="B35" s="19" t="str">
        <f>INT(INDEX(PT_em,U_oggi_T-2025)/12)&amp;" anni e "&amp;MOD(INDEX(PT_em,U_oggi_T-2025),12)&amp;" mesi"</f>
        <v>68 anni e 9 mesi</v>
      </c>
      <c r="C35" s="19" t="str">
        <f>INT(INDEX(PC_em,U_oggi_C-2025)/12)&amp;" anni e "&amp;MOD(INDEX(PC_em,U_oggi_C-2025),12)&amp;" mesi"</f>
        <v>73 anni e 8 mesi</v>
      </c>
      <c r="D35" s="19" t="str">
        <f>INT(INDEX(PT_em,U_com-2025)/12)&amp;" anni e "&amp;MOD(INDEX(PT_em,U_com-2025),12)&amp;" mesi"</f>
        <v>68 anni e 9 mesi</v>
      </c>
      <c r="E35" s="19" t="str">
        <f>INT(INDEX(PC_em,U_com-2025)/12)&amp;" anni e "&amp;MOD(INDEX(PC_em,U_com-2025),12)&amp;" mesi"</f>
        <v>69 anni e 3 mesi</v>
      </c>
      <c r="F35" s="19" t="str">
        <f>INT(INDEX(PT_em,U_lib_T-2025)/12)&amp;" anni e "&amp;MOD(INDEX(PT_em,U_lib_T-2025),12)&amp;" mesi"</f>
        <v>68 anni e 9 mesi</v>
      </c>
      <c r="G35" s="19" t="str">
        <f>INT(INDEX(PC_em,U_lib_C-2025)/12)&amp;" anni e "&amp;MOD(INDEX(PC_em,U_lib_C-2025),12)&amp;" mesi"</f>
        <v>69 anni e 3 mesi</v>
      </c>
    </row>
    <row r="36" spans="1:14">
      <c r="A36" s="6" t="s">
        <v>158</v>
      </c>
      <c r="B36" s="15">
        <f>INDEX(PT_lorda,U_oggi_T-2025)</f>
        <v>23475.130095200846</v>
      </c>
      <c r="C36" s="15">
        <f>INDEX(PC_lorda,U_oggi_C-2025)</f>
        <v>11884.227459406509</v>
      </c>
      <c r="D36" s="15">
        <f>INDEX(PT_lorda,U_com-2025)</f>
        <v>26966.501079193011</v>
      </c>
      <c r="E36" s="15">
        <f>INDEX(PC_lorda,U_com-2025)</f>
        <v>12798.691518918184</v>
      </c>
      <c r="F36" s="15">
        <f>INDEX(PT_lorda,U_lib_T-2025)</f>
        <v>23475.130095200846</v>
      </c>
      <c r="G36" s="15">
        <f>INDEX(PC_lorda,U_lib_C-2025)</f>
        <v>15377.773010224988</v>
      </c>
    </row>
    <row r="37" spans="1:14">
      <c r="A37" s="6" t="s">
        <v>159</v>
      </c>
      <c r="B37" s="15">
        <f>INDEX(PT_netta,U_oggi_T-2025)</f>
        <v>18597.563557581299</v>
      </c>
      <c r="C37" s="15">
        <f>INDEX(PC_netta,U_oggi_C-2025)</f>
        <v>10650.365186270001</v>
      </c>
      <c r="D37" s="15">
        <f>INDEX(PT_netta,U_com-2025)</f>
        <v>21041.390739939001</v>
      </c>
      <c r="E37" s="15">
        <f>INDEX(PC_netta,U_com-2025)</f>
        <v>11277.359261945441</v>
      </c>
      <c r="F37" s="15">
        <f>INDEX(PT_netta,U_lib_T-2025)</f>
        <v>18597.563557581299</v>
      </c>
      <c r="G37" s="15">
        <f>INDEX(PC_netta,U_lib_C-2025)</f>
        <v>13045.683340856825</v>
      </c>
    </row>
    <row r="38" spans="1:14" ht="30">
      <c r="A38" s="6" t="s">
        <v>160</v>
      </c>
      <c r="B38" s="14">
        <f>B37/Tz_netto</f>
        <v>0.53506033524591456</v>
      </c>
      <c r="C38" s="14">
        <f>C37/Cm_netto</f>
        <v>0.46551656095967892</v>
      </c>
      <c r="D38" s="14">
        <f>D37/Tz_netto</f>
        <v>0.60537035125563798</v>
      </c>
      <c r="E38" s="14">
        <f>E37/Cm_netto</f>
        <v>0.49292183023878289</v>
      </c>
      <c r="F38" s="14">
        <f>F37/Tz_netto</f>
        <v>0.53506033524591456</v>
      </c>
      <c r="G38" s="14">
        <f>G37/Cm_netto</f>
        <v>0.57021346573483456</v>
      </c>
    </row>
    <row r="39" spans="1:14" ht="30">
      <c r="A39" s="6" t="s">
        <v>161</v>
      </c>
      <c r="B39" s="19" t="str">
        <f t="shared" ref="B39:G39" si="3">IF(B36&gt;=p_AS*13,"sì","no")</f>
        <v>sì</v>
      </c>
      <c r="C39" s="19" t="str">
        <f t="shared" si="3"/>
        <v>sì</v>
      </c>
      <c r="D39" s="19" t="str">
        <f t="shared" si="3"/>
        <v>sì</v>
      </c>
      <c r="E39" s="19" t="str">
        <f t="shared" si="3"/>
        <v>sì</v>
      </c>
      <c r="F39" s="19" t="str">
        <f t="shared" si="3"/>
        <v>sì</v>
      </c>
      <c r="G39" s="19" t="str">
        <f t="shared" si="3"/>
        <v>sì</v>
      </c>
    </row>
    <row r="41" spans="1:14" ht="30" customHeight="1">
      <c r="A41" s="34" t="s">
        <v>162</v>
      </c>
      <c r="B41" s="31"/>
      <c r="C41" s="31"/>
      <c r="D41" s="31"/>
      <c r="E41" s="31"/>
      <c r="F41" s="31"/>
      <c r="G41" s="31"/>
    </row>
    <row r="46" spans="1:14">
      <c r="A46" s="33" t="s">
        <v>163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</row>
    <row r="47" spans="1:14" ht="48" customHeight="1">
      <c r="A47" s="12" t="s">
        <v>152</v>
      </c>
      <c r="B47" s="12" t="s">
        <v>153</v>
      </c>
      <c r="C47" s="12" t="s">
        <v>164</v>
      </c>
      <c r="D47" s="12" t="s">
        <v>165</v>
      </c>
      <c r="E47" s="12" t="s">
        <v>166</v>
      </c>
      <c r="F47" s="12" t="s">
        <v>167</v>
      </c>
      <c r="G47" s="12" t="s">
        <v>168</v>
      </c>
      <c r="H47" s="12" t="s">
        <v>169</v>
      </c>
      <c r="I47" s="12" t="s">
        <v>170</v>
      </c>
      <c r="J47" s="12" t="s">
        <v>158</v>
      </c>
      <c r="K47" s="12" t="s">
        <v>171</v>
      </c>
      <c r="L47" s="12" t="s">
        <v>159</v>
      </c>
      <c r="M47" s="12" t="s">
        <v>157</v>
      </c>
      <c r="N47" s="12" t="s">
        <v>172</v>
      </c>
    </row>
    <row r="48" spans="1:14">
      <c r="A48" s="21">
        <v>2026</v>
      </c>
      <c r="B48" s="18">
        <f t="shared" ref="B48:B68" si="4">A48-Tz_primo+1</f>
        <v>23</v>
      </c>
      <c r="C48" s="18">
        <f t="shared" ref="C48:C68" si="5">IF(B48&lt;p_anni_min,1,0)</f>
        <v>0</v>
      </c>
      <c r="D48" s="19" t="str">
        <f t="shared" ref="D48:D68" si="6">IF(C48=1,"via dei 71 anni adeguati","vecchiaia ordinaria")</f>
        <v>vecchiaia ordinaria</v>
      </c>
      <c r="E48" s="18">
        <f t="shared" ref="E48:E68" si="7">IF(C48=1,Tz_v71_da,Tz_ord_da)</f>
        <v>2046</v>
      </c>
      <c r="F48" s="18">
        <f t="shared" ref="F48:F68" si="8">IF(C48=1,Tz_v71_dm,Tz_ord_dm)</f>
        <v>12</v>
      </c>
      <c r="G48" s="18">
        <f t="shared" ref="G48:G68" si="9">IF(C48=1,Tz_v71_em,Tz_ord_em)</f>
        <v>825</v>
      </c>
      <c r="H48" s="22">
        <f t="shared" ref="H48:H68" si="10">IF(C48=1,Tz_v71_cf,Tz_ord_cf)</f>
        <v>5.9700000000000003E-2</v>
      </c>
      <c r="I48" s="15">
        <f t="shared" ref="I48:I68" si="11">Tz_m26*(1+p_g)^MAX(0,A48-2026)+p_comp*Tz_ral*IF(p_g=0,MAX(0,A48-2026),((1+p_g)^MAX(0,A48-2026)-1)/p_g)</f>
        <v>355887.26</v>
      </c>
      <c r="J48" s="15">
        <f t="shared" ref="J48:J68" si="12">I48*(1+p_g)^MAX(0,E48-A48)*H48</f>
        <v>23475.130095200846</v>
      </c>
      <c r="K48" s="15">
        <f t="shared" ref="K48:K68" si="13">MAX(0,IF(J48&lt;=sc_L1,sc_A1*J48,IF(J48&lt;=sc_L2,sc_B1+sc_A2*(J48-sc_L1),sc_B2+sc_A3*(J48-sc_L2)))-(IF(J48&lt;=8500,1955,IF(J48&lt;=28000,700+1255*(28000-J48)/19500,IF(J48&lt;=50000,700*(50000-J48)/22000,0)))+IF(AND(J48&gt;25000,J48&lt;=29000),50,0)))</f>
        <v>4408.0639357155305</v>
      </c>
      <c r="L48" s="15">
        <f t="shared" ref="L48:L68" si="14">J48-K48-IF(K48&gt;0,p_add*J48,0)</f>
        <v>18597.563557581299</v>
      </c>
      <c r="M48" s="19" t="str">
        <f t="shared" ref="M48:M68" si="15">INT(G48/12)&amp;" anni e "&amp;MOD(G48,12)&amp;" mesi"</f>
        <v>68 anni e 9 mesi</v>
      </c>
      <c r="N48" s="14">
        <f t="shared" ref="N48:N68" si="16">L48/Tz_netto</f>
        <v>0.53506033524591456</v>
      </c>
    </row>
    <row r="49" spans="1:14">
      <c r="A49" s="21">
        <v>2027</v>
      </c>
      <c r="B49" s="18">
        <f t="shared" si="4"/>
        <v>24</v>
      </c>
      <c r="C49" s="18">
        <f t="shared" si="5"/>
        <v>0</v>
      </c>
      <c r="D49" s="19" t="str">
        <f t="shared" si="6"/>
        <v>vecchiaia ordinaria</v>
      </c>
      <c r="E49" s="18">
        <f t="shared" si="7"/>
        <v>2046</v>
      </c>
      <c r="F49" s="18">
        <f t="shared" si="8"/>
        <v>12</v>
      </c>
      <c r="G49" s="18">
        <f t="shared" si="9"/>
        <v>825</v>
      </c>
      <c r="H49" s="22">
        <f t="shared" si="10"/>
        <v>5.9700000000000003E-2</v>
      </c>
      <c r="I49" s="15">
        <f t="shared" si="11"/>
        <v>375486.6962999996</v>
      </c>
      <c r="J49" s="15">
        <f t="shared" si="12"/>
        <v>24644.729676665909</v>
      </c>
      <c r="K49" s="15">
        <f t="shared" si="13"/>
        <v>4752.3460689262729</v>
      </c>
      <c r="L49" s="15">
        <f t="shared" si="14"/>
        <v>19399.48901420632</v>
      </c>
      <c r="M49" s="19" t="str">
        <f t="shared" si="15"/>
        <v>68 anni e 9 mesi</v>
      </c>
      <c r="N49" s="14">
        <f t="shared" si="16"/>
        <v>0.55813209420700183</v>
      </c>
    </row>
    <row r="50" spans="1:14">
      <c r="A50" s="21">
        <v>2028</v>
      </c>
      <c r="B50" s="18">
        <f t="shared" si="4"/>
        <v>25</v>
      </c>
      <c r="C50" s="18">
        <f t="shared" si="5"/>
        <v>0</v>
      </c>
      <c r="D50" s="19" t="str">
        <f t="shared" si="6"/>
        <v>vecchiaia ordinaria</v>
      </c>
      <c r="E50" s="18">
        <f t="shared" si="7"/>
        <v>2046</v>
      </c>
      <c r="F50" s="18">
        <f t="shared" si="8"/>
        <v>12</v>
      </c>
      <c r="G50" s="18">
        <f t="shared" si="9"/>
        <v>825</v>
      </c>
      <c r="H50" s="22">
        <f t="shared" si="10"/>
        <v>5.9700000000000003E-2</v>
      </c>
      <c r="I50" s="15">
        <f t="shared" si="11"/>
        <v>395184.12978149898</v>
      </c>
      <c r="J50" s="15">
        <f t="shared" si="12"/>
        <v>25808.510354740582</v>
      </c>
      <c r="K50" s="15">
        <f t="shared" si="13"/>
        <v>5044.915355703125</v>
      </c>
      <c r="L50" s="15">
        <f t="shared" si="14"/>
        <v>20247.424791942645</v>
      </c>
      <c r="M50" s="19" t="str">
        <f t="shared" si="15"/>
        <v>68 anni e 9 mesi</v>
      </c>
      <c r="N50" s="14">
        <f t="shared" si="16"/>
        <v>0.5825275909664499</v>
      </c>
    </row>
    <row r="51" spans="1:14">
      <c r="A51" s="21">
        <v>2029</v>
      </c>
      <c r="B51" s="18">
        <f t="shared" si="4"/>
        <v>26</v>
      </c>
      <c r="C51" s="18">
        <f t="shared" si="5"/>
        <v>0</v>
      </c>
      <c r="D51" s="19" t="str">
        <f t="shared" si="6"/>
        <v>vecchiaia ordinaria</v>
      </c>
      <c r="E51" s="18">
        <f t="shared" si="7"/>
        <v>2046</v>
      </c>
      <c r="F51" s="18">
        <f t="shared" si="8"/>
        <v>12</v>
      </c>
      <c r="G51" s="18">
        <f t="shared" si="9"/>
        <v>825</v>
      </c>
      <c r="H51" s="22">
        <f t="shared" si="10"/>
        <v>5.9700000000000003E-2</v>
      </c>
      <c r="I51" s="15">
        <f t="shared" si="11"/>
        <v>414980.05043040606</v>
      </c>
      <c r="J51" s="15">
        <f t="shared" si="12"/>
        <v>26966.501079193011</v>
      </c>
      <c r="K51" s="15">
        <f t="shared" si="13"/>
        <v>5385.7803176701482</v>
      </c>
      <c r="L51" s="15">
        <f t="shared" si="14"/>
        <v>21041.390739939001</v>
      </c>
      <c r="M51" s="19" t="str">
        <f t="shared" si="15"/>
        <v>68 anni e 9 mesi</v>
      </c>
      <c r="N51" s="14">
        <f t="shared" si="16"/>
        <v>0.60537035125563798</v>
      </c>
    </row>
    <row r="52" spans="1:14">
      <c r="A52" s="21">
        <v>2030</v>
      </c>
      <c r="B52" s="18">
        <f t="shared" si="4"/>
        <v>27</v>
      </c>
      <c r="C52" s="18">
        <f t="shared" si="5"/>
        <v>0</v>
      </c>
      <c r="D52" s="19" t="str">
        <f t="shared" si="6"/>
        <v>vecchiaia ordinaria</v>
      </c>
      <c r="E52" s="18">
        <f t="shared" si="7"/>
        <v>2046</v>
      </c>
      <c r="F52" s="18">
        <f t="shared" si="8"/>
        <v>12</v>
      </c>
      <c r="G52" s="18">
        <f t="shared" si="9"/>
        <v>825</v>
      </c>
      <c r="H52" s="22">
        <f t="shared" si="10"/>
        <v>5.9700000000000003E-2</v>
      </c>
      <c r="I52" s="15">
        <f t="shared" si="11"/>
        <v>434874.95068255701</v>
      </c>
      <c r="J52" s="15">
        <f t="shared" si="12"/>
        <v>28118.730655762538</v>
      </c>
      <c r="K52" s="15">
        <f t="shared" si="13"/>
        <v>5732.9589099940813</v>
      </c>
      <c r="L52" s="15">
        <f t="shared" si="14"/>
        <v>21823.397132653205</v>
      </c>
      <c r="M52" s="19" t="str">
        <f t="shared" si="15"/>
        <v>68 anni e 9 mesi</v>
      </c>
      <c r="N52" s="14">
        <f t="shared" si="16"/>
        <v>0.62786902971717984</v>
      </c>
    </row>
    <row r="53" spans="1:14">
      <c r="A53" s="21">
        <v>2031</v>
      </c>
      <c r="B53" s="18">
        <f t="shared" si="4"/>
        <v>28</v>
      </c>
      <c r="C53" s="18">
        <f t="shared" si="5"/>
        <v>0</v>
      </c>
      <c r="D53" s="19" t="str">
        <f t="shared" si="6"/>
        <v>vecchiaia ordinaria</v>
      </c>
      <c r="E53" s="18">
        <f t="shared" si="7"/>
        <v>2046</v>
      </c>
      <c r="F53" s="18">
        <f t="shared" si="8"/>
        <v>12</v>
      </c>
      <c r="G53" s="18">
        <f t="shared" si="9"/>
        <v>825</v>
      </c>
      <c r="H53" s="22">
        <f t="shared" si="10"/>
        <v>5.9700000000000003E-2</v>
      </c>
      <c r="I53" s="15">
        <f t="shared" si="11"/>
        <v>454869.32543596905</v>
      </c>
      <c r="J53" s="15">
        <f t="shared" si="12"/>
        <v>29265.227746876524</v>
      </c>
      <c r="K53" s="15">
        <f t="shared" si="13"/>
        <v>6197.7824029607782</v>
      </c>
      <c r="L53" s="15">
        <f t="shared" si="14"/>
        <v>22482.140788978213</v>
      </c>
      <c r="M53" s="19" t="str">
        <f t="shared" si="15"/>
        <v>68 anni e 9 mesi</v>
      </c>
      <c r="N53" s="14">
        <f t="shared" si="16"/>
        <v>0.64682138336840289</v>
      </c>
    </row>
    <row r="54" spans="1:14">
      <c r="A54" s="21">
        <v>2032</v>
      </c>
      <c r="B54" s="18">
        <f t="shared" si="4"/>
        <v>29</v>
      </c>
      <c r="C54" s="18">
        <f t="shared" si="5"/>
        <v>0</v>
      </c>
      <c r="D54" s="19" t="str">
        <f t="shared" si="6"/>
        <v>vecchiaia ordinaria</v>
      </c>
      <c r="E54" s="18">
        <f t="shared" si="7"/>
        <v>2046</v>
      </c>
      <c r="F54" s="18">
        <f t="shared" si="8"/>
        <v>12</v>
      </c>
      <c r="G54" s="18">
        <f t="shared" si="9"/>
        <v>825</v>
      </c>
      <c r="H54" s="22">
        <f t="shared" si="10"/>
        <v>5.9700000000000003E-2</v>
      </c>
      <c r="I54" s="15">
        <f t="shared" si="11"/>
        <v>474963.67206314817</v>
      </c>
      <c r="J54" s="15">
        <f t="shared" si="12"/>
        <v>30406.020872363082</v>
      </c>
      <c r="K54" s="15">
        <f t="shared" si="13"/>
        <v>6610.5420974550061</v>
      </c>
      <c r="L54" s="15">
        <f t="shared" si="14"/>
        <v>23187.358357460813</v>
      </c>
      <c r="M54" s="19" t="str">
        <f t="shared" si="15"/>
        <v>68 anni e 9 mesi</v>
      </c>
      <c r="N54" s="14">
        <f t="shared" si="16"/>
        <v>0.66711081254256954</v>
      </c>
    </row>
    <row r="55" spans="1:14">
      <c r="A55" s="21">
        <v>2033</v>
      </c>
      <c r="B55" s="18">
        <f t="shared" si="4"/>
        <v>30</v>
      </c>
      <c r="C55" s="18">
        <f t="shared" si="5"/>
        <v>0</v>
      </c>
      <c r="D55" s="19" t="str">
        <f t="shared" si="6"/>
        <v>vecchiaia ordinaria</v>
      </c>
      <c r="E55" s="18">
        <f t="shared" si="7"/>
        <v>2046</v>
      </c>
      <c r="F55" s="18">
        <f t="shared" si="8"/>
        <v>12</v>
      </c>
      <c r="G55" s="18">
        <f t="shared" si="9"/>
        <v>825</v>
      </c>
      <c r="H55" s="22">
        <f t="shared" si="10"/>
        <v>5.9700000000000003E-2</v>
      </c>
      <c r="I55" s="15">
        <f t="shared" si="11"/>
        <v>495158.49042346352</v>
      </c>
      <c r="J55" s="15">
        <f t="shared" si="12"/>
        <v>31541.138410160675</v>
      </c>
      <c r="K55" s="15">
        <f t="shared" si="13"/>
        <v>7021.2482611308624</v>
      </c>
      <c r="L55" s="15">
        <f t="shared" si="14"/>
        <v>23889.0673808266</v>
      </c>
      <c r="M55" s="19" t="str">
        <f t="shared" si="15"/>
        <v>68 anni e 9 mesi</v>
      </c>
      <c r="N55" s="14">
        <f t="shared" si="16"/>
        <v>0.68729929928303435</v>
      </c>
    </row>
    <row r="56" spans="1:14">
      <c r="A56" s="21">
        <v>2034</v>
      </c>
      <c r="B56" s="18">
        <f t="shared" si="4"/>
        <v>31</v>
      </c>
      <c r="C56" s="18">
        <f t="shared" si="5"/>
        <v>0</v>
      </c>
      <c r="D56" s="19" t="str">
        <f t="shared" si="6"/>
        <v>vecchiaia ordinaria</v>
      </c>
      <c r="E56" s="18">
        <f t="shared" si="7"/>
        <v>2046</v>
      </c>
      <c r="F56" s="18">
        <f t="shared" si="8"/>
        <v>12</v>
      </c>
      <c r="G56" s="18">
        <f t="shared" si="9"/>
        <v>825</v>
      </c>
      <c r="H56" s="22">
        <f t="shared" si="10"/>
        <v>5.9700000000000003E-2</v>
      </c>
      <c r="I56" s="15">
        <f t="shared" si="11"/>
        <v>515454.28287558048</v>
      </c>
      <c r="J56" s="15">
        <f t="shared" si="12"/>
        <v>32670.608597023947</v>
      </c>
      <c r="K56" s="15">
        <f t="shared" si="13"/>
        <v>7429.9111105595739</v>
      </c>
      <c r="L56" s="15">
        <f t="shared" si="14"/>
        <v>24587.285314523895</v>
      </c>
      <c r="M56" s="19" t="str">
        <f t="shared" si="15"/>
        <v>68 anni e 9 mesi</v>
      </c>
      <c r="N56" s="14">
        <f t="shared" si="16"/>
        <v>0.70738734579095941</v>
      </c>
    </row>
    <row r="57" spans="1:14">
      <c r="A57" s="21">
        <v>2035</v>
      </c>
      <c r="B57" s="18">
        <f t="shared" si="4"/>
        <v>32</v>
      </c>
      <c r="C57" s="18">
        <f t="shared" si="5"/>
        <v>0</v>
      </c>
      <c r="D57" s="19" t="str">
        <f t="shared" si="6"/>
        <v>vecchiaia ordinaria</v>
      </c>
      <c r="E57" s="18">
        <f t="shared" si="7"/>
        <v>2046</v>
      </c>
      <c r="F57" s="18">
        <f t="shared" si="8"/>
        <v>12</v>
      </c>
      <c r="G57" s="18">
        <f t="shared" si="9"/>
        <v>825</v>
      </c>
      <c r="H57" s="22">
        <f t="shared" si="10"/>
        <v>5.9700000000000003E-2</v>
      </c>
      <c r="I57" s="15">
        <f t="shared" si="11"/>
        <v>535851.55428995821</v>
      </c>
      <c r="J57" s="15">
        <f t="shared" si="12"/>
        <v>33794.459529226231</v>
      </c>
      <c r="K57" s="15">
        <f t="shared" si="13"/>
        <v>7836.5408114836737</v>
      </c>
      <c r="L57" s="15">
        <f t="shared" si="14"/>
        <v>25282.029527158033</v>
      </c>
      <c r="M57" s="19" t="str">
        <f t="shared" si="15"/>
        <v>68 anni e 9 mesi</v>
      </c>
      <c r="N57" s="14">
        <f t="shared" si="16"/>
        <v>0.72737545176899454</v>
      </c>
    </row>
    <row r="58" spans="1:14">
      <c r="A58" s="21">
        <v>2036</v>
      </c>
      <c r="B58" s="18">
        <f t="shared" si="4"/>
        <v>33</v>
      </c>
      <c r="C58" s="18">
        <f t="shared" si="5"/>
        <v>0</v>
      </c>
      <c r="D58" s="19" t="str">
        <f t="shared" si="6"/>
        <v>vecchiaia ordinaria</v>
      </c>
      <c r="E58" s="18">
        <f t="shared" si="7"/>
        <v>2046</v>
      </c>
      <c r="F58" s="18">
        <f t="shared" si="8"/>
        <v>12</v>
      </c>
      <c r="G58" s="18">
        <f t="shared" si="9"/>
        <v>825</v>
      </c>
      <c r="H58" s="22">
        <f t="shared" si="10"/>
        <v>5.9700000000000003E-2</v>
      </c>
      <c r="I58" s="15">
        <f t="shared" si="11"/>
        <v>556350.81206140725</v>
      </c>
      <c r="J58" s="15">
        <f t="shared" si="12"/>
        <v>34912.719163258313</v>
      </c>
      <c r="K58" s="15">
        <f t="shared" si="13"/>
        <v>8241.1474790698267</v>
      </c>
      <c r="L58" s="15">
        <f t="shared" si="14"/>
        <v>25973.317300923321</v>
      </c>
      <c r="M58" s="19" t="str">
        <f t="shared" si="15"/>
        <v>68 anni e 9 mesi</v>
      </c>
      <c r="N58" s="14">
        <f t="shared" si="16"/>
        <v>0.74726411443370555</v>
      </c>
    </row>
    <row r="59" spans="1:14">
      <c r="A59" s="21">
        <v>2037</v>
      </c>
      <c r="B59" s="18">
        <f t="shared" si="4"/>
        <v>34</v>
      </c>
      <c r="C59" s="18">
        <f t="shared" si="5"/>
        <v>0</v>
      </c>
      <c r="D59" s="19" t="str">
        <f t="shared" si="6"/>
        <v>vecchiaia ordinaria</v>
      </c>
      <c r="E59" s="18">
        <f t="shared" si="7"/>
        <v>2046</v>
      </c>
      <c r="F59" s="18">
        <f t="shared" si="8"/>
        <v>12</v>
      </c>
      <c r="G59" s="18">
        <f t="shared" si="9"/>
        <v>825</v>
      </c>
      <c r="H59" s="22">
        <f t="shared" si="10"/>
        <v>5.9700000000000003E-2</v>
      </c>
      <c r="I59" s="15">
        <f t="shared" si="11"/>
        <v>576952.56612171396</v>
      </c>
      <c r="J59" s="15">
        <f t="shared" si="12"/>
        <v>36025.415316524086</v>
      </c>
      <c r="K59" s="15">
        <f t="shared" si="13"/>
        <v>8643.7411781605333</v>
      </c>
      <c r="L59" s="15">
        <f t="shared" si="14"/>
        <v>26661.165832033072</v>
      </c>
      <c r="M59" s="19" t="str">
        <f t="shared" si="15"/>
        <v>68 anni e 9 mesi</v>
      </c>
      <c r="N59" s="14">
        <f t="shared" si="16"/>
        <v>0.76705382852794568</v>
      </c>
    </row>
    <row r="60" spans="1:14">
      <c r="A60" s="21">
        <v>2038</v>
      </c>
      <c r="B60" s="18">
        <f t="shared" si="4"/>
        <v>35</v>
      </c>
      <c r="C60" s="18">
        <f t="shared" si="5"/>
        <v>0</v>
      </c>
      <c r="D60" s="19" t="str">
        <f t="shared" si="6"/>
        <v>vecchiaia ordinaria</v>
      </c>
      <c r="E60" s="18">
        <f t="shared" si="7"/>
        <v>2046</v>
      </c>
      <c r="F60" s="18">
        <f t="shared" si="8"/>
        <v>12</v>
      </c>
      <c r="G60" s="18">
        <f t="shared" si="9"/>
        <v>825</v>
      </c>
      <c r="H60" s="22">
        <f t="shared" si="10"/>
        <v>5.9700000000000003E-2</v>
      </c>
      <c r="I60" s="15">
        <f t="shared" si="11"/>
        <v>597657.32895232108</v>
      </c>
      <c r="J60" s="15">
        <f t="shared" si="12"/>
        <v>37132.575668032252</v>
      </c>
      <c r="K60" s="15">
        <f t="shared" si="13"/>
        <v>9044.3319235243962</v>
      </c>
      <c r="L60" s="15">
        <f t="shared" si="14"/>
        <v>27345.59223114721</v>
      </c>
      <c r="M60" s="19" t="str">
        <f t="shared" si="15"/>
        <v>68 anni e 9 mesi</v>
      </c>
      <c r="N60" s="14">
        <f t="shared" si="16"/>
        <v>0.78674508633315854</v>
      </c>
    </row>
    <row r="61" spans="1:14">
      <c r="A61" s="21">
        <v>2039</v>
      </c>
      <c r="B61" s="18">
        <f t="shared" si="4"/>
        <v>36</v>
      </c>
      <c r="C61" s="18">
        <f t="shared" si="5"/>
        <v>0</v>
      </c>
      <c r="D61" s="19" t="str">
        <f t="shared" si="6"/>
        <v>vecchiaia ordinaria</v>
      </c>
      <c r="E61" s="18">
        <f t="shared" si="7"/>
        <v>2046</v>
      </c>
      <c r="F61" s="18">
        <f t="shared" si="8"/>
        <v>12</v>
      </c>
      <c r="G61" s="18">
        <f t="shared" si="9"/>
        <v>825</v>
      </c>
      <c r="H61" s="22">
        <f t="shared" si="10"/>
        <v>5.9700000000000003E-2</v>
      </c>
      <c r="I61" s="15">
        <f t="shared" si="11"/>
        <v>618465.6155970823</v>
      </c>
      <c r="J61" s="15">
        <f t="shared" si="12"/>
        <v>38234.227759085217</v>
      </c>
      <c r="K61" s="15">
        <f t="shared" si="13"/>
        <v>9442.929680105377</v>
      </c>
      <c r="L61" s="15">
        <f t="shared" si="14"/>
        <v>28026.613523798133</v>
      </c>
      <c r="M61" s="19" t="str">
        <f t="shared" si="15"/>
        <v>68 anni e 9 mesi</v>
      </c>
      <c r="N61" s="14">
        <f t="shared" si="16"/>
        <v>0.80633837768163019</v>
      </c>
    </row>
    <row r="62" spans="1:14">
      <c r="A62" s="21">
        <v>2040</v>
      </c>
      <c r="B62" s="18">
        <f t="shared" si="4"/>
        <v>37</v>
      </c>
      <c r="C62" s="18">
        <f t="shared" si="5"/>
        <v>0</v>
      </c>
      <c r="D62" s="19" t="str">
        <f t="shared" si="6"/>
        <v>vecchiaia ordinaria</v>
      </c>
      <c r="E62" s="18">
        <f t="shared" si="7"/>
        <v>2046</v>
      </c>
      <c r="F62" s="18">
        <f t="shared" si="8"/>
        <v>12</v>
      </c>
      <c r="G62" s="18">
        <f t="shared" si="9"/>
        <v>825</v>
      </c>
      <c r="H62" s="22">
        <f t="shared" si="10"/>
        <v>5.9700000000000003E-2</v>
      </c>
      <c r="I62" s="15">
        <f t="shared" si="11"/>
        <v>639377.94367506693</v>
      </c>
      <c r="J62" s="15">
        <f t="shared" si="12"/>
        <v>39330.398993963761</v>
      </c>
      <c r="K62" s="15">
        <f t="shared" si="13"/>
        <v>9839.5443632705246</v>
      </c>
      <c r="L62" s="15">
        <f t="shared" si="14"/>
        <v>28704.246650813962</v>
      </c>
      <c r="M62" s="19" t="str">
        <f t="shared" si="15"/>
        <v>68 anni e 9 mesi</v>
      </c>
      <c r="N62" s="14">
        <f t="shared" si="16"/>
        <v>0.8258341899686662</v>
      </c>
    </row>
    <row r="63" spans="1:14">
      <c r="A63" s="21">
        <v>2041</v>
      </c>
      <c r="B63" s="18">
        <f t="shared" si="4"/>
        <v>38</v>
      </c>
      <c r="C63" s="18">
        <f t="shared" si="5"/>
        <v>0</v>
      </c>
      <c r="D63" s="19" t="str">
        <f t="shared" si="6"/>
        <v>vecchiaia ordinaria</v>
      </c>
      <c r="E63" s="18">
        <f t="shared" si="7"/>
        <v>2046</v>
      </c>
      <c r="F63" s="18">
        <f t="shared" si="8"/>
        <v>12</v>
      </c>
      <c r="G63" s="18">
        <f t="shared" si="9"/>
        <v>825</v>
      </c>
      <c r="H63" s="22">
        <f t="shared" si="10"/>
        <v>5.9700000000000003E-2</v>
      </c>
      <c r="I63" s="15">
        <f t="shared" si="11"/>
        <v>660394.83339344128</v>
      </c>
      <c r="J63" s="15">
        <f t="shared" si="12"/>
        <v>40421.116640609078</v>
      </c>
      <c r="K63" s="15">
        <f t="shared" si="13"/>
        <v>10234.185839056739</v>
      </c>
      <c r="L63" s="15">
        <f t="shared" si="14"/>
        <v>29378.508468740158</v>
      </c>
      <c r="M63" s="19" t="str">
        <f t="shared" si="15"/>
        <v>68 anni e 9 mesi</v>
      </c>
      <c r="N63" s="14">
        <f t="shared" si="16"/>
        <v>0.84523300816472191</v>
      </c>
    </row>
    <row r="64" spans="1:14">
      <c r="A64" s="21">
        <v>2042</v>
      </c>
      <c r="B64" s="18">
        <f t="shared" si="4"/>
        <v>39</v>
      </c>
      <c r="C64" s="18">
        <f t="shared" si="5"/>
        <v>0</v>
      </c>
      <c r="D64" s="19" t="str">
        <f t="shared" si="6"/>
        <v>vecchiaia ordinaria</v>
      </c>
      <c r="E64" s="18">
        <f t="shared" si="7"/>
        <v>2046</v>
      </c>
      <c r="F64" s="18">
        <f t="shared" si="8"/>
        <v>12</v>
      </c>
      <c r="G64" s="18">
        <f t="shared" si="9"/>
        <v>825</v>
      </c>
      <c r="H64" s="22">
        <f t="shared" si="10"/>
        <v>5.9700000000000003E-2</v>
      </c>
      <c r="I64" s="15">
        <f t="shared" si="11"/>
        <v>681516.80756040802</v>
      </c>
      <c r="J64" s="15">
        <f t="shared" si="12"/>
        <v>41506.407831300967</v>
      </c>
      <c r="K64" s="15">
        <f t="shared" si="13"/>
        <v>10626.86392441617</v>
      </c>
      <c r="L64" s="15">
        <f t="shared" si="14"/>
        <v>30049.41575025878</v>
      </c>
      <c r="M64" s="19" t="str">
        <f t="shared" si="15"/>
        <v>68 anni e 9 mesi</v>
      </c>
      <c r="N64" s="14">
        <f t="shared" si="16"/>
        <v>0.86453531482746448</v>
      </c>
    </row>
    <row r="65" spans="1:14">
      <c r="A65" s="21">
        <v>2043</v>
      </c>
      <c r="B65" s="18">
        <f t="shared" si="4"/>
        <v>40</v>
      </c>
      <c r="C65" s="18">
        <f t="shared" si="5"/>
        <v>0</v>
      </c>
      <c r="D65" s="19" t="str">
        <f t="shared" si="6"/>
        <v>vecchiaia ordinaria</v>
      </c>
      <c r="E65" s="18">
        <f t="shared" si="7"/>
        <v>2046</v>
      </c>
      <c r="F65" s="18">
        <f t="shared" si="8"/>
        <v>12</v>
      </c>
      <c r="G65" s="18">
        <f t="shared" si="9"/>
        <v>825</v>
      </c>
      <c r="H65" s="22">
        <f t="shared" si="10"/>
        <v>5.9700000000000003E-2</v>
      </c>
      <c r="I65" s="15">
        <f t="shared" si="11"/>
        <v>702744.39159820997</v>
      </c>
      <c r="J65" s="15">
        <f t="shared" si="12"/>
        <v>42586.299563332723</v>
      </c>
      <c r="K65" s="15">
        <f t="shared" si="13"/>
        <v>11017.588387460386</v>
      </c>
      <c r="L65" s="15">
        <f t="shared" si="14"/>
        <v>30716.985184605681</v>
      </c>
      <c r="M65" s="19" t="str">
        <f t="shared" si="15"/>
        <v>68 anni e 9 mesi</v>
      </c>
      <c r="N65" s="14">
        <f t="shared" si="16"/>
        <v>0.88374159011377573</v>
      </c>
    </row>
    <row r="66" spans="1:14">
      <c r="A66" s="21">
        <v>2044</v>
      </c>
      <c r="B66" s="18">
        <f t="shared" si="4"/>
        <v>41</v>
      </c>
      <c r="C66" s="18">
        <f t="shared" si="5"/>
        <v>0</v>
      </c>
      <c r="D66" s="19" t="str">
        <f t="shared" si="6"/>
        <v>vecchiaia ordinaria</v>
      </c>
      <c r="E66" s="18">
        <f t="shared" si="7"/>
        <v>2046</v>
      </c>
      <c r="F66" s="18">
        <f t="shared" si="8"/>
        <v>12</v>
      </c>
      <c r="G66" s="18">
        <f t="shared" si="9"/>
        <v>825</v>
      </c>
      <c r="H66" s="22">
        <f t="shared" si="10"/>
        <v>5.9700000000000003E-2</v>
      </c>
      <c r="I66" s="15">
        <f t="shared" si="11"/>
        <v>724078.11355619971</v>
      </c>
      <c r="J66" s="15">
        <f t="shared" si="12"/>
        <v>43660.818699682648</v>
      </c>
      <c r="K66" s="15">
        <f t="shared" si="13"/>
        <v>11406.368947703357</v>
      </c>
      <c r="L66" s="15">
        <f t="shared" si="14"/>
        <v>31381.233377985642</v>
      </c>
      <c r="M66" s="19" t="str">
        <f t="shared" si="15"/>
        <v>68 anni e 9 mesi</v>
      </c>
      <c r="N66" s="14">
        <f t="shared" si="16"/>
        <v>0.90285231179169634</v>
      </c>
    </row>
    <row r="67" spans="1:14">
      <c r="A67" s="21">
        <v>2045</v>
      </c>
      <c r="B67" s="18">
        <f t="shared" si="4"/>
        <v>42</v>
      </c>
      <c r="C67" s="18">
        <f t="shared" si="5"/>
        <v>0</v>
      </c>
      <c r="D67" s="19" t="str">
        <f t="shared" si="6"/>
        <v>vecchiaia ordinaria</v>
      </c>
      <c r="E67" s="18">
        <f t="shared" si="7"/>
        <v>2046</v>
      </c>
      <c r="F67" s="18">
        <f t="shared" si="8"/>
        <v>12</v>
      </c>
      <c r="G67" s="18">
        <f t="shared" si="9"/>
        <v>825</v>
      </c>
      <c r="H67" s="22">
        <f t="shared" si="10"/>
        <v>5.9700000000000003E-2</v>
      </c>
      <c r="I67" s="15">
        <f t="shared" si="11"/>
        <v>745518.5041239803</v>
      </c>
      <c r="J67" s="15">
        <f t="shared" si="12"/>
        <v>44729.991969682633</v>
      </c>
      <c r="K67" s="15">
        <f t="shared" si="13"/>
        <v>11793.215276303354</v>
      </c>
      <c r="L67" s="15">
        <f t="shared" si="14"/>
        <v>32042.176853985628</v>
      </c>
      <c r="M67" s="19" t="str">
        <f t="shared" si="15"/>
        <v>68 anni e 9 mesi</v>
      </c>
      <c r="N67" s="14">
        <f t="shared" si="16"/>
        <v>0.92186795525231457</v>
      </c>
    </row>
    <row r="68" spans="1:14">
      <c r="A68" s="21">
        <v>2046</v>
      </c>
      <c r="B68" s="18">
        <f t="shared" si="4"/>
        <v>43</v>
      </c>
      <c r="C68" s="18">
        <f t="shared" si="5"/>
        <v>0</v>
      </c>
      <c r="D68" s="19" t="str">
        <f t="shared" si="6"/>
        <v>vecchiaia ordinaria</v>
      </c>
      <c r="E68" s="18">
        <f t="shared" si="7"/>
        <v>2046</v>
      </c>
      <c r="F68" s="18">
        <f t="shared" si="8"/>
        <v>12</v>
      </c>
      <c r="G68" s="18">
        <f t="shared" si="9"/>
        <v>825</v>
      </c>
      <c r="H68" s="22">
        <f t="shared" si="10"/>
        <v>5.9700000000000003E-2</v>
      </c>
      <c r="I68" s="15">
        <f t="shared" si="11"/>
        <v>767066.09664459969</v>
      </c>
      <c r="J68" s="15">
        <f t="shared" si="12"/>
        <v>45793.845969682603</v>
      </c>
      <c r="K68" s="15">
        <f t="shared" si="13"/>
        <v>12178.136996303343</v>
      </c>
      <c r="L68" s="15">
        <f t="shared" si="14"/>
        <v>32699.832053985607</v>
      </c>
      <c r="M68" s="19" t="str">
        <f t="shared" si="15"/>
        <v>68 anni e 9 mesi</v>
      </c>
      <c r="N68" s="14">
        <f t="shared" si="16"/>
        <v>0.94078899352158629</v>
      </c>
    </row>
    <row r="70" spans="1:14">
      <c r="A70" s="33" t="s">
        <v>173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</row>
    <row r="71" spans="1:14" ht="48" customHeight="1">
      <c r="A71" s="12" t="s">
        <v>152</v>
      </c>
      <c r="B71" s="12" t="s">
        <v>153</v>
      </c>
      <c r="C71" s="12" t="s">
        <v>164</v>
      </c>
      <c r="D71" s="12" t="s">
        <v>165</v>
      </c>
      <c r="E71" s="12" t="s">
        <v>166</v>
      </c>
      <c r="F71" s="12" t="s">
        <v>167</v>
      </c>
      <c r="G71" s="12" t="s">
        <v>168</v>
      </c>
      <c r="H71" s="12" t="s">
        <v>169</v>
      </c>
      <c r="I71" s="12" t="s">
        <v>170</v>
      </c>
      <c r="J71" s="12" t="s">
        <v>158</v>
      </c>
      <c r="K71" s="12" t="s">
        <v>171</v>
      </c>
      <c r="L71" s="12" t="s">
        <v>159</v>
      </c>
      <c r="M71" s="12" t="s">
        <v>157</v>
      </c>
      <c r="N71" s="12" t="s">
        <v>172</v>
      </c>
    </row>
    <row r="72" spans="1:14">
      <c r="A72" s="21">
        <v>2026</v>
      </c>
      <c r="B72" s="18">
        <f t="shared" ref="B72:B92" si="17">A72-Cm_primo+1</f>
        <v>19</v>
      </c>
      <c r="C72" s="18">
        <f t="shared" ref="C72:C92" si="18">IF(B72&lt;p_anni_min,1,0)</f>
        <v>1</v>
      </c>
      <c r="D72" s="19" t="str">
        <f t="shared" ref="D72:D92" si="19">IF(C72=1,"via dei 71 anni adeguati","vecchiaia ordinaria")</f>
        <v>via dei 71 anni adeguati</v>
      </c>
      <c r="E72" s="18">
        <f t="shared" ref="E72:E92" si="20">IF(C72=1,Cm_v71_da,Cm_ord_da)</f>
        <v>2057</v>
      </c>
      <c r="F72" s="18">
        <f t="shared" ref="F72:F92" si="21">IF(C72=1,Cm_v71_dm,Cm_ord_dm)</f>
        <v>5</v>
      </c>
      <c r="G72" s="18">
        <f t="shared" ref="G72:G92" si="22">IF(C72=1,Cm_v71_em,Cm_ord_em)</f>
        <v>884</v>
      </c>
      <c r="H72" s="22">
        <f t="shared" ref="H72:H92" si="23">IF(C72=1,Cm_v71_cf,Cm_ord_cf)</f>
        <v>6.5099999999999991E-2</v>
      </c>
      <c r="I72" s="15">
        <f t="shared" ref="I72:I92" si="24">Cm_m26*(1+p_g)^MAX(0,A72-2026)+p_comp*Cm_ral*IF(p_g=0,MAX(0,A72-2026),((1+p_g)^MAX(0,A72-2026)-1)/p_g)</f>
        <v>156401.91</v>
      </c>
      <c r="J72" s="15">
        <f t="shared" ref="J72:J92" si="25">I72*(1+p_g)^MAX(0,E72-A72)*H72</f>
        <v>11884.227459406509</v>
      </c>
      <c r="K72" s="15">
        <f t="shared" ref="K72:K92" si="26">MAX(0,IF(J72&lt;=sc_L1,sc_A1*J72,IF(J72&lt;=sc_L2,sc_B1+sc_A2*(J72-sc_L1),sc_B2+sc_A3*(J72-sc_L2)))-(IF(J72&lt;=8500,1955,IF(J72&lt;=28000,700+1255*(28000-J72)/19500,IF(J72&lt;=50000,700*(50000-J72)/22000,0)))+IF(AND(J72&gt;25000,J72&lt;=29000),50,0)))</f>
        <v>996.17772394837789</v>
      </c>
      <c r="L72" s="15">
        <f t="shared" ref="L72:L92" si="27">J72-K72-IF(K72&gt;0,p_add*J72,0)</f>
        <v>10650.365186270001</v>
      </c>
      <c r="M72" s="19" t="str">
        <f t="shared" ref="M72:M92" si="28">INT(G72/12)&amp;" anni e "&amp;MOD(G72,12)&amp;" mesi"</f>
        <v>73 anni e 8 mesi</v>
      </c>
      <c r="N72" s="14">
        <f t="shared" ref="N72:N92" si="29">L72/Cm_netto</f>
        <v>0.46551656095967892</v>
      </c>
    </row>
    <row r="73" spans="1:14">
      <c r="A73" s="21">
        <v>2027</v>
      </c>
      <c r="B73" s="18">
        <f t="shared" si="17"/>
        <v>20</v>
      </c>
      <c r="C73" s="18">
        <f t="shared" si="18"/>
        <v>0</v>
      </c>
      <c r="D73" s="19" t="str">
        <f t="shared" si="19"/>
        <v>vecchiaia ordinaria</v>
      </c>
      <c r="E73" s="18">
        <f t="shared" si="20"/>
        <v>2052</v>
      </c>
      <c r="F73" s="18">
        <f t="shared" si="21"/>
        <v>12</v>
      </c>
      <c r="G73" s="18">
        <f t="shared" si="22"/>
        <v>831</v>
      </c>
      <c r="H73" s="22">
        <f t="shared" si="23"/>
        <v>6.0825000000000004E-2</v>
      </c>
      <c r="I73" s="15">
        <f t="shared" si="24"/>
        <v>166753.91954999979</v>
      </c>
      <c r="J73" s="15">
        <f t="shared" si="25"/>
        <v>11489.727065983852</v>
      </c>
      <c r="K73" s="15">
        <f t="shared" si="26"/>
        <v>880.05299275627249</v>
      </c>
      <c r="L73" s="15">
        <f t="shared" si="27"/>
        <v>10379.879531907902</v>
      </c>
      <c r="M73" s="19" t="str">
        <f t="shared" si="28"/>
        <v>69 anni e 3 mesi</v>
      </c>
      <c r="N73" s="14">
        <f t="shared" si="29"/>
        <v>0.45369390986693536</v>
      </c>
    </row>
    <row r="74" spans="1:14">
      <c r="A74" s="21">
        <v>2028</v>
      </c>
      <c r="B74" s="18">
        <f t="shared" si="17"/>
        <v>21</v>
      </c>
      <c r="C74" s="18">
        <f t="shared" si="18"/>
        <v>0</v>
      </c>
      <c r="D74" s="19" t="str">
        <f t="shared" si="19"/>
        <v>vecchiaia ordinaria</v>
      </c>
      <c r="E74" s="18">
        <f t="shared" si="20"/>
        <v>2052</v>
      </c>
      <c r="F74" s="18">
        <f t="shared" si="21"/>
        <v>12</v>
      </c>
      <c r="G74" s="18">
        <f t="shared" si="22"/>
        <v>831</v>
      </c>
      <c r="H74" s="22">
        <f t="shared" si="23"/>
        <v>6.0825000000000004E-2</v>
      </c>
      <c r="I74" s="15">
        <f t="shared" si="24"/>
        <v>177157.68914774945</v>
      </c>
      <c r="J74" s="15">
        <f t="shared" si="25"/>
        <v>12145.84141770405</v>
      </c>
      <c r="K74" s="15">
        <f t="shared" si="26"/>
        <v>1073.1861403908335</v>
      </c>
      <c r="L74" s="15">
        <f t="shared" si="27"/>
        <v>10829.738448959137</v>
      </c>
      <c r="M74" s="19" t="str">
        <f t="shared" si="28"/>
        <v>69 anni e 3 mesi</v>
      </c>
      <c r="N74" s="14">
        <f t="shared" si="29"/>
        <v>0.47335678267177661</v>
      </c>
    </row>
    <row r="75" spans="1:14">
      <c r="A75" s="21">
        <v>2029</v>
      </c>
      <c r="B75" s="18">
        <f t="shared" si="17"/>
        <v>22</v>
      </c>
      <c r="C75" s="18">
        <f t="shared" si="18"/>
        <v>0</v>
      </c>
      <c r="D75" s="19" t="str">
        <f t="shared" si="19"/>
        <v>vecchiaia ordinaria</v>
      </c>
      <c r="E75" s="18">
        <f t="shared" si="20"/>
        <v>2052</v>
      </c>
      <c r="F75" s="18">
        <f t="shared" si="21"/>
        <v>12</v>
      </c>
      <c r="G75" s="18">
        <f t="shared" si="22"/>
        <v>831</v>
      </c>
      <c r="H75" s="22">
        <f t="shared" si="23"/>
        <v>6.0825000000000004E-2</v>
      </c>
      <c r="I75" s="15">
        <f t="shared" si="24"/>
        <v>187613.477593488</v>
      </c>
      <c r="J75" s="15">
        <f t="shared" si="25"/>
        <v>12798.691518918184</v>
      </c>
      <c r="K75" s="15">
        <f t="shared" si="26"/>
        <v>1265.3584265943787</v>
      </c>
      <c r="L75" s="15">
        <f t="shared" si="27"/>
        <v>11277.359261945441</v>
      </c>
      <c r="M75" s="19" t="str">
        <f t="shared" si="28"/>
        <v>69 anni e 3 mesi</v>
      </c>
      <c r="N75" s="14">
        <f t="shared" si="29"/>
        <v>0.49292183023878289</v>
      </c>
    </row>
    <row r="76" spans="1:14">
      <c r="A76" s="21">
        <v>2030</v>
      </c>
      <c r="B76" s="18">
        <f t="shared" si="17"/>
        <v>23</v>
      </c>
      <c r="C76" s="18">
        <f t="shared" si="18"/>
        <v>0</v>
      </c>
      <c r="D76" s="19" t="str">
        <f t="shared" si="19"/>
        <v>vecchiaia ordinaria</v>
      </c>
      <c r="E76" s="18">
        <f t="shared" si="20"/>
        <v>2052</v>
      </c>
      <c r="F76" s="18">
        <f t="shared" si="21"/>
        <v>12</v>
      </c>
      <c r="G76" s="18">
        <f t="shared" si="22"/>
        <v>831</v>
      </c>
      <c r="H76" s="22">
        <f t="shared" si="23"/>
        <v>6.0825000000000004E-2</v>
      </c>
      <c r="I76" s="15">
        <f t="shared" si="24"/>
        <v>198121.54498145485</v>
      </c>
      <c r="J76" s="15">
        <f t="shared" si="25"/>
        <v>13448.293609678492</v>
      </c>
      <c r="K76" s="15">
        <f t="shared" si="26"/>
        <v>1456.5746317720282</v>
      </c>
      <c r="L76" s="15">
        <f t="shared" si="27"/>
        <v>11722.753105712894</v>
      </c>
      <c r="M76" s="19" t="str">
        <f t="shared" si="28"/>
        <v>69 anni e 3 mesi</v>
      </c>
      <c r="N76" s="14">
        <f t="shared" si="29"/>
        <v>0.51238953926067909</v>
      </c>
    </row>
    <row r="77" spans="1:14">
      <c r="A77" s="21">
        <v>2031</v>
      </c>
      <c r="B77" s="18">
        <f t="shared" si="17"/>
        <v>24</v>
      </c>
      <c r="C77" s="18">
        <f t="shared" si="18"/>
        <v>0</v>
      </c>
      <c r="D77" s="19" t="str">
        <f t="shared" si="19"/>
        <v>vecchiaia ordinaria</v>
      </c>
      <c r="E77" s="18">
        <f t="shared" si="20"/>
        <v>2052</v>
      </c>
      <c r="F77" s="18">
        <f t="shared" si="21"/>
        <v>12</v>
      </c>
      <c r="G77" s="18">
        <f t="shared" si="22"/>
        <v>831</v>
      </c>
      <c r="H77" s="22">
        <f t="shared" si="23"/>
        <v>6.0825000000000004E-2</v>
      </c>
      <c r="I77" s="15">
        <f t="shared" si="24"/>
        <v>208682.15270636172</v>
      </c>
      <c r="J77" s="15">
        <f t="shared" si="25"/>
        <v>14094.663849241004</v>
      </c>
      <c r="K77" s="15">
        <f t="shared" si="26"/>
        <v>1646.8395125458137</v>
      </c>
      <c r="L77" s="15">
        <f t="shared" si="27"/>
        <v>12165.93105971037</v>
      </c>
      <c r="M77" s="19" t="str">
        <f t="shared" si="28"/>
        <v>69 anni e 3 mesi</v>
      </c>
      <c r="N77" s="14">
        <f t="shared" si="29"/>
        <v>0.5317603940088349</v>
      </c>
    </row>
    <row r="78" spans="1:14">
      <c r="A78" s="21">
        <v>2032</v>
      </c>
      <c r="B78" s="18">
        <f t="shared" si="17"/>
        <v>25</v>
      </c>
      <c r="C78" s="18">
        <f t="shared" si="18"/>
        <v>0</v>
      </c>
      <c r="D78" s="19" t="str">
        <f t="shared" si="19"/>
        <v>vecchiaia ordinaria</v>
      </c>
      <c r="E78" s="18">
        <f t="shared" si="20"/>
        <v>2052</v>
      </c>
      <c r="F78" s="18">
        <f t="shared" si="21"/>
        <v>12</v>
      </c>
      <c r="G78" s="18">
        <f t="shared" si="22"/>
        <v>831</v>
      </c>
      <c r="H78" s="22">
        <f t="shared" si="23"/>
        <v>6.0825000000000004E-2</v>
      </c>
      <c r="I78" s="15">
        <f t="shared" si="24"/>
        <v>219295.56346989318</v>
      </c>
      <c r="J78" s="15">
        <f t="shared" si="25"/>
        <v>14737.818316467385</v>
      </c>
      <c r="K78" s="15">
        <f t="shared" si="26"/>
        <v>1836.1578018729635</v>
      </c>
      <c r="L78" s="15">
        <f t="shared" si="27"/>
        <v>12606.904148265074</v>
      </c>
      <c r="M78" s="19" t="str">
        <f t="shared" si="28"/>
        <v>69 anni e 3 mesi</v>
      </c>
      <c r="N78" s="14">
        <f t="shared" si="29"/>
        <v>0.55103487634530834</v>
      </c>
    </row>
    <row r="79" spans="1:14">
      <c r="A79" s="21">
        <v>2033</v>
      </c>
      <c r="B79" s="18">
        <f t="shared" si="17"/>
        <v>26</v>
      </c>
      <c r="C79" s="18">
        <f t="shared" si="18"/>
        <v>0</v>
      </c>
      <c r="D79" s="19" t="str">
        <f t="shared" si="19"/>
        <v>vecchiaia ordinaria</v>
      </c>
      <c r="E79" s="18">
        <f t="shared" si="20"/>
        <v>2052</v>
      </c>
      <c r="F79" s="18">
        <f t="shared" si="21"/>
        <v>12</v>
      </c>
      <c r="G79" s="18">
        <f t="shared" si="22"/>
        <v>831</v>
      </c>
      <c r="H79" s="22">
        <f t="shared" si="23"/>
        <v>6.0825000000000004E-2</v>
      </c>
      <c r="I79" s="15">
        <f t="shared" si="24"/>
        <v>229962.04128724243</v>
      </c>
      <c r="J79" s="15">
        <f t="shared" si="25"/>
        <v>15377.773010224988</v>
      </c>
      <c r="K79" s="15">
        <f t="shared" si="26"/>
        <v>2024.5342091636635</v>
      </c>
      <c r="L79" s="15">
        <f t="shared" si="27"/>
        <v>13045.683340856825</v>
      </c>
      <c r="M79" s="19" t="str">
        <f t="shared" si="28"/>
        <v>69 anni e 3 mesi</v>
      </c>
      <c r="N79" s="14">
        <f t="shared" si="29"/>
        <v>0.57021346573483456</v>
      </c>
    </row>
    <row r="80" spans="1:14">
      <c r="A80" s="21">
        <v>2034</v>
      </c>
      <c r="B80" s="18">
        <f t="shared" si="17"/>
        <v>27</v>
      </c>
      <c r="C80" s="18">
        <f t="shared" si="18"/>
        <v>0</v>
      </c>
      <c r="D80" s="19" t="str">
        <f t="shared" si="19"/>
        <v>vecchiaia ordinaria</v>
      </c>
      <c r="E80" s="18">
        <f t="shared" si="20"/>
        <v>2052</v>
      </c>
      <c r="F80" s="18">
        <f t="shared" si="21"/>
        <v>12</v>
      </c>
      <c r="G80" s="18">
        <f t="shared" si="22"/>
        <v>831</v>
      </c>
      <c r="H80" s="22">
        <f t="shared" si="23"/>
        <v>6.0825000000000004E-2</v>
      </c>
      <c r="I80" s="15">
        <f t="shared" si="24"/>
        <v>240681.85149367843</v>
      </c>
      <c r="J80" s="15">
        <f t="shared" si="25"/>
        <v>16014.54384978479</v>
      </c>
      <c r="K80" s="15">
        <f t="shared" si="26"/>
        <v>2211.9734203981898</v>
      </c>
      <c r="L80" s="15">
        <f t="shared" si="27"/>
        <v>13482.279552390904</v>
      </c>
      <c r="M80" s="19" t="str">
        <f t="shared" si="28"/>
        <v>69 anni e 3 mesi</v>
      </c>
      <c r="N80" s="14">
        <f t="shared" si="29"/>
        <v>0.58929663925675102</v>
      </c>
    </row>
    <row r="81" spans="1:14">
      <c r="A81" s="21">
        <v>2035</v>
      </c>
      <c r="B81" s="18">
        <f t="shared" si="17"/>
        <v>28</v>
      </c>
      <c r="C81" s="18">
        <f t="shared" si="18"/>
        <v>0</v>
      </c>
      <c r="D81" s="19" t="str">
        <f t="shared" si="19"/>
        <v>vecchiaia ordinaria</v>
      </c>
      <c r="E81" s="18">
        <f t="shared" si="20"/>
        <v>2052</v>
      </c>
      <c r="F81" s="18">
        <f t="shared" si="21"/>
        <v>12</v>
      </c>
      <c r="G81" s="18">
        <f t="shared" si="22"/>
        <v>831</v>
      </c>
      <c r="H81" s="22">
        <f t="shared" si="23"/>
        <v>6.0825000000000004E-2</v>
      </c>
      <c r="I81" s="15">
        <f t="shared" si="24"/>
        <v>251455.26075114674</v>
      </c>
      <c r="J81" s="15">
        <f t="shared" si="25"/>
        <v>16648.146675217442</v>
      </c>
      <c r="K81" s="15">
        <f t="shared" si="26"/>
        <v>2398.4800982434936</v>
      </c>
      <c r="L81" s="15">
        <f t="shared" si="27"/>
        <v>13916.7036434696</v>
      </c>
      <c r="M81" s="19" t="str">
        <f t="shared" si="28"/>
        <v>69 anni e 3 mesi</v>
      </c>
      <c r="N81" s="14">
        <f t="shared" si="29"/>
        <v>0.6082848716168674</v>
      </c>
    </row>
    <row r="82" spans="1:14">
      <c r="A82" s="21">
        <v>2036</v>
      </c>
      <c r="B82" s="18">
        <f t="shared" si="17"/>
        <v>29</v>
      </c>
      <c r="C82" s="18">
        <f t="shared" si="18"/>
        <v>0</v>
      </c>
      <c r="D82" s="19" t="str">
        <f t="shared" si="19"/>
        <v>vecchiaia ordinaria</v>
      </c>
      <c r="E82" s="18">
        <f t="shared" si="20"/>
        <v>2052</v>
      </c>
      <c r="F82" s="18">
        <f t="shared" si="21"/>
        <v>12</v>
      </c>
      <c r="G82" s="18">
        <f t="shared" si="22"/>
        <v>831</v>
      </c>
      <c r="H82" s="22">
        <f t="shared" si="23"/>
        <v>6.0825000000000004E-2</v>
      </c>
      <c r="I82" s="15">
        <f t="shared" si="24"/>
        <v>262282.53705490206</v>
      </c>
      <c r="J82" s="15">
        <f t="shared" si="25"/>
        <v>17278.59724778722</v>
      </c>
      <c r="K82" s="15">
        <f t="shared" si="26"/>
        <v>2584.0588821691617</v>
      </c>
      <c r="L82" s="15">
        <f t="shared" si="27"/>
        <v>14348.966420662315</v>
      </c>
      <c r="M82" s="19" t="str">
        <f t="shared" si="28"/>
        <v>69 anni e 3 mesi</v>
      </c>
      <c r="N82" s="14">
        <f t="shared" si="29"/>
        <v>0.62717863515927097</v>
      </c>
    </row>
    <row r="83" spans="1:14">
      <c r="A83" s="21">
        <v>2037</v>
      </c>
      <c r="B83" s="18">
        <f t="shared" si="17"/>
        <v>30</v>
      </c>
      <c r="C83" s="18">
        <f t="shared" si="18"/>
        <v>0</v>
      </c>
      <c r="D83" s="19" t="str">
        <f t="shared" si="19"/>
        <v>vecchiaia ordinaria</v>
      </c>
      <c r="E83" s="18">
        <f t="shared" si="20"/>
        <v>2052</v>
      </c>
      <c r="F83" s="18">
        <f t="shared" si="21"/>
        <v>12</v>
      </c>
      <c r="G83" s="18">
        <f t="shared" si="22"/>
        <v>831</v>
      </c>
      <c r="H83" s="22">
        <f t="shared" si="23"/>
        <v>6.0825000000000004E-2</v>
      </c>
      <c r="I83" s="15">
        <f t="shared" si="24"/>
        <v>273163.94974017638</v>
      </c>
      <c r="J83" s="15">
        <f t="shared" si="25"/>
        <v>17905.911250344227</v>
      </c>
      <c r="K83" s="15">
        <f t="shared" si="26"/>
        <v>2768.7143885628648</v>
      </c>
      <c r="L83" s="15">
        <f t="shared" si="27"/>
        <v>14779.078636774477</v>
      </c>
      <c r="M83" s="19" t="str">
        <f t="shared" si="28"/>
        <v>69 anni e 3 mesi</v>
      </c>
      <c r="N83" s="14">
        <f t="shared" si="29"/>
        <v>0.64597839987808092</v>
      </c>
    </row>
    <row r="84" spans="1:14">
      <c r="A84" s="21">
        <v>2038</v>
      </c>
      <c r="B84" s="18">
        <f t="shared" si="17"/>
        <v>31</v>
      </c>
      <c r="C84" s="18">
        <f t="shared" si="18"/>
        <v>0</v>
      </c>
      <c r="D84" s="19" t="str">
        <f t="shared" si="19"/>
        <v>vecchiaia ordinaria</v>
      </c>
      <c r="E84" s="18">
        <f t="shared" si="20"/>
        <v>2052</v>
      </c>
      <c r="F84" s="18">
        <f t="shared" si="21"/>
        <v>12</v>
      </c>
      <c r="G84" s="18">
        <f t="shared" si="22"/>
        <v>831</v>
      </c>
      <c r="H84" s="22">
        <f t="shared" si="23"/>
        <v>6.0825000000000004E-2</v>
      </c>
      <c r="I84" s="15">
        <f t="shared" si="24"/>
        <v>284099.76948887651</v>
      </c>
      <c r="J84" s="15">
        <f t="shared" si="25"/>
        <v>18530.104287714352</v>
      </c>
      <c r="K84" s="15">
        <f t="shared" si="26"/>
        <v>2952.4512108451477</v>
      </c>
      <c r="L84" s="15">
        <f t="shared" si="27"/>
        <v>15207.050991114918</v>
      </c>
      <c r="M84" s="19" t="str">
        <f t="shared" si="28"/>
        <v>69 anni e 3 mesi</v>
      </c>
      <c r="N84" s="14">
        <f t="shared" si="29"/>
        <v>0.66468463342913464</v>
      </c>
    </row>
    <row r="85" spans="1:14">
      <c r="A85" s="21">
        <v>2039</v>
      </c>
      <c r="B85" s="18">
        <f t="shared" si="17"/>
        <v>32</v>
      </c>
      <c r="C85" s="18">
        <f t="shared" si="18"/>
        <v>0</v>
      </c>
      <c r="D85" s="19" t="str">
        <f t="shared" si="19"/>
        <v>vecchiaia ordinaria</v>
      </c>
      <c r="E85" s="18">
        <f t="shared" si="20"/>
        <v>2052</v>
      </c>
      <c r="F85" s="18">
        <f t="shared" si="21"/>
        <v>12</v>
      </c>
      <c r="G85" s="18">
        <f t="shared" si="22"/>
        <v>831</v>
      </c>
      <c r="H85" s="22">
        <f t="shared" si="23"/>
        <v>6.0825000000000004E-2</v>
      </c>
      <c r="I85" s="15">
        <f t="shared" si="24"/>
        <v>295090.26833632076</v>
      </c>
      <c r="J85" s="15">
        <f t="shared" si="25"/>
        <v>19151.191887087647</v>
      </c>
      <c r="K85" s="15">
        <f t="shared" si="26"/>
        <v>3135.2739195837485</v>
      </c>
      <c r="L85" s="15">
        <f t="shared" si="27"/>
        <v>15632.894129762144</v>
      </c>
      <c r="M85" s="19" t="str">
        <f t="shared" si="28"/>
        <v>69 anni e 3 mesi</v>
      </c>
      <c r="N85" s="14">
        <f t="shared" si="29"/>
        <v>0.68329780114162697</v>
      </c>
    </row>
    <row r="86" spans="1:14">
      <c r="A86" s="21">
        <v>2040</v>
      </c>
      <c r="B86" s="18">
        <f t="shared" si="17"/>
        <v>33</v>
      </c>
      <c r="C86" s="18">
        <f t="shared" si="18"/>
        <v>0</v>
      </c>
      <c r="D86" s="19" t="str">
        <f t="shared" si="19"/>
        <v>vecchiaia ordinaria</v>
      </c>
      <c r="E86" s="18">
        <f t="shared" si="20"/>
        <v>2052</v>
      </c>
      <c r="F86" s="18">
        <f t="shared" si="21"/>
        <v>12</v>
      </c>
      <c r="G86" s="18">
        <f t="shared" si="22"/>
        <v>831</v>
      </c>
      <c r="H86" s="22">
        <f t="shared" si="23"/>
        <v>6.0825000000000004E-2</v>
      </c>
      <c r="I86" s="15">
        <f t="shared" si="24"/>
        <v>306135.71967800194</v>
      </c>
      <c r="J86" s="15">
        <f t="shared" si="25"/>
        <v>19769.189498404336</v>
      </c>
      <c r="K86" s="15">
        <f t="shared" si="26"/>
        <v>3317.187062607225</v>
      </c>
      <c r="L86" s="15">
        <f t="shared" si="27"/>
        <v>16056.618645829025</v>
      </c>
      <c r="M86" s="19" t="str">
        <f t="shared" si="28"/>
        <v>69 anni e 3 mesi</v>
      </c>
      <c r="N86" s="14">
        <f t="shared" si="29"/>
        <v>0.70181836602967851</v>
      </c>
    </row>
    <row r="87" spans="1:14">
      <c r="A87" s="21">
        <v>2041</v>
      </c>
      <c r="B87" s="18">
        <f t="shared" si="17"/>
        <v>34</v>
      </c>
      <c r="C87" s="18">
        <f t="shared" si="18"/>
        <v>0</v>
      </c>
      <c r="D87" s="19" t="str">
        <f t="shared" si="19"/>
        <v>vecchiaia ordinaria</v>
      </c>
      <c r="E87" s="18">
        <f t="shared" si="20"/>
        <v>2052</v>
      </c>
      <c r="F87" s="18">
        <f t="shared" si="21"/>
        <v>12</v>
      </c>
      <c r="G87" s="18">
        <f t="shared" si="22"/>
        <v>831</v>
      </c>
      <c r="H87" s="22">
        <f t="shared" si="23"/>
        <v>6.0825000000000004E-2</v>
      </c>
      <c r="I87" s="15">
        <f t="shared" si="24"/>
        <v>317236.39827639144</v>
      </c>
      <c r="J87" s="15">
        <f t="shared" si="25"/>
        <v>20384.112494739355</v>
      </c>
      <c r="K87" s="15">
        <f t="shared" si="26"/>
        <v>3498.1951651181489</v>
      </c>
      <c r="L87" s="15">
        <f t="shared" si="27"/>
        <v>16478.235079726419</v>
      </c>
      <c r="M87" s="19" t="str">
        <f t="shared" si="28"/>
        <v>69 anni e 3 mesi</v>
      </c>
      <c r="N87" s="14">
        <f t="shared" si="29"/>
        <v>0.72024678880385906</v>
      </c>
    </row>
    <row r="88" spans="1:14">
      <c r="A88" s="21">
        <v>2042</v>
      </c>
      <c r="B88" s="18">
        <f t="shared" si="17"/>
        <v>35</v>
      </c>
      <c r="C88" s="18">
        <f t="shared" si="18"/>
        <v>0</v>
      </c>
      <c r="D88" s="19" t="str">
        <f t="shared" si="19"/>
        <v>vecchiaia ordinaria</v>
      </c>
      <c r="E88" s="18">
        <f t="shared" si="20"/>
        <v>2052</v>
      </c>
      <c r="F88" s="18">
        <f t="shared" si="21"/>
        <v>12</v>
      </c>
      <c r="G88" s="18">
        <f t="shared" si="22"/>
        <v>831</v>
      </c>
      <c r="H88" s="22">
        <f t="shared" si="23"/>
        <v>6.0825000000000004E-2</v>
      </c>
      <c r="I88" s="15">
        <f t="shared" si="24"/>
        <v>328392.58026777313</v>
      </c>
      <c r="J88" s="15">
        <f t="shared" si="25"/>
        <v>20995.976172684652</v>
      </c>
      <c r="K88" s="15">
        <f t="shared" si="26"/>
        <v>3678.3027298056363</v>
      </c>
      <c r="L88" s="15">
        <f t="shared" si="27"/>
        <v>16897.753919425322</v>
      </c>
      <c r="M88" s="19" t="str">
        <f t="shared" si="28"/>
        <v>69 anni e 3 mesi</v>
      </c>
      <c r="N88" s="14">
        <f t="shared" si="29"/>
        <v>0.73858352788264592</v>
      </c>
    </row>
    <row r="89" spans="1:14">
      <c r="A89" s="21">
        <v>2043</v>
      </c>
      <c r="B89" s="18">
        <f t="shared" si="17"/>
        <v>36</v>
      </c>
      <c r="C89" s="18">
        <f t="shared" si="18"/>
        <v>0</v>
      </c>
      <c r="D89" s="19" t="str">
        <f t="shared" si="19"/>
        <v>vecchiaia ordinaria</v>
      </c>
      <c r="E89" s="18">
        <f t="shared" si="20"/>
        <v>2052</v>
      </c>
      <c r="F89" s="18">
        <f t="shared" si="21"/>
        <v>12</v>
      </c>
      <c r="G89" s="18">
        <f t="shared" si="22"/>
        <v>831</v>
      </c>
      <c r="H89" s="22">
        <f t="shared" si="23"/>
        <v>6.0825000000000004E-2</v>
      </c>
      <c r="I89" s="15">
        <f t="shared" si="24"/>
        <v>339604.54316911194</v>
      </c>
      <c r="J89" s="15">
        <f t="shared" si="25"/>
        <v>21604.795752729748</v>
      </c>
      <c r="K89" s="15">
        <f t="shared" si="26"/>
        <v>3857.5142369573718</v>
      </c>
      <c r="L89" s="15">
        <f t="shared" si="27"/>
        <v>17315.185600717781</v>
      </c>
      <c r="M89" s="19" t="str">
        <f t="shared" si="28"/>
        <v>69 anni e 3 mesi</v>
      </c>
      <c r="N89" s="14">
        <f t="shared" si="29"/>
        <v>0.75682903940382773</v>
      </c>
    </row>
    <row r="90" spans="1:14">
      <c r="A90" s="21">
        <v>2044</v>
      </c>
      <c r="B90" s="18">
        <f t="shared" si="17"/>
        <v>37</v>
      </c>
      <c r="C90" s="18">
        <f t="shared" si="18"/>
        <v>0</v>
      </c>
      <c r="D90" s="19" t="str">
        <f t="shared" si="19"/>
        <v>vecchiaia ordinaria</v>
      </c>
      <c r="E90" s="18">
        <f t="shared" si="20"/>
        <v>2052</v>
      </c>
      <c r="F90" s="18">
        <f t="shared" si="21"/>
        <v>12</v>
      </c>
      <c r="G90" s="18">
        <f t="shared" si="22"/>
        <v>831</v>
      </c>
      <c r="H90" s="22">
        <f t="shared" si="23"/>
        <v>6.0825000000000004E-2</v>
      </c>
      <c r="I90" s="15">
        <f t="shared" si="24"/>
        <v>350872.56588495674</v>
      </c>
      <c r="J90" s="15">
        <f t="shared" si="25"/>
        <v>22210.586379640237</v>
      </c>
      <c r="K90" s="15">
        <f t="shared" si="26"/>
        <v>4035.8341445710234</v>
      </c>
      <c r="L90" s="15">
        <f t="shared" si="27"/>
        <v>17730.540507476409</v>
      </c>
      <c r="M90" s="19" t="str">
        <f t="shared" si="28"/>
        <v>69 anni e 3 mesi</v>
      </c>
      <c r="N90" s="14">
        <f t="shared" si="29"/>
        <v>0.77498377723584766</v>
      </c>
    </row>
    <row r="91" spans="1:14">
      <c r="A91" s="21">
        <v>2045</v>
      </c>
      <c r="B91" s="18">
        <f t="shared" si="17"/>
        <v>38</v>
      </c>
      <c r="C91" s="18">
        <f t="shared" si="18"/>
        <v>0</v>
      </c>
      <c r="D91" s="19" t="str">
        <f t="shared" si="19"/>
        <v>vecchiaia ordinaria</v>
      </c>
      <c r="E91" s="18">
        <f t="shared" si="20"/>
        <v>2052</v>
      </c>
      <c r="F91" s="18">
        <f t="shared" si="21"/>
        <v>12</v>
      </c>
      <c r="G91" s="18">
        <f t="shared" si="22"/>
        <v>831</v>
      </c>
      <c r="H91" s="22">
        <f t="shared" si="23"/>
        <v>6.0825000000000004E-2</v>
      </c>
      <c r="I91" s="15">
        <f t="shared" si="24"/>
        <v>362196.92871438136</v>
      </c>
      <c r="J91" s="15">
        <f t="shared" si="25"/>
        <v>22813.363122834791</v>
      </c>
      <c r="K91" s="15">
        <f t="shared" si="26"/>
        <v>4213.2668884652157</v>
      </c>
      <c r="L91" s="15">
        <f t="shared" si="27"/>
        <v>18143.828971912881</v>
      </c>
      <c r="M91" s="19" t="str">
        <f t="shared" si="28"/>
        <v>69 anni e 3 mesi</v>
      </c>
      <c r="N91" s="14">
        <f t="shared" si="29"/>
        <v>0.79304819298910256</v>
      </c>
    </row>
    <row r="92" spans="1:14">
      <c r="A92" s="21">
        <v>2046</v>
      </c>
      <c r="B92" s="18">
        <f t="shared" si="17"/>
        <v>39</v>
      </c>
      <c r="C92" s="18">
        <f t="shared" si="18"/>
        <v>0</v>
      </c>
      <c r="D92" s="19" t="str">
        <f t="shared" si="19"/>
        <v>vecchiaia ordinaria</v>
      </c>
      <c r="E92" s="18">
        <f t="shared" si="20"/>
        <v>2052</v>
      </c>
      <c r="F92" s="18">
        <f t="shared" si="21"/>
        <v>12</v>
      </c>
      <c r="G92" s="18">
        <f t="shared" si="22"/>
        <v>831</v>
      </c>
      <c r="H92" s="22">
        <f t="shared" si="23"/>
        <v>6.0825000000000004E-2</v>
      </c>
      <c r="I92" s="15">
        <f t="shared" si="24"/>
        <v>373577.91335795302</v>
      </c>
      <c r="J92" s="15">
        <f t="shared" si="25"/>
        <v>23413.140976759722</v>
      </c>
      <c r="K92" s="15">
        <f t="shared" si="26"/>
        <v>4389.816882389785</v>
      </c>
      <c r="L92" s="15">
        <f t="shared" si="27"/>
        <v>18555.061274834741</v>
      </c>
      <c r="M92" s="19" t="str">
        <f t="shared" si="28"/>
        <v>69 anni e 3 mesi</v>
      </c>
      <c r="N92" s="14">
        <f t="shared" si="29"/>
        <v>0.81102273602716701</v>
      </c>
    </row>
  </sheetData>
  <mergeCells count="11">
    <mergeCell ref="A1:H1"/>
    <mergeCell ref="A20:F20"/>
    <mergeCell ref="A46:N46"/>
    <mergeCell ref="A28:G28"/>
    <mergeCell ref="A70:N70"/>
    <mergeCell ref="A3:H3"/>
    <mergeCell ref="A5:C5"/>
    <mergeCell ref="A2:H2"/>
    <mergeCell ref="A41:G41"/>
    <mergeCell ref="A18:C18"/>
    <mergeCell ref="A26:F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/>
  <cols>
    <col min="1" max="1" width="25" customWidth="1"/>
    <col min="2" max="3" width="21" customWidth="1"/>
    <col min="4" max="4" width="18" customWidth="1"/>
    <col min="5" max="5" width="19" customWidth="1"/>
    <col min="6" max="6" width="18" customWidth="1"/>
  </cols>
  <sheetData>
    <row r="1" spans="1:6" ht="24.95" customHeight="1">
      <c r="A1" s="32" t="s">
        <v>174</v>
      </c>
      <c r="B1" s="31"/>
      <c r="C1" s="31"/>
      <c r="D1" s="31"/>
      <c r="E1" s="31"/>
      <c r="F1" s="31"/>
    </row>
    <row r="2" spans="1:6" ht="32.1" customHeight="1">
      <c r="A2" s="30" t="s">
        <v>1</v>
      </c>
      <c r="B2" s="31"/>
      <c r="C2" s="31"/>
      <c r="D2" s="31"/>
      <c r="E2" s="31"/>
      <c r="F2" s="31"/>
    </row>
    <row r="3" spans="1:6" ht="30" customHeight="1">
      <c r="A3" s="34" t="s">
        <v>175</v>
      </c>
      <c r="B3" s="31"/>
      <c r="C3" s="31"/>
      <c r="D3" s="31"/>
      <c r="E3" s="31"/>
      <c r="F3" s="31"/>
    </row>
    <row r="5" spans="1:6">
      <c r="A5" s="33" t="s">
        <v>176</v>
      </c>
      <c r="B5" s="31"/>
      <c r="C5" s="31"/>
      <c r="D5" s="31"/>
    </row>
    <row r="6" spans="1:6" ht="32.1" customHeight="1">
      <c r="A6" s="12"/>
      <c r="B6" s="12" t="s">
        <v>177</v>
      </c>
      <c r="C6" s="12" t="s">
        <v>178</v>
      </c>
      <c r="D6" s="12" t="s">
        <v>179</v>
      </c>
    </row>
    <row r="7" spans="1:6" ht="30">
      <c r="A7" s="6" t="s">
        <v>180</v>
      </c>
      <c r="B7" s="18">
        <f>'5 - Motore e tabelle'!$B$362</f>
        <v>2026</v>
      </c>
      <c r="C7" s="18">
        <f>'5 - Motore e tabelle'!$C$362</f>
        <v>2029</v>
      </c>
      <c r="D7" s="18">
        <f>'5 - Motore e tabelle'!$D$362</f>
        <v>2026</v>
      </c>
    </row>
    <row r="8" spans="1:6" ht="30">
      <c r="A8" s="6" t="s">
        <v>181</v>
      </c>
      <c r="B8" s="18">
        <f>'5 - Motore e tabelle'!$B$363</f>
        <v>2026</v>
      </c>
      <c r="C8" s="18">
        <f>'5 - Motore e tabelle'!$C$363</f>
        <v>2029</v>
      </c>
      <c r="D8" s="18">
        <f>'5 - Motore e tabelle'!$D$363</f>
        <v>2033</v>
      </c>
    </row>
    <row r="9" spans="1:6">
      <c r="A9" s="6" t="s">
        <v>182</v>
      </c>
      <c r="B9" s="18">
        <f>'5 - Motore e tabelle'!$B$365</f>
        <v>2026</v>
      </c>
      <c r="C9" s="18">
        <f>'5 - Motore e tabelle'!$C$365</f>
        <v>2029</v>
      </c>
      <c r="D9" s="18">
        <f>'5 - Motore e tabelle'!$D$365</f>
        <v>2026</v>
      </c>
    </row>
    <row r="10" spans="1:6" ht="30">
      <c r="A10" s="6" t="s">
        <v>183</v>
      </c>
      <c r="B10" s="13">
        <f>'5 - Motore e tabelle'!$B$371</f>
        <v>750000</v>
      </c>
      <c r="C10" s="13">
        <f>'5 - Motore e tabelle'!$C$371</f>
        <v>871827.58573003043</v>
      </c>
      <c r="D10" s="13">
        <f>'5 - Motore e tabelle'!$D$371</f>
        <v>750000</v>
      </c>
    </row>
    <row r="11" spans="1:6" ht="30">
      <c r="A11" s="6" t="s">
        <v>184</v>
      </c>
      <c r="B11" s="13">
        <f>'5 - Motore e tabelle'!$B$379</f>
        <v>962186.05966300098</v>
      </c>
      <c r="C11" s="13">
        <f>'5 - Motore e tabelle'!$C$379</f>
        <v>819183.16962378274</v>
      </c>
      <c r="D11" s="13">
        <f>'5 - Motore e tabelle'!$D$379</f>
        <v>737544.00937321119</v>
      </c>
    </row>
    <row r="12" spans="1:6" ht="30">
      <c r="A12" s="6" t="s">
        <v>185</v>
      </c>
      <c r="B12" s="13">
        <f>'5 - Motore e tabelle'!$B$380</f>
        <v>-212186.05966300098</v>
      </c>
      <c r="C12" s="13">
        <f>'5 - Motore e tabelle'!$C$380</f>
        <v>52644.416106247692</v>
      </c>
      <c r="D12" s="13">
        <f>'5 - Motore e tabelle'!$D$380</f>
        <v>12455.990626788815</v>
      </c>
    </row>
    <row r="13" spans="1:6">
      <c r="A13" s="6" t="s">
        <v>186</v>
      </c>
      <c r="B13" s="19" t="str">
        <f>IF('5 - Motore e tabelle'!$B$380&lt;0,"mancano "&amp;FIXED(-'5 - Motore e tabelle'!$B$380,0)&amp;" €","margine di "&amp;FIXED('5 - Motore e tabelle'!$B$380,0)&amp;" €")</f>
        <v>mancano 212.186 €</v>
      </c>
      <c r="C13" s="19" t="str">
        <f>IF('5 - Motore e tabelle'!$C$380&lt;0,"mancano "&amp;FIXED(-'5 - Motore e tabelle'!$C$380,0)&amp;" €","margine di "&amp;FIXED('5 - Motore e tabelle'!$C$380,0)&amp;" €")</f>
        <v>margine di 52.644 €</v>
      </c>
      <c r="D13" s="19" t="str">
        <f>IF('5 - Motore e tabelle'!$D$380&lt;0,"mancano "&amp;FIXED(-'5 - Motore e tabelle'!$D$380,0)&amp;" €","margine di "&amp;FIXED('5 - Motore e tabelle'!$D$380,0)&amp;" €")</f>
        <v>margine di 12.456 €</v>
      </c>
    </row>
    <row r="14" spans="1:6">
      <c r="A14" s="6" t="s">
        <v>187</v>
      </c>
      <c r="B14" s="19" t="str">
        <f>IF('5 - Motore e tabelle'!$B$380&gt;=0,"Sì","No")</f>
        <v>No</v>
      </c>
      <c r="C14" s="19" t="str">
        <f>IF('5 - Motore e tabelle'!$C$380&gt;=0,"Sì","No")</f>
        <v>Sì</v>
      </c>
      <c r="D14" s="19" t="str">
        <f>IF('5 - Motore e tabelle'!$D$380&gt;=0,"Sì","No")</f>
        <v>Sì</v>
      </c>
    </row>
    <row r="15" spans="1:6">
      <c r="A15" s="6" t="s">
        <v>155</v>
      </c>
      <c r="B15" s="20" t="str">
        <f>IF('5 - Motore e tabelle'!$B$381&gt;0,"surplus dopo m scartato: il numero è prudente","")</f>
        <v/>
      </c>
      <c r="C15" s="20" t="str">
        <f>IF('5 - Motore e tabelle'!$C$381&gt;0,"surplus dopo m scartato: il numero è prudente","")</f>
        <v/>
      </c>
      <c r="D15" s="20" t="str">
        <f>IF('5 - Motore e tabelle'!$D$381&gt;0,"surplus dopo m scartato: il numero è prudente","")</f>
        <v/>
      </c>
    </row>
    <row r="16" spans="1:6" ht="30">
      <c r="A16" s="6" t="s">
        <v>188</v>
      </c>
      <c r="B16" s="13">
        <f>IF('5 - Motore e tabelle'!$B$365=2026,'5 - Motore e tabelle'!$B$379,"non definito: parte dell'accumulo è futura")</f>
        <v>962186.05966300098</v>
      </c>
      <c r="C16" s="13" t="str">
        <f>IF('5 - Motore e tabelle'!$C$365=2026,'5 - Motore e tabelle'!$C$379,"non definito: parte dell'accumulo è futura")</f>
        <v>non definito: parte dell'accumulo è futura</v>
      </c>
      <c r="D16" s="13">
        <f>IF('5 - Motore e tabelle'!$D$365=2026,'5 - Motore e tabelle'!$D$379,"non definito: parte dell'accumulo è futura")</f>
        <v>737544.00937321119</v>
      </c>
    </row>
    <row r="18" spans="1:5">
      <c r="A18" s="33" t="s">
        <v>189</v>
      </c>
      <c r="B18" s="31"/>
      <c r="C18" s="31"/>
      <c r="D18" s="31"/>
    </row>
    <row r="19" spans="1:5" ht="32.1" customHeight="1">
      <c r="A19" s="12"/>
      <c r="B19" s="12" t="s">
        <v>177</v>
      </c>
      <c r="C19" s="12" t="s">
        <v>178</v>
      </c>
      <c r="D19" s="12" t="s">
        <v>179</v>
      </c>
    </row>
    <row r="20" spans="1:5" ht="45">
      <c r="A20" s="6" t="s">
        <v>190</v>
      </c>
      <c r="B20" s="13">
        <f>SUMIFS('5 - Motore e tabelle'!$B$387:$B$438,'5 - Motore e tabelle'!$A$387:$A$438,"&gt;="&amp;('5 - Motore e tabelle'!$B$365+1),'5 - Motore e tabelle'!$A$387:$A$438,"&lt;="&amp;'5 - Motore e tabelle'!$B$382)</f>
        <v>725683.04961445171</v>
      </c>
      <c r="C20" s="13">
        <f>SUMIFS('5 - Motore e tabelle'!$C$387:$C$438,'5 - Motore e tabelle'!$A$387:$A$438,"&gt;="&amp;('5 - Motore e tabelle'!$C$365+1),'5 - Motore e tabelle'!$A$387:$A$438,"&lt;="&amp;'5 - Motore e tabelle'!$C$382)</f>
        <v>643870.84547517879</v>
      </c>
      <c r="D20" s="13">
        <f>SUMIFS('5 - Motore e tabelle'!$D$387:$D$438,'5 - Motore e tabelle'!$A$387:$A$438,"&gt;="&amp;('5 - Motore e tabelle'!$D$365+1),'5 - Motore e tabelle'!$A$387:$A$438,"&lt;="&amp;'5 - Motore e tabelle'!$D$382)</f>
        <v>557843.73511354753</v>
      </c>
    </row>
    <row r="21" spans="1:5">
      <c r="A21" s="6" t="s">
        <v>191</v>
      </c>
      <c r="B21" s="13">
        <f>SUMIFS('5 - Motore e tabelle'!$B$387:$B$438,'5 - Motore e tabelle'!$A$387:$A$438,"&gt;"&amp;'5 - Motore e tabelle'!$B$382,'5 - Motore e tabelle'!$A$387:$A$438,"&lt;="&amp;'5 - Motore e tabelle'!$B$383)</f>
        <v>143399.83653739482</v>
      </c>
      <c r="C21" s="13">
        <f>SUMIFS('5 - Motore e tabelle'!$C$387:$C$438,'5 - Motore e tabelle'!$A$387:$A$438,"&gt;"&amp;'5 - Motore e tabelle'!$C$382,'5 - Motore e tabelle'!$A$387:$A$438,"&lt;="&amp;'5 - Motore e tabelle'!$C$383)</f>
        <v>80973.977642968239</v>
      </c>
      <c r="D21" s="13">
        <f>SUMIFS('5 - Motore e tabelle'!$D$387:$D$438,'5 - Motore e tabelle'!$A$387:$A$438,"&gt;"&amp;'5 - Motore e tabelle'!$D$382,'5 - Motore e tabelle'!$A$387:$A$438,"&lt;="&amp;'5 - Motore e tabelle'!$D$383)</f>
        <v>84622.942747896654</v>
      </c>
    </row>
    <row r="22" spans="1:5">
      <c r="A22" s="6" t="s">
        <v>192</v>
      </c>
      <c r="B22" s="13">
        <f>SUMIFS('5 - Motore e tabelle'!$B$387:$B$438,'5 - Motore e tabelle'!$A$387:$A$438,"&gt;"&amp;'5 - Motore e tabelle'!$B$383)</f>
        <v>93103.173511154368</v>
      </c>
      <c r="C22" s="13">
        <f>SUMIFS('5 - Motore e tabelle'!$C$387:$C$438,'5 - Motore e tabelle'!$A$387:$A$438,"&gt;"&amp;'5 - Motore e tabelle'!$C$383)</f>
        <v>94338.346505635942</v>
      </c>
      <c r="D22" s="13">
        <f>SUMIFS('5 - Motore e tabelle'!$D$387:$D$438,'5 - Motore e tabelle'!$A$387:$A$438,"&gt;"&amp;'5 - Motore e tabelle'!$D$383)</f>
        <v>95077.33151176697</v>
      </c>
    </row>
    <row r="23" spans="1:5">
      <c r="A23" s="6" t="s">
        <v>95</v>
      </c>
      <c r="B23" s="13">
        <f>SUM(B20:B22)</f>
        <v>962186.05966300087</v>
      </c>
      <c r="C23" s="13">
        <f>SUM(C20:C22)</f>
        <v>819183.16962378286</v>
      </c>
      <c r="D23" s="13">
        <f>SUM(D20:D22)</f>
        <v>737544.00937321119</v>
      </c>
    </row>
    <row r="24" spans="1:5">
      <c r="A24" s="6" t="s">
        <v>193</v>
      </c>
      <c r="B24" s="18">
        <f>MAX(0,'5 - Motore e tabelle'!$B$382-'5 - Motore e tabelle'!$B$365)</f>
        <v>20</v>
      </c>
      <c r="C24" s="18">
        <f>MAX(0,'5 - Motore e tabelle'!$C$382-'5 - Motore e tabelle'!$C$365)</f>
        <v>17</v>
      </c>
      <c r="D24" s="18">
        <f>MAX(0,'5 - Motore e tabelle'!$D$382-'5 - Motore e tabelle'!$D$365)</f>
        <v>20</v>
      </c>
    </row>
    <row r="25" spans="1:5">
      <c r="A25" s="6" t="s">
        <v>194</v>
      </c>
      <c r="B25" s="18">
        <f>'5 - Motore e tabelle'!$B$383-'5 - Motore e tabelle'!$B$382</f>
        <v>11</v>
      </c>
      <c r="C25" s="18">
        <f>'5 - Motore e tabelle'!$C$383-'5 - Motore e tabelle'!$C$382</f>
        <v>6</v>
      </c>
      <c r="D25" s="18">
        <f>'5 - Motore e tabelle'!$D$383-'5 - Motore e tabelle'!$D$382</f>
        <v>6</v>
      </c>
    </row>
    <row r="26" spans="1:5">
      <c r="A26" s="6" t="s">
        <v>195</v>
      </c>
      <c r="B26" s="18">
        <f>p_orizz-'5 - Motore e tabelle'!$B$383</f>
        <v>21</v>
      </c>
      <c r="C26" s="18">
        <f>p_orizz-'5 - Motore e tabelle'!$C$383</f>
        <v>26</v>
      </c>
      <c r="D26" s="18">
        <f>p_orizz-'5 - Motore e tabelle'!$D$383</f>
        <v>26</v>
      </c>
    </row>
    <row r="27" spans="1:5">
      <c r="A27" s="6" t="s">
        <v>196</v>
      </c>
      <c r="B27" s="14">
        <f>B20/B23</f>
        <v>0.75420241472695759</v>
      </c>
      <c r="C27" s="14">
        <f>C20/C23</f>
        <v>0.78599130127500327</v>
      </c>
      <c r="D27" s="14">
        <f>D20/D23</f>
        <v>0.7563531504887705</v>
      </c>
    </row>
    <row r="28" spans="1:5" ht="30" customHeight="1">
      <c r="A28" s="34" t="s">
        <v>197</v>
      </c>
      <c r="B28" s="31"/>
      <c r="C28" s="31"/>
      <c r="D28" s="31"/>
    </row>
    <row r="30" spans="1:5">
      <c r="A30" s="33" t="s">
        <v>198</v>
      </c>
      <c r="B30" s="31"/>
      <c r="C30" s="31"/>
      <c r="D30" s="31"/>
      <c r="E30" s="31"/>
    </row>
    <row r="31" spans="1:5" ht="32.1" customHeight="1">
      <c r="A31" s="12" t="s">
        <v>199</v>
      </c>
      <c r="B31" s="12" t="s">
        <v>200</v>
      </c>
      <c r="C31" s="12" t="s">
        <v>201</v>
      </c>
      <c r="D31" s="12" t="s">
        <v>202</v>
      </c>
      <c r="E31" s="12" t="s">
        <v>187</v>
      </c>
    </row>
    <row r="32" spans="1:5">
      <c r="A32" s="21">
        <v>2026</v>
      </c>
      <c r="B32" s="13">
        <f>'5 - Motore e tabelle'!$G$371</f>
        <v>750000</v>
      </c>
      <c r="C32" s="13">
        <f>'5 - Motore e tabelle'!$G$379</f>
        <v>962186.05966300098</v>
      </c>
      <c r="D32" s="13">
        <f>'5 - Motore e tabelle'!$G$380</f>
        <v>-212186.05966300098</v>
      </c>
      <c r="E32" s="19" t="str">
        <f t="shared" ref="E32:E51" si="0">IF(D32&gt;=0,"Sì","No")</f>
        <v>No</v>
      </c>
    </row>
    <row r="33" spans="1:5">
      <c r="A33" s="21">
        <v>2027</v>
      </c>
      <c r="B33" s="13">
        <f>'5 - Motore e tabelle'!$H$371</f>
        <v>789495.41603798897</v>
      </c>
      <c r="C33" s="13">
        <f>'5 - Motore e tabelle'!$H$379</f>
        <v>903646.88661690662</v>
      </c>
      <c r="D33" s="13">
        <f>'5 - Motore e tabelle'!$H$380</f>
        <v>-114151.47057891765</v>
      </c>
      <c r="E33" s="19" t="str">
        <f t="shared" si="0"/>
        <v>No</v>
      </c>
    </row>
    <row r="34" spans="1:5">
      <c r="A34" s="21">
        <v>2028</v>
      </c>
      <c r="B34" s="13">
        <f>'5 - Motore e tabelle'!$I$371</f>
        <v>830094.33400007931</v>
      </c>
      <c r="C34" s="13">
        <f>'5 - Motore e tabelle'!$I$379</f>
        <v>861894.86906332895</v>
      </c>
      <c r="D34" s="13">
        <f>'5 - Motore e tabelle'!$I$380</f>
        <v>-31800.535063249641</v>
      </c>
      <c r="E34" s="19" t="str">
        <f t="shared" si="0"/>
        <v>No</v>
      </c>
    </row>
    <row r="35" spans="1:5">
      <c r="A35" s="21">
        <v>2029</v>
      </c>
      <c r="B35" s="13">
        <f>'5 - Motore e tabelle'!$J$371</f>
        <v>871827.58573003043</v>
      </c>
      <c r="C35" s="13">
        <f>'5 - Motore e tabelle'!$J$379</f>
        <v>819183.16962378274</v>
      </c>
      <c r="D35" s="13">
        <f>'5 - Motore e tabelle'!$J$380</f>
        <v>52644.416106247692</v>
      </c>
      <c r="E35" s="19" t="str">
        <f t="shared" si="0"/>
        <v>Sì</v>
      </c>
    </row>
    <row r="36" spans="1:5">
      <c r="A36" s="21">
        <v>2030</v>
      </c>
      <c r="B36" s="13">
        <f>'5 - Motore e tabelle'!$K$371</f>
        <v>914726.86451331654</v>
      </c>
      <c r="C36" s="13">
        <f>'5 - Motore e tabelle'!$K$379</f>
        <v>774787.64362983883</v>
      </c>
      <c r="D36" s="13">
        <f>'5 - Motore e tabelle'!$K$380</f>
        <v>139939.22088347771</v>
      </c>
      <c r="E36" s="19" t="str">
        <f t="shared" si="0"/>
        <v>Sì</v>
      </c>
    </row>
    <row r="37" spans="1:5">
      <c r="A37" s="21">
        <v>2031</v>
      </c>
      <c r="B37" s="13">
        <f>'5 - Motore e tabelle'!$L$371</f>
        <v>958824.74914580758</v>
      </c>
      <c r="C37" s="13">
        <f>'5 - Motore e tabelle'!$L$379</f>
        <v>730721.40236531419</v>
      </c>
      <c r="D37" s="13">
        <f>'5 - Motore e tabelle'!$L$380</f>
        <v>228103.34678049339</v>
      </c>
      <c r="E37" s="19" t="str">
        <f t="shared" si="0"/>
        <v>Sì</v>
      </c>
    </row>
    <row r="38" spans="1:5">
      <c r="A38" s="21">
        <v>2032</v>
      </c>
      <c r="B38" s="13">
        <f>'5 - Motore e tabelle'!$M$371</f>
        <v>1004154.7286749303</v>
      </c>
      <c r="C38" s="13">
        <f>'5 - Motore e tabelle'!$M$379</f>
        <v>683912.25807355263</v>
      </c>
      <c r="D38" s="13">
        <f>'5 - Motore e tabelle'!$M$380</f>
        <v>320242.47060137766</v>
      </c>
      <c r="E38" s="19" t="str">
        <f t="shared" si="0"/>
        <v>Sì</v>
      </c>
    </row>
    <row r="39" spans="1:5">
      <c r="A39" s="21">
        <v>2033</v>
      </c>
      <c r="B39" s="13">
        <f>'5 - Motore e tabelle'!$N$371</f>
        <v>1050751.2278320969</v>
      </c>
      <c r="C39" s="13">
        <f>'5 - Motore e tabelle'!$N$379</f>
        <v>635207.97194633505</v>
      </c>
      <c r="D39" s="13">
        <f>'5 - Motore e tabelle'!$N$380</f>
        <v>415543.25588576181</v>
      </c>
      <c r="E39" s="19" t="str">
        <f t="shared" si="0"/>
        <v>Sì</v>
      </c>
    </row>
    <row r="40" spans="1:5">
      <c r="A40" s="21">
        <v>2034</v>
      </c>
      <c r="B40" s="13">
        <f>'5 - Motore e tabelle'!$O$371</f>
        <v>1098649.6331757146</v>
      </c>
      <c r="C40" s="13">
        <f>'5 - Motore e tabelle'!$O$379</f>
        <v>584559.39371631492</v>
      </c>
      <c r="D40" s="13">
        <f>'5 - Motore e tabelle'!$O$380</f>
        <v>514090.23945939972</v>
      </c>
      <c r="E40" s="19" t="str">
        <f t="shared" si="0"/>
        <v>Sì</v>
      </c>
    </row>
    <row r="41" spans="1:5">
      <c r="A41" s="21">
        <v>2035</v>
      </c>
      <c r="B41" s="13">
        <f>'5 - Motore e tabelle'!$P$371</f>
        <v>1147886.3199646329</v>
      </c>
      <c r="C41" s="13">
        <f>'5 - Motore e tabelle'!$P$379</f>
        <v>531915.20274586417</v>
      </c>
      <c r="D41" s="13">
        <f>'5 - Motore e tabelle'!$P$380</f>
        <v>615971.11721876869</v>
      </c>
      <c r="E41" s="19" t="str">
        <f t="shared" si="0"/>
        <v>Sì</v>
      </c>
    </row>
    <row r="42" spans="1:5">
      <c r="A42" s="21">
        <v>2036</v>
      </c>
      <c r="B42" s="13">
        <f>'5 - Motore e tabelle'!$Q$371</f>
        <v>1198498.6797824339</v>
      </c>
      <c r="C42" s="13">
        <f>'5 - Motore e tabelle'!$Q$379</f>
        <v>488515.0467688276</v>
      </c>
      <c r="D42" s="13">
        <f>'5 - Motore e tabelle'!$Q$380</f>
        <v>709983.6330136063</v>
      </c>
      <c r="E42" s="19" t="str">
        <f t="shared" si="0"/>
        <v>Sì</v>
      </c>
    </row>
    <row r="43" spans="1:5">
      <c r="A43" s="21">
        <v>2037</v>
      </c>
      <c r="B43" s="13">
        <f>'5 - Motore e tabelle'!$R$371</f>
        <v>1250525.1489335441</v>
      </c>
      <c r="C43" s="13">
        <f>'5 - Motore e tabelle'!$R$379</f>
        <v>449977.03790691169</v>
      </c>
      <c r="D43" s="13">
        <f>'5 - Motore e tabelle'!$R$380</f>
        <v>800548.11102663237</v>
      </c>
      <c r="E43" s="19" t="str">
        <f t="shared" si="0"/>
        <v>Sì</v>
      </c>
    </row>
    <row r="44" spans="1:5">
      <c r="A44" s="21">
        <v>2038</v>
      </c>
      <c r="B44" s="13">
        <f>'5 - Motore e tabelle'!$S$371</f>
        <v>1304005.2376327361</v>
      </c>
      <c r="C44" s="13">
        <f>'5 - Motore e tabelle'!$S$379</f>
        <v>410165.95751242613</v>
      </c>
      <c r="D44" s="13">
        <f>'5 - Motore e tabelle'!$S$380</f>
        <v>893839.28012030991</v>
      </c>
      <c r="E44" s="19" t="str">
        <f t="shared" si="0"/>
        <v>Sì</v>
      </c>
    </row>
    <row r="45" spans="1:5">
      <c r="A45" s="21">
        <v>2039</v>
      </c>
      <c r="B45" s="13">
        <f>'5 - Motore e tabelle'!$T$371</f>
        <v>1358979.5600101838</v>
      </c>
      <c r="C45" s="13">
        <f>'5 - Motore e tabelle'!$T$379</f>
        <v>369053.57934703224</v>
      </c>
      <c r="D45" s="13">
        <f>'5 - Motore e tabelle'!$T$380</f>
        <v>989925.9806631516</v>
      </c>
      <c r="E45" s="19" t="str">
        <f t="shared" si="0"/>
        <v>Sì</v>
      </c>
    </row>
    <row r="46" spans="1:5">
      <c r="A46" s="21">
        <v>2040</v>
      </c>
      <c r="B46" s="13">
        <f>'5 - Motore e tabelle'!$U$371</f>
        <v>1415489.8649548574</v>
      </c>
      <c r="C46" s="13">
        <f>'5 - Motore e tabelle'!$U$379</f>
        <v>326610.56116075179</v>
      </c>
      <c r="D46" s="13">
        <f>'5 - Motore e tabelle'!$U$380</f>
        <v>1088879.3037941055</v>
      </c>
      <c r="E46" s="19" t="str">
        <f t="shared" si="0"/>
        <v>Sì</v>
      </c>
    </row>
    <row r="47" spans="1:5">
      <c r="A47" s="21">
        <v>2041</v>
      </c>
      <c r="B47" s="13">
        <f>'5 - Motore e tabelle'!$V$371</f>
        <v>1473579.067819685</v>
      </c>
      <c r="C47" s="13">
        <f>'5 - Motore e tabelle'!$V$379</f>
        <v>282806.46310785128</v>
      </c>
      <c r="D47" s="13">
        <f>'5 - Motore e tabelle'!$V$380</f>
        <v>1190772.6047118336</v>
      </c>
      <c r="E47" s="19" t="str">
        <f t="shared" si="0"/>
        <v>Sì</v>
      </c>
    </row>
    <row r="48" spans="1:5">
      <c r="A48" s="21">
        <v>2042</v>
      </c>
      <c r="B48" s="13">
        <f>'5 - Motore e tabelle'!$W$371</f>
        <v>1533291.2830125561</v>
      </c>
      <c r="C48" s="13">
        <f>'5 - Motore e tabelle'!$W$379</f>
        <v>237609.76114132948</v>
      </c>
      <c r="D48" s="13">
        <f>'5 - Motore e tabelle'!$W$380</f>
        <v>1295681.5218712266</v>
      </c>
      <c r="E48" s="19" t="str">
        <f t="shared" si="0"/>
        <v>Sì</v>
      </c>
    </row>
    <row r="49" spans="1:5">
      <c r="A49" s="21">
        <v>2043</v>
      </c>
      <c r="B49" s="13">
        <f>'5 - Motore e tabelle'!$X$371</f>
        <v>1594671.8574979156</v>
      </c>
      <c r="C49" s="13">
        <f>'5 - Motore e tabelle'!$X$379</f>
        <v>190987.85611890326</v>
      </c>
      <c r="D49" s="13">
        <f>'5 - Motore e tabelle'!$X$380</f>
        <v>1403684.0013790124</v>
      </c>
      <c r="E49" s="19" t="str">
        <f t="shared" si="0"/>
        <v>Sì</v>
      </c>
    </row>
    <row r="50" spans="1:5">
      <c r="A50" s="21">
        <v>2044</v>
      </c>
      <c r="B50" s="13">
        <f>'5 - Motore e tabelle'!$Y$371</f>
        <v>1657767.4052343965</v>
      </c>
      <c r="C50" s="13">
        <f>'5 - Motore e tabelle'!$Y$379</f>
        <v>142907.07922840837</v>
      </c>
      <c r="D50" s="13">
        <f>'5 - Motore e tabelle'!$Y$380</f>
        <v>1514860.3260059881</v>
      </c>
      <c r="E50" s="19" t="str">
        <f t="shared" si="0"/>
        <v>Sì</v>
      </c>
    </row>
    <row r="51" spans="1:5">
      <c r="A51" s="21">
        <v>2045</v>
      </c>
      <c r="B51" s="13">
        <f>'5 - Motore e tabelle'!$Z$371</f>
        <v>1722625.8425746344</v>
      </c>
      <c r="C51" s="13">
        <f>'5 - Motore e tabelle'!$Z$379</f>
        <v>93332.694239150311</v>
      </c>
      <c r="D51" s="13">
        <f>'5 - Motore e tabelle'!$Z$380</f>
        <v>1629293.1483354841</v>
      </c>
      <c r="E51" s="19" t="str">
        <f t="shared" si="0"/>
        <v>Sì</v>
      </c>
    </row>
    <row r="52" spans="1:5" ht="30">
      <c r="A52" s="6" t="s">
        <v>203</v>
      </c>
      <c r="B52" s="18">
        <f>IF(COUNT('5 - Motore e tabelle'!$G$384:$Z$384)=0,"oltre il 2045",MIN('5 - Motore e tabelle'!$G$384:$Z$384))</f>
        <v>2029</v>
      </c>
    </row>
    <row r="53" spans="1:5">
      <c r="A53" s="6" t="s">
        <v>204</v>
      </c>
      <c r="B53" s="18">
        <f>IF(ISNUMBER(Tra_U),Tra_U-2026,"oltre 19")</f>
        <v>3</v>
      </c>
    </row>
    <row r="55" spans="1:5">
      <c r="A55" s="33" t="s">
        <v>205</v>
      </c>
      <c r="B55" s="31"/>
      <c r="C55" s="31"/>
      <c r="D55" s="31"/>
    </row>
    <row r="56" spans="1:5" ht="45">
      <c r="A56" s="6" t="s">
        <v>206</v>
      </c>
      <c r="B56" s="13">
        <f>'5 - Motore e tabelle'!$E$380-'5 - Motore e tabelle'!$B$380</f>
        <v>51516.313091708464</v>
      </c>
    </row>
    <row r="57" spans="1:5" ht="30" customHeight="1">
      <c r="A57" s="6" t="s">
        <v>207</v>
      </c>
      <c r="B57" s="13">
        <f>'5 - Motore e tabelle'!$F$380-'5 - Motore e tabelle'!$B$380</f>
        <v>50232.431745475158</v>
      </c>
      <c r="C57" s="34" t="s">
        <v>208</v>
      </c>
      <c r="D57" s="31"/>
      <c r="E57" s="31"/>
    </row>
    <row r="58" spans="1:5" ht="30">
      <c r="A58" s="6" t="s">
        <v>209</v>
      </c>
      <c r="B58" s="16">
        <v>0.1</v>
      </c>
    </row>
    <row r="59" spans="1:5" ht="30">
      <c r="A59" s="6" t="s">
        <v>210</v>
      </c>
      <c r="B59" s="13">
        <f>'5 - Motore e tabelle'!$AA$379</f>
        <v>826098.54469052213</v>
      </c>
    </row>
    <row r="60" spans="1:5" ht="45">
      <c r="A60" s="6" t="s">
        <v>211</v>
      </c>
      <c r="B60" s="13">
        <f>'5 - Motore e tabelle'!$AB$379</f>
        <v>1098273.5746354798</v>
      </c>
    </row>
  </sheetData>
  <mergeCells count="9">
    <mergeCell ref="A1:F1"/>
    <mergeCell ref="A55:D55"/>
    <mergeCell ref="A3:F3"/>
    <mergeCell ref="A28:D28"/>
    <mergeCell ref="A30:E30"/>
    <mergeCell ref="A2:F2"/>
    <mergeCell ref="A5:D5"/>
    <mergeCell ref="A18:D18"/>
    <mergeCell ref="C57:E5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5"/>
  <sheetViews>
    <sheetView workbookViewId="0"/>
  </sheetViews>
  <sheetFormatPr defaultRowHeight="15"/>
  <cols>
    <col min="1" max="2" width="25" customWidth="1"/>
    <col min="3" max="3" width="20" customWidth="1"/>
    <col min="4" max="4" width="25" customWidth="1"/>
    <col min="5" max="5" width="20" customWidth="1"/>
    <col min="6" max="6" width="19" customWidth="1"/>
    <col min="7" max="9" width="25" customWidth="1"/>
    <col min="10" max="10" width="22" customWidth="1"/>
    <col min="11" max="12" width="17" customWidth="1"/>
    <col min="13" max="15" width="25" customWidth="1"/>
    <col min="16" max="16" width="20" customWidth="1"/>
    <col min="17" max="17" width="25" customWidth="1"/>
    <col min="18" max="19" width="17" customWidth="1"/>
    <col min="20" max="20" width="21" customWidth="1"/>
    <col min="21" max="21" width="17" customWidth="1"/>
    <col min="22" max="22" width="22" customWidth="1"/>
    <col min="23" max="25" width="25" customWidth="1"/>
    <col min="26" max="26" width="17" customWidth="1"/>
    <col min="27" max="27" width="22" customWidth="1"/>
    <col min="28" max="28" width="25" customWidth="1"/>
    <col min="29" max="29" width="24" customWidth="1"/>
    <col min="30" max="30" width="25" customWidth="1"/>
    <col min="31" max="31" width="19" customWidth="1"/>
    <col min="32" max="32" width="25" customWidth="1"/>
  </cols>
  <sheetData>
    <row r="1" spans="1:8" ht="24.95" customHeight="1">
      <c r="A1" s="32" t="s">
        <v>212</v>
      </c>
      <c r="B1" s="31"/>
      <c r="C1" s="31"/>
      <c r="D1" s="31"/>
      <c r="E1" s="31"/>
      <c r="F1" s="31"/>
      <c r="G1" s="31"/>
      <c r="H1" s="31"/>
    </row>
    <row r="2" spans="1:8" ht="32.1" customHeight="1">
      <c r="A2" s="30" t="s">
        <v>1</v>
      </c>
      <c r="B2" s="31"/>
      <c r="C2" s="31"/>
      <c r="D2" s="31"/>
      <c r="E2" s="31"/>
      <c r="F2" s="31"/>
      <c r="G2" s="31"/>
      <c r="H2" s="31"/>
    </row>
    <row r="3" spans="1:8" ht="60" customHeight="1">
      <c r="A3" s="34" t="s">
        <v>213</v>
      </c>
      <c r="B3" s="31"/>
      <c r="C3" s="31"/>
      <c r="D3" s="31"/>
      <c r="E3" s="31"/>
      <c r="F3" s="31"/>
      <c r="G3" s="31"/>
      <c r="H3" s="31"/>
    </row>
    <row r="5" spans="1:8">
      <c r="A5" s="33" t="s">
        <v>214</v>
      </c>
      <c r="B5" s="31"/>
      <c r="C5" s="31"/>
    </row>
    <row r="6" spans="1:8">
      <c r="A6" s="6" t="s">
        <v>215</v>
      </c>
      <c r="B6" s="19" t="str">
        <f>V_chi</f>
        <v>T</v>
      </c>
      <c r="D6" s="6" t="s">
        <v>216</v>
      </c>
    </row>
    <row r="7" spans="1:8" ht="45">
      <c r="A7" s="6" t="s">
        <v>110</v>
      </c>
      <c r="B7" s="18">
        <f>V_anno</f>
        <v>2035</v>
      </c>
      <c r="D7" s="6" t="s">
        <v>217</v>
      </c>
      <c r="E7" s="18">
        <f>IF(COUNT(AA44:AA95)=0,0,MIN(AA44:AA95))</f>
        <v>0</v>
      </c>
    </row>
    <row r="8" spans="1:8" ht="30">
      <c r="A8" s="6" t="s">
        <v>218</v>
      </c>
      <c r="B8" s="18">
        <f>U_com</f>
        <v>2029</v>
      </c>
      <c r="D8" s="6" t="s">
        <v>219</v>
      </c>
      <c r="E8" s="13">
        <f>IF(Ved_esaur&gt;0,-1,INDEX(AF44:AF95,p_orizz-2026))</f>
        <v>1151564.7366560581</v>
      </c>
    </row>
    <row r="9" spans="1:8">
      <c r="A9" s="6" t="s">
        <v>220</v>
      </c>
      <c r="B9" s="19" t="str">
        <f>IF(V_chi="T","Camilla",IF(V_chi="C","Tiziano","nessuno"))</f>
        <v>Camilla</v>
      </c>
      <c r="D9" s="6" t="s">
        <v>186</v>
      </c>
      <c r="E9" s="19" t="str">
        <f>IF(Ved_esaur&gt;0,"si esaurisce nel "&amp;Ved_esaur,"resta "&amp;FIXED(Ved_finale,0)&amp;" € (reali) al "&amp;p_orizz)</f>
        <v>resta 1.151.565 € (reali) al 2078</v>
      </c>
    </row>
    <row r="10" spans="1:8" ht="30">
      <c r="A10" s="6" t="s">
        <v>221</v>
      </c>
      <c r="B10" s="23">
        <f>IF(V_chi="nessuno",0,IF(V_regime=1,(IF(V_chi="T",Ered_2026,0)+(Pat_W-Ered_2026)/2)/Pat_W,(IF(V_chi="T",Pt_T_val,Pt_C_val)+Pt_J_val/2)/Pat_W))</f>
        <v>0.72448434095164627</v>
      </c>
      <c r="D10" s="6" t="s">
        <v>222</v>
      </c>
      <c r="E10" s="13">
        <f>IFERROR(INDEX(J44:J95,V_anno+1-2026),0)</f>
        <v>10785.432059086081</v>
      </c>
    </row>
    <row r="11" spans="1:8" ht="45">
      <c r="A11" s="6" t="s">
        <v>223</v>
      </c>
      <c r="B11" s="23">
        <f>IF(V_chi="nessuno",0,IF(V_regime=1,(IF(V_chi="T",Ered_nom,0)+(Pat_B-Ered_nom)/2)/Pat_B,(IF(V_chi="T",Pt_T_base,Pt_C_base)+Pt_J_base/2)/Pat_B))</f>
        <v>0.71689769235170586</v>
      </c>
      <c r="D11" s="6" t="s">
        <v>224</v>
      </c>
      <c r="E11" s="13">
        <f>IFERROR(INDEX(M44:M95,V_anno+1-2026),0)</f>
        <v>10785.432059086081</v>
      </c>
    </row>
    <row r="12" spans="1:8" ht="30">
      <c r="A12" s="6" t="s">
        <v>225</v>
      </c>
      <c r="B12" s="23">
        <f>INDEX(FZ_val,MATCH(V_regime&amp;"|"&amp;V_test&amp;"|"&amp;V_fam,FZ_key,0))</f>
        <v>1</v>
      </c>
      <c r="D12" s="6" t="s">
        <v>155</v>
      </c>
      <c r="E12" s="20" t="str">
        <f>IF(AND(V_regime=1,Ved_q&gt;0,Pat_W*Ved_q&gt;1000000),"la quota ereditata supera 1.000.000 €: l'imposta del 4% non è modellata",IF(V_regime=2,"conviventi: nessuna reversibilità e imposta dell'8% senza franchigia",""))</f>
        <v/>
      </c>
    </row>
    <row r="13" spans="1:8">
      <c r="A13" s="6" t="s">
        <v>226</v>
      </c>
      <c r="B13" s="14">
        <f>IF(V_regime=1,imp_R1,imp_R2)</f>
        <v>0</v>
      </c>
    </row>
    <row r="14" spans="1:8" ht="30">
      <c r="A14" s="6" t="s">
        <v>227</v>
      </c>
      <c r="B14" s="23">
        <f>(1-$B$10)+$B$10*$B$12*(1-$B$13)</f>
        <v>1</v>
      </c>
    </row>
    <row r="15" spans="1:8">
      <c r="A15" s="6" t="s">
        <v>228</v>
      </c>
      <c r="B15" s="23">
        <f>(1-$B$11)+$B$11*$B$12*(1-$B$13)</f>
        <v>1</v>
      </c>
    </row>
    <row r="16" spans="1:8" ht="30">
      <c r="A16" s="6" t="s">
        <v>229</v>
      </c>
      <c r="B16" s="14">
        <f>IF(V_regime=1,V_aliq,0)</f>
        <v>0.6</v>
      </c>
    </row>
    <row r="17" spans="1:2" ht="30">
      <c r="A17" s="6" t="s">
        <v>230</v>
      </c>
      <c r="B17" s="15">
        <f>(Tz_m26*(1+p_g)^MAX(0,MIN(V_anno,U_com)-2026)+p_comp*Tz_ral*IF(p_g=0,MAX(0,MIN(V_anno,U_com)-2026),((1+p_g)^MAX(0,MIN(V_anno,U_com)-2026)-1)/p_g))*(1+p_g)^MAX(0,V_anno-MIN(V_anno,U_com))</f>
        <v>427586.11081058061</v>
      </c>
    </row>
    <row r="18" spans="1:2" ht="60">
      <c r="A18" s="6" t="s">
        <v>231</v>
      </c>
      <c r="B18" s="15">
        <f>V_aliq*$B$17*IF(MAX(V_anno-Tz_nasc_a,57)&gt;=71,INDEX(CT_val,15),INDEX(CT_val,MAX(V_anno-Tz_nasc_a,57)-56))</f>
        <v>10785.432059086081</v>
      </c>
    </row>
    <row r="19" spans="1:2" ht="30">
      <c r="A19" s="6" t="s">
        <v>232</v>
      </c>
      <c r="B19" s="15">
        <f>INDEX(PT_lorda,U_com-2025)</f>
        <v>26966.501079193011</v>
      </c>
    </row>
    <row r="20" spans="1:2" ht="30">
      <c r="A20" s="6" t="s">
        <v>233</v>
      </c>
      <c r="B20" s="15">
        <f>INDEX(PT_netta,U_com-2025)</f>
        <v>21041.390739939001</v>
      </c>
    </row>
    <row r="21" spans="1:2" ht="30">
      <c r="A21" s="6" t="s">
        <v>234</v>
      </c>
      <c r="B21" s="18">
        <f>INDEX(PT_da,U_com-2025)</f>
        <v>2046</v>
      </c>
    </row>
    <row r="22" spans="1:2" ht="30">
      <c r="A22" s="6" t="s">
        <v>235</v>
      </c>
      <c r="B22" s="18">
        <f>INDEX(PT_dm,U_com-2025)</f>
        <v>12</v>
      </c>
    </row>
    <row r="23" spans="1:2" ht="30">
      <c r="A23" s="6" t="s">
        <v>236</v>
      </c>
      <c r="B23" s="15">
        <f>(Cm_m26*(1+p_g)^MAX(0,MIN(V_anno,U_com)-2026)+p_comp*Cm_ral*IF(p_g=0,MAX(0,MIN(V_anno,U_com)-2026),((1+p_g)^MAX(0,MIN(V_anno,U_com)-2026)-1)/p_g))*(1+p_g)^MAX(0,V_anno-MIN(V_anno,U_com))</f>
        <v>193312.70777148101</v>
      </c>
    </row>
    <row r="24" spans="1:2" ht="60">
      <c r="A24" s="6" t="s">
        <v>237</v>
      </c>
      <c r="B24" s="15">
        <f>V_aliq*$B$23*IF(MAX(V_anno-Cm_nasc_a,57)&gt;=71,INDEX(CT_val,15),INDEX(CT_val,MAX(V_anno-Cm_nasc_a,57)-56))</f>
        <v>4876.1197408278349</v>
      </c>
    </row>
    <row r="25" spans="1:2" ht="30">
      <c r="A25" s="6" t="s">
        <v>238</v>
      </c>
      <c r="B25" s="15">
        <f>INDEX(PC_lorda,U_com-2025)</f>
        <v>12798.691518918184</v>
      </c>
    </row>
    <row r="26" spans="1:2" ht="30">
      <c r="A26" s="6" t="s">
        <v>239</v>
      </c>
      <c r="B26" s="15">
        <f>INDEX(PC_netta,U_com-2025)</f>
        <v>11277.359261945441</v>
      </c>
    </row>
    <row r="27" spans="1:2" ht="30">
      <c r="A27" s="6" t="s">
        <v>240</v>
      </c>
      <c r="B27" s="18">
        <f>INDEX(PC_da,U_com-2025)</f>
        <v>2052</v>
      </c>
    </row>
    <row r="28" spans="1:2" ht="30">
      <c r="A28" s="6" t="s">
        <v>241</v>
      </c>
      <c r="B28" s="18">
        <f>INDEX(PC_dm,U_com-2025)</f>
        <v>12</v>
      </c>
    </row>
    <row r="29" spans="1:2" ht="75">
      <c r="A29" s="6" t="s">
        <v>242</v>
      </c>
      <c r="B29" s="15">
        <f>IF(V_chi="T",IF(V_anno&gt;=$B$21,$B$19,$B$17*IF(MAX(V_anno-Tz_nasc_a,57)&gt;=71,INDEX(CT_val,15),INDEX(CT_val,MAX(V_anno-Tz_nasc_a,57)-56))),IF(V_anno&gt;=$B$27,$B$25,$B$23*IF(MAX(V_anno-Cm_nasc_a,57)&gt;=71,INDEX(CT_val,15),INDEX(CT_val,MAX(V_anno-Cm_nasc_a,57)-56))))</f>
        <v>17975.720098476802</v>
      </c>
    </row>
    <row r="30" spans="1:2">
      <c r="A30" s="6" t="s">
        <v>243</v>
      </c>
      <c r="B30" s="18">
        <f>IF(V_chi="T",Cm_nasc_a,Tz_nasc_a)</f>
        <v>1983</v>
      </c>
    </row>
    <row r="31" spans="1:2">
      <c r="A31" s="6" t="s">
        <v>244</v>
      </c>
      <c r="B31" s="13">
        <f>IF(V_chi="T",Cm_ral,Tz_ral)</f>
        <v>29000</v>
      </c>
    </row>
    <row r="42" spans="1:32">
      <c r="A42" s="33" t="s">
        <v>245</v>
      </c>
      <c r="B42" s="31"/>
      <c r="C42" s="31"/>
      <c r="D42" s="31"/>
      <c r="E42" s="31"/>
      <c r="F42" s="31"/>
      <c r="G42" s="31"/>
      <c r="H42" s="31"/>
    </row>
    <row r="43" spans="1:32" ht="62.1" customHeight="1">
      <c r="A43" s="12" t="s">
        <v>246</v>
      </c>
      <c r="B43" s="12" t="s">
        <v>247</v>
      </c>
      <c r="C43" s="12" t="s">
        <v>248</v>
      </c>
      <c r="D43" s="12" t="s">
        <v>249</v>
      </c>
      <c r="E43" s="12" t="s">
        <v>250</v>
      </c>
      <c r="F43" s="12" t="s">
        <v>251</v>
      </c>
      <c r="G43" s="12" t="s">
        <v>252</v>
      </c>
      <c r="H43" s="12" t="s">
        <v>253</v>
      </c>
      <c r="I43" s="12" t="s">
        <v>254</v>
      </c>
      <c r="J43" s="12" t="s">
        <v>255</v>
      </c>
      <c r="K43" s="12" t="s">
        <v>256</v>
      </c>
      <c r="L43" s="12" t="s">
        <v>257</v>
      </c>
      <c r="M43" s="12" t="s">
        <v>258</v>
      </c>
      <c r="N43" s="12" t="s">
        <v>259</v>
      </c>
      <c r="O43" s="12" t="s">
        <v>260</v>
      </c>
      <c r="P43" s="12" t="s">
        <v>261</v>
      </c>
      <c r="Q43" s="12" t="s">
        <v>262</v>
      </c>
      <c r="R43" s="12" t="s">
        <v>263</v>
      </c>
      <c r="S43" s="12" t="s">
        <v>264</v>
      </c>
      <c r="T43" s="12" t="s">
        <v>265</v>
      </c>
      <c r="U43" s="12" t="s">
        <v>266</v>
      </c>
      <c r="V43" s="12" t="s">
        <v>267</v>
      </c>
      <c r="W43" s="12" t="s">
        <v>268</v>
      </c>
      <c r="X43" s="12" t="s">
        <v>269</v>
      </c>
      <c r="Y43" s="12" t="s">
        <v>91</v>
      </c>
      <c r="Z43" s="12" t="s">
        <v>270</v>
      </c>
      <c r="AA43" s="12" t="s">
        <v>271</v>
      </c>
      <c r="AB43" s="12" t="s">
        <v>272</v>
      </c>
      <c r="AC43" s="12" t="s">
        <v>273</v>
      </c>
      <c r="AD43" s="12" t="s">
        <v>274</v>
      </c>
      <c r="AE43" s="12" t="s">
        <v>275</v>
      </c>
      <c r="AF43" s="12" t="s">
        <v>276</v>
      </c>
    </row>
    <row r="44" spans="1:32">
      <c r="A44" s="21">
        <v>2027</v>
      </c>
      <c r="B44" s="18">
        <f t="shared" ref="B44:B75" si="0">IF(AND(V_chi&lt;&gt;"nessuno",A44&gt;V_anno),1,0)</f>
        <v>0</v>
      </c>
      <c r="C44" s="13">
        <f t="shared" ref="C44:C75" si="1">Tz_netto*(A44&lt;=$B$8)</f>
        <v>34757.881181818178</v>
      </c>
      <c r="D44" s="13">
        <f t="shared" ref="D44:D75" si="2">$B$20*IF(A44&gt;$B$21,1,IF(A44=$B$21,(13-$B$22)/12,0))</f>
        <v>0</v>
      </c>
      <c r="E44" s="13">
        <f t="shared" ref="E44:E75" si="3">Cm_netto*(A44&lt;=$B$8)</f>
        <v>22878.595692307692</v>
      </c>
      <c r="F44" s="13">
        <f t="shared" ref="F44:F75" si="4">$B$26*IF(A44&gt;$B$27,1,IF(A44=$B$27,(13-$B$28)/12,0))</f>
        <v>0</v>
      </c>
      <c r="G44" s="13">
        <f t="shared" ref="G44:G75" si="5">IF(B44=1,IF(V_chi="T",$B$25*IF(A44&gt;$B$27,1,IF(A44=$B$27,(13-$B$28)/12,0)),$B$19*IF(A44&gt;$B$21,1,IF(A44=$B$21,(13-$B$22)/12,0))),0)</f>
        <v>0</v>
      </c>
      <c r="H44" s="13">
        <f t="shared" ref="H44:H75" si="6">IF(B44=1,$B$31*(1-p_contr)*(A44&lt;=$B$8),0)</f>
        <v>0</v>
      </c>
      <c r="I44" s="13">
        <f t="shared" ref="I44:I75" si="7">G44+H44</f>
        <v>0</v>
      </c>
      <c r="J44" s="13">
        <f t="shared" ref="J44:J75" si="8">IF(B44=1,$B$16*$B$29,0)</f>
        <v>0</v>
      </c>
      <c r="K44" s="24">
        <f t="shared" ref="K44:K75" si="9">IF(V_figli=1,1,IF(I44&gt;tf_S5,tf_M5,IF(I44&gt;tf_S4,tf_M4,IF(I44&gt;tf_S3,tf_M3,1))))</f>
        <v>1</v>
      </c>
      <c r="L44" s="13">
        <f t="shared" ref="L44:L75" si="10">MIN(J44*(1-K44),I44)</f>
        <v>0</v>
      </c>
      <c r="M44" s="13">
        <f t="shared" ref="M44:M75" si="11">J44-L44</f>
        <v>0</v>
      </c>
      <c r="N44" s="13">
        <f t="shared" ref="N44:N75" si="12">G44+M44</f>
        <v>0</v>
      </c>
      <c r="O44" s="13">
        <f t="shared" ref="O44:O75" si="13">MAX(0,IF(N44&lt;=sc_L1,sc_A1*N44,IF(N44&lt;=sc_L2,sc_B1+sc_A2*(N44-sc_L1),sc_B2+sc_A3*(N44-sc_L2)))-(IF(N44&lt;=8500,1955,IF(N44&lt;=28000,700+1255*(28000-N44)/19500,IF(N44&lt;=50000,700*(50000-N44)/22000,0)))+IF(AND(N44&gt;25000,N44&lt;=29000),50,0)))</f>
        <v>0</v>
      </c>
      <c r="P44" s="13">
        <f t="shared" ref="P44:P75" si="14">IF(N44&gt;0,N44-O44-IF(O44&gt;0,p_add*N44,0),0)</f>
        <v>0</v>
      </c>
      <c r="Q44" s="13">
        <f t="shared" ref="Q44:Q75" si="15">IF(B44=1,MAX(M44-(IF((I44+M44)&lt;=sc_L1,sc_A1*(I44+M44),IF((I44+M44)&lt;=sc_L2,sc_B1+sc_A2*((I44+M44)-sc_L1),sc_B2+sc_A3*((I44+M44)-sc_L2)))-IF(I44&lt;=sc_L1,sc_A1*I44,IF(I44&lt;=sc_L2,sc_B1+sc_A2*(I44-sc_L1),sc_B2+sc_A3*(I44-sc_L2))))-p_add*M44,0),0)</f>
        <v>0</v>
      </c>
      <c r="R44" s="13">
        <f t="shared" ref="R44:R75" si="16">IF(B44=1,IF(A44&gt;$B$8,P44,IF(V_chi="T",E44,C44)+IF(V_chi="T",F44,D44)+Q44),C44+D44+E44+F44)</f>
        <v>57636.476874125874</v>
      </c>
      <c r="S44" s="13">
        <f t="shared" ref="S44:S75" si="17">IF(B44=1,p_spesa/IF(A44-$B$30&gt;=65,V_den65,V_den64),p_spesa)</f>
        <v>39600</v>
      </c>
      <c r="T44" s="13">
        <f t="shared" ref="T44:T75" si="18">S44-R44</f>
        <v>-18036.476874125874</v>
      </c>
      <c r="U44" s="23">
        <f>1</f>
        <v>1</v>
      </c>
      <c r="V44" s="13">
        <f t="shared" ref="V44:V75" si="19">T44*U44</f>
        <v>-18036.476874125874</v>
      </c>
      <c r="W44" s="13">
        <f>Pat_W*IF(AND(V_chi&lt;&gt;"nessuno",A44=V_anno+1),Ved_q,1)</f>
        <v>750000</v>
      </c>
      <c r="X44" s="13">
        <f>Pat_B*IF(AND(V_chi&lt;&gt;"nessuno",A44=V_anno+1),Ved_qb,1)</f>
        <v>461046.86</v>
      </c>
      <c r="Y44" s="14">
        <f t="shared" ref="Y44:Y75" si="20">IF(W44&gt;0,MAX(0,1-X44/W44),0)</f>
        <v>0.38527085333333333</v>
      </c>
      <c r="Z44" s="13">
        <f t="shared" ref="Z44:Z75" si="21">IF(V44&gt;0,V44/(1-p_cgt*Y44),0)</f>
        <v>0</v>
      </c>
      <c r="AA44" s="18" t="str">
        <f>IF(""&lt;&gt;"","",IF(AND(V44&gt;0,Z44&gt;W44,A44&lt;=p_orizz),A44,""))</f>
        <v/>
      </c>
      <c r="AB44" s="13">
        <f t="shared" ref="AB44:AB75" si="22">IF(V44&gt;0,W44-Z44,W44-V44)</f>
        <v>768036.47687412589</v>
      </c>
      <c r="AC44" s="13">
        <f t="shared" ref="AC44:AC75" si="23">IF(V44&gt;0,IF(W44&gt;0,X44-X44*Z44/W44,X44),X44-V44)</f>
        <v>479083.33687412587</v>
      </c>
      <c r="AD44" s="13">
        <f t="shared" ref="AD44:AD75" si="24">AB44*(1+p_rend)*(1+p_infl)*(1-p_bollo)</f>
        <v>805285.32435874885</v>
      </c>
      <c r="AE44" s="13">
        <f t="shared" ref="AE44:AE75" si="25">AC44</f>
        <v>479083.33687412587</v>
      </c>
      <c r="AF44" s="13">
        <f t="shared" ref="AF44:AF75" si="26">AD44/(U44*(1+p_infl))</f>
        <v>789495.41603798908</v>
      </c>
    </row>
    <row r="45" spans="1:32">
      <c r="A45" s="21">
        <v>2028</v>
      </c>
      <c r="B45" s="18">
        <f t="shared" si="0"/>
        <v>0</v>
      </c>
      <c r="C45" s="13">
        <f t="shared" si="1"/>
        <v>34757.881181818178</v>
      </c>
      <c r="D45" s="13">
        <f t="shared" si="2"/>
        <v>0</v>
      </c>
      <c r="E45" s="13">
        <f t="shared" si="3"/>
        <v>22878.595692307692</v>
      </c>
      <c r="F45" s="13">
        <f t="shared" si="4"/>
        <v>0</v>
      </c>
      <c r="G45" s="13">
        <f t="shared" si="5"/>
        <v>0</v>
      </c>
      <c r="H45" s="13">
        <f t="shared" si="6"/>
        <v>0</v>
      </c>
      <c r="I45" s="13">
        <f t="shared" si="7"/>
        <v>0</v>
      </c>
      <c r="J45" s="13">
        <f t="shared" si="8"/>
        <v>0</v>
      </c>
      <c r="K45" s="24">
        <f t="shared" si="9"/>
        <v>1</v>
      </c>
      <c r="L45" s="13">
        <f t="shared" si="10"/>
        <v>0</v>
      </c>
      <c r="M45" s="13">
        <f t="shared" si="11"/>
        <v>0</v>
      </c>
      <c r="N45" s="13">
        <f t="shared" si="12"/>
        <v>0</v>
      </c>
      <c r="O45" s="13">
        <f t="shared" si="13"/>
        <v>0</v>
      </c>
      <c r="P45" s="13">
        <f t="shared" si="14"/>
        <v>0</v>
      </c>
      <c r="Q45" s="13">
        <f t="shared" si="15"/>
        <v>0</v>
      </c>
      <c r="R45" s="13">
        <f t="shared" si="16"/>
        <v>57636.476874125874</v>
      </c>
      <c r="S45" s="13">
        <f t="shared" si="17"/>
        <v>39600</v>
      </c>
      <c r="T45" s="13">
        <f t="shared" si="18"/>
        <v>-18036.476874125874</v>
      </c>
      <c r="U45" s="23">
        <f t="shared" ref="U45:U76" si="27">U44*(1+p_infl)</f>
        <v>1.02</v>
      </c>
      <c r="V45" s="13">
        <f t="shared" si="19"/>
        <v>-18397.206411608393</v>
      </c>
      <c r="W45" s="13">
        <f t="shared" ref="W45:W76" si="28">AD44*IF(AND(V_chi&lt;&gt;"nessuno",A45=V_anno+1),Ved_q,1)</f>
        <v>805285.32435874885</v>
      </c>
      <c r="X45" s="13">
        <f t="shared" ref="X45:X76" si="29">AE44*IF(AND(V_chi&lt;&gt;"nessuno",A45=V_anno+1),Ved_qb,1)</f>
        <v>479083.33687412587</v>
      </c>
      <c r="Y45" s="14">
        <f t="shared" si="20"/>
        <v>0.40507628491103898</v>
      </c>
      <c r="Z45" s="13">
        <f t="shared" si="21"/>
        <v>0</v>
      </c>
      <c r="AA45" s="18" t="str">
        <f t="shared" ref="AA45:AA76" si="30">IF(AA44&lt;&gt;"",AA44,IF(AND(V45&gt;0,Z45&gt;W45,A45&lt;=p_orizz),A45,""))</f>
        <v/>
      </c>
      <c r="AB45" s="13">
        <f t="shared" si="22"/>
        <v>823682.53077035723</v>
      </c>
      <c r="AC45" s="13">
        <f t="shared" si="23"/>
        <v>497480.54328573425</v>
      </c>
      <c r="AD45" s="13">
        <f t="shared" si="24"/>
        <v>863630.14509368257</v>
      </c>
      <c r="AE45" s="13">
        <f t="shared" si="25"/>
        <v>497480.54328573425</v>
      </c>
      <c r="AF45" s="13">
        <f t="shared" si="26"/>
        <v>830094.33400007943</v>
      </c>
    </row>
    <row r="46" spans="1:32">
      <c r="A46" s="21">
        <v>2029</v>
      </c>
      <c r="B46" s="18">
        <f t="shared" si="0"/>
        <v>0</v>
      </c>
      <c r="C46" s="13">
        <f t="shared" si="1"/>
        <v>34757.881181818178</v>
      </c>
      <c r="D46" s="13">
        <f t="shared" si="2"/>
        <v>0</v>
      </c>
      <c r="E46" s="13">
        <f t="shared" si="3"/>
        <v>22878.595692307692</v>
      </c>
      <c r="F46" s="13">
        <f t="shared" si="4"/>
        <v>0</v>
      </c>
      <c r="G46" s="13">
        <f t="shared" si="5"/>
        <v>0</v>
      </c>
      <c r="H46" s="13">
        <f t="shared" si="6"/>
        <v>0</v>
      </c>
      <c r="I46" s="13">
        <f t="shared" si="7"/>
        <v>0</v>
      </c>
      <c r="J46" s="13">
        <f t="shared" si="8"/>
        <v>0</v>
      </c>
      <c r="K46" s="24">
        <f t="shared" si="9"/>
        <v>1</v>
      </c>
      <c r="L46" s="13">
        <f t="shared" si="10"/>
        <v>0</v>
      </c>
      <c r="M46" s="13">
        <f t="shared" si="11"/>
        <v>0</v>
      </c>
      <c r="N46" s="13">
        <f t="shared" si="12"/>
        <v>0</v>
      </c>
      <c r="O46" s="13">
        <f t="shared" si="13"/>
        <v>0</v>
      </c>
      <c r="P46" s="13">
        <f t="shared" si="14"/>
        <v>0</v>
      </c>
      <c r="Q46" s="13">
        <f t="shared" si="15"/>
        <v>0</v>
      </c>
      <c r="R46" s="13">
        <f t="shared" si="16"/>
        <v>57636.476874125874</v>
      </c>
      <c r="S46" s="13">
        <f t="shared" si="17"/>
        <v>39600</v>
      </c>
      <c r="T46" s="13">
        <f t="shared" si="18"/>
        <v>-18036.476874125874</v>
      </c>
      <c r="U46" s="23">
        <f t="shared" si="27"/>
        <v>1.0404</v>
      </c>
      <c r="V46" s="13">
        <f t="shared" si="19"/>
        <v>-18765.150539840561</v>
      </c>
      <c r="W46" s="13">
        <f t="shared" si="28"/>
        <v>863630.14509368257</v>
      </c>
      <c r="X46" s="13">
        <f t="shared" si="29"/>
        <v>497480.54328573425</v>
      </c>
      <c r="Y46" s="14">
        <f t="shared" si="20"/>
        <v>0.42396574956080313</v>
      </c>
      <c r="Z46" s="13">
        <f t="shared" si="21"/>
        <v>0</v>
      </c>
      <c r="AA46" s="18" t="str">
        <f t="shared" si="30"/>
        <v/>
      </c>
      <c r="AB46" s="13">
        <f t="shared" si="22"/>
        <v>882395.29563352314</v>
      </c>
      <c r="AC46" s="13">
        <f t="shared" si="23"/>
        <v>516245.69382557482</v>
      </c>
      <c r="AD46" s="13">
        <f t="shared" si="24"/>
        <v>925190.40859739424</v>
      </c>
      <c r="AE46" s="13">
        <f t="shared" si="25"/>
        <v>516245.69382557482</v>
      </c>
      <c r="AF46" s="13">
        <f t="shared" si="26"/>
        <v>871827.58573003055</v>
      </c>
    </row>
    <row r="47" spans="1:32">
      <c r="A47" s="21">
        <v>2030</v>
      </c>
      <c r="B47" s="18">
        <f t="shared" si="0"/>
        <v>0</v>
      </c>
      <c r="C47" s="13">
        <f t="shared" si="1"/>
        <v>0</v>
      </c>
      <c r="D47" s="13">
        <f t="shared" si="2"/>
        <v>0</v>
      </c>
      <c r="E47" s="13">
        <f t="shared" si="3"/>
        <v>0</v>
      </c>
      <c r="F47" s="13">
        <f t="shared" si="4"/>
        <v>0</v>
      </c>
      <c r="G47" s="13">
        <f t="shared" si="5"/>
        <v>0</v>
      </c>
      <c r="H47" s="13">
        <f t="shared" si="6"/>
        <v>0</v>
      </c>
      <c r="I47" s="13">
        <f t="shared" si="7"/>
        <v>0</v>
      </c>
      <c r="J47" s="13">
        <f t="shared" si="8"/>
        <v>0</v>
      </c>
      <c r="K47" s="24">
        <f t="shared" si="9"/>
        <v>1</v>
      </c>
      <c r="L47" s="13">
        <f t="shared" si="10"/>
        <v>0</v>
      </c>
      <c r="M47" s="13">
        <f t="shared" si="11"/>
        <v>0</v>
      </c>
      <c r="N47" s="13">
        <f t="shared" si="12"/>
        <v>0</v>
      </c>
      <c r="O47" s="13">
        <f t="shared" si="13"/>
        <v>0</v>
      </c>
      <c r="P47" s="13">
        <f t="shared" si="14"/>
        <v>0</v>
      </c>
      <c r="Q47" s="13">
        <f t="shared" si="15"/>
        <v>0</v>
      </c>
      <c r="R47" s="13">
        <f t="shared" si="16"/>
        <v>0</v>
      </c>
      <c r="S47" s="13">
        <f t="shared" si="17"/>
        <v>39600</v>
      </c>
      <c r="T47" s="13">
        <f t="shared" si="18"/>
        <v>39600</v>
      </c>
      <c r="U47" s="23">
        <f t="shared" si="27"/>
        <v>1.0612079999999999</v>
      </c>
      <c r="V47" s="13">
        <f t="shared" si="19"/>
        <v>42023.836799999997</v>
      </c>
      <c r="W47" s="13">
        <f t="shared" si="28"/>
        <v>925190.40859739424</v>
      </c>
      <c r="X47" s="13">
        <f t="shared" si="29"/>
        <v>516245.69382557482</v>
      </c>
      <c r="Y47" s="14">
        <f t="shared" si="20"/>
        <v>0.44201140756721324</v>
      </c>
      <c r="Z47" s="13">
        <f t="shared" si="21"/>
        <v>47480.42846455297</v>
      </c>
      <c r="AA47" s="18" t="str">
        <f t="shared" si="30"/>
        <v/>
      </c>
      <c r="AB47" s="13">
        <f t="shared" si="22"/>
        <v>877709.98013284127</v>
      </c>
      <c r="AC47" s="13">
        <f t="shared" si="23"/>
        <v>489752.15637853328</v>
      </c>
      <c r="AD47" s="13">
        <f t="shared" si="24"/>
        <v>920277.86091730802</v>
      </c>
      <c r="AE47" s="13">
        <f t="shared" si="25"/>
        <v>489752.15637853328</v>
      </c>
      <c r="AF47" s="13">
        <f t="shared" si="26"/>
        <v>850194.49248191959</v>
      </c>
    </row>
    <row r="48" spans="1:32">
      <c r="A48" s="21">
        <v>2031</v>
      </c>
      <c r="B48" s="18">
        <f t="shared" si="0"/>
        <v>0</v>
      </c>
      <c r="C48" s="13">
        <f t="shared" si="1"/>
        <v>0</v>
      </c>
      <c r="D48" s="13">
        <f t="shared" si="2"/>
        <v>0</v>
      </c>
      <c r="E48" s="13">
        <f t="shared" si="3"/>
        <v>0</v>
      </c>
      <c r="F48" s="13">
        <f t="shared" si="4"/>
        <v>0</v>
      </c>
      <c r="G48" s="13">
        <f t="shared" si="5"/>
        <v>0</v>
      </c>
      <c r="H48" s="13">
        <f t="shared" si="6"/>
        <v>0</v>
      </c>
      <c r="I48" s="13">
        <f t="shared" si="7"/>
        <v>0</v>
      </c>
      <c r="J48" s="13">
        <f t="shared" si="8"/>
        <v>0</v>
      </c>
      <c r="K48" s="24">
        <f t="shared" si="9"/>
        <v>1</v>
      </c>
      <c r="L48" s="13">
        <f t="shared" si="10"/>
        <v>0</v>
      </c>
      <c r="M48" s="13">
        <f t="shared" si="11"/>
        <v>0</v>
      </c>
      <c r="N48" s="13">
        <f t="shared" si="12"/>
        <v>0</v>
      </c>
      <c r="O48" s="13">
        <f t="shared" si="13"/>
        <v>0</v>
      </c>
      <c r="P48" s="13">
        <f t="shared" si="14"/>
        <v>0</v>
      </c>
      <c r="Q48" s="13">
        <f t="shared" si="15"/>
        <v>0</v>
      </c>
      <c r="R48" s="13">
        <f t="shared" si="16"/>
        <v>0</v>
      </c>
      <c r="S48" s="13">
        <f t="shared" si="17"/>
        <v>39600</v>
      </c>
      <c r="T48" s="13">
        <f t="shared" si="18"/>
        <v>39600</v>
      </c>
      <c r="U48" s="23">
        <f t="shared" si="27"/>
        <v>1.08243216</v>
      </c>
      <c r="V48" s="13">
        <f t="shared" si="19"/>
        <v>42864.313536000001</v>
      </c>
      <c r="W48" s="13">
        <f t="shared" si="28"/>
        <v>920277.86091730802</v>
      </c>
      <c r="X48" s="13">
        <f t="shared" si="29"/>
        <v>489752.15637853328</v>
      </c>
      <c r="Y48" s="14">
        <f t="shared" si="20"/>
        <v>0.46782142961652728</v>
      </c>
      <c r="Z48" s="13">
        <f t="shared" si="21"/>
        <v>48800.036243387127</v>
      </c>
      <c r="AA48" s="18" t="str">
        <f t="shared" si="30"/>
        <v/>
      </c>
      <c r="AB48" s="13">
        <f t="shared" si="22"/>
        <v>871477.82467392087</v>
      </c>
      <c r="AC48" s="13">
        <f t="shared" si="23"/>
        <v>463781.82285586587</v>
      </c>
      <c r="AD48" s="13">
        <f t="shared" si="24"/>
        <v>913743.45339721651</v>
      </c>
      <c r="AE48" s="13">
        <f t="shared" si="25"/>
        <v>463781.82285586587</v>
      </c>
      <c r="AF48" s="13">
        <f t="shared" si="26"/>
        <v>827605.59802224487</v>
      </c>
    </row>
    <row r="49" spans="1:32">
      <c r="A49" s="21">
        <v>2032</v>
      </c>
      <c r="B49" s="18">
        <f t="shared" si="0"/>
        <v>0</v>
      </c>
      <c r="C49" s="13">
        <f t="shared" si="1"/>
        <v>0</v>
      </c>
      <c r="D49" s="13">
        <f t="shared" si="2"/>
        <v>0</v>
      </c>
      <c r="E49" s="13">
        <f t="shared" si="3"/>
        <v>0</v>
      </c>
      <c r="F49" s="13">
        <f t="shared" si="4"/>
        <v>0</v>
      </c>
      <c r="G49" s="13">
        <f t="shared" si="5"/>
        <v>0</v>
      </c>
      <c r="H49" s="13">
        <f t="shared" si="6"/>
        <v>0</v>
      </c>
      <c r="I49" s="13">
        <f t="shared" si="7"/>
        <v>0</v>
      </c>
      <c r="J49" s="13">
        <f t="shared" si="8"/>
        <v>0</v>
      </c>
      <c r="K49" s="24">
        <f t="shared" si="9"/>
        <v>1</v>
      </c>
      <c r="L49" s="13">
        <f t="shared" si="10"/>
        <v>0</v>
      </c>
      <c r="M49" s="13">
        <f t="shared" si="11"/>
        <v>0</v>
      </c>
      <c r="N49" s="13">
        <f t="shared" si="12"/>
        <v>0</v>
      </c>
      <c r="O49" s="13">
        <f t="shared" si="13"/>
        <v>0</v>
      </c>
      <c r="P49" s="13">
        <f t="shared" si="14"/>
        <v>0</v>
      </c>
      <c r="Q49" s="13">
        <f t="shared" si="15"/>
        <v>0</v>
      </c>
      <c r="R49" s="13">
        <f t="shared" si="16"/>
        <v>0</v>
      </c>
      <c r="S49" s="13">
        <f t="shared" si="17"/>
        <v>39600</v>
      </c>
      <c r="T49" s="13">
        <f t="shared" si="18"/>
        <v>39600</v>
      </c>
      <c r="U49" s="23">
        <f t="shared" si="27"/>
        <v>1.1040808032</v>
      </c>
      <c r="V49" s="13">
        <f t="shared" si="19"/>
        <v>43721.599806719998</v>
      </c>
      <c r="W49" s="13">
        <f t="shared" si="28"/>
        <v>913743.45339721651</v>
      </c>
      <c r="X49" s="13">
        <f t="shared" si="29"/>
        <v>463781.82285586587</v>
      </c>
      <c r="Y49" s="14">
        <f t="shared" si="20"/>
        <v>0.49243759708311285</v>
      </c>
      <c r="Z49" s="13">
        <f t="shared" si="21"/>
        <v>50141.391449920702</v>
      </c>
      <c r="AA49" s="18" t="str">
        <f t="shared" si="30"/>
        <v/>
      </c>
      <c r="AB49" s="13">
        <f t="shared" si="22"/>
        <v>863602.06194729579</v>
      </c>
      <c r="AC49" s="13">
        <f t="shared" si="23"/>
        <v>438331.93772594788</v>
      </c>
      <c r="AD49" s="13">
        <f t="shared" si="24"/>
        <v>905485.7256292653</v>
      </c>
      <c r="AE49" s="13">
        <f t="shared" si="25"/>
        <v>438331.93772594788</v>
      </c>
      <c r="AF49" s="13">
        <f t="shared" si="26"/>
        <v>804045.41133688577</v>
      </c>
    </row>
    <row r="50" spans="1:32">
      <c r="A50" s="21">
        <v>2033</v>
      </c>
      <c r="B50" s="18">
        <f t="shared" si="0"/>
        <v>0</v>
      </c>
      <c r="C50" s="13">
        <f t="shared" si="1"/>
        <v>0</v>
      </c>
      <c r="D50" s="13">
        <f t="shared" si="2"/>
        <v>0</v>
      </c>
      <c r="E50" s="13">
        <f t="shared" si="3"/>
        <v>0</v>
      </c>
      <c r="F50" s="13">
        <f t="shared" si="4"/>
        <v>0</v>
      </c>
      <c r="G50" s="13">
        <f t="shared" si="5"/>
        <v>0</v>
      </c>
      <c r="H50" s="13">
        <f t="shared" si="6"/>
        <v>0</v>
      </c>
      <c r="I50" s="13">
        <f t="shared" si="7"/>
        <v>0</v>
      </c>
      <c r="J50" s="13">
        <f t="shared" si="8"/>
        <v>0</v>
      </c>
      <c r="K50" s="24">
        <f t="shared" si="9"/>
        <v>1</v>
      </c>
      <c r="L50" s="13">
        <f t="shared" si="10"/>
        <v>0</v>
      </c>
      <c r="M50" s="13">
        <f t="shared" si="11"/>
        <v>0</v>
      </c>
      <c r="N50" s="13">
        <f t="shared" si="12"/>
        <v>0</v>
      </c>
      <c r="O50" s="13">
        <f t="shared" si="13"/>
        <v>0</v>
      </c>
      <c r="P50" s="13">
        <f t="shared" si="14"/>
        <v>0</v>
      </c>
      <c r="Q50" s="13">
        <f t="shared" si="15"/>
        <v>0</v>
      </c>
      <c r="R50" s="13">
        <f t="shared" si="16"/>
        <v>0</v>
      </c>
      <c r="S50" s="13">
        <f t="shared" si="17"/>
        <v>39600</v>
      </c>
      <c r="T50" s="13">
        <f t="shared" si="18"/>
        <v>39600</v>
      </c>
      <c r="U50" s="23">
        <f t="shared" si="27"/>
        <v>1.1261624192640001</v>
      </c>
      <c r="V50" s="13">
        <f t="shared" si="19"/>
        <v>44596.031802854406</v>
      </c>
      <c r="W50" s="13">
        <f t="shared" si="28"/>
        <v>905485.7256292653</v>
      </c>
      <c r="X50" s="13">
        <f t="shared" si="29"/>
        <v>438331.93772594788</v>
      </c>
      <c r="Y50" s="14">
        <f t="shared" si="20"/>
        <v>0.51591513226635344</v>
      </c>
      <c r="Z50" s="13">
        <f t="shared" si="21"/>
        <v>51504.776077004783</v>
      </c>
      <c r="AA50" s="18" t="str">
        <f t="shared" si="30"/>
        <v/>
      </c>
      <c r="AB50" s="13">
        <f t="shared" si="22"/>
        <v>853980.94955226057</v>
      </c>
      <c r="AC50" s="13">
        <f t="shared" si="23"/>
        <v>413399.25501105993</v>
      </c>
      <c r="AD50" s="13">
        <f t="shared" si="24"/>
        <v>895398.00082840573</v>
      </c>
      <c r="AE50" s="13">
        <f t="shared" si="25"/>
        <v>413399.25501105993</v>
      </c>
      <c r="AF50" s="13">
        <f t="shared" si="26"/>
        <v>779497.84353171813</v>
      </c>
    </row>
    <row r="51" spans="1:32">
      <c r="A51" s="21">
        <v>2034</v>
      </c>
      <c r="B51" s="18">
        <f t="shared" si="0"/>
        <v>0</v>
      </c>
      <c r="C51" s="13">
        <f t="shared" si="1"/>
        <v>0</v>
      </c>
      <c r="D51" s="13">
        <f t="shared" si="2"/>
        <v>0</v>
      </c>
      <c r="E51" s="13">
        <f t="shared" si="3"/>
        <v>0</v>
      </c>
      <c r="F51" s="13">
        <f t="shared" si="4"/>
        <v>0</v>
      </c>
      <c r="G51" s="13">
        <f t="shared" si="5"/>
        <v>0</v>
      </c>
      <c r="H51" s="13">
        <f t="shared" si="6"/>
        <v>0</v>
      </c>
      <c r="I51" s="13">
        <f t="shared" si="7"/>
        <v>0</v>
      </c>
      <c r="J51" s="13">
        <f t="shared" si="8"/>
        <v>0</v>
      </c>
      <c r="K51" s="24">
        <f t="shared" si="9"/>
        <v>1</v>
      </c>
      <c r="L51" s="13">
        <f t="shared" si="10"/>
        <v>0</v>
      </c>
      <c r="M51" s="13">
        <f t="shared" si="11"/>
        <v>0</v>
      </c>
      <c r="N51" s="13">
        <f t="shared" si="12"/>
        <v>0</v>
      </c>
      <c r="O51" s="13">
        <f t="shared" si="13"/>
        <v>0</v>
      </c>
      <c r="P51" s="13">
        <f t="shared" si="14"/>
        <v>0</v>
      </c>
      <c r="Q51" s="13">
        <f t="shared" si="15"/>
        <v>0</v>
      </c>
      <c r="R51" s="13">
        <f t="shared" si="16"/>
        <v>0</v>
      </c>
      <c r="S51" s="13">
        <f t="shared" si="17"/>
        <v>39600</v>
      </c>
      <c r="T51" s="13">
        <f t="shared" si="18"/>
        <v>39600</v>
      </c>
      <c r="U51" s="23">
        <f t="shared" si="27"/>
        <v>1.14868566764928</v>
      </c>
      <c r="V51" s="13">
        <f t="shared" si="19"/>
        <v>45487.952438911489</v>
      </c>
      <c r="W51" s="13">
        <f t="shared" si="28"/>
        <v>895398.00082840573</v>
      </c>
      <c r="X51" s="13">
        <f t="shared" si="29"/>
        <v>413399.25501105993</v>
      </c>
      <c r="Y51" s="14">
        <f t="shared" si="20"/>
        <v>0.53830670313247231</v>
      </c>
      <c r="Z51" s="13">
        <f t="shared" si="21"/>
        <v>52890.492112274784</v>
      </c>
      <c r="AA51" s="18" t="str">
        <f t="shared" si="30"/>
        <v/>
      </c>
      <c r="AB51" s="13">
        <f t="shared" si="22"/>
        <v>842507.50871613098</v>
      </c>
      <c r="AC51" s="13">
        <f t="shared" si="23"/>
        <v>388980.06933479779</v>
      </c>
      <c r="AD51" s="13">
        <f t="shared" si="24"/>
        <v>883368.11187985283</v>
      </c>
      <c r="AE51" s="13">
        <f t="shared" si="25"/>
        <v>388980.06933479779</v>
      </c>
      <c r="AF51" s="13">
        <f t="shared" si="26"/>
        <v>753946.17770584347</v>
      </c>
    </row>
    <row r="52" spans="1:32">
      <c r="A52" s="21">
        <v>2035</v>
      </c>
      <c r="B52" s="18">
        <f t="shared" si="0"/>
        <v>0</v>
      </c>
      <c r="C52" s="13">
        <f t="shared" si="1"/>
        <v>0</v>
      </c>
      <c r="D52" s="13">
        <f t="shared" si="2"/>
        <v>0</v>
      </c>
      <c r="E52" s="13">
        <f t="shared" si="3"/>
        <v>0</v>
      </c>
      <c r="F52" s="13">
        <f t="shared" si="4"/>
        <v>0</v>
      </c>
      <c r="G52" s="13">
        <f t="shared" si="5"/>
        <v>0</v>
      </c>
      <c r="H52" s="13">
        <f t="shared" si="6"/>
        <v>0</v>
      </c>
      <c r="I52" s="13">
        <f t="shared" si="7"/>
        <v>0</v>
      </c>
      <c r="J52" s="13">
        <f t="shared" si="8"/>
        <v>0</v>
      </c>
      <c r="K52" s="24">
        <f t="shared" si="9"/>
        <v>1</v>
      </c>
      <c r="L52" s="13">
        <f t="shared" si="10"/>
        <v>0</v>
      </c>
      <c r="M52" s="13">
        <f t="shared" si="11"/>
        <v>0</v>
      </c>
      <c r="N52" s="13">
        <f t="shared" si="12"/>
        <v>0</v>
      </c>
      <c r="O52" s="13">
        <f t="shared" si="13"/>
        <v>0</v>
      </c>
      <c r="P52" s="13">
        <f t="shared" si="14"/>
        <v>0</v>
      </c>
      <c r="Q52" s="13">
        <f t="shared" si="15"/>
        <v>0</v>
      </c>
      <c r="R52" s="13">
        <f t="shared" si="16"/>
        <v>0</v>
      </c>
      <c r="S52" s="13">
        <f t="shared" si="17"/>
        <v>39600</v>
      </c>
      <c r="T52" s="13">
        <f t="shared" si="18"/>
        <v>39600</v>
      </c>
      <c r="U52" s="23">
        <f t="shared" si="27"/>
        <v>1.1716593810022657</v>
      </c>
      <c r="V52" s="13">
        <f t="shared" si="19"/>
        <v>46397.711487689725</v>
      </c>
      <c r="W52" s="13">
        <f t="shared" si="28"/>
        <v>883368.11187985283</v>
      </c>
      <c r="X52" s="13">
        <f t="shared" si="29"/>
        <v>388980.06933479779</v>
      </c>
      <c r="Y52" s="14">
        <f t="shared" si="20"/>
        <v>0.5596625414664016</v>
      </c>
      <c r="Z52" s="13">
        <f t="shared" si="21"/>
        <v>54298.861596436123</v>
      </c>
      <c r="AA52" s="18" t="str">
        <f t="shared" si="30"/>
        <v/>
      </c>
      <c r="AB52" s="13">
        <f t="shared" si="22"/>
        <v>829069.25028341671</v>
      </c>
      <c r="AC52" s="13">
        <f t="shared" si="23"/>
        <v>365070.24661815551</v>
      </c>
      <c r="AD52" s="13">
        <f t="shared" si="24"/>
        <v>869278.11403906206</v>
      </c>
      <c r="AE52" s="13">
        <f t="shared" si="25"/>
        <v>365070.24661815551</v>
      </c>
      <c r="AF52" s="13">
        <f t="shared" si="26"/>
        <v>727373.0394300383</v>
      </c>
    </row>
    <row r="53" spans="1:32">
      <c r="A53" s="21">
        <v>2036</v>
      </c>
      <c r="B53" s="18">
        <f t="shared" si="0"/>
        <v>1</v>
      </c>
      <c r="C53" s="13">
        <f t="shared" si="1"/>
        <v>0</v>
      </c>
      <c r="D53" s="13">
        <f t="shared" si="2"/>
        <v>0</v>
      </c>
      <c r="E53" s="13">
        <f t="shared" si="3"/>
        <v>0</v>
      </c>
      <c r="F53" s="13">
        <f t="shared" si="4"/>
        <v>0</v>
      </c>
      <c r="G53" s="13">
        <f t="shared" si="5"/>
        <v>0</v>
      </c>
      <c r="H53" s="13">
        <f t="shared" si="6"/>
        <v>0</v>
      </c>
      <c r="I53" s="13">
        <f t="shared" si="7"/>
        <v>0</v>
      </c>
      <c r="J53" s="13">
        <f t="shared" si="8"/>
        <v>10785.432059086081</v>
      </c>
      <c r="K53" s="24">
        <f t="shared" si="9"/>
        <v>1</v>
      </c>
      <c r="L53" s="13">
        <f t="shared" si="10"/>
        <v>0</v>
      </c>
      <c r="M53" s="13">
        <f t="shared" si="11"/>
        <v>10785.432059086081</v>
      </c>
      <c r="N53" s="13">
        <f t="shared" si="12"/>
        <v>10785.432059086081</v>
      </c>
      <c r="O53" s="13">
        <f t="shared" si="13"/>
        <v>672.73743687969795</v>
      </c>
      <c r="P53" s="13">
        <f t="shared" si="14"/>
        <v>9896.9859810246617</v>
      </c>
      <c r="Q53" s="13">
        <f t="shared" si="15"/>
        <v>8089.0740443145605</v>
      </c>
      <c r="R53" s="13">
        <f t="shared" si="16"/>
        <v>9896.9859810246617</v>
      </c>
      <c r="S53" s="13">
        <f t="shared" si="17"/>
        <v>26539.776154413245</v>
      </c>
      <c r="T53" s="13">
        <f t="shared" si="18"/>
        <v>16642.790173388581</v>
      </c>
      <c r="U53" s="23">
        <f t="shared" si="27"/>
        <v>1.1950925686223111</v>
      </c>
      <c r="V53" s="13">
        <f t="shared" si="19"/>
        <v>19889.674857357117</v>
      </c>
      <c r="W53" s="13">
        <f t="shared" si="28"/>
        <v>869278.11403906206</v>
      </c>
      <c r="X53" s="13">
        <f t="shared" si="29"/>
        <v>365070.24661815551</v>
      </c>
      <c r="Y53" s="14">
        <f t="shared" si="20"/>
        <v>0.58003055555848193</v>
      </c>
      <c r="Z53" s="13">
        <f t="shared" si="21"/>
        <v>23421.880512486401</v>
      </c>
      <c r="AA53" s="18" t="str">
        <f t="shared" si="30"/>
        <v/>
      </c>
      <c r="AB53" s="13">
        <f t="shared" si="22"/>
        <v>845856.23352657561</v>
      </c>
      <c r="AC53" s="13">
        <f t="shared" si="23"/>
        <v>355233.77247155097</v>
      </c>
      <c r="AD53" s="13">
        <f t="shared" si="24"/>
        <v>886879.24582513433</v>
      </c>
      <c r="AE53" s="13">
        <f t="shared" si="25"/>
        <v>355233.77247155097</v>
      </c>
      <c r="AF53" s="13">
        <f t="shared" si="26"/>
        <v>727549.88150720869</v>
      </c>
    </row>
    <row r="54" spans="1:32">
      <c r="A54" s="21">
        <v>2037</v>
      </c>
      <c r="B54" s="18">
        <f t="shared" si="0"/>
        <v>1</v>
      </c>
      <c r="C54" s="13">
        <f t="shared" si="1"/>
        <v>0</v>
      </c>
      <c r="D54" s="13">
        <f t="shared" si="2"/>
        <v>0</v>
      </c>
      <c r="E54" s="13">
        <f t="shared" si="3"/>
        <v>0</v>
      </c>
      <c r="F54" s="13">
        <f t="shared" si="4"/>
        <v>0</v>
      </c>
      <c r="G54" s="13">
        <f t="shared" si="5"/>
        <v>0</v>
      </c>
      <c r="H54" s="13">
        <f t="shared" si="6"/>
        <v>0</v>
      </c>
      <c r="I54" s="13">
        <f t="shared" si="7"/>
        <v>0</v>
      </c>
      <c r="J54" s="13">
        <f t="shared" si="8"/>
        <v>10785.432059086081</v>
      </c>
      <c r="K54" s="24">
        <f t="shared" si="9"/>
        <v>1</v>
      </c>
      <c r="L54" s="13">
        <f t="shared" si="10"/>
        <v>0</v>
      </c>
      <c r="M54" s="13">
        <f t="shared" si="11"/>
        <v>10785.432059086081</v>
      </c>
      <c r="N54" s="13">
        <f t="shared" si="12"/>
        <v>10785.432059086081</v>
      </c>
      <c r="O54" s="13">
        <f t="shared" si="13"/>
        <v>672.73743687969795</v>
      </c>
      <c r="P54" s="13">
        <f t="shared" si="14"/>
        <v>9896.9859810246617</v>
      </c>
      <c r="Q54" s="13">
        <f t="shared" si="15"/>
        <v>8089.0740443145605</v>
      </c>
      <c r="R54" s="13">
        <f t="shared" si="16"/>
        <v>9896.9859810246617</v>
      </c>
      <c r="S54" s="13">
        <f t="shared" si="17"/>
        <v>26539.776154413245</v>
      </c>
      <c r="T54" s="13">
        <f t="shared" si="18"/>
        <v>16642.790173388581</v>
      </c>
      <c r="U54" s="23">
        <f t="shared" si="27"/>
        <v>1.2189944199947573</v>
      </c>
      <c r="V54" s="13">
        <f t="shared" si="19"/>
        <v>20287.468354504261</v>
      </c>
      <c r="W54" s="13">
        <f t="shared" si="28"/>
        <v>886879.24582513433</v>
      </c>
      <c r="X54" s="13">
        <f t="shared" si="29"/>
        <v>355233.77247155097</v>
      </c>
      <c r="Y54" s="14">
        <f t="shared" si="20"/>
        <v>0.59945643767878598</v>
      </c>
      <c r="Z54" s="13">
        <f t="shared" si="21"/>
        <v>24033.260456215499</v>
      </c>
      <c r="AA54" s="18" t="str">
        <f t="shared" si="30"/>
        <v/>
      </c>
      <c r="AB54" s="13">
        <f t="shared" si="22"/>
        <v>862845.98536891886</v>
      </c>
      <c r="AC54" s="13">
        <f t="shared" si="23"/>
        <v>345607.40471422486</v>
      </c>
      <c r="AD54" s="13">
        <f t="shared" si="24"/>
        <v>904692.98024412896</v>
      </c>
      <c r="AE54" s="13">
        <f t="shared" si="25"/>
        <v>345607.40471422486</v>
      </c>
      <c r="AF54" s="13">
        <f t="shared" si="26"/>
        <v>727611.12573750841</v>
      </c>
    </row>
    <row r="55" spans="1:32">
      <c r="A55" s="21">
        <v>2038</v>
      </c>
      <c r="B55" s="18">
        <f t="shared" si="0"/>
        <v>1</v>
      </c>
      <c r="C55" s="13">
        <f t="shared" si="1"/>
        <v>0</v>
      </c>
      <c r="D55" s="13">
        <f t="shared" si="2"/>
        <v>0</v>
      </c>
      <c r="E55" s="13">
        <f t="shared" si="3"/>
        <v>0</v>
      </c>
      <c r="F55" s="13">
        <f t="shared" si="4"/>
        <v>0</v>
      </c>
      <c r="G55" s="13">
        <f t="shared" si="5"/>
        <v>0</v>
      </c>
      <c r="H55" s="13">
        <f t="shared" si="6"/>
        <v>0</v>
      </c>
      <c r="I55" s="13">
        <f t="shared" si="7"/>
        <v>0</v>
      </c>
      <c r="J55" s="13">
        <f t="shared" si="8"/>
        <v>10785.432059086081</v>
      </c>
      <c r="K55" s="24">
        <f t="shared" si="9"/>
        <v>1</v>
      </c>
      <c r="L55" s="13">
        <f t="shared" si="10"/>
        <v>0</v>
      </c>
      <c r="M55" s="13">
        <f t="shared" si="11"/>
        <v>10785.432059086081</v>
      </c>
      <c r="N55" s="13">
        <f t="shared" si="12"/>
        <v>10785.432059086081</v>
      </c>
      <c r="O55" s="13">
        <f t="shared" si="13"/>
        <v>672.73743687969795</v>
      </c>
      <c r="P55" s="13">
        <f t="shared" si="14"/>
        <v>9896.9859810246617</v>
      </c>
      <c r="Q55" s="13">
        <f t="shared" si="15"/>
        <v>8089.0740443145605</v>
      </c>
      <c r="R55" s="13">
        <f t="shared" si="16"/>
        <v>9896.9859810246617</v>
      </c>
      <c r="S55" s="13">
        <f t="shared" si="17"/>
        <v>26539.776154413245</v>
      </c>
      <c r="T55" s="13">
        <f t="shared" si="18"/>
        <v>16642.790173388581</v>
      </c>
      <c r="U55" s="23">
        <f t="shared" si="27"/>
        <v>1.2433743083946525</v>
      </c>
      <c r="V55" s="13">
        <f t="shared" si="19"/>
        <v>20693.217721594345</v>
      </c>
      <c r="W55" s="13">
        <f t="shared" si="28"/>
        <v>904692.98024412896</v>
      </c>
      <c r="X55" s="13">
        <f t="shared" si="29"/>
        <v>345607.40471422486</v>
      </c>
      <c r="Y55" s="14">
        <f t="shared" si="20"/>
        <v>0.61798376658016774</v>
      </c>
      <c r="Z55" s="13">
        <f t="shared" si="21"/>
        <v>24654.617621547317</v>
      </c>
      <c r="AA55" s="18" t="str">
        <f t="shared" si="30"/>
        <v/>
      </c>
      <c r="AB55" s="13">
        <f t="shared" si="22"/>
        <v>880038.36262258166</v>
      </c>
      <c r="AC55" s="13">
        <f t="shared" si="23"/>
        <v>336188.94055403513</v>
      </c>
      <c r="AD55" s="13">
        <f t="shared" si="24"/>
        <v>922719.16716374177</v>
      </c>
      <c r="AE55" s="13">
        <f t="shared" si="25"/>
        <v>336188.94055403513</v>
      </c>
      <c r="AF55" s="13">
        <f t="shared" si="26"/>
        <v>727557.76628699992</v>
      </c>
    </row>
    <row r="56" spans="1:32">
      <c r="A56" s="21">
        <v>2039</v>
      </c>
      <c r="B56" s="18">
        <f t="shared" si="0"/>
        <v>1</v>
      </c>
      <c r="C56" s="13">
        <f t="shared" si="1"/>
        <v>0</v>
      </c>
      <c r="D56" s="13">
        <f t="shared" si="2"/>
        <v>0</v>
      </c>
      <c r="E56" s="13">
        <f t="shared" si="3"/>
        <v>0</v>
      </c>
      <c r="F56" s="13">
        <f t="shared" si="4"/>
        <v>0</v>
      </c>
      <c r="G56" s="13">
        <f t="shared" si="5"/>
        <v>0</v>
      </c>
      <c r="H56" s="13">
        <f t="shared" si="6"/>
        <v>0</v>
      </c>
      <c r="I56" s="13">
        <f t="shared" si="7"/>
        <v>0</v>
      </c>
      <c r="J56" s="13">
        <f t="shared" si="8"/>
        <v>10785.432059086081</v>
      </c>
      <c r="K56" s="24">
        <f t="shared" si="9"/>
        <v>1</v>
      </c>
      <c r="L56" s="13">
        <f t="shared" si="10"/>
        <v>0</v>
      </c>
      <c r="M56" s="13">
        <f t="shared" si="11"/>
        <v>10785.432059086081</v>
      </c>
      <c r="N56" s="13">
        <f t="shared" si="12"/>
        <v>10785.432059086081</v>
      </c>
      <c r="O56" s="13">
        <f t="shared" si="13"/>
        <v>672.73743687969795</v>
      </c>
      <c r="P56" s="13">
        <f t="shared" si="14"/>
        <v>9896.9859810246617</v>
      </c>
      <c r="Q56" s="13">
        <f t="shared" si="15"/>
        <v>8089.0740443145605</v>
      </c>
      <c r="R56" s="13">
        <f t="shared" si="16"/>
        <v>9896.9859810246617</v>
      </c>
      <c r="S56" s="13">
        <f t="shared" si="17"/>
        <v>26539.776154413245</v>
      </c>
      <c r="T56" s="13">
        <f t="shared" si="18"/>
        <v>16642.790173388581</v>
      </c>
      <c r="U56" s="23">
        <f t="shared" si="27"/>
        <v>1.2682417945625455</v>
      </c>
      <c r="V56" s="13">
        <f t="shared" si="19"/>
        <v>21107.082076026232</v>
      </c>
      <c r="W56" s="13">
        <f t="shared" si="28"/>
        <v>922719.16716374177</v>
      </c>
      <c r="X56" s="13">
        <f t="shared" si="29"/>
        <v>336188.94055403513</v>
      </c>
      <c r="Y56" s="14">
        <f t="shared" si="20"/>
        <v>0.63565410525998489</v>
      </c>
      <c r="Z56" s="13">
        <f t="shared" si="21"/>
        <v>25286.120996599402</v>
      </c>
      <c r="AA56" s="18" t="str">
        <f t="shared" si="30"/>
        <v/>
      </c>
      <c r="AB56" s="13">
        <f t="shared" si="22"/>
        <v>897433.04616714234</v>
      </c>
      <c r="AC56" s="13">
        <f t="shared" si="23"/>
        <v>326976.04617502482</v>
      </c>
      <c r="AD56" s="13">
        <f t="shared" si="24"/>
        <v>940957.47198659345</v>
      </c>
      <c r="AE56" s="13">
        <f t="shared" si="25"/>
        <v>326976.04617502482</v>
      </c>
      <c r="AF56" s="13">
        <f t="shared" si="26"/>
        <v>727390.73056274164</v>
      </c>
    </row>
    <row r="57" spans="1:32">
      <c r="A57" s="21">
        <v>2040</v>
      </c>
      <c r="B57" s="18">
        <f t="shared" si="0"/>
        <v>1</v>
      </c>
      <c r="C57" s="13">
        <f t="shared" si="1"/>
        <v>0</v>
      </c>
      <c r="D57" s="13">
        <f t="shared" si="2"/>
        <v>0</v>
      </c>
      <c r="E57" s="13">
        <f t="shared" si="3"/>
        <v>0</v>
      </c>
      <c r="F57" s="13">
        <f t="shared" si="4"/>
        <v>0</v>
      </c>
      <c r="G57" s="13">
        <f t="shared" si="5"/>
        <v>0</v>
      </c>
      <c r="H57" s="13">
        <f t="shared" si="6"/>
        <v>0</v>
      </c>
      <c r="I57" s="13">
        <f t="shared" si="7"/>
        <v>0</v>
      </c>
      <c r="J57" s="13">
        <f t="shared" si="8"/>
        <v>10785.432059086081</v>
      </c>
      <c r="K57" s="24">
        <f t="shared" si="9"/>
        <v>1</v>
      </c>
      <c r="L57" s="13">
        <f t="shared" si="10"/>
        <v>0</v>
      </c>
      <c r="M57" s="13">
        <f t="shared" si="11"/>
        <v>10785.432059086081</v>
      </c>
      <c r="N57" s="13">
        <f t="shared" si="12"/>
        <v>10785.432059086081</v>
      </c>
      <c r="O57" s="13">
        <f t="shared" si="13"/>
        <v>672.73743687969795</v>
      </c>
      <c r="P57" s="13">
        <f t="shared" si="14"/>
        <v>9896.9859810246617</v>
      </c>
      <c r="Q57" s="13">
        <f t="shared" si="15"/>
        <v>8089.0740443145605</v>
      </c>
      <c r="R57" s="13">
        <f t="shared" si="16"/>
        <v>9896.9859810246617</v>
      </c>
      <c r="S57" s="13">
        <f t="shared" si="17"/>
        <v>26539.776154413245</v>
      </c>
      <c r="T57" s="13">
        <f t="shared" si="18"/>
        <v>16642.790173388581</v>
      </c>
      <c r="U57" s="23">
        <f t="shared" si="27"/>
        <v>1.2936066304537963</v>
      </c>
      <c r="V57" s="13">
        <f t="shared" si="19"/>
        <v>21529.223717546756</v>
      </c>
      <c r="W57" s="13">
        <f t="shared" si="28"/>
        <v>940957.47198659345</v>
      </c>
      <c r="X57" s="13">
        <f t="shared" si="29"/>
        <v>326976.04617502482</v>
      </c>
      <c r="Y57" s="14">
        <f t="shared" si="20"/>
        <v>0.65250709419980724</v>
      </c>
      <c r="Z57" s="13">
        <f t="shared" si="21"/>
        <v>25927.947903219054</v>
      </c>
      <c r="AA57" s="18" t="str">
        <f t="shared" si="30"/>
        <v/>
      </c>
      <c r="AB57" s="13">
        <f t="shared" si="22"/>
        <v>915029.52408337442</v>
      </c>
      <c r="AC57" s="13">
        <f t="shared" si="23"/>
        <v>317966.26821669925</v>
      </c>
      <c r="AD57" s="13">
        <f t="shared" si="24"/>
        <v>959407.35796598915</v>
      </c>
      <c r="AE57" s="13">
        <f t="shared" si="25"/>
        <v>317966.26821669925</v>
      </c>
      <c r="AF57" s="13">
        <f t="shared" si="26"/>
        <v>727110.87500865979</v>
      </c>
    </row>
    <row r="58" spans="1:32">
      <c r="A58" s="21">
        <v>2041</v>
      </c>
      <c r="B58" s="18">
        <f t="shared" si="0"/>
        <v>1</v>
      </c>
      <c r="C58" s="13">
        <f t="shared" si="1"/>
        <v>0</v>
      </c>
      <c r="D58" s="13">
        <f t="shared" si="2"/>
        <v>0</v>
      </c>
      <c r="E58" s="13">
        <f t="shared" si="3"/>
        <v>0</v>
      </c>
      <c r="F58" s="13">
        <f t="shared" si="4"/>
        <v>0</v>
      </c>
      <c r="G58" s="13">
        <f t="shared" si="5"/>
        <v>0</v>
      </c>
      <c r="H58" s="13">
        <f t="shared" si="6"/>
        <v>0</v>
      </c>
      <c r="I58" s="13">
        <f t="shared" si="7"/>
        <v>0</v>
      </c>
      <c r="J58" s="13">
        <f t="shared" si="8"/>
        <v>10785.432059086081</v>
      </c>
      <c r="K58" s="24">
        <f t="shared" si="9"/>
        <v>1</v>
      </c>
      <c r="L58" s="13">
        <f t="shared" si="10"/>
        <v>0</v>
      </c>
      <c r="M58" s="13">
        <f t="shared" si="11"/>
        <v>10785.432059086081</v>
      </c>
      <c r="N58" s="13">
        <f t="shared" si="12"/>
        <v>10785.432059086081</v>
      </c>
      <c r="O58" s="13">
        <f t="shared" si="13"/>
        <v>672.73743687969795</v>
      </c>
      <c r="P58" s="13">
        <f t="shared" si="14"/>
        <v>9896.9859810246617</v>
      </c>
      <c r="Q58" s="13">
        <f t="shared" si="15"/>
        <v>8089.0740443145605</v>
      </c>
      <c r="R58" s="13">
        <f t="shared" si="16"/>
        <v>9896.9859810246617</v>
      </c>
      <c r="S58" s="13">
        <f t="shared" si="17"/>
        <v>26539.776154413245</v>
      </c>
      <c r="T58" s="13">
        <f t="shared" si="18"/>
        <v>16642.790173388581</v>
      </c>
      <c r="U58" s="23">
        <f t="shared" si="27"/>
        <v>1.3194787630628724</v>
      </c>
      <c r="V58" s="13">
        <f t="shared" si="19"/>
        <v>21959.808191897693</v>
      </c>
      <c r="W58" s="13">
        <f t="shared" si="28"/>
        <v>959407.35796598915</v>
      </c>
      <c r="X58" s="13">
        <f t="shared" si="29"/>
        <v>317966.26821669925</v>
      </c>
      <c r="Y58" s="14">
        <f t="shared" si="20"/>
        <v>0.66858054029227998</v>
      </c>
      <c r="Z58" s="13">
        <f t="shared" si="21"/>
        <v>26580.283948844219</v>
      </c>
      <c r="AA58" s="18" t="str">
        <f t="shared" si="30"/>
        <v/>
      </c>
      <c r="AB58" s="13">
        <f t="shared" si="22"/>
        <v>932827.07401714497</v>
      </c>
      <c r="AC58" s="13">
        <f t="shared" si="23"/>
        <v>309157.04487149551</v>
      </c>
      <c r="AD58" s="13">
        <f t="shared" si="24"/>
        <v>978068.06771448778</v>
      </c>
      <c r="AE58" s="13">
        <f t="shared" si="25"/>
        <v>309157.04487149551</v>
      </c>
      <c r="AF58" s="13">
        <f t="shared" si="26"/>
        <v>726718.98124327254</v>
      </c>
    </row>
    <row r="59" spans="1:32">
      <c r="A59" s="21">
        <v>2042</v>
      </c>
      <c r="B59" s="18">
        <f t="shared" si="0"/>
        <v>1</v>
      </c>
      <c r="C59" s="13">
        <f t="shared" si="1"/>
        <v>0</v>
      </c>
      <c r="D59" s="13">
        <f t="shared" si="2"/>
        <v>0</v>
      </c>
      <c r="E59" s="13">
        <f t="shared" si="3"/>
        <v>0</v>
      </c>
      <c r="F59" s="13">
        <f t="shared" si="4"/>
        <v>0</v>
      </c>
      <c r="G59" s="13">
        <f t="shared" si="5"/>
        <v>0</v>
      </c>
      <c r="H59" s="13">
        <f t="shared" si="6"/>
        <v>0</v>
      </c>
      <c r="I59" s="13">
        <f t="shared" si="7"/>
        <v>0</v>
      </c>
      <c r="J59" s="13">
        <f t="shared" si="8"/>
        <v>10785.432059086081</v>
      </c>
      <c r="K59" s="24">
        <f t="shared" si="9"/>
        <v>1</v>
      </c>
      <c r="L59" s="13">
        <f t="shared" si="10"/>
        <v>0</v>
      </c>
      <c r="M59" s="13">
        <f t="shared" si="11"/>
        <v>10785.432059086081</v>
      </c>
      <c r="N59" s="13">
        <f t="shared" si="12"/>
        <v>10785.432059086081</v>
      </c>
      <c r="O59" s="13">
        <f t="shared" si="13"/>
        <v>672.73743687969795</v>
      </c>
      <c r="P59" s="13">
        <f t="shared" si="14"/>
        <v>9896.9859810246617</v>
      </c>
      <c r="Q59" s="13">
        <f t="shared" si="15"/>
        <v>8089.0740443145605</v>
      </c>
      <c r="R59" s="13">
        <f t="shared" si="16"/>
        <v>9896.9859810246617</v>
      </c>
      <c r="S59" s="13">
        <f t="shared" si="17"/>
        <v>26539.776154413245</v>
      </c>
      <c r="T59" s="13">
        <f t="shared" si="18"/>
        <v>16642.790173388581</v>
      </c>
      <c r="U59" s="23">
        <f t="shared" si="27"/>
        <v>1.3458683383241299</v>
      </c>
      <c r="V59" s="13">
        <f t="shared" si="19"/>
        <v>22399.004355735648</v>
      </c>
      <c r="W59" s="13">
        <f t="shared" si="28"/>
        <v>978068.06771448778</v>
      </c>
      <c r="X59" s="13">
        <f t="shared" si="29"/>
        <v>309157.04487149551</v>
      </c>
      <c r="Y59" s="14">
        <f t="shared" si="20"/>
        <v>0.6839105016546323</v>
      </c>
      <c r="Z59" s="13">
        <f t="shared" si="21"/>
        <v>27243.322972815837</v>
      </c>
      <c r="AA59" s="18" t="str">
        <f t="shared" si="30"/>
        <v/>
      </c>
      <c r="AB59" s="13">
        <f t="shared" si="22"/>
        <v>950824.74474167195</v>
      </c>
      <c r="AC59" s="13">
        <f t="shared" si="23"/>
        <v>300545.71657975734</v>
      </c>
      <c r="AD59" s="13">
        <f t="shared" si="24"/>
        <v>996938.60387194937</v>
      </c>
      <c r="AE59" s="13">
        <f t="shared" si="25"/>
        <v>300545.71657975734</v>
      </c>
      <c r="AF59" s="13">
        <f t="shared" si="26"/>
        <v>726215.75252063479</v>
      </c>
    </row>
    <row r="60" spans="1:32">
      <c r="A60" s="21">
        <v>2043</v>
      </c>
      <c r="B60" s="18">
        <f t="shared" si="0"/>
        <v>1</v>
      </c>
      <c r="C60" s="13">
        <f t="shared" si="1"/>
        <v>0</v>
      </c>
      <c r="D60" s="13">
        <f t="shared" si="2"/>
        <v>0</v>
      </c>
      <c r="E60" s="13">
        <f t="shared" si="3"/>
        <v>0</v>
      </c>
      <c r="F60" s="13">
        <f t="shared" si="4"/>
        <v>0</v>
      </c>
      <c r="G60" s="13">
        <f t="shared" si="5"/>
        <v>0</v>
      </c>
      <c r="H60" s="13">
        <f t="shared" si="6"/>
        <v>0</v>
      </c>
      <c r="I60" s="13">
        <f t="shared" si="7"/>
        <v>0</v>
      </c>
      <c r="J60" s="13">
        <f t="shared" si="8"/>
        <v>10785.432059086081</v>
      </c>
      <c r="K60" s="24">
        <f t="shared" si="9"/>
        <v>1</v>
      </c>
      <c r="L60" s="13">
        <f t="shared" si="10"/>
        <v>0</v>
      </c>
      <c r="M60" s="13">
        <f t="shared" si="11"/>
        <v>10785.432059086081</v>
      </c>
      <c r="N60" s="13">
        <f t="shared" si="12"/>
        <v>10785.432059086081</v>
      </c>
      <c r="O60" s="13">
        <f t="shared" si="13"/>
        <v>672.73743687969795</v>
      </c>
      <c r="P60" s="13">
        <f t="shared" si="14"/>
        <v>9896.9859810246617</v>
      </c>
      <c r="Q60" s="13">
        <f t="shared" si="15"/>
        <v>8089.0740443145605</v>
      </c>
      <c r="R60" s="13">
        <f t="shared" si="16"/>
        <v>9896.9859810246617</v>
      </c>
      <c r="S60" s="13">
        <f t="shared" si="17"/>
        <v>26539.776154413245</v>
      </c>
      <c r="T60" s="13">
        <f t="shared" si="18"/>
        <v>16642.790173388581</v>
      </c>
      <c r="U60" s="23">
        <f t="shared" si="27"/>
        <v>1.3727857050906125</v>
      </c>
      <c r="V60" s="13">
        <f t="shared" si="19"/>
        <v>22846.98444285036</v>
      </c>
      <c r="W60" s="13">
        <f t="shared" si="28"/>
        <v>996938.60387194937</v>
      </c>
      <c r="X60" s="13">
        <f t="shared" si="29"/>
        <v>300545.71657975734</v>
      </c>
      <c r="Y60" s="14">
        <f t="shared" si="20"/>
        <v>0.69853136851909836</v>
      </c>
      <c r="Z60" s="13">
        <f t="shared" si="21"/>
        <v>27917.266988739189</v>
      </c>
      <c r="AA60" s="18" t="str">
        <f t="shared" si="30"/>
        <v/>
      </c>
      <c r="AB60" s="13">
        <f t="shared" si="22"/>
        <v>969021.33688321023</v>
      </c>
      <c r="AC60" s="13">
        <f t="shared" si="23"/>
        <v>292129.53630597517</v>
      </c>
      <c r="AD60" s="13">
        <f t="shared" si="24"/>
        <v>1016017.7088964416</v>
      </c>
      <c r="AE60" s="13">
        <f t="shared" si="25"/>
        <v>292129.53630597517</v>
      </c>
      <c r="AF60" s="13">
        <f t="shared" si="26"/>
        <v>725601.81049523561</v>
      </c>
    </row>
    <row r="61" spans="1:32">
      <c r="A61" s="21">
        <v>2044</v>
      </c>
      <c r="B61" s="18">
        <f t="shared" si="0"/>
        <v>1</v>
      </c>
      <c r="C61" s="13">
        <f t="shared" si="1"/>
        <v>0</v>
      </c>
      <c r="D61" s="13">
        <f t="shared" si="2"/>
        <v>0</v>
      </c>
      <c r="E61" s="13">
        <f t="shared" si="3"/>
        <v>0</v>
      </c>
      <c r="F61" s="13">
        <f t="shared" si="4"/>
        <v>0</v>
      </c>
      <c r="G61" s="13">
        <f t="shared" si="5"/>
        <v>0</v>
      </c>
      <c r="H61" s="13">
        <f t="shared" si="6"/>
        <v>0</v>
      </c>
      <c r="I61" s="13">
        <f t="shared" si="7"/>
        <v>0</v>
      </c>
      <c r="J61" s="13">
        <f t="shared" si="8"/>
        <v>10785.432059086081</v>
      </c>
      <c r="K61" s="24">
        <f t="shared" si="9"/>
        <v>1</v>
      </c>
      <c r="L61" s="13">
        <f t="shared" si="10"/>
        <v>0</v>
      </c>
      <c r="M61" s="13">
        <f t="shared" si="11"/>
        <v>10785.432059086081</v>
      </c>
      <c r="N61" s="13">
        <f t="shared" si="12"/>
        <v>10785.432059086081</v>
      </c>
      <c r="O61" s="13">
        <f t="shared" si="13"/>
        <v>672.73743687969795</v>
      </c>
      <c r="P61" s="13">
        <f t="shared" si="14"/>
        <v>9896.9859810246617</v>
      </c>
      <c r="Q61" s="13">
        <f t="shared" si="15"/>
        <v>8089.0740443145605</v>
      </c>
      <c r="R61" s="13">
        <f t="shared" si="16"/>
        <v>9896.9859810246617</v>
      </c>
      <c r="S61" s="13">
        <f t="shared" si="17"/>
        <v>26539.776154413245</v>
      </c>
      <c r="T61" s="13">
        <f t="shared" si="18"/>
        <v>16642.790173388581</v>
      </c>
      <c r="U61" s="23">
        <f t="shared" si="27"/>
        <v>1.4002414191924248</v>
      </c>
      <c r="V61" s="13">
        <f t="shared" si="19"/>
        <v>23303.924131707368</v>
      </c>
      <c r="W61" s="13">
        <f t="shared" si="28"/>
        <v>1016017.7088964416</v>
      </c>
      <c r="X61" s="13">
        <f t="shared" si="29"/>
        <v>292129.53630597517</v>
      </c>
      <c r="Y61" s="14">
        <f t="shared" si="20"/>
        <v>0.71247594038171369</v>
      </c>
      <c r="Z61" s="13">
        <f t="shared" si="21"/>
        <v>28602.326124375231</v>
      </c>
      <c r="AA61" s="18" t="str">
        <f t="shared" si="30"/>
        <v/>
      </c>
      <c r="AB61" s="13">
        <f t="shared" si="22"/>
        <v>987415.3827720664</v>
      </c>
      <c r="AC61" s="13">
        <f t="shared" si="23"/>
        <v>283905.67938416864</v>
      </c>
      <c r="AD61" s="13">
        <f t="shared" si="24"/>
        <v>1035303.8439380523</v>
      </c>
      <c r="AE61" s="13">
        <f t="shared" si="25"/>
        <v>283905.67938416864</v>
      </c>
      <c r="AF61" s="13">
        <f t="shared" si="26"/>
        <v>724877.69227117358</v>
      </c>
    </row>
    <row r="62" spans="1:32">
      <c r="A62" s="21">
        <v>2045</v>
      </c>
      <c r="B62" s="18">
        <f t="shared" si="0"/>
        <v>1</v>
      </c>
      <c r="C62" s="13">
        <f t="shared" si="1"/>
        <v>0</v>
      </c>
      <c r="D62" s="13">
        <f t="shared" si="2"/>
        <v>0</v>
      </c>
      <c r="E62" s="13">
        <f t="shared" si="3"/>
        <v>0</v>
      </c>
      <c r="F62" s="13">
        <f t="shared" si="4"/>
        <v>0</v>
      </c>
      <c r="G62" s="13">
        <f t="shared" si="5"/>
        <v>0</v>
      </c>
      <c r="H62" s="13">
        <f t="shared" si="6"/>
        <v>0</v>
      </c>
      <c r="I62" s="13">
        <f t="shared" si="7"/>
        <v>0</v>
      </c>
      <c r="J62" s="13">
        <f t="shared" si="8"/>
        <v>10785.432059086081</v>
      </c>
      <c r="K62" s="24">
        <f t="shared" si="9"/>
        <v>1</v>
      </c>
      <c r="L62" s="13">
        <f t="shared" si="10"/>
        <v>0</v>
      </c>
      <c r="M62" s="13">
        <f t="shared" si="11"/>
        <v>10785.432059086081</v>
      </c>
      <c r="N62" s="13">
        <f t="shared" si="12"/>
        <v>10785.432059086081</v>
      </c>
      <c r="O62" s="13">
        <f t="shared" si="13"/>
        <v>672.73743687969795</v>
      </c>
      <c r="P62" s="13">
        <f t="shared" si="14"/>
        <v>9896.9859810246617</v>
      </c>
      <c r="Q62" s="13">
        <f t="shared" si="15"/>
        <v>8089.0740443145605</v>
      </c>
      <c r="R62" s="13">
        <f t="shared" si="16"/>
        <v>9896.9859810246617</v>
      </c>
      <c r="S62" s="13">
        <f t="shared" si="17"/>
        <v>26539.776154413245</v>
      </c>
      <c r="T62" s="13">
        <f t="shared" si="18"/>
        <v>16642.790173388581</v>
      </c>
      <c r="U62" s="23">
        <f t="shared" si="27"/>
        <v>1.4282462475762734</v>
      </c>
      <c r="V62" s="13">
        <f t="shared" si="19"/>
        <v>23770.002614341516</v>
      </c>
      <c r="W62" s="13">
        <f t="shared" si="28"/>
        <v>1035303.8439380523</v>
      </c>
      <c r="X62" s="13">
        <f t="shared" si="29"/>
        <v>283905.67938416864</v>
      </c>
      <c r="Y62" s="14">
        <f t="shared" si="20"/>
        <v>0.72577549958255905</v>
      </c>
      <c r="Z62" s="13">
        <f t="shared" si="21"/>
        <v>29298.718560425048</v>
      </c>
      <c r="AA62" s="18" t="str">
        <f t="shared" si="30"/>
        <v/>
      </c>
      <c r="AB62" s="13">
        <f t="shared" si="22"/>
        <v>1006005.1253776272</v>
      </c>
      <c r="AC62" s="13">
        <f t="shared" si="23"/>
        <v>275871.25292406487</v>
      </c>
      <c r="AD62" s="13">
        <f t="shared" si="24"/>
        <v>1054795.1667522918</v>
      </c>
      <c r="AE62" s="13">
        <f t="shared" si="25"/>
        <v>275871.25292406487</v>
      </c>
      <c r="AF62" s="13">
        <f t="shared" si="26"/>
        <v>724043.8477157302</v>
      </c>
    </row>
    <row r="63" spans="1:32">
      <c r="A63" s="21">
        <v>2046</v>
      </c>
      <c r="B63" s="18">
        <f t="shared" si="0"/>
        <v>1</v>
      </c>
      <c r="C63" s="13">
        <f t="shared" si="1"/>
        <v>0</v>
      </c>
      <c r="D63" s="13">
        <f t="shared" si="2"/>
        <v>1753.44922832825</v>
      </c>
      <c r="E63" s="13">
        <f t="shared" si="3"/>
        <v>0</v>
      </c>
      <c r="F63" s="13">
        <f t="shared" si="4"/>
        <v>0</v>
      </c>
      <c r="G63" s="13">
        <f t="shared" si="5"/>
        <v>0</v>
      </c>
      <c r="H63" s="13">
        <f t="shared" si="6"/>
        <v>0</v>
      </c>
      <c r="I63" s="13">
        <f t="shared" si="7"/>
        <v>0</v>
      </c>
      <c r="J63" s="13">
        <f t="shared" si="8"/>
        <v>10785.432059086081</v>
      </c>
      <c r="K63" s="24">
        <f t="shared" si="9"/>
        <v>1</v>
      </c>
      <c r="L63" s="13">
        <f t="shared" si="10"/>
        <v>0</v>
      </c>
      <c r="M63" s="13">
        <f t="shared" si="11"/>
        <v>10785.432059086081</v>
      </c>
      <c r="N63" s="13">
        <f t="shared" si="12"/>
        <v>10785.432059086081</v>
      </c>
      <c r="O63" s="13">
        <f t="shared" si="13"/>
        <v>672.73743687969795</v>
      </c>
      <c r="P63" s="13">
        <f t="shared" si="14"/>
        <v>9896.9859810246617</v>
      </c>
      <c r="Q63" s="13">
        <f t="shared" si="15"/>
        <v>8089.0740443145605</v>
      </c>
      <c r="R63" s="13">
        <f t="shared" si="16"/>
        <v>9896.9859810246617</v>
      </c>
      <c r="S63" s="13">
        <f t="shared" si="17"/>
        <v>26539.776154413245</v>
      </c>
      <c r="T63" s="13">
        <f t="shared" si="18"/>
        <v>16642.790173388581</v>
      </c>
      <c r="U63" s="23">
        <f t="shared" si="27"/>
        <v>1.4568111725277988</v>
      </c>
      <c r="V63" s="13">
        <f t="shared" si="19"/>
        <v>24245.402666628346</v>
      </c>
      <c r="W63" s="13">
        <f t="shared" si="28"/>
        <v>1054795.1667522918</v>
      </c>
      <c r="X63" s="13">
        <f t="shared" si="29"/>
        <v>275871.25292406487</v>
      </c>
      <c r="Y63" s="14">
        <f t="shared" si="20"/>
        <v>0.73845988148251496</v>
      </c>
      <c r="Z63" s="13">
        <f t="shared" si="21"/>
        <v>30006.670469453253</v>
      </c>
      <c r="AA63" s="18" t="str">
        <f t="shared" si="30"/>
        <v/>
      </c>
      <c r="AB63" s="13">
        <f t="shared" si="22"/>
        <v>1024788.4962828386</v>
      </c>
      <c r="AC63" s="13">
        <f t="shared" si="23"/>
        <v>268023.30477316893</v>
      </c>
      <c r="AD63" s="13">
        <f t="shared" si="24"/>
        <v>1074489.5086063608</v>
      </c>
      <c r="AE63" s="13">
        <f t="shared" si="25"/>
        <v>268023.30477316893</v>
      </c>
      <c r="AF63" s="13">
        <f t="shared" si="26"/>
        <v>723100.63701744413</v>
      </c>
    </row>
    <row r="64" spans="1:32">
      <c r="A64" s="21">
        <v>2047</v>
      </c>
      <c r="B64" s="18">
        <f t="shared" si="0"/>
        <v>1</v>
      </c>
      <c r="C64" s="13">
        <f t="shared" si="1"/>
        <v>0</v>
      </c>
      <c r="D64" s="13">
        <f t="shared" si="2"/>
        <v>21041.390739939001</v>
      </c>
      <c r="E64" s="13">
        <f t="shared" si="3"/>
        <v>0</v>
      </c>
      <c r="F64" s="13">
        <f t="shared" si="4"/>
        <v>0</v>
      </c>
      <c r="G64" s="13">
        <f t="shared" si="5"/>
        <v>0</v>
      </c>
      <c r="H64" s="13">
        <f t="shared" si="6"/>
        <v>0</v>
      </c>
      <c r="I64" s="13">
        <f t="shared" si="7"/>
        <v>0</v>
      </c>
      <c r="J64" s="13">
        <f t="shared" si="8"/>
        <v>10785.432059086081</v>
      </c>
      <c r="K64" s="24">
        <f t="shared" si="9"/>
        <v>1</v>
      </c>
      <c r="L64" s="13">
        <f t="shared" si="10"/>
        <v>0</v>
      </c>
      <c r="M64" s="13">
        <f t="shared" si="11"/>
        <v>10785.432059086081</v>
      </c>
      <c r="N64" s="13">
        <f t="shared" si="12"/>
        <v>10785.432059086081</v>
      </c>
      <c r="O64" s="13">
        <f t="shared" si="13"/>
        <v>672.73743687969795</v>
      </c>
      <c r="P64" s="13">
        <f t="shared" si="14"/>
        <v>9896.9859810246617</v>
      </c>
      <c r="Q64" s="13">
        <f t="shared" si="15"/>
        <v>8089.0740443145605</v>
      </c>
      <c r="R64" s="13">
        <f t="shared" si="16"/>
        <v>9896.9859810246617</v>
      </c>
      <c r="S64" s="13">
        <f t="shared" si="17"/>
        <v>26539.776154413245</v>
      </c>
      <c r="T64" s="13">
        <f t="shared" si="18"/>
        <v>16642.790173388581</v>
      </c>
      <c r="U64" s="23">
        <f t="shared" si="27"/>
        <v>1.4859473959783549</v>
      </c>
      <c r="V64" s="13">
        <f t="shared" si="19"/>
        <v>24730.310719960915</v>
      </c>
      <c r="W64" s="13">
        <f t="shared" si="28"/>
        <v>1074489.5086063608</v>
      </c>
      <c r="X64" s="13">
        <f t="shared" si="29"/>
        <v>268023.30477316893</v>
      </c>
      <c r="Y64" s="14">
        <f t="shared" si="20"/>
        <v>0.75055754139395758</v>
      </c>
      <c r="Z64" s="13">
        <f t="shared" si="21"/>
        <v>30726.415956080269</v>
      </c>
      <c r="AA64" s="18" t="str">
        <f t="shared" si="30"/>
        <v/>
      </c>
      <c r="AB64" s="13">
        <f t="shared" si="22"/>
        <v>1043763.0926502805</v>
      </c>
      <c r="AC64" s="13">
        <f t="shared" si="23"/>
        <v>260358.83203293235</v>
      </c>
      <c r="AD64" s="13">
        <f t="shared" si="24"/>
        <v>1094384.3501281079</v>
      </c>
      <c r="AE64" s="13">
        <f t="shared" si="25"/>
        <v>260358.83203293235</v>
      </c>
      <c r="AF64" s="13">
        <f t="shared" si="26"/>
        <v>722048.32846892928</v>
      </c>
    </row>
    <row r="65" spans="1:32">
      <c r="A65" s="21">
        <v>2048</v>
      </c>
      <c r="B65" s="18">
        <f t="shared" si="0"/>
        <v>1</v>
      </c>
      <c r="C65" s="13">
        <f t="shared" si="1"/>
        <v>0</v>
      </c>
      <c r="D65" s="13">
        <f t="shared" si="2"/>
        <v>21041.390739939001</v>
      </c>
      <c r="E65" s="13">
        <f t="shared" si="3"/>
        <v>0</v>
      </c>
      <c r="F65" s="13">
        <f t="shared" si="4"/>
        <v>0</v>
      </c>
      <c r="G65" s="13">
        <f t="shared" si="5"/>
        <v>0</v>
      </c>
      <c r="H65" s="13">
        <f t="shared" si="6"/>
        <v>0</v>
      </c>
      <c r="I65" s="13">
        <f t="shared" si="7"/>
        <v>0</v>
      </c>
      <c r="J65" s="13">
        <f t="shared" si="8"/>
        <v>10785.432059086081</v>
      </c>
      <c r="K65" s="24">
        <f t="shared" si="9"/>
        <v>1</v>
      </c>
      <c r="L65" s="13">
        <f t="shared" si="10"/>
        <v>0</v>
      </c>
      <c r="M65" s="13">
        <f t="shared" si="11"/>
        <v>10785.432059086081</v>
      </c>
      <c r="N65" s="13">
        <f t="shared" si="12"/>
        <v>10785.432059086081</v>
      </c>
      <c r="O65" s="13">
        <f t="shared" si="13"/>
        <v>672.73743687969795</v>
      </c>
      <c r="P65" s="13">
        <f t="shared" si="14"/>
        <v>9896.9859810246617</v>
      </c>
      <c r="Q65" s="13">
        <f t="shared" si="15"/>
        <v>8089.0740443145605</v>
      </c>
      <c r="R65" s="13">
        <f t="shared" si="16"/>
        <v>9896.9859810246617</v>
      </c>
      <c r="S65" s="13">
        <f t="shared" si="17"/>
        <v>25306.748466257668</v>
      </c>
      <c r="T65" s="13">
        <f t="shared" si="18"/>
        <v>15409.762485233006</v>
      </c>
      <c r="U65" s="23">
        <f t="shared" si="27"/>
        <v>1.5156663438979221</v>
      </c>
      <c r="V65" s="13">
        <f t="shared" si="19"/>
        <v>23356.058366328467</v>
      </c>
      <c r="W65" s="13">
        <f t="shared" si="28"/>
        <v>1094384.3501281079</v>
      </c>
      <c r="X65" s="13">
        <f t="shared" si="29"/>
        <v>260358.83203293235</v>
      </c>
      <c r="Y65" s="14">
        <f t="shared" si="20"/>
        <v>0.76209561841554574</v>
      </c>
      <c r="Z65" s="13">
        <f t="shared" si="21"/>
        <v>29127.528432731851</v>
      </c>
      <c r="AA65" s="18" t="str">
        <f t="shared" si="30"/>
        <v/>
      </c>
      <c r="AB65" s="13">
        <f t="shared" si="22"/>
        <v>1065256.8216953762</v>
      </c>
      <c r="AC65" s="13">
        <f t="shared" si="23"/>
        <v>253429.26539405968</v>
      </c>
      <c r="AD65" s="13">
        <f t="shared" si="24"/>
        <v>1116920.4992394156</v>
      </c>
      <c r="AE65" s="13">
        <f t="shared" si="25"/>
        <v>253429.26539405968</v>
      </c>
      <c r="AF65" s="13">
        <f t="shared" si="26"/>
        <v>722467.7790742662</v>
      </c>
    </row>
    <row r="66" spans="1:32">
      <c r="A66" s="21">
        <v>2049</v>
      </c>
      <c r="B66" s="18">
        <f t="shared" si="0"/>
        <v>1</v>
      </c>
      <c r="C66" s="13">
        <f t="shared" si="1"/>
        <v>0</v>
      </c>
      <c r="D66" s="13">
        <f t="shared" si="2"/>
        <v>21041.390739939001</v>
      </c>
      <c r="E66" s="13">
        <f t="shared" si="3"/>
        <v>0</v>
      </c>
      <c r="F66" s="13">
        <f t="shared" si="4"/>
        <v>0</v>
      </c>
      <c r="G66" s="13">
        <f t="shared" si="5"/>
        <v>0</v>
      </c>
      <c r="H66" s="13">
        <f t="shared" si="6"/>
        <v>0</v>
      </c>
      <c r="I66" s="13">
        <f t="shared" si="7"/>
        <v>0</v>
      </c>
      <c r="J66" s="13">
        <f t="shared" si="8"/>
        <v>10785.432059086081</v>
      </c>
      <c r="K66" s="24">
        <f t="shared" si="9"/>
        <v>1</v>
      </c>
      <c r="L66" s="13">
        <f t="shared" si="10"/>
        <v>0</v>
      </c>
      <c r="M66" s="13">
        <f t="shared" si="11"/>
        <v>10785.432059086081</v>
      </c>
      <c r="N66" s="13">
        <f t="shared" si="12"/>
        <v>10785.432059086081</v>
      </c>
      <c r="O66" s="13">
        <f t="shared" si="13"/>
        <v>672.73743687969795</v>
      </c>
      <c r="P66" s="13">
        <f t="shared" si="14"/>
        <v>9896.9859810246617</v>
      </c>
      <c r="Q66" s="13">
        <f t="shared" si="15"/>
        <v>8089.0740443145605</v>
      </c>
      <c r="R66" s="13">
        <f t="shared" si="16"/>
        <v>9896.9859810246617</v>
      </c>
      <c r="S66" s="13">
        <f t="shared" si="17"/>
        <v>25306.748466257668</v>
      </c>
      <c r="T66" s="13">
        <f t="shared" si="18"/>
        <v>15409.762485233006</v>
      </c>
      <c r="U66" s="23">
        <f t="shared" si="27"/>
        <v>1.5459796707758806</v>
      </c>
      <c r="V66" s="13">
        <f t="shared" si="19"/>
        <v>23823.179533655039</v>
      </c>
      <c r="W66" s="13">
        <f t="shared" si="28"/>
        <v>1116920.4992394156</v>
      </c>
      <c r="X66" s="13">
        <f t="shared" si="29"/>
        <v>253429.26539405968</v>
      </c>
      <c r="Y66" s="14">
        <f t="shared" si="20"/>
        <v>0.77309999631429782</v>
      </c>
      <c r="Z66" s="13">
        <f t="shared" si="21"/>
        <v>29816.468590605735</v>
      </c>
      <c r="AA66" s="18" t="str">
        <f t="shared" si="30"/>
        <v/>
      </c>
      <c r="AB66" s="13">
        <f t="shared" si="22"/>
        <v>1087104.0306488099</v>
      </c>
      <c r="AC66" s="13">
        <f t="shared" si="23"/>
        <v>246663.90856095662</v>
      </c>
      <c r="AD66" s="13">
        <f t="shared" si="24"/>
        <v>1139827.2716104405</v>
      </c>
      <c r="AE66" s="13">
        <f t="shared" si="25"/>
        <v>246663.90856095662</v>
      </c>
      <c r="AF66" s="13">
        <f t="shared" si="26"/>
        <v>722828.2094448948</v>
      </c>
    </row>
    <row r="67" spans="1:32">
      <c r="A67" s="21">
        <v>2050</v>
      </c>
      <c r="B67" s="18">
        <f t="shared" si="0"/>
        <v>1</v>
      </c>
      <c r="C67" s="13">
        <f t="shared" si="1"/>
        <v>0</v>
      </c>
      <c r="D67" s="13">
        <f t="shared" si="2"/>
        <v>21041.390739939001</v>
      </c>
      <c r="E67" s="13">
        <f t="shared" si="3"/>
        <v>0</v>
      </c>
      <c r="F67" s="13">
        <f t="shared" si="4"/>
        <v>0</v>
      </c>
      <c r="G67" s="13">
        <f t="shared" si="5"/>
        <v>0</v>
      </c>
      <c r="H67" s="13">
        <f t="shared" si="6"/>
        <v>0</v>
      </c>
      <c r="I67" s="13">
        <f t="shared" si="7"/>
        <v>0</v>
      </c>
      <c r="J67" s="13">
        <f t="shared" si="8"/>
        <v>10785.432059086081</v>
      </c>
      <c r="K67" s="24">
        <f t="shared" si="9"/>
        <v>1</v>
      </c>
      <c r="L67" s="13">
        <f t="shared" si="10"/>
        <v>0</v>
      </c>
      <c r="M67" s="13">
        <f t="shared" si="11"/>
        <v>10785.432059086081</v>
      </c>
      <c r="N67" s="13">
        <f t="shared" si="12"/>
        <v>10785.432059086081</v>
      </c>
      <c r="O67" s="13">
        <f t="shared" si="13"/>
        <v>672.73743687969795</v>
      </c>
      <c r="P67" s="13">
        <f t="shared" si="14"/>
        <v>9896.9859810246617</v>
      </c>
      <c r="Q67" s="13">
        <f t="shared" si="15"/>
        <v>8089.0740443145605</v>
      </c>
      <c r="R67" s="13">
        <f t="shared" si="16"/>
        <v>9896.9859810246617</v>
      </c>
      <c r="S67" s="13">
        <f t="shared" si="17"/>
        <v>25306.748466257668</v>
      </c>
      <c r="T67" s="13">
        <f t="shared" si="18"/>
        <v>15409.762485233006</v>
      </c>
      <c r="U67" s="23">
        <f t="shared" si="27"/>
        <v>1.5768992641913981</v>
      </c>
      <c r="V67" s="13">
        <f t="shared" si="19"/>
        <v>24299.643124328137</v>
      </c>
      <c r="W67" s="13">
        <f t="shared" si="28"/>
        <v>1139827.2716104405</v>
      </c>
      <c r="X67" s="13">
        <f t="shared" si="29"/>
        <v>246663.90856095662</v>
      </c>
      <c r="Y67" s="14">
        <f t="shared" si="20"/>
        <v>0.78359536159154197</v>
      </c>
      <c r="Z67" s="13">
        <f t="shared" si="21"/>
        <v>30517.022396115219</v>
      </c>
      <c r="AA67" s="18" t="str">
        <f t="shared" si="30"/>
        <v/>
      </c>
      <c r="AB67" s="13">
        <f t="shared" si="22"/>
        <v>1109310.2492143253</v>
      </c>
      <c r="AC67" s="13">
        <f t="shared" si="23"/>
        <v>240059.88336402251</v>
      </c>
      <c r="AD67" s="13">
        <f t="shared" si="24"/>
        <v>1163110.4651289212</v>
      </c>
      <c r="AE67" s="13">
        <f t="shared" si="25"/>
        <v>240059.88336402251</v>
      </c>
      <c r="AF67" s="13">
        <f t="shared" si="26"/>
        <v>723130.7690171944</v>
      </c>
    </row>
    <row r="68" spans="1:32">
      <c r="A68" s="21">
        <v>2051</v>
      </c>
      <c r="B68" s="18">
        <f t="shared" si="0"/>
        <v>1</v>
      </c>
      <c r="C68" s="13">
        <f t="shared" si="1"/>
        <v>0</v>
      </c>
      <c r="D68" s="13">
        <f t="shared" si="2"/>
        <v>21041.390739939001</v>
      </c>
      <c r="E68" s="13">
        <f t="shared" si="3"/>
        <v>0</v>
      </c>
      <c r="F68" s="13">
        <f t="shared" si="4"/>
        <v>0</v>
      </c>
      <c r="G68" s="13">
        <f t="shared" si="5"/>
        <v>0</v>
      </c>
      <c r="H68" s="13">
        <f t="shared" si="6"/>
        <v>0</v>
      </c>
      <c r="I68" s="13">
        <f t="shared" si="7"/>
        <v>0</v>
      </c>
      <c r="J68" s="13">
        <f t="shared" si="8"/>
        <v>10785.432059086081</v>
      </c>
      <c r="K68" s="24">
        <f t="shared" si="9"/>
        <v>1</v>
      </c>
      <c r="L68" s="13">
        <f t="shared" si="10"/>
        <v>0</v>
      </c>
      <c r="M68" s="13">
        <f t="shared" si="11"/>
        <v>10785.432059086081</v>
      </c>
      <c r="N68" s="13">
        <f t="shared" si="12"/>
        <v>10785.432059086081</v>
      </c>
      <c r="O68" s="13">
        <f t="shared" si="13"/>
        <v>672.73743687969795</v>
      </c>
      <c r="P68" s="13">
        <f t="shared" si="14"/>
        <v>9896.9859810246617</v>
      </c>
      <c r="Q68" s="13">
        <f t="shared" si="15"/>
        <v>8089.0740443145605</v>
      </c>
      <c r="R68" s="13">
        <f t="shared" si="16"/>
        <v>9896.9859810246617</v>
      </c>
      <c r="S68" s="13">
        <f t="shared" si="17"/>
        <v>25306.748466257668</v>
      </c>
      <c r="T68" s="13">
        <f t="shared" si="18"/>
        <v>15409.762485233006</v>
      </c>
      <c r="U68" s="23">
        <f t="shared" si="27"/>
        <v>1.6084372494752261</v>
      </c>
      <c r="V68" s="13">
        <f t="shared" si="19"/>
        <v>24785.635986814701</v>
      </c>
      <c r="W68" s="13">
        <f t="shared" si="28"/>
        <v>1163110.4651289212</v>
      </c>
      <c r="X68" s="13">
        <f t="shared" si="29"/>
        <v>240059.88336402251</v>
      </c>
      <c r="Y68" s="14">
        <f t="shared" si="20"/>
        <v>0.79360525886299726</v>
      </c>
      <c r="Z68" s="13">
        <f t="shared" si="21"/>
        <v>31229.43548776133</v>
      </c>
      <c r="AA68" s="18" t="str">
        <f t="shared" si="30"/>
        <v/>
      </c>
      <c r="AB68" s="13">
        <f t="shared" si="22"/>
        <v>1131881.0296411598</v>
      </c>
      <c r="AC68" s="13">
        <f t="shared" si="23"/>
        <v>233614.29211067129</v>
      </c>
      <c r="AD68" s="13">
        <f t="shared" si="24"/>
        <v>1186775.9013215206</v>
      </c>
      <c r="AE68" s="13">
        <f t="shared" si="25"/>
        <v>233614.29211067129</v>
      </c>
      <c r="AF68" s="13">
        <f t="shared" si="26"/>
        <v>723376.5482544892</v>
      </c>
    </row>
    <row r="69" spans="1:32">
      <c r="A69" s="21">
        <v>2052</v>
      </c>
      <c r="B69" s="18">
        <f t="shared" si="0"/>
        <v>1</v>
      </c>
      <c r="C69" s="13">
        <f t="shared" si="1"/>
        <v>0</v>
      </c>
      <c r="D69" s="13">
        <f t="shared" si="2"/>
        <v>21041.390739939001</v>
      </c>
      <c r="E69" s="13">
        <f t="shared" si="3"/>
        <v>0</v>
      </c>
      <c r="F69" s="13">
        <f t="shared" si="4"/>
        <v>939.77993849545339</v>
      </c>
      <c r="G69" s="13">
        <f t="shared" si="5"/>
        <v>1066.5576265765153</v>
      </c>
      <c r="H69" s="13">
        <f t="shared" si="6"/>
        <v>0</v>
      </c>
      <c r="I69" s="13">
        <f t="shared" si="7"/>
        <v>1066.5576265765153</v>
      </c>
      <c r="J69" s="13">
        <f t="shared" si="8"/>
        <v>10785.432059086081</v>
      </c>
      <c r="K69" s="24">
        <f t="shared" si="9"/>
        <v>1</v>
      </c>
      <c r="L69" s="13">
        <f t="shared" si="10"/>
        <v>0</v>
      </c>
      <c r="M69" s="13">
        <f t="shared" si="11"/>
        <v>10785.432059086081</v>
      </c>
      <c r="N69" s="13">
        <f t="shared" si="12"/>
        <v>11851.989685662596</v>
      </c>
      <c r="O69" s="13">
        <f t="shared" si="13"/>
        <v>986.68824593350314</v>
      </c>
      <c r="P69" s="13">
        <f t="shared" si="14"/>
        <v>10628.261646015842</v>
      </c>
      <c r="Q69" s="13">
        <f t="shared" si="15"/>
        <v>8089.0740443145605</v>
      </c>
      <c r="R69" s="13">
        <f t="shared" si="16"/>
        <v>10628.261646015842</v>
      </c>
      <c r="S69" s="13">
        <f t="shared" si="17"/>
        <v>25306.748466257668</v>
      </c>
      <c r="T69" s="13">
        <f t="shared" si="18"/>
        <v>14678.486820241826</v>
      </c>
      <c r="U69" s="23">
        <f t="shared" si="27"/>
        <v>1.6406059944647307</v>
      </c>
      <c r="V69" s="13">
        <f t="shared" si="19"/>
        <v>24081.613466960283</v>
      </c>
      <c r="W69" s="13">
        <f t="shared" si="28"/>
        <v>1186775.9013215206</v>
      </c>
      <c r="X69" s="13">
        <f t="shared" si="29"/>
        <v>233614.29211067129</v>
      </c>
      <c r="Y69" s="14">
        <f t="shared" si="20"/>
        <v>0.80315214367722432</v>
      </c>
      <c r="Z69" s="13">
        <f t="shared" si="21"/>
        <v>30437.574248531371</v>
      </c>
      <c r="AA69" s="18" t="str">
        <f t="shared" si="30"/>
        <v/>
      </c>
      <c r="AB69" s="13">
        <f t="shared" si="22"/>
        <v>1156338.3270729892</v>
      </c>
      <c r="AC69" s="13">
        <f t="shared" si="23"/>
        <v>227622.72086818257</v>
      </c>
      <c r="AD69" s="13">
        <f t="shared" si="24"/>
        <v>1212419.3483300367</v>
      </c>
      <c r="AE69" s="13">
        <f t="shared" si="25"/>
        <v>227622.72086818257</v>
      </c>
      <c r="AF69" s="13">
        <f t="shared" si="26"/>
        <v>724516.68709111365</v>
      </c>
    </row>
    <row r="70" spans="1:32">
      <c r="A70" s="21">
        <v>2053</v>
      </c>
      <c r="B70" s="18">
        <f t="shared" si="0"/>
        <v>1</v>
      </c>
      <c r="C70" s="13">
        <f t="shared" si="1"/>
        <v>0</v>
      </c>
      <c r="D70" s="13">
        <f t="shared" si="2"/>
        <v>21041.390739939001</v>
      </c>
      <c r="E70" s="13">
        <f t="shared" si="3"/>
        <v>0</v>
      </c>
      <c r="F70" s="13">
        <f t="shared" si="4"/>
        <v>11277.359261945441</v>
      </c>
      <c r="G70" s="13">
        <f t="shared" si="5"/>
        <v>12798.691518918184</v>
      </c>
      <c r="H70" s="13">
        <f t="shared" si="6"/>
        <v>0</v>
      </c>
      <c r="I70" s="13">
        <f t="shared" si="7"/>
        <v>12798.691518918184</v>
      </c>
      <c r="J70" s="13">
        <f t="shared" si="8"/>
        <v>10785.432059086081</v>
      </c>
      <c r="K70" s="24">
        <f t="shared" si="9"/>
        <v>1</v>
      </c>
      <c r="L70" s="13">
        <f t="shared" si="10"/>
        <v>0</v>
      </c>
      <c r="M70" s="13">
        <f t="shared" si="11"/>
        <v>10785.432059086081</v>
      </c>
      <c r="N70" s="13">
        <f t="shared" si="12"/>
        <v>23584.123578004263</v>
      </c>
      <c r="O70" s="13">
        <f t="shared" si="13"/>
        <v>4440.1471455253577</v>
      </c>
      <c r="P70" s="13">
        <f t="shared" si="14"/>
        <v>18672.293960918822</v>
      </c>
      <c r="Q70" s="13">
        <f t="shared" si="15"/>
        <v>8089.0740443145605</v>
      </c>
      <c r="R70" s="13">
        <f t="shared" si="16"/>
        <v>18672.293960918822</v>
      </c>
      <c r="S70" s="13">
        <f t="shared" si="17"/>
        <v>25306.748466257668</v>
      </c>
      <c r="T70" s="13">
        <f t="shared" si="18"/>
        <v>6634.4545053388465</v>
      </c>
      <c r="U70" s="23">
        <f t="shared" si="27"/>
        <v>1.6734181143540252</v>
      </c>
      <c r="V70" s="13">
        <f t="shared" si="19"/>
        <v>11102.216348091699</v>
      </c>
      <c r="W70" s="13">
        <f t="shared" si="28"/>
        <v>1212419.3483300367</v>
      </c>
      <c r="X70" s="13">
        <f t="shared" si="29"/>
        <v>227622.72086818257</v>
      </c>
      <c r="Y70" s="14">
        <f t="shared" si="20"/>
        <v>0.81225743289093355</v>
      </c>
      <c r="Z70" s="13">
        <f t="shared" si="21"/>
        <v>14074.584722594682</v>
      </c>
      <c r="AA70" s="18" t="str">
        <f t="shared" si="30"/>
        <v/>
      </c>
      <c r="AB70" s="13">
        <f t="shared" si="22"/>
        <v>1198344.7636074421</v>
      </c>
      <c r="AC70" s="13">
        <f t="shared" si="23"/>
        <v>224980.3222013686</v>
      </c>
      <c r="AD70" s="13">
        <f t="shared" si="24"/>
        <v>1256463.0466286868</v>
      </c>
      <c r="AE70" s="13">
        <f t="shared" si="25"/>
        <v>224980.3222013686</v>
      </c>
      <c r="AF70" s="13">
        <f t="shared" si="26"/>
        <v>736114.008648786</v>
      </c>
    </row>
    <row r="71" spans="1:32">
      <c r="A71" s="21">
        <v>2054</v>
      </c>
      <c r="B71" s="18">
        <f t="shared" si="0"/>
        <v>1</v>
      </c>
      <c r="C71" s="13">
        <f t="shared" si="1"/>
        <v>0</v>
      </c>
      <c r="D71" s="13">
        <f t="shared" si="2"/>
        <v>21041.390739939001</v>
      </c>
      <c r="E71" s="13">
        <f t="shared" si="3"/>
        <v>0</v>
      </c>
      <c r="F71" s="13">
        <f t="shared" si="4"/>
        <v>11277.359261945441</v>
      </c>
      <c r="G71" s="13">
        <f t="shared" si="5"/>
        <v>12798.691518918184</v>
      </c>
      <c r="H71" s="13">
        <f t="shared" si="6"/>
        <v>0</v>
      </c>
      <c r="I71" s="13">
        <f t="shared" si="7"/>
        <v>12798.691518918184</v>
      </c>
      <c r="J71" s="13">
        <f t="shared" si="8"/>
        <v>10785.432059086081</v>
      </c>
      <c r="K71" s="24">
        <f t="shared" si="9"/>
        <v>1</v>
      </c>
      <c r="L71" s="13">
        <f t="shared" si="10"/>
        <v>0</v>
      </c>
      <c r="M71" s="13">
        <f t="shared" si="11"/>
        <v>10785.432059086081</v>
      </c>
      <c r="N71" s="13">
        <f t="shared" si="12"/>
        <v>23584.123578004263</v>
      </c>
      <c r="O71" s="13">
        <f t="shared" si="13"/>
        <v>4440.1471455253577</v>
      </c>
      <c r="P71" s="13">
        <f t="shared" si="14"/>
        <v>18672.293960918822</v>
      </c>
      <c r="Q71" s="13">
        <f t="shared" si="15"/>
        <v>8089.0740443145605</v>
      </c>
      <c r="R71" s="13">
        <f t="shared" si="16"/>
        <v>18672.293960918822</v>
      </c>
      <c r="S71" s="13">
        <f t="shared" si="17"/>
        <v>25306.748466257668</v>
      </c>
      <c r="T71" s="13">
        <f t="shared" si="18"/>
        <v>6634.4545053388465</v>
      </c>
      <c r="U71" s="23">
        <f t="shared" si="27"/>
        <v>1.7068864766411058</v>
      </c>
      <c r="V71" s="13">
        <f t="shared" si="19"/>
        <v>11324.260675053534</v>
      </c>
      <c r="W71" s="13">
        <f t="shared" si="28"/>
        <v>1256463.0466286868</v>
      </c>
      <c r="X71" s="13">
        <f t="shared" si="29"/>
        <v>224980.3222013686</v>
      </c>
      <c r="Y71" s="14">
        <f t="shared" si="20"/>
        <v>0.82094155271416003</v>
      </c>
      <c r="Z71" s="13">
        <f t="shared" si="21"/>
        <v>14397.286710971201</v>
      </c>
      <c r="AA71" s="18" t="str">
        <f t="shared" si="30"/>
        <v/>
      </c>
      <c r="AB71" s="13">
        <f t="shared" si="22"/>
        <v>1242065.7599177156</v>
      </c>
      <c r="AC71" s="13">
        <f t="shared" si="23"/>
        <v>222402.36639777303</v>
      </c>
      <c r="AD71" s="13">
        <f t="shared" si="24"/>
        <v>1302304.4587948127</v>
      </c>
      <c r="AE71" s="13">
        <f t="shared" si="25"/>
        <v>222402.36639777303</v>
      </c>
      <c r="AF71" s="13">
        <f t="shared" si="26"/>
        <v>748010.54125304485</v>
      </c>
    </row>
    <row r="72" spans="1:32">
      <c r="A72" s="21">
        <v>2055</v>
      </c>
      <c r="B72" s="18">
        <f t="shared" si="0"/>
        <v>1</v>
      </c>
      <c r="C72" s="13">
        <f t="shared" si="1"/>
        <v>0</v>
      </c>
      <c r="D72" s="13">
        <f t="shared" si="2"/>
        <v>21041.390739939001</v>
      </c>
      <c r="E72" s="13">
        <f t="shared" si="3"/>
        <v>0</v>
      </c>
      <c r="F72" s="13">
        <f t="shared" si="4"/>
        <v>11277.359261945441</v>
      </c>
      <c r="G72" s="13">
        <f t="shared" si="5"/>
        <v>12798.691518918184</v>
      </c>
      <c r="H72" s="13">
        <f t="shared" si="6"/>
        <v>0</v>
      </c>
      <c r="I72" s="13">
        <f t="shared" si="7"/>
        <v>12798.691518918184</v>
      </c>
      <c r="J72" s="13">
        <f t="shared" si="8"/>
        <v>10785.432059086081</v>
      </c>
      <c r="K72" s="24">
        <f t="shared" si="9"/>
        <v>1</v>
      </c>
      <c r="L72" s="13">
        <f t="shared" si="10"/>
        <v>0</v>
      </c>
      <c r="M72" s="13">
        <f t="shared" si="11"/>
        <v>10785.432059086081</v>
      </c>
      <c r="N72" s="13">
        <f t="shared" si="12"/>
        <v>23584.123578004263</v>
      </c>
      <c r="O72" s="13">
        <f t="shared" si="13"/>
        <v>4440.1471455253577</v>
      </c>
      <c r="P72" s="13">
        <f t="shared" si="14"/>
        <v>18672.293960918822</v>
      </c>
      <c r="Q72" s="13">
        <f t="shared" si="15"/>
        <v>8089.0740443145605</v>
      </c>
      <c r="R72" s="13">
        <f t="shared" si="16"/>
        <v>18672.293960918822</v>
      </c>
      <c r="S72" s="13">
        <f t="shared" si="17"/>
        <v>25306.748466257668</v>
      </c>
      <c r="T72" s="13">
        <f t="shared" si="18"/>
        <v>6634.4545053388465</v>
      </c>
      <c r="U72" s="23">
        <f t="shared" si="27"/>
        <v>1.7410242061739281</v>
      </c>
      <c r="V72" s="13">
        <f t="shared" si="19"/>
        <v>11550.745888554606</v>
      </c>
      <c r="W72" s="13">
        <f t="shared" si="28"/>
        <v>1302304.4587948127</v>
      </c>
      <c r="X72" s="13">
        <f t="shared" si="29"/>
        <v>222402.36639777303</v>
      </c>
      <c r="Y72" s="14">
        <f t="shared" si="20"/>
        <v>0.82922398453308677</v>
      </c>
      <c r="Z72" s="13">
        <f t="shared" si="21"/>
        <v>14725.548077986625</v>
      </c>
      <c r="AA72" s="18" t="str">
        <f t="shared" si="30"/>
        <v/>
      </c>
      <c r="AB72" s="13">
        <f t="shared" si="22"/>
        <v>1287578.9107168261</v>
      </c>
      <c r="AC72" s="13">
        <f t="shared" si="23"/>
        <v>219887.59597144803</v>
      </c>
      <c r="AD72" s="13">
        <f t="shared" si="24"/>
        <v>1350024.9427918992</v>
      </c>
      <c r="AE72" s="13">
        <f t="shared" si="25"/>
        <v>219887.59597144803</v>
      </c>
      <c r="AF72" s="13">
        <f t="shared" si="26"/>
        <v>760215.65971842175</v>
      </c>
    </row>
    <row r="73" spans="1:32">
      <c r="A73" s="21">
        <v>2056</v>
      </c>
      <c r="B73" s="18">
        <f t="shared" si="0"/>
        <v>1</v>
      </c>
      <c r="C73" s="13">
        <f t="shared" si="1"/>
        <v>0</v>
      </c>
      <c r="D73" s="13">
        <f t="shared" si="2"/>
        <v>21041.390739939001</v>
      </c>
      <c r="E73" s="13">
        <f t="shared" si="3"/>
        <v>0</v>
      </c>
      <c r="F73" s="13">
        <f t="shared" si="4"/>
        <v>11277.359261945441</v>
      </c>
      <c r="G73" s="13">
        <f t="shared" si="5"/>
        <v>12798.691518918184</v>
      </c>
      <c r="H73" s="13">
        <f t="shared" si="6"/>
        <v>0</v>
      </c>
      <c r="I73" s="13">
        <f t="shared" si="7"/>
        <v>12798.691518918184</v>
      </c>
      <c r="J73" s="13">
        <f t="shared" si="8"/>
        <v>10785.432059086081</v>
      </c>
      <c r="K73" s="24">
        <f t="shared" si="9"/>
        <v>1</v>
      </c>
      <c r="L73" s="13">
        <f t="shared" si="10"/>
        <v>0</v>
      </c>
      <c r="M73" s="13">
        <f t="shared" si="11"/>
        <v>10785.432059086081</v>
      </c>
      <c r="N73" s="13">
        <f t="shared" si="12"/>
        <v>23584.123578004263</v>
      </c>
      <c r="O73" s="13">
        <f t="shared" si="13"/>
        <v>4440.1471455253577</v>
      </c>
      <c r="P73" s="13">
        <f t="shared" si="14"/>
        <v>18672.293960918822</v>
      </c>
      <c r="Q73" s="13">
        <f t="shared" si="15"/>
        <v>8089.0740443145605</v>
      </c>
      <c r="R73" s="13">
        <f t="shared" si="16"/>
        <v>18672.293960918822</v>
      </c>
      <c r="S73" s="13">
        <f t="shared" si="17"/>
        <v>25306.748466257668</v>
      </c>
      <c r="T73" s="13">
        <f t="shared" si="18"/>
        <v>6634.4545053388465</v>
      </c>
      <c r="U73" s="23">
        <f t="shared" si="27"/>
        <v>1.7758446902974065</v>
      </c>
      <c r="V73" s="13">
        <f t="shared" si="19"/>
        <v>11781.760806325698</v>
      </c>
      <c r="W73" s="13">
        <f t="shared" si="28"/>
        <v>1350024.9427918992</v>
      </c>
      <c r="X73" s="13">
        <f t="shared" si="29"/>
        <v>219887.59597144803</v>
      </c>
      <c r="Y73" s="14">
        <f t="shared" si="20"/>
        <v>0.83712330861331141</v>
      </c>
      <c r="Z73" s="13">
        <f t="shared" si="21"/>
        <v>15059.489783959623</v>
      </c>
      <c r="AA73" s="18" t="str">
        <f t="shared" si="30"/>
        <v/>
      </c>
      <c r="AB73" s="13">
        <f t="shared" si="22"/>
        <v>1334965.4530079395</v>
      </c>
      <c r="AC73" s="13">
        <f t="shared" si="23"/>
        <v>217434.75610146506</v>
      </c>
      <c r="AD73" s="13">
        <f t="shared" si="24"/>
        <v>1399709.6755202811</v>
      </c>
      <c r="AE73" s="13">
        <f t="shared" si="25"/>
        <v>217434.75610146506</v>
      </c>
      <c r="AF73" s="13">
        <f t="shared" si="26"/>
        <v>772738.96487826516</v>
      </c>
    </row>
    <row r="74" spans="1:32">
      <c r="A74" s="21">
        <v>2057</v>
      </c>
      <c r="B74" s="18">
        <f t="shared" si="0"/>
        <v>1</v>
      </c>
      <c r="C74" s="13">
        <f t="shared" si="1"/>
        <v>0</v>
      </c>
      <c r="D74" s="13">
        <f t="shared" si="2"/>
        <v>21041.390739939001</v>
      </c>
      <c r="E74" s="13">
        <f t="shared" si="3"/>
        <v>0</v>
      </c>
      <c r="F74" s="13">
        <f t="shared" si="4"/>
        <v>11277.359261945441</v>
      </c>
      <c r="G74" s="13">
        <f t="shared" si="5"/>
        <v>12798.691518918184</v>
      </c>
      <c r="H74" s="13">
        <f t="shared" si="6"/>
        <v>0</v>
      </c>
      <c r="I74" s="13">
        <f t="shared" si="7"/>
        <v>12798.691518918184</v>
      </c>
      <c r="J74" s="13">
        <f t="shared" si="8"/>
        <v>10785.432059086081</v>
      </c>
      <c r="K74" s="24">
        <f t="shared" si="9"/>
        <v>1</v>
      </c>
      <c r="L74" s="13">
        <f t="shared" si="10"/>
        <v>0</v>
      </c>
      <c r="M74" s="13">
        <f t="shared" si="11"/>
        <v>10785.432059086081</v>
      </c>
      <c r="N74" s="13">
        <f t="shared" si="12"/>
        <v>23584.123578004263</v>
      </c>
      <c r="O74" s="13">
        <f t="shared" si="13"/>
        <v>4440.1471455253577</v>
      </c>
      <c r="P74" s="13">
        <f t="shared" si="14"/>
        <v>18672.293960918822</v>
      </c>
      <c r="Q74" s="13">
        <f t="shared" si="15"/>
        <v>8089.0740443145605</v>
      </c>
      <c r="R74" s="13">
        <f t="shared" si="16"/>
        <v>18672.293960918822</v>
      </c>
      <c r="S74" s="13">
        <f t="shared" si="17"/>
        <v>25306.748466257668</v>
      </c>
      <c r="T74" s="13">
        <f t="shared" si="18"/>
        <v>6634.4545053388465</v>
      </c>
      <c r="U74" s="23">
        <f t="shared" si="27"/>
        <v>1.8113615841033548</v>
      </c>
      <c r="V74" s="13">
        <f t="shared" si="19"/>
        <v>12017.396022452212</v>
      </c>
      <c r="W74" s="13">
        <f t="shared" si="28"/>
        <v>1399709.6755202811</v>
      </c>
      <c r="X74" s="13">
        <f t="shared" si="29"/>
        <v>217434.75610146506</v>
      </c>
      <c r="Y74" s="14">
        <f t="shared" si="20"/>
        <v>0.84465724578159884</v>
      </c>
      <c r="Z74" s="13">
        <f t="shared" si="21"/>
        <v>15399.235810154236</v>
      </c>
      <c r="AA74" s="18" t="str">
        <f t="shared" si="30"/>
        <v/>
      </c>
      <c r="AB74" s="13">
        <f t="shared" si="22"/>
        <v>1384310.4397101267</v>
      </c>
      <c r="AC74" s="13">
        <f t="shared" si="23"/>
        <v>215042.59639785707</v>
      </c>
      <c r="AD74" s="13">
        <f t="shared" si="24"/>
        <v>1451447.83486354</v>
      </c>
      <c r="AE74" s="13">
        <f t="shared" si="25"/>
        <v>215042.59639785707</v>
      </c>
      <c r="AF74" s="13">
        <f t="shared" si="26"/>
        <v>785590.29068733577</v>
      </c>
    </row>
    <row r="75" spans="1:32">
      <c r="A75" s="21">
        <v>2058</v>
      </c>
      <c r="B75" s="18">
        <f t="shared" si="0"/>
        <v>1</v>
      </c>
      <c r="C75" s="13">
        <f t="shared" si="1"/>
        <v>0</v>
      </c>
      <c r="D75" s="13">
        <f t="shared" si="2"/>
        <v>21041.390739939001</v>
      </c>
      <c r="E75" s="13">
        <f t="shared" si="3"/>
        <v>0</v>
      </c>
      <c r="F75" s="13">
        <f t="shared" si="4"/>
        <v>11277.359261945441</v>
      </c>
      <c r="G75" s="13">
        <f t="shared" si="5"/>
        <v>12798.691518918184</v>
      </c>
      <c r="H75" s="13">
        <f t="shared" si="6"/>
        <v>0</v>
      </c>
      <c r="I75" s="13">
        <f t="shared" si="7"/>
        <v>12798.691518918184</v>
      </c>
      <c r="J75" s="13">
        <f t="shared" si="8"/>
        <v>10785.432059086081</v>
      </c>
      <c r="K75" s="24">
        <f t="shared" si="9"/>
        <v>1</v>
      </c>
      <c r="L75" s="13">
        <f t="shared" si="10"/>
        <v>0</v>
      </c>
      <c r="M75" s="13">
        <f t="shared" si="11"/>
        <v>10785.432059086081</v>
      </c>
      <c r="N75" s="13">
        <f t="shared" si="12"/>
        <v>23584.123578004263</v>
      </c>
      <c r="O75" s="13">
        <f t="shared" si="13"/>
        <v>4440.1471455253577</v>
      </c>
      <c r="P75" s="13">
        <f t="shared" si="14"/>
        <v>18672.293960918822</v>
      </c>
      <c r="Q75" s="13">
        <f t="shared" si="15"/>
        <v>8089.0740443145605</v>
      </c>
      <c r="R75" s="13">
        <f t="shared" si="16"/>
        <v>18672.293960918822</v>
      </c>
      <c r="S75" s="13">
        <f t="shared" si="17"/>
        <v>25306.748466257668</v>
      </c>
      <c r="T75" s="13">
        <f t="shared" si="18"/>
        <v>6634.4545053388465</v>
      </c>
      <c r="U75" s="23">
        <f t="shared" si="27"/>
        <v>1.8475888157854219</v>
      </c>
      <c r="V75" s="13">
        <f t="shared" si="19"/>
        <v>12257.743942901256</v>
      </c>
      <c r="W75" s="13">
        <f t="shared" si="28"/>
        <v>1451447.83486354</v>
      </c>
      <c r="X75" s="13">
        <f t="shared" si="29"/>
        <v>215042.59639785707</v>
      </c>
      <c r="Y75" s="14">
        <f t="shared" si="20"/>
        <v>0.85184269717962369</v>
      </c>
      <c r="Z75" s="13">
        <f t="shared" si="21"/>
        <v>15744.913158844382</v>
      </c>
      <c r="AA75" s="18" t="str">
        <f t="shared" si="30"/>
        <v/>
      </c>
      <c r="AB75" s="13">
        <f t="shared" si="22"/>
        <v>1435702.9217046956</v>
      </c>
      <c r="AC75" s="13">
        <f t="shared" si="23"/>
        <v>212709.87253110163</v>
      </c>
      <c r="AD75" s="13">
        <f t="shared" si="24"/>
        <v>1505332.7905638672</v>
      </c>
      <c r="AE75" s="13">
        <f t="shared" si="25"/>
        <v>212709.87253110163</v>
      </c>
      <c r="AF75" s="13">
        <f t="shared" si="26"/>
        <v>798779.71155056253</v>
      </c>
    </row>
    <row r="76" spans="1:32">
      <c r="A76" s="21">
        <v>2059</v>
      </c>
      <c r="B76" s="18">
        <f t="shared" ref="B76:B107" si="31">IF(AND(V_chi&lt;&gt;"nessuno",A76&gt;V_anno),1,0)</f>
        <v>1</v>
      </c>
      <c r="C76" s="13">
        <f t="shared" ref="C76:C95" si="32">Tz_netto*(A76&lt;=$B$8)</f>
        <v>0</v>
      </c>
      <c r="D76" s="13">
        <f t="shared" ref="D76:D95" si="33">$B$20*IF(A76&gt;$B$21,1,IF(A76=$B$21,(13-$B$22)/12,0))</f>
        <v>21041.390739939001</v>
      </c>
      <c r="E76" s="13">
        <f t="shared" ref="E76:E95" si="34">Cm_netto*(A76&lt;=$B$8)</f>
        <v>0</v>
      </c>
      <c r="F76" s="13">
        <f t="shared" ref="F76:F95" si="35">$B$26*IF(A76&gt;$B$27,1,IF(A76=$B$27,(13-$B$28)/12,0))</f>
        <v>11277.359261945441</v>
      </c>
      <c r="G76" s="13">
        <f t="shared" ref="G76:G95" si="36">IF(B76=1,IF(V_chi="T",$B$25*IF(A76&gt;$B$27,1,IF(A76=$B$27,(13-$B$28)/12,0)),$B$19*IF(A76&gt;$B$21,1,IF(A76=$B$21,(13-$B$22)/12,0))),0)</f>
        <v>12798.691518918184</v>
      </c>
      <c r="H76" s="13">
        <f t="shared" ref="H76:H95" si="37">IF(B76=1,$B$31*(1-p_contr)*(A76&lt;=$B$8),0)</f>
        <v>0</v>
      </c>
      <c r="I76" s="13">
        <f t="shared" ref="I76:I107" si="38">G76+H76</f>
        <v>12798.691518918184</v>
      </c>
      <c r="J76" s="13">
        <f t="shared" ref="J76:J95" si="39">IF(B76=1,$B$16*$B$29,0)</f>
        <v>10785.432059086081</v>
      </c>
      <c r="K76" s="24">
        <f t="shared" ref="K76:K95" si="40">IF(V_figli=1,1,IF(I76&gt;tf_S5,tf_M5,IF(I76&gt;tf_S4,tf_M4,IF(I76&gt;tf_S3,tf_M3,1))))</f>
        <v>1</v>
      </c>
      <c r="L76" s="13">
        <f t="shared" ref="L76:L107" si="41">MIN(J76*(1-K76),I76)</f>
        <v>0</v>
      </c>
      <c r="M76" s="13">
        <f t="shared" ref="M76:M107" si="42">J76-L76</f>
        <v>10785.432059086081</v>
      </c>
      <c r="N76" s="13">
        <f t="shared" ref="N76:N107" si="43">G76+M76</f>
        <v>23584.123578004263</v>
      </c>
      <c r="O76" s="13">
        <f t="shared" ref="O76:O107" si="44">MAX(0,IF(N76&lt;=sc_L1,sc_A1*N76,IF(N76&lt;=sc_L2,sc_B1+sc_A2*(N76-sc_L1),sc_B2+sc_A3*(N76-sc_L2)))-(IF(N76&lt;=8500,1955,IF(N76&lt;=28000,700+1255*(28000-N76)/19500,IF(N76&lt;=50000,700*(50000-N76)/22000,0)))+IF(AND(N76&gt;25000,N76&lt;=29000),50,0)))</f>
        <v>4440.1471455253577</v>
      </c>
      <c r="P76" s="13">
        <f t="shared" ref="P76:P107" si="45">IF(N76&gt;0,N76-O76-IF(O76&gt;0,p_add*N76,0),0)</f>
        <v>18672.293960918822</v>
      </c>
      <c r="Q76" s="13">
        <f t="shared" ref="Q76:Q95" si="46">IF(B76=1,MAX(M76-(IF((I76+M76)&lt;=sc_L1,sc_A1*(I76+M76),IF((I76+M76)&lt;=sc_L2,sc_B1+sc_A2*((I76+M76)-sc_L1),sc_B2+sc_A3*((I76+M76)-sc_L2)))-IF(I76&lt;=sc_L1,sc_A1*I76,IF(I76&lt;=sc_L2,sc_B1+sc_A2*(I76-sc_L1),sc_B2+sc_A3*(I76-sc_L2))))-p_add*M76,0),0)</f>
        <v>8089.0740443145605</v>
      </c>
      <c r="R76" s="13">
        <f t="shared" ref="R76:R107" si="47">IF(B76=1,IF(A76&gt;$B$8,P76,IF(V_chi="T",E76,C76)+IF(V_chi="T",F76,D76)+Q76),C76+D76+E76+F76)</f>
        <v>18672.293960918822</v>
      </c>
      <c r="S76" s="13">
        <f t="shared" ref="S76:S95" si="48">IF(B76=1,p_spesa/IF(A76-$B$30&gt;=65,V_den65,V_den64),p_spesa)</f>
        <v>25306.748466257668</v>
      </c>
      <c r="T76" s="13">
        <f t="shared" ref="T76:T107" si="49">S76-R76</f>
        <v>6634.4545053388465</v>
      </c>
      <c r="U76" s="23">
        <f t="shared" si="27"/>
        <v>1.8845405921011305</v>
      </c>
      <c r="V76" s="13">
        <f t="shared" ref="V76:V107" si="50">T76*U76</f>
        <v>12502.898821759283</v>
      </c>
      <c r="W76" s="13">
        <f t="shared" si="28"/>
        <v>1505332.7905638672</v>
      </c>
      <c r="X76" s="13">
        <f t="shared" si="29"/>
        <v>212709.87253110163</v>
      </c>
      <c r="Y76" s="14">
        <f t="shared" ref="Y76:Y107" si="51">IF(W76&gt;0,MAX(0,1-X76/W76),0)</f>
        <v>0.85869578217888631</v>
      </c>
      <c r="Z76" s="13">
        <f t="shared" ref="Z76:Z107" si="52">IF(V76&gt;0,V76/(1-p_cgt*Y76),0)</f>
        <v>16096.651856394034</v>
      </c>
      <c r="AA76" s="18" t="str">
        <f t="shared" si="30"/>
        <v/>
      </c>
      <c r="AB76" s="13">
        <f t="shared" ref="AB76:AB95" si="53">IF(V76&gt;0,W76-Z76,W76-V76)</f>
        <v>1489236.1387074732</v>
      </c>
      <c r="AC76" s="13">
        <f t="shared" ref="AC76:AC95" si="54">IF(V76&gt;0,IF(W76&gt;0,X76-X76*Z76/W76,X76),X76-V76)</f>
        <v>210435.3477309951</v>
      </c>
      <c r="AD76" s="13">
        <f t="shared" ref="AD76:AD95" si="55">AB76*(1+p_rend)*(1+p_infl)*(1-p_bollo)</f>
        <v>1561462.3043514192</v>
      </c>
      <c r="AE76" s="13">
        <f t="shared" ref="AE76:AE95" si="56">AC76</f>
        <v>210435.3477309951</v>
      </c>
      <c r="AF76" s="13">
        <f t="shared" ref="AF76:AF95" si="57">AD76/(U76*(1+p_infl))</f>
        <v>812317.5498789202</v>
      </c>
    </row>
    <row r="77" spans="1:32">
      <c r="A77" s="21">
        <v>2060</v>
      </c>
      <c r="B77" s="18">
        <f t="shared" si="31"/>
        <v>1</v>
      </c>
      <c r="C77" s="13">
        <f t="shared" si="32"/>
        <v>0</v>
      </c>
      <c r="D77" s="13">
        <f t="shared" si="33"/>
        <v>21041.390739939001</v>
      </c>
      <c r="E77" s="13">
        <f t="shared" si="34"/>
        <v>0</v>
      </c>
      <c r="F77" s="13">
        <f t="shared" si="35"/>
        <v>11277.359261945441</v>
      </c>
      <c r="G77" s="13">
        <f t="shared" si="36"/>
        <v>12798.691518918184</v>
      </c>
      <c r="H77" s="13">
        <f t="shared" si="37"/>
        <v>0</v>
      </c>
      <c r="I77" s="13">
        <f t="shared" si="38"/>
        <v>12798.691518918184</v>
      </c>
      <c r="J77" s="13">
        <f t="shared" si="39"/>
        <v>10785.432059086081</v>
      </c>
      <c r="K77" s="24">
        <f t="shared" si="40"/>
        <v>1</v>
      </c>
      <c r="L77" s="13">
        <f t="shared" si="41"/>
        <v>0</v>
      </c>
      <c r="M77" s="13">
        <f t="shared" si="42"/>
        <v>10785.432059086081</v>
      </c>
      <c r="N77" s="13">
        <f t="shared" si="43"/>
        <v>23584.123578004263</v>
      </c>
      <c r="O77" s="13">
        <f t="shared" si="44"/>
        <v>4440.1471455253577</v>
      </c>
      <c r="P77" s="13">
        <f t="shared" si="45"/>
        <v>18672.293960918822</v>
      </c>
      <c r="Q77" s="13">
        <f t="shared" si="46"/>
        <v>8089.0740443145605</v>
      </c>
      <c r="R77" s="13">
        <f t="shared" si="47"/>
        <v>18672.293960918822</v>
      </c>
      <c r="S77" s="13">
        <f t="shared" si="48"/>
        <v>25306.748466257668</v>
      </c>
      <c r="T77" s="13">
        <f t="shared" si="49"/>
        <v>6634.4545053388465</v>
      </c>
      <c r="U77" s="23">
        <f t="shared" ref="U77:U95" si="58">U76*(1+p_infl)</f>
        <v>1.9222314039431532</v>
      </c>
      <c r="V77" s="13">
        <f t="shared" si="50"/>
        <v>12752.956798194469</v>
      </c>
      <c r="W77" s="13">
        <f t="shared" ref="W77:W95" si="59">AD76*IF(AND(V_chi&lt;&gt;"nessuno",A77=V_anno+1),Ved_q,1)</f>
        <v>1561462.3043514192</v>
      </c>
      <c r="X77" s="13">
        <f t="shared" ref="X77:X95" si="60">AE76*IF(AND(V_chi&lt;&gt;"nessuno",A77=V_anno+1),Ved_qb,1)</f>
        <v>210435.3477309951</v>
      </c>
      <c r="Y77" s="14">
        <f t="shared" si="51"/>
        <v>0.86523187454185568</v>
      </c>
      <c r="Z77" s="13">
        <f t="shared" si="52"/>
        <v>16454.584959392567</v>
      </c>
      <c r="AA77" s="18" t="str">
        <f t="shared" ref="AA77:AA108" si="61">IF(AA76&lt;&gt;"",AA76,IF(AND(V77&gt;0,Z77&gt;W77,A77&lt;=p_orizz),A77,""))</f>
        <v/>
      </c>
      <c r="AB77" s="13">
        <f t="shared" si="53"/>
        <v>1545007.7193920265</v>
      </c>
      <c r="AC77" s="13">
        <f t="shared" si="54"/>
        <v>208217.79416082599</v>
      </c>
      <c r="AD77" s="13">
        <f t="shared" si="55"/>
        <v>1619938.7397732767</v>
      </c>
      <c r="AE77" s="13">
        <f t="shared" si="56"/>
        <v>208217.79416082599</v>
      </c>
      <c r="AF77" s="13">
        <f t="shared" si="57"/>
        <v>826214.38387384056</v>
      </c>
    </row>
    <row r="78" spans="1:32">
      <c r="A78" s="21">
        <v>2061</v>
      </c>
      <c r="B78" s="18">
        <f t="shared" si="31"/>
        <v>1</v>
      </c>
      <c r="C78" s="13">
        <f t="shared" si="32"/>
        <v>0</v>
      </c>
      <c r="D78" s="13">
        <f t="shared" si="33"/>
        <v>21041.390739939001</v>
      </c>
      <c r="E78" s="13">
        <f t="shared" si="34"/>
        <v>0</v>
      </c>
      <c r="F78" s="13">
        <f t="shared" si="35"/>
        <v>11277.359261945441</v>
      </c>
      <c r="G78" s="13">
        <f t="shared" si="36"/>
        <v>12798.691518918184</v>
      </c>
      <c r="H78" s="13">
        <f t="shared" si="37"/>
        <v>0</v>
      </c>
      <c r="I78" s="13">
        <f t="shared" si="38"/>
        <v>12798.691518918184</v>
      </c>
      <c r="J78" s="13">
        <f t="shared" si="39"/>
        <v>10785.432059086081</v>
      </c>
      <c r="K78" s="24">
        <f t="shared" si="40"/>
        <v>1</v>
      </c>
      <c r="L78" s="13">
        <f t="shared" si="41"/>
        <v>0</v>
      </c>
      <c r="M78" s="13">
        <f t="shared" si="42"/>
        <v>10785.432059086081</v>
      </c>
      <c r="N78" s="13">
        <f t="shared" si="43"/>
        <v>23584.123578004263</v>
      </c>
      <c r="O78" s="13">
        <f t="shared" si="44"/>
        <v>4440.1471455253577</v>
      </c>
      <c r="P78" s="13">
        <f t="shared" si="45"/>
        <v>18672.293960918822</v>
      </c>
      <c r="Q78" s="13">
        <f t="shared" si="46"/>
        <v>8089.0740443145605</v>
      </c>
      <c r="R78" s="13">
        <f t="shared" si="47"/>
        <v>18672.293960918822</v>
      </c>
      <c r="S78" s="13">
        <f t="shared" si="48"/>
        <v>25306.748466257668</v>
      </c>
      <c r="T78" s="13">
        <f t="shared" si="49"/>
        <v>6634.4545053388465</v>
      </c>
      <c r="U78" s="23">
        <f t="shared" si="58"/>
        <v>1.9606760320220162</v>
      </c>
      <c r="V78" s="13">
        <f t="shared" si="50"/>
        <v>13008.015934158359</v>
      </c>
      <c r="W78" s="13">
        <f t="shared" si="59"/>
        <v>1619938.7397732767</v>
      </c>
      <c r="X78" s="13">
        <f t="shared" si="60"/>
        <v>208217.79416082599</v>
      </c>
      <c r="Y78" s="14">
        <f t="shared" si="51"/>
        <v>0.87146563691046264</v>
      </c>
      <c r="Z78" s="13">
        <f t="shared" si="52"/>
        <v>16818.848563869862</v>
      </c>
      <c r="AA78" s="18" t="str">
        <f t="shared" si="61"/>
        <v/>
      </c>
      <c r="AB78" s="13">
        <f t="shared" si="53"/>
        <v>1603119.8912094068</v>
      </c>
      <c r="AC78" s="13">
        <f t="shared" si="54"/>
        <v>206055.9941727696</v>
      </c>
      <c r="AD78" s="13">
        <f t="shared" si="55"/>
        <v>1680869.2821891939</v>
      </c>
      <c r="AE78" s="13">
        <f t="shared" si="56"/>
        <v>206055.9941727696</v>
      </c>
      <c r="AF78" s="13">
        <f t="shared" si="57"/>
        <v>840481.0555420171</v>
      </c>
    </row>
    <row r="79" spans="1:32">
      <c r="A79" s="21">
        <v>2062</v>
      </c>
      <c r="B79" s="18">
        <f t="shared" si="31"/>
        <v>1</v>
      </c>
      <c r="C79" s="13">
        <f t="shared" si="32"/>
        <v>0</v>
      </c>
      <c r="D79" s="13">
        <f t="shared" si="33"/>
        <v>21041.390739939001</v>
      </c>
      <c r="E79" s="13">
        <f t="shared" si="34"/>
        <v>0</v>
      </c>
      <c r="F79" s="13">
        <f t="shared" si="35"/>
        <v>11277.359261945441</v>
      </c>
      <c r="G79" s="13">
        <f t="shared" si="36"/>
        <v>12798.691518918184</v>
      </c>
      <c r="H79" s="13">
        <f t="shared" si="37"/>
        <v>0</v>
      </c>
      <c r="I79" s="13">
        <f t="shared" si="38"/>
        <v>12798.691518918184</v>
      </c>
      <c r="J79" s="13">
        <f t="shared" si="39"/>
        <v>10785.432059086081</v>
      </c>
      <c r="K79" s="24">
        <f t="shared" si="40"/>
        <v>1</v>
      </c>
      <c r="L79" s="13">
        <f t="shared" si="41"/>
        <v>0</v>
      </c>
      <c r="M79" s="13">
        <f t="shared" si="42"/>
        <v>10785.432059086081</v>
      </c>
      <c r="N79" s="13">
        <f t="shared" si="43"/>
        <v>23584.123578004263</v>
      </c>
      <c r="O79" s="13">
        <f t="shared" si="44"/>
        <v>4440.1471455253577</v>
      </c>
      <c r="P79" s="13">
        <f t="shared" si="45"/>
        <v>18672.293960918822</v>
      </c>
      <c r="Q79" s="13">
        <f t="shared" si="46"/>
        <v>8089.0740443145605</v>
      </c>
      <c r="R79" s="13">
        <f t="shared" si="47"/>
        <v>18672.293960918822</v>
      </c>
      <c r="S79" s="13">
        <f t="shared" si="48"/>
        <v>25306.748466257668</v>
      </c>
      <c r="T79" s="13">
        <f t="shared" si="49"/>
        <v>6634.4545053388465</v>
      </c>
      <c r="U79" s="23">
        <f t="shared" si="58"/>
        <v>1.9998895526624565</v>
      </c>
      <c r="V79" s="13">
        <f t="shared" si="50"/>
        <v>13268.176252841526</v>
      </c>
      <c r="W79" s="13">
        <f t="shared" si="59"/>
        <v>1680869.2821891939</v>
      </c>
      <c r="X79" s="13">
        <f t="shared" si="60"/>
        <v>206055.9941727696</v>
      </c>
      <c r="Y79" s="14">
        <f t="shared" si="51"/>
        <v>0.87741105369931049</v>
      </c>
      <c r="Z79" s="13">
        <f t="shared" si="52"/>
        <v>17189.581817602029</v>
      </c>
      <c r="AA79" s="18" t="str">
        <f t="shared" si="61"/>
        <v/>
      </c>
      <c r="AB79" s="13">
        <f t="shared" si="53"/>
        <v>1663679.7003715918</v>
      </c>
      <c r="AC79" s="13">
        <f t="shared" si="54"/>
        <v>203948.74145040027</v>
      </c>
      <c r="AD79" s="13">
        <f t="shared" si="55"/>
        <v>1744366.1694239734</v>
      </c>
      <c r="AE79" s="13">
        <f t="shared" si="56"/>
        <v>203948.74145040027</v>
      </c>
      <c r="AF79" s="13">
        <f t="shared" si="57"/>
        <v>855128.67894291016</v>
      </c>
    </row>
    <row r="80" spans="1:32">
      <c r="A80" s="21">
        <v>2063</v>
      </c>
      <c r="B80" s="18">
        <f t="shared" si="31"/>
        <v>1</v>
      </c>
      <c r="C80" s="13">
        <f t="shared" si="32"/>
        <v>0</v>
      </c>
      <c r="D80" s="13">
        <f t="shared" si="33"/>
        <v>21041.390739939001</v>
      </c>
      <c r="E80" s="13">
        <f t="shared" si="34"/>
        <v>0</v>
      </c>
      <c r="F80" s="13">
        <f t="shared" si="35"/>
        <v>11277.359261945441</v>
      </c>
      <c r="G80" s="13">
        <f t="shared" si="36"/>
        <v>12798.691518918184</v>
      </c>
      <c r="H80" s="13">
        <f t="shared" si="37"/>
        <v>0</v>
      </c>
      <c r="I80" s="13">
        <f t="shared" si="38"/>
        <v>12798.691518918184</v>
      </c>
      <c r="J80" s="13">
        <f t="shared" si="39"/>
        <v>10785.432059086081</v>
      </c>
      <c r="K80" s="24">
        <f t="shared" si="40"/>
        <v>1</v>
      </c>
      <c r="L80" s="13">
        <f t="shared" si="41"/>
        <v>0</v>
      </c>
      <c r="M80" s="13">
        <f t="shared" si="42"/>
        <v>10785.432059086081</v>
      </c>
      <c r="N80" s="13">
        <f t="shared" si="43"/>
        <v>23584.123578004263</v>
      </c>
      <c r="O80" s="13">
        <f t="shared" si="44"/>
        <v>4440.1471455253577</v>
      </c>
      <c r="P80" s="13">
        <f t="shared" si="45"/>
        <v>18672.293960918822</v>
      </c>
      <c r="Q80" s="13">
        <f t="shared" si="46"/>
        <v>8089.0740443145605</v>
      </c>
      <c r="R80" s="13">
        <f t="shared" si="47"/>
        <v>18672.293960918822</v>
      </c>
      <c r="S80" s="13">
        <f t="shared" si="48"/>
        <v>25306.748466257668</v>
      </c>
      <c r="T80" s="13">
        <f t="shared" si="49"/>
        <v>6634.4545053388465</v>
      </c>
      <c r="U80" s="23">
        <f t="shared" si="58"/>
        <v>2.0398873437157055</v>
      </c>
      <c r="V80" s="13">
        <f t="shared" si="50"/>
        <v>13533.539777898353</v>
      </c>
      <c r="W80" s="13">
        <f t="shared" si="59"/>
        <v>1744366.1694239734</v>
      </c>
      <c r="X80" s="13">
        <f t="shared" si="60"/>
        <v>203948.74145040027</v>
      </c>
      <c r="Y80" s="14">
        <f t="shared" si="51"/>
        <v>0.88308146246739672</v>
      </c>
      <c r="Z80" s="13">
        <f t="shared" si="52"/>
        <v>17566.926935507472</v>
      </c>
      <c r="AA80" s="18" t="str">
        <f t="shared" si="61"/>
        <v/>
      </c>
      <c r="AB80" s="13">
        <f t="shared" si="53"/>
        <v>1726799.242488466</v>
      </c>
      <c r="AC80" s="13">
        <f t="shared" si="54"/>
        <v>201894.84204415863</v>
      </c>
      <c r="AD80" s="13">
        <f t="shared" si="55"/>
        <v>1810546.9335900655</v>
      </c>
      <c r="AE80" s="13">
        <f t="shared" si="56"/>
        <v>201894.84204415863</v>
      </c>
      <c r="AF80" s="13">
        <f t="shared" si="57"/>
        <v>870168.64867169724</v>
      </c>
    </row>
    <row r="81" spans="1:32">
      <c r="A81" s="21">
        <v>2064</v>
      </c>
      <c r="B81" s="18">
        <f t="shared" si="31"/>
        <v>1</v>
      </c>
      <c r="C81" s="13">
        <f t="shared" si="32"/>
        <v>0</v>
      </c>
      <c r="D81" s="13">
        <f t="shared" si="33"/>
        <v>21041.390739939001</v>
      </c>
      <c r="E81" s="13">
        <f t="shared" si="34"/>
        <v>0</v>
      </c>
      <c r="F81" s="13">
        <f t="shared" si="35"/>
        <v>11277.359261945441</v>
      </c>
      <c r="G81" s="13">
        <f t="shared" si="36"/>
        <v>12798.691518918184</v>
      </c>
      <c r="H81" s="13">
        <f t="shared" si="37"/>
        <v>0</v>
      </c>
      <c r="I81" s="13">
        <f t="shared" si="38"/>
        <v>12798.691518918184</v>
      </c>
      <c r="J81" s="13">
        <f t="shared" si="39"/>
        <v>10785.432059086081</v>
      </c>
      <c r="K81" s="24">
        <f t="shared" si="40"/>
        <v>1</v>
      </c>
      <c r="L81" s="13">
        <f t="shared" si="41"/>
        <v>0</v>
      </c>
      <c r="M81" s="13">
        <f t="shared" si="42"/>
        <v>10785.432059086081</v>
      </c>
      <c r="N81" s="13">
        <f t="shared" si="43"/>
        <v>23584.123578004263</v>
      </c>
      <c r="O81" s="13">
        <f t="shared" si="44"/>
        <v>4440.1471455253577</v>
      </c>
      <c r="P81" s="13">
        <f t="shared" si="45"/>
        <v>18672.293960918822</v>
      </c>
      <c r="Q81" s="13">
        <f t="shared" si="46"/>
        <v>8089.0740443145605</v>
      </c>
      <c r="R81" s="13">
        <f t="shared" si="47"/>
        <v>18672.293960918822</v>
      </c>
      <c r="S81" s="13">
        <f t="shared" si="48"/>
        <v>25306.748466257668</v>
      </c>
      <c r="T81" s="13">
        <f t="shared" si="49"/>
        <v>6634.4545053388465</v>
      </c>
      <c r="U81" s="23">
        <f t="shared" si="58"/>
        <v>2.0806850905900198</v>
      </c>
      <c r="V81" s="13">
        <f t="shared" si="50"/>
        <v>13804.210573456323</v>
      </c>
      <c r="W81" s="13">
        <f t="shared" si="59"/>
        <v>1810546.9335900655</v>
      </c>
      <c r="X81" s="13">
        <f t="shared" si="60"/>
        <v>201894.84204415863</v>
      </c>
      <c r="Y81" s="14">
        <f t="shared" si="51"/>
        <v>0.88848958383871945</v>
      </c>
      <c r="Z81" s="13">
        <f t="shared" si="52"/>
        <v>17951.029218122858</v>
      </c>
      <c r="AA81" s="18" t="str">
        <f t="shared" si="61"/>
        <v/>
      </c>
      <c r="AB81" s="13">
        <f t="shared" si="53"/>
        <v>1792595.9043719426</v>
      </c>
      <c r="AC81" s="13">
        <f t="shared" si="54"/>
        <v>199893.11530552246</v>
      </c>
      <c r="AD81" s="13">
        <f t="shared" si="55"/>
        <v>1879534.6546188968</v>
      </c>
      <c r="AE81" s="13">
        <f t="shared" si="56"/>
        <v>199893.11530552246</v>
      </c>
      <c r="AF81" s="13">
        <f t="shared" si="57"/>
        <v>885612.64858084114</v>
      </c>
    </row>
    <row r="82" spans="1:32">
      <c r="A82" s="21">
        <v>2065</v>
      </c>
      <c r="B82" s="18">
        <f t="shared" si="31"/>
        <v>1</v>
      </c>
      <c r="C82" s="13">
        <f t="shared" si="32"/>
        <v>0</v>
      </c>
      <c r="D82" s="13">
        <f t="shared" si="33"/>
        <v>21041.390739939001</v>
      </c>
      <c r="E82" s="13">
        <f t="shared" si="34"/>
        <v>0</v>
      </c>
      <c r="F82" s="13">
        <f t="shared" si="35"/>
        <v>11277.359261945441</v>
      </c>
      <c r="G82" s="13">
        <f t="shared" si="36"/>
        <v>12798.691518918184</v>
      </c>
      <c r="H82" s="13">
        <f t="shared" si="37"/>
        <v>0</v>
      </c>
      <c r="I82" s="13">
        <f t="shared" si="38"/>
        <v>12798.691518918184</v>
      </c>
      <c r="J82" s="13">
        <f t="shared" si="39"/>
        <v>10785.432059086081</v>
      </c>
      <c r="K82" s="24">
        <f t="shared" si="40"/>
        <v>1</v>
      </c>
      <c r="L82" s="13">
        <f t="shared" si="41"/>
        <v>0</v>
      </c>
      <c r="M82" s="13">
        <f t="shared" si="42"/>
        <v>10785.432059086081</v>
      </c>
      <c r="N82" s="13">
        <f t="shared" si="43"/>
        <v>23584.123578004263</v>
      </c>
      <c r="O82" s="13">
        <f t="shared" si="44"/>
        <v>4440.1471455253577</v>
      </c>
      <c r="P82" s="13">
        <f t="shared" si="45"/>
        <v>18672.293960918822</v>
      </c>
      <c r="Q82" s="13">
        <f t="shared" si="46"/>
        <v>8089.0740443145605</v>
      </c>
      <c r="R82" s="13">
        <f t="shared" si="47"/>
        <v>18672.293960918822</v>
      </c>
      <c r="S82" s="13">
        <f t="shared" si="48"/>
        <v>25306.748466257668</v>
      </c>
      <c r="T82" s="13">
        <f t="shared" si="49"/>
        <v>6634.4545053388465</v>
      </c>
      <c r="U82" s="23">
        <f t="shared" si="58"/>
        <v>2.1222987924018204</v>
      </c>
      <c r="V82" s="13">
        <f t="shared" si="50"/>
        <v>14080.294784925451</v>
      </c>
      <c r="W82" s="13">
        <f t="shared" si="59"/>
        <v>1879534.6546188968</v>
      </c>
      <c r="X82" s="13">
        <f t="shared" si="60"/>
        <v>199893.11530552246</v>
      </c>
      <c r="Y82" s="14">
        <f t="shared" si="51"/>
        <v>0.89364755003889318</v>
      </c>
      <c r="Z82" s="13">
        <f t="shared" si="52"/>
        <v>18342.037073140415</v>
      </c>
      <c r="AA82" s="18" t="str">
        <f t="shared" si="61"/>
        <v/>
      </c>
      <c r="AB82" s="13">
        <f t="shared" si="53"/>
        <v>1861192.6175457563</v>
      </c>
      <c r="AC82" s="13">
        <f t="shared" si="54"/>
        <v>197942.39472551653</v>
      </c>
      <c r="AD82" s="13">
        <f t="shared" si="55"/>
        <v>1951458.2260655845</v>
      </c>
      <c r="AE82" s="13">
        <f t="shared" si="56"/>
        <v>197942.39472551653</v>
      </c>
      <c r="AF82" s="13">
        <f t="shared" si="57"/>
        <v>901472.66074387636</v>
      </c>
    </row>
    <row r="83" spans="1:32">
      <c r="A83" s="21">
        <v>2066</v>
      </c>
      <c r="B83" s="18">
        <f t="shared" si="31"/>
        <v>1</v>
      </c>
      <c r="C83" s="13">
        <f t="shared" si="32"/>
        <v>0</v>
      </c>
      <c r="D83" s="13">
        <f t="shared" si="33"/>
        <v>21041.390739939001</v>
      </c>
      <c r="E83" s="13">
        <f t="shared" si="34"/>
        <v>0</v>
      </c>
      <c r="F83" s="13">
        <f t="shared" si="35"/>
        <v>11277.359261945441</v>
      </c>
      <c r="G83" s="13">
        <f t="shared" si="36"/>
        <v>12798.691518918184</v>
      </c>
      <c r="H83" s="13">
        <f t="shared" si="37"/>
        <v>0</v>
      </c>
      <c r="I83" s="13">
        <f t="shared" si="38"/>
        <v>12798.691518918184</v>
      </c>
      <c r="J83" s="13">
        <f t="shared" si="39"/>
        <v>10785.432059086081</v>
      </c>
      <c r="K83" s="24">
        <f t="shared" si="40"/>
        <v>1</v>
      </c>
      <c r="L83" s="13">
        <f t="shared" si="41"/>
        <v>0</v>
      </c>
      <c r="M83" s="13">
        <f t="shared" si="42"/>
        <v>10785.432059086081</v>
      </c>
      <c r="N83" s="13">
        <f t="shared" si="43"/>
        <v>23584.123578004263</v>
      </c>
      <c r="O83" s="13">
        <f t="shared" si="44"/>
        <v>4440.1471455253577</v>
      </c>
      <c r="P83" s="13">
        <f t="shared" si="45"/>
        <v>18672.293960918822</v>
      </c>
      <c r="Q83" s="13">
        <f t="shared" si="46"/>
        <v>8089.0740443145605</v>
      </c>
      <c r="R83" s="13">
        <f t="shared" si="47"/>
        <v>18672.293960918822</v>
      </c>
      <c r="S83" s="13">
        <f t="shared" si="48"/>
        <v>25306.748466257668</v>
      </c>
      <c r="T83" s="13">
        <f t="shared" si="49"/>
        <v>6634.4545053388465</v>
      </c>
      <c r="U83" s="23">
        <f t="shared" si="58"/>
        <v>2.1647447682498568</v>
      </c>
      <c r="V83" s="13">
        <f t="shared" si="50"/>
        <v>14361.900680623959</v>
      </c>
      <c r="W83" s="13">
        <f t="shared" si="59"/>
        <v>1951458.2260655845</v>
      </c>
      <c r="X83" s="13">
        <f t="shared" si="60"/>
        <v>197942.39472551653</v>
      </c>
      <c r="Y83" s="14">
        <f t="shared" si="51"/>
        <v>0.89856693211178984</v>
      </c>
      <c r="Z83" s="13">
        <f t="shared" si="52"/>
        <v>18740.102039981186</v>
      </c>
      <c r="AA83" s="18" t="str">
        <f t="shared" si="61"/>
        <v/>
      </c>
      <c r="AB83" s="13">
        <f t="shared" si="53"/>
        <v>1932718.1240256033</v>
      </c>
      <c r="AC83" s="13">
        <f t="shared" si="54"/>
        <v>196041.52868306314</v>
      </c>
      <c r="AD83" s="13">
        <f t="shared" si="55"/>
        <v>2026452.6337790962</v>
      </c>
      <c r="AE83" s="13">
        <f t="shared" si="56"/>
        <v>196041.52868306314</v>
      </c>
      <c r="AF83" s="13">
        <f t="shared" si="57"/>
        <v>917760.97466542979</v>
      </c>
    </row>
    <row r="84" spans="1:32">
      <c r="A84" s="21">
        <v>2067</v>
      </c>
      <c r="B84" s="18">
        <f t="shared" si="31"/>
        <v>1</v>
      </c>
      <c r="C84" s="13">
        <f t="shared" si="32"/>
        <v>0</v>
      </c>
      <c r="D84" s="13">
        <f t="shared" si="33"/>
        <v>21041.390739939001</v>
      </c>
      <c r="E84" s="13">
        <f t="shared" si="34"/>
        <v>0</v>
      </c>
      <c r="F84" s="13">
        <f t="shared" si="35"/>
        <v>11277.359261945441</v>
      </c>
      <c r="G84" s="13">
        <f t="shared" si="36"/>
        <v>12798.691518918184</v>
      </c>
      <c r="H84" s="13">
        <f t="shared" si="37"/>
        <v>0</v>
      </c>
      <c r="I84" s="13">
        <f t="shared" si="38"/>
        <v>12798.691518918184</v>
      </c>
      <c r="J84" s="13">
        <f t="shared" si="39"/>
        <v>10785.432059086081</v>
      </c>
      <c r="K84" s="24">
        <f t="shared" si="40"/>
        <v>1</v>
      </c>
      <c r="L84" s="13">
        <f t="shared" si="41"/>
        <v>0</v>
      </c>
      <c r="M84" s="13">
        <f t="shared" si="42"/>
        <v>10785.432059086081</v>
      </c>
      <c r="N84" s="13">
        <f t="shared" si="43"/>
        <v>23584.123578004263</v>
      </c>
      <c r="O84" s="13">
        <f t="shared" si="44"/>
        <v>4440.1471455253577</v>
      </c>
      <c r="P84" s="13">
        <f t="shared" si="45"/>
        <v>18672.293960918822</v>
      </c>
      <c r="Q84" s="13">
        <f t="shared" si="46"/>
        <v>8089.0740443145605</v>
      </c>
      <c r="R84" s="13">
        <f t="shared" si="47"/>
        <v>18672.293960918822</v>
      </c>
      <c r="S84" s="13">
        <f t="shared" si="48"/>
        <v>25306.748466257668</v>
      </c>
      <c r="T84" s="13">
        <f t="shared" si="49"/>
        <v>6634.4545053388465</v>
      </c>
      <c r="U84" s="23">
        <f t="shared" si="58"/>
        <v>2.208039663614854</v>
      </c>
      <c r="V84" s="13">
        <f t="shared" si="50"/>
        <v>14649.138694236439</v>
      </c>
      <c r="W84" s="13">
        <f t="shared" si="59"/>
        <v>2026452.6337790962</v>
      </c>
      <c r="X84" s="13">
        <f t="shared" si="60"/>
        <v>196041.52868306314</v>
      </c>
      <c r="Y84" s="14">
        <f t="shared" si="51"/>
        <v>0.90325876587726173</v>
      </c>
      <c r="Z84" s="13">
        <f t="shared" si="52"/>
        <v>19145.378817373025</v>
      </c>
      <c r="AA84" s="18" t="str">
        <f t="shared" si="61"/>
        <v/>
      </c>
      <c r="AB84" s="13">
        <f t="shared" si="53"/>
        <v>2007307.2549617232</v>
      </c>
      <c r="AC84" s="13">
        <f t="shared" si="54"/>
        <v>194189.38110852314</v>
      </c>
      <c r="AD84" s="13">
        <f t="shared" si="55"/>
        <v>2104659.2480586609</v>
      </c>
      <c r="AE84" s="13">
        <f t="shared" si="56"/>
        <v>194189.38110852314</v>
      </c>
      <c r="AF84" s="13">
        <f t="shared" si="57"/>
        <v>934490.19674189563</v>
      </c>
    </row>
    <row r="85" spans="1:32">
      <c r="A85" s="21">
        <v>2068</v>
      </c>
      <c r="B85" s="18">
        <f t="shared" si="31"/>
        <v>1</v>
      </c>
      <c r="C85" s="13">
        <f t="shared" si="32"/>
        <v>0</v>
      </c>
      <c r="D85" s="13">
        <f t="shared" si="33"/>
        <v>21041.390739939001</v>
      </c>
      <c r="E85" s="13">
        <f t="shared" si="34"/>
        <v>0</v>
      </c>
      <c r="F85" s="13">
        <f t="shared" si="35"/>
        <v>11277.359261945441</v>
      </c>
      <c r="G85" s="13">
        <f t="shared" si="36"/>
        <v>12798.691518918184</v>
      </c>
      <c r="H85" s="13">
        <f t="shared" si="37"/>
        <v>0</v>
      </c>
      <c r="I85" s="13">
        <f t="shared" si="38"/>
        <v>12798.691518918184</v>
      </c>
      <c r="J85" s="13">
        <f t="shared" si="39"/>
        <v>10785.432059086081</v>
      </c>
      <c r="K85" s="24">
        <f t="shared" si="40"/>
        <v>1</v>
      </c>
      <c r="L85" s="13">
        <f t="shared" si="41"/>
        <v>0</v>
      </c>
      <c r="M85" s="13">
        <f t="shared" si="42"/>
        <v>10785.432059086081</v>
      </c>
      <c r="N85" s="13">
        <f t="shared" si="43"/>
        <v>23584.123578004263</v>
      </c>
      <c r="O85" s="13">
        <f t="shared" si="44"/>
        <v>4440.1471455253577</v>
      </c>
      <c r="P85" s="13">
        <f t="shared" si="45"/>
        <v>18672.293960918822</v>
      </c>
      <c r="Q85" s="13">
        <f t="shared" si="46"/>
        <v>8089.0740443145605</v>
      </c>
      <c r="R85" s="13">
        <f t="shared" si="47"/>
        <v>18672.293960918822</v>
      </c>
      <c r="S85" s="13">
        <f t="shared" si="48"/>
        <v>25306.748466257668</v>
      </c>
      <c r="T85" s="13">
        <f t="shared" si="49"/>
        <v>6634.4545053388465</v>
      </c>
      <c r="U85" s="23">
        <f t="shared" si="58"/>
        <v>2.252200456887151</v>
      </c>
      <c r="V85" s="13">
        <f t="shared" si="50"/>
        <v>14942.121468121168</v>
      </c>
      <c r="W85" s="13">
        <f t="shared" si="59"/>
        <v>2104659.2480586609</v>
      </c>
      <c r="X85" s="13">
        <f t="shared" si="60"/>
        <v>194189.38110852314</v>
      </c>
      <c r="Y85" s="14">
        <f t="shared" si="51"/>
        <v>0.90773357668817711</v>
      </c>
      <c r="Z85" s="13">
        <f t="shared" si="52"/>
        <v>19558.025293898016</v>
      </c>
      <c r="AA85" s="18" t="str">
        <f t="shared" si="61"/>
        <v/>
      </c>
      <c r="AB85" s="13">
        <f t="shared" si="53"/>
        <v>2085101.2227647628</v>
      </c>
      <c r="AC85" s="13">
        <f t="shared" si="54"/>
        <v>192384.83206761302</v>
      </c>
      <c r="AD85" s="13">
        <f t="shared" si="55"/>
        <v>2186226.1299473867</v>
      </c>
      <c r="AE85" s="13">
        <f t="shared" si="56"/>
        <v>192384.83206761302</v>
      </c>
      <c r="AF85" s="13">
        <f t="shared" si="57"/>
        <v>951673.25997758913</v>
      </c>
    </row>
    <row r="86" spans="1:32">
      <c r="A86" s="21">
        <v>2069</v>
      </c>
      <c r="B86" s="18">
        <f t="shared" si="31"/>
        <v>1</v>
      </c>
      <c r="C86" s="13">
        <f t="shared" si="32"/>
        <v>0</v>
      </c>
      <c r="D86" s="13">
        <f t="shared" si="33"/>
        <v>21041.390739939001</v>
      </c>
      <c r="E86" s="13">
        <f t="shared" si="34"/>
        <v>0</v>
      </c>
      <c r="F86" s="13">
        <f t="shared" si="35"/>
        <v>11277.359261945441</v>
      </c>
      <c r="G86" s="13">
        <f t="shared" si="36"/>
        <v>12798.691518918184</v>
      </c>
      <c r="H86" s="13">
        <f t="shared" si="37"/>
        <v>0</v>
      </c>
      <c r="I86" s="13">
        <f t="shared" si="38"/>
        <v>12798.691518918184</v>
      </c>
      <c r="J86" s="13">
        <f t="shared" si="39"/>
        <v>10785.432059086081</v>
      </c>
      <c r="K86" s="24">
        <f t="shared" si="40"/>
        <v>1</v>
      </c>
      <c r="L86" s="13">
        <f t="shared" si="41"/>
        <v>0</v>
      </c>
      <c r="M86" s="13">
        <f t="shared" si="42"/>
        <v>10785.432059086081</v>
      </c>
      <c r="N86" s="13">
        <f t="shared" si="43"/>
        <v>23584.123578004263</v>
      </c>
      <c r="O86" s="13">
        <f t="shared" si="44"/>
        <v>4440.1471455253577</v>
      </c>
      <c r="P86" s="13">
        <f t="shared" si="45"/>
        <v>18672.293960918822</v>
      </c>
      <c r="Q86" s="13">
        <f t="shared" si="46"/>
        <v>8089.0740443145605</v>
      </c>
      <c r="R86" s="13">
        <f t="shared" si="47"/>
        <v>18672.293960918822</v>
      </c>
      <c r="S86" s="13">
        <f t="shared" si="48"/>
        <v>25306.748466257668</v>
      </c>
      <c r="T86" s="13">
        <f t="shared" si="49"/>
        <v>6634.4545053388465</v>
      </c>
      <c r="U86" s="23">
        <f t="shared" si="58"/>
        <v>2.2972444660248938</v>
      </c>
      <c r="V86" s="13">
        <f t="shared" si="50"/>
        <v>15240.963897483589</v>
      </c>
      <c r="W86" s="13">
        <f t="shared" si="59"/>
        <v>2186226.1299473867</v>
      </c>
      <c r="X86" s="13">
        <f t="shared" si="60"/>
        <v>192384.83206761302</v>
      </c>
      <c r="Y86" s="14">
        <f t="shared" si="51"/>
        <v>0.91200140304230881</v>
      </c>
      <c r="Z86" s="13">
        <f t="shared" si="52"/>
        <v>19978.202581470341</v>
      </c>
      <c r="AA86" s="18" t="str">
        <f t="shared" si="61"/>
        <v/>
      </c>
      <c r="AB86" s="13">
        <f t="shared" si="53"/>
        <v>2166247.9273659163</v>
      </c>
      <c r="AC86" s="13">
        <f t="shared" si="54"/>
        <v>190626.77827070712</v>
      </c>
      <c r="AD86" s="13">
        <f t="shared" si="55"/>
        <v>2271308.3523456505</v>
      </c>
      <c r="AE86" s="13">
        <f t="shared" si="56"/>
        <v>190626.77827070712</v>
      </c>
      <c r="AF86" s="13">
        <f t="shared" si="57"/>
        <v>969323.43396159459</v>
      </c>
    </row>
    <row r="87" spans="1:32">
      <c r="A87" s="21">
        <v>2070</v>
      </c>
      <c r="B87" s="18">
        <f t="shared" si="31"/>
        <v>1</v>
      </c>
      <c r="C87" s="13">
        <f t="shared" si="32"/>
        <v>0</v>
      </c>
      <c r="D87" s="13">
        <f t="shared" si="33"/>
        <v>21041.390739939001</v>
      </c>
      <c r="E87" s="13">
        <f t="shared" si="34"/>
        <v>0</v>
      </c>
      <c r="F87" s="13">
        <f t="shared" si="35"/>
        <v>11277.359261945441</v>
      </c>
      <c r="G87" s="13">
        <f t="shared" si="36"/>
        <v>12798.691518918184</v>
      </c>
      <c r="H87" s="13">
        <f t="shared" si="37"/>
        <v>0</v>
      </c>
      <c r="I87" s="13">
        <f t="shared" si="38"/>
        <v>12798.691518918184</v>
      </c>
      <c r="J87" s="13">
        <f t="shared" si="39"/>
        <v>10785.432059086081</v>
      </c>
      <c r="K87" s="24">
        <f t="shared" si="40"/>
        <v>1</v>
      </c>
      <c r="L87" s="13">
        <f t="shared" si="41"/>
        <v>0</v>
      </c>
      <c r="M87" s="13">
        <f t="shared" si="42"/>
        <v>10785.432059086081</v>
      </c>
      <c r="N87" s="13">
        <f t="shared" si="43"/>
        <v>23584.123578004263</v>
      </c>
      <c r="O87" s="13">
        <f t="shared" si="44"/>
        <v>4440.1471455253577</v>
      </c>
      <c r="P87" s="13">
        <f t="shared" si="45"/>
        <v>18672.293960918822</v>
      </c>
      <c r="Q87" s="13">
        <f t="shared" si="46"/>
        <v>8089.0740443145605</v>
      </c>
      <c r="R87" s="13">
        <f t="shared" si="47"/>
        <v>18672.293960918822</v>
      </c>
      <c r="S87" s="13">
        <f t="shared" si="48"/>
        <v>25306.748466257668</v>
      </c>
      <c r="T87" s="13">
        <f t="shared" si="49"/>
        <v>6634.4545053388465</v>
      </c>
      <c r="U87" s="23">
        <f t="shared" si="58"/>
        <v>2.343189355345392</v>
      </c>
      <c r="V87" s="13">
        <f t="shared" si="50"/>
        <v>15545.783175433264</v>
      </c>
      <c r="W87" s="13">
        <f t="shared" si="59"/>
        <v>2271308.3523456505</v>
      </c>
      <c r="X87" s="13">
        <f t="shared" si="60"/>
        <v>190626.77827070712</v>
      </c>
      <c r="Y87" s="14">
        <f t="shared" si="51"/>
        <v>0.91607181910204272</v>
      </c>
      <c r="Z87" s="13">
        <f t="shared" si="52"/>
        <v>20406.075051703425</v>
      </c>
      <c r="AA87" s="18" t="str">
        <f t="shared" si="61"/>
        <v/>
      </c>
      <c r="AB87" s="13">
        <f t="shared" si="53"/>
        <v>2250902.2772939471</v>
      </c>
      <c r="AC87" s="13">
        <f t="shared" si="54"/>
        <v>188914.13351235047</v>
      </c>
      <c r="AD87" s="13">
        <f t="shared" si="55"/>
        <v>2360068.3366599712</v>
      </c>
      <c r="AE87" s="13">
        <f t="shared" si="56"/>
        <v>188914.13351235047</v>
      </c>
      <c r="AF87" s="13">
        <f t="shared" si="57"/>
        <v>987454.33511090768</v>
      </c>
    </row>
    <row r="88" spans="1:32">
      <c r="A88" s="21">
        <v>2071</v>
      </c>
      <c r="B88" s="18">
        <f t="shared" si="31"/>
        <v>1</v>
      </c>
      <c r="C88" s="13">
        <f t="shared" si="32"/>
        <v>0</v>
      </c>
      <c r="D88" s="13">
        <f t="shared" si="33"/>
        <v>21041.390739939001</v>
      </c>
      <c r="E88" s="13">
        <f t="shared" si="34"/>
        <v>0</v>
      </c>
      <c r="F88" s="13">
        <f t="shared" si="35"/>
        <v>11277.359261945441</v>
      </c>
      <c r="G88" s="13">
        <f t="shared" si="36"/>
        <v>12798.691518918184</v>
      </c>
      <c r="H88" s="13">
        <f t="shared" si="37"/>
        <v>0</v>
      </c>
      <c r="I88" s="13">
        <f t="shared" si="38"/>
        <v>12798.691518918184</v>
      </c>
      <c r="J88" s="13">
        <f t="shared" si="39"/>
        <v>10785.432059086081</v>
      </c>
      <c r="K88" s="24">
        <f t="shared" si="40"/>
        <v>1</v>
      </c>
      <c r="L88" s="13">
        <f t="shared" si="41"/>
        <v>0</v>
      </c>
      <c r="M88" s="13">
        <f t="shared" si="42"/>
        <v>10785.432059086081</v>
      </c>
      <c r="N88" s="13">
        <f t="shared" si="43"/>
        <v>23584.123578004263</v>
      </c>
      <c r="O88" s="13">
        <f t="shared" si="44"/>
        <v>4440.1471455253577</v>
      </c>
      <c r="P88" s="13">
        <f t="shared" si="45"/>
        <v>18672.293960918822</v>
      </c>
      <c r="Q88" s="13">
        <f t="shared" si="46"/>
        <v>8089.0740443145605</v>
      </c>
      <c r="R88" s="13">
        <f t="shared" si="47"/>
        <v>18672.293960918822</v>
      </c>
      <c r="S88" s="13">
        <f t="shared" si="48"/>
        <v>25306.748466257668</v>
      </c>
      <c r="T88" s="13">
        <f t="shared" si="49"/>
        <v>6634.4545053388465</v>
      </c>
      <c r="U88" s="23">
        <f t="shared" si="58"/>
        <v>2.3900531424522997</v>
      </c>
      <c r="V88" s="13">
        <f t="shared" si="50"/>
        <v>15856.698838941928</v>
      </c>
      <c r="W88" s="13">
        <f t="shared" si="59"/>
        <v>2360068.3366599712</v>
      </c>
      <c r="X88" s="13">
        <f t="shared" si="60"/>
        <v>188914.13351235047</v>
      </c>
      <c r="Y88" s="14">
        <f t="shared" si="51"/>
        <v>0.91995395617242737</v>
      </c>
      <c r="Z88" s="13">
        <f t="shared" si="52"/>
        <v>20841.810375123412</v>
      </c>
      <c r="AA88" s="18" t="str">
        <f t="shared" si="61"/>
        <v/>
      </c>
      <c r="AB88" s="13">
        <f t="shared" si="53"/>
        <v>2339226.5262848479</v>
      </c>
      <c r="AC88" s="13">
        <f t="shared" si="54"/>
        <v>187245.82904561737</v>
      </c>
      <c r="AD88" s="13">
        <f t="shared" si="55"/>
        <v>2452676.2057378315</v>
      </c>
      <c r="AE88" s="13">
        <f t="shared" si="56"/>
        <v>187245.82904561737</v>
      </c>
      <c r="AF88" s="13">
        <f t="shared" si="57"/>
        <v>1006079.9371858472</v>
      </c>
    </row>
    <row r="89" spans="1:32">
      <c r="A89" s="21">
        <v>2072</v>
      </c>
      <c r="B89" s="18">
        <f t="shared" si="31"/>
        <v>1</v>
      </c>
      <c r="C89" s="13">
        <f t="shared" si="32"/>
        <v>0</v>
      </c>
      <c r="D89" s="13">
        <f t="shared" si="33"/>
        <v>21041.390739939001</v>
      </c>
      <c r="E89" s="13">
        <f t="shared" si="34"/>
        <v>0</v>
      </c>
      <c r="F89" s="13">
        <f t="shared" si="35"/>
        <v>11277.359261945441</v>
      </c>
      <c r="G89" s="13">
        <f t="shared" si="36"/>
        <v>12798.691518918184</v>
      </c>
      <c r="H89" s="13">
        <f t="shared" si="37"/>
        <v>0</v>
      </c>
      <c r="I89" s="13">
        <f t="shared" si="38"/>
        <v>12798.691518918184</v>
      </c>
      <c r="J89" s="13">
        <f t="shared" si="39"/>
        <v>10785.432059086081</v>
      </c>
      <c r="K89" s="24">
        <f t="shared" si="40"/>
        <v>1</v>
      </c>
      <c r="L89" s="13">
        <f t="shared" si="41"/>
        <v>0</v>
      </c>
      <c r="M89" s="13">
        <f t="shared" si="42"/>
        <v>10785.432059086081</v>
      </c>
      <c r="N89" s="13">
        <f t="shared" si="43"/>
        <v>23584.123578004263</v>
      </c>
      <c r="O89" s="13">
        <f t="shared" si="44"/>
        <v>4440.1471455253577</v>
      </c>
      <c r="P89" s="13">
        <f t="shared" si="45"/>
        <v>18672.293960918822</v>
      </c>
      <c r="Q89" s="13">
        <f t="shared" si="46"/>
        <v>8089.0740443145605</v>
      </c>
      <c r="R89" s="13">
        <f t="shared" si="47"/>
        <v>18672.293960918822</v>
      </c>
      <c r="S89" s="13">
        <f t="shared" si="48"/>
        <v>25306.748466257668</v>
      </c>
      <c r="T89" s="13">
        <f t="shared" si="49"/>
        <v>6634.4545053388465</v>
      </c>
      <c r="U89" s="23">
        <f t="shared" si="58"/>
        <v>2.4378542053013459</v>
      </c>
      <c r="V89" s="13">
        <f t="shared" si="50"/>
        <v>16173.832815720767</v>
      </c>
      <c r="W89" s="13">
        <f t="shared" si="59"/>
        <v>2452676.2057378315</v>
      </c>
      <c r="X89" s="13">
        <f t="shared" si="60"/>
        <v>187245.82904561737</v>
      </c>
      <c r="Y89" s="14">
        <f t="shared" si="51"/>
        <v>0.92365652318574654</v>
      </c>
      <c r="Z89" s="13">
        <f t="shared" si="52"/>
        <v>21285.579563185365</v>
      </c>
      <c r="AA89" s="18" t="str">
        <f t="shared" si="61"/>
        <v/>
      </c>
      <c r="AB89" s="13">
        <f t="shared" si="53"/>
        <v>2431390.626174646</v>
      </c>
      <c r="AC89" s="13">
        <f t="shared" si="54"/>
        <v>185620.81389575737</v>
      </c>
      <c r="AD89" s="13">
        <f t="shared" si="55"/>
        <v>2549310.1538753649</v>
      </c>
      <c r="AE89" s="13">
        <f t="shared" si="56"/>
        <v>185620.81389575737</v>
      </c>
      <c r="AF89" s="13">
        <f t="shared" si="57"/>
        <v>1025214.5820840921</v>
      </c>
    </row>
    <row r="90" spans="1:32">
      <c r="A90" s="21">
        <v>2073</v>
      </c>
      <c r="B90" s="18">
        <f t="shared" si="31"/>
        <v>1</v>
      </c>
      <c r="C90" s="13">
        <f t="shared" si="32"/>
        <v>0</v>
      </c>
      <c r="D90" s="13">
        <f t="shared" si="33"/>
        <v>21041.390739939001</v>
      </c>
      <c r="E90" s="13">
        <f t="shared" si="34"/>
        <v>0</v>
      </c>
      <c r="F90" s="13">
        <f t="shared" si="35"/>
        <v>11277.359261945441</v>
      </c>
      <c r="G90" s="13">
        <f t="shared" si="36"/>
        <v>12798.691518918184</v>
      </c>
      <c r="H90" s="13">
        <f t="shared" si="37"/>
        <v>0</v>
      </c>
      <c r="I90" s="13">
        <f t="shared" si="38"/>
        <v>12798.691518918184</v>
      </c>
      <c r="J90" s="13">
        <f t="shared" si="39"/>
        <v>10785.432059086081</v>
      </c>
      <c r="K90" s="24">
        <f t="shared" si="40"/>
        <v>1</v>
      </c>
      <c r="L90" s="13">
        <f t="shared" si="41"/>
        <v>0</v>
      </c>
      <c r="M90" s="13">
        <f t="shared" si="42"/>
        <v>10785.432059086081</v>
      </c>
      <c r="N90" s="13">
        <f t="shared" si="43"/>
        <v>23584.123578004263</v>
      </c>
      <c r="O90" s="13">
        <f t="shared" si="44"/>
        <v>4440.1471455253577</v>
      </c>
      <c r="P90" s="13">
        <f t="shared" si="45"/>
        <v>18672.293960918822</v>
      </c>
      <c r="Q90" s="13">
        <f t="shared" si="46"/>
        <v>8089.0740443145605</v>
      </c>
      <c r="R90" s="13">
        <f t="shared" si="47"/>
        <v>18672.293960918822</v>
      </c>
      <c r="S90" s="13">
        <f t="shared" si="48"/>
        <v>25306.748466257668</v>
      </c>
      <c r="T90" s="13">
        <f t="shared" si="49"/>
        <v>6634.4545053388465</v>
      </c>
      <c r="U90" s="23">
        <f t="shared" si="58"/>
        <v>2.4866112894073726</v>
      </c>
      <c r="V90" s="13">
        <f t="shared" si="50"/>
        <v>16497.30947203518</v>
      </c>
      <c r="W90" s="13">
        <f t="shared" si="59"/>
        <v>2549310.1538753649</v>
      </c>
      <c r="X90" s="13">
        <f t="shared" si="60"/>
        <v>185620.81389575737</v>
      </c>
      <c r="Y90" s="14">
        <f t="shared" si="51"/>
        <v>0.92718782623856744</v>
      </c>
      <c r="Z90" s="13">
        <f t="shared" si="52"/>
        <v>21737.557013048074</v>
      </c>
      <c r="AA90" s="18" t="str">
        <f t="shared" si="61"/>
        <v/>
      </c>
      <c r="AB90" s="13">
        <f t="shared" si="53"/>
        <v>2527572.5968623171</v>
      </c>
      <c r="AC90" s="13">
        <f t="shared" si="54"/>
        <v>184038.05511737426</v>
      </c>
      <c r="AD90" s="13">
        <f t="shared" si="55"/>
        <v>2650156.8347230232</v>
      </c>
      <c r="AE90" s="13">
        <f t="shared" si="56"/>
        <v>184038.05511737426</v>
      </c>
      <c r="AF90" s="13">
        <f t="shared" si="57"/>
        <v>1044872.9909200527</v>
      </c>
    </row>
    <row r="91" spans="1:32">
      <c r="A91" s="21">
        <v>2074</v>
      </c>
      <c r="B91" s="18">
        <f t="shared" si="31"/>
        <v>1</v>
      </c>
      <c r="C91" s="13">
        <f t="shared" si="32"/>
        <v>0</v>
      </c>
      <c r="D91" s="13">
        <f t="shared" si="33"/>
        <v>21041.390739939001</v>
      </c>
      <c r="E91" s="13">
        <f t="shared" si="34"/>
        <v>0</v>
      </c>
      <c r="F91" s="13">
        <f t="shared" si="35"/>
        <v>11277.359261945441</v>
      </c>
      <c r="G91" s="13">
        <f t="shared" si="36"/>
        <v>12798.691518918184</v>
      </c>
      <c r="H91" s="13">
        <f t="shared" si="37"/>
        <v>0</v>
      </c>
      <c r="I91" s="13">
        <f t="shared" si="38"/>
        <v>12798.691518918184</v>
      </c>
      <c r="J91" s="13">
        <f t="shared" si="39"/>
        <v>10785.432059086081</v>
      </c>
      <c r="K91" s="24">
        <f t="shared" si="40"/>
        <v>1</v>
      </c>
      <c r="L91" s="13">
        <f t="shared" si="41"/>
        <v>0</v>
      </c>
      <c r="M91" s="13">
        <f t="shared" si="42"/>
        <v>10785.432059086081</v>
      </c>
      <c r="N91" s="13">
        <f t="shared" si="43"/>
        <v>23584.123578004263</v>
      </c>
      <c r="O91" s="13">
        <f t="shared" si="44"/>
        <v>4440.1471455253577</v>
      </c>
      <c r="P91" s="13">
        <f t="shared" si="45"/>
        <v>18672.293960918822</v>
      </c>
      <c r="Q91" s="13">
        <f t="shared" si="46"/>
        <v>8089.0740443145605</v>
      </c>
      <c r="R91" s="13">
        <f t="shared" si="47"/>
        <v>18672.293960918822</v>
      </c>
      <c r="S91" s="13">
        <f t="shared" si="48"/>
        <v>25306.748466257668</v>
      </c>
      <c r="T91" s="13">
        <f t="shared" si="49"/>
        <v>6634.4545053388465</v>
      </c>
      <c r="U91" s="23">
        <f t="shared" si="58"/>
        <v>2.53634351519552</v>
      </c>
      <c r="V91" s="13">
        <f t="shared" si="50"/>
        <v>16827.255661475883</v>
      </c>
      <c r="W91" s="13">
        <f t="shared" si="59"/>
        <v>2650156.8347230232</v>
      </c>
      <c r="X91" s="13">
        <f t="shared" si="60"/>
        <v>184038.05511737426</v>
      </c>
      <c r="Y91" s="14">
        <f t="shared" si="51"/>
        <v>0.93055578722509502</v>
      </c>
      <c r="Z91" s="13">
        <f t="shared" si="52"/>
        <v>22197.920555064113</v>
      </c>
      <c r="AA91" s="18" t="str">
        <f t="shared" si="61"/>
        <v/>
      </c>
      <c r="AB91" s="13">
        <f t="shared" si="53"/>
        <v>2627958.9141679592</v>
      </c>
      <c r="AC91" s="13">
        <f t="shared" si="54"/>
        <v>182496.53799918795</v>
      </c>
      <c r="AD91" s="13">
        <f t="shared" si="55"/>
        <v>2755411.7679544087</v>
      </c>
      <c r="AE91" s="13">
        <f t="shared" si="56"/>
        <v>182496.53799918795</v>
      </c>
      <c r="AF91" s="13">
        <f t="shared" si="57"/>
        <v>1065070.2753966551</v>
      </c>
    </row>
    <row r="92" spans="1:32">
      <c r="A92" s="21">
        <v>2075</v>
      </c>
      <c r="B92" s="18">
        <f t="shared" si="31"/>
        <v>1</v>
      </c>
      <c r="C92" s="13">
        <f t="shared" si="32"/>
        <v>0</v>
      </c>
      <c r="D92" s="13">
        <f t="shared" si="33"/>
        <v>21041.390739939001</v>
      </c>
      <c r="E92" s="13">
        <f t="shared" si="34"/>
        <v>0</v>
      </c>
      <c r="F92" s="13">
        <f t="shared" si="35"/>
        <v>11277.359261945441</v>
      </c>
      <c r="G92" s="13">
        <f t="shared" si="36"/>
        <v>12798.691518918184</v>
      </c>
      <c r="H92" s="13">
        <f t="shared" si="37"/>
        <v>0</v>
      </c>
      <c r="I92" s="13">
        <f t="shared" si="38"/>
        <v>12798.691518918184</v>
      </c>
      <c r="J92" s="13">
        <f t="shared" si="39"/>
        <v>10785.432059086081</v>
      </c>
      <c r="K92" s="24">
        <f t="shared" si="40"/>
        <v>1</v>
      </c>
      <c r="L92" s="13">
        <f t="shared" si="41"/>
        <v>0</v>
      </c>
      <c r="M92" s="13">
        <f t="shared" si="42"/>
        <v>10785.432059086081</v>
      </c>
      <c r="N92" s="13">
        <f t="shared" si="43"/>
        <v>23584.123578004263</v>
      </c>
      <c r="O92" s="13">
        <f t="shared" si="44"/>
        <v>4440.1471455253577</v>
      </c>
      <c r="P92" s="13">
        <f t="shared" si="45"/>
        <v>18672.293960918822</v>
      </c>
      <c r="Q92" s="13">
        <f t="shared" si="46"/>
        <v>8089.0740443145605</v>
      </c>
      <c r="R92" s="13">
        <f t="shared" si="47"/>
        <v>18672.293960918822</v>
      </c>
      <c r="S92" s="13">
        <f t="shared" si="48"/>
        <v>25306.748466257668</v>
      </c>
      <c r="T92" s="13">
        <f t="shared" si="49"/>
        <v>6634.4545053388465</v>
      </c>
      <c r="U92" s="23">
        <f t="shared" si="58"/>
        <v>2.5870703854994304</v>
      </c>
      <c r="V92" s="13">
        <f t="shared" si="50"/>
        <v>17163.800774705403</v>
      </c>
      <c r="W92" s="13">
        <f t="shared" si="59"/>
        <v>2755411.7679544087</v>
      </c>
      <c r="X92" s="13">
        <f t="shared" si="60"/>
        <v>182496.53799918795</v>
      </c>
      <c r="Y92" s="14">
        <f t="shared" si="51"/>
        <v>0.9337679616086304</v>
      </c>
      <c r="Z92" s="13">
        <f t="shared" si="52"/>
        <v>22666.85150294226</v>
      </c>
      <c r="AA92" s="18" t="str">
        <f t="shared" si="61"/>
        <v/>
      </c>
      <c r="AB92" s="13">
        <f t="shared" si="53"/>
        <v>2732744.9164514663</v>
      </c>
      <c r="AC92" s="13">
        <f t="shared" si="54"/>
        <v>180995.26622023361</v>
      </c>
      <c r="AD92" s="13">
        <f t="shared" si="55"/>
        <v>2865279.7656054632</v>
      </c>
      <c r="AE92" s="13">
        <f t="shared" si="56"/>
        <v>180995.26622023361</v>
      </c>
      <c r="AF92" s="13">
        <f t="shared" si="57"/>
        <v>1085821.9494769673</v>
      </c>
    </row>
    <row r="93" spans="1:32">
      <c r="A93" s="21">
        <v>2076</v>
      </c>
      <c r="B93" s="18">
        <f t="shared" si="31"/>
        <v>1</v>
      </c>
      <c r="C93" s="13">
        <f t="shared" si="32"/>
        <v>0</v>
      </c>
      <c r="D93" s="13">
        <f t="shared" si="33"/>
        <v>21041.390739939001</v>
      </c>
      <c r="E93" s="13">
        <f t="shared" si="34"/>
        <v>0</v>
      </c>
      <c r="F93" s="13">
        <f t="shared" si="35"/>
        <v>11277.359261945441</v>
      </c>
      <c r="G93" s="13">
        <f t="shared" si="36"/>
        <v>12798.691518918184</v>
      </c>
      <c r="H93" s="13">
        <f t="shared" si="37"/>
        <v>0</v>
      </c>
      <c r="I93" s="13">
        <f t="shared" si="38"/>
        <v>12798.691518918184</v>
      </c>
      <c r="J93" s="13">
        <f t="shared" si="39"/>
        <v>10785.432059086081</v>
      </c>
      <c r="K93" s="24">
        <f t="shared" si="40"/>
        <v>1</v>
      </c>
      <c r="L93" s="13">
        <f t="shared" si="41"/>
        <v>0</v>
      </c>
      <c r="M93" s="13">
        <f t="shared" si="42"/>
        <v>10785.432059086081</v>
      </c>
      <c r="N93" s="13">
        <f t="shared" si="43"/>
        <v>23584.123578004263</v>
      </c>
      <c r="O93" s="13">
        <f t="shared" si="44"/>
        <v>4440.1471455253577</v>
      </c>
      <c r="P93" s="13">
        <f t="shared" si="45"/>
        <v>18672.293960918822</v>
      </c>
      <c r="Q93" s="13">
        <f t="shared" si="46"/>
        <v>8089.0740443145605</v>
      </c>
      <c r="R93" s="13">
        <f t="shared" si="47"/>
        <v>18672.293960918822</v>
      </c>
      <c r="S93" s="13">
        <f t="shared" si="48"/>
        <v>25306.748466257668</v>
      </c>
      <c r="T93" s="13">
        <f t="shared" si="49"/>
        <v>6634.4545053388465</v>
      </c>
      <c r="U93" s="23">
        <f t="shared" si="58"/>
        <v>2.6388117932094191</v>
      </c>
      <c r="V93" s="13">
        <f t="shared" si="50"/>
        <v>17507.07679019951</v>
      </c>
      <c r="W93" s="13">
        <f t="shared" si="59"/>
        <v>2865279.7656054632</v>
      </c>
      <c r="X93" s="13">
        <f t="shared" si="60"/>
        <v>180995.26622023361</v>
      </c>
      <c r="Y93" s="14">
        <f t="shared" si="51"/>
        <v>0.93683155537100316</v>
      </c>
      <c r="Z93" s="13">
        <f t="shared" si="52"/>
        <v>23144.534706540897</v>
      </c>
      <c r="AA93" s="18" t="str">
        <f t="shared" si="61"/>
        <v/>
      </c>
      <c r="AB93" s="13">
        <f t="shared" si="53"/>
        <v>2842135.2308989223</v>
      </c>
      <c r="AC93" s="13">
        <f t="shared" si="54"/>
        <v>179533.26196115959</v>
      </c>
      <c r="AD93" s="13">
        <f t="shared" si="55"/>
        <v>2979975.3790352428</v>
      </c>
      <c r="AE93" s="13">
        <f t="shared" si="56"/>
        <v>179533.26196115959</v>
      </c>
      <c r="AF93" s="13">
        <f t="shared" si="57"/>
        <v>1107143.9413634534</v>
      </c>
    </row>
    <row r="94" spans="1:32">
      <c r="A94" s="21">
        <v>2077</v>
      </c>
      <c r="B94" s="18">
        <f t="shared" si="31"/>
        <v>1</v>
      </c>
      <c r="C94" s="13">
        <f t="shared" si="32"/>
        <v>0</v>
      </c>
      <c r="D94" s="13">
        <f t="shared" si="33"/>
        <v>21041.390739939001</v>
      </c>
      <c r="E94" s="13">
        <f t="shared" si="34"/>
        <v>0</v>
      </c>
      <c r="F94" s="13">
        <f t="shared" si="35"/>
        <v>11277.359261945441</v>
      </c>
      <c r="G94" s="13">
        <f t="shared" si="36"/>
        <v>12798.691518918184</v>
      </c>
      <c r="H94" s="13">
        <f t="shared" si="37"/>
        <v>0</v>
      </c>
      <c r="I94" s="13">
        <f t="shared" si="38"/>
        <v>12798.691518918184</v>
      </c>
      <c r="J94" s="13">
        <f t="shared" si="39"/>
        <v>10785.432059086081</v>
      </c>
      <c r="K94" s="24">
        <f t="shared" si="40"/>
        <v>1</v>
      </c>
      <c r="L94" s="13">
        <f t="shared" si="41"/>
        <v>0</v>
      </c>
      <c r="M94" s="13">
        <f t="shared" si="42"/>
        <v>10785.432059086081</v>
      </c>
      <c r="N94" s="13">
        <f t="shared" si="43"/>
        <v>23584.123578004263</v>
      </c>
      <c r="O94" s="13">
        <f t="shared" si="44"/>
        <v>4440.1471455253577</v>
      </c>
      <c r="P94" s="13">
        <f t="shared" si="45"/>
        <v>18672.293960918822</v>
      </c>
      <c r="Q94" s="13">
        <f t="shared" si="46"/>
        <v>8089.0740443145605</v>
      </c>
      <c r="R94" s="13">
        <f t="shared" si="47"/>
        <v>18672.293960918822</v>
      </c>
      <c r="S94" s="13">
        <f t="shared" si="48"/>
        <v>25306.748466257668</v>
      </c>
      <c r="T94" s="13">
        <f t="shared" si="49"/>
        <v>6634.4545053388465</v>
      </c>
      <c r="U94" s="23">
        <f t="shared" si="58"/>
        <v>2.6915880290736074</v>
      </c>
      <c r="V94" s="13">
        <f t="shared" si="50"/>
        <v>17857.218326003502</v>
      </c>
      <c r="W94" s="13">
        <f t="shared" si="59"/>
        <v>2979975.3790352428</v>
      </c>
      <c r="X94" s="13">
        <f t="shared" si="60"/>
        <v>179533.26196115959</v>
      </c>
      <c r="Y94" s="14">
        <f t="shared" si="51"/>
        <v>0.93975344117799964</v>
      </c>
      <c r="Z94" s="13">
        <f t="shared" si="52"/>
        <v>23631.158607252564</v>
      </c>
      <c r="AA94" s="18" t="str">
        <f t="shared" si="61"/>
        <v/>
      </c>
      <c r="AB94" s="13">
        <f t="shared" si="53"/>
        <v>2956344.2204279904</v>
      </c>
      <c r="AC94" s="13">
        <f t="shared" si="54"/>
        <v>178109.56597409572</v>
      </c>
      <c r="AD94" s="13">
        <f t="shared" si="55"/>
        <v>3099723.367505684</v>
      </c>
      <c r="AE94" s="13">
        <f t="shared" si="56"/>
        <v>178109.56597409572</v>
      </c>
      <c r="AF94" s="13">
        <f t="shared" si="57"/>
        <v>1129052.6057929804</v>
      </c>
    </row>
    <row r="95" spans="1:32">
      <c r="A95" s="21">
        <v>2078</v>
      </c>
      <c r="B95" s="18">
        <f t="shared" si="31"/>
        <v>1</v>
      </c>
      <c r="C95" s="13">
        <f t="shared" si="32"/>
        <v>0</v>
      </c>
      <c r="D95" s="13">
        <f t="shared" si="33"/>
        <v>21041.390739939001</v>
      </c>
      <c r="E95" s="13">
        <f t="shared" si="34"/>
        <v>0</v>
      </c>
      <c r="F95" s="13">
        <f t="shared" si="35"/>
        <v>11277.359261945441</v>
      </c>
      <c r="G95" s="13">
        <f t="shared" si="36"/>
        <v>12798.691518918184</v>
      </c>
      <c r="H95" s="13">
        <f t="shared" si="37"/>
        <v>0</v>
      </c>
      <c r="I95" s="13">
        <f t="shared" si="38"/>
        <v>12798.691518918184</v>
      </c>
      <c r="J95" s="13">
        <f t="shared" si="39"/>
        <v>10785.432059086081</v>
      </c>
      <c r="K95" s="24">
        <f t="shared" si="40"/>
        <v>1</v>
      </c>
      <c r="L95" s="13">
        <f t="shared" si="41"/>
        <v>0</v>
      </c>
      <c r="M95" s="13">
        <f t="shared" si="42"/>
        <v>10785.432059086081</v>
      </c>
      <c r="N95" s="13">
        <f t="shared" si="43"/>
        <v>23584.123578004263</v>
      </c>
      <c r="O95" s="13">
        <f t="shared" si="44"/>
        <v>4440.1471455253577</v>
      </c>
      <c r="P95" s="13">
        <f t="shared" si="45"/>
        <v>18672.293960918822</v>
      </c>
      <c r="Q95" s="13">
        <f t="shared" si="46"/>
        <v>8089.0740443145605</v>
      </c>
      <c r="R95" s="13">
        <f t="shared" si="47"/>
        <v>18672.293960918822</v>
      </c>
      <c r="S95" s="13">
        <f t="shared" si="48"/>
        <v>25306.748466257668</v>
      </c>
      <c r="T95" s="13">
        <f t="shared" si="49"/>
        <v>6634.4545053388465</v>
      </c>
      <c r="U95" s="23">
        <f t="shared" si="58"/>
        <v>2.7454197896550796</v>
      </c>
      <c r="V95" s="13">
        <f t="shared" si="50"/>
        <v>18214.362692523569</v>
      </c>
      <c r="W95" s="13">
        <f t="shared" si="59"/>
        <v>3099723.367505684</v>
      </c>
      <c r="X95" s="13">
        <f t="shared" si="60"/>
        <v>178109.56597409572</v>
      </c>
      <c r="Y95" s="14">
        <f t="shared" si="51"/>
        <v>0.94254017379705124</v>
      </c>
      <c r="Z95" s="13">
        <f t="shared" si="52"/>
        <v>24126.915295941715</v>
      </c>
      <c r="AA95" s="18" t="str">
        <f t="shared" si="61"/>
        <v/>
      </c>
      <c r="AB95" s="13">
        <f t="shared" si="53"/>
        <v>3075596.4522097423</v>
      </c>
      <c r="AC95" s="13">
        <f t="shared" si="54"/>
        <v>176723.23761437763</v>
      </c>
      <c r="AD95" s="13">
        <f t="shared" si="55"/>
        <v>3224759.1894261721</v>
      </c>
      <c r="AE95" s="13">
        <f t="shared" si="56"/>
        <v>176723.23761437763</v>
      </c>
      <c r="AF95" s="13">
        <f t="shared" si="57"/>
        <v>1151564.7366560581</v>
      </c>
    </row>
  </sheetData>
  <mergeCells count="5">
    <mergeCell ref="A3:H3"/>
    <mergeCell ref="A5:C5"/>
    <mergeCell ref="A2:H2"/>
    <mergeCell ref="A42:H42"/>
    <mergeCell ref="A1:H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93"/>
  <sheetViews>
    <sheetView workbookViewId="0"/>
  </sheetViews>
  <sheetFormatPr defaultRowHeight="15"/>
  <cols>
    <col min="1" max="1" width="25" customWidth="1"/>
    <col min="2" max="2" width="19" customWidth="1"/>
    <col min="3" max="4" width="25" customWidth="1"/>
    <col min="5" max="6" width="24" customWidth="1"/>
    <col min="7" max="7" width="25" customWidth="1"/>
    <col min="8" max="26" width="17" customWidth="1"/>
    <col min="27" max="27" width="22" customWidth="1"/>
    <col min="28" max="28" width="24" customWidth="1"/>
  </cols>
  <sheetData>
    <row r="1" spans="1:12" ht="24.95" customHeight="1">
      <c r="A1" s="32" t="s">
        <v>277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32.1" customHeight="1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 ht="45" customHeight="1">
      <c r="A3" s="34" t="s">
        <v>278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5" spans="1:12">
      <c r="A5" s="33" t="s">
        <v>279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1:12">
      <c r="A6" s="6" t="s">
        <v>280</v>
      </c>
      <c r="B6" s="10">
        <v>28000</v>
      </c>
    </row>
    <row r="7" spans="1:12" ht="30">
      <c r="A7" s="6" t="s">
        <v>281</v>
      </c>
      <c r="B7" s="10">
        <v>50000</v>
      </c>
    </row>
    <row r="8" spans="1:12">
      <c r="A8" s="6" t="s">
        <v>282</v>
      </c>
      <c r="B8" s="16">
        <v>0.23</v>
      </c>
    </row>
    <row r="9" spans="1:12">
      <c r="A9" s="6" t="s">
        <v>283</v>
      </c>
      <c r="B9" s="16">
        <v>0.33</v>
      </c>
    </row>
    <row r="10" spans="1:12">
      <c r="A10" s="6" t="s">
        <v>284</v>
      </c>
      <c r="B10" s="16">
        <v>0.43</v>
      </c>
    </row>
    <row r="11" spans="1:12" ht="30">
      <c r="A11" s="6" t="s">
        <v>285</v>
      </c>
      <c r="B11" s="13">
        <f>sc_A1*sc_L1</f>
        <v>6440</v>
      </c>
    </row>
    <row r="12" spans="1:12" ht="30">
      <c r="A12" s="6" t="s">
        <v>286</v>
      </c>
      <c r="B12" s="13">
        <f>sc_B1+sc_A2*(sc_L2-sc_L1)</f>
        <v>13700</v>
      </c>
    </row>
    <row r="13" spans="1:12" ht="75" customHeight="1">
      <c r="A13" s="34" t="s">
        <v>287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</row>
    <row r="15" spans="1:12">
      <c r="A15" s="33" t="s">
        <v>288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</row>
    <row r="16" spans="1:12" ht="30">
      <c r="A16" s="6" t="s">
        <v>289</v>
      </c>
      <c r="B16" s="15">
        <f>3*p_TM</f>
        <v>23862.15</v>
      </c>
      <c r="C16" s="6" t="s">
        <v>290</v>
      </c>
      <c r="D16" s="16">
        <v>0.75</v>
      </c>
    </row>
    <row r="17" spans="1:12" ht="30">
      <c r="A17" s="6" t="s">
        <v>291</v>
      </c>
      <c r="B17" s="15">
        <f>4*p_TM</f>
        <v>31816.2</v>
      </c>
      <c r="C17" s="6" t="s">
        <v>292</v>
      </c>
      <c r="D17" s="16">
        <v>0.6</v>
      </c>
    </row>
    <row r="18" spans="1:12" ht="30">
      <c r="A18" s="6" t="s">
        <v>293</v>
      </c>
      <c r="B18" s="15">
        <f>5*p_TM</f>
        <v>39770.25</v>
      </c>
      <c r="C18" s="6" t="s">
        <v>294</v>
      </c>
      <c r="D18" s="16">
        <v>0.5</v>
      </c>
    </row>
    <row r="20" spans="1:12">
      <c r="A20" s="33" t="s">
        <v>295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</row>
    <row r="21" spans="1:12" ht="30">
      <c r="A21" s="6" t="s">
        <v>296</v>
      </c>
      <c r="B21" s="25">
        <f>(1+p_rend)*(1+p_infl)*(1-p_bollo)</f>
        <v>1.0484988</v>
      </c>
    </row>
    <row r="22" spans="1:12" ht="30">
      <c r="A22" s="6" t="s">
        <v>297</v>
      </c>
      <c r="B22" s="25">
        <f>(1+p_rend)*(1-p_bollo)</f>
        <v>1.0279400000000001</v>
      </c>
    </row>
    <row r="23" spans="1:12" ht="30" customHeight="1">
      <c r="A23" s="6" t="s">
        <v>298</v>
      </c>
      <c r="B23" s="25">
        <f>-LN(58.4/64.7)/44</f>
        <v>2.3283025380153081E-3</v>
      </c>
      <c r="C23" s="34" t="s">
        <v>299</v>
      </c>
      <c r="D23" s="31"/>
      <c r="E23" s="31"/>
      <c r="F23" s="31"/>
      <c r="G23" s="31"/>
      <c r="H23" s="31"/>
    </row>
    <row r="24" spans="1:12" ht="30" customHeight="1">
      <c r="A24" s="6" t="s">
        <v>300</v>
      </c>
      <c r="B24" s="25">
        <f>-LN(5.3/6.024)/30</f>
        <v>4.268155664650543E-3</v>
      </c>
      <c r="C24" s="34" t="s">
        <v>301</v>
      </c>
      <c r="D24" s="31"/>
      <c r="E24" s="31"/>
      <c r="F24" s="31"/>
      <c r="G24" s="31"/>
      <c r="H24" s="31"/>
    </row>
    <row r="26" spans="1:12">
      <c r="A26" s="33" t="s">
        <v>302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</row>
    <row r="27" spans="1:12" ht="32.1" customHeight="1">
      <c r="A27" s="12" t="s">
        <v>246</v>
      </c>
      <c r="B27" s="12" t="s">
        <v>303</v>
      </c>
      <c r="C27" s="12" t="s">
        <v>304</v>
      </c>
      <c r="D27" s="12" t="s">
        <v>305</v>
      </c>
    </row>
    <row r="28" spans="1:12">
      <c r="A28" s="21">
        <v>2012</v>
      </c>
      <c r="B28" s="9">
        <v>792</v>
      </c>
      <c r="C28" s="18">
        <f t="shared" ref="C28:C59" si="0">B28+p_scarto</f>
        <v>840</v>
      </c>
      <c r="D28" s="26" t="s">
        <v>306</v>
      </c>
    </row>
    <row r="29" spans="1:12">
      <c r="A29" s="21">
        <v>2013</v>
      </c>
      <c r="B29" s="9">
        <v>795</v>
      </c>
      <c r="C29" s="18">
        <f t="shared" si="0"/>
        <v>843</v>
      </c>
      <c r="D29" s="26" t="s">
        <v>306</v>
      </c>
    </row>
    <row r="30" spans="1:12">
      <c r="A30" s="21">
        <v>2014</v>
      </c>
      <c r="B30" s="9">
        <v>795</v>
      </c>
      <c r="C30" s="18">
        <f t="shared" si="0"/>
        <v>843</v>
      </c>
      <c r="D30" s="26" t="s">
        <v>306</v>
      </c>
    </row>
    <row r="31" spans="1:12">
      <c r="A31" s="21">
        <v>2015</v>
      </c>
      <c r="B31" s="9">
        <v>795</v>
      </c>
      <c r="C31" s="18">
        <f t="shared" si="0"/>
        <v>843</v>
      </c>
      <c r="D31" s="26" t="s">
        <v>306</v>
      </c>
    </row>
    <row r="32" spans="1:12">
      <c r="A32" s="21">
        <v>2016</v>
      </c>
      <c r="B32" s="9">
        <v>799</v>
      </c>
      <c r="C32" s="18">
        <f t="shared" si="0"/>
        <v>847</v>
      </c>
      <c r="D32" s="26" t="s">
        <v>306</v>
      </c>
    </row>
    <row r="33" spans="1:4">
      <c r="A33" s="21">
        <v>2017</v>
      </c>
      <c r="B33" s="9">
        <v>799</v>
      </c>
      <c r="C33" s="18">
        <f t="shared" si="0"/>
        <v>847</v>
      </c>
      <c r="D33" s="26" t="s">
        <v>306</v>
      </c>
    </row>
    <row r="34" spans="1:4">
      <c r="A34" s="21">
        <v>2018</v>
      </c>
      <c r="B34" s="9">
        <v>799</v>
      </c>
      <c r="C34" s="18">
        <f t="shared" si="0"/>
        <v>847</v>
      </c>
      <c r="D34" s="26" t="s">
        <v>306</v>
      </c>
    </row>
    <row r="35" spans="1:4">
      <c r="A35" s="21">
        <v>2019</v>
      </c>
      <c r="B35" s="9">
        <v>804</v>
      </c>
      <c r="C35" s="18">
        <f t="shared" si="0"/>
        <v>852</v>
      </c>
      <c r="D35" s="26" t="s">
        <v>306</v>
      </c>
    </row>
    <row r="36" spans="1:4">
      <c r="A36" s="21">
        <v>2020</v>
      </c>
      <c r="B36" s="9">
        <v>804</v>
      </c>
      <c r="C36" s="18">
        <f t="shared" si="0"/>
        <v>852</v>
      </c>
      <c r="D36" s="26" t="s">
        <v>306</v>
      </c>
    </row>
    <row r="37" spans="1:4">
      <c r="A37" s="21">
        <v>2021</v>
      </c>
      <c r="B37" s="9">
        <v>804</v>
      </c>
      <c r="C37" s="18">
        <f t="shared" si="0"/>
        <v>852</v>
      </c>
      <c r="D37" s="26" t="s">
        <v>306</v>
      </c>
    </row>
    <row r="38" spans="1:4">
      <c r="A38" s="21">
        <v>2022</v>
      </c>
      <c r="B38" s="9">
        <v>804</v>
      </c>
      <c r="C38" s="18">
        <f t="shared" si="0"/>
        <v>852</v>
      </c>
      <c r="D38" s="26" t="s">
        <v>306</v>
      </c>
    </row>
    <row r="39" spans="1:4">
      <c r="A39" s="21">
        <v>2023</v>
      </c>
      <c r="B39" s="9">
        <v>804</v>
      </c>
      <c r="C39" s="18">
        <f t="shared" si="0"/>
        <v>852</v>
      </c>
      <c r="D39" s="26" t="s">
        <v>306</v>
      </c>
    </row>
    <row r="40" spans="1:4">
      <c r="A40" s="21">
        <v>2024</v>
      </c>
      <c r="B40" s="9">
        <v>804</v>
      </c>
      <c r="C40" s="18">
        <f t="shared" si="0"/>
        <v>852</v>
      </c>
      <c r="D40" s="26" t="s">
        <v>306</v>
      </c>
    </row>
    <row r="41" spans="1:4">
      <c r="A41" s="21">
        <v>2025</v>
      </c>
      <c r="B41" s="9">
        <v>804</v>
      </c>
      <c r="C41" s="18">
        <f t="shared" si="0"/>
        <v>852</v>
      </c>
      <c r="D41" s="26" t="s">
        <v>306</v>
      </c>
    </row>
    <row r="42" spans="1:4">
      <c r="A42" s="21">
        <v>2026</v>
      </c>
      <c r="B42" s="9">
        <v>804</v>
      </c>
      <c r="C42" s="18">
        <f t="shared" si="0"/>
        <v>852</v>
      </c>
      <c r="D42" s="26" t="s">
        <v>306</v>
      </c>
    </row>
    <row r="43" spans="1:4">
      <c r="A43" s="21">
        <v>2027</v>
      </c>
      <c r="B43" s="9">
        <v>805</v>
      </c>
      <c r="C43" s="18">
        <f t="shared" si="0"/>
        <v>853</v>
      </c>
      <c r="D43" s="26" t="s">
        <v>306</v>
      </c>
    </row>
    <row r="44" spans="1:4">
      <c r="A44" s="21">
        <v>2028</v>
      </c>
      <c r="B44" s="9">
        <v>807</v>
      </c>
      <c r="C44" s="18">
        <f t="shared" si="0"/>
        <v>855</v>
      </c>
      <c r="D44" s="26" t="s">
        <v>306</v>
      </c>
    </row>
    <row r="45" spans="1:4">
      <c r="A45" s="21">
        <v>2029</v>
      </c>
      <c r="B45" s="9">
        <v>810</v>
      </c>
      <c r="C45" s="18">
        <f t="shared" si="0"/>
        <v>858</v>
      </c>
      <c r="D45" s="26" t="s">
        <v>307</v>
      </c>
    </row>
    <row r="46" spans="1:4">
      <c r="A46" s="21">
        <v>2030</v>
      </c>
      <c r="B46" s="9">
        <v>810</v>
      </c>
      <c r="C46" s="18">
        <f t="shared" si="0"/>
        <v>858</v>
      </c>
      <c r="D46" s="26" t="s">
        <v>307</v>
      </c>
    </row>
    <row r="47" spans="1:4">
      <c r="A47" s="21">
        <v>2031</v>
      </c>
      <c r="B47" s="9">
        <v>812</v>
      </c>
      <c r="C47" s="18">
        <f t="shared" si="0"/>
        <v>860</v>
      </c>
      <c r="D47" s="26" t="s">
        <v>307</v>
      </c>
    </row>
    <row r="48" spans="1:4">
      <c r="A48" s="21">
        <v>2032</v>
      </c>
      <c r="B48" s="9">
        <v>812</v>
      </c>
      <c r="C48" s="18">
        <f t="shared" si="0"/>
        <v>860</v>
      </c>
      <c r="D48" s="26" t="s">
        <v>307</v>
      </c>
    </row>
    <row r="49" spans="1:4">
      <c r="A49" s="21">
        <v>2033</v>
      </c>
      <c r="B49" s="9">
        <v>813</v>
      </c>
      <c r="C49" s="18">
        <f t="shared" si="0"/>
        <v>861</v>
      </c>
      <c r="D49" s="26" t="s">
        <v>307</v>
      </c>
    </row>
    <row r="50" spans="1:4">
      <c r="A50" s="21">
        <v>2034</v>
      </c>
      <c r="B50" s="9">
        <v>813</v>
      </c>
      <c r="C50" s="18">
        <f t="shared" si="0"/>
        <v>861</v>
      </c>
      <c r="D50" s="26" t="s">
        <v>307</v>
      </c>
    </row>
    <row r="51" spans="1:4">
      <c r="A51" s="21">
        <v>2035</v>
      </c>
      <c r="B51" s="9">
        <v>814</v>
      </c>
      <c r="C51" s="18">
        <f t="shared" si="0"/>
        <v>862</v>
      </c>
      <c r="D51" s="26" t="s">
        <v>307</v>
      </c>
    </row>
    <row r="52" spans="1:4">
      <c r="A52" s="21">
        <v>2036</v>
      </c>
      <c r="B52" s="9">
        <v>814</v>
      </c>
      <c r="C52" s="18">
        <f t="shared" si="0"/>
        <v>862</v>
      </c>
      <c r="D52" s="26" t="s">
        <v>307</v>
      </c>
    </row>
    <row r="53" spans="1:4">
      <c r="A53" s="21">
        <v>2037</v>
      </c>
      <c r="B53" s="9">
        <v>816</v>
      </c>
      <c r="C53" s="18">
        <f t="shared" si="0"/>
        <v>864</v>
      </c>
      <c r="D53" s="26" t="s">
        <v>307</v>
      </c>
    </row>
    <row r="54" spans="1:4">
      <c r="A54" s="21">
        <v>2038</v>
      </c>
      <c r="B54" s="9">
        <v>816</v>
      </c>
      <c r="C54" s="18">
        <f t="shared" si="0"/>
        <v>864</v>
      </c>
      <c r="D54" s="26" t="s">
        <v>307</v>
      </c>
    </row>
    <row r="55" spans="1:4">
      <c r="A55" s="21">
        <v>2039</v>
      </c>
      <c r="B55" s="9">
        <v>818</v>
      </c>
      <c r="C55" s="18">
        <f t="shared" si="0"/>
        <v>866</v>
      </c>
      <c r="D55" s="26" t="s">
        <v>307</v>
      </c>
    </row>
    <row r="56" spans="1:4">
      <c r="A56" s="21">
        <v>2040</v>
      </c>
      <c r="B56" s="9">
        <v>818</v>
      </c>
      <c r="C56" s="18">
        <f t="shared" si="0"/>
        <v>866</v>
      </c>
      <c r="D56" s="26" t="s">
        <v>307</v>
      </c>
    </row>
    <row r="57" spans="1:4">
      <c r="A57" s="21">
        <v>2041</v>
      </c>
      <c r="B57" s="9">
        <v>820</v>
      </c>
      <c r="C57" s="18">
        <f t="shared" si="0"/>
        <v>868</v>
      </c>
      <c r="D57" s="26" t="s">
        <v>307</v>
      </c>
    </row>
    <row r="58" spans="1:4">
      <c r="A58" s="21">
        <v>2042</v>
      </c>
      <c r="B58" s="9">
        <v>820</v>
      </c>
      <c r="C58" s="18">
        <f t="shared" si="0"/>
        <v>868</v>
      </c>
      <c r="D58" s="26" t="s">
        <v>307</v>
      </c>
    </row>
    <row r="59" spans="1:4">
      <c r="A59" s="21">
        <v>2043</v>
      </c>
      <c r="B59" s="9">
        <v>822</v>
      </c>
      <c r="C59" s="18">
        <f t="shared" si="0"/>
        <v>870</v>
      </c>
      <c r="D59" s="26" t="s">
        <v>307</v>
      </c>
    </row>
    <row r="60" spans="1:4">
      <c r="A60" s="21">
        <v>2044</v>
      </c>
      <c r="B60" s="9">
        <v>822</v>
      </c>
      <c r="C60" s="18">
        <f t="shared" ref="C60:C91" si="1">B60+p_scarto</f>
        <v>870</v>
      </c>
      <c r="D60" s="26" t="s">
        <v>307</v>
      </c>
    </row>
    <row r="61" spans="1:4">
      <c r="A61" s="21">
        <v>2045</v>
      </c>
      <c r="B61" s="9">
        <v>824</v>
      </c>
      <c r="C61" s="18">
        <f t="shared" si="1"/>
        <v>872</v>
      </c>
      <c r="D61" s="26" t="s">
        <v>307</v>
      </c>
    </row>
    <row r="62" spans="1:4">
      <c r="A62" s="21">
        <v>2046</v>
      </c>
      <c r="B62" s="9">
        <v>824</v>
      </c>
      <c r="C62" s="18">
        <f t="shared" si="1"/>
        <v>872</v>
      </c>
      <c r="D62" s="26" t="s">
        <v>307</v>
      </c>
    </row>
    <row r="63" spans="1:4">
      <c r="A63" s="21">
        <v>2047</v>
      </c>
      <c r="B63" s="9">
        <v>826</v>
      </c>
      <c r="C63" s="18">
        <f t="shared" si="1"/>
        <v>874</v>
      </c>
      <c r="D63" s="26" t="s">
        <v>307</v>
      </c>
    </row>
    <row r="64" spans="1:4">
      <c r="A64" s="21">
        <v>2048</v>
      </c>
      <c r="B64" s="9">
        <v>826</v>
      </c>
      <c r="C64" s="18">
        <f t="shared" si="1"/>
        <v>874</v>
      </c>
      <c r="D64" s="26" t="s">
        <v>307</v>
      </c>
    </row>
    <row r="65" spans="1:4">
      <c r="A65" s="21">
        <v>2049</v>
      </c>
      <c r="B65" s="9">
        <v>828</v>
      </c>
      <c r="C65" s="18">
        <f t="shared" si="1"/>
        <v>876</v>
      </c>
      <c r="D65" s="26" t="s">
        <v>307</v>
      </c>
    </row>
    <row r="66" spans="1:4">
      <c r="A66" s="21">
        <v>2050</v>
      </c>
      <c r="B66" s="9">
        <v>828</v>
      </c>
      <c r="C66" s="18">
        <f t="shared" si="1"/>
        <v>876</v>
      </c>
      <c r="D66" s="26" t="s">
        <v>307</v>
      </c>
    </row>
    <row r="67" spans="1:4">
      <c r="A67" s="21">
        <v>2051</v>
      </c>
      <c r="B67" s="9">
        <v>830</v>
      </c>
      <c r="C67" s="18">
        <f t="shared" si="1"/>
        <v>878</v>
      </c>
      <c r="D67" s="26" t="s">
        <v>307</v>
      </c>
    </row>
    <row r="68" spans="1:4">
      <c r="A68" s="21">
        <v>2052</v>
      </c>
      <c r="B68" s="9">
        <v>830</v>
      </c>
      <c r="C68" s="18">
        <f t="shared" si="1"/>
        <v>878</v>
      </c>
      <c r="D68" s="26" t="s">
        <v>307</v>
      </c>
    </row>
    <row r="69" spans="1:4">
      <c r="A69" s="21">
        <v>2053</v>
      </c>
      <c r="B69" s="9">
        <v>831</v>
      </c>
      <c r="C69" s="18">
        <f t="shared" si="1"/>
        <v>879</v>
      </c>
      <c r="D69" s="26" t="s">
        <v>307</v>
      </c>
    </row>
    <row r="70" spans="1:4">
      <c r="A70" s="21">
        <v>2054</v>
      </c>
      <c r="B70" s="9">
        <v>831</v>
      </c>
      <c r="C70" s="18">
        <f t="shared" si="1"/>
        <v>879</v>
      </c>
      <c r="D70" s="26" t="s">
        <v>307</v>
      </c>
    </row>
    <row r="71" spans="1:4">
      <c r="A71" s="21">
        <v>2055</v>
      </c>
      <c r="B71" s="9">
        <v>833</v>
      </c>
      <c r="C71" s="18">
        <f t="shared" si="1"/>
        <v>881</v>
      </c>
      <c r="D71" s="26" t="s">
        <v>307</v>
      </c>
    </row>
    <row r="72" spans="1:4">
      <c r="A72" s="21">
        <v>2056</v>
      </c>
      <c r="B72" s="9">
        <v>833</v>
      </c>
      <c r="C72" s="18">
        <f t="shared" si="1"/>
        <v>881</v>
      </c>
      <c r="D72" s="26" t="s">
        <v>307</v>
      </c>
    </row>
    <row r="73" spans="1:4">
      <c r="A73" s="21">
        <v>2057</v>
      </c>
      <c r="B73" s="9">
        <v>835</v>
      </c>
      <c r="C73" s="18">
        <f t="shared" si="1"/>
        <v>883</v>
      </c>
      <c r="D73" s="26" t="s">
        <v>307</v>
      </c>
    </row>
    <row r="74" spans="1:4">
      <c r="A74" s="21">
        <v>2058</v>
      </c>
      <c r="B74" s="9">
        <v>835</v>
      </c>
      <c r="C74" s="18">
        <f t="shared" si="1"/>
        <v>883</v>
      </c>
      <c r="D74" s="26" t="s">
        <v>307</v>
      </c>
    </row>
    <row r="75" spans="1:4">
      <c r="A75" s="21">
        <v>2059</v>
      </c>
      <c r="B75" s="9">
        <v>837</v>
      </c>
      <c r="C75" s="18">
        <f t="shared" si="1"/>
        <v>885</v>
      </c>
      <c r="D75" s="26" t="s">
        <v>307</v>
      </c>
    </row>
    <row r="76" spans="1:4">
      <c r="A76" s="21">
        <v>2060</v>
      </c>
      <c r="B76" s="9">
        <v>837</v>
      </c>
      <c r="C76" s="18">
        <f t="shared" si="1"/>
        <v>885</v>
      </c>
      <c r="D76" s="26" t="s">
        <v>307</v>
      </c>
    </row>
    <row r="77" spans="1:4">
      <c r="A77" s="21">
        <v>2061</v>
      </c>
      <c r="B77" s="9">
        <v>838</v>
      </c>
      <c r="C77" s="18">
        <f t="shared" si="1"/>
        <v>886</v>
      </c>
      <c r="D77" s="26" t="s">
        <v>307</v>
      </c>
    </row>
    <row r="78" spans="1:4">
      <c r="A78" s="21">
        <v>2062</v>
      </c>
      <c r="B78" s="9">
        <v>838</v>
      </c>
      <c r="C78" s="18">
        <f t="shared" si="1"/>
        <v>886</v>
      </c>
      <c r="D78" s="26" t="s">
        <v>307</v>
      </c>
    </row>
    <row r="79" spans="1:4">
      <c r="A79" s="21">
        <v>2063</v>
      </c>
      <c r="B79" s="9">
        <v>839</v>
      </c>
      <c r="C79" s="18">
        <f t="shared" si="1"/>
        <v>887</v>
      </c>
      <c r="D79" s="26" t="s">
        <v>307</v>
      </c>
    </row>
    <row r="80" spans="1:4">
      <c r="A80" s="21">
        <v>2064</v>
      </c>
      <c r="B80" s="9">
        <v>839</v>
      </c>
      <c r="C80" s="18">
        <f t="shared" si="1"/>
        <v>887</v>
      </c>
      <c r="D80" s="26" t="s">
        <v>307</v>
      </c>
    </row>
    <row r="81" spans="1:4">
      <c r="A81" s="21">
        <v>2065</v>
      </c>
      <c r="B81" s="9">
        <v>840</v>
      </c>
      <c r="C81" s="18">
        <f t="shared" si="1"/>
        <v>888</v>
      </c>
      <c r="D81" s="26" t="s">
        <v>307</v>
      </c>
    </row>
    <row r="82" spans="1:4">
      <c r="A82" s="21">
        <v>2066</v>
      </c>
      <c r="B82" s="9">
        <v>840</v>
      </c>
      <c r="C82" s="18">
        <f t="shared" si="1"/>
        <v>888</v>
      </c>
      <c r="D82" s="26" t="s">
        <v>307</v>
      </c>
    </row>
    <row r="83" spans="1:4">
      <c r="A83" s="21">
        <v>2067</v>
      </c>
      <c r="B83" s="9">
        <v>841</v>
      </c>
      <c r="C83" s="18">
        <f t="shared" si="1"/>
        <v>889</v>
      </c>
      <c r="D83" s="26" t="s">
        <v>307</v>
      </c>
    </row>
    <row r="84" spans="1:4">
      <c r="A84" s="21">
        <v>2068</v>
      </c>
      <c r="B84" s="9">
        <v>841</v>
      </c>
      <c r="C84" s="18">
        <f t="shared" si="1"/>
        <v>889</v>
      </c>
      <c r="D84" s="26" t="s">
        <v>307</v>
      </c>
    </row>
    <row r="85" spans="1:4">
      <c r="A85" s="21">
        <v>2069</v>
      </c>
      <c r="B85" s="9">
        <v>843</v>
      </c>
      <c r="C85" s="18">
        <f t="shared" si="1"/>
        <v>891</v>
      </c>
      <c r="D85" s="26" t="s">
        <v>307</v>
      </c>
    </row>
    <row r="86" spans="1:4">
      <c r="A86" s="21">
        <v>2070</v>
      </c>
      <c r="B86" s="9">
        <v>843</v>
      </c>
      <c r="C86" s="18">
        <f t="shared" si="1"/>
        <v>891</v>
      </c>
      <c r="D86" s="26" t="s">
        <v>307</v>
      </c>
    </row>
    <row r="87" spans="1:4">
      <c r="A87" s="21">
        <v>2071</v>
      </c>
      <c r="B87" s="9">
        <v>844</v>
      </c>
      <c r="C87" s="18">
        <f t="shared" si="1"/>
        <v>892</v>
      </c>
      <c r="D87" s="26" t="s">
        <v>307</v>
      </c>
    </row>
    <row r="88" spans="1:4">
      <c r="A88" s="21">
        <v>2072</v>
      </c>
      <c r="B88" s="9">
        <v>844</v>
      </c>
      <c r="C88" s="18">
        <f t="shared" si="1"/>
        <v>892</v>
      </c>
      <c r="D88" s="26" t="s">
        <v>307</v>
      </c>
    </row>
    <row r="89" spans="1:4">
      <c r="A89" s="21">
        <v>2073</v>
      </c>
      <c r="B89" s="9">
        <v>845</v>
      </c>
      <c r="C89" s="18">
        <f t="shared" si="1"/>
        <v>893</v>
      </c>
      <c r="D89" s="26" t="s">
        <v>307</v>
      </c>
    </row>
    <row r="90" spans="1:4">
      <c r="A90" s="21">
        <v>2074</v>
      </c>
      <c r="B90" s="9">
        <v>845</v>
      </c>
      <c r="C90" s="18">
        <f t="shared" si="1"/>
        <v>893</v>
      </c>
      <c r="D90" s="26" t="s">
        <v>307</v>
      </c>
    </row>
    <row r="91" spans="1:4">
      <c r="A91" s="21">
        <v>2075</v>
      </c>
      <c r="B91" s="9">
        <v>846</v>
      </c>
      <c r="C91" s="18">
        <f t="shared" si="1"/>
        <v>894</v>
      </c>
      <c r="D91" s="26" t="s">
        <v>307</v>
      </c>
    </row>
    <row r="92" spans="1:4">
      <c r="A92" s="21">
        <v>2076</v>
      </c>
      <c r="B92" s="9">
        <v>846</v>
      </c>
      <c r="C92" s="18">
        <f t="shared" ref="C92:C123" si="2">B92+p_scarto</f>
        <v>894</v>
      </c>
      <c r="D92" s="26" t="s">
        <v>307</v>
      </c>
    </row>
    <row r="93" spans="1:4">
      <c r="A93" s="21">
        <v>2077</v>
      </c>
      <c r="B93" s="9">
        <v>847</v>
      </c>
      <c r="C93" s="18">
        <f t="shared" si="2"/>
        <v>895</v>
      </c>
      <c r="D93" s="26" t="s">
        <v>307</v>
      </c>
    </row>
    <row r="94" spans="1:4">
      <c r="A94" s="21">
        <v>2078</v>
      </c>
      <c r="B94" s="9">
        <v>847</v>
      </c>
      <c r="C94" s="18">
        <f t="shared" si="2"/>
        <v>895</v>
      </c>
      <c r="D94" s="26" t="s">
        <v>307</v>
      </c>
    </row>
    <row r="95" spans="1:4">
      <c r="A95" s="21">
        <v>2079</v>
      </c>
      <c r="B95" s="9">
        <v>847</v>
      </c>
      <c r="C95" s="18">
        <f t="shared" si="2"/>
        <v>895</v>
      </c>
      <c r="D95" s="26" t="s">
        <v>307</v>
      </c>
    </row>
    <row r="96" spans="1:4">
      <c r="A96" s="21">
        <v>2080</v>
      </c>
      <c r="B96" s="9">
        <v>847</v>
      </c>
      <c r="C96" s="18">
        <f t="shared" si="2"/>
        <v>895</v>
      </c>
      <c r="D96" s="26" t="s">
        <v>307</v>
      </c>
    </row>
    <row r="97" spans="1:12">
      <c r="A97" s="21">
        <v>2081</v>
      </c>
      <c r="B97" s="9">
        <v>848</v>
      </c>
      <c r="C97" s="18">
        <f t="shared" si="2"/>
        <v>896</v>
      </c>
      <c r="D97" s="26" t="s">
        <v>307</v>
      </c>
    </row>
    <row r="98" spans="1:12">
      <c r="A98" s="21">
        <v>2082</v>
      </c>
      <c r="B98" s="9">
        <v>848</v>
      </c>
      <c r="C98" s="18">
        <f t="shared" si="2"/>
        <v>896</v>
      </c>
      <c r="D98" s="26" t="s">
        <v>307</v>
      </c>
    </row>
    <row r="99" spans="1:12">
      <c r="A99" s="21">
        <v>2083</v>
      </c>
      <c r="B99" s="9">
        <v>849</v>
      </c>
      <c r="C99" s="18">
        <f t="shared" si="2"/>
        <v>897</v>
      </c>
      <c r="D99" s="26" t="s">
        <v>307</v>
      </c>
    </row>
    <row r="100" spans="1:12">
      <c r="A100" s="21">
        <v>2084</v>
      </c>
      <c r="B100" s="9">
        <v>849</v>
      </c>
      <c r="C100" s="18">
        <f t="shared" si="2"/>
        <v>897</v>
      </c>
      <c r="D100" s="26" t="s">
        <v>307</v>
      </c>
    </row>
    <row r="101" spans="1:12">
      <c r="A101" s="6" t="s">
        <v>308</v>
      </c>
      <c r="B101" s="18">
        <f>MAX(REQ_anno)</f>
        <v>2084</v>
      </c>
    </row>
    <row r="102" spans="1:12">
      <c r="A102" s="6" t="s">
        <v>309</v>
      </c>
      <c r="B102" s="18">
        <f>MIN(REQ_anno)</f>
        <v>2012</v>
      </c>
    </row>
    <row r="104" spans="1:12">
      <c r="A104" s="33" t="s">
        <v>310</v>
      </c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</row>
    <row r="105" spans="1:12">
      <c r="A105" s="12" t="s">
        <v>311</v>
      </c>
      <c r="B105" s="12" t="s">
        <v>169</v>
      </c>
    </row>
    <row r="106" spans="1:12">
      <c r="A106" s="27">
        <v>57</v>
      </c>
      <c r="B106" s="28">
        <v>4.2039999999999987E-2</v>
      </c>
    </row>
    <row r="107" spans="1:12">
      <c r="A107" s="27">
        <v>58</v>
      </c>
      <c r="B107" s="28">
        <v>4.308E-2</v>
      </c>
    </row>
    <row r="108" spans="1:12">
      <c r="A108" s="27">
        <v>59</v>
      </c>
      <c r="B108" s="28">
        <v>4.4189999999999993E-2</v>
      </c>
    </row>
    <row r="109" spans="1:12">
      <c r="A109" s="27">
        <v>60</v>
      </c>
      <c r="B109" s="28">
        <v>4.5359999999999998E-2</v>
      </c>
    </row>
    <row r="110" spans="1:12">
      <c r="A110" s="27">
        <v>61</v>
      </c>
      <c r="B110" s="28">
        <v>4.6609999999999999E-2</v>
      </c>
    </row>
    <row r="111" spans="1:12">
      <c r="A111" s="27">
        <v>62</v>
      </c>
      <c r="B111" s="28">
        <v>4.795E-2</v>
      </c>
    </row>
    <row r="112" spans="1:12">
      <c r="A112" s="27">
        <v>63</v>
      </c>
      <c r="B112" s="28">
        <v>4.9360000000000001E-2</v>
      </c>
    </row>
    <row r="113" spans="1:12">
      <c r="A113" s="27">
        <v>64</v>
      </c>
      <c r="B113" s="28">
        <v>5.0880000000000002E-2</v>
      </c>
    </row>
    <row r="114" spans="1:12">
      <c r="A114" s="27">
        <v>65</v>
      </c>
      <c r="B114" s="28">
        <v>5.2499999999999998E-2</v>
      </c>
    </row>
    <row r="115" spans="1:12">
      <c r="A115" s="27">
        <v>66</v>
      </c>
      <c r="B115" s="28">
        <v>5.423E-2</v>
      </c>
    </row>
    <row r="116" spans="1:12">
      <c r="A116" s="27">
        <v>67</v>
      </c>
      <c r="B116" s="28">
        <v>5.6079999999999998E-2</v>
      </c>
    </row>
    <row r="117" spans="1:12">
      <c r="A117" s="27">
        <v>68</v>
      </c>
      <c r="B117" s="28">
        <v>5.808E-2</v>
      </c>
    </row>
    <row r="118" spans="1:12">
      <c r="A118" s="27">
        <v>69</v>
      </c>
      <c r="B118" s="28">
        <v>6.0240000000000002E-2</v>
      </c>
    </row>
    <row r="119" spans="1:12">
      <c r="A119" s="27">
        <v>70</v>
      </c>
      <c r="B119" s="28">
        <v>6.2579999999999997E-2</v>
      </c>
    </row>
    <row r="120" spans="1:12">
      <c r="A120" s="27">
        <v>71</v>
      </c>
      <c r="B120" s="28">
        <v>6.5099999999999991E-2</v>
      </c>
    </row>
    <row r="121" spans="1:12" ht="30" customHeight="1">
      <c r="A121" s="34" t="s">
        <v>312</v>
      </c>
      <c r="B121" s="31"/>
      <c r="C121" s="31"/>
      <c r="D121" s="31"/>
      <c r="E121" s="31"/>
      <c r="F121" s="31"/>
    </row>
    <row r="123" spans="1:12">
      <c r="A123" s="33" t="s">
        <v>313</v>
      </c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</row>
    <row r="124" spans="1:12">
      <c r="A124" s="12" t="s">
        <v>311</v>
      </c>
      <c r="B124" s="12" t="s">
        <v>314</v>
      </c>
      <c r="C124" s="12" t="s">
        <v>315</v>
      </c>
    </row>
    <row r="125" spans="1:12">
      <c r="A125" s="27">
        <v>57</v>
      </c>
      <c r="B125" s="29">
        <v>4.3040000000000003</v>
      </c>
      <c r="C125" s="29">
        <v>4.2039999999999997</v>
      </c>
    </row>
    <row r="126" spans="1:12">
      <c r="A126" s="27">
        <v>60</v>
      </c>
      <c r="B126" s="29">
        <v>4.6609999999999996</v>
      </c>
      <c r="C126" s="29">
        <v>4.5359999999999996</v>
      </c>
    </row>
    <row r="127" spans="1:12">
      <c r="A127" s="27">
        <v>62</v>
      </c>
      <c r="B127" s="29">
        <v>4.9400000000000004</v>
      </c>
      <c r="C127" s="29">
        <v>4.7949999999999999</v>
      </c>
    </row>
    <row r="128" spans="1:12">
      <c r="A128" s="27">
        <v>64</v>
      </c>
      <c r="B128" s="29">
        <v>5.2590000000000003</v>
      </c>
      <c r="C128" s="29">
        <v>5.0880000000000001</v>
      </c>
    </row>
    <row r="129" spans="1:12">
      <c r="A129" s="27">
        <v>65</v>
      </c>
      <c r="B129" s="29">
        <v>5.4349999999999996</v>
      </c>
      <c r="C129" s="29">
        <v>5.25</v>
      </c>
    </row>
    <row r="130" spans="1:12">
      <c r="A130" s="27">
        <v>66</v>
      </c>
      <c r="B130" s="29">
        <v>5.6239999999999997</v>
      </c>
      <c r="C130" s="29">
        <v>5.423</v>
      </c>
    </row>
    <row r="131" spans="1:12">
      <c r="A131" s="27">
        <v>67</v>
      </c>
      <c r="B131" s="29">
        <v>5.8259999999999996</v>
      </c>
      <c r="C131" s="29">
        <v>5.6079999999999997</v>
      </c>
    </row>
    <row r="132" spans="1:12">
      <c r="A132" s="27">
        <v>68</v>
      </c>
      <c r="B132" s="29">
        <v>6.0460000000000003</v>
      </c>
      <c r="C132" s="29">
        <v>5.8079999999999998</v>
      </c>
    </row>
    <row r="133" spans="1:12">
      <c r="A133" s="27">
        <v>69</v>
      </c>
      <c r="B133" s="29">
        <v>6.2830000000000004</v>
      </c>
      <c r="C133" s="29">
        <v>6.024</v>
      </c>
    </row>
    <row r="134" spans="1:12">
      <c r="A134" s="27">
        <v>70</v>
      </c>
      <c r="B134" s="29">
        <v>6.5410000000000004</v>
      </c>
      <c r="C134" s="29">
        <v>6.258</v>
      </c>
    </row>
    <row r="136" spans="1:12">
      <c r="A136" s="33" t="s">
        <v>316</v>
      </c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</row>
    <row r="137" spans="1:12" ht="32.1" customHeight="1">
      <c r="A137" s="12" t="s">
        <v>317</v>
      </c>
      <c r="B137" s="12" t="s">
        <v>318</v>
      </c>
      <c r="C137" s="12" t="s">
        <v>319</v>
      </c>
      <c r="D137" s="12" t="s">
        <v>320</v>
      </c>
      <c r="E137" s="12" t="s">
        <v>321</v>
      </c>
    </row>
    <row r="138" spans="1:12">
      <c r="A138" s="21">
        <v>684</v>
      </c>
      <c r="B138" s="23">
        <f t="shared" ref="B138:B169" si="3">A138/12</f>
        <v>57</v>
      </c>
      <c r="C138" s="23">
        <f t="shared" ref="C138:C169" si="4">IF(B138&gt;=70,INDEX(Nodi_2025,10),INDEX(Nodi_2025,MATCH(B138,N_eta,1))+(B138-INDEX(N_eta,MATCH(B138,N_eta,1)))*(INDEX(Nodi_2025,MATCH(B138,N_eta,1)+1)-INDEX(Nodi_2025,MATCH(B138,N_eta,1)))/(INDEX(N_eta,MATCH(B138,N_eta,1)+1)-INDEX(N_eta,MATCH(B138,N_eta,1))))</f>
        <v>4.2039999999999997</v>
      </c>
      <c r="D138" s="23">
        <f t="shared" ref="D138:D169" si="5">IF(B138&gt;=70,INDEX(Nodi_2013,10),INDEX(Nodi_2013,MATCH(B138,N_eta,1))+(B138-INDEX(N_eta,MATCH(B138,N_eta,1)))*(INDEX(Nodi_2013,MATCH(B138,N_eta,1)+1)-INDEX(Nodi_2013,MATCH(B138,N_eta,1)))/(INDEX(N_eta,MATCH(B138,N_eta,1)+1)-INDEX(N_eta,MATCH(B138,N_eta,1))))</f>
        <v>4.3040000000000003</v>
      </c>
      <c r="E138" s="25">
        <f t="shared" ref="E138:E169" si="6">LN(C138/D138)</f>
        <v>-2.3508369844778762E-2</v>
      </c>
    </row>
    <row r="139" spans="1:12">
      <c r="A139" s="21">
        <v>685</v>
      </c>
      <c r="B139" s="23">
        <f t="shared" si="3"/>
        <v>57.083333333333336</v>
      </c>
      <c r="C139" s="23">
        <f t="shared" si="4"/>
        <v>4.213222222222222</v>
      </c>
      <c r="D139" s="23">
        <f t="shared" si="5"/>
        <v>4.3139166666666675</v>
      </c>
      <c r="E139" s="25">
        <f t="shared" si="6"/>
        <v>-2.3618502432976855E-2</v>
      </c>
    </row>
    <row r="140" spans="1:12">
      <c r="A140" s="21">
        <v>686</v>
      </c>
      <c r="B140" s="23">
        <f t="shared" si="3"/>
        <v>57.166666666666664</v>
      </c>
      <c r="C140" s="23">
        <f t="shared" si="4"/>
        <v>4.2224444444444442</v>
      </c>
      <c r="D140" s="23">
        <f t="shared" si="5"/>
        <v>4.323833333333333</v>
      </c>
      <c r="E140" s="25">
        <f t="shared" si="6"/>
        <v>-2.3728141892472014E-2</v>
      </c>
    </row>
    <row r="141" spans="1:12">
      <c r="A141" s="21">
        <v>687</v>
      </c>
      <c r="B141" s="23">
        <f t="shared" si="3"/>
        <v>57.25</v>
      </c>
      <c r="C141" s="23">
        <f t="shared" si="4"/>
        <v>4.2316666666666665</v>
      </c>
      <c r="D141" s="23">
        <f t="shared" si="5"/>
        <v>4.3337500000000002</v>
      </c>
      <c r="E141" s="25">
        <f t="shared" si="6"/>
        <v>-2.3837291528564113E-2</v>
      </c>
    </row>
    <row r="142" spans="1:12">
      <c r="A142" s="21">
        <v>688</v>
      </c>
      <c r="B142" s="23">
        <f t="shared" si="3"/>
        <v>57.333333333333336</v>
      </c>
      <c r="C142" s="23">
        <f t="shared" si="4"/>
        <v>4.2408888888888887</v>
      </c>
      <c r="D142" s="23">
        <f t="shared" si="5"/>
        <v>4.3436666666666675</v>
      </c>
      <c r="E142" s="25">
        <f t="shared" si="6"/>
        <v>-2.3945954617072926E-2</v>
      </c>
    </row>
    <row r="143" spans="1:12">
      <c r="A143" s="21">
        <v>689</v>
      </c>
      <c r="B143" s="23">
        <f t="shared" si="3"/>
        <v>57.416666666666664</v>
      </c>
      <c r="C143" s="23">
        <f t="shared" si="4"/>
        <v>4.250111111111111</v>
      </c>
      <c r="D143" s="23">
        <f t="shared" si="5"/>
        <v>4.3535833333333329</v>
      </c>
      <c r="E143" s="25">
        <f t="shared" si="6"/>
        <v>-2.4054134404666676E-2</v>
      </c>
    </row>
    <row r="144" spans="1:12">
      <c r="A144" s="21">
        <v>690</v>
      </c>
      <c r="B144" s="23">
        <f t="shared" si="3"/>
        <v>57.5</v>
      </c>
      <c r="C144" s="23">
        <f t="shared" si="4"/>
        <v>4.2593333333333332</v>
      </c>
      <c r="D144" s="23">
        <f t="shared" si="5"/>
        <v>4.3635000000000002</v>
      </c>
      <c r="E144" s="25">
        <f t="shared" si="6"/>
        <v>-2.4161834109187246E-2</v>
      </c>
    </row>
    <row r="145" spans="1:5">
      <c r="A145" s="21">
        <v>691</v>
      </c>
      <c r="B145" s="23">
        <f t="shared" si="3"/>
        <v>57.583333333333336</v>
      </c>
      <c r="C145" s="23">
        <f t="shared" si="4"/>
        <v>4.2685555555555554</v>
      </c>
      <c r="D145" s="23">
        <f t="shared" si="5"/>
        <v>4.3734166666666674</v>
      </c>
      <c r="E145" s="25">
        <f t="shared" si="6"/>
        <v>-2.4269056919966867E-2</v>
      </c>
    </row>
    <row r="146" spans="1:5">
      <c r="A146" s="21">
        <v>692</v>
      </c>
      <c r="B146" s="23">
        <f t="shared" si="3"/>
        <v>57.666666666666664</v>
      </c>
      <c r="C146" s="23">
        <f t="shared" si="4"/>
        <v>4.2777777777777768</v>
      </c>
      <c r="D146" s="23">
        <f t="shared" si="5"/>
        <v>4.3833333333333329</v>
      </c>
      <c r="E146" s="25">
        <f t="shared" si="6"/>
        <v>-2.4375805998144845E-2</v>
      </c>
    </row>
    <row r="147" spans="1:5">
      <c r="A147" s="21">
        <v>693</v>
      </c>
      <c r="B147" s="23">
        <f t="shared" si="3"/>
        <v>57.75</v>
      </c>
      <c r="C147" s="23">
        <f t="shared" si="4"/>
        <v>4.2869999999999999</v>
      </c>
      <c r="D147" s="23">
        <f t="shared" si="5"/>
        <v>4.3932500000000001</v>
      </c>
      <c r="E147" s="25">
        <f t="shared" si="6"/>
        <v>-2.4482084476978461E-2</v>
      </c>
    </row>
    <row r="148" spans="1:5">
      <c r="A148" s="21">
        <v>694</v>
      </c>
      <c r="B148" s="23">
        <f t="shared" si="3"/>
        <v>57.833333333333336</v>
      </c>
      <c r="C148" s="23">
        <f t="shared" si="4"/>
        <v>4.2962222222222222</v>
      </c>
      <c r="D148" s="23">
        <f t="shared" si="5"/>
        <v>4.4031666666666673</v>
      </c>
      <c r="E148" s="25">
        <f t="shared" si="6"/>
        <v>-2.4587895462149501E-2</v>
      </c>
    </row>
    <row r="149" spans="1:5">
      <c r="A149" s="21">
        <v>695</v>
      </c>
      <c r="B149" s="23">
        <f t="shared" si="3"/>
        <v>57.916666666666664</v>
      </c>
      <c r="C149" s="23">
        <f t="shared" si="4"/>
        <v>4.3054444444444435</v>
      </c>
      <c r="D149" s="23">
        <f t="shared" si="5"/>
        <v>4.4130833333333328</v>
      </c>
      <c r="E149" s="25">
        <f t="shared" si="6"/>
        <v>-2.4693242032066239E-2</v>
      </c>
    </row>
    <row r="150" spans="1:5">
      <c r="A150" s="21">
        <v>696</v>
      </c>
      <c r="B150" s="23">
        <f t="shared" si="3"/>
        <v>58</v>
      </c>
      <c r="C150" s="23">
        <f t="shared" si="4"/>
        <v>4.3146666666666667</v>
      </c>
      <c r="D150" s="23">
        <f t="shared" si="5"/>
        <v>4.423</v>
      </c>
      <c r="E150" s="25">
        <f t="shared" si="6"/>
        <v>-2.4798127238163586E-2</v>
      </c>
    </row>
    <row r="151" spans="1:5">
      <c r="A151" s="21">
        <v>697</v>
      </c>
      <c r="B151" s="23">
        <f t="shared" si="3"/>
        <v>58.083333333333336</v>
      </c>
      <c r="C151" s="23">
        <f t="shared" si="4"/>
        <v>4.3238888888888889</v>
      </c>
      <c r="D151" s="23">
        <f t="shared" si="5"/>
        <v>4.4329166666666673</v>
      </c>
      <c r="E151" s="25">
        <f t="shared" si="6"/>
        <v>-2.490255410519707E-2</v>
      </c>
    </row>
    <row r="152" spans="1:5">
      <c r="A152" s="21">
        <v>698</v>
      </c>
      <c r="B152" s="23">
        <f t="shared" si="3"/>
        <v>58.166666666666664</v>
      </c>
      <c r="C152" s="23">
        <f t="shared" si="4"/>
        <v>4.3331111111111102</v>
      </c>
      <c r="D152" s="23">
        <f t="shared" si="5"/>
        <v>4.4428333333333327</v>
      </c>
      <c r="E152" s="25">
        <f t="shared" si="6"/>
        <v>-2.5006525631533803E-2</v>
      </c>
    </row>
    <row r="153" spans="1:5">
      <c r="A153" s="21">
        <v>699</v>
      </c>
      <c r="B153" s="23">
        <f t="shared" si="3"/>
        <v>58.25</v>
      </c>
      <c r="C153" s="23">
        <f t="shared" si="4"/>
        <v>4.3423333333333334</v>
      </c>
      <c r="D153" s="23">
        <f t="shared" si="5"/>
        <v>4.45275</v>
      </c>
      <c r="E153" s="25">
        <f t="shared" si="6"/>
        <v>-2.5110044789440122E-2</v>
      </c>
    </row>
    <row r="154" spans="1:5">
      <c r="A154" s="21">
        <v>700</v>
      </c>
      <c r="B154" s="23">
        <f t="shared" si="3"/>
        <v>58.333333333333336</v>
      </c>
      <c r="C154" s="23">
        <f t="shared" si="4"/>
        <v>4.3515555555555556</v>
      </c>
      <c r="D154" s="23">
        <f t="shared" si="5"/>
        <v>4.4626666666666672</v>
      </c>
      <c r="E154" s="25">
        <f t="shared" si="6"/>
        <v>-2.5213114525365087E-2</v>
      </c>
    </row>
    <row r="155" spans="1:5">
      <c r="A155" s="21">
        <v>701</v>
      </c>
      <c r="B155" s="23">
        <f t="shared" si="3"/>
        <v>58.416666666666664</v>
      </c>
      <c r="C155" s="23">
        <f t="shared" si="4"/>
        <v>4.360777777777777</v>
      </c>
      <c r="D155" s="23">
        <f t="shared" si="5"/>
        <v>4.4725833333333327</v>
      </c>
      <c r="E155" s="25">
        <f t="shared" si="6"/>
        <v>-2.5315737760219222E-2</v>
      </c>
    </row>
    <row r="156" spans="1:5">
      <c r="A156" s="21">
        <v>702</v>
      </c>
      <c r="B156" s="23">
        <f t="shared" si="3"/>
        <v>58.5</v>
      </c>
      <c r="C156" s="23">
        <f t="shared" si="4"/>
        <v>4.3699999999999992</v>
      </c>
      <c r="D156" s="23">
        <f t="shared" si="5"/>
        <v>4.4824999999999999</v>
      </c>
      <c r="E156" s="25">
        <f t="shared" si="6"/>
        <v>-2.5417917389652302E-2</v>
      </c>
    </row>
    <row r="157" spans="1:5">
      <c r="A157" s="21">
        <v>703</v>
      </c>
      <c r="B157" s="23">
        <f t="shared" si="3"/>
        <v>58.583333333333336</v>
      </c>
      <c r="C157" s="23">
        <f t="shared" si="4"/>
        <v>4.3792222222222223</v>
      </c>
      <c r="D157" s="23">
        <f t="shared" si="5"/>
        <v>4.4924166666666672</v>
      </c>
      <c r="E157" s="25">
        <f t="shared" si="6"/>
        <v>-2.5519656284324118E-2</v>
      </c>
    </row>
    <row r="158" spans="1:5">
      <c r="A158" s="21">
        <v>704</v>
      </c>
      <c r="B158" s="23">
        <f t="shared" si="3"/>
        <v>58.666666666666664</v>
      </c>
      <c r="C158" s="23">
        <f t="shared" si="4"/>
        <v>4.3884444444444437</v>
      </c>
      <c r="D158" s="23">
        <f t="shared" si="5"/>
        <v>4.5023333333333326</v>
      </c>
      <c r="E158" s="25">
        <f t="shared" si="6"/>
        <v>-2.562095729017503E-2</v>
      </c>
    </row>
    <row r="159" spans="1:5">
      <c r="A159" s="21">
        <v>705</v>
      </c>
      <c r="B159" s="23">
        <f t="shared" si="3"/>
        <v>58.75</v>
      </c>
      <c r="C159" s="23">
        <f t="shared" si="4"/>
        <v>4.3976666666666659</v>
      </c>
      <c r="D159" s="23">
        <f t="shared" si="5"/>
        <v>4.5122499999999999</v>
      </c>
      <c r="E159" s="25">
        <f t="shared" si="6"/>
        <v>-2.5721823228690974E-2</v>
      </c>
    </row>
    <row r="160" spans="1:5">
      <c r="A160" s="21">
        <v>706</v>
      </c>
      <c r="B160" s="23">
        <f t="shared" si="3"/>
        <v>58.833333333333336</v>
      </c>
      <c r="C160" s="23">
        <f t="shared" si="4"/>
        <v>4.4068888888888891</v>
      </c>
      <c r="D160" s="23">
        <f t="shared" si="5"/>
        <v>4.5221666666666671</v>
      </c>
      <c r="E160" s="25">
        <f t="shared" si="6"/>
        <v>-2.5822256897164841E-2</v>
      </c>
    </row>
    <row r="161" spans="1:5">
      <c r="A161" s="21">
        <v>707</v>
      </c>
      <c r="B161" s="23">
        <f t="shared" si="3"/>
        <v>58.916666666666664</v>
      </c>
      <c r="C161" s="23">
        <f t="shared" si="4"/>
        <v>4.4161111111111104</v>
      </c>
      <c r="D161" s="23">
        <f t="shared" si="5"/>
        <v>4.5320833333333326</v>
      </c>
      <c r="E161" s="25">
        <f t="shared" si="6"/>
        <v>-2.5922261068956721E-2</v>
      </c>
    </row>
    <row r="162" spans="1:5">
      <c r="A162" s="21">
        <v>708</v>
      </c>
      <c r="B162" s="23">
        <f t="shared" si="3"/>
        <v>59</v>
      </c>
      <c r="C162" s="23">
        <f t="shared" si="4"/>
        <v>4.4253333333333327</v>
      </c>
      <c r="D162" s="23">
        <f t="shared" si="5"/>
        <v>4.5419999999999998</v>
      </c>
      <c r="E162" s="25">
        <f t="shared" si="6"/>
        <v>-2.6021838493748336E-2</v>
      </c>
    </row>
    <row r="163" spans="1:5">
      <c r="A163" s="21">
        <v>709</v>
      </c>
      <c r="B163" s="23">
        <f t="shared" si="3"/>
        <v>59.083333333333336</v>
      </c>
      <c r="C163" s="23">
        <f t="shared" si="4"/>
        <v>4.4345555555555558</v>
      </c>
      <c r="D163" s="23">
        <f t="shared" si="5"/>
        <v>4.5519166666666671</v>
      </c>
      <c r="E163" s="25">
        <f t="shared" si="6"/>
        <v>-2.6120991897795206E-2</v>
      </c>
    </row>
    <row r="164" spans="1:5">
      <c r="A164" s="21">
        <v>710</v>
      </c>
      <c r="B164" s="23">
        <f t="shared" si="3"/>
        <v>59.166666666666664</v>
      </c>
      <c r="C164" s="23">
        <f t="shared" si="4"/>
        <v>4.4437777777777772</v>
      </c>
      <c r="D164" s="23">
        <f t="shared" si="5"/>
        <v>4.5618333333333325</v>
      </c>
      <c r="E164" s="25">
        <f t="shared" si="6"/>
        <v>-2.6219723984176491E-2</v>
      </c>
    </row>
    <row r="165" spans="1:5">
      <c r="A165" s="21">
        <v>711</v>
      </c>
      <c r="B165" s="23">
        <f t="shared" si="3"/>
        <v>59.25</v>
      </c>
      <c r="C165" s="23">
        <f t="shared" si="4"/>
        <v>4.4529999999999994</v>
      </c>
      <c r="D165" s="23">
        <f t="shared" si="5"/>
        <v>4.5717499999999998</v>
      </c>
      <c r="E165" s="25">
        <f t="shared" si="6"/>
        <v>-2.6318037433040075E-2</v>
      </c>
    </row>
    <row r="166" spans="1:5">
      <c r="A166" s="21">
        <v>712</v>
      </c>
      <c r="B166" s="23">
        <f t="shared" si="3"/>
        <v>59.333333333333336</v>
      </c>
      <c r="C166" s="23">
        <f t="shared" si="4"/>
        <v>4.4622222222222216</v>
      </c>
      <c r="D166" s="23">
        <f t="shared" si="5"/>
        <v>4.581666666666667</v>
      </c>
      <c r="E166" s="25">
        <f t="shared" si="6"/>
        <v>-2.641593490184518E-2</v>
      </c>
    </row>
    <row r="167" spans="1:5">
      <c r="A167" s="21">
        <v>713</v>
      </c>
      <c r="B167" s="23">
        <f t="shared" si="3"/>
        <v>59.416666666666664</v>
      </c>
      <c r="C167" s="23">
        <f t="shared" si="4"/>
        <v>4.4714444444444439</v>
      </c>
      <c r="D167" s="23">
        <f t="shared" si="5"/>
        <v>4.5915833333333325</v>
      </c>
      <c r="E167" s="25">
        <f t="shared" si="6"/>
        <v>-2.6513419025602156E-2</v>
      </c>
    </row>
    <row r="168" spans="1:5">
      <c r="A168" s="21">
        <v>714</v>
      </c>
      <c r="B168" s="23">
        <f t="shared" si="3"/>
        <v>59.5</v>
      </c>
      <c r="C168" s="23">
        <f t="shared" si="4"/>
        <v>4.4806666666666661</v>
      </c>
      <c r="D168" s="23">
        <f t="shared" si="5"/>
        <v>4.6014999999999997</v>
      </c>
      <c r="E168" s="25">
        <f t="shared" si="6"/>
        <v>-2.661049241711011E-2</v>
      </c>
    </row>
    <row r="169" spans="1:5">
      <c r="A169" s="21">
        <v>715</v>
      </c>
      <c r="B169" s="23">
        <f t="shared" si="3"/>
        <v>59.583333333333336</v>
      </c>
      <c r="C169" s="23">
        <f t="shared" si="4"/>
        <v>4.4898888888888884</v>
      </c>
      <c r="D169" s="23">
        <f t="shared" si="5"/>
        <v>4.6114166666666669</v>
      </c>
      <c r="E169" s="25">
        <f t="shared" si="6"/>
        <v>-2.6707157667188654E-2</v>
      </c>
    </row>
    <row r="170" spans="1:5">
      <c r="A170" s="21">
        <v>716</v>
      </c>
      <c r="B170" s="23">
        <f t="shared" ref="B170:B201" si="7">A170/12</f>
        <v>59.666666666666664</v>
      </c>
      <c r="C170" s="23">
        <f t="shared" ref="C170:C201" si="8">IF(B170&gt;=70,INDEX(Nodi_2025,10),INDEX(Nodi_2025,MATCH(B170,N_eta,1))+(B170-INDEX(N_eta,MATCH(B170,N_eta,1)))*(INDEX(Nodi_2025,MATCH(B170,N_eta,1)+1)-INDEX(Nodi_2025,MATCH(B170,N_eta,1)))/(INDEX(N_eta,MATCH(B170,N_eta,1)+1)-INDEX(N_eta,MATCH(B170,N_eta,1))))</f>
        <v>4.4991111111111106</v>
      </c>
      <c r="D170" s="23">
        <f t="shared" ref="D170:D201" si="9">IF(B170&gt;=70,INDEX(Nodi_2013,10),INDEX(Nodi_2013,MATCH(B170,N_eta,1))+(B170-INDEX(N_eta,MATCH(B170,N_eta,1)))*(INDEX(Nodi_2013,MATCH(B170,N_eta,1)+1)-INDEX(Nodi_2013,MATCH(B170,N_eta,1)))/(INDEX(N_eta,MATCH(B170,N_eta,1)+1)-INDEX(N_eta,MATCH(B170,N_eta,1))))</f>
        <v>4.6213333333333324</v>
      </c>
      <c r="E170" s="25">
        <f t="shared" ref="E170:E201" si="10">LN(C170/D170)</f>
        <v>-2.6803417344909278E-2</v>
      </c>
    </row>
    <row r="171" spans="1:5">
      <c r="A171" s="21">
        <v>717</v>
      </c>
      <c r="B171" s="23">
        <f t="shared" si="7"/>
        <v>59.75</v>
      </c>
      <c r="C171" s="23">
        <f t="shared" si="8"/>
        <v>4.5083333333333329</v>
      </c>
      <c r="D171" s="23">
        <f t="shared" si="9"/>
        <v>4.6312499999999996</v>
      </c>
      <c r="E171" s="25">
        <f t="shared" si="10"/>
        <v>-2.6899273997824467E-2</v>
      </c>
    </row>
    <row r="172" spans="1:5">
      <c r="A172" s="21">
        <v>718</v>
      </c>
      <c r="B172" s="23">
        <f t="shared" si="7"/>
        <v>59.833333333333336</v>
      </c>
      <c r="C172" s="23">
        <f t="shared" si="8"/>
        <v>4.5175555555555551</v>
      </c>
      <c r="D172" s="23">
        <f t="shared" si="9"/>
        <v>4.6411666666666669</v>
      </c>
      <c r="E172" s="25">
        <f t="shared" si="10"/>
        <v>-2.6994730152190321E-2</v>
      </c>
    </row>
    <row r="173" spans="1:5">
      <c r="A173" s="21">
        <v>719</v>
      </c>
      <c r="B173" s="23">
        <f t="shared" si="7"/>
        <v>59.916666666666664</v>
      </c>
      <c r="C173" s="23">
        <f t="shared" si="8"/>
        <v>4.5267777777777773</v>
      </c>
      <c r="D173" s="23">
        <f t="shared" si="9"/>
        <v>4.6510833333333323</v>
      </c>
      <c r="E173" s="25">
        <f t="shared" si="10"/>
        <v>-2.7089788313189818E-2</v>
      </c>
    </row>
    <row r="174" spans="1:5">
      <c r="A174" s="21">
        <v>720</v>
      </c>
      <c r="B174" s="23">
        <f t="shared" si="7"/>
        <v>60</v>
      </c>
      <c r="C174" s="23">
        <f t="shared" si="8"/>
        <v>4.5359999999999996</v>
      </c>
      <c r="D174" s="23">
        <f t="shared" si="9"/>
        <v>4.6609999999999996</v>
      </c>
      <c r="E174" s="25">
        <f t="shared" si="10"/>
        <v>-2.7184450965152908E-2</v>
      </c>
    </row>
    <row r="175" spans="1:5">
      <c r="A175" s="21">
        <v>721</v>
      </c>
      <c r="B175" s="23">
        <f t="shared" si="7"/>
        <v>60.083333333333336</v>
      </c>
      <c r="C175" s="23">
        <f t="shared" si="8"/>
        <v>4.5467916666666666</v>
      </c>
      <c r="D175" s="23">
        <f t="shared" si="9"/>
        <v>4.672625</v>
      </c>
      <c r="E175" s="25">
        <f t="shared" si="10"/>
        <v>-2.7299156225776937E-2</v>
      </c>
    </row>
    <row r="176" spans="1:5">
      <c r="A176" s="21">
        <v>722</v>
      </c>
      <c r="B176" s="23">
        <f t="shared" si="7"/>
        <v>60.166666666666664</v>
      </c>
      <c r="C176" s="23">
        <f t="shared" si="8"/>
        <v>4.5575833333333327</v>
      </c>
      <c r="D176" s="23">
        <f t="shared" si="9"/>
        <v>4.6842499999999996</v>
      </c>
      <c r="E176" s="25">
        <f t="shared" si="10"/>
        <v>-2.7413305214564639E-2</v>
      </c>
    </row>
    <row r="177" spans="1:5">
      <c r="A177" s="21">
        <v>723</v>
      </c>
      <c r="B177" s="23">
        <f t="shared" si="7"/>
        <v>60.25</v>
      </c>
      <c r="C177" s="23">
        <f t="shared" si="8"/>
        <v>4.5683749999999996</v>
      </c>
      <c r="D177" s="23">
        <f t="shared" si="9"/>
        <v>4.695875</v>
      </c>
      <c r="E177" s="25">
        <f t="shared" si="10"/>
        <v>-2.7526901968989721E-2</v>
      </c>
    </row>
    <row r="178" spans="1:5">
      <c r="A178" s="21">
        <v>724</v>
      </c>
      <c r="B178" s="23">
        <f t="shared" si="7"/>
        <v>60.333333333333336</v>
      </c>
      <c r="C178" s="23">
        <f t="shared" si="8"/>
        <v>4.5791666666666666</v>
      </c>
      <c r="D178" s="23">
        <f t="shared" si="9"/>
        <v>4.7075000000000005</v>
      </c>
      <c r="E178" s="25">
        <f t="shared" si="10"/>
        <v>-2.7639950487540494E-2</v>
      </c>
    </row>
    <row r="179" spans="1:5">
      <c r="A179" s="21">
        <v>725</v>
      </c>
      <c r="B179" s="23">
        <f t="shared" si="7"/>
        <v>60.416666666666664</v>
      </c>
      <c r="C179" s="23">
        <f t="shared" si="8"/>
        <v>4.5899583333333327</v>
      </c>
      <c r="D179" s="23">
        <f t="shared" si="9"/>
        <v>4.7191249999999991</v>
      </c>
      <c r="E179" s="25">
        <f t="shared" si="10"/>
        <v>-2.7752454730189235E-2</v>
      </c>
    </row>
    <row r="180" spans="1:5">
      <c r="A180" s="21">
        <v>726</v>
      </c>
      <c r="B180" s="23">
        <f t="shared" si="7"/>
        <v>60.5</v>
      </c>
      <c r="C180" s="23">
        <f t="shared" si="8"/>
        <v>4.6007499999999997</v>
      </c>
      <c r="D180" s="23">
        <f t="shared" si="9"/>
        <v>4.7307499999999996</v>
      </c>
      <c r="E180" s="25">
        <f t="shared" si="10"/>
        <v>-2.7864418618855885E-2</v>
      </c>
    </row>
    <row r="181" spans="1:5">
      <c r="A181" s="21">
        <v>727</v>
      </c>
      <c r="B181" s="23">
        <f t="shared" si="7"/>
        <v>60.583333333333336</v>
      </c>
      <c r="C181" s="23">
        <f t="shared" si="8"/>
        <v>4.6115416666666667</v>
      </c>
      <c r="D181" s="23">
        <f t="shared" si="9"/>
        <v>4.742375</v>
      </c>
      <c r="E181" s="25">
        <f t="shared" si="10"/>
        <v>-2.7975846037862719E-2</v>
      </c>
    </row>
    <row r="182" spans="1:5">
      <c r="A182" s="21">
        <v>728</v>
      </c>
      <c r="B182" s="23">
        <f t="shared" si="7"/>
        <v>60.666666666666664</v>
      </c>
      <c r="C182" s="23">
        <f t="shared" si="8"/>
        <v>4.6223333333333327</v>
      </c>
      <c r="D182" s="23">
        <f t="shared" si="9"/>
        <v>4.7539999999999996</v>
      </c>
      <c r="E182" s="25">
        <f t="shared" si="10"/>
        <v>-2.8086740834384779E-2</v>
      </c>
    </row>
    <row r="183" spans="1:5">
      <c r="A183" s="21">
        <v>729</v>
      </c>
      <c r="B183" s="23">
        <f t="shared" si="7"/>
        <v>60.75</v>
      </c>
      <c r="C183" s="23">
        <f t="shared" si="8"/>
        <v>4.6331249999999997</v>
      </c>
      <c r="D183" s="23">
        <f t="shared" si="9"/>
        <v>4.765625</v>
      </c>
      <c r="E183" s="25">
        <f t="shared" si="10"/>
        <v>-2.8197106818892634E-2</v>
      </c>
    </row>
    <row r="184" spans="1:5">
      <c r="A184" s="21">
        <v>730</v>
      </c>
      <c r="B184" s="23">
        <f t="shared" si="7"/>
        <v>60.833333333333336</v>
      </c>
      <c r="C184" s="23">
        <f t="shared" si="8"/>
        <v>4.6439166666666667</v>
      </c>
      <c r="D184" s="23">
        <f t="shared" si="9"/>
        <v>4.7772500000000004</v>
      </c>
      <c r="E184" s="25">
        <f t="shared" si="10"/>
        <v>-2.8306947765589622E-2</v>
      </c>
    </row>
    <row r="185" spans="1:5">
      <c r="A185" s="21">
        <v>731</v>
      </c>
      <c r="B185" s="23">
        <f t="shared" si="7"/>
        <v>60.916666666666664</v>
      </c>
      <c r="C185" s="23">
        <f t="shared" si="8"/>
        <v>4.6547083333333328</v>
      </c>
      <c r="D185" s="23">
        <f t="shared" si="9"/>
        <v>4.788875</v>
      </c>
      <c r="E185" s="25">
        <f t="shared" si="10"/>
        <v>-2.8416267412841603E-2</v>
      </c>
    </row>
    <row r="186" spans="1:5">
      <c r="A186" s="21">
        <v>732</v>
      </c>
      <c r="B186" s="23">
        <f t="shared" si="7"/>
        <v>61</v>
      </c>
      <c r="C186" s="23">
        <f t="shared" si="8"/>
        <v>4.6654999999999998</v>
      </c>
      <c r="D186" s="23">
        <f t="shared" si="9"/>
        <v>4.8004999999999995</v>
      </c>
      <c r="E186" s="25">
        <f t="shared" si="10"/>
        <v>-2.8525069463601744E-2</v>
      </c>
    </row>
    <row r="187" spans="1:5">
      <c r="A187" s="21">
        <v>733</v>
      </c>
      <c r="B187" s="23">
        <f t="shared" si="7"/>
        <v>61.083333333333336</v>
      </c>
      <c r="C187" s="23">
        <f t="shared" si="8"/>
        <v>4.6762916666666667</v>
      </c>
      <c r="D187" s="23">
        <f t="shared" si="9"/>
        <v>4.812125</v>
      </c>
      <c r="E187" s="25">
        <f t="shared" si="10"/>
        <v>-2.8633357585829709E-2</v>
      </c>
    </row>
    <row r="188" spans="1:5">
      <c r="A188" s="21">
        <v>734</v>
      </c>
      <c r="B188" s="23">
        <f t="shared" si="7"/>
        <v>61.166666666666664</v>
      </c>
      <c r="C188" s="23">
        <f t="shared" si="8"/>
        <v>4.6870833333333328</v>
      </c>
      <c r="D188" s="23">
        <f t="shared" si="9"/>
        <v>4.8237499999999995</v>
      </c>
      <c r="E188" s="25">
        <f t="shared" si="10"/>
        <v>-2.8741135412902553E-2</v>
      </c>
    </row>
    <row r="189" spans="1:5">
      <c r="A189" s="21">
        <v>735</v>
      </c>
      <c r="B189" s="23">
        <f t="shared" si="7"/>
        <v>61.25</v>
      </c>
      <c r="C189" s="23">
        <f t="shared" si="8"/>
        <v>4.6978749999999998</v>
      </c>
      <c r="D189" s="23">
        <f t="shared" si="9"/>
        <v>4.835375</v>
      </c>
      <c r="E189" s="25">
        <f t="shared" si="10"/>
        <v>-2.8848406544022643E-2</v>
      </c>
    </row>
    <row r="190" spans="1:5">
      <c r="A190" s="21">
        <v>736</v>
      </c>
      <c r="B190" s="23">
        <f t="shared" si="7"/>
        <v>61.333333333333336</v>
      </c>
      <c r="C190" s="23">
        <f t="shared" si="8"/>
        <v>4.7086666666666668</v>
      </c>
      <c r="D190" s="23">
        <f t="shared" si="9"/>
        <v>4.8470000000000004</v>
      </c>
      <c r="E190" s="25">
        <f t="shared" si="10"/>
        <v>-2.8955174544618129E-2</v>
      </c>
    </row>
    <row r="191" spans="1:5">
      <c r="A191" s="21">
        <v>737</v>
      </c>
      <c r="B191" s="23">
        <f t="shared" si="7"/>
        <v>61.416666666666664</v>
      </c>
      <c r="C191" s="23">
        <f t="shared" si="8"/>
        <v>4.7194583333333329</v>
      </c>
      <c r="D191" s="23">
        <f t="shared" si="9"/>
        <v>4.858625</v>
      </c>
      <c r="E191" s="25">
        <f t="shared" si="10"/>
        <v>-2.9061442946738375E-2</v>
      </c>
    </row>
    <row r="192" spans="1:5">
      <c r="A192" s="21">
        <v>738</v>
      </c>
      <c r="B192" s="23">
        <f t="shared" si="7"/>
        <v>61.5</v>
      </c>
      <c r="C192" s="23">
        <f t="shared" si="8"/>
        <v>4.7302499999999998</v>
      </c>
      <c r="D192" s="23">
        <f t="shared" si="9"/>
        <v>4.8702500000000004</v>
      </c>
      <c r="E192" s="25">
        <f t="shared" si="10"/>
        <v>-2.9167215249443292E-2</v>
      </c>
    </row>
    <row r="193" spans="1:5">
      <c r="A193" s="21">
        <v>739</v>
      </c>
      <c r="B193" s="23">
        <f t="shared" si="7"/>
        <v>61.583333333333336</v>
      </c>
      <c r="C193" s="23">
        <f t="shared" si="8"/>
        <v>4.7410416666666668</v>
      </c>
      <c r="D193" s="23">
        <f t="shared" si="9"/>
        <v>4.8818750000000009</v>
      </c>
      <c r="E193" s="25">
        <f t="shared" si="10"/>
        <v>-2.9272494919188517E-2</v>
      </c>
    </row>
    <row r="194" spans="1:5">
      <c r="A194" s="21">
        <v>740</v>
      </c>
      <c r="B194" s="23">
        <f t="shared" si="7"/>
        <v>61.666666666666664</v>
      </c>
      <c r="C194" s="23">
        <f t="shared" si="8"/>
        <v>4.7518333333333329</v>
      </c>
      <c r="D194" s="23">
        <f t="shared" si="9"/>
        <v>4.8934999999999995</v>
      </c>
      <c r="E194" s="25">
        <f t="shared" si="10"/>
        <v>-2.937728539020331E-2</v>
      </c>
    </row>
    <row r="195" spans="1:5">
      <c r="A195" s="21">
        <v>741</v>
      </c>
      <c r="B195" s="23">
        <f t="shared" si="7"/>
        <v>61.75</v>
      </c>
      <c r="C195" s="23">
        <f t="shared" si="8"/>
        <v>4.7626249999999999</v>
      </c>
      <c r="D195" s="23">
        <f t="shared" si="9"/>
        <v>4.905125</v>
      </c>
      <c r="E195" s="25">
        <f t="shared" si="10"/>
        <v>-2.9481590064865549E-2</v>
      </c>
    </row>
    <row r="196" spans="1:5">
      <c r="A196" s="21">
        <v>742</v>
      </c>
      <c r="B196" s="23">
        <f t="shared" si="7"/>
        <v>61.833333333333336</v>
      </c>
      <c r="C196" s="23">
        <f t="shared" si="8"/>
        <v>4.7734166666666669</v>
      </c>
      <c r="D196" s="23">
        <f t="shared" si="9"/>
        <v>4.9167500000000004</v>
      </c>
      <c r="E196" s="25">
        <f t="shared" si="10"/>
        <v>-2.9585412314068617E-2</v>
      </c>
    </row>
    <row r="197" spans="1:5">
      <c r="A197" s="21">
        <v>743</v>
      </c>
      <c r="B197" s="23">
        <f t="shared" si="7"/>
        <v>61.916666666666664</v>
      </c>
      <c r="C197" s="23">
        <f t="shared" si="8"/>
        <v>4.784208333333333</v>
      </c>
      <c r="D197" s="23">
        <f t="shared" si="9"/>
        <v>4.928375</v>
      </c>
      <c r="E197" s="25">
        <f t="shared" si="10"/>
        <v>-2.9688755477586145E-2</v>
      </c>
    </row>
    <row r="198" spans="1:5">
      <c r="A198" s="21">
        <v>744</v>
      </c>
      <c r="B198" s="23">
        <f t="shared" si="7"/>
        <v>62</v>
      </c>
      <c r="C198" s="23">
        <f t="shared" si="8"/>
        <v>4.7949999999999999</v>
      </c>
      <c r="D198" s="23">
        <f t="shared" si="9"/>
        <v>4.9400000000000004</v>
      </c>
      <c r="E198" s="25">
        <f t="shared" si="10"/>
        <v>-2.9791622864429681E-2</v>
      </c>
    </row>
    <row r="199" spans="1:5">
      <c r="A199" s="21">
        <v>745</v>
      </c>
      <c r="B199" s="23">
        <f t="shared" si="7"/>
        <v>62.083333333333336</v>
      </c>
      <c r="C199" s="23">
        <f t="shared" si="8"/>
        <v>4.8072083333333335</v>
      </c>
      <c r="D199" s="23">
        <f t="shared" si="9"/>
        <v>4.9532916666666678</v>
      </c>
      <c r="E199" s="25">
        <f t="shared" si="10"/>
        <v>-2.993581119532425E-2</v>
      </c>
    </row>
    <row r="200" spans="1:5">
      <c r="A200" s="21">
        <v>746</v>
      </c>
      <c r="B200" s="23">
        <f t="shared" si="7"/>
        <v>62.166666666666664</v>
      </c>
      <c r="C200" s="23">
        <f t="shared" si="8"/>
        <v>4.8194166666666662</v>
      </c>
      <c r="D200" s="23">
        <f t="shared" si="9"/>
        <v>4.9665833333333333</v>
      </c>
      <c r="E200" s="25">
        <f t="shared" si="10"/>
        <v>-3.0079248393620008E-2</v>
      </c>
    </row>
    <row r="201" spans="1:5">
      <c r="A201" s="21">
        <v>747</v>
      </c>
      <c r="B201" s="23">
        <f t="shared" si="7"/>
        <v>62.25</v>
      </c>
      <c r="C201" s="23">
        <f t="shared" si="8"/>
        <v>4.8316249999999998</v>
      </c>
      <c r="D201" s="23">
        <f t="shared" si="9"/>
        <v>4.9798750000000007</v>
      </c>
      <c r="E201" s="25">
        <f t="shared" si="10"/>
        <v>-3.022194031494202E-2</v>
      </c>
    </row>
    <row r="202" spans="1:5">
      <c r="A202" s="21">
        <v>748</v>
      </c>
      <c r="B202" s="23">
        <f t="shared" ref="B202:B233" si="11">A202/12</f>
        <v>62.333333333333336</v>
      </c>
      <c r="C202" s="23">
        <f t="shared" ref="C202:C233" si="12">IF(B202&gt;=70,INDEX(Nodi_2025,10),INDEX(Nodi_2025,MATCH(B202,N_eta,1))+(B202-INDEX(N_eta,MATCH(B202,N_eta,1)))*(INDEX(Nodi_2025,MATCH(B202,N_eta,1)+1)-INDEX(Nodi_2025,MATCH(B202,N_eta,1)))/(INDEX(N_eta,MATCH(B202,N_eta,1)+1)-INDEX(N_eta,MATCH(B202,N_eta,1))))</f>
        <v>4.8438333333333334</v>
      </c>
      <c r="D202" s="23">
        <f t="shared" ref="D202:D233" si="13">IF(B202&gt;=70,INDEX(Nodi_2013,10),INDEX(Nodi_2013,MATCH(B202,N_eta,1))+(B202-INDEX(N_eta,MATCH(B202,N_eta,1)))*(INDEX(Nodi_2013,MATCH(B202,N_eta,1)+1)-INDEX(Nodi_2013,MATCH(B202,N_eta,1)))/(INDEX(N_eta,MATCH(B202,N_eta,1)+1)-INDEX(N_eta,MATCH(B202,N_eta,1))))</f>
        <v>4.9931666666666672</v>
      </c>
      <c r="E202" s="25">
        <f t="shared" ref="E202:E233" si="14">LN(C202/D202)</f>
        <v>-3.0363892754192198E-2</v>
      </c>
    </row>
    <row r="203" spans="1:5">
      <c r="A203" s="21">
        <v>749</v>
      </c>
      <c r="B203" s="23">
        <f t="shared" si="11"/>
        <v>62.416666666666664</v>
      </c>
      <c r="C203" s="23">
        <f t="shared" si="12"/>
        <v>4.8560416666666661</v>
      </c>
      <c r="D203" s="23">
        <f t="shared" si="13"/>
        <v>5.0064583333333337</v>
      </c>
      <c r="E203" s="25">
        <f t="shared" si="14"/>
        <v>-3.0505111446335931E-2</v>
      </c>
    </row>
    <row r="204" spans="1:5">
      <c r="A204" s="21">
        <v>750</v>
      </c>
      <c r="B204" s="23">
        <f t="shared" si="11"/>
        <v>62.5</v>
      </c>
      <c r="C204" s="23">
        <f t="shared" si="12"/>
        <v>4.8682499999999997</v>
      </c>
      <c r="D204" s="23">
        <f t="shared" si="13"/>
        <v>5.0197500000000002</v>
      </c>
      <c r="E204" s="25">
        <f t="shared" si="14"/>
        <v>-3.0645602067173743E-2</v>
      </c>
    </row>
    <row r="205" spans="1:5">
      <c r="A205" s="21">
        <v>751</v>
      </c>
      <c r="B205" s="23">
        <f t="shared" si="11"/>
        <v>62.583333333333336</v>
      </c>
      <c r="C205" s="23">
        <f t="shared" si="12"/>
        <v>4.8804583333333333</v>
      </c>
      <c r="D205" s="23">
        <f t="shared" si="13"/>
        <v>5.0330416666666675</v>
      </c>
      <c r="E205" s="25">
        <f t="shared" si="14"/>
        <v>-3.0785370234103888E-2</v>
      </c>
    </row>
    <row r="206" spans="1:5">
      <c r="A206" s="21">
        <v>752</v>
      </c>
      <c r="B206" s="23">
        <f t="shared" si="11"/>
        <v>62.666666666666664</v>
      </c>
      <c r="C206" s="23">
        <f t="shared" si="12"/>
        <v>4.8926666666666661</v>
      </c>
      <c r="D206" s="23">
        <f t="shared" si="13"/>
        <v>5.0463333333333331</v>
      </c>
      <c r="E206" s="25">
        <f t="shared" si="14"/>
        <v>-3.0924421506870799E-2</v>
      </c>
    </row>
    <row r="207" spans="1:5">
      <c r="A207" s="21">
        <v>753</v>
      </c>
      <c r="B207" s="23">
        <f t="shared" si="11"/>
        <v>62.75</v>
      </c>
      <c r="C207" s="23">
        <f t="shared" si="12"/>
        <v>4.9048749999999997</v>
      </c>
      <c r="D207" s="23">
        <f t="shared" si="13"/>
        <v>5.0596250000000005</v>
      </c>
      <c r="E207" s="25">
        <f t="shared" si="14"/>
        <v>-3.1062761388303477E-2</v>
      </c>
    </row>
    <row r="208" spans="1:5">
      <c r="A208" s="21">
        <v>754</v>
      </c>
      <c r="B208" s="23">
        <f t="shared" si="11"/>
        <v>62.833333333333336</v>
      </c>
      <c r="C208" s="23">
        <f t="shared" si="12"/>
        <v>4.9170833333333333</v>
      </c>
      <c r="D208" s="23">
        <f t="shared" si="13"/>
        <v>5.0729166666666679</v>
      </c>
      <c r="E208" s="25">
        <f t="shared" si="14"/>
        <v>-3.1200395325042068E-2</v>
      </c>
    </row>
    <row r="209" spans="1:5">
      <c r="A209" s="21">
        <v>755</v>
      </c>
      <c r="B209" s="23">
        <f t="shared" si="11"/>
        <v>62.916666666666664</v>
      </c>
      <c r="C209" s="23">
        <f t="shared" si="12"/>
        <v>4.929291666666666</v>
      </c>
      <c r="D209" s="23">
        <f t="shared" si="13"/>
        <v>5.0862083333333334</v>
      </c>
      <c r="E209" s="25">
        <f t="shared" si="14"/>
        <v>-3.1337328708252947E-2</v>
      </c>
    </row>
    <row r="210" spans="1:5">
      <c r="A210" s="21">
        <v>756</v>
      </c>
      <c r="B210" s="23">
        <f t="shared" si="11"/>
        <v>63</v>
      </c>
      <c r="C210" s="23">
        <f t="shared" si="12"/>
        <v>4.9414999999999996</v>
      </c>
      <c r="D210" s="23">
        <f t="shared" si="13"/>
        <v>5.0995000000000008</v>
      </c>
      <c r="E210" s="25">
        <f t="shared" si="14"/>
        <v>-3.1473566874334453E-2</v>
      </c>
    </row>
    <row r="211" spans="1:5">
      <c r="A211" s="21">
        <v>757</v>
      </c>
      <c r="B211" s="23">
        <f t="shared" si="11"/>
        <v>63.083333333333336</v>
      </c>
      <c r="C211" s="23">
        <f t="shared" si="12"/>
        <v>4.953708333333334</v>
      </c>
      <c r="D211" s="23">
        <f t="shared" si="13"/>
        <v>5.1127916666666673</v>
      </c>
      <c r="E211" s="25">
        <f t="shared" si="14"/>
        <v>-3.1609115105609084E-2</v>
      </c>
    </row>
    <row r="212" spans="1:5">
      <c r="A212" s="21">
        <v>758</v>
      </c>
      <c r="B212" s="23">
        <f t="shared" si="11"/>
        <v>63.166666666666664</v>
      </c>
      <c r="C212" s="23">
        <f t="shared" si="12"/>
        <v>4.9659166666666668</v>
      </c>
      <c r="D212" s="23">
        <f t="shared" si="13"/>
        <v>5.1260833333333338</v>
      </c>
      <c r="E212" s="25">
        <f t="shared" si="14"/>
        <v>-3.1743978631008932E-2</v>
      </c>
    </row>
    <row r="213" spans="1:5">
      <c r="A213" s="21">
        <v>759</v>
      </c>
      <c r="B213" s="23">
        <f t="shared" si="11"/>
        <v>63.25</v>
      </c>
      <c r="C213" s="23">
        <f t="shared" si="12"/>
        <v>4.9781250000000004</v>
      </c>
      <c r="D213" s="23">
        <f t="shared" si="13"/>
        <v>5.1393750000000002</v>
      </c>
      <c r="E213" s="25">
        <f t="shared" si="14"/>
        <v>-3.1878162626746614E-2</v>
      </c>
    </row>
    <row r="214" spans="1:5">
      <c r="A214" s="21">
        <v>760</v>
      </c>
      <c r="B214" s="23">
        <f t="shared" si="11"/>
        <v>63.333333333333336</v>
      </c>
      <c r="C214" s="23">
        <f t="shared" si="12"/>
        <v>4.990333333333334</v>
      </c>
      <c r="D214" s="23">
        <f t="shared" si="13"/>
        <v>5.1526666666666676</v>
      </c>
      <c r="E214" s="25">
        <f t="shared" si="14"/>
        <v>-3.2011672216979696E-2</v>
      </c>
    </row>
    <row r="215" spans="1:5">
      <c r="A215" s="21">
        <v>761</v>
      </c>
      <c r="B215" s="23">
        <f t="shared" si="11"/>
        <v>63.416666666666664</v>
      </c>
      <c r="C215" s="23">
        <f t="shared" si="12"/>
        <v>5.0025416666666667</v>
      </c>
      <c r="D215" s="23">
        <f t="shared" si="13"/>
        <v>5.1659583333333332</v>
      </c>
      <c r="E215" s="25">
        <f t="shared" si="14"/>
        <v>-3.2144512474462858E-2</v>
      </c>
    </row>
    <row r="216" spans="1:5">
      <c r="A216" s="21">
        <v>762</v>
      </c>
      <c r="B216" s="23">
        <f t="shared" si="11"/>
        <v>63.5</v>
      </c>
      <c r="C216" s="23">
        <f t="shared" si="12"/>
        <v>5.0147500000000003</v>
      </c>
      <c r="D216" s="23">
        <f t="shared" si="13"/>
        <v>5.1792500000000006</v>
      </c>
      <c r="E216" s="25">
        <f t="shared" si="14"/>
        <v>-3.2276688421191309E-2</v>
      </c>
    </row>
    <row r="217" spans="1:5">
      <c r="A217" s="21">
        <v>763</v>
      </c>
      <c r="B217" s="23">
        <f t="shared" si="11"/>
        <v>63.583333333333336</v>
      </c>
      <c r="C217" s="23">
        <f t="shared" si="12"/>
        <v>5.0269583333333339</v>
      </c>
      <c r="D217" s="23">
        <f t="shared" si="13"/>
        <v>5.1925416666666671</v>
      </c>
      <c r="E217" s="25">
        <f t="shared" si="14"/>
        <v>-3.2408205029033639E-2</v>
      </c>
    </row>
    <row r="218" spans="1:5">
      <c r="A218" s="21">
        <v>764</v>
      </c>
      <c r="B218" s="23">
        <f t="shared" si="11"/>
        <v>63.666666666666664</v>
      </c>
      <c r="C218" s="23">
        <f t="shared" si="12"/>
        <v>5.0391666666666666</v>
      </c>
      <c r="D218" s="23">
        <f t="shared" si="13"/>
        <v>5.2058333333333335</v>
      </c>
      <c r="E218" s="25">
        <f t="shared" si="14"/>
        <v>-3.2539067220357064E-2</v>
      </c>
    </row>
    <row r="219" spans="1:5">
      <c r="A219" s="21">
        <v>765</v>
      </c>
      <c r="B219" s="23">
        <f t="shared" si="11"/>
        <v>63.75</v>
      </c>
      <c r="C219" s="23">
        <f t="shared" si="12"/>
        <v>5.0513750000000002</v>
      </c>
      <c r="D219" s="23">
        <f t="shared" si="13"/>
        <v>5.219125</v>
      </c>
      <c r="E219" s="25">
        <f t="shared" si="14"/>
        <v>-3.2669279868640391E-2</v>
      </c>
    </row>
    <row r="220" spans="1:5">
      <c r="A220" s="21">
        <v>766</v>
      </c>
      <c r="B220" s="23">
        <f t="shared" si="11"/>
        <v>63.833333333333336</v>
      </c>
      <c r="C220" s="23">
        <f t="shared" si="12"/>
        <v>5.0635833333333338</v>
      </c>
      <c r="D220" s="23">
        <f t="shared" si="13"/>
        <v>5.2324166666666674</v>
      </c>
      <c r="E220" s="25">
        <f t="shared" si="14"/>
        <v>-3.2798847799081467E-2</v>
      </c>
    </row>
    <row r="221" spans="1:5">
      <c r="A221" s="21">
        <v>767</v>
      </c>
      <c r="B221" s="23">
        <f t="shared" si="11"/>
        <v>63.916666666666664</v>
      </c>
      <c r="C221" s="23">
        <f t="shared" si="12"/>
        <v>5.0757916666666665</v>
      </c>
      <c r="D221" s="23">
        <f t="shared" si="13"/>
        <v>5.245708333333333</v>
      </c>
      <c r="E221" s="25">
        <f t="shared" si="14"/>
        <v>-3.2927775789191822E-2</v>
      </c>
    </row>
    <row r="222" spans="1:5">
      <c r="A222" s="21">
        <v>768</v>
      </c>
      <c r="B222" s="23">
        <f t="shared" si="11"/>
        <v>64</v>
      </c>
      <c r="C222" s="23">
        <f t="shared" si="12"/>
        <v>5.0880000000000001</v>
      </c>
      <c r="D222" s="23">
        <f t="shared" si="13"/>
        <v>5.2590000000000003</v>
      </c>
      <c r="E222" s="25">
        <f t="shared" si="14"/>
        <v>-3.3056068569386178E-2</v>
      </c>
    </row>
    <row r="223" spans="1:5">
      <c r="A223" s="21">
        <v>769</v>
      </c>
      <c r="B223" s="23">
        <f t="shared" si="11"/>
        <v>64.083333333333329</v>
      </c>
      <c r="C223" s="23">
        <f t="shared" si="12"/>
        <v>5.1014999999999997</v>
      </c>
      <c r="D223" s="23">
        <f t="shared" si="13"/>
        <v>5.2736666666666663</v>
      </c>
      <c r="E223" s="25">
        <f t="shared" si="14"/>
        <v>-3.3191268665594423E-2</v>
      </c>
    </row>
    <row r="224" spans="1:5">
      <c r="A224" s="21">
        <v>770</v>
      </c>
      <c r="B224" s="23">
        <f t="shared" si="11"/>
        <v>64.166666666666671</v>
      </c>
      <c r="C224" s="23">
        <f t="shared" si="12"/>
        <v>5.1150000000000011</v>
      </c>
      <c r="D224" s="23">
        <f t="shared" si="13"/>
        <v>5.288333333333334</v>
      </c>
      <c r="E224" s="25">
        <f t="shared" si="14"/>
        <v>-3.33257369634593E-2</v>
      </c>
    </row>
    <row r="225" spans="1:5">
      <c r="A225" s="21">
        <v>771</v>
      </c>
      <c r="B225" s="23">
        <f t="shared" si="11"/>
        <v>64.25</v>
      </c>
      <c r="C225" s="23">
        <f t="shared" si="12"/>
        <v>5.1284999999999998</v>
      </c>
      <c r="D225" s="23">
        <f t="shared" si="13"/>
        <v>5.3029999999999999</v>
      </c>
      <c r="E225" s="25">
        <f t="shared" si="14"/>
        <v>-3.3459479389664287E-2</v>
      </c>
    </row>
    <row r="226" spans="1:5">
      <c r="A226" s="21">
        <v>772</v>
      </c>
      <c r="B226" s="23">
        <f t="shared" si="11"/>
        <v>64.333333333333329</v>
      </c>
      <c r="C226" s="23">
        <f t="shared" si="12"/>
        <v>5.1419999999999995</v>
      </c>
      <c r="D226" s="23">
        <f t="shared" si="13"/>
        <v>5.3176666666666659</v>
      </c>
      <c r="E226" s="25">
        <f t="shared" si="14"/>
        <v>-3.3592501807053039E-2</v>
      </c>
    </row>
    <row r="227" spans="1:5">
      <c r="A227" s="21">
        <v>773</v>
      </c>
      <c r="B227" s="23">
        <f t="shared" si="11"/>
        <v>64.416666666666671</v>
      </c>
      <c r="C227" s="23">
        <f t="shared" si="12"/>
        <v>5.1555000000000009</v>
      </c>
      <c r="D227" s="23">
        <f t="shared" si="13"/>
        <v>5.3323333333333345</v>
      </c>
      <c r="E227" s="25">
        <f t="shared" si="14"/>
        <v>-3.3724810015487772E-2</v>
      </c>
    </row>
    <row r="228" spans="1:5">
      <c r="A228" s="21">
        <v>774</v>
      </c>
      <c r="B228" s="23">
        <f t="shared" si="11"/>
        <v>64.5</v>
      </c>
      <c r="C228" s="23">
        <f t="shared" si="12"/>
        <v>5.1690000000000005</v>
      </c>
      <c r="D228" s="23">
        <f t="shared" si="13"/>
        <v>5.3469999999999995</v>
      </c>
      <c r="E228" s="25">
        <f t="shared" si="14"/>
        <v>-3.3856409752692114E-2</v>
      </c>
    </row>
    <row r="229" spans="1:5">
      <c r="A229" s="21">
        <v>775</v>
      </c>
      <c r="B229" s="23">
        <f t="shared" si="11"/>
        <v>64.583333333333329</v>
      </c>
      <c r="C229" s="23">
        <f t="shared" si="12"/>
        <v>5.1824999999999992</v>
      </c>
      <c r="D229" s="23">
        <f t="shared" si="13"/>
        <v>5.3616666666666655</v>
      </c>
      <c r="E229" s="25">
        <f t="shared" si="14"/>
        <v>-3.3987306695082355E-2</v>
      </c>
    </row>
    <row r="230" spans="1:5">
      <c r="A230" s="21">
        <v>776</v>
      </c>
      <c r="B230" s="23">
        <f t="shared" si="11"/>
        <v>64.666666666666671</v>
      </c>
      <c r="C230" s="23">
        <f t="shared" si="12"/>
        <v>5.1960000000000006</v>
      </c>
      <c r="D230" s="23">
        <f t="shared" si="13"/>
        <v>5.3763333333333341</v>
      </c>
      <c r="E230" s="25">
        <f t="shared" si="14"/>
        <v>-3.411750645858274E-2</v>
      </c>
    </row>
    <row r="231" spans="1:5">
      <c r="A231" s="21">
        <v>777</v>
      </c>
      <c r="B231" s="23">
        <f t="shared" si="11"/>
        <v>64.75</v>
      </c>
      <c r="C231" s="23">
        <f t="shared" si="12"/>
        <v>5.2095000000000002</v>
      </c>
      <c r="D231" s="23">
        <f t="shared" si="13"/>
        <v>5.391</v>
      </c>
      <c r="E231" s="25">
        <f t="shared" si="14"/>
        <v>-3.4247014599430227E-2</v>
      </c>
    </row>
    <row r="232" spans="1:5">
      <c r="A232" s="21">
        <v>778</v>
      </c>
      <c r="B232" s="23">
        <f t="shared" si="11"/>
        <v>64.833333333333329</v>
      </c>
      <c r="C232" s="23">
        <f t="shared" si="12"/>
        <v>5.222999999999999</v>
      </c>
      <c r="D232" s="23">
        <f t="shared" si="13"/>
        <v>5.405666666666666</v>
      </c>
      <c r="E232" s="25">
        <f t="shared" si="14"/>
        <v>-3.4375836614966078E-2</v>
      </c>
    </row>
    <row r="233" spans="1:5">
      <c r="A233" s="21">
        <v>779</v>
      </c>
      <c r="B233" s="23">
        <f t="shared" si="11"/>
        <v>64.916666666666671</v>
      </c>
      <c r="C233" s="23">
        <f t="shared" si="12"/>
        <v>5.2365000000000004</v>
      </c>
      <c r="D233" s="23">
        <f t="shared" si="13"/>
        <v>5.4203333333333337</v>
      </c>
      <c r="E233" s="25">
        <f t="shared" si="14"/>
        <v>-3.4503977944412283E-2</v>
      </c>
    </row>
    <row r="234" spans="1:5">
      <c r="A234" s="21">
        <v>780</v>
      </c>
      <c r="B234" s="23">
        <f t="shared" ref="B234:B265" si="15">A234/12</f>
        <v>65</v>
      </c>
      <c r="C234" s="23">
        <f t="shared" ref="C234:C265" si="16">IF(B234&gt;=70,INDEX(Nodi_2025,10),INDEX(Nodi_2025,MATCH(B234,N_eta,1))+(B234-INDEX(N_eta,MATCH(B234,N_eta,1)))*(INDEX(Nodi_2025,MATCH(B234,N_eta,1)+1)-INDEX(Nodi_2025,MATCH(B234,N_eta,1)))/(INDEX(N_eta,MATCH(B234,N_eta,1)+1)-INDEX(N_eta,MATCH(B234,N_eta,1))))</f>
        <v>5.25</v>
      </c>
      <c r="D234" s="23">
        <f t="shared" ref="D234:D265" si="17">IF(B234&gt;=70,INDEX(Nodi_2013,10),INDEX(Nodi_2013,MATCH(B234,N_eta,1))+(B234-INDEX(N_eta,MATCH(B234,N_eta,1)))*(INDEX(Nodi_2013,MATCH(B234,N_eta,1)+1)-INDEX(Nodi_2013,MATCH(B234,N_eta,1)))/(INDEX(N_eta,MATCH(B234,N_eta,1)+1)-INDEX(N_eta,MATCH(B234,N_eta,1))))</f>
        <v>5.4349999999999996</v>
      </c>
      <c r="E234" s="25">
        <f t="shared" ref="E234:E265" si="18">LN(C234/D234)</f>
        <v>-3.4631443969640317E-2</v>
      </c>
    </row>
    <row r="235" spans="1:5">
      <c r="A235" s="21">
        <v>781</v>
      </c>
      <c r="B235" s="23">
        <f t="shared" si="15"/>
        <v>65.083333333333329</v>
      </c>
      <c r="C235" s="23">
        <f t="shared" si="16"/>
        <v>5.2644166666666656</v>
      </c>
      <c r="D235" s="23">
        <f t="shared" si="17"/>
        <v>5.4507499999999984</v>
      </c>
      <c r="E235" s="25">
        <f t="shared" si="18"/>
        <v>-3.4782868993490729E-2</v>
      </c>
    </row>
    <row r="236" spans="1:5">
      <c r="A236" s="21">
        <v>782</v>
      </c>
      <c r="B236" s="23">
        <f t="shared" si="15"/>
        <v>65.166666666666671</v>
      </c>
      <c r="C236" s="23">
        <f t="shared" si="16"/>
        <v>5.2788333333333339</v>
      </c>
      <c r="D236" s="23">
        <f t="shared" si="17"/>
        <v>5.4665000000000008</v>
      </c>
      <c r="E236" s="25">
        <f t="shared" si="18"/>
        <v>-3.493344418536002E-2</v>
      </c>
    </row>
    <row r="237" spans="1:5">
      <c r="A237" s="21">
        <v>783</v>
      </c>
      <c r="B237" s="23">
        <f t="shared" si="15"/>
        <v>65.25</v>
      </c>
      <c r="C237" s="23">
        <f t="shared" si="16"/>
        <v>5.2932500000000005</v>
      </c>
      <c r="D237" s="23">
        <f t="shared" si="17"/>
        <v>5.4822499999999996</v>
      </c>
      <c r="E237" s="25">
        <f t="shared" si="18"/>
        <v>-3.5083176681099566E-2</v>
      </c>
    </row>
    <row r="238" spans="1:5">
      <c r="A238" s="21">
        <v>784</v>
      </c>
      <c r="B238" s="23">
        <f t="shared" si="15"/>
        <v>65.333333333333329</v>
      </c>
      <c r="C238" s="23">
        <f t="shared" si="16"/>
        <v>5.3076666666666661</v>
      </c>
      <c r="D238" s="23">
        <f t="shared" si="17"/>
        <v>5.4979999999999984</v>
      </c>
      <c r="E238" s="25">
        <f t="shared" si="18"/>
        <v>-3.5232073536874464E-2</v>
      </c>
    </row>
    <row r="239" spans="1:5">
      <c r="A239" s="21">
        <v>785</v>
      </c>
      <c r="B239" s="23">
        <f t="shared" si="15"/>
        <v>65.416666666666671</v>
      </c>
      <c r="C239" s="23">
        <f t="shared" si="16"/>
        <v>5.3220833333333344</v>
      </c>
      <c r="D239" s="23">
        <f t="shared" si="17"/>
        <v>5.5137500000000008</v>
      </c>
      <c r="E239" s="25">
        <f t="shared" si="18"/>
        <v>-3.5380141730272499E-2</v>
      </c>
    </row>
    <row r="240" spans="1:5">
      <c r="A240" s="21">
        <v>786</v>
      </c>
      <c r="B240" s="23">
        <f t="shared" si="15"/>
        <v>65.5</v>
      </c>
      <c r="C240" s="23">
        <f t="shared" si="16"/>
        <v>5.3365</v>
      </c>
      <c r="D240" s="23">
        <f t="shared" si="17"/>
        <v>5.5294999999999996</v>
      </c>
      <c r="E240" s="25">
        <f t="shared" si="18"/>
        <v>-3.5527388161394953E-2</v>
      </c>
    </row>
    <row r="241" spans="1:5">
      <c r="A241" s="21">
        <v>787</v>
      </c>
      <c r="B241" s="23">
        <f t="shared" si="15"/>
        <v>65.583333333333329</v>
      </c>
      <c r="C241" s="23">
        <f t="shared" si="16"/>
        <v>5.3509166666666657</v>
      </c>
      <c r="D241" s="23">
        <f t="shared" si="17"/>
        <v>5.5452499999999985</v>
      </c>
      <c r="E241" s="25">
        <f t="shared" si="18"/>
        <v>-3.567381965393001E-2</v>
      </c>
    </row>
    <row r="242" spans="1:5">
      <c r="A242" s="21">
        <v>788</v>
      </c>
      <c r="B242" s="23">
        <f t="shared" si="15"/>
        <v>65.666666666666671</v>
      </c>
      <c r="C242" s="23">
        <f t="shared" si="16"/>
        <v>5.365333333333334</v>
      </c>
      <c r="D242" s="23">
        <f t="shared" si="17"/>
        <v>5.5610000000000008</v>
      </c>
      <c r="E242" s="25">
        <f t="shared" si="18"/>
        <v>-3.5819442956208002E-2</v>
      </c>
    </row>
    <row r="243" spans="1:5">
      <c r="A243" s="21">
        <v>789</v>
      </c>
      <c r="B243" s="23">
        <f t="shared" si="15"/>
        <v>65.75</v>
      </c>
      <c r="C243" s="23">
        <f t="shared" si="16"/>
        <v>5.3797499999999996</v>
      </c>
      <c r="D243" s="23">
        <f t="shared" si="17"/>
        <v>5.5767499999999997</v>
      </c>
      <c r="E243" s="25">
        <f t="shared" si="18"/>
        <v>-3.5964264742237802E-2</v>
      </c>
    </row>
    <row r="244" spans="1:5">
      <c r="A244" s="21">
        <v>790</v>
      </c>
      <c r="B244" s="23">
        <f t="shared" si="15"/>
        <v>65.833333333333329</v>
      </c>
      <c r="C244" s="23">
        <f t="shared" si="16"/>
        <v>5.3941666666666661</v>
      </c>
      <c r="D244" s="23">
        <f t="shared" si="17"/>
        <v>5.5924999999999985</v>
      </c>
      <c r="E244" s="25">
        <f t="shared" si="18"/>
        <v>-3.6108291612728917E-2</v>
      </c>
    </row>
    <row r="245" spans="1:5">
      <c r="A245" s="21">
        <v>791</v>
      </c>
      <c r="B245" s="23">
        <f t="shared" si="15"/>
        <v>65.916666666666671</v>
      </c>
      <c r="C245" s="23">
        <f t="shared" si="16"/>
        <v>5.4085833333333344</v>
      </c>
      <c r="D245" s="23">
        <f t="shared" si="17"/>
        <v>5.6082500000000008</v>
      </c>
      <c r="E245" s="25">
        <f t="shared" si="18"/>
        <v>-3.6251530096095101E-2</v>
      </c>
    </row>
    <row r="246" spans="1:5">
      <c r="A246" s="21">
        <v>792</v>
      </c>
      <c r="B246" s="23">
        <f t="shared" si="15"/>
        <v>66</v>
      </c>
      <c r="C246" s="23">
        <f t="shared" si="16"/>
        <v>5.423</v>
      </c>
      <c r="D246" s="23">
        <f t="shared" si="17"/>
        <v>5.6239999999999997</v>
      </c>
      <c r="E246" s="25">
        <f t="shared" si="18"/>
        <v>-3.639398664944013E-2</v>
      </c>
    </row>
    <row r="247" spans="1:5">
      <c r="A247" s="21">
        <v>793</v>
      </c>
      <c r="B247" s="23">
        <f t="shared" si="15"/>
        <v>66.083333333333329</v>
      </c>
      <c r="C247" s="23">
        <f t="shared" si="16"/>
        <v>5.438416666666666</v>
      </c>
      <c r="D247" s="23">
        <f t="shared" si="17"/>
        <v>5.6408333333333323</v>
      </c>
      <c r="E247" s="25">
        <f t="shared" si="18"/>
        <v>-3.6543844150646258E-2</v>
      </c>
    </row>
    <row r="248" spans="1:5">
      <c r="A248" s="21">
        <v>794</v>
      </c>
      <c r="B248" s="23">
        <f t="shared" si="15"/>
        <v>66.166666666666671</v>
      </c>
      <c r="C248" s="23">
        <f t="shared" si="16"/>
        <v>5.4538333333333338</v>
      </c>
      <c r="D248" s="23">
        <f t="shared" si="17"/>
        <v>5.6576666666666675</v>
      </c>
      <c r="E248" s="25">
        <f t="shared" si="18"/>
        <v>-3.6692832166228533E-2</v>
      </c>
    </row>
    <row r="249" spans="1:5">
      <c r="A249" s="21">
        <v>795</v>
      </c>
      <c r="B249" s="23">
        <f t="shared" si="15"/>
        <v>66.25</v>
      </c>
      <c r="C249" s="23">
        <f t="shared" si="16"/>
        <v>5.4692499999999997</v>
      </c>
      <c r="D249" s="23">
        <f t="shared" si="17"/>
        <v>5.6745000000000001</v>
      </c>
      <c r="E249" s="25">
        <f t="shared" si="18"/>
        <v>-3.6840958243177693E-2</v>
      </c>
    </row>
    <row r="250" spans="1:5">
      <c r="A250" s="21">
        <v>796</v>
      </c>
      <c r="B250" s="23">
        <f t="shared" si="15"/>
        <v>66.333333333333329</v>
      </c>
      <c r="C250" s="23">
        <f t="shared" si="16"/>
        <v>5.4846666666666657</v>
      </c>
      <c r="D250" s="23">
        <f t="shared" si="17"/>
        <v>5.6913333333333318</v>
      </c>
      <c r="E250" s="25">
        <f t="shared" si="18"/>
        <v>-3.6988229841376043E-2</v>
      </c>
    </row>
    <row r="251" spans="1:5">
      <c r="A251" s="21">
        <v>797</v>
      </c>
      <c r="B251" s="23">
        <f t="shared" si="15"/>
        <v>66.416666666666671</v>
      </c>
      <c r="C251" s="23">
        <f t="shared" si="16"/>
        <v>5.5000833333333343</v>
      </c>
      <c r="D251" s="23">
        <f t="shared" si="17"/>
        <v>5.7081666666666671</v>
      </c>
      <c r="E251" s="25">
        <f t="shared" si="18"/>
        <v>-3.7134654334850463E-2</v>
      </c>
    </row>
    <row r="252" spans="1:5">
      <c r="A252" s="21">
        <v>798</v>
      </c>
      <c r="B252" s="23">
        <f t="shared" si="15"/>
        <v>66.5</v>
      </c>
      <c r="C252" s="23">
        <f t="shared" si="16"/>
        <v>5.5154999999999994</v>
      </c>
      <c r="D252" s="23">
        <f t="shared" si="17"/>
        <v>5.7249999999999996</v>
      </c>
      <c r="E252" s="25">
        <f t="shared" si="18"/>
        <v>-3.7280239013004E-2</v>
      </c>
    </row>
    <row r="253" spans="1:5">
      <c r="A253" s="21">
        <v>799</v>
      </c>
      <c r="B253" s="23">
        <f t="shared" si="15"/>
        <v>66.583333333333329</v>
      </c>
      <c r="C253" s="23">
        <f t="shared" si="16"/>
        <v>5.5309166666666654</v>
      </c>
      <c r="D253" s="23">
        <f t="shared" si="17"/>
        <v>5.7418333333333322</v>
      </c>
      <c r="E253" s="25">
        <f t="shared" si="18"/>
        <v>-3.7424991081826363E-2</v>
      </c>
    </row>
    <row r="254" spans="1:5">
      <c r="A254" s="21">
        <v>800</v>
      </c>
      <c r="B254" s="23">
        <f t="shared" si="15"/>
        <v>66.666666666666671</v>
      </c>
      <c r="C254" s="23">
        <f t="shared" si="16"/>
        <v>5.546333333333334</v>
      </c>
      <c r="D254" s="23">
        <f t="shared" si="17"/>
        <v>5.7586666666666675</v>
      </c>
      <c r="E254" s="25">
        <f t="shared" si="18"/>
        <v>-3.7568917665084536E-2</v>
      </c>
    </row>
    <row r="255" spans="1:5">
      <c r="A255" s="21">
        <v>801</v>
      </c>
      <c r="B255" s="23">
        <f t="shared" si="15"/>
        <v>66.75</v>
      </c>
      <c r="C255" s="23">
        <f t="shared" si="16"/>
        <v>5.56175</v>
      </c>
      <c r="D255" s="23">
        <f t="shared" si="17"/>
        <v>5.7754999999999992</v>
      </c>
      <c r="E255" s="25">
        <f t="shared" si="18"/>
        <v>-3.7712025805491947E-2</v>
      </c>
    </row>
    <row r="256" spans="1:5">
      <c r="A256" s="21">
        <v>802</v>
      </c>
      <c r="B256" s="23">
        <f t="shared" si="15"/>
        <v>66.833333333333329</v>
      </c>
      <c r="C256" s="23">
        <f t="shared" si="16"/>
        <v>5.5771666666666651</v>
      </c>
      <c r="D256" s="23">
        <f t="shared" si="17"/>
        <v>5.7923333333333318</v>
      </c>
      <c r="E256" s="25">
        <f t="shared" si="18"/>
        <v>-3.7854322465858833E-2</v>
      </c>
    </row>
    <row r="257" spans="1:5">
      <c r="A257" s="21">
        <v>803</v>
      </c>
      <c r="B257" s="23">
        <f t="shared" si="15"/>
        <v>66.916666666666671</v>
      </c>
      <c r="C257" s="23">
        <f t="shared" si="16"/>
        <v>5.5925833333333337</v>
      </c>
      <c r="D257" s="23">
        <f t="shared" si="17"/>
        <v>5.809166666666667</v>
      </c>
      <c r="E257" s="25">
        <f t="shared" si="18"/>
        <v>-3.7995814530221397E-2</v>
      </c>
    </row>
    <row r="258" spans="1:5">
      <c r="A258" s="21">
        <v>804</v>
      </c>
      <c r="B258" s="23">
        <f t="shared" si="15"/>
        <v>67</v>
      </c>
      <c r="C258" s="23">
        <f t="shared" si="16"/>
        <v>5.6079999999999997</v>
      </c>
      <c r="D258" s="23">
        <f t="shared" si="17"/>
        <v>5.8259999999999996</v>
      </c>
      <c r="E258" s="25">
        <f t="shared" si="18"/>
        <v>-3.8136508804953874E-2</v>
      </c>
    </row>
    <row r="259" spans="1:5">
      <c r="A259" s="21">
        <v>805</v>
      </c>
      <c r="B259" s="23">
        <f t="shared" si="15"/>
        <v>67.083333333333329</v>
      </c>
      <c r="C259" s="23">
        <f t="shared" si="16"/>
        <v>5.6246666666666654</v>
      </c>
      <c r="D259" s="23">
        <f t="shared" si="17"/>
        <v>5.8443333333333323</v>
      </c>
      <c r="E259" s="25">
        <f t="shared" si="18"/>
        <v>-3.8310843744556344E-2</v>
      </c>
    </row>
    <row r="260" spans="1:5">
      <c r="A260" s="21">
        <v>806</v>
      </c>
      <c r="B260" s="23">
        <f t="shared" si="15"/>
        <v>67.166666666666671</v>
      </c>
      <c r="C260" s="23">
        <f t="shared" si="16"/>
        <v>5.6413333333333338</v>
      </c>
      <c r="D260" s="23">
        <f t="shared" si="17"/>
        <v>5.8626666666666676</v>
      </c>
      <c r="E260" s="25">
        <f t="shared" si="18"/>
        <v>-3.8484118460742713E-2</v>
      </c>
    </row>
    <row r="261" spans="1:5">
      <c r="A261" s="21">
        <v>807</v>
      </c>
      <c r="B261" s="23">
        <f t="shared" si="15"/>
        <v>67.25</v>
      </c>
      <c r="C261" s="23">
        <f t="shared" si="16"/>
        <v>5.6579999999999995</v>
      </c>
      <c r="D261" s="23">
        <f t="shared" si="17"/>
        <v>5.8810000000000002</v>
      </c>
      <c r="E261" s="25">
        <f t="shared" si="18"/>
        <v>-3.8656342598443583E-2</v>
      </c>
    </row>
    <row r="262" spans="1:5">
      <c r="A262" s="21">
        <v>808</v>
      </c>
      <c r="B262" s="23">
        <f t="shared" si="15"/>
        <v>67.333333333333329</v>
      </c>
      <c r="C262" s="23">
        <f t="shared" si="16"/>
        <v>5.6746666666666652</v>
      </c>
      <c r="D262" s="23">
        <f t="shared" si="17"/>
        <v>5.899333333333332</v>
      </c>
      <c r="E262" s="25">
        <f t="shared" si="18"/>
        <v>-3.8827525685924603E-2</v>
      </c>
    </row>
    <row r="263" spans="1:5">
      <c r="A263" s="21">
        <v>809</v>
      </c>
      <c r="B263" s="23">
        <f t="shared" si="15"/>
        <v>67.416666666666671</v>
      </c>
      <c r="C263" s="23">
        <f t="shared" si="16"/>
        <v>5.6913333333333336</v>
      </c>
      <c r="D263" s="23">
        <f t="shared" si="17"/>
        <v>5.9176666666666673</v>
      </c>
      <c r="E263" s="25">
        <f t="shared" si="18"/>
        <v>-3.8997677136545991E-2</v>
      </c>
    </row>
    <row r="264" spans="1:5">
      <c r="A264" s="21">
        <v>810</v>
      </c>
      <c r="B264" s="23">
        <f t="shared" si="15"/>
        <v>67.5</v>
      </c>
      <c r="C264" s="23">
        <f t="shared" si="16"/>
        <v>5.7080000000000002</v>
      </c>
      <c r="D264" s="23">
        <f t="shared" si="17"/>
        <v>5.9359999999999999</v>
      </c>
      <c r="E264" s="25">
        <f t="shared" si="18"/>
        <v>-3.916680625048926E-2</v>
      </c>
    </row>
    <row r="265" spans="1:5">
      <c r="A265" s="21">
        <v>811</v>
      </c>
      <c r="B265" s="23">
        <f t="shared" si="15"/>
        <v>67.583333333333329</v>
      </c>
      <c r="C265" s="23">
        <f t="shared" si="16"/>
        <v>5.7246666666666659</v>
      </c>
      <c r="D265" s="23">
        <f t="shared" si="17"/>
        <v>5.9543333333333326</v>
      </c>
      <c r="E265" s="25">
        <f t="shared" si="18"/>
        <v>-3.9334922216454453E-2</v>
      </c>
    </row>
    <row r="266" spans="1:5">
      <c r="A266" s="21">
        <v>812</v>
      </c>
      <c r="B266" s="23">
        <f t="shared" ref="B266:B297" si="19">A266/12</f>
        <v>67.666666666666671</v>
      </c>
      <c r="C266" s="23">
        <f t="shared" ref="C266:C297" si="20">IF(B266&gt;=70,INDEX(Nodi_2025,10),INDEX(Nodi_2025,MATCH(B266,N_eta,1))+(B266-INDEX(N_eta,MATCH(B266,N_eta,1)))*(INDEX(Nodi_2025,MATCH(B266,N_eta,1)+1)-INDEX(Nodi_2025,MATCH(B266,N_eta,1)))/(INDEX(N_eta,MATCH(B266,N_eta,1)+1)-INDEX(N_eta,MATCH(B266,N_eta,1))))</f>
        <v>5.7413333333333343</v>
      </c>
      <c r="D266" s="23">
        <f t="shared" ref="D266:D297" si="21">IF(B266&gt;=70,INDEX(Nodi_2013,10),INDEX(Nodi_2013,MATCH(B266,N_eta,1))+(B266-INDEX(N_eta,MATCH(B266,N_eta,1)))*(INDEX(Nodi_2013,MATCH(B266,N_eta,1)+1)-INDEX(Nodi_2013,MATCH(B266,N_eta,1)))/(INDEX(N_eta,MATCH(B266,N_eta,1)+1)-INDEX(N_eta,MATCH(B266,N_eta,1))))</f>
        <v>5.9726666666666679</v>
      </c>
      <c r="E266" s="25">
        <f t="shared" ref="E266:E297" si="22">LN(C266/D266)</f>
        <v>-3.9502034113324772E-2</v>
      </c>
    </row>
    <row r="267" spans="1:5">
      <c r="A267" s="21">
        <v>813</v>
      </c>
      <c r="B267" s="23">
        <f t="shared" si="19"/>
        <v>67.75</v>
      </c>
      <c r="C267" s="23">
        <f t="shared" si="20"/>
        <v>5.758</v>
      </c>
      <c r="D267" s="23">
        <f t="shared" si="21"/>
        <v>5.9909999999999997</v>
      </c>
      <c r="E267" s="25">
        <f t="shared" si="22"/>
        <v>-3.9668150911803667E-2</v>
      </c>
    </row>
    <row r="268" spans="1:5">
      <c r="A268" s="21">
        <v>814</v>
      </c>
      <c r="B268" s="23">
        <f t="shared" si="19"/>
        <v>67.833333333333329</v>
      </c>
      <c r="C268" s="23">
        <f t="shared" si="20"/>
        <v>5.7746666666666657</v>
      </c>
      <c r="D268" s="23">
        <f t="shared" si="21"/>
        <v>6.0093333333333323</v>
      </c>
      <c r="E268" s="25">
        <f t="shared" si="22"/>
        <v>-3.9833281476021595E-2</v>
      </c>
    </row>
    <row r="269" spans="1:5">
      <c r="A269" s="21">
        <v>815</v>
      </c>
      <c r="B269" s="23">
        <f t="shared" si="19"/>
        <v>67.916666666666671</v>
      </c>
      <c r="C269" s="23">
        <f t="shared" si="20"/>
        <v>5.7913333333333341</v>
      </c>
      <c r="D269" s="23">
        <f t="shared" si="21"/>
        <v>6.0276666666666676</v>
      </c>
      <c r="E269" s="25">
        <f t="shared" si="22"/>
        <v>-3.9997434565113871E-2</v>
      </c>
    </row>
    <row r="270" spans="1:5">
      <c r="A270" s="21">
        <v>816</v>
      </c>
      <c r="B270" s="23">
        <f t="shared" si="19"/>
        <v>68</v>
      </c>
      <c r="C270" s="23">
        <f t="shared" si="20"/>
        <v>5.8079999999999998</v>
      </c>
      <c r="D270" s="23">
        <f t="shared" si="21"/>
        <v>6.0460000000000003</v>
      </c>
      <c r="E270" s="25">
        <f t="shared" si="22"/>
        <v>-4.01606188347714E-2</v>
      </c>
    </row>
    <row r="271" spans="1:5">
      <c r="A271" s="21">
        <v>817</v>
      </c>
      <c r="B271" s="23">
        <f t="shared" si="19"/>
        <v>68.083333333333329</v>
      </c>
      <c r="C271" s="23">
        <f t="shared" si="20"/>
        <v>5.8259999999999987</v>
      </c>
      <c r="D271" s="23">
        <f t="shared" si="21"/>
        <v>6.0657499999999995</v>
      </c>
      <c r="E271" s="25">
        <f t="shared" si="22"/>
        <v>-4.0327536559709311E-2</v>
      </c>
    </row>
    <row r="272" spans="1:5">
      <c r="A272" s="21">
        <v>818</v>
      </c>
      <c r="B272" s="23">
        <f t="shared" si="19"/>
        <v>68.166666666666671</v>
      </c>
      <c r="C272" s="23">
        <f t="shared" si="20"/>
        <v>5.8440000000000012</v>
      </c>
      <c r="D272" s="23">
        <f t="shared" si="21"/>
        <v>6.0855000000000015</v>
      </c>
      <c r="E272" s="25">
        <f t="shared" si="22"/>
        <v>-4.0493398444021549E-2</v>
      </c>
    </row>
    <row r="273" spans="1:5">
      <c r="A273" s="21">
        <v>819</v>
      </c>
      <c r="B273" s="23">
        <f t="shared" si="19"/>
        <v>68.25</v>
      </c>
      <c r="C273" s="23">
        <f t="shared" si="20"/>
        <v>5.8620000000000001</v>
      </c>
      <c r="D273" s="23">
        <f t="shared" si="21"/>
        <v>6.1052499999999998</v>
      </c>
      <c r="E273" s="25">
        <f t="shared" si="22"/>
        <v>-4.0658214476487285E-2</v>
      </c>
    </row>
    <row r="274" spans="1:5">
      <c r="A274" s="21">
        <v>820</v>
      </c>
      <c r="B274" s="23">
        <f t="shared" si="19"/>
        <v>68.333333333333329</v>
      </c>
      <c r="C274" s="23">
        <f t="shared" si="20"/>
        <v>5.879999999999999</v>
      </c>
      <c r="D274" s="23">
        <f t="shared" si="21"/>
        <v>6.1249999999999991</v>
      </c>
      <c r="E274" s="25">
        <f t="shared" si="22"/>
        <v>-4.0821994520255166E-2</v>
      </c>
    </row>
    <row r="275" spans="1:5">
      <c r="A275" s="21">
        <v>821</v>
      </c>
      <c r="B275" s="23">
        <f t="shared" si="19"/>
        <v>68.416666666666671</v>
      </c>
      <c r="C275" s="23">
        <f t="shared" si="20"/>
        <v>5.8980000000000006</v>
      </c>
      <c r="D275" s="23">
        <f t="shared" si="21"/>
        <v>6.144750000000001</v>
      </c>
      <c r="E275" s="25">
        <f t="shared" si="22"/>
        <v>-4.0984748314812323E-2</v>
      </c>
    </row>
    <row r="276" spans="1:5">
      <c r="A276" s="21">
        <v>822</v>
      </c>
      <c r="B276" s="23">
        <f t="shared" si="19"/>
        <v>68.5</v>
      </c>
      <c r="C276" s="23">
        <f t="shared" si="20"/>
        <v>5.9160000000000004</v>
      </c>
      <c r="D276" s="23">
        <f t="shared" si="21"/>
        <v>6.1645000000000003</v>
      </c>
      <c r="E276" s="25">
        <f t="shared" si="22"/>
        <v>-4.1146485477917036E-2</v>
      </c>
    </row>
    <row r="277" spans="1:5">
      <c r="A277" s="21">
        <v>823</v>
      </c>
      <c r="B277" s="23">
        <f t="shared" si="19"/>
        <v>68.583333333333329</v>
      </c>
      <c r="C277" s="23">
        <f t="shared" si="20"/>
        <v>5.9339999999999993</v>
      </c>
      <c r="D277" s="23">
        <f t="shared" si="21"/>
        <v>6.1842499999999996</v>
      </c>
      <c r="E277" s="25">
        <f t="shared" si="22"/>
        <v>-4.1307215507495415E-2</v>
      </c>
    </row>
    <row r="278" spans="1:5">
      <c r="A278" s="21">
        <v>824</v>
      </c>
      <c r="B278" s="23">
        <f t="shared" si="19"/>
        <v>68.666666666666671</v>
      </c>
      <c r="C278" s="23">
        <f t="shared" si="20"/>
        <v>5.9520000000000008</v>
      </c>
      <c r="D278" s="23">
        <f t="shared" si="21"/>
        <v>6.2040000000000015</v>
      </c>
      <c r="E278" s="25">
        <f t="shared" si="22"/>
        <v>-4.1466947783501781E-2</v>
      </c>
    </row>
    <row r="279" spans="1:5">
      <c r="A279" s="21">
        <v>825</v>
      </c>
      <c r="B279" s="23">
        <f t="shared" si="19"/>
        <v>68.75</v>
      </c>
      <c r="C279" s="23">
        <f t="shared" si="20"/>
        <v>5.97</v>
      </c>
      <c r="D279" s="23">
        <f t="shared" si="21"/>
        <v>6.2237500000000008</v>
      </c>
      <c r="E279" s="25">
        <f t="shared" si="22"/>
        <v>-4.1625691569744896E-2</v>
      </c>
    </row>
    <row r="280" spans="1:5">
      <c r="A280" s="21">
        <v>826</v>
      </c>
      <c r="B280" s="23">
        <f t="shared" si="19"/>
        <v>68.833333333333329</v>
      </c>
      <c r="C280" s="23">
        <f t="shared" si="20"/>
        <v>5.9879999999999987</v>
      </c>
      <c r="D280" s="23">
        <f t="shared" si="21"/>
        <v>6.2434999999999992</v>
      </c>
      <c r="E280" s="25">
        <f t="shared" si="22"/>
        <v>-4.1783456015680946E-2</v>
      </c>
    </row>
    <row r="281" spans="1:5">
      <c r="A281" s="21">
        <v>827</v>
      </c>
      <c r="B281" s="23">
        <f t="shared" si="19"/>
        <v>68.916666666666671</v>
      </c>
      <c r="C281" s="23">
        <f t="shared" si="20"/>
        <v>6.0060000000000011</v>
      </c>
      <c r="D281" s="23">
        <f t="shared" si="21"/>
        <v>6.2632500000000011</v>
      </c>
      <c r="E281" s="25">
        <f t="shared" si="22"/>
        <v>-4.1940250158172876E-2</v>
      </c>
    </row>
    <row r="282" spans="1:5">
      <c r="A282" s="21">
        <v>828</v>
      </c>
      <c r="B282" s="23">
        <f t="shared" si="19"/>
        <v>69</v>
      </c>
      <c r="C282" s="23">
        <f t="shared" si="20"/>
        <v>6.024</v>
      </c>
      <c r="D282" s="23">
        <f t="shared" si="21"/>
        <v>6.2830000000000004</v>
      </c>
      <c r="E282" s="25">
        <f t="shared" si="22"/>
        <v>-4.209608292321762E-2</v>
      </c>
    </row>
    <row r="283" spans="1:5">
      <c r="A283" s="21">
        <v>829</v>
      </c>
      <c r="B283" s="23">
        <f t="shared" si="19"/>
        <v>69.083333333333329</v>
      </c>
      <c r="C283" s="23">
        <f t="shared" si="20"/>
        <v>6.043499999999999</v>
      </c>
      <c r="D283" s="23">
        <f t="shared" si="21"/>
        <v>6.3044999999999991</v>
      </c>
      <c r="E283" s="25">
        <f t="shared" si="22"/>
        <v>-4.2280349813769443E-2</v>
      </c>
    </row>
    <row r="284" spans="1:5">
      <c r="A284" s="21">
        <v>830</v>
      </c>
      <c r="B284" s="23">
        <f t="shared" si="19"/>
        <v>69.166666666666671</v>
      </c>
      <c r="C284" s="23">
        <f t="shared" si="20"/>
        <v>6.0630000000000015</v>
      </c>
      <c r="D284" s="23">
        <f t="shared" si="21"/>
        <v>6.3260000000000014</v>
      </c>
      <c r="E284" s="25">
        <f t="shared" si="22"/>
        <v>-4.2463397793863406E-2</v>
      </c>
    </row>
    <row r="285" spans="1:5">
      <c r="A285" s="21">
        <v>831</v>
      </c>
      <c r="B285" s="23">
        <f t="shared" si="19"/>
        <v>69.25</v>
      </c>
      <c r="C285" s="23">
        <f t="shared" si="20"/>
        <v>6.0824999999999996</v>
      </c>
      <c r="D285" s="23">
        <f t="shared" si="21"/>
        <v>6.3475000000000001</v>
      </c>
      <c r="E285" s="25">
        <f t="shared" si="22"/>
        <v>-4.2645238921155904E-2</v>
      </c>
    </row>
    <row r="286" spans="1:5">
      <c r="A286" s="21">
        <v>832</v>
      </c>
      <c r="B286" s="23">
        <f t="shared" si="19"/>
        <v>69.333333333333329</v>
      </c>
      <c r="C286" s="23">
        <f t="shared" si="20"/>
        <v>6.1019999999999985</v>
      </c>
      <c r="D286" s="23">
        <f t="shared" si="21"/>
        <v>6.3689999999999989</v>
      </c>
      <c r="E286" s="25">
        <f t="shared" si="22"/>
        <v>-4.282588509475084E-2</v>
      </c>
    </row>
    <row r="287" spans="1:5">
      <c r="A287" s="21">
        <v>833</v>
      </c>
      <c r="B287" s="23">
        <f t="shared" si="19"/>
        <v>69.416666666666671</v>
      </c>
      <c r="C287" s="23">
        <f t="shared" si="20"/>
        <v>6.1215000000000011</v>
      </c>
      <c r="D287" s="23">
        <f t="shared" si="21"/>
        <v>6.3905000000000012</v>
      </c>
      <c r="E287" s="25">
        <f t="shared" si="22"/>
        <v>-4.3005348057799028E-2</v>
      </c>
    </row>
    <row r="288" spans="1:5">
      <c r="A288" s="21">
        <v>834</v>
      </c>
      <c r="B288" s="23">
        <f t="shared" si="19"/>
        <v>69.5</v>
      </c>
      <c r="C288" s="23">
        <f t="shared" si="20"/>
        <v>6.141</v>
      </c>
      <c r="D288" s="23">
        <f t="shared" si="21"/>
        <v>6.4120000000000008</v>
      </c>
      <c r="E288" s="25">
        <f t="shared" si="22"/>
        <v>-4.3183639400044528E-2</v>
      </c>
    </row>
    <row r="289" spans="1:5">
      <c r="A289" s="21">
        <v>835</v>
      </c>
      <c r="B289" s="23">
        <f t="shared" si="19"/>
        <v>69.583333333333329</v>
      </c>
      <c r="C289" s="23">
        <f t="shared" si="20"/>
        <v>6.160499999999999</v>
      </c>
      <c r="D289" s="23">
        <f t="shared" si="21"/>
        <v>6.4334999999999996</v>
      </c>
      <c r="E289" s="25">
        <f t="shared" si="22"/>
        <v>-4.3360770560322025E-2</v>
      </c>
    </row>
    <row r="290" spans="1:5">
      <c r="A290" s="21">
        <v>836</v>
      </c>
      <c r="B290" s="23">
        <f t="shared" si="19"/>
        <v>69.666666666666671</v>
      </c>
      <c r="C290" s="23">
        <f t="shared" si="20"/>
        <v>6.1800000000000015</v>
      </c>
      <c r="D290" s="23">
        <f t="shared" si="21"/>
        <v>6.4550000000000018</v>
      </c>
      <c r="E290" s="25">
        <f t="shared" si="22"/>
        <v>-4.353675282900648E-2</v>
      </c>
    </row>
    <row r="291" spans="1:5">
      <c r="A291" s="21">
        <v>837</v>
      </c>
      <c r="B291" s="23">
        <f t="shared" si="19"/>
        <v>69.75</v>
      </c>
      <c r="C291" s="23">
        <f t="shared" si="20"/>
        <v>6.1995000000000005</v>
      </c>
      <c r="D291" s="23">
        <f t="shared" si="21"/>
        <v>6.4765000000000006</v>
      </c>
      <c r="E291" s="25">
        <f t="shared" si="22"/>
        <v>-4.3711597350413911E-2</v>
      </c>
    </row>
    <row r="292" spans="1:5">
      <c r="A292" s="21">
        <v>838</v>
      </c>
      <c r="B292" s="23">
        <f t="shared" si="19"/>
        <v>69.833333333333329</v>
      </c>
      <c r="C292" s="23">
        <f t="shared" si="20"/>
        <v>6.2189999999999985</v>
      </c>
      <c r="D292" s="23">
        <f t="shared" si="21"/>
        <v>6.4979999999999993</v>
      </c>
      <c r="E292" s="25">
        <f t="shared" si="22"/>
        <v>-4.3885315125156484E-2</v>
      </c>
    </row>
    <row r="293" spans="1:5">
      <c r="A293" s="21">
        <v>839</v>
      </c>
      <c r="B293" s="23">
        <f t="shared" si="19"/>
        <v>69.916666666666671</v>
      </c>
      <c r="C293" s="23">
        <f t="shared" si="20"/>
        <v>6.238500000000001</v>
      </c>
      <c r="D293" s="23">
        <f t="shared" si="21"/>
        <v>6.5195000000000016</v>
      </c>
      <c r="E293" s="25">
        <f t="shared" si="22"/>
        <v>-4.4057917012451001E-2</v>
      </c>
    </row>
    <row r="294" spans="1:5">
      <c r="A294" s="21">
        <v>840</v>
      </c>
      <c r="B294" s="23">
        <f t="shared" si="19"/>
        <v>70</v>
      </c>
      <c r="C294" s="23">
        <f t="shared" si="20"/>
        <v>6.258</v>
      </c>
      <c r="D294" s="23">
        <f t="shared" si="21"/>
        <v>6.5410000000000004</v>
      </c>
      <c r="E294" s="25">
        <f t="shared" si="22"/>
        <v>-4.4229413732385398E-2</v>
      </c>
    </row>
    <row r="295" spans="1:5">
      <c r="A295" s="21">
        <v>841</v>
      </c>
      <c r="B295" s="23">
        <f t="shared" si="19"/>
        <v>70.083333333333329</v>
      </c>
      <c r="C295" s="23">
        <f t="shared" si="20"/>
        <v>6.258</v>
      </c>
      <c r="D295" s="23">
        <f t="shared" si="21"/>
        <v>6.5410000000000004</v>
      </c>
      <c r="E295" s="25">
        <f>E294+(B295-70)*(E294-E282)</f>
        <v>-4.4407191299816039E-2</v>
      </c>
    </row>
    <row r="296" spans="1:5">
      <c r="A296" s="21">
        <v>842</v>
      </c>
      <c r="B296" s="23">
        <f t="shared" si="19"/>
        <v>70.166666666666671</v>
      </c>
      <c r="C296" s="23">
        <f t="shared" si="20"/>
        <v>6.258</v>
      </c>
      <c r="D296" s="23">
        <f t="shared" si="21"/>
        <v>6.5410000000000004</v>
      </c>
      <c r="E296" s="25">
        <f>E294+(B296-70)*(E294-E282)</f>
        <v>-4.4584968867246701E-2</v>
      </c>
    </row>
    <row r="297" spans="1:5">
      <c r="A297" s="21">
        <v>843</v>
      </c>
      <c r="B297" s="23">
        <f t="shared" si="19"/>
        <v>70.25</v>
      </c>
      <c r="C297" s="23">
        <f t="shared" si="20"/>
        <v>6.258</v>
      </c>
      <c r="D297" s="23">
        <f t="shared" si="21"/>
        <v>6.5410000000000004</v>
      </c>
      <c r="E297" s="25">
        <f>E294+(B297-70)*(E294-E282)</f>
        <v>-4.4762746434677342E-2</v>
      </c>
    </row>
    <row r="298" spans="1:5">
      <c r="A298" s="21">
        <v>844</v>
      </c>
      <c r="B298" s="23">
        <f t="shared" ref="B298:B329" si="23">A298/12</f>
        <v>70.333333333333329</v>
      </c>
      <c r="C298" s="23">
        <f t="shared" ref="C298:C329" si="24">IF(B298&gt;=70,INDEX(Nodi_2025,10),INDEX(Nodi_2025,MATCH(B298,N_eta,1))+(B298-INDEX(N_eta,MATCH(B298,N_eta,1)))*(INDEX(Nodi_2025,MATCH(B298,N_eta,1)+1)-INDEX(Nodi_2025,MATCH(B298,N_eta,1)))/(INDEX(N_eta,MATCH(B298,N_eta,1)+1)-INDEX(N_eta,MATCH(B298,N_eta,1))))</f>
        <v>6.258</v>
      </c>
      <c r="D298" s="23">
        <f t="shared" ref="D298:D306" si="25">IF(B298&gt;=70,INDEX(Nodi_2013,10),INDEX(Nodi_2013,MATCH(B298,N_eta,1))+(B298-INDEX(N_eta,MATCH(B298,N_eta,1)))*(INDEX(Nodi_2013,MATCH(B298,N_eta,1)+1)-INDEX(Nodi_2013,MATCH(B298,N_eta,1)))/(INDEX(N_eta,MATCH(B298,N_eta,1)+1)-INDEX(N_eta,MATCH(B298,N_eta,1))))</f>
        <v>6.5410000000000004</v>
      </c>
      <c r="E298" s="25">
        <f>E294+(B298-70)*(E294-E282)</f>
        <v>-4.4940524002107983E-2</v>
      </c>
    </row>
    <row r="299" spans="1:5">
      <c r="A299" s="21">
        <v>845</v>
      </c>
      <c r="B299" s="23">
        <f t="shared" si="23"/>
        <v>70.416666666666671</v>
      </c>
      <c r="C299" s="23">
        <f t="shared" si="24"/>
        <v>6.258</v>
      </c>
      <c r="D299" s="23">
        <f t="shared" si="25"/>
        <v>6.5410000000000004</v>
      </c>
      <c r="E299" s="25">
        <f>E294+(B299-70)*(E294-E282)</f>
        <v>-4.5118301569538645E-2</v>
      </c>
    </row>
    <row r="300" spans="1:5">
      <c r="A300" s="21">
        <v>846</v>
      </c>
      <c r="B300" s="23">
        <f t="shared" si="23"/>
        <v>70.5</v>
      </c>
      <c r="C300" s="23">
        <f t="shared" si="24"/>
        <v>6.258</v>
      </c>
      <c r="D300" s="23">
        <f t="shared" si="25"/>
        <v>6.5410000000000004</v>
      </c>
      <c r="E300" s="25">
        <f>E294+(B300-70)*(E294-E282)</f>
        <v>-4.5296079136969286E-2</v>
      </c>
    </row>
    <row r="301" spans="1:5">
      <c r="A301" s="21">
        <v>847</v>
      </c>
      <c r="B301" s="23">
        <f t="shared" si="23"/>
        <v>70.583333333333329</v>
      </c>
      <c r="C301" s="23">
        <f t="shared" si="24"/>
        <v>6.258</v>
      </c>
      <c r="D301" s="23">
        <f t="shared" si="25"/>
        <v>6.5410000000000004</v>
      </c>
      <c r="E301" s="25">
        <f>E294+(B301-70)*(E294-E282)</f>
        <v>-4.5473856704399927E-2</v>
      </c>
    </row>
    <row r="302" spans="1:5">
      <c r="A302" s="21">
        <v>848</v>
      </c>
      <c r="B302" s="23">
        <f t="shared" si="23"/>
        <v>70.666666666666671</v>
      </c>
      <c r="C302" s="23">
        <f t="shared" si="24"/>
        <v>6.258</v>
      </c>
      <c r="D302" s="23">
        <f t="shared" si="25"/>
        <v>6.5410000000000004</v>
      </c>
      <c r="E302" s="25">
        <f>E294+(B302-70)*(E294-E282)</f>
        <v>-4.5651634271830589E-2</v>
      </c>
    </row>
    <row r="303" spans="1:5">
      <c r="A303" s="21">
        <v>849</v>
      </c>
      <c r="B303" s="23">
        <f t="shared" si="23"/>
        <v>70.75</v>
      </c>
      <c r="C303" s="23">
        <f t="shared" si="24"/>
        <v>6.258</v>
      </c>
      <c r="D303" s="23">
        <f t="shared" si="25"/>
        <v>6.5410000000000004</v>
      </c>
      <c r="E303" s="25">
        <f>E294+(B303-70)*(E294-E282)</f>
        <v>-4.582941183926123E-2</v>
      </c>
    </row>
    <row r="304" spans="1:5">
      <c r="A304" s="21">
        <v>850</v>
      </c>
      <c r="B304" s="23">
        <f t="shared" si="23"/>
        <v>70.833333333333329</v>
      </c>
      <c r="C304" s="23">
        <f t="shared" si="24"/>
        <v>6.258</v>
      </c>
      <c r="D304" s="23">
        <f t="shared" si="25"/>
        <v>6.5410000000000004</v>
      </c>
      <c r="E304" s="25">
        <f>E294+(B304-70)*(E294-E282)</f>
        <v>-4.6007189406691872E-2</v>
      </c>
    </row>
    <row r="305" spans="1:12">
      <c r="A305" s="21">
        <v>851</v>
      </c>
      <c r="B305" s="23">
        <f t="shared" si="23"/>
        <v>70.916666666666671</v>
      </c>
      <c r="C305" s="23">
        <f t="shared" si="24"/>
        <v>6.258</v>
      </c>
      <c r="D305" s="23">
        <f t="shared" si="25"/>
        <v>6.5410000000000004</v>
      </c>
      <c r="E305" s="25">
        <f>E294+(B305-70)*(E294-E282)</f>
        <v>-4.6184966974122534E-2</v>
      </c>
    </row>
    <row r="306" spans="1:12">
      <c r="A306" s="21">
        <v>852</v>
      </c>
      <c r="B306" s="23">
        <f t="shared" si="23"/>
        <v>71</v>
      </c>
      <c r="C306" s="23">
        <f t="shared" si="24"/>
        <v>6.258</v>
      </c>
      <c r="D306" s="23">
        <f t="shared" si="25"/>
        <v>6.5410000000000004</v>
      </c>
      <c r="E306" s="25">
        <f>E294+(B306-70)*(E294-E282)</f>
        <v>-4.6362744541553175E-2</v>
      </c>
    </row>
    <row r="308" spans="1:12">
      <c r="A308" s="33" t="s">
        <v>322</v>
      </c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</row>
    <row r="309" spans="1:12" ht="32.1" customHeight="1">
      <c r="A309" s="12" t="s">
        <v>323</v>
      </c>
      <c r="B309" s="12" t="s">
        <v>324</v>
      </c>
      <c r="C309" s="12" t="s">
        <v>325</v>
      </c>
      <c r="D309" s="12" t="s">
        <v>326</v>
      </c>
      <c r="E309" s="12" t="s">
        <v>327</v>
      </c>
    </row>
    <row r="310" spans="1:12">
      <c r="A310" s="19" t="str">
        <f t="shared" ref="A310:A321" si="26">B310&amp;"|"&amp;C310&amp;"|"&amp;D310</f>
        <v>1|0|0</v>
      </c>
      <c r="B310" s="26">
        <v>1</v>
      </c>
      <c r="C310" s="26">
        <v>0</v>
      </c>
      <c r="D310" s="26">
        <v>0</v>
      </c>
      <c r="E310" s="17">
        <v>1</v>
      </c>
    </row>
    <row r="311" spans="1:12">
      <c r="A311" s="19" t="str">
        <f t="shared" si="26"/>
        <v>1|0|1</v>
      </c>
      <c r="B311" s="26">
        <v>1</v>
      </c>
      <c r="C311" s="26">
        <v>0</v>
      </c>
      <c r="D311" s="26">
        <v>1</v>
      </c>
      <c r="E311" s="17">
        <v>0.66666666666666663</v>
      </c>
    </row>
    <row r="312" spans="1:12">
      <c r="A312" s="19" t="str">
        <f t="shared" si="26"/>
        <v>1|0|2</v>
      </c>
      <c r="B312" s="26">
        <v>1</v>
      </c>
      <c r="C312" s="26">
        <v>0</v>
      </c>
      <c r="D312" s="26">
        <v>2</v>
      </c>
      <c r="E312" s="17">
        <v>0.66666666666666663</v>
      </c>
    </row>
    <row r="313" spans="1:12">
      <c r="A313" s="19" t="str">
        <f t="shared" si="26"/>
        <v>1|1|0</v>
      </c>
      <c r="B313" s="26">
        <v>1</v>
      </c>
      <c r="C313" s="26">
        <v>1</v>
      </c>
      <c r="D313" s="26">
        <v>0</v>
      </c>
      <c r="E313" s="17">
        <v>1</v>
      </c>
    </row>
    <row r="314" spans="1:12">
      <c r="A314" s="19" t="str">
        <f t="shared" si="26"/>
        <v>1|1|1</v>
      </c>
      <c r="B314" s="26">
        <v>1</v>
      </c>
      <c r="C314" s="26">
        <v>1</v>
      </c>
      <c r="D314" s="26">
        <v>1</v>
      </c>
      <c r="E314" s="17">
        <v>0.75</v>
      </c>
    </row>
    <row r="315" spans="1:12">
      <c r="A315" s="19" t="str">
        <f t="shared" si="26"/>
        <v>1|1|2</v>
      </c>
      <c r="B315" s="26">
        <v>1</v>
      </c>
      <c r="C315" s="26">
        <v>1</v>
      </c>
      <c r="D315" s="26">
        <v>2</v>
      </c>
      <c r="E315" s="17">
        <v>1</v>
      </c>
    </row>
    <row r="316" spans="1:12">
      <c r="A316" s="19" t="str">
        <f t="shared" si="26"/>
        <v>2|0|0</v>
      </c>
      <c r="B316" s="26">
        <v>2</v>
      </c>
      <c r="C316" s="26">
        <v>0</v>
      </c>
      <c r="D316" s="26">
        <v>0</v>
      </c>
      <c r="E316" s="17">
        <v>0</v>
      </c>
    </row>
    <row r="317" spans="1:12">
      <c r="A317" s="19" t="str">
        <f t="shared" si="26"/>
        <v>2|0|1</v>
      </c>
      <c r="B317" s="26">
        <v>2</v>
      </c>
      <c r="C317" s="26">
        <v>0</v>
      </c>
      <c r="D317" s="26">
        <v>1</v>
      </c>
      <c r="E317" s="17">
        <v>0</v>
      </c>
    </row>
    <row r="318" spans="1:12">
      <c r="A318" s="19" t="str">
        <f t="shared" si="26"/>
        <v>2|0|2</v>
      </c>
      <c r="B318" s="26">
        <v>2</v>
      </c>
      <c r="C318" s="26">
        <v>0</v>
      </c>
      <c r="D318" s="26">
        <v>2</v>
      </c>
      <c r="E318" s="17">
        <v>0</v>
      </c>
    </row>
    <row r="319" spans="1:12">
      <c r="A319" s="19" t="str">
        <f t="shared" si="26"/>
        <v>2|1|0</v>
      </c>
      <c r="B319" s="26">
        <v>2</v>
      </c>
      <c r="C319" s="26">
        <v>1</v>
      </c>
      <c r="D319" s="26">
        <v>0</v>
      </c>
      <c r="E319" s="17">
        <v>1</v>
      </c>
    </row>
    <row r="320" spans="1:12">
      <c r="A320" s="19" t="str">
        <f t="shared" si="26"/>
        <v>2|1|1</v>
      </c>
      <c r="B320" s="26">
        <v>2</v>
      </c>
      <c r="C320" s="26">
        <v>1</v>
      </c>
      <c r="D320" s="26">
        <v>1</v>
      </c>
      <c r="E320" s="17">
        <v>0.66666666666666663</v>
      </c>
    </row>
    <row r="321" spans="1:12">
      <c r="A321" s="19" t="str">
        <f t="shared" si="26"/>
        <v>2|1|2</v>
      </c>
      <c r="B321" s="26">
        <v>2</v>
      </c>
      <c r="C321" s="26">
        <v>1</v>
      </c>
      <c r="D321" s="26">
        <v>2</v>
      </c>
      <c r="E321" s="17">
        <v>1</v>
      </c>
    </row>
    <row r="322" spans="1:12" ht="60" customHeight="1">
      <c r="A322" s="34" t="s">
        <v>328</v>
      </c>
      <c r="B322" s="31"/>
      <c r="C322" s="31"/>
      <c r="D322" s="31"/>
      <c r="E322" s="31"/>
      <c r="F322" s="31"/>
      <c r="G322" s="31"/>
      <c r="H322" s="31"/>
    </row>
    <row r="323" spans="1:12" ht="30">
      <c r="A323" s="6" t="s">
        <v>329</v>
      </c>
      <c r="B323" s="16">
        <v>0</v>
      </c>
    </row>
    <row r="324" spans="1:12" ht="30" customHeight="1">
      <c r="A324" s="6" t="s">
        <v>330</v>
      </c>
      <c r="B324" s="16">
        <v>0.08</v>
      </c>
      <c r="C324" s="34" t="s">
        <v>331</v>
      </c>
      <c r="D324" s="31"/>
      <c r="E324" s="31"/>
      <c r="F324" s="31"/>
      <c r="G324" s="31"/>
      <c r="H324" s="31"/>
    </row>
    <row r="326" spans="1:12">
      <c r="A326" s="33" t="s">
        <v>332</v>
      </c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</row>
    <row r="327" spans="1:12" ht="32.1" customHeight="1">
      <c r="A327" s="12" t="s">
        <v>333</v>
      </c>
      <c r="B327" s="12" t="s">
        <v>334</v>
      </c>
      <c r="C327" s="12" t="s">
        <v>335</v>
      </c>
      <c r="D327" s="12" t="s">
        <v>336</v>
      </c>
      <c r="E327" s="12" t="s">
        <v>337</v>
      </c>
      <c r="G327" s="12" t="s">
        <v>338</v>
      </c>
      <c r="H327" s="12" t="s">
        <v>334</v>
      </c>
      <c r="I327" s="12" t="s">
        <v>335</v>
      </c>
      <c r="J327" s="12" t="s">
        <v>336</v>
      </c>
      <c r="K327" s="12" t="s">
        <v>337</v>
      </c>
    </row>
    <row r="328" spans="1:12">
      <c r="A328" s="18">
        <f>Tz_nasc_a+60+0</f>
        <v>2038</v>
      </c>
      <c r="B328" s="18">
        <f t="shared" ref="B328:B348" si="27">INDEX(REQ_ord,MIN(A328,REQ_a1)-REQ_a0+1)-(A328-Tz_nasc_a)*12+Tz_nasc_m</f>
        <v>99</v>
      </c>
      <c r="C328" s="18" t="str">
        <f t="shared" ref="C328:C348" si="28">IF(B328&lt;=12,A328,"")</f>
        <v/>
      </c>
      <c r="D328" s="18">
        <f t="shared" ref="D328:D348" si="29">INDEX(REQ_71,MIN(A328,REQ_a1)-REQ_a0+1)-(A328-Tz_nasc_a)*12+Tz_nasc_m</f>
        <v>147</v>
      </c>
      <c r="E328" s="18" t="str">
        <f t="shared" ref="E328:E348" si="30">IF(D328&lt;=12,A328,"")</f>
        <v/>
      </c>
      <c r="G328" s="18">
        <f>Cm_nasc_a+60+0</f>
        <v>2043</v>
      </c>
      <c r="H328" s="18">
        <f t="shared" ref="H328:H348" si="31">INDEX(REQ_ord,MIN(G328,REQ_a1)-REQ_a0+1)-(G328-Cm_nasc_a)*12+Cm_nasc_m</f>
        <v>111</v>
      </c>
      <c r="I328" s="18" t="str">
        <f t="shared" ref="I328:I348" si="32">IF(H328&lt;=12,G328,"")</f>
        <v/>
      </c>
      <c r="J328" s="18">
        <f t="shared" ref="J328:J348" si="33">INDEX(REQ_71,MIN(G328,REQ_a1)-REQ_a0+1)-(G328-Cm_nasc_a)*12+Cm_nasc_m</f>
        <v>159</v>
      </c>
      <c r="K328" s="18" t="str">
        <f t="shared" ref="K328:K348" si="34">IF(J328&lt;=12,G328,"")</f>
        <v/>
      </c>
    </row>
    <row r="329" spans="1:12">
      <c r="A329" s="18">
        <f>Tz_nasc_a+60+1</f>
        <v>2039</v>
      </c>
      <c r="B329" s="18">
        <f t="shared" si="27"/>
        <v>89</v>
      </c>
      <c r="C329" s="18" t="str">
        <f t="shared" si="28"/>
        <v/>
      </c>
      <c r="D329" s="18">
        <f t="shared" si="29"/>
        <v>137</v>
      </c>
      <c r="E329" s="18" t="str">
        <f t="shared" si="30"/>
        <v/>
      </c>
      <c r="G329" s="18">
        <f>Cm_nasc_a+60+1</f>
        <v>2044</v>
      </c>
      <c r="H329" s="18">
        <f t="shared" si="31"/>
        <v>99</v>
      </c>
      <c r="I329" s="18" t="str">
        <f t="shared" si="32"/>
        <v/>
      </c>
      <c r="J329" s="18">
        <f t="shared" si="33"/>
        <v>147</v>
      </c>
      <c r="K329" s="18" t="str">
        <f t="shared" si="34"/>
        <v/>
      </c>
    </row>
    <row r="330" spans="1:12">
      <c r="A330" s="18">
        <f>Tz_nasc_a+60+2</f>
        <v>2040</v>
      </c>
      <c r="B330" s="18">
        <f t="shared" si="27"/>
        <v>77</v>
      </c>
      <c r="C330" s="18" t="str">
        <f t="shared" si="28"/>
        <v/>
      </c>
      <c r="D330" s="18">
        <f t="shared" si="29"/>
        <v>125</v>
      </c>
      <c r="E330" s="18" t="str">
        <f t="shared" si="30"/>
        <v/>
      </c>
      <c r="G330" s="18">
        <f>Cm_nasc_a+60+2</f>
        <v>2045</v>
      </c>
      <c r="H330" s="18">
        <f t="shared" si="31"/>
        <v>89</v>
      </c>
      <c r="I330" s="18" t="str">
        <f t="shared" si="32"/>
        <v/>
      </c>
      <c r="J330" s="18">
        <f t="shared" si="33"/>
        <v>137</v>
      </c>
      <c r="K330" s="18" t="str">
        <f t="shared" si="34"/>
        <v/>
      </c>
    </row>
    <row r="331" spans="1:12">
      <c r="A331" s="18">
        <f>Tz_nasc_a+60+3</f>
        <v>2041</v>
      </c>
      <c r="B331" s="18">
        <f t="shared" si="27"/>
        <v>67</v>
      </c>
      <c r="C331" s="18" t="str">
        <f t="shared" si="28"/>
        <v/>
      </c>
      <c r="D331" s="18">
        <f t="shared" si="29"/>
        <v>115</v>
      </c>
      <c r="E331" s="18" t="str">
        <f t="shared" si="30"/>
        <v/>
      </c>
      <c r="G331" s="18">
        <f>Cm_nasc_a+60+3</f>
        <v>2046</v>
      </c>
      <c r="H331" s="18">
        <f t="shared" si="31"/>
        <v>77</v>
      </c>
      <c r="I331" s="18" t="str">
        <f t="shared" si="32"/>
        <v/>
      </c>
      <c r="J331" s="18">
        <f t="shared" si="33"/>
        <v>125</v>
      </c>
      <c r="K331" s="18" t="str">
        <f t="shared" si="34"/>
        <v/>
      </c>
    </row>
    <row r="332" spans="1:12">
      <c r="A332" s="18">
        <f>Tz_nasc_a+60+4</f>
        <v>2042</v>
      </c>
      <c r="B332" s="18">
        <f t="shared" si="27"/>
        <v>55</v>
      </c>
      <c r="C332" s="18" t="str">
        <f t="shared" si="28"/>
        <v/>
      </c>
      <c r="D332" s="18">
        <f t="shared" si="29"/>
        <v>103</v>
      </c>
      <c r="E332" s="18" t="str">
        <f t="shared" si="30"/>
        <v/>
      </c>
      <c r="G332" s="18">
        <f>Cm_nasc_a+60+4</f>
        <v>2047</v>
      </c>
      <c r="H332" s="18">
        <f t="shared" si="31"/>
        <v>67</v>
      </c>
      <c r="I332" s="18" t="str">
        <f t="shared" si="32"/>
        <v/>
      </c>
      <c r="J332" s="18">
        <f t="shared" si="33"/>
        <v>115</v>
      </c>
      <c r="K332" s="18" t="str">
        <f t="shared" si="34"/>
        <v/>
      </c>
    </row>
    <row r="333" spans="1:12">
      <c r="A333" s="18">
        <f>Tz_nasc_a+60+5</f>
        <v>2043</v>
      </c>
      <c r="B333" s="18">
        <f t="shared" si="27"/>
        <v>45</v>
      </c>
      <c r="C333" s="18" t="str">
        <f t="shared" si="28"/>
        <v/>
      </c>
      <c r="D333" s="18">
        <f t="shared" si="29"/>
        <v>93</v>
      </c>
      <c r="E333" s="18" t="str">
        <f t="shared" si="30"/>
        <v/>
      </c>
      <c r="G333" s="18">
        <f>Cm_nasc_a+60+5</f>
        <v>2048</v>
      </c>
      <c r="H333" s="18">
        <f t="shared" si="31"/>
        <v>55</v>
      </c>
      <c r="I333" s="18" t="str">
        <f t="shared" si="32"/>
        <v/>
      </c>
      <c r="J333" s="18">
        <f t="shared" si="33"/>
        <v>103</v>
      </c>
      <c r="K333" s="18" t="str">
        <f t="shared" si="34"/>
        <v/>
      </c>
    </row>
    <row r="334" spans="1:12">
      <c r="A334" s="18">
        <f>Tz_nasc_a+60+6</f>
        <v>2044</v>
      </c>
      <c r="B334" s="18">
        <f t="shared" si="27"/>
        <v>33</v>
      </c>
      <c r="C334" s="18" t="str">
        <f t="shared" si="28"/>
        <v/>
      </c>
      <c r="D334" s="18">
        <f t="shared" si="29"/>
        <v>81</v>
      </c>
      <c r="E334" s="18" t="str">
        <f t="shared" si="30"/>
        <v/>
      </c>
      <c r="G334" s="18">
        <f>Cm_nasc_a+60+6</f>
        <v>2049</v>
      </c>
      <c r="H334" s="18">
        <f t="shared" si="31"/>
        <v>45</v>
      </c>
      <c r="I334" s="18" t="str">
        <f t="shared" si="32"/>
        <v/>
      </c>
      <c r="J334" s="18">
        <f t="shared" si="33"/>
        <v>93</v>
      </c>
      <c r="K334" s="18" t="str">
        <f t="shared" si="34"/>
        <v/>
      </c>
    </row>
    <row r="335" spans="1:12">
      <c r="A335" s="18">
        <f>Tz_nasc_a+60+7</f>
        <v>2045</v>
      </c>
      <c r="B335" s="18">
        <f t="shared" si="27"/>
        <v>23</v>
      </c>
      <c r="C335" s="18" t="str">
        <f t="shared" si="28"/>
        <v/>
      </c>
      <c r="D335" s="18">
        <f t="shared" si="29"/>
        <v>71</v>
      </c>
      <c r="E335" s="18" t="str">
        <f t="shared" si="30"/>
        <v/>
      </c>
      <c r="G335" s="18">
        <f>Cm_nasc_a+60+7</f>
        <v>2050</v>
      </c>
      <c r="H335" s="18">
        <f t="shared" si="31"/>
        <v>33</v>
      </c>
      <c r="I335" s="18" t="str">
        <f t="shared" si="32"/>
        <v/>
      </c>
      <c r="J335" s="18">
        <f t="shared" si="33"/>
        <v>81</v>
      </c>
      <c r="K335" s="18" t="str">
        <f t="shared" si="34"/>
        <v/>
      </c>
    </row>
    <row r="336" spans="1:12">
      <c r="A336" s="18">
        <f>Tz_nasc_a+60+8</f>
        <v>2046</v>
      </c>
      <c r="B336" s="18">
        <f t="shared" si="27"/>
        <v>11</v>
      </c>
      <c r="C336" s="18">
        <f t="shared" si="28"/>
        <v>2046</v>
      </c>
      <c r="D336" s="18">
        <f t="shared" si="29"/>
        <v>59</v>
      </c>
      <c r="E336" s="18" t="str">
        <f t="shared" si="30"/>
        <v/>
      </c>
      <c r="G336" s="18">
        <f>Cm_nasc_a+60+8</f>
        <v>2051</v>
      </c>
      <c r="H336" s="18">
        <f t="shared" si="31"/>
        <v>23</v>
      </c>
      <c r="I336" s="18" t="str">
        <f t="shared" si="32"/>
        <v/>
      </c>
      <c r="J336" s="18">
        <f t="shared" si="33"/>
        <v>71</v>
      </c>
      <c r="K336" s="18" t="str">
        <f t="shared" si="34"/>
        <v/>
      </c>
    </row>
    <row r="337" spans="1:11">
      <c r="A337" s="18">
        <f>Tz_nasc_a+60+9</f>
        <v>2047</v>
      </c>
      <c r="B337" s="18">
        <f t="shared" si="27"/>
        <v>1</v>
      </c>
      <c r="C337" s="18">
        <f t="shared" si="28"/>
        <v>2047</v>
      </c>
      <c r="D337" s="18">
        <f t="shared" si="29"/>
        <v>49</v>
      </c>
      <c r="E337" s="18" t="str">
        <f t="shared" si="30"/>
        <v/>
      </c>
      <c r="G337" s="18">
        <f>Cm_nasc_a+60+9</f>
        <v>2052</v>
      </c>
      <c r="H337" s="18">
        <f t="shared" si="31"/>
        <v>11</v>
      </c>
      <c r="I337" s="18">
        <f t="shared" si="32"/>
        <v>2052</v>
      </c>
      <c r="J337" s="18">
        <f t="shared" si="33"/>
        <v>59</v>
      </c>
      <c r="K337" s="18" t="str">
        <f t="shared" si="34"/>
        <v/>
      </c>
    </row>
    <row r="338" spans="1:11">
      <c r="A338" s="18">
        <f>Tz_nasc_a+60+10</f>
        <v>2048</v>
      </c>
      <c r="B338" s="18">
        <f t="shared" si="27"/>
        <v>-11</v>
      </c>
      <c r="C338" s="18">
        <f t="shared" si="28"/>
        <v>2048</v>
      </c>
      <c r="D338" s="18">
        <f t="shared" si="29"/>
        <v>37</v>
      </c>
      <c r="E338" s="18" t="str">
        <f t="shared" si="30"/>
        <v/>
      </c>
      <c r="G338" s="18">
        <f>Cm_nasc_a+60+10</f>
        <v>2053</v>
      </c>
      <c r="H338" s="18">
        <f t="shared" si="31"/>
        <v>0</v>
      </c>
      <c r="I338" s="18">
        <f t="shared" si="32"/>
        <v>2053</v>
      </c>
      <c r="J338" s="18">
        <f t="shared" si="33"/>
        <v>48</v>
      </c>
      <c r="K338" s="18" t="str">
        <f t="shared" si="34"/>
        <v/>
      </c>
    </row>
    <row r="339" spans="1:11">
      <c r="A339" s="18">
        <f>Tz_nasc_a+60+11</f>
        <v>2049</v>
      </c>
      <c r="B339" s="18">
        <f t="shared" si="27"/>
        <v>-21</v>
      </c>
      <c r="C339" s="18">
        <f t="shared" si="28"/>
        <v>2049</v>
      </c>
      <c r="D339" s="18">
        <f t="shared" si="29"/>
        <v>27</v>
      </c>
      <c r="E339" s="18" t="str">
        <f t="shared" si="30"/>
        <v/>
      </c>
      <c r="G339" s="18">
        <f>Cm_nasc_a+60+11</f>
        <v>2054</v>
      </c>
      <c r="H339" s="18">
        <f t="shared" si="31"/>
        <v>-12</v>
      </c>
      <c r="I339" s="18">
        <f t="shared" si="32"/>
        <v>2054</v>
      </c>
      <c r="J339" s="18">
        <f t="shared" si="33"/>
        <v>36</v>
      </c>
      <c r="K339" s="18" t="str">
        <f t="shared" si="34"/>
        <v/>
      </c>
    </row>
    <row r="340" spans="1:11">
      <c r="A340" s="18">
        <f>Tz_nasc_a+60+12</f>
        <v>2050</v>
      </c>
      <c r="B340" s="18">
        <f t="shared" si="27"/>
        <v>-33</v>
      </c>
      <c r="C340" s="18">
        <f t="shared" si="28"/>
        <v>2050</v>
      </c>
      <c r="D340" s="18">
        <f t="shared" si="29"/>
        <v>15</v>
      </c>
      <c r="E340" s="18" t="str">
        <f t="shared" si="30"/>
        <v/>
      </c>
      <c r="G340" s="18">
        <f>Cm_nasc_a+60+12</f>
        <v>2055</v>
      </c>
      <c r="H340" s="18">
        <f t="shared" si="31"/>
        <v>-22</v>
      </c>
      <c r="I340" s="18">
        <f t="shared" si="32"/>
        <v>2055</v>
      </c>
      <c r="J340" s="18">
        <f t="shared" si="33"/>
        <v>26</v>
      </c>
      <c r="K340" s="18" t="str">
        <f t="shared" si="34"/>
        <v/>
      </c>
    </row>
    <row r="341" spans="1:11">
      <c r="A341" s="18">
        <f>Tz_nasc_a+60+13</f>
        <v>2051</v>
      </c>
      <c r="B341" s="18">
        <f t="shared" si="27"/>
        <v>-43</v>
      </c>
      <c r="C341" s="18">
        <f t="shared" si="28"/>
        <v>2051</v>
      </c>
      <c r="D341" s="18">
        <f t="shared" si="29"/>
        <v>5</v>
      </c>
      <c r="E341" s="18">
        <f t="shared" si="30"/>
        <v>2051</v>
      </c>
      <c r="G341" s="18">
        <f>Cm_nasc_a+60+13</f>
        <v>2056</v>
      </c>
      <c r="H341" s="18">
        <f t="shared" si="31"/>
        <v>-34</v>
      </c>
      <c r="I341" s="18">
        <f t="shared" si="32"/>
        <v>2056</v>
      </c>
      <c r="J341" s="18">
        <f t="shared" si="33"/>
        <v>14</v>
      </c>
      <c r="K341" s="18" t="str">
        <f t="shared" si="34"/>
        <v/>
      </c>
    </row>
    <row r="342" spans="1:11">
      <c r="A342" s="18">
        <f>Tz_nasc_a+60+14</f>
        <v>2052</v>
      </c>
      <c r="B342" s="18">
        <f t="shared" si="27"/>
        <v>-55</v>
      </c>
      <c r="C342" s="18">
        <f t="shared" si="28"/>
        <v>2052</v>
      </c>
      <c r="D342" s="18">
        <f t="shared" si="29"/>
        <v>-7</v>
      </c>
      <c r="E342" s="18">
        <f t="shared" si="30"/>
        <v>2052</v>
      </c>
      <c r="G342" s="18">
        <f>Cm_nasc_a+60+14</f>
        <v>2057</v>
      </c>
      <c r="H342" s="18">
        <f t="shared" si="31"/>
        <v>-44</v>
      </c>
      <c r="I342" s="18">
        <f t="shared" si="32"/>
        <v>2057</v>
      </c>
      <c r="J342" s="18">
        <f t="shared" si="33"/>
        <v>4</v>
      </c>
      <c r="K342" s="18">
        <f t="shared" si="34"/>
        <v>2057</v>
      </c>
    </row>
    <row r="343" spans="1:11">
      <c r="A343" s="18">
        <f>Tz_nasc_a+60+15</f>
        <v>2053</v>
      </c>
      <c r="B343" s="18">
        <f t="shared" si="27"/>
        <v>-66</v>
      </c>
      <c r="C343" s="18">
        <f t="shared" si="28"/>
        <v>2053</v>
      </c>
      <c r="D343" s="18">
        <f t="shared" si="29"/>
        <v>-18</v>
      </c>
      <c r="E343" s="18">
        <f t="shared" si="30"/>
        <v>2053</v>
      </c>
      <c r="G343" s="18">
        <f>Cm_nasc_a+60+15</f>
        <v>2058</v>
      </c>
      <c r="H343" s="18">
        <f t="shared" si="31"/>
        <v>-56</v>
      </c>
      <c r="I343" s="18">
        <f t="shared" si="32"/>
        <v>2058</v>
      </c>
      <c r="J343" s="18">
        <f t="shared" si="33"/>
        <v>-8</v>
      </c>
      <c r="K343" s="18">
        <f t="shared" si="34"/>
        <v>2058</v>
      </c>
    </row>
    <row r="344" spans="1:11">
      <c r="A344" s="18">
        <f>Tz_nasc_a+60+16</f>
        <v>2054</v>
      </c>
      <c r="B344" s="18">
        <f t="shared" si="27"/>
        <v>-78</v>
      </c>
      <c r="C344" s="18">
        <f t="shared" si="28"/>
        <v>2054</v>
      </c>
      <c r="D344" s="18">
        <f t="shared" si="29"/>
        <v>-30</v>
      </c>
      <c r="E344" s="18">
        <f t="shared" si="30"/>
        <v>2054</v>
      </c>
      <c r="G344" s="18">
        <f>Cm_nasc_a+60+16</f>
        <v>2059</v>
      </c>
      <c r="H344" s="18">
        <f t="shared" si="31"/>
        <v>-66</v>
      </c>
      <c r="I344" s="18">
        <f t="shared" si="32"/>
        <v>2059</v>
      </c>
      <c r="J344" s="18">
        <f t="shared" si="33"/>
        <v>-18</v>
      </c>
      <c r="K344" s="18">
        <f t="shared" si="34"/>
        <v>2059</v>
      </c>
    </row>
    <row r="345" spans="1:11">
      <c r="A345" s="18">
        <f>Tz_nasc_a+60+17</f>
        <v>2055</v>
      </c>
      <c r="B345" s="18">
        <f t="shared" si="27"/>
        <v>-88</v>
      </c>
      <c r="C345" s="18">
        <f t="shared" si="28"/>
        <v>2055</v>
      </c>
      <c r="D345" s="18">
        <f t="shared" si="29"/>
        <v>-40</v>
      </c>
      <c r="E345" s="18">
        <f t="shared" si="30"/>
        <v>2055</v>
      </c>
      <c r="G345" s="18">
        <f>Cm_nasc_a+60+17</f>
        <v>2060</v>
      </c>
      <c r="H345" s="18">
        <f t="shared" si="31"/>
        <v>-78</v>
      </c>
      <c r="I345" s="18">
        <f t="shared" si="32"/>
        <v>2060</v>
      </c>
      <c r="J345" s="18">
        <f t="shared" si="33"/>
        <v>-30</v>
      </c>
      <c r="K345" s="18">
        <f t="shared" si="34"/>
        <v>2060</v>
      </c>
    </row>
    <row r="346" spans="1:11">
      <c r="A346" s="18">
        <f>Tz_nasc_a+60+18</f>
        <v>2056</v>
      </c>
      <c r="B346" s="18">
        <f t="shared" si="27"/>
        <v>-100</v>
      </c>
      <c r="C346" s="18">
        <f t="shared" si="28"/>
        <v>2056</v>
      </c>
      <c r="D346" s="18">
        <f t="shared" si="29"/>
        <v>-52</v>
      </c>
      <c r="E346" s="18">
        <f t="shared" si="30"/>
        <v>2056</v>
      </c>
      <c r="G346" s="18">
        <f>Cm_nasc_a+60+18</f>
        <v>2061</v>
      </c>
      <c r="H346" s="18">
        <f t="shared" si="31"/>
        <v>-89</v>
      </c>
      <c r="I346" s="18">
        <f t="shared" si="32"/>
        <v>2061</v>
      </c>
      <c r="J346" s="18">
        <f t="shared" si="33"/>
        <v>-41</v>
      </c>
      <c r="K346" s="18">
        <f t="shared" si="34"/>
        <v>2061</v>
      </c>
    </row>
    <row r="347" spans="1:11">
      <c r="A347" s="18">
        <f>Tz_nasc_a+60+19</f>
        <v>2057</v>
      </c>
      <c r="B347" s="18">
        <f t="shared" si="27"/>
        <v>-110</v>
      </c>
      <c r="C347" s="18">
        <f t="shared" si="28"/>
        <v>2057</v>
      </c>
      <c r="D347" s="18">
        <f t="shared" si="29"/>
        <v>-62</v>
      </c>
      <c r="E347" s="18">
        <f t="shared" si="30"/>
        <v>2057</v>
      </c>
      <c r="G347" s="18">
        <f>Cm_nasc_a+60+19</f>
        <v>2062</v>
      </c>
      <c r="H347" s="18">
        <f t="shared" si="31"/>
        <v>-101</v>
      </c>
      <c r="I347" s="18">
        <f t="shared" si="32"/>
        <v>2062</v>
      </c>
      <c r="J347" s="18">
        <f t="shared" si="33"/>
        <v>-53</v>
      </c>
      <c r="K347" s="18">
        <f t="shared" si="34"/>
        <v>2062</v>
      </c>
    </row>
    <row r="348" spans="1:11">
      <c r="A348" s="18">
        <f>Tz_nasc_a+60+20</f>
        <v>2058</v>
      </c>
      <c r="B348" s="18">
        <f t="shared" si="27"/>
        <v>-122</v>
      </c>
      <c r="C348" s="18">
        <f t="shared" si="28"/>
        <v>2058</v>
      </c>
      <c r="D348" s="18">
        <f t="shared" si="29"/>
        <v>-74</v>
      </c>
      <c r="E348" s="18">
        <f t="shared" si="30"/>
        <v>2058</v>
      </c>
      <c r="G348" s="18">
        <f>Cm_nasc_a+60+20</f>
        <v>2063</v>
      </c>
      <c r="H348" s="18">
        <f t="shared" si="31"/>
        <v>-112</v>
      </c>
      <c r="I348" s="18">
        <f t="shared" si="32"/>
        <v>2063</v>
      </c>
      <c r="J348" s="18">
        <f t="shared" si="33"/>
        <v>-64</v>
      </c>
      <c r="K348" s="18">
        <f t="shared" si="34"/>
        <v>2063</v>
      </c>
    </row>
    <row r="349" spans="1:11">
      <c r="A349" s="12" t="s">
        <v>71</v>
      </c>
      <c r="B349" s="12" t="s">
        <v>339</v>
      </c>
      <c r="C349" s="12" t="s">
        <v>340</v>
      </c>
      <c r="G349" s="12" t="s">
        <v>72</v>
      </c>
      <c r="H349" s="12" t="s">
        <v>339</v>
      </c>
      <c r="I349" s="12" t="s">
        <v>340</v>
      </c>
    </row>
    <row r="350" spans="1:11" ht="30">
      <c r="A350" s="6" t="s">
        <v>341</v>
      </c>
      <c r="B350" s="18">
        <f>MIN(C328:C348)</f>
        <v>2046</v>
      </c>
      <c r="C350" s="18">
        <f>MIN(E328:E348)</f>
        <v>2051</v>
      </c>
      <c r="G350" s="6" t="s">
        <v>341</v>
      </c>
      <c r="H350" s="18">
        <f>MIN(I328:I348)</f>
        <v>2052</v>
      </c>
      <c r="I350" s="18">
        <f>MIN(K328:K348)</f>
        <v>2057</v>
      </c>
    </row>
    <row r="351" spans="1:11">
      <c r="A351" s="6" t="s">
        <v>342</v>
      </c>
      <c r="B351" s="18">
        <f>MAX(1,INDEX(B328:B348,MATCH(B350,A328:A348,0)))</f>
        <v>11</v>
      </c>
      <c r="C351" s="18">
        <f>MAX(1,INDEX(D328:D348,MATCH(C350,A328:A348,0)))</f>
        <v>5</v>
      </c>
      <c r="G351" s="6" t="s">
        <v>342</v>
      </c>
      <c r="H351" s="18">
        <f>MAX(1,INDEX(H328:H348,MATCH(H350,G328:G348,0)))</f>
        <v>11</v>
      </c>
      <c r="I351" s="18">
        <f>MAX(1,INDEX(J328:J348,MATCH(I350,G328:G348,0)))</f>
        <v>4</v>
      </c>
    </row>
    <row r="352" spans="1:11">
      <c r="A352" s="6" t="s">
        <v>343</v>
      </c>
      <c r="B352" s="18">
        <f>(B350-Tz_nasc_a)*12+B351-Tz_nasc_m+1</f>
        <v>825</v>
      </c>
      <c r="C352" s="18">
        <f>(C350-Tz_nasc_a)*12+C351-Tz_nasc_m+1</f>
        <v>879</v>
      </c>
      <c r="G352" s="6" t="s">
        <v>343</v>
      </c>
      <c r="H352" s="18">
        <f>(H350-Cm_nasc_a)*12+H351-Cm_nasc_m+1</f>
        <v>831</v>
      </c>
      <c r="I352" s="18">
        <f>(I350-Cm_nasc_a)*12+I351-Cm_nasc_m+1</f>
        <v>884</v>
      </c>
    </row>
    <row r="353" spans="1:28">
      <c r="A353" s="6" t="s">
        <v>344</v>
      </c>
      <c r="B353" s="18">
        <f>B350+IF(B351=12,1,0)</f>
        <v>2046</v>
      </c>
      <c r="C353" s="18">
        <f>C350+IF(C351=12,1,0)</f>
        <v>2051</v>
      </c>
      <c r="G353" s="6" t="s">
        <v>344</v>
      </c>
      <c r="H353" s="18">
        <f>H350+IF(H351=12,1,0)</f>
        <v>2052</v>
      </c>
      <c r="I353" s="18">
        <f>I350+IF(I351=12,1,0)</f>
        <v>2057</v>
      </c>
    </row>
    <row r="354" spans="1:28">
      <c r="A354" s="6" t="s">
        <v>345</v>
      </c>
      <c r="B354" s="18">
        <f>IF(B351=12,1,B351+1)</f>
        <v>12</v>
      </c>
      <c r="C354" s="18">
        <f>IF(C351=12,1,C351+1)</f>
        <v>6</v>
      </c>
      <c r="G354" s="6" t="s">
        <v>345</v>
      </c>
      <c r="H354" s="18">
        <f>IF(H351=12,1,H351+1)</f>
        <v>12</v>
      </c>
      <c r="I354" s="18">
        <f>IF(I351=12,1,I351+1)</f>
        <v>5</v>
      </c>
    </row>
    <row r="355" spans="1:28">
      <c r="A355" s="6" t="s">
        <v>346</v>
      </c>
      <c r="B355" s="22">
        <f>IF(B352/12&gt;=71,INDEX(CT_val,15),IF(B352/12&lt;=57,INDEX(CT_val,1),INDEX(CT_val,INT(B352/12)-56)+(B352/12-INT(B352/12))*(INDEX(CT_val,INT(B352/12)-55)-INDEX(CT_val,INT(B352/12)-56))))</f>
        <v>5.9700000000000003E-2</v>
      </c>
      <c r="C355" s="22">
        <f>IF(C352/12&gt;=71,INDEX(CT_val,15),IF(C352/12&lt;=57,INDEX(CT_val,1),INDEX(CT_val,INT(C352/12)-56)+(C352/12-INT(C352/12))*(INDEX(CT_val,INT(C352/12)-55)-INDEX(CT_val,INT(C352/12)-56))))</f>
        <v>6.5099999999999991E-2</v>
      </c>
      <c r="G355" s="6" t="s">
        <v>346</v>
      </c>
      <c r="H355" s="22">
        <f>IF(H352/12&gt;=71,INDEX(CT_val,15),IF(H352/12&lt;=57,INDEX(CT_val,1),INDEX(CT_val,INT(H352/12)-56)+(H352/12-INT(H352/12))*(INDEX(CT_val,INT(H352/12)-55)-INDEX(CT_val,INT(H352/12)-56))))</f>
        <v>6.0825000000000004E-2</v>
      </c>
      <c r="I355" s="22">
        <f>IF(I352/12&gt;=71,INDEX(CT_val,15),IF(I352/12&lt;=57,INDEX(CT_val,1),INDEX(CT_val,INT(I352/12)-56)+(I352/12-INT(I352/12))*(INDEX(CT_val,INT(I352/12)-55)-INDEX(CT_val,INT(I352/12)-56))))</f>
        <v>6.5099999999999991E-2</v>
      </c>
    </row>
    <row r="356" spans="1:28">
      <c r="A356" s="6" t="s">
        <v>347</v>
      </c>
      <c r="B356" s="25">
        <f>IF(p_banda="revisione continua",lam_C0*INDEX(K_raw,MIN(MAX(B352,684),852)-683)/INDEX(K_raw,127),IF(p_banda="revisione accelerata",lam_A0*INDEX(K_raw,MIN(MAX(B352,684),852)-683)/INDEX(K_raw,145),0))</f>
        <v>0</v>
      </c>
      <c r="C356" s="25">
        <f>IF(p_banda="revisione continua",lam_C0*INDEX(K_raw,MIN(MAX(C352,684),852)-683)/INDEX(K_raw,127),IF(p_banda="revisione accelerata",lam_A0*INDEX(K_raw,MIN(MAX(C352,684),852)-683)/INDEX(K_raw,145),0))</f>
        <v>0</v>
      </c>
      <c r="G356" s="6" t="s">
        <v>347</v>
      </c>
      <c r="H356" s="25">
        <f>IF(p_banda="revisione continua",lam_C0*INDEX(K_raw,MIN(MAX(H352,684),852)-683)/INDEX(K_raw,127),IF(p_banda="revisione accelerata",lam_A0*INDEX(K_raw,MIN(MAX(H352,684),852)-683)/INDEX(K_raw,145),0))</f>
        <v>0</v>
      </c>
      <c r="I356" s="25">
        <f>IF(p_banda="revisione continua",lam_C0*INDEX(K_raw,MIN(MAX(I352,684),852)-683)/INDEX(K_raw,127),IF(p_banda="revisione accelerata",lam_A0*INDEX(K_raw,MIN(MAX(I352,684),852)-683)/INDEX(K_raw,145),0))</f>
        <v>0</v>
      </c>
    </row>
    <row r="357" spans="1:28">
      <c r="A357" s="6" t="s">
        <v>348</v>
      </c>
      <c r="B357" s="25">
        <f>EXP(-B356*MAX(0,B353-2026))</f>
        <v>1</v>
      </c>
      <c r="C357" s="25">
        <f>EXP(-C356*MAX(0,C353-2026))</f>
        <v>1</v>
      </c>
      <c r="G357" s="6" t="s">
        <v>348</v>
      </c>
      <c r="H357" s="25">
        <f>EXP(-H356*MAX(0,H353-2026))</f>
        <v>1</v>
      </c>
      <c r="I357" s="25">
        <f>EXP(-I356*MAX(0,I353-2026))</f>
        <v>1</v>
      </c>
    </row>
    <row r="358" spans="1:28">
      <c r="A358" s="6" t="s">
        <v>349</v>
      </c>
      <c r="B358" s="22">
        <f>B355*B357</f>
        <v>5.9700000000000003E-2</v>
      </c>
      <c r="C358" s="22">
        <f>C355*C357</f>
        <v>6.5099999999999991E-2</v>
      </c>
      <c r="G358" s="6" t="s">
        <v>349</v>
      </c>
      <c r="H358" s="22">
        <f>H355*H357</f>
        <v>6.0825000000000004E-2</v>
      </c>
      <c r="I358" s="22">
        <f>I355*I357</f>
        <v>6.5099999999999991E-2</v>
      </c>
    </row>
    <row r="360" spans="1:28">
      <c r="A360" s="33" t="s">
        <v>350</v>
      </c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</row>
    <row r="361" spans="1:28" ht="48" customHeight="1">
      <c r="A361" s="12" t="s">
        <v>351</v>
      </c>
      <c r="B361" s="12" t="s">
        <v>177</v>
      </c>
      <c r="C361" s="12" t="s">
        <v>178</v>
      </c>
      <c r="D361" s="12" t="s">
        <v>179</v>
      </c>
      <c r="E361" s="12" t="s">
        <v>352</v>
      </c>
      <c r="F361" s="12" t="s">
        <v>353</v>
      </c>
      <c r="G361" s="12" t="s">
        <v>354</v>
      </c>
      <c r="H361" s="12" t="s">
        <v>355</v>
      </c>
      <c r="I361" s="12" t="s">
        <v>356</v>
      </c>
      <c r="J361" s="12" t="s">
        <v>357</v>
      </c>
      <c r="K361" s="12" t="s">
        <v>358</v>
      </c>
      <c r="L361" s="12" t="s">
        <v>359</v>
      </c>
      <c r="M361" s="12" t="s">
        <v>360</v>
      </c>
      <c r="N361" s="12" t="s">
        <v>361</v>
      </c>
      <c r="O361" s="12" t="s">
        <v>362</v>
      </c>
      <c r="P361" s="12" t="s">
        <v>363</v>
      </c>
      <c r="Q361" s="12" t="s">
        <v>364</v>
      </c>
      <c r="R361" s="12" t="s">
        <v>365</v>
      </c>
      <c r="S361" s="12" t="s">
        <v>366</v>
      </c>
      <c r="T361" s="12" t="s">
        <v>367</v>
      </c>
      <c r="U361" s="12" t="s">
        <v>368</v>
      </c>
      <c r="V361" s="12" t="s">
        <v>369</v>
      </c>
      <c r="W361" s="12" t="s">
        <v>370</v>
      </c>
      <c r="X361" s="12" t="s">
        <v>371</v>
      </c>
      <c r="Y361" s="12" t="s">
        <v>372</v>
      </c>
      <c r="Z361" s="12" t="s">
        <v>373</v>
      </c>
      <c r="AA361" s="12" t="s">
        <v>374</v>
      </c>
      <c r="AB361" s="12" t="s">
        <v>375</v>
      </c>
    </row>
    <row r="362" spans="1:28" ht="30">
      <c r="A362" s="6" t="s">
        <v>180</v>
      </c>
      <c r="B362" s="18">
        <f>U_oggi_T</f>
        <v>2026</v>
      </c>
      <c r="C362" s="18">
        <f>U_com</f>
        <v>2029</v>
      </c>
      <c r="D362" s="18">
        <f>U_lib_T</f>
        <v>2026</v>
      </c>
      <c r="E362" s="18">
        <f>U_oggi_T+1</f>
        <v>2027</v>
      </c>
      <c r="F362" s="18">
        <f>U_oggi_T</f>
        <v>2026</v>
      </c>
      <c r="G362" s="21">
        <v>2026</v>
      </c>
      <c r="H362" s="21">
        <v>2027</v>
      </c>
      <c r="I362" s="21">
        <v>2028</v>
      </c>
      <c r="J362" s="21">
        <v>2029</v>
      </c>
      <c r="K362" s="21">
        <v>2030</v>
      </c>
      <c r="L362" s="21">
        <v>2031</v>
      </c>
      <c r="M362" s="21">
        <v>2032</v>
      </c>
      <c r="N362" s="21">
        <v>2033</v>
      </c>
      <c r="O362" s="21">
        <v>2034</v>
      </c>
      <c r="P362" s="21">
        <v>2035</v>
      </c>
      <c r="Q362" s="21">
        <v>2036</v>
      </c>
      <c r="R362" s="21">
        <v>2037</v>
      </c>
      <c r="S362" s="21">
        <v>2038</v>
      </c>
      <c r="T362" s="21">
        <v>2039</v>
      </c>
      <c r="U362" s="21">
        <v>2040</v>
      </c>
      <c r="V362" s="21">
        <v>2041</v>
      </c>
      <c r="W362" s="21">
        <v>2042</v>
      </c>
      <c r="X362" s="21">
        <v>2043</v>
      </c>
      <c r="Y362" s="21">
        <v>2044</v>
      </c>
      <c r="Z362" s="21">
        <v>2045</v>
      </c>
      <c r="AA362" s="18">
        <f>U_oggi_T</f>
        <v>2026</v>
      </c>
      <c r="AB362" s="18">
        <f>U_oggi_T</f>
        <v>2026</v>
      </c>
    </row>
    <row r="363" spans="1:28" ht="30">
      <c r="A363" s="6" t="s">
        <v>181</v>
      </c>
      <c r="B363" s="18">
        <f>U_oggi_C</f>
        <v>2026</v>
      </c>
      <c r="C363" s="18">
        <f>U_com</f>
        <v>2029</v>
      </c>
      <c r="D363" s="18">
        <f>U_lib_C</f>
        <v>2033</v>
      </c>
      <c r="E363" s="18">
        <f>U_oggi_C</f>
        <v>2026</v>
      </c>
      <c r="F363" s="18">
        <f>U_oggi_C+1</f>
        <v>2027</v>
      </c>
      <c r="G363" s="21">
        <v>2026</v>
      </c>
      <c r="H363" s="21">
        <v>2027</v>
      </c>
      <c r="I363" s="21">
        <v>2028</v>
      </c>
      <c r="J363" s="21">
        <v>2029</v>
      </c>
      <c r="K363" s="21">
        <v>2030</v>
      </c>
      <c r="L363" s="21">
        <v>2031</v>
      </c>
      <c r="M363" s="21">
        <v>2032</v>
      </c>
      <c r="N363" s="21">
        <v>2033</v>
      </c>
      <c r="O363" s="21">
        <v>2034</v>
      </c>
      <c r="P363" s="21">
        <v>2035</v>
      </c>
      <c r="Q363" s="21">
        <v>2036</v>
      </c>
      <c r="R363" s="21">
        <v>2037</v>
      </c>
      <c r="S363" s="21">
        <v>2038</v>
      </c>
      <c r="T363" s="21">
        <v>2039</v>
      </c>
      <c r="U363" s="21">
        <v>2040</v>
      </c>
      <c r="V363" s="21">
        <v>2041</v>
      </c>
      <c r="W363" s="21">
        <v>2042</v>
      </c>
      <c r="X363" s="21">
        <v>2043</v>
      </c>
      <c r="Y363" s="21">
        <v>2044</v>
      </c>
      <c r="Z363" s="21">
        <v>2045</v>
      </c>
      <c r="AA363" s="18">
        <f>U_oggi_C</f>
        <v>2026</v>
      </c>
      <c r="AB363" s="18">
        <f>U_oggi_C</f>
        <v>2026</v>
      </c>
    </row>
    <row r="364" spans="1:28">
      <c r="A364" s="6" t="s">
        <v>376</v>
      </c>
      <c r="B364" s="15">
        <f t="shared" ref="B364:Z364" si="35">p_spesa</f>
        <v>39600</v>
      </c>
      <c r="C364" s="15">
        <f t="shared" si="35"/>
        <v>39600</v>
      </c>
      <c r="D364" s="15">
        <f t="shared" si="35"/>
        <v>39600</v>
      </c>
      <c r="E364" s="15">
        <f t="shared" si="35"/>
        <v>39600</v>
      </c>
      <c r="F364" s="15">
        <f t="shared" si="35"/>
        <v>39600</v>
      </c>
      <c r="G364" s="15">
        <f t="shared" si="35"/>
        <v>39600</v>
      </c>
      <c r="H364" s="15">
        <f t="shared" si="35"/>
        <v>39600</v>
      </c>
      <c r="I364" s="15">
        <f t="shared" si="35"/>
        <v>39600</v>
      </c>
      <c r="J364" s="15">
        <f t="shared" si="35"/>
        <v>39600</v>
      </c>
      <c r="K364" s="15">
        <f t="shared" si="35"/>
        <v>39600</v>
      </c>
      <c r="L364" s="15">
        <f t="shared" si="35"/>
        <v>39600</v>
      </c>
      <c r="M364" s="15">
        <f t="shared" si="35"/>
        <v>39600</v>
      </c>
      <c r="N364" s="15">
        <f t="shared" si="35"/>
        <v>39600</v>
      </c>
      <c r="O364" s="15">
        <f t="shared" si="35"/>
        <v>39600</v>
      </c>
      <c r="P364" s="15">
        <f t="shared" si="35"/>
        <v>39600</v>
      </c>
      <c r="Q364" s="15">
        <f t="shared" si="35"/>
        <v>39600</v>
      </c>
      <c r="R364" s="15">
        <f t="shared" si="35"/>
        <v>39600</v>
      </c>
      <c r="S364" s="15">
        <f t="shared" si="35"/>
        <v>39600</v>
      </c>
      <c r="T364" s="15">
        <f t="shared" si="35"/>
        <v>39600</v>
      </c>
      <c r="U364" s="15">
        <f t="shared" si="35"/>
        <v>39600</v>
      </c>
      <c r="V364" s="15">
        <f t="shared" si="35"/>
        <v>39600</v>
      </c>
      <c r="W364" s="15">
        <f t="shared" si="35"/>
        <v>39600</v>
      </c>
      <c r="X364" s="15">
        <f t="shared" si="35"/>
        <v>39600</v>
      </c>
      <c r="Y364" s="15">
        <f t="shared" si="35"/>
        <v>39600</v>
      </c>
      <c r="Z364" s="15">
        <f t="shared" si="35"/>
        <v>39600</v>
      </c>
      <c r="AA364" s="15">
        <f>p_spesa*(1-Sens_pct)</f>
        <v>35640</v>
      </c>
      <c r="AB364" s="15">
        <f>p_spesa*(1+Sens_pct)</f>
        <v>43560</v>
      </c>
    </row>
    <row r="365" spans="1:28" ht="30">
      <c r="A365" s="6" t="s">
        <v>377</v>
      </c>
      <c r="B365" s="18">
        <f t="shared" ref="B365:AB365" si="36">MIN(B362,B363)</f>
        <v>2026</v>
      </c>
      <c r="C365" s="18">
        <f t="shared" si="36"/>
        <v>2029</v>
      </c>
      <c r="D365" s="18">
        <f t="shared" si="36"/>
        <v>2026</v>
      </c>
      <c r="E365" s="18">
        <f t="shared" si="36"/>
        <v>2026</v>
      </c>
      <c r="F365" s="18">
        <f t="shared" si="36"/>
        <v>2026</v>
      </c>
      <c r="G365" s="18">
        <f t="shared" si="36"/>
        <v>2026</v>
      </c>
      <c r="H365" s="18">
        <f t="shared" si="36"/>
        <v>2027</v>
      </c>
      <c r="I365" s="18">
        <f t="shared" si="36"/>
        <v>2028</v>
      </c>
      <c r="J365" s="18">
        <f t="shared" si="36"/>
        <v>2029</v>
      </c>
      <c r="K365" s="18">
        <f t="shared" si="36"/>
        <v>2030</v>
      </c>
      <c r="L365" s="18">
        <f t="shared" si="36"/>
        <v>2031</v>
      </c>
      <c r="M365" s="18">
        <f t="shared" si="36"/>
        <v>2032</v>
      </c>
      <c r="N365" s="18">
        <f t="shared" si="36"/>
        <v>2033</v>
      </c>
      <c r="O365" s="18">
        <f t="shared" si="36"/>
        <v>2034</v>
      </c>
      <c r="P365" s="18">
        <f t="shared" si="36"/>
        <v>2035</v>
      </c>
      <c r="Q365" s="18">
        <f t="shared" si="36"/>
        <v>2036</v>
      </c>
      <c r="R365" s="18">
        <f t="shared" si="36"/>
        <v>2037</v>
      </c>
      <c r="S365" s="18">
        <f t="shared" si="36"/>
        <v>2038</v>
      </c>
      <c r="T365" s="18">
        <f t="shared" si="36"/>
        <v>2039</v>
      </c>
      <c r="U365" s="18">
        <f t="shared" si="36"/>
        <v>2040</v>
      </c>
      <c r="V365" s="18">
        <f t="shared" si="36"/>
        <v>2041</v>
      </c>
      <c r="W365" s="18">
        <f t="shared" si="36"/>
        <v>2042</v>
      </c>
      <c r="X365" s="18">
        <f t="shared" si="36"/>
        <v>2043</v>
      </c>
      <c r="Y365" s="18">
        <f t="shared" si="36"/>
        <v>2044</v>
      </c>
      <c r="Z365" s="18">
        <f t="shared" si="36"/>
        <v>2045</v>
      </c>
      <c r="AA365" s="18">
        <f t="shared" si="36"/>
        <v>2026</v>
      </c>
      <c r="AB365" s="18">
        <f t="shared" si="36"/>
        <v>2026</v>
      </c>
    </row>
    <row r="366" spans="1:28" ht="30">
      <c r="A366" s="6" t="s">
        <v>378</v>
      </c>
      <c r="B366" s="18">
        <f t="shared" ref="B366:AB366" si="37">B365-2026</f>
        <v>0</v>
      </c>
      <c r="C366" s="18">
        <f t="shared" si="37"/>
        <v>3</v>
      </c>
      <c r="D366" s="18">
        <f t="shared" si="37"/>
        <v>0</v>
      </c>
      <c r="E366" s="18">
        <f t="shared" si="37"/>
        <v>0</v>
      </c>
      <c r="F366" s="18">
        <f t="shared" si="37"/>
        <v>0</v>
      </c>
      <c r="G366" s="18">
        <f t="shared" si="37"/>
        <v>0</v>
      </c>
      <c r="H366" s="18">
        <f t="shared" si="37"/>
        <v>1</v>
      </c>
      <c r="I366" s="18">
        <f t="shared" si="37"/>
        <v>2</v>
      </c>
      <c r="J366" s="18">
        <f t="shared" si="37"/>
        <v>3</v>
      </c>
      <c r="K366" s="18">
        <f t="shared" si="37"/>
        <v>4</v>
      </c>
      <c r="L366" s="18">
        <f t="shared" si="37"/>
        <v>5</v>
      </c>
      <c r="M366" s="18">
        <f t="shared" si="37"/>
        <v>6</v>
      </c>
      <c r="N366" s="18">
        <f t="shared" si="37"/>
        <v>7</v>
      </c>
      <c r="O366" s="18">
        <f t="shared" si="37"/>
        <v>8</v>
      </c>
      <c r="P366" s="18">
        <f t="shared" si="37"/>
        <v>9</v>
      </c>
      <c r="Q366" s="18">
        <f t="shared" si="37"/>
        <v>10</v>
      </c>
      <c r="R366" s="18">
        <f t="shared" si="37"/>
        <v>11</v>
      </c>
      <c r="S366" s="18">
        <f t="shared" si="37"/>
        <v>12</v>
      </c>
      <c r="T366" s="18">
        <f t="shared" si="37"/>
        <v>13</v>
      </c>
      <c r="U366" s="18">
        <f t="shared" si="37"/>
        <v>14</v>
      </c>
      <c r="V366" s="18">
        <f t="shared" si="37"/>
        <v>15</v>
      </c>
      <c r="W366" s="18">
        <f t="shared" si="37"/>
        <v>16</v>
      </c>
      <c r="X366" s="18">
        <f t="shared" si="37"/>
        <v>17</v>
      </c>
      <c r="Y366" s="18">
        <f t="shared" si="37"/>
        <v>18</v>
      </c>
      <c r="Z366" s="18">
        <f t="shared" si="37"/>
        <v>19</v>
      </c>
      <c r="AA366" s="18">
        <f t="shared" si="37"/>
        <v>0</v>
      </c>
      <c r="AB366" s="18">
        <f t="shared" si="37"/>
        <v>0</v>
      </c>
    </row>
    <row r="367" spans="1:28" ht="30">
      <c r="A367" s="6" t="s">
        <v>379</v>
      </c>
      <c r="B367" s="15">
        <f t="shared" ref="B367:AB367" si="38">Tz_netto+Cm_netto-B364</f>
        <v>18036.476874125874</v>
      </c>
      <c r="C367" s="15">
        <f t="shared" si="38"/>
        <v>18036.476874125874</v>
      </c>
      <c r="D367" s="15">
        <f t="shared" si="38"/>
        <v>18036.476874125874</v>
      </c>
      <c r="E367" s="15">
        <f t="shared" si="38"/>
        <v>18036.476874125874</v>
      </c>
      <c r="F367" s="15">
        <f t="shared" si="38"/>
        <v>18036.476874125874</v>
      </c>
      <c r="G367" s="15">
        <f t="shared" si="38"/>
        <v>18036.476874125874</v>
      </c>
      <c r="H367" s="15">
        <f t="shared" si="38"/>
        <v>18036.476874125874</v>
      </c>
      <c r="I367" s="15">
        <f t="shared" si="38"/>
        <v>18036.476874125874</v>
      </c>
      <c r="J367" s="15">
        <f t="shared" si="38"/>
        <v>18036.476874125874</v>
      </c>
      <c r="K367" s="15">
        <f t="shared" si="38"/>
        <v>18036.476874125874</v>
      </c>
      <c r="L367" s="15">
        <f t="shared" si="38"/>
        <v>18036.476874125874</v>
      </c>
      <c r="M367" s="15">
        <f t="shared" si="38"/>
        <v>18036.476874125874</v>
      </c>
      <c r="N367" s="15">
        <f t="shared" si="38"/>
        <v>18036.476874125874</v>
      </c>
      <c r="O367" s="15">
        <f t="shared" si="38"/>
        <v>18036.476874125874</v>
      </c>
      <c r="P367" s="15">
        <f t="shared" si="38"/>
        <v>18036.476874125874</v>
      </c>
      <c r="Q367" s="15">
        <f t="shared" si="38"/>
        <v>18036.476874125874</v>
      </c>
      <c r="R367" s="15">
        <f t="shared" si="38"/>
        <v>18036.476874125874</v>
      </c>
      <c r="S367" s="15">
        <f t="shared" si="38"/>
        <v>18036.476874125874</v>
      </c>
      <c r="T367" s="15">
        <f t="shared" si="38"/>
        <v>18036.476874125874</v>
      </c>
      <c r="U367" s="15">
        <f t="shared" si="38"/>
        <v>18036.476874125874</v>
      </c>
      <c r="V367" s="15">
        <f t="shared" si="38"/>
        <v>18036.476874125874</v>
      </c>
      <c r="W367" s="15">
        <f t="shared" si="38"/>
        <v>18036.476874125874</v>
      </c>
      <c r="X367" s="15">
        <f t="shared" si="38"/>
        <v>18036.476874125874</v>
      </c>
      <c r="Y367" s="15">
        <f t="shared" si="38"/>
        <v>18036.476874125874</v>
      </c>
      <c r="Z367" s="15">
        <f t="shared" si="38"/>
        <v>18036.476874125874</v>
      </c>
      <c r="AA367" s="15">
        <f t="shared" si="38"/>
        <v>21996.476874125874</v>
      </c>
      <c r="AB367" s="15">
        <f t="shared" si="38"/>
        <v>14076.476874125874</v>
      </c>
    </row>
    <row r="368" spans="1:28" ht="30">
      <c r="A368" s="6" t="s">
        <v>380</v>
      </c>
      <c r="B368" s="15">
        <f t="shared" ref="B368:AB368" si="39">Pat_W*F_nom^B366+B367*IF(ABS(F_nom-(1+p_infl))&lt;0.000000000001,B366*F_nom^B366,F_nom*(F_nom^B366-(1+p_infl)^B366)/(F_nom-(1+p_infl)))</f>
        <v>750000</v>
      </c>
      <c r="C368" s="15">
        <f t="shared" si="39"/>
        <v>925190.40859739413</v>
      </c>
      <c r="D368" s="15">
        <f t="shared" si="39"/>
        <v>750000</v>
      </c>
      <c r="E368" s="15">
        <f t="shared" si="39"/>
        <v>750000</v>
      </c>
      <c r="F368" s="15">
        <f t="shared" si="39"/>
        <v>750000</v>
      </c>
      <c r="G368" s="15">
        <f t="shared" si="39"/>
        <v>750000</v>
      </c>
      <c r="H368" s="15">
        <f t="shared" si="39"/>
        <v>805285.32435874874</v>
      </c>
      <c r="I368" s="15">
        <f t="shared" si="39"/>
        <v>863630.14509368245</v>
      </c>
      <c r="J368" s="15">
        <f t="shared" si="39"/>
        <v>925190.40859739413</v>
      </c>
      <c r="K368" s="15">
        <f t="shared" si="39"/>
        <v>990129.77576517651</v>
      </c>
      <c r="L368" s="15">
        <f t="shared" si="39"/>
        <v>1058619.9991649417</v>
      </c>
      <c r="M368" s="15">
        <f t="shared" si="39"/>
        <v>1130841.3185599451</v>
      </c>
      <c r="N368" s="15">
        <f t="shared" si="39"/>
        <v>1206982.8756756128</v>
      </c>
      <c r="O368" s="15">
        <f t="shared" si="39"/>
        <v>1287243.1491450239</v>
      </c>
      <c r="P368" s="15">
        <f t="shared" si="39"/>
        <v>1371830.4106129447</v>
      </c>
      <c r="Q368" s="15">
        <f t="shared" si="39"/>
        <v>1460963.20302587</v>
      </c>
      <c r="R368" s="15">
        <f t="shared" si="39"/>
        <v>1554870.8421853646</v>
      </c>
      <c r="S368" s="15">
        <f t="shared" si="39"/>
        <v>1653793.9426942996</v>
      </c>
      <c r="T368" s="15">
        <f t="shared" si="39"/>
        <v>1757984.9694803562</v>
      </c>
      <c r="U368" s="15">
        <f t="shared" si="39"/>
        <v>1867708.8161386671</v>
      </c>
      <c r="V368" s="15">
        <f t="shared" si="39"/>
        <v>1983243.4113956988</v>
      </c>
      <c r="W368" s="15">
        <f t="shared" si="39"/>
        <v>2104880.355059681</v>
      </c>
      <c r="X368" s="15">
        <f t="shared" si="39"/>
        <v>2232925.5848891009</v>
      </c>
      <c r="Y368" s="15">
        <f t="shared" si="39"/>
        <v>2367700.0758802812</v>
      </c>
      <c r="Z368" s="15">
        <f t="shared" si="39"/>
        <v>2509540.5735478392</v>
      </c>
      <c r="AA368" s="15">
        <f t="shared" si="39"/>
        <v>750000</v>
      </c>
      <c r="AB368" s="15">
        <f t="shared" si="39"/>
        <v>750000</v>
      </c>
    </row>
    <row r="369" spans="1:28" ht="30">
      <c r="A369" s="6" t="s">
        <v>381</v>
      </c>
      <c r="B369" s="15">
        <f t="shared" ref="B369:AB369" si="40">Pat_B+B367*IF(p_infl=0,B366,((1+p_infl)^B366-1)/p_infl)</f>
        <v>461046.86</v>
      </c>
      <c r="C369" s="15">
        <f t="shared" si="40"/>
        <v>516245.69382557477</v>
      </c>
      <c r="D369" s="15">
        <f t="shared" si="40"/>
        <v>461046.86</v>
      </c>
      <c r="E369" s="15">
        <f t="shared" si="40"/>
        <v>461046.86</v>
      </c>
      <c r="F369" s="15">
        <f t="shared" si="40"/>
        <v>461046.86</v>
      </c>
      <c r="G369" s="15">
        <f t="shared" si="40"/>
        <v>461046.86</v>
      </c>
      <c r="H369" s="15">
        <f t="shared" si="40"/>
        <v>479083.33687412587</v>
      </c>
      <c r="I369" s="15">
        <f t="shared" si="40"/>
        <v>497480.54328573425</v>
      </c>
      <c r="J369" s="15">
        <f t="shared" si="40"/>
        <v>516245.69382557477</v>
      </c>
      <c r="K369" s="15">
        <f t="shared" si="40"/>
        <v>535386.14737621218</v>
      </c>
      <c r="L369" s="15">
        <f t="shared" si="40"/>
        <v>554909.4099978623</v>
      </c>
      <c r="M369" s="15">
        <f t="shared" si="40"/>
        <v>574823.13787194551</v>
      </c>
      <c r="N369" s="15">
        <f t="shared" si="40"/>
        <v>595135.14030351001</v>
      </c>
      <c r="O369" s="15">
        <f t="shared" si="40"/>
        <v>615853.38278370618</v>
      </c>
      <c r="P369" s="15">
        <f t="shared" si="40"/>
        <v>636985.99011350621</v>
      </c>
      <c r="Q369" s="15">
        <f t="shared" si="40"/>
        <v>658541.24958990223</v>
      </c>
      <c r="R369" s="15">
        <f t="shared" si="40"/>
        <v>680527.61425582599</v>
      </c>
      <c r="S369" s="15">
        <f t="shared" si="40"/>
        <v>702953.70621506858</v>
      </c>
      <c r="T369" s="15">
        <f t="shared" si="40"/>
        <v>725828.32001349574</v>
      </c>
      <c r="U369" s="15">
        <f t="shared" si="40"/>
        <v>749160.42608789168</v>
      </c>
      <c r="V369" s="15">
        <f t="shared" si="40"/>
        <v>772959.17428377504</v>
      </c>
      <c r="W369" s="15">
        <f t="shared" si="40"/>
        <v>797233.8974435766</v>
      </c>
      <c r="X369" s="15">
        <f t="shared" si="40"/>
        <v>821994.11506657407</v>
      </c>
      <c r="Y369" s="15">
        <f t="shared" si="40"/>
        <v>847249.5370420313</v>
      </c>
      <c r="Z369" s="15">
        <f t="shared" si="40"/>
        <v>873010.0674569977</v>
      </c>
      <c r="AA369" s="15">
        <f t="shared" si="40"/>
        <v>461046.86</v>
      </c>
      <c r="AB369" s="15">
        <f t="shared" si="40"/>
        <v>461046.86</v>
      </c>
    </row>
    <row r="370" spans="1:28">
      <c r="A370" s="6" t="s">
        <v>382</v>
      </c>
      <c r="B370" s="23">
        <f t="shared" ref="B370:AB370" si="41">(1+p_infl)^(B365+1-2027)</f>
        <v>1</v>
      </c>
      <c r="C370" s="23">
        <f t="shared" si="41"/>
        <v>1.0612079999999999</v>
      </c>
      <c r="D370" s="23">
        <f t="shared" si="41"/>
        <v>1</v>
      </c>
      <c r="E370" s="23">
        <f t="shared" si="41"/>
        <v>1</v>
      </c>
      <c r="F370" s="23">
        <f t="shared" si="41"/>
        <v>1</v>
      </c>
      <c r="G370" s="23">
        <f t="shared" si="41"/>
        <v>1</v>
      </c>
      <c r="H370" s="23">
        <f t="shared" si="41"/>
        <v>1.02</v>
      </c>
      <c r="I370" s="23">
        <f t="shared" si="41"/>
        <v>1.0404</v>
      </c>
      <c r="J370" s="23">
        <f t="shared" si="41"/>
        <v>1.0612079999999999</v>
      </c>
      <c r="K370" s="23">
        <f t="shared" si="41"/>
        <v>1.08243216</v>
      </c>
      <c r="L370" s="23">
        <f t="shared" si="41"/>
        <v>1.1040808032</v>
      </c>
      <c r="M370" s="23">
        <f t="shared" si="41"/>
        <v>1.1261624192640001</v>
      </c>
      <c r="N370" s="23">
        <f t="shared" si="41"/>
        <v>1.1486856676492798</v>
      </c>
      <c r="O370" s="23">
        <f t="shared" si="41"/>
        <v>1.1716593810022655</v>
      </c>
      <c r="P370" s="23">
        <f t="shared" si="41"/>
        <v>1.1950925686223108</v>
      </c>
      <c r="Q370" s="23">
        <f t="shared" si="41"/>
        <v>1.2189944199947571</v>
      </c>
      <c r="R370" s="23">
        <f t="shared" si="41"/>
        <v>1.243374308394652</v>
      </c>
      <c r="S370" s="23">
        <f t="shared" si="41"/>
        <v>1.2682417945625453</v>
      </c>
      <c r="T370" s="23">
        <f t="shared" si="41"/>
        <v>1.2936066304537961</v>
      </c>
      <c r="U370" s="23">
        <f t="shared" si="41"/>
        <v>1.3194787630628722</v>
      </c>
      <c r="V370" s="23">
        <f t="shared" si="41"/>
        <v>1.3458683383241292</v>
      </c>
      <c r="W370" s="23">
        <f t="shared" si="41"/>
        <v>1.372785705090612</v>
      </c>
      <c r="X370" s="23">
        <f t="shared" si="41"/>
        <v>1.4002414191924244</v>
      </c>
      <c r="Y370" s="23">
        <f t="shared" si="41"/>
        <v>1.4282462475762727</v>
      </c>
      <c r="Z370" s="23">
        <f t="shared" si="41"/>
        <v>1.4568111725277981</v>
      </c>
      <c r="AA370" s="23">
        <f t="shared" si="41"/>
        <v>1</v>
      </c>
      <c r="AB370" s="23">
        <f t="shared" si="41"/>
        <v>1</v>
      </c>
    </row>
    <row r="371" spans="1:28" ht="30">
      <c r="A371" s="6" t="s">
        <v>383</v>
      </c>
      <c r="B371" s="15">
        <f t="shared" ref="B371:AB371" si="42">B368/B370</f>
        <v>750000</v>
      </c>
      <c r="C371" s="15">
        <f t="shared" si="42"/>
        <v>871827.58573003043</v>
      </c>
      <c r="D371" s="15">
        <f t="shared" si="42"/>
        <v>750000</v>
      </c>
      <c r="E371" s="15">
        <f t="shared" si="42"/>
        <v>750000</v>
      </c>
      <c r="F371" s="15">
        <f t="shared" si="42"/>
        <v>750000</v>
      </c>
      <c r="G371" s="15">
        <f t="shared" si="42"/>
        <v>750000</v>
      </c>
      <c r="H371" s="15">
        <f t="shared" si="42"/>
        <v>789495.41603798897</v>
      </c>
      <c r="I371" s="15">
        <f t="shared" si="42"/>
        <v>830094.33400007931</v>
      </c>
      <c r="J371" s="15">
        <f t="shared" si="42"/>
        <v>871827.58573003043</v>
      </c>
      <c r="K371" s="15">
        <f t="shared" si="42"/>
        <v>914726.86451331654</v>
      </c>
      <c r="L371" s="15">
        <f t="shared" si="42"/>
        <v>958824.74914580758</v>
      </c>
      <c r="M371" s="15">
        <f t="shared" si="42"/>
        <v>1004154.7286749303</v>
      </c>
      <c r="N371" s="15">
        <f t="shared" si="42"/>
        <v>1050751.2278320969</v>
      </c>
      <c r="O371" s="15">
        <f t="shared" si="42"/>
        <v>1098649.6331757146</v>
      </c>
      <c r="P371" s="15">
        <f t="shared" si="42"/>
        <v>1147886.3199646329</v>
      </c>
      <c r="Q371" s="15">
        <f t="shared" si="42"/>
        <v>1198498.6797824339</v>
      </c>
      <c r="R371" s="15">
        <f t="shared" si="42"/>
        <v>1250525.1489335441</v>
      </c>
      <c r="S371" s="15">
        <f t="shared" si="42"/>
        <v>1304005.2376327361</v>
      </c>
      <c r="T371" s="15">
        <f t="shared" si="42"/>
        <v>1358979.5600101838</v>
      </c>
      <c r="U371" s="15">
        <f t="shared" si="42"/>
        <v>1415489.8649548574</v>
      </c>
      <c r="V371" s="15">
        <f t="shared" si="42"/>
        <v>1473579.067819685</v>
      </c>
      <c r="W371" s="15">
        <f t="shared" si="42"/>
        <v>1533291.2830125561</v>
      </c>
      <c r="X371" s="15">
        <f t="shared" si="42"/>
        <v>1594671.8574979156</v>
      </c>
      <c r="Y371" s="15">
        <f t="shared" si="42"/>
        <v>1657767.4052343965</v>
      </c>
      <c r="Z371" s="15">
        <f t="shared" si="42"/>
        <v>1722625.8425746344</v>
      </c>
      <c r="AA371" s="15">
        <f t="shared" si="42"/>
        <v>750000</v>
      </c>
      <c r="AB371" s="15">
        <f t="shared" si="42"/>
        <v>750000</v>
      </c>
    </row>
    <row r="372" spans="1:28" ht="30">
      <c r="A372" s="6" t="s">
        <v>384</v>
      </c>
      <c r="B372" s="23">
        <f t="shared" ref="B372:AB372" si="43">B369/B368</f>
        <v>0.61472914666666667</v>
      </c>
      <c r="C372" s="23">
        <f t="shared" si="43"/>
        <v>0.55798859243278676</v>
      </c>
      <c r="D372" s="23">
        <f t="shared" si="43"/>
        <v>0.61472914666666667</v>
      </c>
      <c r="E372" s="23">
        <f t="shared" si="43"/>
        <v>0.61472914666666667</v>
      </c>
      <c r="F372" s="23">
        <f t="shared" si="43"/>
        <v>0.61472914666666667</v>
      </c>
      <c r="G372" s="23">
        <f t="shared" si="43"/>
        <v>0.61472914666666667</v>
      </c>
      <c r="H372" s="23">
        <f t="shared" si="43"/>
        <v>0.59492371508896114</v>
      </c>
      <c r="I372" s="23">
        <f t="shared" si="43"/>
        <v>0.57603425043919687</v>
      </c>
      <c r="J372" s="23">
        <f t="shared" si="43"/>
        <v>0.55798859243278676</v>
      </c>
      <c r="K372" s="23">
        <f t="shared" si="43"/>
        <v>0.5407232066750679</v>
      </c>
      <c r="L372" s="23">
        <f t="shared" si="43"/>
        <v>0.52418186925958765</v>
      </c>
      <c r="M372" s="23">
        <f t="shared" si="43"/>
        <v>0.50831458705802013</v>
      </c>
      <c r="N372" s="23">
        <f t="shared" si="43"/>
        <v>0.49307670580693291</v>
      </c>
      <c r="O372" s="23">
        <f t="shared" si="43"/>
        <v>0.47842816890713369</v>
      </c>
      <c r="P372" s="23">
        <f t="shared" si="43"/>
        <v>0.46433289799203081</v>
      </c>
      <c r="Q372" s="23">
        <f t="shared" si="43"/>
        <v>0.45075827250540346</v>
      </c>
      <c r="R372" s="23">
        <f t="shared" si="43"/>
        <v>0.43767469026517164</v>
      </c>
      <c r="S372" s="23">
        <f t="shared" si="43"/>
        <v>0.4250551946452546</v>
      </c>
      <c r="T372" s="23">
        <f t="shared" si="43"/>
        <v>0.41287515684963094</v>
      </c>
      <c r="U372" s="23">
        <f t="shared" si="43"/>
        <v>0.40111200397753577</v>
      </c>
      <c r="V372" s="23">
        <f t="shared" si="43"/>
        <v>0.38974498533178459</v>
      </c>
      <c r="W372" s="23">
        <f t="shared" si="43"/>
        <v>0.37875497081209258</v>
      </c>
      <c r="X372" s="23">
        <f t="shared" si="43"/>
        <v>0.36812427634367345</v>
      </c>
      <c r="Y372" s="23">
        <f t="shared" si="43"/>
        <v>0.35783651218029994</v>
      </c>
      <c r="Z372" s="23">
        <f t="shared" si="43"/>
        <v>0.34787645063765116</v>
      </c>
      <c r="AA372" s="23">
        <f t="shared" si="43"/>
        <v>0.61472914666666667</v>
      </c>
      <c r="AB372" s="23">
        <f t="shared" si="43"/>
        <v>0.61472914666666667</v>
      </c>
    </row>
    <row r="373" spans="1:28">
      <c r="A373" s="6" t="s">
        <v>385</v>
      </c>
      <c r="B373" s="15">
        <f t="shared" ref="B373:AB373" si="44">INDEX(PT_netta,B362-2025)</f>
        <v>18597.563557581299</v>
      </c>
      <c r="C373" s="15">
        <f t="shared" si="44"/>
        <v>21041.390739939001</v>
      </c>
      <c r="D373" s="15">
        <f t="shared" si="44"/>
        <v>18597.563557581299</v>
      </c>
      <c r="E373" s="15">
        <f t="shared" si="44"/>
        <v>19399.48901420632</v>
      </c>
      <c r="F373" s="15">
        <f t="shared" si="44"/>
        <v>18597.563557581299</v>
      </c>
      <c r="G373" s="15">
        <f t="shared" si="44"/>
        <v>18597.563557581299</v>
      </c>
      <c r="H373" s="15">
        <f t="shared" si="44"/>
        <v>19399.48901420632</v>
      </c>
      <c r="I373" s="15">
        <f t="shared" si="44"/>
        <v>20247.424791942645</v>
      </c>
      <c r="J373" s="15">
        <f t="shared" si="44"/>
        <v>21041.390739939001</v>
      </c>
      <c r="K373" s="15">
        <f t="shared" si="44"/>
        <v>21823.397132653205</v>
      </c>
      <c r="L373" s="15">
        <f t="shared" si="44"/>
        <v>22482.140788978213</v>
      </c>
      <c r="M373" s="15">
        <f t="shared" si="44"/>
        <v>23187.358357460813</v>
      </c>
      <c r="N373" s="15">
        <f t="shared" si="44"/>
        <v>23889.0673808266</v>
      </c>
      <c r="O373" s="15">
        <f t="shared" si="44"/>
        <v>24587.285314523895</v>
      </c>
      <c r="P373" s="15">
        <f t="shared" si="44"/>
        <v>25282.029527158033</v>
      </c>
      <c r="Q373" s="15">
        <f t="shared" si="44"/>
        <v>25973.317300923321</v>
      </c>
      <c r="R373" s="15">
        <f t="shared" si="44"/>
        <v>26661.165832033072</v>
      </c>
      <c r="S373" s="15">
        <f t="shared" si="44"/>
        <v>27345.59223114721</v>
      </c>
      <c r="T373" s="15">
        <f t="shared" si="44"/>
        <v>28026.613523798133</v>
      </c>
      <c r="U373" s="15">
        <f t="shared" si="44"/>
        <v>28704.246650813962</v>
      </c>
      <c r="V373" s="15">
        <f t="shared" si="44"/>
        <v>29378.508468740158</v>
      </c>
      <c r="W373" s="15">
        <f t="shared" si="44"/>
        <v>30049.41575025878</v>
      </c>
      <c r="X373" s="15">
        <f t="shared" si="44"/>
        <v>30716.985184605681</v>
      </c>
      <c r="Y373" s="15">
        <f t="shared" si="44"/>
        <v>31381.233377985642</v>
      </c>
      <c r="Z373" s="15">
        <f t="shared" si="44"/>
        <v>32042.176853985628</v>
      </c>
      <c r="AA373" s="15">
        <f t="shared" si="44"/>
        <v>18597.563557581299</v>
      </c>
      <c r="AB373" s="15">
        <f t="shared" si="44"/>
        <v>18597.563557581299</v>
      </c>
    </row>
    <row r="374" spans="1:28">
      <c r="A374" s="6" t="s">
        <v>386</v>
      </c>
      <c r="B374" s="15">
        <f t="shared" ref="B374:AB374" si="45">INDEX(PC_netta,B363-2025)</f>
        <v>10650.365186270001</v>
      </c>
      <c r="C374" s="15">
        <f t="shared" si="45"/>
        <v>11277.359261945441</v>
      </c>
      <c r="D374" s="15">
        <f t="shared" si="45"/>
        <v>13045.683340856825</v>
      </c>
      <c r="E374" s="15">
        <f t="shared" si="45"/>
        <v>10650.365186270001</v>
      </c>
      <c r="F374" s="15">
        <f t="shared" si="45"/>
        <v>10379.879531907902</v>
      </c>
      <c r="G374" s="15">
        <f t="shared" si="45"/>
        <v>10650.365186270001</v>
      </c>
      <c r="H374" s="15">
        <f t="shared" si="45"/>
        <v>10379.879531907902</v>
      </c>
      <c r="I374" s="15">
        <f t="shared" si="45"/>
        <v>10829.738448959137</v>
      </c>
      <c r="J374" s="15">
        <f t="shared" si="45"/>
        <v>11277.359261945441</v>
      </c>
      <c r="K374" s="15">
        <f t="shared" si="45"/>
        <v>11722.753105712894</v>
      </c>
      <c r="L374" s="15">
        <f t="shared" si="45"/>
        <v>12165.93105971037</v>
      </c>
      <c r="M374" s="15">
        <f t="shared" si="45"/>
        <v>12606.904148265074</v>
      </c>
      <c r="N374" s="15">
        <f t="shared" si="45"/>
        <v>13045.683340856825</v>
      </c>
      <c r="O374" s="15">
        <f t="shared" si="45"/>
        <v>13482.279552390904</v>
      </c>
      <c r="P374" s="15">
        <f t="shared" si="45"/>
        <v>13916.7036434696</v>
      </c>
      <c r="Q374" s="15">
        <f t="shared" si="45"/>
        <v>14348.966420662315</v>
      </c>
      <c r="R374" s="15">
        <f t="shared" si="45"/>
        <v>14779.078636774477</v>
      </c>
      <c r="S374" s="15">
        <f t="shared" si="45"/>
        <v>15207.050991114918</v>
      </c>
      <c r="T374" s="15">
        <f t="shared" si="45"/>
        <v>15632.894129762144</v>
      </c>
      <c r="U374" s="15">
        <f t="shared" si="45"/>
        <v>16056.618645829025</v>
      </c>
      <c r="V374" s="15">
        <f t="shared" si="45"/>
        <v>16478.235079726419</v>
      </c>
      <c r="W374" s="15">
        <f t="shared" si="45"/>
        <v>16897.753919425322</v>
      </c>
      <c r="X374" s="15">
        <f t="shared" si="45"/>
        <v>17315.185600717781</v>
      </c>
      <c r="Y374" s="15">
        <f t="shared" si="45"/>
        <v>17730.540507476409</v>
      </c>
      <c r="Z374" s="15">
        <f t="shared" si="45"/>
        <v>18143.828971912881</v>
      </c>
      <c r="AA374" s="15">
        <f t="shared" si="45"/>
        <v>10650.365186270001</v>
      </c>
      <c r="AB374" s="15">
        <f t="shared" si="45"/>
        <v>10650.365186270001</v>
      </c>
    </row>
    <row r="375" spans="1:28">
      <c r="A375" s="6" t="s">
        <v>387</v>
      </c>
      <c r="B375" s="18">
        <f t="shared" ref="B375:AB375" si="46">INDEX(PT_da,B362-2025)</f>
        <v>2046</v>
      </c>
      <c r="C375" s="18">
        <f t="shared" si="46"/>
        <v>2046</v>
      </c>
      <c r="D375" s="18">
        <f t="shared" si="46"/>
        <v>2046</v>
      </c>
      <c r="E375" s="18">
        <f t="shared" si="46"/>
        <v>2046</v>
      </c>
      <c r="F375" s="18">
        <f t="shared" si="46"/>
        <v>2046</v>
      </c>
      <c r="G375" s="18">
        <f t="shared" si="46"/>
        <v>2046</v>
      </c>
      <c r="H375" s="18">
        <f t="shared" si="46"/>
        <v>2046</v>
      </c>
      <c r="I375" s="18">
        <f t="shared" si="46"/>
        <v>2046</v>
      </c>
      <c r="J375" s="18">
        <f t="shared" si="46"/>
        <v>2046</v>
      </c>
      <c r="K375" s="18">
        <f t="shared" si="46"/>
        <v>2046</v>
      </c>
      <c r="L375" s="18">
        <f t="shared" si="46"/>
        <v>2046</v>
      </c>
      <c r="M375" s="18">
        <f t="shared" si="46"/>
        <v>2046</v>
      </c>
      <c r="N375" s="18">
        <f t="shared" si="46"/>
        <v>2046</v>
      </c>
      <c r="O375" s="18">
        <f t="shared" si="46"/>
        <v>2046</v>
      </c>
      <c r="P375" s="18">
        <f t="shared" si="46"/>
        <v>2046</v>
      </c>
      <c r="Q375" s="18">
        <f t="shared" si="46"/>
        <v>2046</v>
      </c>
      <c r="R375" s="18">
        <f t="shared" si="46"/>
        <v>2046</v>
      </c>
      <c r="S375" s="18">
        <f t="shared" si="46"/>
        <v>2046</v>
      </c>
      <c r="T375" s="18">
        <f t="shared" si="46"/>
        <v>2046</v>
      </c>
      <c r="U375" s="18">
        <f t="shared" si="46"/>
        <v>2046</v>
      </c>
      <c r="V375" s="18">
        <f t="shared" si="46"/>
        <v>2046</v>
      </c>
      <c r="W375" s="18">
        <f t="shared" si="46"/>
        <v>2046</v>
      </c>
      <c r="X375" s="18">
        <f t="shared" si="46"/>
        <v>2046</v>
      </c>
      <c r="Y375" s="18">
        <f t="shared" si="46"/>
        <v>2046</v>
      </c>
      <c r="Z375" s="18">
        <f t="shared" si="46"/>
        <v>2046</v>
      </c>
      <c r="AA375" s="18">
        <f t="shared" si="46"/>
        <v>2046</v>
      </c>
      <c r="AB375" s="18">
        <f t="shared" si="46"/>
        <v>2046</v>
      </c>
    </row>
    <row r="376" spans="1:28">
      <c r="A376" s="6" t="s">
        <v>388</v>
      </c>
      <c r="B376" s="18">
        <f t="shared" ref="B376:AB376" si="47">INDEX(PT_dm,B362-2025)</f>
        <v>12</v>
      </c>
      <c r="C376" s="18">
        <f t="shared" si="47"/>
        <v>12</v>
      </c>
      <c r="D376" s="18">
        <f t="shared" si="47"/>
        <v>12</v>
      </c>
      <c r="E376" s="18">
        <f t="shared" si="47"/>
        <v>12</v>
      </c>
      <c r="F376" s="18">
        <f t="shared" si="47"/>
        <v>12</v>
      </c>
      <c r="G376" s="18">
        <f t="shared" si="47"/>
        <v>12</v>
      </c>
      <c r="H376" s="18">
        <f t="shared" si="47"/>
        <v>12</v>
      </c>
      <c r="I376" s="18">
        <f t="shared" si="47"/>
        <v>12</v>
      </c>
      <c r="J376" s="18">
        <f t="shared" si="47"/>
        <v>12</v>
      </c>
      <c r="K376" s="18">
        <f t="shared" si="47"/>
        <v>12</v>
      </c>
      <c r="L376" s="18">
        <f t="shared" si="47"/>
        <v>12</v>
      </c>
      <c r="M376" s="18">
        <f t="shared" si="47"/>
        <v>12</v>
      </c>
      <c r="N376" s="18">
        <f t="shared" si="47"/>
        <v>12</v>
      </c>
      <c r="O376" s="18">
        <f t="shared" si="47"/>
        <v>12</v>
      </c>
      <c r="P376" s="18">
        <f t="shared" si="47"/>
        <v>12</v>
      </c>
      <c r="Q376" s="18">
        <f t="shared" si="47"/>
        <v>12</v>
      </c>
      <c r="R376" s="18">
        <f t="shared" si="47"/>
        <v>12</v>
      </c>
      <c r="S376" s="18">
        <f t="shared" si="47"/>
        <v>12</v>
      </c>
      <c r="T376" s="18">
        <f t="shared" si="47"/>
        <v>12</v>
      </c>
      <c r="U376" s="18">
        <f t="shared" si="47"/>
        <v>12</v>
      </c>
      <c r="V376" s="18">
        <f t="shared" si="47"/>
        <v>12</v>
      </c>
      <c r="W376" s="18">
        <f t="shared" si="47"/>
        <v>12</v>
      </c>
      <c r="X376" s="18">
        <f t="shared" si="47"/>
        <v>12</v>
      </c>
      <c r="Y376" s="18">
        <f t="shared" si="47"/>
        <v>12</v>
      </c>
      <c r="Z376" s="18">
        <f t="shared" si="47"/>
        <v>12</v>
      </c>
      <c r="AA376" s="18">
        <f t="shared" si="47"/>
        <v>12</v>
      </c>
      <c r="AB376" s="18">
        <f t="shared" si="47"/>
        <v>12</v>
      </c>
    </row>
    <row r="377" spans="1:28">
      <c r="A377" s="6" t="s">
        <v>389</v>
      </c>
      <c r="B377" s="18">
        <f t="shared" ref="B377:AB377" si="48">INDEX(PC_da,B363-2025)</f>
        <v>2057</v>
      </c>
      <c r="C377" s="18">
        <f t="shared" si="48"/>
        <v>2052</v>
      </c>
      <c r="D377" s="18">
        <f t="shared" si="48"/>
        <v>2052</v>
      </c>
      <c r="E377" s="18">
        <f t="shared" si="48"/>
        <v>2057</v>
      </c>
      <c r="F377" s="18">
        <f t="shared" si="48"/>
        <v>2052</v>
      </c>
      <c r="G377" s="18">
        <f t="shared" si="48"/>
        <v>2057</v>
      </c>
      <c r="H377" s="18">
        <f t="shared" si="48"/>
        <v>2052</v>
      </c>
      <c r="I377" s="18">
        <f t="shared" si="48"/>
        <v>2052</v>
      </c>
      <c r="J377" s="18">
        <f t="shared" si="48"/>
        <v>2052</v>
      </c>
      <c r="K377" s="18">
        <f t="shared" si="48"/>
        <v>2052</v>
      </c>
      <c r="L377" s="18">
        <f t="shared" si="48"/>
        <v>2052</v>
      </c>
      <c r="M377" s="18">
        <f t="shared" si="48"/>
        <v>2052</v>
      </c>
      <c r="N377" s="18">
        <f t="shared" si="48"/>
        <v>2052</v>
      </c>
      <c r="O377" s="18">
        <f t="shared" si="48"/>
        <v>2052</v>
      </c>
      <c r="P377" s="18">
        <f t="shared" si="48"/>
        <v>2052</v>
      </c>
      <c r="Q377" s="18">
        <f t="shared" si="48"/>
        <v>2052</v>
      </c>
      <c r="R377" s="18">
        <f t="shared" si="48"/>
        <v>2052</v>
      </c>
      <c r="S377" s="18">
        <f t="shared" si="48"/>
        <v>2052</v>
      </c>
      <c r="T377" s="18">
        <f t="shared" si="48"/>
        <v>2052</v>
      </c>
      <c r="U377" s="18">
        <f t="shared" si="48"/>
        <v>2052</v>
      </c>
      <c r="V377" s="18">
        <f t="shared" si="48"/>
        <v>2052</v>
      </c>
      <c r="W377" s="18">
        <f t="shared" si="48"/>
        <v>2052</v>
      </c>
      <c r="X377" s="18">
        <f t="shared" si="48"/>
        <v>2052</v>
      </c>
      <c r="Y377" s="18">
        <f t="shared" si="48"/>
        <v>2052</v>
      </c>
      <c r="Z377" s="18">
        <f t="shared" si="48"/>
        <v>2052</v>
      </c>
      <c r="AA377" s="18">
        <f t="shared" si="48"/>
        <v>2057</v>
      </c>
      <c r="AB377" s="18">
        <f t="shared" si="48"/>
        <v>2057</v>
      </c>
    </row>
    <row r="378" spans="1:28">
      <c r="A378" s="6" t="s">
        <v>390</v>
      </c>
      <c r="B378" s="18">
        <f t="shared" ref="B378:AB378" si="49">INDEX(PC_dm,B363-2025)</f>
        <v>5</v>
      </c>
      <c r="C378" s="18">
        <f t="shared" si="49"/>
        <v>12</v>
      </c>
      <c r="D378" s="18">
        <f t="shared" si="49"/>
        <v>12</v>
      </c>
      <c r="E378" s="18">
        <f t="shared" si="49"/>
        <v>5</v>
      </c>
      <c r="F378" s="18">
        <f t="shared" si="49"/>
        <v>12</v>
      </c>
      <c r="G378" s="18">
        <f t="shared" si="49"/>
        <v>5</v>
      </c>
      <c r="H378" s="18">
        <f t="shared" si="49"/>
        <v>12</v>
      </c>
      <c r="I378" s="18">
        <f t="shared" si="49"/>
        <v>12</v>
      </c>
      <c r="J378" s="18">
        <f t="shared" si="49"/>
        <v>12</v>
      </c>
      <c r="K378" s="18">
        <f t="shared" si="49"/>
        <v>12</v>
      </c>
      <c r="L378" s="18">
        <f t="shared" si="49"/>
        <v>12</v>
      </c>
      <c r="M378" s="18">
        <f t="shared" si="49"/>
        <v>12</v>
      </c>
      <c r="N378" s="18">
        <f t="shared" si="49"/>
        <v>12</v>
      </c>
      <c r="O378" s="18">
        <f t="shared" si="49"/>
        <v>12</v>
      </c>
      <c r="P378" s="18">
        <f t="shared" si="49"/>
        <v>12</v>
      </c>
      <c r="Q378" s="18">
        <f t="shared" si="49"/>
        <v>12</v>
      </c>
      <c r="R378" s="18">
        <f t="shared" si="49"/>
        <v>12</v>
      </c>
      <c r="S378" s="18">
        <f t="shared" si="49"/>
        <v>12</v>
      </c>
      <c r="T378" s="18">
        <f t="shared" si="49"/>
        <v>12</v>
      </c>
      <c r="U378" s="18">
        <f t="shared" si="49"/>
        <v>12</v>
      </c>
      <c r="V378" s="18">
        <f t="shared" si="49"/>
        <v>12</v>
      </c>
      <c r="W378" s="18">
        <f t="shared" si="49"/>
        <v>12</v>
      </c>
      <c r="X378" s="18">
        <f t="shared" si="49"/>
        <v>12</v>
      </c>
      <c r="Y378" s="18">
        <f t="shared" si="49"/>
        <v>12</v>
      </c>
      <c r="Z378" s="18">
        <f t="shared" si="49"/>
        <v>12</v>
      </c>
      <c r="AA378" s="18">
        <f t="shared" si="49"/>
        <v>5</v>
      </c>
      <c r="AB378" s="18">
        <f t="shared" si="49"/>
        <v>5</v>
      </c>
    </row>
    <row r="379" spans="1:28" ht="30">
      <c r="A379" s="6" t="s">
        <v>391</v>
      </c>
      <c r="B379" s="15">
        <f t="shared" ref="B379:AB379" si="50">SUM(B387:B438)</f>
        <v>962186.05966300098</v>
      </c>
      <c r="C379" s="15">
        <f t="shared" si="50"/>
        <v>819183.16962378274</v>
      </c>
      <c r="D379" s="15">
        <f t="shared" si="50"/>
        <v>737544.00937321119</v>
      </c>
      <c r="E379" s="15">
        <f t="shared" si="50"/>
        <v>910669.74657129252</v>
      </c>
      <c r="F379" s="15">
        <f t="shared" si="50"/>
        <v>911953.62791752582</v>
      </c>
      <c r="G379" s="15">
        <f t="shared" si="50"/>
        <v>962186.05966300098</v>
      </c>
      <c r="H379" s="15">
        <f t="shared" si="50"/>
        <v>903646.88661690662</v>
      </c>
      <c r="I379" s="15">
        <f t="shared" si="50"/>
        <v>861894.86906332895</v>
      </c>
      <c r="J379" s="15">
        <f t="shared" si="50"/>
        <v>819183.16962378274</v>
      </c>
      <c r="K379" s="15">
        <f t="shared" si="50"/>
        <v>774787.64362983883</v>
      </c>
      <c r="L379" s="15">
        <f t="shared" si="50"/>
        <v>730721.40236531419</v>
      </c>
      <c r="M379" s="15">
        <f t="shared" si="50"/>
        <v>683912.25807355263</v>
      </c>
      <c r="N379" s="15">
        <f t="shared" si="50"/>
        <v>635207.97194633505</v>
      </c>
      <c r="O379" s="15">
        <f t="shared" si="50"/>
        <v>584559.39371631492</v>
      </c>
      <c r="P379" s="15">
        <f t="shared" si="50"/>
        <v>531915.20274586417</v>
      </c>
      <c r="Q379" s="15">
        <f t="shared" si="50"/>
        <v>488515.0467688276</v>
      </c>
      <c r="R379" s="15">
        <f t="shared" si="50"/>
        <v>449977.03790691169</v>
      </c>
      <c r="S379" s="15">
        <f t="shared" si="50"/>
        <v>410165.95751242613</v>
      </c>
      <c r="T379" s="15">
        <f t="shared" si="50"/>
        <v>369053.57934703224</v>
      </c>
      <c r="U379" s="15">
        <f t="shared" si="50"/>
        <v>326610.56116075179</v>
      </c>
      <c r="V379" s="15">
        <f t="shared" si="50"/>
        <v>282806.46310785128</v>
      </c>
      <c r="W379" s="15">
        <f t="shared" si="50"/>
        <v>237609.76114132948</v>
      </c>
      <c r="X379" s="15">
        <f t="shared" si="50"/>
        <v>190987.85611890326</v>
      </c>
      <c r="Y379" s="15">
        <f t="shared" si="50"/>
        <v>142907.07922840837</v>
      </c>
      <c r="Z379" s="15">
        <f t="shared" si="50"/>
        <v>93332.694239150311</v>
      </c>
      <c r="AA379" s="15">
        <f t="shared" si="50"/>
        <v>826098.54469052213</v>
      </c>
      <c r="AB379" s="15">
        <f t="shared" si="50"/>
        <v>1098273.5746354798</v>
      </c>
    </row>
    <row r="380" spans="1:28" ht="30">
      <c r="A380" s="6" t="s">
        <v>392</v>
      </c>
      <c r="B380" s="15">
        <f t="shared" ref="B380:AB380" si="51">B371-B379</f>
        <v>-212186.05966300098</v>
      </c>
      <c r="C380" s="15">
        <f t="shared" si="51"/>
        <v>52644.416106247692</v>
      </c>
      <c r="D380" s="15">
        <f t="shared" si="51"/>
        <v>12455.990626788815</v>
      </c>
      <c r="E380" s="15">
        <f t="shared" si="51"/>
        <v>-160669.74657129252</v>
      </c>
      <c r="F380" s="15">
        <f t="shared" si="51"/>
        <v>-161953.62791752582</v>
      </c>
      <c r="G380" s="15">
        <f t="shared" si="51"/>
        <v>-212186.05966300098</v>
      </c>
      <c r="H380" s="15">
        <f t="shared" si="51"/>
        <v>-114151.47057891765</v>
      </c>
      <c r="I380" s="15">
        <f t="shared" si="51"/>
        <v>-31800.535063249641</v>
      </c>
      <c r="J380" s="15">
        <f t="shared" si="51"/>
        <v>52644.416106247692</v>
      </c>
      <c r="K380" s="15">
        <f t="shared" si="51"/>
        <v>139939.22088347771</v>
      </c>
      <c r="L380" s="15">
        <f t="shared" si="51"/>
        <v>228103.34678049339</v>
      </c>
      <c r="M380" s="15">
        <f t="shared" si="51"/>
        <v>320242.47060137766</v>
      </c>
      <c r="N380" s="15">
        <f t="shared" si="51"/>
        <v>415543.25588576181</v>
      </c>
      <c r="O380" s="15">
        <f t="shared" si="51"/>
        <v>514090.23945939972</v>
      </c>
      <c r="P380" s="15">
        <f t="shared" si="51"/>
        <v>615971.11721876869</v>
      </c>
      <c r="Q380" s="15">
        <f t="shared" si="51"/>
        <v>709983.6330136063</v>
      </c>
      <c r="R380" s="15">
        <f t="shared" si="51"/>
        <v>800548.11102663237</v>
      </c>
      <c r="S380" s="15">
        <f t="shared" si="51"/>
        <v>893839.28012030991</v>
      </c>
      <c r="T380" s="15">
        <f t="shared" si="51"/>
        <v>989925.9806631516</v>
      </c>
      <c r="U380" s="15">
        <f t="shared" si="51"/>
        <v>1088879.3037941055</v>
      </c>
      <c r="V380" s="15">
        <f t="shared" si="51"/>
        <v>1190772.6047118336</v>
      </c>
      <c r="W380" s="15">
        <f t="shared" si="51"/>
        <v>1295681.5218712266</v>
      </c>
      <c r="X380" s="15">
        <f t="shared" si="51"/>
        <v>1403684.0013790124</v>
      </c>
      <c r="Y380" s="15">
        <f t="shared" si="51"/>
        <v>1514860.3260059881</v>
      </c>
      <c r="Z380" s="15">
        <f t="shared" si="51"/>
        <v>1629293.1483354841</v>
      </c>
      <c r="AA380" s="15">
        <f t="shared" si="51"/>
        <v>-76098.544690522132</v>
      </c>
      <c r="AB380" s="15">
        <f t="shared" si="51"/>
        <v>-348273.57463547983</v>
      </c>
    </row>
    <row r="381" spans="1:28" ht="30">
      <c r="A381" s="6" t="s">
        <v>393</v>
      </c>
      <c r="B381" s="18">
        <f t="shared" ref="B381:AB381" si="52">COUNTIF(B442:B493,"&lt;0")</f>
        <v>0</v>
      </c>
      <c r="C381" s="18">
        <f t="shared" si="52"/>
        <v>0</v>
      </c>
      <c r="D381" s="18">
        <f t="shared" si="52"/>
        <v>0</v>
      </c>
      <c r="E381" s="18">
        <f t="shared" si="52"/>
        <v>0</v>
      </c>
      <c r="F381" s="18">
        <f t="shared" si="52"/>
        <v>0</v>
      </c>
      <c r="G381" s="18">
        <f t="shared" si="52"/>
        <v>0</v>
      </c>
      <c r="H381" s="18">
        <f t="shared" si="52"/>
        <v>0</v>
      </c>
      <c r="I381" s="18">
        <f t="shared" si="52"/>
        <v>0</v>
      </c>
      <c r="J381" s="18">
        <f t="shared" si="52"/>
        <v>0</v>
      </c>
      <c r="K381" s="18">
        <f t="shared" si="52"/>
        <v>0</v>
      </c>
      <c r="L381" s="18">
        <f t="shared" si="52"/>
        <v>0</v>
      </c>
      <c r="M381" s="18">
        <f t="shared" si="52"/>
        <v>0</v>
      </c>
      <c r="N381" s="18">
        <f t="shared" si="52"/>
        <v>0</v>
      </c>
      <c r="O381" s="18">
        <f t="shared" si="52"/>
        <v>0</v>
      </c>
      <c r="P381" s="18">
        <f t="shared" si="52"/>
        <v>0</v>
      </c>
      <c r="Q381" s="18">
        <f t="shared" si="52"/>
        <v>26</v>
      </c>
      <c r="R381" s="18">
        <f t="shared" si="52"/>
        <v>26</v>
      </c>
      <c r="S381" s="18">
        <f t="shared" si="52"/>
        <v>26</v>
      </c>
      <c r="T381" s="18">
        <f t="shared" si="52"/>
        <v>26</v>
      </c>
      <c r="U381" s="18">
        <f t="shared" si="52"/>
        <v>26</v>
      </c>
      <c r="V381" s="18">
        <f t="shared" si="52"/>
        <v>26</v>
      </c>
      <c r="W381" s="18">
        <f t="shared" si="52"/>
        <v>26</v>
      </c>
      <c r="X381" s="18">
        <f t="shared" si="52"/>
        <v>26</v>
      </c>
      <c r="Y381" s="18">
        <f t="shared" si="52"/>
        <v>26</v>
      </c>
      <c r="Z381" s="18">
        <f t="shared" si="52"/>
        <v>26</v>
      </c>
      <c r="AA381" s="18">
        <f t="shared" si="52"/>
        <v>0</v>
      </c>
      <c r="AB381" s="18">
        <f t="shared" si="52"/>
        <v>0</v>
      </c>
    </row>
    <row r="382" spans="1:28" ht="30">
      <c r="A382" s="6" t="s">
        <v>394</v>
      </c>
      <c r="B382" s="18">
        <f t="shared" ref="B382:AB382" si="53">MIN(B375,B377)</f>
        <v>2046</v>
      </c>
      <c r="C382" s="18">
        <f t="shared" si="53"/>
        <v>2046</v>
      </c>
      <c r="D382" s="18">
        <f t="shared" si="53"/>
        <v>2046</v>
      </c>
      <c r="E382" s="18">
        <f t="shared" si="53"/>
        <v>2046</v>
      </c>
      <c r="F382" s="18">
        <f t="shared" si="53"/>
        <v>2046</v>
      </c>
      <c r="G382" s="18">
        <f t="shared" si="53"/>
        <v>2046</v>
      </c>
      <c r="H382" s="18">
        <f t="shared" si="53"/>
        <v>2046</v>
      </c>
      <c r="I382" s="18">
        <f t="shared" si="53"/>
        <v>2046</v>
      </c>
      <c r="J382" s="18">
        <f t="shared" si="53"/>
        <v>2046</v>
      </c>
      <c r="K382" s="18">
        <f t="shared" si="53"/>
        <v>2046</v>
      </c>
      <c r="L382" s="18">
        <f t="shared" si="53"/>
        <v>2046</v>
      </c>
      <c r="M382" s="18">
        <f t="shared" si="53"/>
        <v>2046</v>
      </c>
      <c r="N382" s="18">
        <f t="shared" si="53"/>
        <v>2046</v>
      </c>
      <c r="O382" s="18">
        <f t="shared" si="53"/>
        <v>2046</v>
      </c>
      <c r="P382" s="18">
        <f t="shared" si="53"/>
        <v>2046</v>
      </c>
      <c r="Q382" s="18">
        <f t="shared" si="53"/>
        <v>2046</v>
      </c>
      <c r="R382" s="18">
        <f t="shared" si="53"/>
        <v>2046</v>
      </c>
      <c r="S382" s="18">
        <f t="shared" si="53"/>
        <v>2046</v>
      </c>
      <c r="T382" s="18">
        <f t="shared" si="53"/>
        <v>2046</v>
      </c>
      <c r="U382" s="18">
        <f t="shared" si="53"/>
        <v>2046</v>
      </c>
      <c r="V382" s="18">
        <f t="shared" si="53"/>
        <v>2046</v>
      </c>
      <c r="W382" s="18">
        <f t="shared" si="53"/>
        <v>2046</v>
      </c>
      <c r="X382" s="18">
        <f t="shared" si="53"/>
        <v>2046</v>
      </c>
      <c r="Y382" s="18">
        <f t="shared" si="53"/>
        <v>2046</v>
      </c>
      <c r="Z382" s="18">
        <f t="shared" si="53"/>
        <v>2046</v>
      </c>
      <c r="AA382" s="18">
        <f t="shared" si="53"/>
        <v>2046</v>
      </c>
      <c r="AB382" s="18">
        <f t="shared" si="53"/>
        <v>2046</v>
      </c>
    </row>
    <row r="383" spans="1:28" ht="30">
      <c r="A383" s="6" t="s">
        <v>395</v>
      </c>
      <c r="B383" s="18">
        <f t="shared" ref="B383:AB383" si="54">MAX(B375,B377)</f>
        <v>2057</v>
      </c>
      <c r="C383" s="18">
        <f t="shared" si="54"/>
        <v>2052</v>
      </c>
      <c r="D383" s="18">
        <f t="shared" si="54"/>
        <v>2052</v>
      </c>
      <c r="E383" s="18">
        <f t="shared" si="54"/>
        <v>2057</v>
      </c>
      <c r="F383" s="18">
        <f t="shared" si="54"/>
        <v>2052</v>
      </c>
      <c r="G383" s="18">
        <f t="shared" si="54"/>
        <v>2057</v>
      </c>
      <c r="H383" s="18">
        <f t="shared" si="54"/>
        <v>2052</v>
      </c>
      <c r="I383" s="18">
        <f t="shared" si="54"/>
        <v>2052</v>
      </c>
      <c r="J383" s="18">
        <f t="shared" si="54"/>
        <v>2052</v>
      </c>
      <c r="K383" s="18">
        <f t="shared" si="54"/>
        <v>2052</v>
      </c>
      <c r="L383" s="18">
        <f t="shared" si="54"/>
        <v>2052</v>
      </c>
      <c r="M383" s="18">
        <f t="shared" si="54"/>
        <v>2052</v>
      </c>
      <c r="N383" s="18">
        <f t="shared" si="54"/>
        <v>2052</v>
      </c>
      <c r="O383" s="18">
        <f t="shared" si="54"/>
        <v>2052</v>
      </c>
      <c r="P383" s="18">
        <f t="shared" si="54"/>
        <v>2052</v>
      </c>
      <c r="Q383" s="18">
        <f t="shared" si="54"/>
        <v>2052</v>
      </c>
      <c r="R383" s="18">
        <f t="shared" si="54"/>
        <v>2052</v>
      </c>
      <c r="S383" s="18">
        <f t="shared" si="54"/>
        <v>2052</v>
      </c>
      <c r="T383" s="18">
        <f t="shared" si="54"/>
        <v>2052</v>
      </c>
      <c r="U383" s="18">
        <f t="shared" si="54"/>
        <v>2052</v>
      </c>
      <c r="V383" s="18">
        <f t="shared" si="54"/>
        <v>2052</v>
      </c>
      <c r="W383" s="18">
        <f t="shared" si="54"/>
        <v>2052</v>
      </c>
      <c r="X383" s="18">
        <f t="shared" si="54"/>
        <v>2052</v>
      </c>
      <c r="Y383" s="18">
        <f t="shared" si="54"/>
        <v>2052</v>
      </c>
      <c r="Z383" s="18">
        <f t="shared" si="54"/>
        <v>2052</v>
      </c>
      <c r="AA383" s="18">
        <f t="shared" si="54"/>
        <v>2057</v>
      </c>
      <c r="AB383" s="18">
        <f t="shared" si="54"/>
        <v>2057</v>
      </c>
    </row>
    <row r="384" spans="1:28" ht="30">
      <c r="A384" s="6" t="s">
        <v>396</v>
      </c>
      <c r="B384" s="18" t="str">
        <f t="shared" ref="B384:AB384" si="55">IF(B380&gt;=0,B362,"")</f>
        <v/>
      </c>
      <c r="C384" s="18">
        <f t="shared" si="55"/>
        <v>2029</v>
      </c>
      <c r="D384" s="18">
        <f t="shared" si="55"/>
        <v>2026</v>
      </c>
      <c r="E384" s="18" t="str">
        <f t="shared" si="55"/>
        <v/>
      </c>
      <c r="F384" s="18" t="str">
        <f t="shared" si="55"/>
        <v/>
      </c>
      <c r="G384" s="18" t="str">
        <f t="shared" si="55"/>
        <v/>
      </c>
      <c r="H384" s="18" t="str">
        <f t="shared" si="55"/>
        <v/>
      </c>
      <c r="I384" s="18" t="str">
        <f t="shared" si="55"/>
        <v/>
      </c>
      <c r="J384" s="18">
        <f t="shared" si="55"/>
        <v>2029</v>
      </c>
      <c r="K384" s="18">
        <f t="shared" si="55"/>
        <v>2030</v>
      </c>
      <c r="L384" s="18">
        <f t="shared" si="55"/>
        <v>2031</v>
      </c>
      <c r="M384" s="18">
        <f t="shared" si="55"/>
        <v>2032</v>
      </c>
      <c r="N384" s="18">
        <f t="shared" si="55"/>
        <v>2033</v>
      </c>
      <c r="O384" s="18">
        <f t="shared" si="55"/>
        <v>2034</v>
      </c>
      <c r="P384" s="18">
        <f t="shared" si="55"/>
        <v>2035</v>
      </c>
      <c r="Q384" s="18">
        <f t="shared" si="55"/>
        <v>2036</v>
      </c>
      <c r="R384" s="18">
        <f t="shared" si="55"/>
        <v>2037</v>
      </c>
      <c r="S384" s="18">
        <f t="shared" si="55"/>
        <v>2038</v>
      </c>
      <c r="T384" s="18">
        <f t="shared" si="55"/>
        <v>2039</v>
      </c>
      <c r="U384" s="18">
        <f t="shared" si="55"/>
        <v>2040</v>
      </c>
      <c r="V384" s="18">
        <f t="shared" si="55"/>
        <v>2041</v>
      </c>
      <c r="W384" s="18">
        <f t="shared" si="55"/>
        <v>2042</v>
      </c>
      <c r="X384" s="18">
        <f t="shared" si="55"/>
        <v>2043</v>
      </c>
      <c r="Y384" s="18">
        <f t="shared" si="55"/>
        <v>2044</v>
      </c>
      <c r="Z384" s="18">
        <f t="shared" si="55"/>
        <v>2045</v>
      </c>
      <c r="AA384" s="18" t="str">
        <f t="shared" si="55"/>
        <v/>
      </c>
      <c r="AB384" s="18" t="str">
        <f t="shared" si="55"/>
        <v/>
      </c>
    </row>
    <row r="385" spans="1:28">
      <c r="A385" s="33" t="s">
        <v>397</v>
      </c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</row>
    <row r="386" spans="1:28" ht="32.1" customHeight="1">
      <c r="A386" s="12" t="s">
        <v>246</v>
      </c>
      <c r="B386" s="12" t="s">
        <v>177</v>
      </c>
      <c r="C386" s="12" t="s">
        <v>178</v>
      </c>
      <c r="D386" s="12" t="s">
        <v>179</v>
      </c>
      <c r="E386" s="12" t="s">
        <v>352</v>
      </c>
      <c r="F386" s="12" t="s">
        <v>353</v>
      </c>
      <c r="G386" s="12" t="s">
        <v>354</v>
      </c>
      <c r="H386" s="12" t="s">
        <v>355</v>
      </c>
      <c r="I386" s="12" t="s">
        <v>356</v>
      </c>
      <c r="J386" s="12" t="s">
        <v>357</v>
      </c>
      <c r="K386" s="12" t="s">
        <v>358</v>
      </c>
      <c r="L386" s="12" t="s">
        <v>359</v>
      </c>
      <c r="M386" s="12" t="s">
        <v>360</v>
      </c>
      <c r="N386" s="12" t="s">
        <v>361</v>
      </c>
      <c r="O386" s="12" t="s">
        <v>362</v>
      </c>
      <c r="P386" s="12" t="s">
        <v>363</v>
      </c>
      <c r="Q386" s="12" t="s">
        <v>364</v>
      </c>
      <c r="R386" s="12" t="s">
        <v>365</v>
      </c>
      <c r="S386" s="12" t="s">
        <v>366</v>
      </c>
      <c r="T386" s="12" t="s">
        <v>367</v>
      </c>
      <c r="U386" s="12" t="s">
        <v>368</v>
      </c>
      <c r="V386" s="12" t="s">
        <v>369</v>
      </c>
      <c r="W386" s="12" t="s">
        <v>370</v>
      </c>
      <c r="X386" s="12" t="s">
        <v>371</v>
      </c>
      <c r="Y386" s="12" t="s">
        <v>372</v>
      </c>
      <c r="Z386" s="12" t="s">
        <v>373</v>
      </c>
      <c r="AA386" s="12" t="s">
        <v>374</v>
      </c>
      <c r="AB386" s="12" t="s">
        <v>375</v>
      </c>
    </row>
    <row r="387" spans="1:28">
      <c r="A387" s="21">
        <v>2027</v>
      </c>
      <c r="B387" s="15">
        <f t="shared" ref="B387:AB387" si="56">IF(B442="",0,MAX(0,B442)/(1-p_cgt*(1-B372/F_nom^($A387-B365-1)))/G_real^($A387-B365-1))</f>
        <v>44008.333313680232</v>
      </c>
      <c r="C387" s="15">
        <f t="shared" si="56"/>
        <v>0</v>
      </c>
      <c r="D387" s="15">
        <f t="shared" si="56"/>
        <v>18582.85692539726</v>
      </c>
      <c r="E387" s="15">
        <f t="shared" si="56"/>
        <v>5381.150982196692</v>
      </c>
      <c r="F387" s="15">
        <f t="shared" si="56"/>
        <v>18582.85692539726</v>
      </c>
      <c r="G387" s="15">
        <f t="shared" si="56"/>
        <v>44008.333313680232</v>
      </c>
      <c r="H387" s="15">
        <f t="shared" si="56"/>
        <v>0</v>
      </c>
      <c r="I387" s="15">
        <f t="shared" si="56"/>
        <v>0</v>
      </c>
      <c r="J387" s="15">
        <f t="shared" si="56"/>
        <v>0</v>
      </c>
      <c r="K387" s="15">
        <f t="shared" si="56"/>
        <v>0</v>
      </c>
      <c r="L387" s="15">
        <f t="shared" si="56"/>
        <v>0</v>
      </c>
      <c r="M387" s="15">
        <f t="shared" si="56"/>
        <v>0</v>
      </c>
      <c r="N387" s="15">
        <f t="shared" si="56"/>
        <v>0</v>
      </c>
      <c r="O387" s="15">
        <f t="shared" si="56"/>
        <v>0</v>
      </c>
      <c r="P387" s="15">
        <f t="shared" si="56"/>
        <v>0</v>
      </c>
      <c r="Q387" s="15">
        <f t="shared" si="56"/>
        <v>0</v>
      </c>
      <c r="R387" s="15">
        <f t="shared" si="56"/>
        <v>0</v>
      </c>
      <c r="S387" s="15">
        <f t="shared" si="56"/>
        <v>0</v>
      </c>
      <c r="T387" s="15">
        <f t="shared" si="56"/>
        <v>0</v>
      </c>
      <c r="U387" s="15">
        <f t="shared" si="56"/>
        <v>0</v>
      </c>
      <c r="V387" s="15">
        <f t="shared" si="56"/>
        <v>0</v>
      </c>
      <c r="W387" s="15">
        <f t="shared" si="56"/>
        <v>0</v>
      </c>
      <c r="X387" s="15">
        <f t="shared" si="56"/>
        <v>0</v>
      </c>
      <c r="Y387" s="15">
        <f t="shared" si="56"/>
        <v>0</v>
      </c>
      <c r="Z387" s="15">
        <f t="shared" si="56"/>
        <v>0</v>
      </c>
      <c r="AA387" s="15">
        <f t="shared" si="56"/>
        <v>39607.499982312205</v>
      </c>
      <c r="AB387" s="15">
        <f t="shared" si="56"/>
        <v>48409.166645048252</v>
      </c>
    </row>
    <row r="388" spans="1:28">
      <c r="A388" s="21">
        <v>2028</v>
      </c>
      <c r="B388" s="15">
        <f t="shared" ref="B388:AB388" si="57">IF(B443="",0,MAX(0,B443)/(1-p_cgt*(1-B372/F_nom^($A388-B365-1)))/G_real^($A388-B365-1))</f>
        <v>43166.819713993762</v>
      </c>
      <c r="C388" s="15">
        <f t="shared" si="57"/>
        <v>0</v>
      </c>
      <c r="D388" s="15">
        <f t="shared" si="57"/>
        <v>18227.521341286683</v>
      </c>
      <c r="E388" s="15">
        <f t="shared" si="57"/>
        <v>43166.819713993762</v>
      </c>
      <c r="F388" s="15">
        <f t="shared" si="57"/>
        <v>43166.819713993762</v>
      </c>
      <c r="G388" s="15">
        <f t="shared" si="57"/>
        <v>43166.819713993762</v>
      </c>
      <c r="H388" s="15">
        <f t="shared" si="57"/>
        <v>44261.627236522858</v>
      </c>
      <c r="I388" s="15">
        <f t="shared" si="57"/>
        <v>0</v>
      </c>
      <c r="J388" s="15">
        <f t="shared" si="57"/>
        <v>0</v>
      </c>
      <c r="K388" s="15">
        <f t="shared" si="57"/>
        <v>0</v>
      </c>
      <c r="L388" s="15">
        <f t="shared" si="57"/>
        <v>0</v>
      </c>
      <c r="M388" s="15">
        <f t="shared" si="57"/>
        <v>0</v>
      </c>
      <c r="N388" s="15">
        <f t="shared" si="57"/>
        <v>0</v>
      </c>
      <c r="O388" s="15">
        <f t="shared" si="57"/>
        <v>0</v>
      </c>
      <c r="P388" s="15">
        <f t="shared" si="57"/>
        <v>0</v>
      </c>
      <c r="Q388" s="15">
        <f t="shared" si="57"/>
        <v>0</v>
      </c>
      <c r="R388" s="15">
        <f t="shared" si="57"/>
        <v>0</v>
      </c>
      <c r="S388" s="15">
        <f t="shared" si="57"/>
        <v>0</v>
      </c>
      <c r="T388" s="15">
        <f t="shared" si="57"/>
        <v>0</v>
      </c>
      <c r="U388" s="15">
        <f t="shared" si="57"/>
        <v>0</v>
      </c>
      <c r="V388" s="15">
        <f t="shared" si="57"/>
        <v>0</v>
      </c>
      <c r="W388" s="15">
        <f t="shared" si="57"/>
        <v>0</v>
      </c>
      <c r="X388" s="15">
        <f t="shared" si="57"/>
        <v>0</v>
      </c>
      <c r="Y388" s="15">
        <f t="shared" si="57"/>
        <v>0</v>
      </c>
      <c r="Z388" s="15">
        <f t="shared" si="57"/>
        <v>0</v>
      </c>
      <c r="AA388" s="15">
        <f t="shared" si="57"/>
        <v>38850.137742594394</v>
      </c>
      <c r="AB388" s="15">
        <f t="shared" si="57"/>
        <v>47483.501685393137</v>
      </c>
    </row>
    <row r="389" spans="1:28">
      <c r="A389" s="21">
        <v>2029</v>
      </c>
      <c r="B389" s="15">
        <f t="shared" ref="B389:AB389" si="58">IF(B444="",0,MAX(0,B444)/(1-p_cgt*(1-B372/F_nom^($A389-B365-1)))/G_real^($A389-B365-1))</f>
        <v>42327.948352613297</v>
      </c>
      <c r="C389" s="15">
        <f t="shared" si="58"/>
        <v>0</v>
      </c>
      <c r="D389" s="15">
        <f t="shared" si="58"/>
        <v>17873.301462605184</v>
      </c>
      <c r="E389" s="15">
        <f t="shared" si="58"/>
        <v>42327.948352613297</v>
      </c>
      <c r="F389" s="15">
        <f t="shared" si="58"/>
        <v>42327.948352613297</v>
      </c>
      <c r="G389" s="15">
        <f t="shared" si="58"/>
        <v>42327.948352613297</v>
      </c>
      <c r="H389" s="15">
        <f t="shared" si="58"/>
        <v>43405.688279488415</v>
      </c>
      <c r="I389" s="15">
        <f t="shared" si="58"/>
        <v>44505.938308686811</v>
      </c>
      <c r="J389" s="15">
        <f t="shared" si="58"/>
        <v>0</v>
      </c>
      <c r="K389" s="15">
        <f t="shared" si="58"/>
        <v>0</v>
      </c>
      <c r="L389" s="15">
        <f t="shared" si="58"/>
        <v>0</v>
      </c>
      <c r="M389" s="15">
        <f t="shared" si="58"/>
        <v>0</v>
      </c>
      <c r="N389" s="15">
        <f t="shared" si="58"/>
        <v>0</v>
      </c>
      <c r="O389" s="15">
        <f t="shared" si="58"/>
        <v>0</v>
      </c>
      <c r="P389" s="15">
        <f t="shared" si="58"/>
        <v>0</v>
      </c>
      <c r="Q389" s="15">
        <f t="shared" si="58"/>
        <v>0</v>
      </c>
      <c r="R389" s="15">
        <f t="shared" si="58"/>
        <v>0</v>
      </c>
      <c r="S389" s="15">
        <f t="shared" si="58"/>
        <v>0</v>
      </c>
      <c r="T389" s="15">
        <f t="shared" si="58"/>
        <v>0</v>
      </c>
      <c r="U389" s="15">
        <f t="shared" si="58"/>
        <v>0</v>
      </c>
      <c r="V389" s="15">
        <f t="shared" si="58"/>
        <v>0</v>
      </c>
      <c r="W389" s="15">
        <f t="shared" si="58"/>
        <v>0</v>
      </c>
      <c r="X389" s="15">
        <f t="shared" si="58"/>
        <v>0</v>
      </c>
      <c r="Y389" s="15">
        <f t="shared" si="58"/>
        <v>0</v>
      </c>
      <c r="Z389" s="15">
        <f t="shared" si="58"/>
        <v>0</v>
      </c>
      <c r="AA389" s="15">
        <f t="shared" si="58"/>
        <v>38095.153517351959</v>
      </c>
      <c r="AB389" s="15">
        <f t="shared" si="58"/>
        <v>46560.743187874621</v>
      </c>
    </row>
    <row r="390" spans="1:28">
      <c r="A390" s="21">
        <v>2030</v>
      </c>
      <c r="B390" s="15">
        <f t="shared" ref="B390:AB390" si="59">IF(B445="",0,MAX(0,B445)/(1-p_cgt*(1-B372/F_nom^($A390-B365-1)))/G_real^($A390-B365-1))</f>
        <v>41492.604220000896</v>
      </c>
      <c r="C390" s="15">
        <f t="shared" si="59"/>
        <v>44741.868196011499</v>
      </c>
      <c r="D390" s="15">
        <f t="shared" si="59"/>
        <v>17520.570983376136</v>
      </c>
      <c r="E390" s="15">
        <f t="shared" si="59"/>
        <v>41492.604220000896</v>
      </c>
      <c r="F390" s="15">
        <f t="shared" si="59"/>
        <v>41492.604220000896</v>
      </c>
      <c r="G390" s="15">
        <f t="shared" si="59"/>
        <v>41492.604220000896</v>
      </c>
      <c r="H390" s="15">
        <f t="shared" si="59"/>
        <v>42553.071556733834</v>
      </c>
      <c r="I390" s="15">
        <f t="shared" si="59"/>
        <v>43635.985702284641</v>
      </c>
      <c r="J390" s="15">
        <f t="shared" si="59"/>
        <v>44741.868196011499</v>
      </c>
      <c r="K390" s="15">
        <f t="shared" si="59"/>
        <v>0</v>
      </c>
      <c r="L390" s="15">
        <f t="shared" si="59"/>
        <v>0</v>
      </c>
      <c r="M390" s="15">
        <f t="shared" si="59"/>
        <v>0</v>
      </c>
      <c r="N390" s="15">
        <f t="shared" si="59"/>
        <v>0</v>
      </c>
      <c r="O390" s="15">
        <f t="shared" si="59"/>
        <v>0</v>
      </c>
      <c r="P390" s="15">
        <f t="shared" si="59"/>
        <v>0</v>
      </c>
      <c r="Q390" s="15">
        <f t="shared" si="59"/>
        <v>0</v>
      </c>
      <c r="R390" s="15">
        <f t="shared" si="59"/>
        <v>0</v>
      </c>
      <c r="S390" s="15">
        <f t="shared" si="59"/>
        <v>0</v>
      </c>
      <c r="T390" s="15">
        <f t="shared" si="59"/>
        <v>0</v>
      </c>
      <c r="U390" s="15">
        <f t="shared" si="59"/>
        <v>0</v>
      </c>
      <c r="V390" s="15">
        <f t="shared" si="59"/>
        <v>0</v>
      </c>
      <c r="W390" s="15">
        <f t="shared" si="59"/>
        <v>0</v>
      </c>
      <c r="X390" s="15">
        <f t="shared" si="59"/>
        <v>0</v>
      </c>
      <c r="Y390" s="15">
        <f t="shared" si="59"/>
        <v>0</v>
      </c>
      <c r="Z390" s="15">
        <f t="shared" si="59"/>
        <v>0</v>
      </c>
      <c r="AA390" s="15">
        <f t="shared" si="59"/>
        <v>37343.343798000802</v>
      </c>
      <c r="AB390" s="15">
        <f t="shared" si="59"/>
        <v>45641.864642000983</v>
      </c>
    </row>
    <row r="391" spans="1:28">
      <c r="A391" s="21">
        <v>2031</v>
      </c>
      <c r="B391" s="15">
        <f t="shared" ref="B391:AB391" si="60">IF(B446="",0,MAX(0,B446)/(1-p_cgt*(1-B372/F_nom^($A391-B365-1)))/G_real^($A391-B365-1))</f>
        <v>40661.622328847996</v>
      </c>
      <c r="C391" s="15">
        <f t="shared" si="60"/>
        <v>43858.289660273273</v>
      </c>
      <c r="D391" s="15">
        <f t="shared" si="60"/>
        <v>17169.682494125165</v>
      </c>
      <c r="E391" s="15">
        <f t="shared" si="60"/>
        <v>40661.622328847996</v>
      </c>
      <c r="F391" s="15">
        <f t="shared" si="60"/>
        <v>40661.622328847996</v>
      </c>
      <c r="G391" s="15">
        <f t="shared" si="60"/>
        <v>40661.622328847996</v>
      </c>
      <c r="H391" s="15">
        <f t="shared" si="60"/>
        <v>41704.643864623285</v>
      </c>
      <c r="I391" s="15">
        <f t="shared" si="60"/>
        <v>42770.025672212963</v>
      </c>
      <c r="J391" s="15">
        <f t="shared" si="60"/>
        <v>43858.289660273273</v>
      </c>
      <c r="K391" s="15">
        <f t="shared" si="60"/>
        <v>44969.950172970166</v>
      </c>
      <c r="L391" s="15">
        <f t="shared" si="60"/>
        <v>0</v>
      </c>
      <c r="M391" s="15">
        <f t="shared" si="60"/>
        <v>0</v>
      </c>
      <c r="N391" s="15">
        <f t="shared" si="60"/>
        <v>0</v>
      </c>
      <c r="O391" s="15">
        <f t="shared" si="60"/>
        <v>0</v>
      </c>
      <c r="P391" s="15">
        <f t="shared" si="60"/>
        <v>0</v>
      </c>
      <c r="Q391" s="15">
        <f t="shared" si="60"/>
        <v>0</v>
      </c>
      <c r="R391" s="15">
        <f t="shared" si="60"/>
        <v>0</v>
      </c>
      <c r="S391" s="15">
        <f t="shared" si="60"/>
        <v>0</v>
      </c>
      <c r="T391" s="15">
        <f t="shared" si="60"/>
        <v>0</v>
      </c>
      <c r="U391" s="15">
        <f t="shared" si="60"/>
        <v>0</v>
      </c>
      <c r="V391" s="15">
        <f t="shared" si="60"/>
        <v>0</v>
      </c>
      <c r="W391" s="15">
        <f t="shared" si="60"/>
        <v>0</v>
      </c>
      <c r="X391" s="15">
        <f t="shared" si="60"/>
        <v>0</v>
      </c>
      <c r="Y391" s="15">
        <f t="shared" si="60"/>
        <v>0</v>
      </c>
      <c r="Z391" s="15">
        <f t="shared" si="60"/>
        <v>0</v>
      </c>
      <c r="AA391" s="15">
        <f t="shared" si="60"/>
        <v>36595.460095963193</v>
      </c>
      <c r="AB391" s="15">
        <f t="shared" si="60"/>
        <v>44727.784561732791</v>
      </c>
    </row>
    <row r="392" spans="1:28">
      <c r="A392" s="21">
        <v>2032</v>
      </c>
      <c r="B392" s="15">
        <f t="shared" ref="B392:AB392" si="61">IF(B447="",0,MAX(0,B447)/(1-p_cgt*(1-B372/F_nom^($A392-B365-1)))/G_real^($A392-B365-1))</f>
        <v>39835.787788032874</v>
      </c>
      <c r="C392" s="15">
        <f t="shared" si="61"/>
        <v>42979.364622883819</v>
      </c>
      <c r="D392" s="15">
        <f t="shared" si="61"/>
        <v>16820.967513109335</v>
      </c>
      <c r="E392" s="15">
        <f t="shared" si="61"/>
        <v>39835.787788032874</v>
      </c>
      <c r="F392" s="15">
        <f t="shared" si="61"/>
        <v>39835.787788032874</v>
      </c>
      <c r="G392" s="15">
        <f t="shared" si="61"/>
        <v>39835.787788032874</v>
      </c>
      <c r="H392" s="15">
        <f t="shared" si="61"/>
        <v>40861.221084086872</v>
      </c>
      <c r="I392" s="15">
        <f t="shared" si="61"/>
        <v>41908.906080174173</v>
      </c>
      <c r="J392" s="15">
        <f t="shared" si="61"/>
        <v>42979.364622883819</v>
      </c>
      <c r="K392" s="15">
        <f t="shared" si="61"/>
        <v>44073.112120633894</v>
      </c>
      <c r="L392" s="15">
        <f t="shared" si="61"/>
        <v>45190.659082164741</v>
      </c>
      <c r="M392" s="15">
        <f t="shared" si="61"/>
        <v>0</v>
      </c>
      <c r="N392" s="15">
        <f t="shared" si="61"/>
        <v>0</v>
      </c>
      <c r="O392" s="15">
        <f t="shared" si="61"/>
        <v>0</v>
      </c>
      <c r="P392" s="15">
        <f t="shared" si="61"/>
        <v>0</v>
      </c>
      <c r="Q392" s="15">
        <f t="shared" si="61"/>
        <v>0</v>
      </c>
      <c r="R392" s="15">
        <f t="shared" si="61"/>
        <v>0</v>
      </c>
      <c r="S392" s="15">
        <f t="shared" si="61"/>
        <v>0</v>
      </c>
      <c r="T392" s="15">
        <f t="shared" si="61"/>
        <v>0</v>
      </c>
      <c r="U392" s="15">
        <f t="shared" si="61"/>
        <v>0</v>
      </c>
      <c r="V392" s="15">
        <f t="shared" si="61"/>
        <v>0</v>
      </c>
      <c r="W392" s="15">
        <f t="shared" si="61"/>
        <v>0</v>
      </c>
      <c r="X392" s="15">
        <f t="shared" si="61"/>
        <v>0</v>
      </c>
      <c r="Y392" s="15">
        <f t="shared" si="61"/>
        <v>0</v>
      </c>
      <c r="Z392" s="15">
        <f t="shared" si="61"/>
        <v>0</v>
      </c>
      <c r="AA392" s="15">
        <f t="shared" si="61"/>
        <v>35852.209009229591</v>
      </c>
      <c r="AB392" s="15">
        <f t="shared" si="61"/>
        <v>43819.366566836165</v>
      </c>
    </row>
    <row r="393" spans="1:28">
      <c r="A393" s="21">
        <v>2033</v>
      </c>
      <c r="B393" s="15">
        <f t="shared" ref="B393:AB393" si="62">IF(B448="",0,MAX(0,B448)/(1-p_cgt*(1-B372/F_nom^($A393-B365-1)))/G_real^($A393-B365-1))</f>
        <v>39015.836126868024</v>
      </c>
      <c r="C393" s="15">
        <f t="shared" si="62"/>
        <v>42105.921341472633</v>
      </c>
      <c r="D393" s="15">
        <f t="shared" si="62"/>
        <v>16474.736623233039</v>
      </c>
      <c r="E393" s="15">
        <f t="shared" si="62"/>
        <v>39015.836126868024</v>
      </c>
      <c r="F393" s="15">
        <f t="shared" si="62"/>
        <v>39015.836126868024</v>
      </c>
      <c r="G393" s="15">
        <f t="shared" si="62"/>
        <v>39015.836126868024</v>
      </c>
      <c r="H393" s="15">
        <f t="shared" si="62"/>
        <v>40023.568434942616</v>
      </c>
      <c r="I393" s="15">
        <f t="shared" si="62"/>
        <v>41053.423056491592</v>
      </c>
      <c r="J393" s="15">
        <f t="shared" si="62"/>
        <v>42105.921341472633</v>
      </c>
      <c r="K393" s="15">
        <f t="shared" si="62"/>
        <v>43181.57927344089</v>
      </c>
      <c r="L393" s="15">
        <f t="shared" si="62"/>
        <v>44280.908920939008</v>
      </c>
      <c r="M393" s="15">
        <f t="shared" si="62"/>
        <v>45404.4196092969</v>
      </c>
      <c r="N393" s="15">
        <f t="shared" si="62"/>
        <v>0</v>
      </c>
      <c r="O393" s="15">
        <f t="shared" si="62"/>
        <v>0</v>
      </c>
      <c r="P393" s="15">
        <f t="shared" si="62"/>
        <v>0</v>
      </c>
      <c r="Q393" s="15">
        <f t="shared" si="62"/>
        <v>0</v>
      </c>
      <c r="R393" s="15">
        <f t="shared" si="62"/>
        <v>0</v>
      </c>
      <c r="S393" s="15">
        <f t="shared" si="62"/>
        <v>0</v>
      </c>
      <c r="T393" s="15">
        <f t="shared" si="62"/>
        <v>0</v>
      </c>
      <c r="U393" s="15">
        <f t="shared" si="62"/>
        <v>0</v>
      </c>
      <c r="V393" s="15">
        <f t="shared" si="62"/>
        <v>0</v>
      </c>
      <c r="W393" s="15">
        <f t="shared" si="62"/>
        <v>0</v>
      </c>
      <c r="X393" s="15">
        <f t="shared" si="62"/>
        <v>0</v>
      </c>
      <c r="Y393" s="15">
        <f t="shared" si="62"/>
        <v>0</v>
      </c>
      <c r="Z393" s="15">
        <f t="shared" si="62"/>
        <v>0</v>
      </c>
      <c r="AA393" s="15">
        <f t="shared" si="62"/>
        <v>35114.252514181229</v>
      </c>
      <c r="AB393" s="15">
        <f t="shared" si="62"/>
        <v>42917.419739554833</v>
      </c>
    </row>
    <row r="394" spans="1:28">
      <c r="A394" s="21">
        <v>2034</v>
      </c>
      <c r="B394" s="15">
        <f t="shared" ref="B394:AB394" si="63">IF(B449="",0,MAX(0,B449)/(1-p_cgt*(1-B372/F_nom^($A394-B365-1)))/G_real^($A394-B365-1))</f>
        <v>38202.45384627342</v>
      </c>
      <c r="C394" s="15">
        <f t="shared" si="63"/>
        <v>41238.735641293337</v>
      </c>
      <c r="D394" s="15">
        <f t="shared" si="63"/>
        <v>38202.45384627342</v>
      </c>
      <c r="E394" s="15">
        <f t="shared" si="63"/>
        <v>38202.45384627342</v>
      </c>
      <c r="F394" s="15">
        <f t="shared" si="63"/>
        <v>38202.45384627342</v>
      </c>
      <c r="G394" s="15">
        <f t="shared" si="63"/>
        <v>38202.45384627342</v>
      </c>
      <c r="H394" s="15">
        <f t="shared" si="63"/>
        <v>39192.400968854221</v>
      </c>
      <c r="I394" s="15">
        <f t="shared" si="63"/>
        <v>40204.321427550596</v>
      </c>
      <c r="J394" s="15">
        <f t="shared" si="63"/>
        <v>41238.735641293337</v>
      </c>
      <c r="K394" s="15">
        <f t="shared" si="63"/>
        <v>42296.159680178462</v>
      </c>
      <c r="L394" s="15">
        <f t="shared" si="63"/>
        <v>43377.106635424025</v>
      </c>
      <c r="M394" s="15">
        <f t="shared" si="63"/>
        <v>44482.087726383761</v>
      </c>
      <c r="N394" s="15">
        <f t="shared" si="63"/>
        <v>45611.613195817823</v>
      </c>
      <c r="O394" s="15">
        <f t="shared" si="63"/>
        <v>0</v>
      </c>
      <c r="P394" s="15">
        <f t="shared" si="63"/>
        <v>0</v>
      </c>
      <c r="Q394" s="15">
        <f t="shared" si="63"/>
        <v>0</v>
      </c>
      <c r="R394" s="15">
        <f t="shared" si="63"/>
        <v>0</v>
      </c>
      <c r="S394" s="15">
        <f t="shared" si="63"/>
        <v>0</v>
      </c>
      <c r="T394" s="15">
        <f t="shared" si="63"/>
        <v>0</v>
      </c>
      <c r="U394" s="15">
        <f t="shared" si="63"/>
        <v>0</v>
      </c>
      <c r="V394" s="15">
        <f t="shared" si="63"/>
        <v>0</v>
      </c>
      <c r="W394" s="15">
        <f t="shared" si="63"/>
        <v>0</v>
      </c>
      <c r="X394" s="15">
        <f t="shared" si="63"/>
        <v>0</v>
      </c>
      <c r="Y394" s="15">
        <f t="shared" si="63"/>
        <v>0</v>
      </c>
      <c r="Z394" s="15">
        <f t="shared" si="63"/>
        <v>0</v>
      </c>
      <c r="AA394" s="15">
        <f t="shared" si="63"/>
        <v>34382.208461646078</v>
      </c>
      <c r="AB394" s="15">
        <f t="shared" si="63"/>
        <v>42022.699230900762</v>
      </c>
    </row>
    <row r="395" spans="1:28">
      <c r="A395" s="21">
        <v>2035</v>
      </c>
      <c r="B395" s="15">
        <f t="shared" ref="B395:AB395" si="64">IF(B450="",0,MAX(0,B450)/(1-p_cgt*(1-B372/F_nom^($A395-B365-1)))/G_real^($A395-B365-1))</f>
        <v>37396.279173656862</v>
      </c>
      <c r="C395" s="15">
        <f t="shared" si="64"/>
        <v>40378.531508538479</v>
      </c>
      <c r="D395" s="15">
        <f t="shared" si="64"/>
        <v>37396.279173656862</v>
      </c>
      <c r="E395" s="15">
        <f t="shared" si="64"/>
        <v>37396.279173656862</v>
      </c>
      <c r="F395" s="15">
        <f t="shared" si="64"/>
        <v>37396.279173656862</v>
      </c>
      <c r="G395" s="15">
        <f t="shared" si="64"/>
        <v>37396.279173656862</v>
      </c>
      <c r="H395" s="15">
        <f t="shared" si="64"/>
        <v>38368.384277183381</v>
      </c>
      <c r="I395" s="15">
        <f t="shared" si="64"/>
        <v>39362.295369892476</v>
      </c>
      <c r="J395" s="15">
        <f t="shared" si="64"/>
        <v>40378.531508538479</v>
      </c>
      <c r="K395" s="15">
        <f t="shared" si="64"/>
        <v>41417.608364944463</v>
      </c>
      <c r="L395" s="15">
        <f t="shared" si="64"/>
        <v>42480.039519874204</v>
      </c>
      <c r="M395" s="15">
        <f t="shared" si="64"/>
        <v>43566.337509770157</v>
      </c>
      <c r="N395" s="15">
        <f t="shared" si="64"/>
        <v>44677.014674426675</v>
      </c>
      <c r="O395" s="15">
        <f t="shared" si="64"/>
        <v>45812.583842934211</v>
      </c>
      <c r="P395" s="15">
        <f t="shared" si="64"/>
        <v>0</v>
      </c>
      <c r="Q395" s="15">
        <f t="shared" si="64"/>
        <v>0</v>
      </c>
      <c r="R395" s="15">
        <f t="shared" si="64"/>
        <v>0</v>
      </c>
      <c r="S395" s="15">
        <f t="shared" si="64"/>
        <v>0</v>
      </c>
      <c r="T395" s="15">
        <f t="shared" si="64"/>
        <v>0</v>
      </c>
      <c r="U395" s="15">
        <f t="shared" si="64"/>
        <v>0</v>
      </c>
      <c r="V395" s="15">
        <f t="shared" si="64"/>
        <v>0</v>
      </c>
      <c r="W395" s="15">
        <f t="shared" si="64"/>
        <v>0</v>
      </c>
      <c r="X395" s="15">
        <f t="shared" si="64"/>
        <v>0</v>
      </c>
      <c r="Y395" s="15">
        <f t="shared" si="64"/>
        <v>0</v>
      </c>
      <c r="Z395" s="15">
        <f t="shared" si="64"/>
        <v>0</v>
      </c>
      <c r="AA395" s="15">
        <f t="shared" si="64"/>
        <v>33656.651256291181</v>
      </c>
      <c r="AB395" s="15">
        <f t="shared" si="64"/>
        <v>41135.907091022549</v>
      </c>
    </row>
    <row r="396" spans="1:28">
      <c r="A396" s="21">
        <v>2036</v>
      </c>
      <c r="B396" s="15">
        <f t="shared" ref="B396:AB396" si="65">IF(B451="",0,MAX(0,B451)/(1-p_cgt*(1-B372/F_nom^($A396-B365-1)))/G_real^($A396-B365-1))</f>
        <v>36597.902998685218</v>
      </c>
      <c r="C396" s="15">
        <f t="shared" si="65"/>
        <v>39525.981898075945</v>
      </c>
      <c r="D396" s="15">
        <f t="shared" si="65"/>
        <v>36597.902998685218</v>
      </c>
      <c r="E396" s="15">
        <f t="shared" si="65"/>
        <v>36597.902998685218</v>
      </c>
      <c r="F396" s="15">
        <f t="shared" si="65"/>
        <v>36597.902998685218</v>
      </c>
      <c r="G396" s="15">
        <f t="shared" si="65"/>
        <v>36597.902998685218</v>
      </c>
      <c r="H396" s="15">
        <f t="shared" si="65"/>
        <v>37552.135390329531</v>
      </c>
      <c r="I396" s="15">
        <f t="shared" si="65"/>
        <v>38527.989266973469</v>
      </c>
      <c r="J396" s="15">
        <f t="shared" si="65"/>
        <v>39525.981898075945</v>
      </c>
      <c r="K396" s="15">
        <f t="shared" si="65"/>
        <v>40546.628079112699</v>
      </c>
      <c r="L396" s="15">
        <f t="shared" si="65"/>
        <v>41590.44135439791</v>
      </c>
      <c r="M396" s="15">
        <f t="shared" si="65"/>
        <v>42657.935007773529</v>
      </c>
      <c r="N396" s="15">
        <f t="shared" si="65"/>
        <v>43749.62286627313</v>
      </c>
      <c r="O396" s="15">
        <f t="shared" si="65"/>
        <v>44866.019951782291</v>
      </c>
      <c r="P396" s="15">
        <f t="shared" si="65"/>
        <v>46007.643008094419</v>
      </c>
      <c r="Q396" s="15">
        <f t="shared" si="65"/>
        <v>0</v>
      </c>
      <c r="R396" s="15">
        <f t="shared" si="65"/>
        <v>0</v>
      </c>
      <c r="S396" s="15">
        <f t="shared" si="65"/>
        <v>0</v>
      </c>
      <c r="T396" s="15">
        <f t="shared" si="65"/>
        <v>0</v>
      </c>
      <c r="U396" s="15">
        <f t="shared" si="65"/>
        <v>0</v>
      </c>
      <c r="V396" s="15">
        <f t="shared" si="65"/>
        <v>0</v>
      </c>
      <c r="W396" s="15">
        <f t="shared" si="65"/>
        <v>0</v>
      </c>
      <c r="X396" s="15">
        <f t="shared" si="65"/>
        <v>0</v>
      </c>
      <c r="Y396" s="15">
        <f t="shared" si="65"/>
        <v>0</v>
      </c>
      <c r="Z396" s="15">
        <f t="shared" si="65"/>
        <v>0</v>
      </c>
      <c r="AA396" s="15">
        <f t="shared" si="65"/>
        <v>32938.112698816694</v>
      </c>
      <c r="AB396" s="15">
        <f t="shared" si="65"/>
        <v>40257.693298553742</v>
      </c>
    </row>
    <row r="397" spans="1:28">
      <c r="A397" s="21">
        <v>2037</v>
      </c>
      <c r="B397" s="15">
        <f t="shared" ref="B397:AB397" si="66">IF(B452="",0,MAX(0,B452)/(1-p_cgt*(1-B372/F_nom^($A397-B365-1)))/G_real^($A397-B365-1))</f>
        <v>35807.869967754326</v>
      </c>
      <c r="C397" s="15">
        <f t="shared" si="66"/>
        <v>38681.709731493225</v>
      </c>
      <c r="D397" s="15">
        <f t="shared" si="66"/>
        <v>35807.869967754326</v>
      </c>
      <c r="E397" s="15">
        <f t="shared" si="66"/>
        <v>35807.869967754326</v>
      </c>
      <c r="F397" s="15">
        <f t="shared" si="66"/>
        <v>35807.869967754326</v>
      </c>
      <c r="G397" s="15">
        <f t="shared" si="66"/>
        <v>35807.869967754326</v>
      </c>
      <c r="H397" s="15">
        <f t="shared" si="66"/>
        <v>36744.223845719469</v>
      </c>
      <c r="I397" s="15">
        <f t="shared" si="66"/>
        <v>37701.998745110068</v>
      </c>
      <c r="J397" s="15">
        <f t="shared" si="66"/>
        <v>38681.709731493225</v>
      </c>
      <c r="K397" s="15">
        <f t="shared" si="66"/>
        <v>39683.87025531345</v>
      </c>
      <c r="L397" s="15">
        <f t="shared" si="66"/>
        <v>40708.993308392666</v>
      </c>
      <c r="M397" s="15">
        <f t="shared" si="66"/>
        <v>41757.592362523341</v>
      </c>
      <c r="N397" s="15">
        <f t="shared" si="66"/>
        <v>42830.182132460439</v>
      </c>
      <c r="O397" s="15">
        <f t="shared" si="66"/>
        <v>43927.279196147938</v>
      </c>
      <c r="P397" s="15">
        <f t="shared" si="66"/>
        <v>45049.40249785802</v>
      </c>
      <c r="Q397" s="15">
        <f t="shared" si="66"/>
        <v>46197.073754465455</v>
      </c>
      <c r="R397" s="15">
        <f t="shared" si="66"/>
        <v>0</v>
      </c>
      <c r="S397" s="15">
        <f t="shared" si="66"/>
        <v>0</v>
      </c>
      <c r="T397" s="15">
        <f t="shared" si="66"/>
        <v>0</v>
      </c>
      <c r="U397" s="15">
        <f t="shared" si="66"/>
        <v>0</v>
      </c>
      <c r="V397" s="15">
        <f t="shared" si="66"/>
        <v>0</v>
      </c>
      <c r="W397" s="15">
        <f t="shared" si="66"/>
        <v>0</v>
      </c>
      <c r="X397" s="15">
        <f t="shared" si="66"/>
        <v>0</v>
      </c>
      <c r="Y397" s="15">
        <f t="shared" si="66"/>
        <v>0</v>
      </c>
      <c r="Z397" s="15">
        <f t="shared" si="66"/>
        <v>0</v>
      </c>
      <c r="AA397" s="15">
        <f t="shared" si="66"/>
        <v>32227.082970978892</v>
      </c>
      <c r="AB397" s="15">
        <f t="shared" si="66"/>
        <v>39388.656964529757</v>
      </c>
    </row>
    <row r="398" spans="1:28">
      <c r="A398" s="21">
        <v>2038</v>
      </c>
      <c r="B398" s="15">
        <f t="shared" ref="B398:AB398" si="67">IF(B453="",0,MAX(0,B453)/(1-p_cgt*(1-B372/F_nom^($A398-B365-1)))/G_real^($A398-B365-1))</f>
        <v>35026.679715773345</v>
      </c>
      <c r="C398" s="15">
        <f t="shared" si="67"/>
        <v>37846.289062005206</v>
      </c>
      <c r="D398" s="15">
        <f t="shared" si="67"/>
        <v>35026.679715773345</v>
      </c>
      <c r="E398" s="15">
        <f t="shared" si="67"/>
        <v>35026.679715773345</v>
      </c>
      <c r="F398" s="15">
        <f t="shared" si="67"/>
        <v>35026.679715773345</v>
      </c>
      <c r="G398" s="15">
        <f t="shared" si="67"/>
        <v>35026.679715773345</v>
      </c>
      <c r="H398" s="15">
        <f t="shared" si="67"/>
        <v>35945.172902379658</v>
      </c>
      <c r="I398" s="15">
        <f t="shared" si="67"/>
        <v>36884.871865854926</v>
      </c>
      <c r="J398" s="15">
        <f t="shared" si="67"/>
        <v>37846.289062005206</v>
      </c>
      <c r="K398" s="15">
        <f t="shared" si="67"/>
        <v>38829.936139298763</v>
      </c>
      <c r="L398" s="15">
        <f t="shared" si="67"/>
        <v>39836.325033477995</v>
      </c>
      <c r="M398" s="15">
        <f t="shared" si="67"/>
        <v>40865.968857743588</v>
      </c>
      <c r="N398" s="15">
        <f t="shared" si="67"/>
        <v>41919.382628170846</v>
      </c>
      <c r="O398" s="15">
        <f t="shared" si="67"/>
        <v>42997.083855129626</v>
      </c>
      <c r="P398" s="15">
        <f t="shared" si="67"/>
        <v>44099.593024762238</v>
      </c>
      <c r="Q398" s="15">
        <f t="shared" si="67"/>
        <v>45227.433989453901</v>
      </c>
      <c r="R398" s="15">
        <f t="shared" si="67"/>
        <v>46381.13428229792</v>
      </c>
      <c r="S398" s="15">
        <f t="shared" si="67"/>
        <v>0</v>
      </c>
      <c r="T398" s="15">
        <f t="shared" si="67"/>
        <v>0</v>
      </c>
      <c r="U398" s="15">
        <f t="shared" si="67"/>
        <v>0</v>
      </c>
      <c r="V398" s="15">
        <f t="shared" si="67"/>
        <v>0</v>
      </c>
      <c r="W398" s="15">
        <f t="shared" si="67"/>
        <v>0</v>
      </c>
      <c r="X398" s="15">
        <f t="shared" si="67"/>
        <v>0</v>
      </c>
      <c r="Y398" s="15">
        <f t="shared" si="67"/>
        <v>0</v>
      </c>
      <c r="Z398" s="15">
        <f t="shared" si="67"/>
        <v>0</v>
      </c>
      <c r="AA398" s="15">
        <f t="shared" si="67"/>
        <v>31524.011744196014</v>
      </c>
      <c r="AB398" s="15">
        <f t="shared" si="67"/>
        <v>38529.347687350681</v>
      </c>
    </row>
    <row r="399" spans="1:28">
      <c r="A399" s="21">
        <v>2039</v>
      </c>
      <c r="B399" s="15">
        <f t="shared" ref="B399:AB399" si="68">IF(B454="",0,MAX(0,B454)/(1-p_cgt*(1-B372/F_nom^($A399-B365-1)))/G_real^($A399-B365-1))</f>
        <v>34254.788214839195</v>
      </c>
      <c r="C399" s="15">
        <f t="shared" si="68"/>
        <v>37020.246383644211</v>
      </c>
      <c r="D399" s="15">
        <f t="shared" si="68"/>
        <v>34254.788214839195</v>
      </c>
      <c r="E399" s="15">
        <f t="shared" si="68"/>
        <v>34254.788214839195</v>
      </c>
      <c r="F399" s="15">
        <f t="shared" si="68"/>
        <v>34254.788214839195</v>
      </c>
      <c r="G399" s="15">
        <f t="shared" si="68"/>
        <v>34254.788214839195</v>
      </c>
      <c r="H399" s="15">
        <f t="shared" si="68"/>
        <v>35155.460880957311</v>
      </c>
      <c r="I399" s="15">
        <f t="shared" si="68"/>
        <v>36077.110452950037</v>
      </c>
      <c r="J399" s="15">
        <f t="shared" si="68"/>
        <v>37020.246383644211</v>
      </c>
      <c r="K399" s="15">
        <f t="shared" si="68"/>
        <v>37985.378076379144</v>
      </c>
      <c r="L399" s="15">
        <f t="shared" si="68"/>
        <v>38973.015921879341</v>
      </c>
      <c r="M399" s="15">
        <f t="shared" si="68"/>
        <v>39983.672143462594</v>
      </c>
      <c r="N399" s="15">
        <f t="shared" si="68"/>
        <v>41017.861487745693</v>
      </c>
      <c r="O399" s="15">
        <f t="shared" si="68"/>
        <v>42076.101789672481</v>
      </c>
      <c r="P399" s="15">
        <f t="shared" si="68"/>
        <v>43158.914434386934</v>
      </c>
      <c r="Q399" s="15">
        <f t="shared" si="68"/>
        <v>44266.824733672664</v>
      </c>
      <c r="R399" s="15">
        <f t="shared" si="68"/>
        <v>45400.36223099145</v>
      </c>
      <c r="S399" s="15">
        <f t="shared" si="68"/>
        <v>46560.060946299578</v>
      </c>
      <c r="T399" s="15">
        <f t="shared" si="68"/>
        <v>0</v>
      </c>
      <c r="U399" s="15">
        <f t="shared" si="68"/>
        <v>0</v>
      </c>
      <c r="V399" s="15">
        <f t="shared" si="68"/>
        <v>0</v>
      </c>
      <c r="W399" s="15">
        <f t="shared" si="68"/>
        <v>0</v>
      </c>
      <c r="X399" s="15">
        <f t="shared" si="68"/>
        <v>0</v>
      </c>
      <c r="Y399" s="15">
        <f t="shared" si="68"/>
        <v>0</v>
      </c>
      <c r="Z399" s="15">
        <f t="shared" si="68"/>
        <v>0</v>
      </c>
      <c r="AA399" s="15">
        <f t="shared" si="68"/>
        <v>30829.309393355274</v>
      </c>
      <c r="AB399" s="15">
        <f t="shared" si="68"/>
        <v>37680.267036323115</v>
      </c>
    </row>
    <row r="400" spans="1:28">
      <c r="A400" s="21">
        <v>2040</v>
      </c>
      <c r="B400" s="15">
        <f t="shared" ref="B400:AB400" si="69">IF(B455="",0,MAX(0,B455)/(1-p_cgt*(1-B372/F_nom^($A400-B365-1)))/G_real^($A400-B365-1))</f>
        <v>33492.609220453633</v>
      </c>
      <c r="C400" s="15">
        <f t="shared" si="69"/>
        <v>36204.062063172401</v>
      </c>
      <c r="D400" s="15">
        <f t="shared" si="69"/>
        <v>33492.609220453633</v>
      </c>
      <c r="E400" s="15">
        <f t="shared" si="69"/>
        <v>33492.609220453633</v>
      </c>
      <c r="F400" s="15">
        <f t="shared" si="69"/>
        <v>33492.609220453633</v>
      </c>
      <c r="G400" s="15">
        <f t="shared" si="69"/>
        <v>33492.609220453633</v>
      </c>
      <c r="H400" s="15">
        <f t="shared" si="69"/>
        <v>34375.522609121428</v>
      </c>
      <c r="I400" s="15">
        <f t="shared" si="69"/>
        <v>35279.17153304947</v>
      </c>
      <c r="J400" s="15">
        <f t="shared" si="69"/>
        <v>36204.062063172401</v>
      </c>
      <c r="K400" s="15">
        <f t="shared" si="69"/>
        <v>37150.700930108134</v>
      </c>
      <c r="L400" s="15">
        <f t="shared" si="69"/>
        <v>38119.5965071682</v>
      </c>
      <c r="M400" s="15">
        <f t="shared" si="69"/>
        <v>39111.259613778915</v>
      </c>
      <c r="N400" s="15">
        <f t="shared" si="69"/>
        <v>40126.204174121762</v>
      </c>
      <c r="O400" s="15">
        <f t="shared" si="69"/>
        <v>41164.947757981499</v>
      </c>
      <c r="P400" s="15">
        <f t="shared" si="69"/>
        <v>42228.012024882722</v>
      </c>
      <c r="Q400" s="15">
        <f t="shared" si="69"/>
        <v>43315.923088093099</v>
      </c>
      <c r="R400" s="15">
        <f t="shared" si="69"/>
        <v>44429.21181161415</v>
      </c>
      <c r="S400" s="15">
        <f t="shared" si="69"/>
        <v>45568.41405060426</v>
      </c>
      <c r="T400" s="15">
        <f t="shared" si="69"/>
        <v>46734.070843594091</v>
      </c>
      <c r="U400" s="15">
        <f t="shared" si="69"/>
        <v>0</v>
      </c>
      <c r="V400" s="15">
        <f t="shared" si="69"/>
        <v>0</v>
      </c>
      <c r="W400" s="15">
        <f t="shared" si="69"/>
        <v>0</v>
      </c>
      <c r="X400" s="15">
        <f t="shared" si="69"/>
        <v>0</v>
      </c>
      <c r="Y400" s="15">
        <f t="shared" si="69"/>
        <v>0</v>
      </c>
      <c r="Z400" s="15">
        <f t="shared" si="69"/>
        <v>0</v>
      </c>
      <c r="AA400" s="15">
        <f t="shared" si="69"/>
        <v>30143.348298408266</v>
      </c>
      <c r="AB400" s="15">
        <f t="shared" si="69"/>
        <v>36841.870142498992</v>
      </c>
    </row>
    <row r="401" spans="1:28">
      <c r="A401" s="21">
        <v>2041</v>
      </c>
      <c r="B401" s="15">
        <f t="shared" ref="B401:AB401" si="70">IF(B456="",0,MAX(0,B456)/(1-p_cgt*(1-B372/F_nom^($A401-B365-1)))/G_real^($A401-B365-1))</f>
        <v>32740.515797102562</v>
      </c>
      <c r="C401" s="15">
        <f t="shared" si="70"/>
        <v>35398.171874301515</v>
      </c>
      <c r="D401" s="15">
        <f t="shared" si="70"/>
        <v>32740.515797102562</v>
      </c>
      <c r="E401" s="15">
        <f t="shared" si="70"/>
        <v>32740.515797102562</v>
      </c>
      <c r="F401" s="15">
        <f t="shared" si="70"/>
        <v>32740.515797102562</v>
      </c>
      <c r="G401" s="15">
        <f t="shared" si="70"/>
        <v>32740.515797102562</v>
      </c>
      <c r="H401" s="15">
        <f t="shared" si="70"/>
        <v>33605.750953438204</v>
      </c>
      <c r="I401" s="15">
        <f t="shared" si="70"/>
        <v>34491.468870561213</v>
      </c>
      <c r="J401" s="15">
        <f t="shared" si="70"/>
        <v>35398.171874301515</v>
      </c>
      <c r="K401" s="15">
        <f t="shared" si="70"/>
        <v>36326.363612018977</v>
      </c>
      <c r="L401" s="15">
        <f t="shared" si="70"/>
        <v>37276.549985367055</v>
      </c>
      <c r="M401" s="15">
        <f t="shared" si="70"/>
        <v>38249.239914885373</v>
      </c>
      <c r="N401" s="15">
        <f t="shared" si="70"/>
        <v>39244.945969010543</v>
      </c>
      <c r="O401" s="15">
        <f t="shared" si="70"/>
        <v>40264.184882765352</v>
      </c>
      <c r="P401" s="15">
        <f t="shared" si="70"/>
        <v>41307.47798584868</v>
      </c>
      <c r="Q401" s="15">
        <f t="shared" si="70"/>
        <v>42375.351555629655</v>
      </c>
      <c r="R401" s="15">
        <f t="shared" si="70"/>
        <v>43468.337107309082</v>
      </c>
      <c r="S401" s="15">
        <f t="shared" si="70"/>
        <v>44586.971631003653</v>
      </c>
      <c r="T401" s="15">
        <f t="shared" si="70"/>
        <v>45731.797783554677</v>
      </c>
      <c r="U401" s="15">
        <f t="shared" si="70"/>
        <v>46903.364041330358</v>
      </c>
      <c r="V401" s="15">
        <f t="shared" si="70"/>
        <v>0</v>
      </c>
      <c r="W401" s="15">
        <f t="shared" si="70"/>
        <v>0</v>
      </c>
      <c r="X401" s="15">
        <f t="shared" si="70"/>
        <v>0</v>
      </c>
      <c r="Y401" s="15">
        <f t="shared" si="70"/>
        <v>0</v>
      </c>
      <c r="Z401" s="15">
        <f t="shared" si="70"/>
        <v>0</v>
      </c>
      <c r="AA401" s="15">
        <f t="shared" si="70"/>
        <v>29466.464217392309</v>
      </c>
      <c r="AB401" s="15">
        <f t="shared" si="70"/>
        <v>36014.567376812818</v>
      </c>
    </row>
    <row r="402" spans="1:28">
      <c r="A402" s="21">
        <v>2042</v>
      </c>
      <c r="B402" s="15">
        <f t="shared" ref="B402:AB402" si="71">IF(B457="",0,MAX(0,B457)/(1-p_cgt*(1-B372/F_nom^($A402-B365-1)))/G_real^($A402-B365-1))</f>
        <v>31998.841906244561</v>
      </c>
      <c r="C402" s="15">
        <f t="shared" si="71"/>
        <v>34602.96861504241</v>
      </c>
      <c r="D402" s="15">
        <f t="shared" si="71"/>
        <v>31998.841906244561</v>
      </c>
      <c r="E402" s="15">
        <f t="shared" si="71"/>
        <v>31998.841906244561</v>
      </c>
      <c r="F402" s="15">
        <f t="shared" si="71"/>
        <v>31998.841906244561</v>
      </c>
      <c r="G402" s="15">
        <f t="shared" si="71"/>
        <v>31998.841906244561</v>
      </c>
      <c r="H402" s="15">
        <f t="shared" si="71"/>
        <v>32846.498420051073</v>
      </c>
      <c r="I402" s="15">
        <f t="shared" si="71"/>
        <v>33714.374578195435</v>
      </c>
      <c r="J402" s="15">
        <f t="shared" si="71"/>
        <v>34602.96861504241</v>
      </c>
      <c r="K402" s="15">
        <f t="shared" si="71"/>
        <v>35512.780702448959</v>
      </c>
      <c r="L402" s="15">
        <f t="shared" si="71"/>
        <v>36444.313835649577</v>
      </c>
      <c r="M402" s="15">
        <f t="shared" si="71"/>
        <v>37398.074561758665</v>
      </c>
      <c r="N402" s="15">
        <f t="shared" si="71"/>
        <v>38374.573581390861</v>
      </c>
      <c r="O402" s="15">
        <f t="shared" si="71"/>
        <v>39374.326247031415</v>
      </c>
      <c r="P402" s="15">
        <f t="shared" si="71"/>
        <v>40397.85297660267</v>
      </c>
      <c r="Q402" s="15">
        <f t="shared" si="71"/>
        <v>41445.679596718714</v>
      </c>
      <c r="R402" s="15">
        <f t="shared" si="71"/>
        <v>42518.337627086141</v>
      </c>
      <c r="S402" s="15">
        <f t="shared" si="71"/>
        <v>43616.364515158893</v>
      </c>
      <c r="T402" s="15">
        <f t="shared" si="71"/>
        <v>44740.303828325625</v>
      </c>
      <c r="U402" s="15">
        <f t="shared" si="71"/>
        <v>45890.705409471768</v>
      </c>
      <c r="V402" s="15">
        <f t="shared" si="71"/>
        <v>47068.125500625261</v>
      </c>
      <c r="W402" s="15">
        <f t="shared" si="71"/>
        <v>0</v>
      </c>
      <c r="X402" s="15">
        <f t="shared" si="71"/>
        <v>0</v>
      </c>
      <c r="Y402" s="15">
        <f t="shared" si="71"/>
        <v>0</v>
      </c>
      <c r="Z402" s="15">
        <f t="shared" si="71"/>
        <v>0</v>
      </c>
      <c r="AA402" s="15">
        <f t="shared" si="71"/>
        <v>28798.957715620105</v>
      </c>
      <c r="AB402" s="15">
        <f t="shared" si="71"/>
        <v>35198.726096869017</v>
      </c>
    </row>
    <row r="403" spans="1:28">
      <c r="A403" s="21">
        <v>2043</v>
      </c>
      <c r="B403" s="15">
        <f t="shared" ref="B403:AB403" si="72">IF(B458="",0,MAX(0,B458)/(1-p_cgt*(1-B372/F_nom^($A403-B365-1)))/G_real^($A403-B365-1))</f>
        <v>31267.884041020887</v>
      </c>
      <c r="C403" s="15">
        <f t="shared" si="72"/>
        <v>33818.803790308113</v>
      </c>
      <c r="D403" s="15">
        <f t="shared" si="72"/>
        <v>31267.884041020887</v>
      </c>
      <c r="E403" s="15">
        <f t="shared" si="72"/>
        <v>31267.884041020887</v>
      </c>
      <c r="F403" s="15">
        <f t="shared" si="72"/>
        <v>31267.884041020887</v>
      </c>
      <c r="G403" s="15">
        <f t="shared" si="72"/>
        <v>31267.884041020887</v>
      </c>
      <c r="H403" s="15">
        <f t="shared" si="72"/>
        <v>32098.078807774898</v>
      </c>
      <c r="I403" s="15">
        <f t="shared" si="72"/>
        <v>32948.220786099628</v>
      </c>
      <c r="J403" s="15">
        <f t="shared" si="72"/>
        <v>33818.803790308113</v>
      </c>
      <c r="K403" s="15">
        <f t="shared" si="72"/>
        <v>34710.324143794373</v>
      </c>
      <c r="L403" s="15">
        <f t="shared" si="72"/>
        <v>35623.281521173536</v>
      </c>
      <c r="M403" s="15">
        <f t="shared" si="72"/>
        <v>36558.179643225973</v>
      </c>
      <c r="N403" s="15">
        <f t="shared" si="72"/>
        <v>37515.526853179515</v>
      </c>
      <c r="O403" s="15">
        <f t="shared" si="72"/>
        <v>38495.836596433175</v>
      </c>
      <c r="P403" s="15">
        <f t="shared" si="72"/>
        <v>39499.627820966372</v>
      </c>
      <c r="Q403" s="15">
        <f t="shared" si="72"/>
        <v>40527.425311977648</v>
      </c>
      <c r="R403" s="15">
        <f t="shared" si="72"/>
        <v>41579.759971453386</v>
      </c>
      <c r="S403" s="15">
        <f t="shared" si="72"/>
        <v>42657.16905116853</v>
      </c>
      <c r="T403" s="15">
        <f t="shared" si="72"/>
        <v>43760.196345906494</v>
      </c>
      <c r="U403" s="15">
        <f t="shared" si="72"/>
        <v>44889.392352341172</v>
      </c>
      <c r="V403" s="15">
        <f t="shared" si="72"/>
        <v>46045.314397962407</v>
      </c>
      <c r="W403" s="15">
        <f t="shared" si="72"/>
        <v>47228.526743582952</v>
      </c>
      <c r="X403" s="15">
        <f t="shared" si="72"/>
        <v>0</v>
      </c>
      <c r="Y403" s="15">
        <f t="shared" si="72"/>
        <v>0</v>
      </c>
      <c r="Z403" s="15">
        <f t="shared" si="72"/>
        <v>0</v>
      </c>
      <c r="AA403" s="15">
        <f t="shared" si="72"/>
        <v>28141.095636918799</v>
      </c>
      <c r="AB403" s="15">
        <f t="shared" si="72"/>
        <v>34394.672445122975</v>
      </c>
    </row>
    <row r="404" spans="1:28">
      <c r="A404" s="21">
        <v>2044</v>
      </c>
      <c r="B404" s="15">
        <f t="shared" ref="B404:AB404" si="73">IF(B459="",0,MAX(0,B459)/(1-p_cgt*(1-B372/F_nom^($A404-B365-1)))/G_real^($A404-B365-1))</f>
        <v>30547.902893280341</v>
      </c>
      <c r="C404" s="15">
        <f t="shared" si="73"/>
        <v>33045.989343234127</v>
      </c>
      <c r="D404" s="15">
        <f t="shared" si="73"/>
        <v>30547.902893280341</v>
      </c>
      <c r="E404" s="15">
        <f t="shared" si="73"/>
        <v>30547.902893280341</v>
      </c>
      <c r="F404" s="15">
        <f t="shared" si="73"/>
        <v>30547.902893280341</v>
      </c>
      <c r="G404" s="15">
        <f t="shared" si="73"/>
        <v>30547.902893280341</v>
      </c>
      <c r="H404" s="15">
        <f t="shared" si="73"/>
        <v>31360.768898517515</v>
      </c>
      <c r="I404" s="15">
        <f t="shared" si="73"/>
        <v>32193.301353783078</v>
      </c>
      <c r="J404" s="15">
        <f t="shared" si="73"/>
        <v>33045.989343234127</v>
      </c>
      <c r="K404" s="15">
        <f t="shared" si="73"/>
        <v>33919.324988892171</v>
      </c>
      <c r="L404" s="15">
        <f t="shared" si="73"/>
        <v>34813.804251949616</v>
      </c>
      <c r="M404" s="15">
        <f t="shared" si="73"/>
        <v>35729.927596491696</v>
      </c>
      <c r="N404" s="15">
        <f t="shared" si="73"/>
        <v>36668.200542320352</v>
      </c>
      <c r="O404" s="15">
        <f t="shared" si="73"/>
        <v>37629.134127544377</v>
      </c>
      <c r="P404" s="15">
        <f t="shared" si="73"/>
        <v>38613.24529705345</v>
      </c>
      <c r="Q404" s="15">
        <f t="shared" si="73"/>
        <v>39621.057229527563</v>
      </c>
      <c r="R404" s="15">
        <f t="shared" si="73"/>
        <v>40653.099612974074</v>
      </c>
      <c r="S404" s="15">
        <f t="shared" si="73"/>
        <v>41709.908876724774</v>
      </c>
      <c r="T404" s="15">
        <f t="shared" si="73"/>
        <v>42792.028386221231</v>
      </c>
      <c r="U404" s="15">
        <f t="shared" si="73"/>
        <v>43900.008605657757</v>
      </c>
      <c r="V404" s="15">
        <f t="shared" si="73"/>
        <v>45034.40723255695</v>
      </c>
      <c r="W404" s="15">
        <f t="shared" si="73"/>
        <v>46195.789307563769</v>
      </c>
      <c r="X404" s="15">
        <f t="shared" si="73"/>
        <v>47384.727302112871</v>
      </c>
      <c r="Y404" s="15">
        <f t="shared" si="73"/>
        <v>0</v>
      </c>
      <c r="Z404" s="15">
        <f t="shared" si="73"/>
        <v>0</v>
      </c>
      <c r="AA404" s="15">
        <f t="shared" si="73"/>
        <v>27493.112603952308</v>
      </c>
      <c r="AB404" s="15">
        <f t="shared" si="73"/>
        <v>33602.693182608375</v>
      </c>
    </row>
    <row r="405" spans="1:28">
      <c r="A405" s="21">
        <v>2045</v>
      </c>
      <c r="B405" s="15">
        <f t="shared" ref="B405:AB405" si="74">IF(B460="",0,MAX(0,B460)/(1-p_cgt*(1-B372/F_nom^($A405-B365-1)))/G_real^($A405-B365-1))</f>
        <v>29839.125039790262</v>
      </c>
      <c r="C405" s="15">
        <f t="shared" si="74"/>
        <v>32284.799420034615</v>
      </c>
      <c r="D405" s="15">
        <f t="shared" si="74"/>
        <v>29839.125039790262</v>
      </c>
      <c r="E405" s="15">
        <f t="shared" si="74"/>
        <v>29839.125039790262</v>
      </c>
      <c r="F405" s="15">
        <f t="shared" si="74"/>
        <v>29839.125039790262</v>
      </c>
      <c r="G405" s="15">
        <f t="shared" si="74"/>
        <v>29839.125039790262</v>
      </c>
      <c r="H405" s="15">
        <f t="shared" si="74"/>
        <v>30634.810171246558</v>
      </c>
      <c r="I405" s="15">
        <f t="shared" si="74"/>
        <v>31449.873610364521</v>
      </c>
      <c r="J405" s="15">
        <f t="shared" si="74"/>
        <v>32284.799420034615</v>
      </c>
      <c r="K405" s="15">
        <f t="shared" si="74"/>
        <v>33140.075188602801</v>
      </c>
      <c r="L405" s="15">
        <f t="shared" si="74"/>
        <v>34016.192793045208</v>
      </c>
      <c r="M405" s="15">
        <f t="shared" si="74"/>
        <v>34913.649033621856</v>
      </c>
      <c r="N405" s="15">
        <f t="shared" si="74"/>
        <v>35832.946164958492</v>
      </c>
      <c r="O405" s="15">
        <f t="shared" si="74"/>
        <v>36774.59234287095</v>
      </c>
      <c r="P405" s="15">
        <f t="shared" si="74"/>
        <v>37739.102001990344</v>
      </c>
      <c r="Q405" s="15">
        <f t="shared" si="74"/>
        <v>38726.996176005567</v>
      </c>
      <c r="R405" s="15">
        <f t="shared" si="74"/>
        <v>39738.802769849579</v>
      </c>
      <c r="S405" s="15">
        <f t="shared" si="74"/>
        <v>40775.056791229676</v>
      </c>
      <c r="T405" s="15">
        <f t="shared" si="74"/>
        <v>41836.300547400184</v>
      </c>
      <c r="U405" s="15">
        <f t="shared" si="74"/>
        <v>42923.083811897821</v>
      </c>
      <c r="V405" s="15">
        <f t="shared" si="74"/>
        <v>44035.963965029339</v>
      </c>
      <c r="W405" s="15">
        <f t="shared" si="74"/>
        <v>45175.506111161798</v>
      </c>
      <c r="X405" s="15">
        <f t="shared" si="74"/>
        <v>46342.283175275341</v>
      </c>
      <c r="Y405" s="15">
        <f t="shared" si="74"/>
        <v>47536.8759807635</v>
      </c>
      <c r="Z405" s="15">
        <f t="shared" si="74"/>
        <v>0</v>
      </c>
      <c r="AA405" s="15">
        <f t="shared" si="74"/>
        <v>26855.212535811239</v>
      </c>
      <c r="AB405" s="15">
        <f t="shared" si="74"/>
        <v>32823.037543769286</v>
      </c>
    </row>
    <row r="406" spans="1:28">
      <c r="A406" s="21">
        <v>2046</v>
      </c>
      <c r="B406" s="15">
        <f t="shared" ref="B406:AB406" si="75">IF(B461="",0,MAX(0,B461)/(1-p_cgt*(1-B372/F_nom^($A406-B365-1)))/G_real^($A406-B365-1))</f>
        <v>28001.244955540031</v>
      </c>
      <c r="C406" s="15">
        <f t="shared" si="75"/>
        <v>30139.112323394038</v>
      </c>
      <c r="D406" s="15">
        <f t="shared" si="75"/>
        <v>28001.244955540031</v>
      </c>
      <c r="E406" s="15">
        <f t="shared" si="75"/>
        <v>27952.066700334046</v>
      </c>
      <c r="F406" s="15">
        <f t="shared" si="75"/>
        <v>28001.244955540031</v>
      </c>
      <c r="G406" s="15">
        <f t="shared" si="75"/>
        <v>28001.244955540031</v>
      </c>
      <c r="H406" s="15">
        <f t="shared" si="75"/>
        <v>28698.944459419701</v>
      </c>
      <c r="I406" s="15">
        <f t="shared" si="75"/>
        <v>29409.314073437254</v>
      </c>
      <c r="J406" s="15">
        <f t="shared" si="75"/>
        <v>30139.112323394038</v>
      </c>
      <c r="K406" s="15">
        <f t="shared" si="75"/>
        <v>30886.118308946327</v>
      </c>
      <c r="L406" s="15">
        <f t="shared" si="75"/>
        <v>31658.543987415051</v>
      </c>
      <c r="M406" s="15">
        <f t="shared" si="75"/>
        <v>32445.256824024957</v>
      </c>
      <c r="N406" s="15">
        <f t="shared" si="75"/>
        <v>33250.06122425833</v>
      </c>
      <c r="O406" s="15">
        <f t="shared" si="75"/>
        <v>34073.359166328592</v>
      </c>
      <c r="P406" s="15">
        <f t="shared" si="75"/>
        <v>34915.556765219684</v>
      </c>
      <c r="Q406" s="15">
        <f t="shared" si="75"/>
        <v>35777.064551245385</v>
      </c>
      <c r="R406" s="15">
        <f t="shared" si="75"/>
        <v>36658.297703987322</v>
      </c>
      <c r="S406" s="15">
        <f t="shared" si="75"/>
        <v>37559.676248609729</v>
      </c>
      <c r="T406" s="15">
        <f t="shared" si="75"/>
        <v>38481.62522013874</v>
      </c>
      <c r="U406" s="15">
        <f t="shared" si="75"/>
        <v>39424.574800187154</v>
      </c>
      <c r="V406" s="15">
        <f t="shared" si="75"/>
        <v>40388.960429731982</v>
      </c>
      <c r="W406" s="15">
        <f t="shared" si="75"/>
        <v>41375.222900858178</v>
      </c>
      <c r="X406" s="15">
        <f t="shared" si="75"/>
        <v>42383.808429827688</v>
      </c>
      <c r="Y406" s="15">
        <f t="shared" si="75"/>
        <v>43415.168713387684</v>
      </c>
      <c r="Z406" s="15">
        <f t="shared" si="75"/>
        <v>44469.760969873118</v>
      </c>
      <c r="AA406" s="15">
        <f t="shared" si="75"/>
        <v>25087.07049196363</v>
      </c>
      <c r="AB406" s="15">
        <f t="shared" si="75"/>
        <v>30915.419419116424</v>
      </c>
    </row>
    <row r="407" spans="1:28">
      <c r="A407" s="21">
        <v>2047</v>
      </c>
      <c r="B407" s="15">
        <f t="shared" ref="B407:AB407" si="76">IF(B462="",0,MAX(0,B462)/(1-p_cgt*(1-B372/F_nom^($A407-B365-1)))/G_real^($A407-B365-1))</f>
        <v>15092.014101749981</v>
      </c>
      <c r="C407" s="15">
        <f t="shared" si="76"/>
        <v>14433.635666581904</v>
      </c>
      <c r="D407" s="15">
        <f t="shared" si="76"/>
        <v>15092.014101749981</v>
      </c>
      <c r="E407" s="15">
        <f t="shared" si="76"/>
        <v>14515.763325649867</v>
      </c>
      <c r="F407" s="15">
        <f t="shared" si="76"/>
        <v>15092.014101749981</v>
      </c>
      <c r="G407" s="15">
        <f t="shared" si="76"/>
        <v>15092.014101749981</v>
      </c>
      <c r="H407" s="15">
        <f t="shared" si="76"/>
        <v>14904.37877100084</v>
      </c>
      <c r="I407" s="15">
        <f t="shared" si="76"/>
        <v>14660.235657889411</v>
      </c>
      <c r="J407" s="15">
        <f t="shared" si="76"/>
        <v>14433.635666581904</v>
      </c>
      <c r="K407" s="15">
        <f t="shared" si="76"/>
        <v>14193.363524219227</v>
      </c>
      <c r="L407" s="15">
        <f t="shared" si="76"/>
        <v>14030.428171068061</v>
      </c>
      <c r="M407" s="15">
        <f t="shared" si="76"/>
        <v>13809.056585039027</v>
      </c>
      <c r="N407" s="15">
        <f t="shared" si="76"/>
        <v>13568.474950859663</v>
      </c>
      <c r="O407" s="15">
        <f t="shared" si="76"/>
        <v>13307.9651367566</v>
      </c>
      <c r="P407" s="15">
        <f t="shared" si="76"/>
        <v>13026.786072814426</v>
      </c>
      <c r="Q407" s="15">
        <f t="shared" si="76"/>
        <v>12724.173606247807</v>
      </c>
      <c r="R407" s="15">
        <f t="shared" si="76"/>
        <v>12399.340316160373</v>
      </c>
      <c r="S407" s="15">
        <f t="shared" si="76"/>
        <v>12051.475295321297</v>
      </c>
      <c r="T407" s="15">
        <f t="shared" si="76"/>
        <v>11679.743905112615</v>
      </c>
      <c r="U407" s="15">
        <f t="shared" si="76"/>
        <v>11283.287508727068</v>
      </c>
      <c r="V407" s="15">
        <f t="shared" si="76"/>
        <v>10861.223186850089</v>
      </c>
      <c r="W407" s="15">
        <f t="shared" si="76"/>
        <v>10412.643439395506</v>
      </c>
      <c r="X407" s="15">
        <f t="shared" si="76"/>
        <v>9936.6158763356107</v>
      </c>
      <c r="Y407" s="15">
        <f t="shared" si="76"/>
        <v>9432.1829002469804</v>
      </c>
      <c r="Z407" s="15">
        <f t="shared" si="76"/>
        <v>8898.3613828583821</v>
      </c>
      <c r="AA407" s="15">
        <f t="shared" si="76"/>
        <v>12246.421591243741</v>
      </c>
      <c r="AB407" s="15">
        <f t="shared" si="76"/>
        <v>17937.606612256219</v>
      </c>
    </row>
    <row r="408" spans="1:28">
      <c r="A408" s="21">
        <v>2048</v>
      </c>
      <c r="B408" s="15">
        <f t="shared" ref="B408:AB408" si="77">IF(B463="",0,MAX(0,B463)/(1-p_cgt*(1-B372/F_nom^($A408-B365-1)))/G_real^($A408-B365-1))</f>
        <v>14734.482472924192</v>
      </c>
      <c r="C408" s="15">
        <f t="shared" si="77"/>
        <v>14093.852536875565</v>
      </c>
      <c r="D408" s="15">
        <f t="shared" si="77"/>
        <v>14734.482472924192</v>
      </c>
      <c r="E408" s="15">
        <f t="shared" si="77"/>
        <v>14171.883147001778</v>
      </c>
      <c r="F408" s="15">
        <f t="shared" si="77"/>
        <v>14734.482472924192</v>
      </c>
      <c r="G408" s="15">
        <f t="shared" si="77"/>
        <v>14734.482472924192</v>
      </c>
      <c r="H408" s="15">
        <f t="shared" si="77"/>
        <v>14552.000510194806</v>
      </c>
      <c r="I408" s="15">
        <f t="shared" si="77"/>
        <v>14314.358387244871</v>
      </c>
      <c r="J408" s="15">
        <f t="shared" si="77"/>
        <v>14093.852536875565</v>
      </c>
      <c r="K408" s="15">
        <f t="shared" si="77"/>
        <v>13860.001130454642</v>
      </c>
      <c r="L408" s="15">
        <f t="shared" si="77"/>
        <v>13701.676127798202</v>
      </c>
      <c r="M408" s="15">
        <f t="shared" si="77"/>
        <v>13486.289287848811</v>
      </c>
      <c r="N408" s="15">
        <f t="shared" si="77"/>
        <v>13252.140287546301</v>
      </c>
      <c r="O408" s="15">
        <f t="shared" si="77"/>
        <v>12998.522411394637</v>
      </c>
      <c r="P408" s="15">
        <f t="shared" si="77"/>
        <v>12724.706255089906</v>
      </c>
      <c r="Q408" s="15">
        <f t="shared" si="77"/>
        <v>12429.939552228083</v>
      </c>
      <c r="R408" s="15">
        <f t="shared" si="77"/>
        <v>12113.446962347527</v>
      </c>
      <c r="S408" s="15">
        <f t="shared" si="77"/>
        <v>11774.429827336506</v>
      </c>
      <c r="T408" s="15">
        <f t="shared" si="77"/>
        <v>11412.065901950553</v>
      </c>
      <c r="U408" s="15">
        <f t="shared" si="77"/>
        <v>11025.50906318317</v>
      </c>
      <c r="V408" s="15">
        <f t="shared" si="77"/>
        <v>10613.889002444943</v>
      </c>
      <c r="W408" s="15">
        <f t="shared" si="77"/>
        <v>10176.310903887377</v>
      </c>
      <c r="X408" s="15">
        <f t="shared" si="77"/>
        <v>9711.8551117157695</v>
      </c>
      <c r="Y408" s="15">
        <f t="shared" si="77"/>
        <v>9219.5767889456147</v>
      </c>
      <c r="Z408" s="15">
        <f t="shared" si="77"/>
        <v>8698.5055697461776</v>
      </c>
      <c r="AA408" s="15">
        <f t="shared" si="77"/>
        <v>11956.302391163154</v>
      </c>
      <c r="AB408" s="15">
        <f t="shared" si="77"/>
        <v>17512.66255468523</v>
      </c>
    </row>
    <row r="409" spans="1:28">
      <c r="A409" s="21">
        <v>2049</v>
      </c>
      <c r="B409" s="15">
        <f t="shared" ref="B409:AB409" si="78">IF(B464="",0,MAX(0,B464)/(1-p_cgt*(1-B372/F_nom^($A409-B365-1)))/G_real^($A409-B365-1))</f>
        <v>14383.210320912389</v>
      </c>
      <c r="C409" s="15">
        <f t="shared" si="78"/>
        <v>13759.870787621114</v>
      </c>
      <c r="D409" s="15">
        <f t="shared" si="78"/>
        <v>14383.210320912389</v>
      </c>
      <c r="E409" s="15">
        <f t="shared" si="78"/>
        <v>13834.023442715936</v>
      </c>
      <c r="F409" s="15">
        <f t="shared" si="78"/>
        <v>14383.210320912389</v>
      </c>
      <c r="G409" s="15">
        <f t="shared" si="78"/>
        <v>14383.210320912389</v>
      </c>
      <c r="H409" s="15">
        <f t="shared" si="78"/>
        <v>14205.742854952507</v>
      </c>
      <c r="I409" s="15">
        <f t="shared" si="78"/>
        <v>13974.438776407203</v>
      </c>
      <c r="J409" s="15">
        <f t="shared" si="78"/>
        <v>13759.870787621114</v>
      </c>
      <c r="K409" s="15">
        <f t="shared" si="78"/>
        <v>13532.278088024303</v>
      </c>
      <c r="L409" s="15">
        <f t="shared" si="78"/>
        <v>13378.431779244311</v>
      </c>
      <c r="M409" s="15">
        <f t="shared" si="78"/>
        <v>13168.874819831173</v>
      </c>
      <c r="N409" s="15">
        <f t="shared" si="78"/>
        <v>12940.996415954214</v>
      </c>
      <c r="O409" s="15">
        <f t="shared" si="78"/>
        <v>12694.101453825842</v>
      </c>
      <c r="P409" s="15">
        <f t="shared" si="78"/>
        <v>12427.472392820962</v>
      </c>
      <c r="Q409" s="15">
        <f t="shared" si="78"/>
        <v>12140.369065949833</v>
      </c>
      <c r="R409" s="15">
        <f t="shared" si="78"/>
        <v>11832.028443380943</v>
      </c>
      <c r="S409" s="15">
        <f t="shared" si="78"/>
        <v>11501.664365572649</v>
      </c>
      <c r="T409" s="15">
        <f t="shared" si="78"/>
        <v>11148.467251372982</v>
      </c>
      <c r="U409" s="15">
        <f t="shared" si="78"/>
        <v>10771.603785513567</v>
      </c>
      <c r="V409" s="15">
        <f t="shared" si="78"/>
        <v>10370.216589188572</v>
      </c>
      <c r="W409" s="15">
        <f t="shared" si="78"/>
        <v>9943.4238768336218</v>
      </c>
      <c r="X409" s="15">
        <f t="shared" si="78"/>
        <v>9490.3191017616591</v>
      </c>
      <c r="Y409" s="15">
        <f t="shared" si="78"/>
        <v>9009.970592950689</v>
      </c>
      <c r="Z409" s="15">
        <f t="shared" si="78"/>
        <v>8501.4211849897583</v>
      </c>
      <c r="AA409" s="15">
        <f t="shared" si="78"/>
        <v>11671.262446342193</v>
      </c>
      <c r="AB409" s="15">
        <f t="shared" si="78"/>
        <v>17095.158195482585</v>
      </c>
    </row>
    <row r="410" spans="1:28">
      <c r="A410" s="21">
        <v>2050</v>
      </c>
      <c r="B410" s="15">
        <f t="shared" ref="B410:AB410" si="79">IF(B465="",0,MAX(0,B465)/(1-p_cgt*(1-B372/F_nom^($A410-B365-1)))/G_real^($A410-B365-1))</f>
        <v>14038.240712696992</v>
      </c>
      <c r="C410" s="15">
        <f t="shared" si="79"/>
        <v>13431.742867334935</v>
      </c>
      <c r="D410" s="15">
        <f t="shared" si="79"/>
        <v>14038.240712696992</v>
      </c>
      <c r="E410" s="15">
        <f t="shared" si="79"/>
        <v>13502.225635369849</v>
      </c>
      <c r="F410" s="15">
        <f t="shared" si="79"/>
        <v>14038.240712696992</v>
      </c>
      <c r="G410" s="15">
        <f t="shared" si="79"/>
        <v>14038.240712696992</v>
      </c>
      <c r="H410" s="15">
        <f t="shared" si="79"/>
        <v>13865.652069008842</v>
      </c>
      <c r="I410" s="15">
        <f t="shared" si="79"/>
        <v>13640.526146864222</v>
      </c>
      <c r="J410" s="15">
        <f t="shared" si="79"/>
        <v>13431.742867334935</v>
      </c>
      <c r="K410" s="15">
        <f t="shared" si="79"/>
        <v>13210.24991916818</v>
      </c>
      <c r="L410" s="15">
        <f t="shared" si="79"/>
        <v>13060.754025081515</v>
      </c>
      <c r="M410" s="15">
        <f t="shared" si="79"/>
        <v>12856.875207638332</v>
      </c>
      <c r="N410" s="15">
        <f t="shared" si="79"/>
        <v>12635.108364711594</v>
      </c>
      <c r="O410" s="15">
        <f t="shared" si="79"/>
        <v>12394.770138043588</v>
      </c>
      <c r="P410" s="15">
        <f t="shared" si="79"/>
        <v>12135.155016129176</v>
      </c>
      <c r="Q410" s="15">
        <f t="shared" si="79"/>
        <v>11855.535110679519</v>
      </c>
      <c r="R410" s="15">
        <f t="shared" si="79"/>
        <v>11555.159897729831</v>
      </c>
      <c r="S410" s="15">
        <f t="shared" si="79"/>
        <v>11233.255929505685</v>
      </c>
      <c r="T410" s="15">
        <f t="shared" si="79"/>
        <v>10889.026522044071</v>
      </c>
      <c r="U410" s="15">
        <f t="shared" si="79"/>
        <v>10521.65142269496</v>
      </c>
      <c r="V410" s="15">
        <f t="shared" si="79"/>
        <v>10130.286460944506</v>
      </c>
      <c r="W410" s="15">
        <f t="shared" si="79"/>
        <v>9714.0631854643925</v>
      </c>
      <c r="X410" s="15">
        <f t="shared" si="79"/>
        <v>9272.0884898662334</v>
      </c>
      <c r="Y410" s="15">
        <f t="shared" si="79"/>
        <v>8803.4442293031225</v>
      </c>
      <c r="Z410" s="15">
        <f t="shared" si="79"/>
        <v>8307.1868297930687</v>
      </c>
      <c r="AA410" s="15">
        <f t="shared" si="79"/>
        <v>11391.336703502999</v>
      </c>
      <c r="AB410" s="15">
        <f t="shared" si="79"/>
        <v>16685.144721890985</v>
      </c>
    </row>
    <row r="411" spans="1:28">
      <c r="A411" s="21">
        <v>2051</v>
      </c>
      <c r="B411" s="15">
        <f t="shared" ref="B411:AB411" si="80">IF(B466="",0,MAX(0,B466)/(1-p_cgt*(1-B372/F_nom^($A411-B365-1)))/G_real^($A411-B365-1))</f>
        <v>13699.603892976078</v>
      </c>
      <c r="C411" s="15">
        <f t="shared" si="80"/>
        <v>13109.508483273024</v>
      </c>
      <c r="D411" s="15">
        <f t="shared" si="80"/>
        <v>13699.603892976078</v>
      </c>
      <c r="E411" s="15">
        <f t="shared" si="80"/>
        <v>13176.518814843517</v>
      </c>
      <c r="F411" s="15">
        <f t="shared" si="80"/>
        <v>13699.603892976078</v>
      </c>
      <c r="G411" s="15">
        <f t="shared" si="80"/>
        <v>13699.603892976078</v>
      </c>
      <c r="H411" s="15">
        <f t="shared" si="80"/>
        <v>13531.761592664721</v>
      </c>
      <c r="I411" s="15">
        <f t="shared" si="80"/>
        <v>13312.657044556134</v>
      </c>
      <c r="J411" s="15">
        <f t="shared" si="80"/>
        <v>13109.508483273024</v>
      </c>
      <c r="K411" s="15">
        <f t="shared" si="80"/>
        <v>12893.959453632368</v>
      </c>
      <c r="L411" s="15">
        <f t="shared" si="80"/>
        <v>12748.689054450044</v>
      </c>
      <c r="M411" s="15">
        <f t="shared" si="80"/>
        <v>12550.339805024207</v>
      </c>
      <c r="N411" s="15">
        <f t="shared" si="80"/>
        <v>12334.528549019162</v>
      </c>
      <c r="O411" s="15">
        <f t="shared" si="80"/>
        <v>12100.583807787065</v>
      </c>
      <c r="P411" s="15">
        <f t="shared" si="80"/>
        <v>11847.81223363814</v>
      </c>
      <c r="Q411" s="15">
        <f t="shared" si="80"/>
        <v>11575.498364417657</v>
      </c>
      <c r="R411" s="15">
        <f t="shared" si="80"/>
        <v>11282.904344209723</v>
      </c>
      <c r="S411" s="15">
        <f t="shared" si="80"/>
        <v>10969.269615864745</v>
      </c>
      <c r="T411" s="15">
        <f t="shared" si="80"/>
        <v>10633.810590004219</v>
      </c>
      <c r="U411" s="15">
        <f t="shared" si="80"/>
        <v>10275.720294345556</v>
      </c>
      <c r="V411" s="15">
        <f t="shared" si="80"/>
        <v>9894.1680065514265</v>
      </c>
      <c r="W411" s="15">
        <f t="shared" si="80"/>
        <v>9488.2988733089987</v>
      </c>
      <c r="X411" s="15">
        <f t="shared" si="80"/>
        <v>9057.2335179481106</v>
      </c>
      <c r="Y411" s="15">
        <f t="shared" si="80"/>
        <v>8600.0676385949246</v>
      </c>
      <c r="Z411" s="15">
        <f t="shared" si="80"/>
        <v>8115.871598609232</v>
      </c>
      <c r="AA411" s="15">
        <f t="shared" si="80"/>
        <v>11116.549704719355</v>
      </c>
      <c r="AB411" s="15">
        <f t="shared" si="80"/>
        <v>16282.658081232803</v>
      </c>
    </row>
    <row r="412" spans="1:28">
      <c r="A412" s="21">
        <v>2052</v>
      </c>
      <c r="B412" s="15">
        <f t="shared" ref="B412:AB412" si="81">IF(B467="",0,MAX(0,B467)/(1-p_cgt*(1-B372/F_nom^($A412-B365-1)))/G_real^($A412-B365-1))</f>
        <v>13367.318108044066</v>
      </c>
      <c r="C412" s="15">
        <f t="shared" si="81"/>
        <v>12145.367301281696</v>
      </c>
      <c r="D412" s="15">
        <f t="shared" si="81"/>
        <v>12675.391246637022</v>
      </c>
      <c r="E412" s="15">
        <f t="shared" si="81"/>
        <v>12856.920530742285</v>
      </c>
      <c r="F412" s="15">
        <f t="shared" si="81"/>
        <v>12816.782173770458</v>
      </c>
      <c r="G412" s="15">
        <f t="shared" si="81"/>
        <v>13367.318108044066</v>
      </c>
      <c r="H412" s="15">
        <f t="shared" si="81"/>
        <v>12638.690933702404</v>
      </c>
      <c r="I412" s="15">
        <f t="shared" si="81"/>
        <v>12385.047031202195</v>
      </c>
      <c r="J412" s="15">
        <f t="shared" si="81"/>
        <v>12145.367301281696</v>
      </c>
      <c r="K412" s="15">
        <f t="shared" si="81"/>
        <v>11891.926908499296</v>
      </c>
      <c r="L412" s="15">
        <f t="shared" si="81"/>
        <v>11705.361341145999</v>
      </c>
      <c r="M412" s="15">
        <f t="shared" si="81"/>
        <v>11465.226358533928</v>
      </c>
      <c r="N412" s="15">
        <f t="shared" si="81"/>
        <v>11206.221233198221</v>
      </c>
      <c r="O412" s="15">
        <f t="shared" si="81"/>
        <v>10927.629146367404</v>
      </c>
      <c r="P412" s="15">
        <f t="shared" si="81"/>
        <v>10628.710191746521</v>
      </c>
      <c r="Q412" s="15">
        <f t="shared" si="81"/>
        <v>10308.701082515097</v>
      </c>
      <c r="R412" s="15">
        <f t="shared" si="81"/>
        <v>9966.8148255201249</v>
      </c>
      <c r="S412" s="15">
        <f t="shared" si="81"/>
        <v>9602.2403680261414</v>
      </c>
      <c r="T412" s="15">
        <f t="shared" si="81"/>
        <v>9214.1422214067152</v>
      </c>
      <c r="U412" s="15">
        <f t="shared" si="81"/>
        <v>8801.6600654014837</v>
      </c>
      <c r="V412" s="15">
        <f t="shared" si="81"/>
        <v>8363.9083359657616</v>
      </c>
      <c r="W412" s="15">
        <f t="shared" si="81"/>
        <v>7899.975799272911</v>
      </c>
      <c r="X412" s="15">
        <f t="shared" si="81"/>
        <v>7408.9251140599881</v>
      </c>
      <c r="Y412" s="15">
        <f t="shared" si="81"/>
        <v>6889.7923842158752</v>
      </c>
      <c r="Z412" s="15">
        <f t="shared" si="81"/>
        <v>6341.5867032805863</v>
      </c>
      <c r="AA412" s="15">
        <f t="shared" si="81"/>
        <v>10846.916255955022</v>
      </c>
      <c r="AB412" s="15">
        <f t="shared" si="81"/>
        <v>15887.71996013311</v>
      </c>
    </row>
    <row r="413" spans="1:28">
      <c r="A413" s="21">
        <v>2053</v>
      </c>
      <c r="B413" s="15">
        <f t="shared" ref="B413:AB413" si="82">IF(B468="",0,MAX(0,B468)/(1-p_cgt*(1-B372/F_nom^($A413-B365-1)))/G_real^($A413-B365-1))</f>
        <v>13041.390406160119</v>
      </c>
      <c r="C413" s="15">
        <f t="shared" si="82"/>
        <v>4897.4862827766065</v>
      </c>
      <c r="D413" s="15">
        <f t="shared" si="82"/>
        <v>4940.718370813157</v>
      </c>
      <c r="E413" s="15">
        <f t="shared" si="82"/>
        <v>12543.437562205187</v>
      </c>
      <c r="F413" s="15">
        <f t="shared" si="82"/>
        <v>6596.0400433270661</v>
      </c>
      <c r="G413" s="15">
        <f t="shared" si="82"/>
        <v>13041.390406160119</v>
      </c>
      <c r="H413" s="15">
        <f t="shared" si="82"/>
        <v>6263.0008499666101</v>
      </c>
      <c r="I413" s="15">
        <f t="shared" si="82"/>
        <v>5582.1056503220252</v>
      </c>
      <c r="J413" s="15">
        <f t="shared" si="82"/>
        <v>4897.4862827766065</v>
      </c>
      <c r="K413" s="15">
        <f t="shared" si="82"/>
        <v>4181.5317919878071</v>
      </c>
      <c r="L413" s="15">
        <f t="shared" si="82"/>
        <v>3512.3522184671342</v>
      </c>
      <c r="M413" s="15">
        <f t="shared" si="82"/>
        <v>2771.828359409034</v>
      </c>
      <c r="N413" s="15">
        <f t="shared" si="82"/>
        <v>1993.2106896296566</v>
      </c>
      <c r="O413" s="15">
        <f t="shared" si="82"/>
        <v>1175.1748105152687</v>
      </c>
      <c r="P413" s="15">
        <f t="shared" si="82"/>
        <v>316.35700494044005</v>
      </c>
      <c r="Q413" s="15">
        <f t="shared" si="82"/>
        <v>0</v>
      </c>
      <c r="R413" s="15">
        <f t="shared" si="82"/>
        <v>0</v>
      </c>
      <c r="S413" s="15">
        <f t="shared" si="82"/>
        <v>0</v>
      </c>
      <c r="T413" s="15">
        <f t="shared" si="82"/>
        <v>0</v>
      </c>
      <c r="U413" s="15">
        <f t="shared" si="82"/>
        <v>0</v>
      </c>
      <c r="V413" s="15">
        <f t="shared" si="82"/>
        <v>0</v>
      </c>
      <c r="W413" s="15">
        <f t="shared" si="82"/>
        <v>0</v>
      </c>
      <c r="X413" s="15">
        <f t="shared" si="82"/>
        <v>0</v>
      </c>
      <c r="Y413" s="15">
        <f t="shared" si="82"/>
        <v>0</v>
      </c>
      <c r="Z413" s="15">
        <f t="shared" si="82"/>
        <v>0</v>
      </c>
      <c r="AA413" s="15">
        <f t="shared" si="82"/>
        <v>10582.442076523053</v>
      </c>
      <c r="AB413" s="15">
        <f t="shared" si="82"/>
        <v>15500.338735797182</v>
      </c>
    </row>
    <row r="414" spans="1:28">
      <c r="A414" s="21">
        <v>2054</v>
      </c>
      <c r="B414" s="15">
        <f t="shared" ref="B414:AB414" si="83">IF(B469="",0,MAX(0,B469)/(1-p_cgt*(1-B372/F_nom^($A414-B365-1)))/G_real^($A414-B365-1))</f>
        <v>12721.817412485445</v>
      </c>
      <c r="C414" s="15">
        <f t="shared" si="83"/>
        <v>4778.0463047752673</v>
      </c>
      <c r="D414" s="15">
        <f t="shared" si="83"/>
        <v>4819.6484456372027</v>
      </c>
      <c r="E414" s="15">
        <f t="shared" si="83"/>
        <v>12236.066663253197</v>
      </c>
      <c r="F414" s="15">
        <f t="shared" si="83"/>
        <v>6434.4072574510774</v>
      </c>
      <c r="G414" s="15">
        <f t="shared" si="83"/>
        <v>12721.817412485445</v>
      </c>
      <c r="H414" s="15">
        <f t="shared" si="83"/>
        <v>6109.7615213955132</v>
      </c>
      <c r="I414" s="15">
        <f t="shared" si="83"/>
        <v>5445.7429465332325</v>
      </c>
      <c r="J414" s="15">
        <f t="shared" si="83"/>
        <v>4778.0463047752673</v>
      </c>
      <c r="K414" s="15">
        <f t="shared" si="83"/>
        <v>4079.7287476540587</v>
      </c>
      <c r="L414" s="15">
        <f t="shared" si="83"/>
        <v>3426.9944843286162</v>
      </c>
      <c r="M414" s="15">
        <f t="shared" si="83"/>
        <v>2704.5923863219623</v>
      </c>
      <c r="N414" s="15">
        <f t="shared" si="83"/>
        <v>1944.9547699924428</v>
      </c>
      <c r="O414" s="15">
        <f t="shared" si="83"/>
        <v>1146.7803464789574</v>
      </c>
      <c r="P414" s="15">
        <f t="shared" si="83"/>
        <v>308.72893847712123</v>
      </c>
      <c r="Q414" s="15">
        <f t="shared" si="83"/>
        <v>0</v>
      </c>
      <c r="R414" s="15">
        <f t="shared" si="83"/>
        <v>0</v>
      </c>
      <c r="S414" s="15">
        <f t="shared" si="83"/>
        <v>0</v>
      </c>
      <c r="T414" s="15">
        <f t="shared" si="83"/>
        <v>0</v>
      </c>
      <c r="U414" s="15">
        <f t="shared" si="83"/>
        <v>0</v>
      </c>
      <c r="V414" s="15">
        <f t="shared" si="83"/>
        <v>0</v>
      </c>
      <c r="W414" s="15">
        <f t="shared" si="83"/>
        <v>0</v>
      </c>
      <c r="X414" s="15">
        <f t="shared" si="83"/>
        <v>0</v>
      </c>
      <c r="Y414" s="15">
        <f t="shared" si="83"/>
        <v>0</v>
      </c>
      <c r="Z414" s="15">
        <f t="shared" si="83"/>
        <v>0</v>
      </c>
      <c r="AA414" s="15">
        <f t="shared" si="83"/>
        <v>10323.124427909002</v>
      </c>
      <c r="AB414" s="15">
        <f t="shared" si="83"/>
        <v>15120.510397061887</v>
      </c>
    </row>
    <row r="415" spans="1:28">
      <c r="A415" s="21">
        <v>2055</v>
      </c>
      <c r="B415" s="15">
        <f t="shared" ref="B415:AB415" si="84">IF(B470="",0,MAX(0,B470)/(1-p_cgt*(1-B372/F_nom^($A415-B365-1)))/G_real^($A415-B365-1))</f>
        <v>12408.586077062257</v>
      </c>
      <c r="C415" s="15">
        <f t="shared" si="84"/>
        <v>4660.9369819690828</v>
      </c>
      <c r="D415" s="15">
        <f t="shared" si="84"/>
        <v>4700.9810516675625</v>
      </c>
      <c r="E415" s="15">
        <f t="shared" si="84"/>
        <v>11934.795282208503</v>
      </c>
      <c r="F415" s="15">
        <f t="shared" si="84"/>
        <v>6275.9819387595799</v>
      </c>
      <c r="G415" s="15">
        <f t="shared" si="84"/>
        <v>12408.586077062257</v>
      </c>
      <c r="H415" s="15">
        <f t="shared" si="84"/>
        <v>5959.5469562251756</v>
      </c>
      <c r="I415" s="15">
        <f t="shared" si="84"/>
        <v>5312.0568301465555</v>
      </c>
      <c r="J415" s="15">
        <f t="shared" si="84"/>
        <v>4660.9369819690828</v>
      </c>
      <c r="K415" s="15">
        <f t="shared" si="84"/>
        <v>3979.8999903738982</v>
      </c>
      <c r="L415" s="15">
        <f t="shared" si="84"/>
        <v>3343.2814728205108</v>
      </c>
      <c r="M415" s="15">
        <f t="shared" si="84"/>
        <v>2638.643271012696</v>
      </c>
      <c r="N415" s="15">
        <f t="shared" si="84"/>
        <v>1897.615992426988</v>
      </c>
      <c r="O415" s="15">
        <f t="shared" si="84"/>
        <v>1118.9216220973678</v>
      </c>
      <c r="P415" s="15">
        <f t="shared" si="84"/>
        <v>301.24371010752242</v>
      </c>
      <c r="Q415" s="15">
        <f t="shared" si="84"/>
        <v>0</v>
      </c>
      <c r="R415" s="15">
        <f t="shared" si="84"/>
        <v>0</v>
      </c>
      <c r="S415" s="15">
        <f t="shared" si="84"/>
        <v>0</v>
      </c>
      <c r="T415" s="15">
        <f t="shared" si="84"/>
        <v>0</v>
      </c>
      <c r="U415" s="15">
        <f t="shared" si="84"/>
        <v>0</v>
      </c>
      <c r="V415" s="15">
        <f t="shared" si="84"/>
        <v>0</v>
      </c>
      <c r="W415" s="15">
        <f t="shared" si="84"/>
        <v>0</v>
      </c>
      <c r="X415" s="15">
        <f t="shared" si="84"/>
        <v>0</v>
      </c>
      <c r="Y415" s="15">
        <f t="shared" si="84"/>
        <v>0</v>
      </c>
      <c r="Z415" s="15">
        <f t="shared" si="84"/>
        <v>0</v>
      </c>
      <c r="AA415" s="15">
        <f t="shared" si="84"/>
        <v>10068.952720718784</v>
      </c>
      <c r="AB415" s="15">
        <f t="shared" si="84"/>
        <v>14748.219433405729</v>
      </c>
    </row>
    <row r="416" spans="1:28">
      <c r="A416" s="21">
        <v>2056</v>
      </c>
      <c r="B416" s="15">
        <f t="shared" ref="B416:AB416" si="85">IF(B471="",0,MAX(0,B471)/(1-p_cgt*(1-B372/F_nom^($A416-B365-1)))/G_real^($A416-B365-1))</f>
        <v>12101.67439466279</v>
      </c>
      <c r="C416" s="15">
        <f t="shared" si="85"/>
        <v>4546.1533749460141</v>
      </c>
      <c r="D416" s="15">
        <f t="shared" si="85"/>
        <v>4584.7078522445963</v>
      </c>
      <c r="E416" s="15">
        <f t="shared" si="85"/>
        <v>11639.602254057865</v>
      </c>
      <c r="F416" s="15">
        <f t="shared" si="85"/>
        <v>6120.7529575065118</v>
      </c>
      <c r="G416" s="15">
        <f t="shared" si="85"/>
        <v>12101.67439466279</v>
      </c>
      <c r="H416" s="15">
        <f t="shared" si="85"/>
        <v>5812.3479479238122</v>
      </c>
      <c r="I416" s="15">
        <f t="shared" si="85"/>
        <v>5181.0403594826585</v>
      </c>
      <c r="J416" s="15">
        <f t="shared" si="85"/>
        <v>4546.1533749460141</v>
      </c>
      <c r="K416" s="15">
        <f t="shared" si="85"/>
        <v>3882.0423194354976</v>
      </c>
      <c r="L416" s="15">
        <f t="shared" si="85"/>
        <v>3261.2113764977425</v>
      </c>
      <c r="M416" s="15">
        <f t="shared" si="85"/>
        <v>2573.9803028154661</v>
      </c>
      <c r="N416" s="15">
        <f t="shared" si="85"/>
        <v>1851.1943745948063</v>
      </c>
      <c r="O416" s="15">
        <f t="shared" si="85"/>
        <v>1091.5989674285929</v>
      </c>
      <c r="P416" s="15">
        <f t="shared" si="85"/>
        <v>293.90149678162044</v>
      </c>
      <c r="Q416" s="15">
        <f t="shared" si="85"/>
        <v>0</v>
      </c>
      <c r="R416" s="15">
        <f t="shared" si="85"/>
        <v>0</v>
      </c>
      <c r="S416" s="15">
        <f t="shared" si="85"/>
        <v>0</v>
      </c>
      <c r="T416" s="15">
        <f t="shared" si="85"/>
        <v>0</v>
      </c>
      <c r="U416" s="15">
        <f t="shared" si="85"/>
        <v>0</v>
      </c>
      <c r="V416" s="15">
        <f t="shared" si="85"/>
        <v>0</v>
      </c>
      <c r="W416" s="15">
        <f t="shared" si="85"/>
        <v>0</v>
      </c>
      <c r="X416" s="15">
        <f t="shared" si="85"/>
        <v>0</v>
      </c>
      <c r="Y416" s="15">
        <f t="shared" si="85"/>
        <v>0</v>
      </c>
      <c r="Z416" s="15">
        <f t="shared" si="85"/>
        <v>0</v>
      </c>
      <c r="AA416" s="15">
        <f t="shared" si="85"/>
        <v>9819.90909880049</v>
      </c>
      <c r="AB416" s="15">
        <f t="shared" si="85"/>
        <v>14383.439690525087</v>
      </c>
    </row>
    <row r="417" spans="1:28">
      <c r="A417" s="21">
        <v>2057</v>
      </c>
      <c r="B417" s="15">
        <f t="shared" ref="B417:AB417" si="86">IF(B472="",0,MAX(0,B472)/(1-p_cgt*(1-B372/F_nom^($A417-B365-1)))/G_real^($A417-B365-1))</f>
        <v>7811.498637720505</v>
      </c>
      <c r="C417" s="15">
        <f t="shared" si="86"/>
        <v>4433.6872712537825</v>
      </c>
      <c r="D417" s="15">
        <f t="shared" si="86"/>
        <v>4470.8173797482414</v>
      </c>
      <c r="E417" s="15">
        <f t="shared" si="86"/>
        <v>7360.9050070047415</v>
      </c>
      <c r="F417" s="15">
        <f t="shared" si="86"/>
        <v>5968.7050039989417</v>
      </c>
      <c r="G417" s="15">
        <f t="shared" si="86"/>
        <v>7811.498637720505</v>
      </c>
      <c r="H417" s="15">
        <f t="shared" si="86"/>
        <v>5668.1512511365781</v>
      </c>
      <c r="I417" s="15">
        <f t="shared" si="86"/>
        <v>5052.6829286708862</v>
      </c>
      <c r="J417" s="15">
        <f t="shared" si="86"/>
        <v>4433.6872712537825</v>
      </c>
      <c r="K417" s="15">
        <f t="shared" si="86"/>
        <v>3786.1496885308902</v>
      </c>
      <c r="L417" s="15">
        <f t="shared" si="86"/>
        <v>3180.779953849797</v>
      </c>
      <c r="M417" s="15">
        <f t="shared" si="86"/>
        <v>2510.600814873364</v>
      </c>
      <c r="N417" s="15">
        <f t="shared" si="86"/>
        <v>1805.6885016271897</v>
      </c>
      <c r="O417" s="15">
        <f t="shared" si="86"/>
        <v>1064.8118524559172</v>
      </c>
      <c r="P417" s="15">
        <f t="shared" si="86"/>
        <v>286.7022396967742</v>
      </c>
      <c r="Q417" s="15">
        <f t="shared" si="86"/>
        <v>0</v>
      </c>
      <c r="R417" s="15">
        <f t="shared" si="86"/>
        <v>0</v>
      </c>
      <c r="S417" s="15">
        <f t="shared" si="86"/>
        <v>0</v>
      </c>
      <c r="T417" s="15">
        <f t="shared" si="86"/>
        <v>0</v>
      </c>
      <c r="U417" s="15">
        <f t="shared" si="86"/>
        <v>0</v>
      </c>
      <c r="V417" s="15">
        <f t="shared" si="86"/>
        <v>0</v>
      </c>
      <c r="W417" s="15">
        <f t="shared" si="86"/>
        <v>0</v>
      </c>
      <c r="X417" s="15">
        <f t="shared" si="86"/>
        <v>0</v>
      </c>
      <c r="Y417" s="15">
        <f t="shared" si="86"/>
        <v>0</v>
      </c>
      <c r="Z417" s="15">
        <f t="shared" si="86"/>
        <v>0</v>
      </c>
      <c r="AA417" s="15">
        <f t="shared" si="86"/>
        <v>5586.4155419125264</v>
      </c>
      <c r="AB417" s="15">
        <f t="shared" si="86"/>
        <v>10036.581733528485</v>
      </c>
    </row>
    <row r="418" spans="1:28">
      <c r="A418" s="21">
        <v>2058</v>
      </c>
      <c r="B418" s="15">
        <f t="shared" ref="B418:AB418" si="87">IF(B473="",0,MAX(0,B473)/(1-p_cgt*(1-B372/F_nom^($A418-B365-1)))/G_real^($A418-B365-1))</f>
        <v>5671.6269629967655</v>
      </c>
      <c r="C418" s="15">
        <f t="shared" si="87"/>
        <v>4323.5274383161914</v>
      </c>
      <c r="D418" s="15">
        <f t="shared" si="87"/>
        <v>4359.295286141165</v>
      </c>
      <c r="E418" s="15">
        <f t="shared" si="87"/>
        <v>5232.2731438848168</v>
      </c>
      <c r="F418" s="15">
        <f t="shared" si="87"/>
        <v>5819.818923081345</v>
      </c>
      <c r="G418" s="15">
        <f t="shared" si="87"/>
        <v>5671.6269629967655</v>
      </c>
      <c r="H418" s="15">
        <f t="shared" si="87"/>
        <v>5526.9399012323365</v>
      </c>
      <c r="I418" s="15">
        <f t="shared" si="87"/>
        <v>4926.9705541946869</v>
      </c>
      <c r="J418" s="15">
        <f t="shared" si="87"/>
        <v>4323.5274383161914</v>
      </c>
      <c r="K418" s="15">
        <f t="shared" si="87"/>
        <v>3692.2134229730736</v>
      </c>
      <c r="L418" s="15">
        <f t="shared" si="87"/>
        <v>3101.9807128031457</v>
      </c>
      <c r="M418" s="15">
        <f t="shared" si="87"/>
        <v>2448.5003297545286</v>
      </c>
      <c r="N418" s="15">
        <f t="shared" si="87"/>
        <v>1761.0956313930808</v>
      </c>
      <c r="O418" s="15">
        <f t="shared" si="87"/>
        <v>1038.5589494656263</v>
      </c>
      <c r="P418" s="15">
        <f t="shared" si="87"/>
        <v>279.64566116956121</v>
      </c>
      <c r="Q418" s="15">
        <f t="shared" si="87"/>
        <v>0</v>
      </c>
      <c r="R418" s="15">
        <f t="shared" si="87"/>
        <v>0</v>
      </c>
      <c r="S418" s="15">
        <f t="shared" si="87"/>
        <v>0</v>
      </c>
      <c r="T418" s="15">
        <f t="shared" si="87"/>
        <v>0</v>
      </c>
      <c r="U418" s="15">
        <f t="shared" si="87"/>
        <v>0</v>
      </c>
      <c r="V418" s="15">
        <f t="shared" si="87"/>
        <v>0</v>
      </c>
      <c r="W418" s="15">
        <f t="shared" si="87"/>
        <v>0</v>
      </c>
      <c r="X418" s="15">
        <f t="shared" si="87"/>
        <v>0</v>
      </c>
      <c r="Y418" s="15">
        <f t="shared" si="87"/>
        <v>0</v>
      </c>
      <c r="Z418" s="15">
        <f t="shared" si="87"/>
        <v>0</v>
      </c>
      <c r="AA418" s="15">
        <f t="shared" si="87"/>
        <v>3502.0473476973539</v>
      </c>
      <c r="AB418" s="15">
        <f t="shared" si="87"/>
        <v>7841.2065782961772</v>
      </c>
    </row>
    <row r="419" spans="1:28">
      <c r="A419" s="21">
        <v>2059</v>
      </c>
      <c r="B419" s="15">
        <f t="shared" ref="B419:AB419" si="88">IF(B474="",0,MAX(0,B474)/(1-p_cgt*(1-B372/F_nom^($A419-B365-1)))/G_real^($A419-B365-1))</f>
        <v>5529.5912743417193</v>
      </c>
      <c r="C419" s="15">
        <f t="shared" si="88"/>
        <v>4215.6598655070302</v>
      </c>
      <c r="D419" s="15">
        <f t="shared" si="88"/>
        <v>4250.1245822042829</v>
      </c>
      <c r="E419" s="15">
        <f t="shared" si="88"/>
        <v>5101.2402808154329</v>
      </c>
      <c r="F419" s="15">
        <f t="shared" si="88"/>
        <v>5674.072033523792</v>
      </c>
      <c r="G419" s="15">
        <f t="shared" si="88"/>
        <v>5529.5912743417193</v>
      </c>
      <c r="H419" s="15">
        <f t="shared" si="88"/>
        <v>5388.6935196581662</v>
      </c>
      <c r="I419" s="15">
        <f t="shared" si="88"/>
        <v>4803.8861489267465</v>
      </c>
      <c r="J419" s="15">
        <f t="shared" si="88"/>
        <v>4215.6598655070302</v>
      </c>
      <c r="K419" s="15">
        <f t="shared" si="88"/>
        <v>3600.2224277801351</v>
      </c>
      <c r="L419" s="15">
        <f t="shared" si="88"/>
        <v>3024.8050866657882</v>
      </c>
      <c r="M419" s="15">
        <f t="shared" si="88"/>
        <v>2387.672699200969</v>
      </c>
      <c r="N419" s="15">
        <f t="shared" si="88"/>
        <v>1717.4117956230775</v>
      </c>
      <c r="O419" s="15">
        <f t="shared" si="88"/>
        <v>1012.8381930294386</v>
      </c>
      <c r="P419" s="15">
        <f t="shared" si="88"/>
        <v>272.73128087658898</v>
      </c>
      <c r="Q419" s="15">
        <f t="shared" si="88"/>
        <v>0</v>
      </c>
      <c r="R419" s="15">
        <f t="shared" si="88"/>
        <v>0</v>
      </c>
      <c r="S419" s="15">
        <f t="shared" si="88"/>
        <v>0</v>
      </c>
      <c r="T419" s="15">
        <f t="shared" si="88"/>
        <v>0</v>
      </c>
      <c r="U419" s="15">
        <f t="shared" si="88"/>
        <v>0</v>
      </c>
      <c r="V419" s="15">
        <f t="shared" si="88"/>
        <v>0</v>
      </c>
      <c r="W419" s="15">
        <f t="shared" si="88"/>
        <v>0</v>
      </c>
      <c r="X419" s="15">
        <f t="shared" si="88"/>
        <v>0</v>
      </c>
      <c r="Y419" s="15">
        <f t="shared" si="88"/>
        <v>0</v>
      </c>
      <c r="Z419" s="15">
        <f t="shared" si="88"/>
        <v>0</v>
      </c>
      <c r="AA419" s="15">
        <f t="shared" si="88"/>
        <v>3414.3448753771459</v>
      </c>
      <c r="AB419" s="15">
        <f t="shared" si="88"/>
        <v>7644.8376733062923</v>
      </c>
    </row>
    <row r="420" spans="1:28">
      <c r="A420" s="21">
        <v>2060</v>
      </c>
      <c r="B420" s="15">
        <f t="shared" ref="B420:AB420" si="89">IF(B475="",0,MAX(0,B475)/(1-p_cgt*(1-B372/F_nom^($A420-B365-1)))/G_real^($A420-B365-1))</f>
        <v>5390.5895993122895</v>
      </c>
      <c r="C420" s="15">
        <f t="shared" si="89"/>
        <v>4110.0679952735081</v>
      </c>
      <c r="D420" s="15">
        <f t="shared" si="89"/>
        <v>4143.2858654348447</v>
      </c>
      <c r="E420" s="15">
        <f t="shared" si="89"/>
        <v>4973.0064008447371</v>
      </c>
      <c r="F420" s="15">
        <f t="shared" si="89"/>
        <v>5531.4384322742408</v>
      </c>
      <c r="G420" s="15">
        <f t="shared" si="89"/>
        <v>5390.5895993122895</v>
      </c>
      <c r="H420" s="15">
        <f t="shared" si="89"/>
        <v>5253.3886050323208</v>
      </c>
      <c r="I420" s="15">
        <f t="shared" si="89"/>
        <v>4683.409783562126</v>
      </c>
      <c r="J420" s="15">
        <f t="shared" si="89"/>
        <v>4110.0679952735081</v>
      </c>
      <c r="K420" s="15">
        <f t="shared" si="89"/>
        <v>3510.1633865092699</v>
      </c>
      <c r="L420" s="15">
        <f t="shared" si="89"/>
        <v>2949.242602393691</v>
      </c>
      <c r="M420" s="15">
        <f t="shared" si="89"/>
        <v>2328.1102378970272</v>
      </c>
      <c r="N420" s="15">
        <f t="shared" si="89"/>
        <v>1674.6318967947236</v>
      </c>
      <c r="O420" s="15">
        <f t="shared" si="89"/>
        <v>987.64683752728604</v>
      </c>
      <c r="P420" s="15">
        <f t="shared" si="89"/>
        <v>265.95843144464033</v>
      </c>
      <c r="Q420" s="15">
        <f t="shared" si="89"/>
        <v>0</v>
      </c>
      <c r="R420" s="15">
        <f t="shared" si="89"/>
        <v>0</v>
      </c>
      <c r="S420" s="15">
        <f t="shared" si="89"/>
        <v>0</v>
      </c>
      <c r="T420" s="15">
        <f t="shared" si="89"/>
        <v>0</v>
      </c>
      <c r="U420" s="15">
        <f t="shared" si="89"/>
        <v>0</v>
      </c>
      <c r="V420" s="15">
        <f t="shared" si="89"/>
        <v>0</v>
      </c>
      <c r="W420" s="15">
        <f t="shared" si="89"/>
        <v>0</v>
      </c>
      <c r="X420" s="15">
        <f t="shared" si="89"/>
        <v>0</v>
      </c>
      <c r="Y420" s="15">
        <f t="shared" si="89"/>
        <v>0</v>
      </c>
      <c r="Z420" s="15">
        <f t="shared" si="89"/>
        <v>0</v>
      </c>
      <c r="AA420" s="15">
        <f t="shared" si="89"/>
        <v>3328.5158089490715</v>
      </c>
      <c r="AB420" s="15">
        <f t="shared" si="89"/>
        <v>7452.6633896755075</v>
      </c>
    </row>
    <row r="421" spans="1:28">
      <c r="A421" s="21">
        <v>2061</v>
      </c>
      <c r="B421" s="15">
        <f t="shared" ref="B421:AB421" si="90">IF(B476="",0,MAX(0,B476)/(1-p_cgt*(1-B372/F_nom^($A421-B365-1)))/G_real^($A421-B365-1))</f>
        <v>5254.5938364642434</v>
      </c>
      <c r="C421" s="15">
        <f t="shared" si="90"/>
        <v>4006.7329432838228</v>
      </c>
      <c r="D421" s="15">
        <f t="shared" si="90"/>
        <v>4038.7575366525489</v>
      </c>
      <c r="E421" s="15">
        <f t="shared" si="90"/>
        <v>4847.5455794129994</v>
      </c>
      <c r="F421" s="15">
        <f t="shared" si="90"/>
        <v>5391.889283635639</v>
      </c>
      <c r="G421" s="15">
        <f t="shared" si="90"/>
        <v>5254.5938364642434</v>
      </c>
      <c r="H421" s="15">
        <f t="shared" si="90"/>
        <v>5120.9988100049377</v>
      </c>
      <c r="I421" s="15">
        <f t="shared" si="90"/>
        <v>4565.5189354488348</v>
      </c>
      <c r="J421" s="15">
        <f t="shared" si="90"/>
        <v>4006.7329432838228</v>
      </c>
      <c r="K421" s="15">
        <f t="shared" si="90"/>
        <v>3422.0209507967029</v>
      </c>
      <c r="L421" s="15">
        <f t="shared" si="90"/>
        <v>2875.2810411223395</v>
      </c>
      <c r="M421" s="15">
        <f t="shared" si="90"/>
        <v>2269.8038511963377</v>
      </c>
      <c r="N421" s="15">
        <f t="shared" si="90"/>
        <v>1632.7498007227991</v>
      </c>
      <c r="O421" s="15">
        <f t="shared" si="90"/>
        <v>962.98151216967312</v>
      </c>
      <c r="P421" s="15">
        <f t="shared" si="90"/>
        <v>259.32627337704668</v>
      </c>
      <c r="Q421" s="15">
        <f t="shared" si="90"/>
        <v>0</v>
      </c>
      <c r="R421" s="15">
        <f t="shared" si="90"/>
        <v>0</v>
      </c>
      <c r="S421" s="15">
        <f t="shared" si="90"/>
        <v>0</v>
      </c>
      <c r="T421" s="15">
        <f t="shared" si="90"/>
        <v>0</v>
      </c>
      <c r="U421" s="15">
        <f t="shared" si="90"/>
        <v>0</v>
      </c>
      <c r="V421" s="15">
        <f t="shared" si="90"/>
        <v>0</v>
      </c>
      <c r="W421" s="15">
        <f t="shared" si="90"/>
        <v>0</v>
      </c>
      <c r="X421" s="15">
        <f t="shared" si="90"/>
        <v>0</v>
      </c>
      <c r="Y421" s="15">
        <f t="shared" si="90"/>
        <v>0</v>
      </c>
      <c r="Z421" s="15">
        <f t="shared" si="90"/>
        <v>0</v>
      </c>
      <c r="AA421" s="15">
        <f t="shared" si="90"/>
        <v>3244.5427966745774</v>
      </c>
      <c r="AB421" s="15">
        <f t="shared" si="90"/>
        <v>7264.6448762539094</v>
      </c>
    </row>
    <row r="422" spans="1:28">
      <c r="A422" s="21">
        <v>2062</v>
      </c>
      <c r="B422" s="15">
        <f t="shared" ref="B422:AB422" si="91">IF(B477="",0,MAX(0,B477)/(1-p_cgt*(1-B372/F_nom^($A422-B365-1)))/G_real^($A422-B365-1))</f>
        <v>5121.5732936498371</v>
      </c>
      <c r="C422" s="15">
        <f t="shared" si="91"/>
        <v>3905.633707645964</v>
      </c>
      <c r="D422" s="15">
        <f t="shared" si="91"/>
        <v>3936.516005424553</v>
      </c>
      <c r="E422" s="15">
        <f t="shared" si="91"/>
        <v>4724.8295019463949</v>
      </c>
      <c r="F422" s="15">
        <f t="shared" si="91"/>
        <v>5255.3930935158314</v>
      </c>
      <c r="G422" s="15">
        <f t="shared" si="91"/>
        <v>5121.5732936498371</v>
      </c>
      <c r="H422" s="15">
        <f t="shared" si="91"/>
        <v>4991.4952040018807</v>
      </c>
      <c r="I422" s="15">
        <f t="shared" si="91"/>
        <v>4450.1887248947733</v>
      </c>
      <c r="J422" s="15">
        <f t="shared" si="91"/>
        <v>3905.633707645964</v>
      </c>
      <c r="K422" s="15">
        <f t="shared" si="91"/>
        <v>3335.7779206236282</v>
      </c>
      <c r="L422" s="15">
        <f t="shared" si="91"/>
        <v>2802.9065909626433</v>
      </c>
      <c r="M422" s="15">
        <f t="shared" si="91"/>
        <v>2212.7431567919393</v>
      </c>
      <c r="N422" s="15">
        <f t="shared" si="91"/>
        <v>1591.7584248324929</v>
      </c>
      <c r="O422" s="15">
        <f t="shared" si="91"/>
        <v>938.83827349972148</v>
      </c>
      <c r="P422" s="15">
        <f t="shared" si="91"/>
        <v>252.83380930900861</v>
      </c>
      <c r="Q422" s="15">
        <f t="shared" si="91"/>
        <v>0</v>
      </c>
      <c r="R422" s="15">
        <f t="shared" si="91"/>
        <v>0</v>
      </c>
      <c r="S422" s="15">
        <f t="shared" si="91"/>
        <v>0</v>
      </c>
      <c r="T422" s="15">
        <f t="shared" si="91"/>
        <v>0</v>
      </c>
      <c r="U422" s="15">
        <f t="shared" si="91"/>
        <v>0</v>
      </c>
      <c r="V422" s="15">
        <f t="shared" si="91"/>
        <v>0</v>
      </c>
      <c r="W422" s="15">
        <f t="shared" si="91"/>
        <v>0</v>
      </c>
      <c r="X422" s="15">
        <f t="shared" si="91"/>
        <v>0</v>
      </c>
      <c r="Y422" s="15">
        <f t="shared" si="91"/>
        <v>0</v>
      </c>
      <c r="Z422" s="15">
        <f t="shared" si="91"/>
        <v>0</v>
      </c>
      <c r="AA422" s="15">
        <f t="shared" si="91"/>
        <v>3162.4068871389636</v>
      </c>
      <c r="AB422" s="15">
        <f t="shared" si="91"/>
        <v>7080.7397001607105</v>
      </c>
    </row>
    <row r="423" spans="1:28">
      <c r="A423" s="21">
        <v>2063</v>
      </c>
      <c r="B423" s="15">
        <f t="shared" ref="B423:AB423" si="92">IF(B478="",0,MAX(0,B478)/(1-p_cgt*(1-B372/F_nom^($A423-B365-1)))/G_real^($A423-B365-1))</f>
        <v>4991.4949409547207</v>
      </c>
      <c r="C423" s="15">
        <f t="shared" si="92"/>
        <v>3806.7473673076693</v>
      </c>
      <c r="D423" s="15">
        <f t="shared" si="92"/>
        <v>3836.5358844764683</v>
      </c>
      <c r="E423" s="15">
        <f t="shared" si="92"/>
        <v>4604.8276972000858</v>
      </c>
      <c r="F423" s="15">
        <f t="shared" si="92"/>
        <v>5121.9159689733715</v>
      </c>
      <c r="G423" s="15">
        <f t="shared" si="92"/>
        <v>4991.4949409547207</v>
      </c>
      <c r="H423" s="15">
        <f t="shared" si="92"/>
        <v>4864.8465220412763</v>
      </c>
      <c r="I423" s="15">
        <f t="shared" si="92"/>
        <v>4337.392139098838</v>
      </c>
      <c r="J423" s="15">
        <f t="shared" si="92"/>
        <v>3806.7473673076693</v>
      </c>
      <c r="K423" s="15">
        <f t="shared" si="92"/>
        <v>3251.4154153842524</v>
      </c>
      <c r="L423" s="15">
        <f t="shared" si="92"/>
        <v>2732.1039921092315</v>
      </c>
      <c r="M423" s="15">
        <f t="shared" si="92"/>
        <v>2156.9166003543578</v>
      </c>
      <c r="N423" s="15">
        <f t="shared" si="92"/>
        <v>1551.6498221233458</v>
      </c>
      <c r="O423" s="15">
        <f t="shared" si="92"/>
        <v>915.21265537341503</v>
      </c>
      <c r="P423" s="15">
        <f t="shared" si="92"/>
        <v>246.47989758973148</v>
      </c>
      <c r="Q423" s="15">
        <f t="shared" si="92"/>
        <v>0</v>
      </c>
      <c r="R423" s="15">
        <f t="shared" si="92"/>
        <v>0</v>
      </c>
      <c r="S423" s="15">
        <f t="shared" si="92"/>
        <v>0</v>
      </c>
      <c r="T423" s="15">
        <f t="shared" si="92"/>
        <v>0</v>
      </c>
      <c r="U423" s="15">
        <f t="shared" si="92"/>
        <v>0</v>
      </c>
      <c r="V423" s="15">
        <f t="shared" si="92"/>
        <v>0</v>
      </c>
      <c r="W423" s="15">
        <f t="shared" si="92"/>
        <v>0</v>
      </c>
      <c r="X423" s="15">
        <f t="shared" si="92"/>
        <v>0</v>
      </c>
      <c r="Y423" s="15">
        <f t="shared" si="92"/>
        <v>0</v>
      </c>
      <c r="Z423" s="15">
        <f t="shared" si="92"/>
        <v>0</v>
      </c>
      <c r="AA423" s="15">
        <f t="shared" si="92"/>
        <v>3082.0876854317912</v>
      </c>
      <c r="AB423" s="15">
        <f t="shared" si="92"/>
        <v>6900.9021964776493</v>
      </c>
    </row>
    <row r="424" spans="1:28">
      <c r="A424" s="21">
        <v>2064</v>
      </c>
      <c r="B424" s="15">
        <f t="shared" ref="B424:AB424" si="93">IF(B479="",0,MAX(0,B479)/(1-p_cgt*(1-B372/F_nom^($A424-B365-1)))/G_real^($A424-B365-1))</f>
        <v>4864.3236495847241</v>
      </c>
      <c r="C424" s="15">
        <f t="shared" si="93"/>
        <v>3710.0492698015851</v>
      </c>
      <c r="D424" s="15">
        <f t="shared" si="93"/>
        <v>3738.7901733042395</v>
      </c>
      <c r="E424" s="15">
        <f t="shared" si="93"/>
        <v>4487.5077576396043</v>
      </c>
      <c r="F424" s="15">
        <f t="shared" si="93"/>
        <v>4991.4218633460978</v>
      </c>
      <c r="G424" s="15">
        <f t="shared" si="93"/>
        <v>4864.3236495847241</v>
      </c>
      <c r="H424" s="15">
        <f t="shared" si="93"/>
        <v>4741.0193998755694</v>
      </c>
      <c r="I424" s="15">
        <f t="shared" si="93"/>
        <v>4227.1002439129543</v>
      </c>
      <c r="J424" s="15">
        <f t="shared" si="93"/>
        <v>3710.0492698015851</v>
      </c>
      <c r="K424" s="15">
        <f t="shared" si="93"/>
        <v>3168.9130358802231</v>
      </c>
      <c r="L424" s="15">
        <f t="shared" si="93"/>
        <v>2662.8566743515721</v>
      </c>
      <c r="M424" s="15">
        <f t="shared" si="93"/>
        <v>2102.3115651972957</v>
      </c>
      <c r="N424" s="15">
        <f t="shared" si="93"/>
        <v>1512.4152608580425</v>
      </c>
      <c r="O424" s="15">
        <f t="shared" si="93"/>
        <v>892.09971643264873</v>
      </c>
      <c r="P424" s="15">
        <f t="shared" si="93"/>
        <v>240.26326519375925</v>
      </c>
      <c r="Q424" s="15">
        <f t="shared" si="93"/>
        <v>0</v>
      </c>
      <c r="R424" s="15">
        <f t="shared" si="93"/>
        <v>0</v>
      </c>
      <c r="S424" s="15">
        <f t="shared" si="93"/>
        <v>0</v>
      </c>
      <c r="T424" s="15">
        <f t="shared" si="93"/>
        <v>0</v>
      </c>
      <c r="U424" s="15">
        <f t="shared" si="93"/>
        <v>0</v>
      </c>
      <c r="V424" s="15">
        <f t="shared" si="93"/>
        <v>0</v>
      </c>
      <c r="W424" s="15">
        <f t="shared" si="93"/>
        <v>0</v>
      </c>
      <c r="X424" s="15">
        <f t="shared" si="93"/>
        <v>0</v>
      </c>
      <c r="Y424" s="15">
        <f t="shared" si="93"/>
        <v>0</v>
      </c>
      <c r="Z424" s="15">
        <f t="shared" si="93"/>
        <v>0</v>
      </c>
      <c r="AA424" s="15">
        <f t="shared" si="93"/>
        <v>3003.5635006517987</v>
      </c>
      <c r="AB424" s="15">
        <f t="shared" si="93"/>
        <v>6725.0837985176486</v>
      </c>
    </row>
    <row r="425" spans="1:28">
      <c r="A425" s="21">
        <v>2065</v>
      </c>
      <c r="B425" s="15">
        <f t="shared" ref="B425:AB425" si="94">IF(B480="",0,MAX(0,B480)/(1-p_cgt*(1-B372/F_nom^($A425-B365-1)))/G_real^($A425-B365-1))</f>
        <v>4740.0224170342972</v>
      </c>
      <c r="C425" s="15">
        <f t="shared" si="94"/>
        <v>3615.5132085455471</v>
      </c>
      <c r="D425" s="15">
        <f t="shared" si="94"/>
        <v>3643.2504312418837</v>
      </c>
      <c r="E425" s="15">
        <f t="shared" si="94"/>
        <v>4372.8355471665554</v>
      </c>
      <c r="F425" s="15">
        <f t="shared" si="94"/>
        <v>4863.8728073029133</v>
      </c>
      <c r="G425" s="15">
        <f t="shared" si="94"/>
        <v>4740.0224170342972</v>
      </c>
      <c r="H425" s="15">
        <f t="shared" si="94"/>
        <v>4619.9785957653276</v>
      </c>
      <c r="I425" s="15">
        <f t="shared" si="94"/>
        <v>4119.2823836916668</v>
      </c>
      <c r="J425" s="15">
        <f t="shared" si="94"/>
        <v>3615.5132085455471</v>
      </c>
      <c r="K425" s="15">
        <f t="shared" si="94"/>
        <v>3088.249017406858</v>
      </c>
      <c r="L425" s="15">
        <f t="shared" si="94"/>
        <v>2595.1468871145189</v>
      </c>
      <c r="M425" s="15">
        <f t="shared" si="94"/>
        <v>2048.91447606061</v>
      </c>
      <c r="N425" s="15">
        <f t="shared" si="94"/>
        <v>1474.0453000326936</v>
      </c>
      <c r="O425" s="15">
        <f t="shared" si="94"/>
        <v>869.494085099627</v>
      </c>
      <c r="P425" s="15">
        <f t="shared" si="94"/>
        <v>234.18251996781498</v>
      </c>
      <c r="Q425" s="15">
        <f t="shared" si="94"/>
        <v>0</v>
      </c>
      <c r="R425" s="15">
        <f t="shared" si="94"/>
        <v>0</v>
      </c>
      <c r="S425" s="15">
        <f t="shared" si="94"/>
        <v>0</v>
      </c>
      <c r="T425" s="15">
        <f t="shared" si="94"/>
        <v>0</v>
      </c>
      <c r="U425" s="15">
        <f t="shared" si="94"/>
        <v>0</v>
      </c>
      <c r="V425" s="15">
        <f t="shared" si="94"/>
        <v>0</v>
      </c>
      <c r="W425" s="15">
        <f t="shared" si="94"/>
        <v>0</v>
      </c>
      <c r="X425" s="15">
        <f t="shared" si="94"/>
        <v>0</v>
      </c>
      <c r="Y425" s="15">
        <f t="shared" si="94"/>
        <v>0</v>
      </c>
      <c r="Z425" s="15">
        <f t="shared" si="94"/>
        <v>0</v>
      </c>
      <c r="AA425" s="15">
        <f t="shared" si="94"/>
        <v>2926.8114849411736</v>
      </c>
      <c r="AB425" s="15">
        <f t="shared" si="94"/>
        <v>6553.2333491274212</v>
      </c>
    </row>
    <row r="426" spans="1:28">
      <c r="A426" s="21">
        <v>2066</v>
      </c>
      <c r="B426" s="15">
        <f t="shared" ref="B426:AB426" si="95">IF(B481="",0,MAX(0,B481)/(1-p_cgt*(1-B372/F_nom^($A426-B365-1)))/G_real^($A426-B365-1))</f>
        <v>4618.5525789113908</v>
      </c>
      <c r="C426" s="15">
        <f t="shared" si="95"/>
        <v>3523.1115899464462</v>
      </c>
      <c r="D426" s="15">
        <f t="shared" si="95"/>
        <v>3549.8869402731957</v>
      </c>
      <c r="E426" s="15">
        <f t="shared" si="95"/>
        <v>4260.7753965344518</v>
      </c>
      <c r="F426" s="15">
        <f t="shared" si="95"/>
        <v>4739.2291262033732</v>
      </c>
      <c r="G426" s="15">
        <f t="shared" si="95"/>
        <v>4618.5525789113908</v>
      </c>
      <c r="H426" s="15">
        <f t="shared" si="95"/>
        <v>4501.6871992352226</v>
      </c>
      <c r="I426" s="15">
        <f t="shared" si="95"/>
        <v>4013.9063695275572</v>
      </c>
      <c r="J426" s="15">
        <f t="shared" si="95"/>
        <v>3523.1115899464462</v>
      </c>
      <c r="K426" s="15">
        <f t="shared" si="95"/>
        <v>3009.4003741312772</v>
      </c>
      <c r="L426" s="15">
        <f t="shared" si="95"/>
        <v>2528.9558221855978</v>
      </c>
      <c r="M426" s="15">
        <f t="shared" si="95"/>
        <v>1996.7108971256646</v>
      </c>
      <c r="N426" s="15">
        <f t="shared" si="95"/>
        <v>1436.5298607045297</v>
      </c>
      <c r="O426" s="15">
        <f t="shared" si="95"/>
        <v>847.39000213309714</v>
      </c>
      <c r="P426" s="15">
        <f t="shared" si="95"/>
        <v>228.23616222283596</v>
      </c>
      <c r="Q426" s="15">
        <f t="shared" si="95"/>
        <v>0</v>
      </c>
      <c r="R426" s="15">
        <f t="shared" si="95"/>
        <v>0</v>
      </c>
      <c r="S426" s="15">
        <f t="shared" si="95"/>
        <v>0</v>
      </c>
      <c r="T426" s="15">
        <f t="shared" si="95"/>
        <v>0</v>
      </c>
      <c r="U426" s="15">
        <f t="shared" si="95"/>
        <v>0</v>
      </c>
      <c r="V426" s="15">
        <f t="shared" si="95"/>
        <v>0</v>
      </c>
      <c r="W426" s="15">
        <f t="shared" si="95"/>
        <v>0</v>
      </c>
      <c r="X426" s="15">
        <f t="shared" si="95"/>
        <v>0</v>
      </c>
      <c r="Y426" s="15">
        <f t="shared" si="95"/>
        <v>0</v>
      </c>
      <c r="Z426" s="15">
        <f t="shared" si="95"/>
        <v>0</v>
      </c>
      <c r="AA426" s="15">
        <f t="shared" si="95"/>
        <v>2851.8077642806061</v>
      </c>
      <c r="AB426" s="15">
        <f t="shared" si="95"/>
        <v>6385.2973935421751</v>
      </c>
    </row>
    <row r="427" spans="1:28">
      <c r="A427" s="21">
        <v>2067</v>
      </c>
      <c r="B427" s="15">
        <f t="shared" ref="B427:AB427" si="96">IF(B482="",0,MAX(0,B482)/(1-p_cgt*(1-B372/F_nom^($A427-B365-1)))/G_real^($A427-B365-1))</f>
        <v>4499.8740078283763</v>
      </c>
      <c r="C427" s="15">
        <f t="shared" si="96"/>
        <v>3432.8155905878607</v>
      </c>
      <c r="D427" s="15">
        <f t="shared" si="96"/>
        <v>3458.6688579022084</v>
      </c>
      <c r="E427" s="15">
        <f t="shared" si="96"/>
        <v>4151.2902868324945</v>
      </c>
      <c r="F427" s="15">
        <f t="shared" si="96"/>
        <v>4617.4496441853544</v>
      </c>
      <c r="G427" s="15">
        <f t="shared" si="96"/>
        <v>4499.8740078283763</v>
      </c>
      <c r="H427" s="15">
        <f t="shared" si="96"/>
        <v>4386.1068271986778</v>
      </c>
      <c r="I427" s="15">
        <f t="shared" si="96"/>
        <v>3910.9386562048294</v>
      </c>
      <c r="J427" s="15">
        <f t="shared" si="96"/>
        <v>3432.8155905878607</v>
      </c>
      <c r="K427" s="15">
        <f t="shared" si="96"/>
        <v>2932.3430349912355</v>
      </c>
      <c r="L427" s="15">
        <f t="shared" si="96"/>
        <v>2464.2637293119092</v>
      </c>
      <c r="M427" s="15">
        <f t="shared" si="96"/>
        <v>1945.6856243995751</v>
      </c>
      <c r="N427" s="15">
        <f t="shared" si="96"/>
        <v>1399.8582932691895</v>
      </c>
      <c r="O427" s="15">
        <f t="shared" si="96"/>
        <v>825.78136079703404</v>
      </c>
      <c r="P427" s="15">
        <f t="shared" si="96"/>
        <v>222.42259568376275</v>
      </c>
      <c r="Q427" s="15">
        <f t="shared" si="96"/>
        <v>0</v>
      </c>
      <c r="R427" s="15">
        <f t="shared" si="96"/>
        <v>0</v>
      </c>
      <c r="S427" s="15">
        <f t="shared" si="96"/>
        <v>0</v>
      </c>
      <c r="T427" s="15">
        <f t="shared" si="96"/>
        <v>0</v>
      </c>
      <c r="U427" s="15">
        <f t="shared" si="96"/>
        <v>0</v>
      </c>
      <c r="V427" s="15">
        <f t="shared" si="96"/>
        <v>0</v>
      </c>
      <c r="W427" s="15">
        <f t="shared" si="96"/>
        <v>0</v>
      </c>
      <c r="X427" s="15">
        <f t="shared" si="96"/>
        <v>0</v>
      </c>
      <c r="Y427" s="15">
        <f t="shared" si="96"/>
        <v>0</v>
      </c>
      <c r="Z427" s="15">
        <f t="shared" si="96"/>
        <v>0</v>
      </c>
      <c r="AA427" s="15">
        <f t="shared" si="96"/>
        <v>2778.5275612980427</v>
      </c>
      <c r="AB427" s="15">
        <f t="shared" si="96"/>
        <v>6221.2204543587104</v>
      </c>
    </row>
    <row r="428" spans="1:28">
      <c r="A428" s="21">
        <v>2068</v>
      </c>
      <c r="B428" s="15">
        <f t="shared" ref="B428:AB428" si="97">IF(B483="",0,MAX(0,B483)/(1-p_cgt*(1-B372/F_nom^($A428-B365-1)))/G_real^($A428-B365-1))</f>
        <v>4383.945299795987</v>
      </c>
      <c r="C428" s="15">
        <f t="shared" si="97"/>
        <v>3344.5953048072834</v>
      </c>
      <c r="D428" s="15">
        <f t="shared" si="97"/>
        <v>3369.5643604182965</v>
      </c>
      <c r="E428" s="15">
        <f t="shared" si="97"/>
        <v>4044.3420214404705</v>
      </c>
      <c r="F428" s="15">
        <f t="shared" si="97"/>
        <v>4498.4918754292112</v>
      </c>
      <c r="G428" s="15">
        <f t="shared" si="97"/>
        <v>4383.945299795987</v>
      </c>
      <c r="H428" s="15">
        <f t="shared" si="97"/>
        <v>4273.1978078662169</v>
      </c>
      <c r="I428" s="15">
        <f t="shared" si="97"/>
        <v>3810.3445082307253</v>
      </c>
      <c r="J428" s="15">
        <f t="shared" si="97"/>
        <v>3344.5953048072834</v>
      </c>
      <c r="K428" s="15">
        <f t="shared" si="97"/>
        <v>2857.0519713668805</v>
      </c>
      <c r="L428" s="15">
        <f t="shared" si="97"/>
        <v>2401.050024870482</v>
      </c>
      <c r="M428" s="15">
        <f t="shared" si="97"/>
        <v>1895.8227726224538</v>
      </c>
      <c r="N428" s="15">
        <f t="shared" si="97"/>
        <v>1364.0194407932513</v>
      </c>
      <c r="O428" s="15">
        <f t="shared" si="97"/>
        <v>804.66174470083206</v>
      </c>
      <c r="P428" s="15">
        <f t="shared" si="97"/>
        <v>216.74013781205983</v>
      </c>
      <c r="Q428" s="15">
        <f t="shared" si="97"/>
        <v>0</v>
      </c>
      <c r="R428" s="15">
        <f t="shared" si="97"/>
        <v>0</v>
      </c>
      <c r="S428" s="15">
        <f t="shared" si="97"/>
        <v>0</v>
      </c>
      <c r="T428" s="15">
        <f t="shared" si="97"/>
        <v>0</v>
      </c>
      <c r="U428" s="15">
        <f t="shared" si="97"/>
        <v>0</v>
      </c>
      <c r="V428" s="15">
        <f t="shared" si="97"/>
        <v>0</v>
      </c>
      <c r="W428" s="15">
        <f t="shared" si="97"/>
        <v>0</v>
      </c>
      <c r="X428" s="15">
        <f t="shared" si="97"/>
        <v>0</v>
      </c>
      <c r="Y428" s="15">
        <f t="shared" si="97"/>
        <v>0</v>
      </c>
      <c r="Z428" s="15">
        <f t="shared" si="97"/>
        <v>0</v>
      </c>
      <c r="AA428" s="15">
        <f t="shared" si="97"/>
        <v>2706.9453103609512</v>
      </c>
      <c r="AB428" s="15">
        <f t="shared" si="97"/>
        <v>6060.9452892310228</v>
      </c>
    </row>
    <row r="429" spans="1:28">
      <c r="A429" s="21">
        <v>2069</v>
      </c>
      <c r="B429" s="15">
        <f t="shared" ref="B429:AB429" si="98">IF(B484="",0,MAX(0,B484)/(1-p_cgt*(1-B372/F_nom^($A429-B365-1)))/G_real^($A429-B365-1))</f>
        <v>4270.7239485780183</v>
      </c>
      <c r="C429" s="15">
        <f t="shared" si="98"/>
        <v>3258.4198829889051</v>
      </c>
      <c r="D429" s="15">
        <f t="shared" si="98"/>
        <v>3282.5407769077488</v>
      </c>
      <c r="E429" s="15">
        <f t="shared" si="98"/>
        <v>3939.891386877031</v>
      </c>
      <c r="F429" s="15">
        <f t="shared" si="98"/>
        <v>4382.3122030681425</v>
      </c>
      <c r="G429" s="15">
        <f t="shared" si="98"/>
        <v>4270.7239485780183</v>
      </c>
      <c r="H429" s="15">
        <f t="shared" si="98"/>
        <v>4162.9193528745845</v>
      </c>
      <c r="I429" s="15">
        <f t="shared" si="98"/>
        <v>3712.0881553256272</v>
      </c>
      <c r="J429" s="15">
        <f t="shared" si="98"/>
        <v>3258.4198829889051</v>
      </c>
      <c r="K429" s="15">
        <f t="shared" si="98"/>
        <v>2783.5013167962011</v>
      </c>
      <c r="L429" s="15">
        <f t="shared" si="98"/>
        <v>2339.2933938327164</v>
      </c>
      <c r="M429" s="15">
        <f t="shared" si="98"/>
        <v>1847.1058568660146</v>
      </c>
      <c r="N429" s="15">
        <f t="shared" si="98"/>
        <v>1329.0016985186633</v>
      </c>
      <c r="O429" s="15">
        <f t="shared" si="98"/>
        <v>784.02446337700167</v>
      </c>
      <c r="P429" s="15">
        <f t="shared" si="98"/>
        <v>211.1870295179356</v>
      </c>
      <c r="Q429" s="15">
        <f t="shared" si="98"/>
        <v>0</v>
      </c>
      <c r="R429" s="15">
        <f t="shared" si="98"/>
        <v>0</v>
      </c>
      <c r="S429" s="15">
        <f t="shared" si="98"/>
        <v>0</v>
      </c>
      <c r="T429" s="15">
        <f t="shared" si="98"/>
        <v>0</v>
      </c>
      <c r="U429" s="15">
        <f t="shared" si="98"/>
        <v>0</v>
      </c>
      <c r="V429" s="15">
        <f t="shared" si="98"/>
        <v>0</v>
      </c>
      <c r="W429" s="15">
        <f t="shared" si="98"/>
        <v>0</v>
      </c>
      <c r="X429" s="15">
        <f t="shared" si="98"/>
        <v>0</v>
      </c>
      <c r="Y429" s="15">
        <f t="shared" si="98"/>
        <v>0</v>
      </c>
      <c r="Z429" s="15">
        <f t="shared" si="98"/>
        <v>0</v>
      </c>
      <c r="AA429" s="15">
        <f t="shared" si="98"/>
        <v>2637.0347652347446</v>
      </c>
      <c r="AB429" s="15">
        <f t="shared" si="98"/>
        <v>5904.4131319212938</v>
      </c>
    </row>
    <row r="430" spans="1:28">
      <c r="A430" s="21">
        <v>2070</v>
      </c>
      <c r="B430" s="15">
        <f t="shared" ref="B430:AB430" si="99">IF(B485="",0,MAX(0,B485)/(1-p_cgt*(1-B372/F_nom^($A430-B365-1)))/G_real^($A430-B365-1))</f>
        <v>4160.1665084793822</v>
      </c>
      <c r="C430" s="15">
        <f t="shared" si="99"/>
        <v>3174.2576609131597</v>
      </c>
      <c r="D430" s="15">
        <f t="shared" si="99"/>
        <v>3197.564714375038</v>
      </c>
      <c r="E430" s="15">
        <f t="shared" si="99"/>
        <v>3837.8983029773267</v>
      </c>
      <c r="F430" s="15">
        <f t="shared" si="99"/>
        <v>4268.866046229663</v>
      </c>
      <c r="G430" s="15">
        <f t="shared" si="99"/>
        <v>4160.1665084793822</v>
      </c>
      <c r="H430" s="15">
        <f t="shared" si="99"/>
        <v>4055.229718089729</v>
      </c>
      <c r="I430" s="15">
        <f t="shared" si="99"/>
        <v>3616.1329377685483</v>
      </c>
      <c r="J430" s="15">
        <f t="shared" si="99"/>
        <v>3174.2576609131597</v>
      </c>
      <c r="K430" s="15">
        <f t="shared" si="99"/>
        <v>2711.6644790191822</v>
      </c>
      <c r="L430" s="15">
        <f t="shared" si="99"/>
        <v>2278.9718852566007</v>
      </c>
      <c r="M430" s="15">
        <f t="shared" si="99"/>
        <v>1799.517869003113</v>
      </c>
      <c r="N430" s="15">
        <f t="shared" si="99"/>
        <v>1294.793069664456</v>
      </c>
      <c r="O430" s="15">
        <f t="shared" si="99"/>
        <v>763.8625856679306</v>
      </c>
      <c r="P430" s="15">
        <f t="shared" si="99"/>
        <v>205.76144428084766</v>
      </c>
      <c r="Q430" s="15">
        <f t="shared" si="99"/>
        <v>0</v>
      </c>
      <c r="R430" s="15">
        <f t="shared" si="99"/>
        <v>0</v>
      </c>
      <c r="S430" s="15">
        <f t="shared" si="99"/>
        <v>0</v>
      </c>
      <c r="T430" s="15">
        <f t="shared" si="99"/>
        <v>0</v>
      </c>
      <c r="U430" s="15">
        <f t="shared" si="99"/>
        <v>0</v>
      </c>
      <c r="V430" s="15">
        <f t="shared" si="99"/>
        <v>0</v>
      </c>
      <c r="W430" s="15">
        <f t="shared" si="99"/>
        <v>0</v>
      </c>
      <c r="X430" s="15">
        <f t="shared" si="99"/>
        <v>0</v>
      </c>
      <c r="Y430" s="15">
        <f t="shared" si="99"/>
        <v>0</v>
      </c>
      <c r="Z430" s="15">
        <f t="shared" si="99"/>
        <v>0</v>
      </c>
      <c r="AA430" s="15">
        <f t="shared" si="99"/>
        <v>2568.7690995991707</v>
      </c>
      <c r="AB430" s="15">
        <f t="shared" si="99"/>
        <v>5751.5639173595928</v>
      </c>
    </row>
    <row r="431" spans="1:28">
      <c r="A431" s="21">
        <v>2071</v>
      </c>
      <c r="B431" s="15">
        <f t="shared" ref="B431:AB431" si="100">IF(B486="",0,MAX(0,B486)/(1-p_cgt*(1-B372/F_nom^($A431-B365-1)))/G_real^($A431-B365-1))</f>
        <v>4052.2287460497973</v>
      </c>
      <c r="C431" s="15">
        <f t="shared" si="100"/>
        <v>3092.076280515103</v>
      </c>
      <c r="D431" s="15">
        <f t="shared" si="100"/>
        <v>3114.6021743444976</v>
      </c>
      <c r="E431" s="15">
        <f t="shared" si="100"/>
        <v>3738.3219628449483</v>
      </c>
      <c r="F431" s="15">
        <f t="shared" si="100"/>
        <v>4158.1080157031211</v>
      </c>
      <c r="G431" s="15">
        <f t="shared" si="100"/>
        <v>4052.2287460497973</v>
      </c>
      <c r="H431" s="15">
        <f t="shared" si="100"/>
        <v>3950.0863535475605</v>
      </c>
      <c r="I431" s="15">
        <f t="shared" si="100"/>
        <v>3522.4414420056637</v>
      </c>
      <c r="J431" s="15">
        <f t="shared" si="100"/>
        <v>3092.076280515103</v>
      </c>
      <c r="K431" s="15">
        <f t="shared" si="100"/>
        <v>2641.5142446460859</v>
      </c>
      <c r="L431" s="15">
        <f t="shared" si="100"/>
        <v>2220.0630015501256</v>
      </c>
      <c r="M431" s="15">
        <f t="shared" si="100"/>
        <v>1753.0413492362729</v>
      </c>
      <c r="N431" s="15">
        <f t="shared" si="100"/>
        <v>1261.3812176578299</v>
      </c>
      <c r="O431" s="15">
        <f t="shared" si="100"/>
        <v>744.16897099760968</v>
      </c>
      <c r="P431" s="15">
        <f t="shared" si="100"/>
        <v>200.46149669815168</v>
      </c>
      <c r="Q431" s="15">
        <f t="shared" si="100"/>
        <v>0</v>
      </c>
      <c r="R431" s="15">
        <f t="shared" si="100"/>
        <v>0</v>
      </c>
      <c r="S431" s="15">
        <f t="shared" si="100"/>
        <v>0</v>
      </c>
      <c r="T431" s="15">
        <f t="shared" si="100"/>
        <v>0</v>
      </c>
      <c r="U431" s="15">
        <f t="shared" si="100"/>
        <v>0</v>
      </c>
      <c r="V431" s="15">
        <f t="shared" si="100"/>
        <v>0</v>
      </c>
      <c r="W431" s="15">
        <f t="shared" si="100"/>
        <v>0</v>
      </c>
      <c r="X431" s="15">
        <f t="shared" si="100"/>
        <v>0</v>
      </c>
      <c r="Y431" s="15">
        <f t="shared" si="100"/>
        <v>0</v>
      </c>
      <c r="Z431" s="15">
        <f t="shared" si="100"/>
        <v>0</v>
      </c>
      <c r="AA431" s="15">
        <f t="shared" si="100"/>
        <v>2502.1210007204704</v>
      </c>
      <c r="AB431" s="15">
        <f t="shared" si="100"/>
        <v>5602.3364913791247</v>
      </c>
    </row>
    <row r="432" spans="1:28">
      <c r="A432" s="21">
        <v>2072</v>
      </c>
      <c r="B432" s="15">
        <f t="shared" ref="B432:AB432" si="101">IF(B487="",0,MAX(0,B487)/(1-p_cgt*(1-B372/F_nom^($A432-B365-1)))/G_real^($A432-B365-1))</f>
        <v>3946.8657811904968</v>
      </c>
      <c r="C432" s="15">
        <f t="shared" si="101"/>
        <v>3011.842802410762</v>
      </c>
      <c r="D432" s="15">
        <f t="shared" si="101"/>
        <v>3033.6186613169907</v>
      </c>
      <c r="E432" s="15">
        <f t="shared" si="101"/>
        <v>3641.1209630277622</v>
      </c>
      <c r="F432" s="15">
        <f t="shared" si="101"/>
        <v>4049.9920587333218</v>
      </c>
      <c r="G432" s="15">
        <f t="shared" si="101"/>
        <v>3946.8657811904968</v>
      </c>
      <c r="H432" s="15">
        <f t="shared" si="101"/>
        <v>3847.4460430026811</v>
      </c>
      <c r="I432" s="15">
        <f t="shared" si="101"/>
        <v>3430.9756269363061</v>
      </c>
      <c r="J432" s="15">
        <f t="shared" si="101"/>
        <v>3011.842802410762</v>
      </c>
      <c r="K432" s="15">
        <f t="shared" si="101"/>
        <v>2573.0228767522794</v>
      </c>
      <c r="L432" s="15">
        <f t="shared" si="101"/>
        <v>2162.5437817560619</v>
      </c>
      <c r="M432" s="15">
        <f t="shared" si="101"/>
        <v>1707.6584528793342</v>
      </c>
      <c r="N432" s="15">
        <f t="shared" si="101"/>
        <v>1228.7535149316448</v>
      </c>
      <c r="O432" s="15">
        <f t="shared" si="101"/>
        <v>724.93629860746398</v>
      </c>
      <c r="P432" s="15">
        <f t="shared" si="101"/>
        <v>195.28525048272107</v>
      </c>
      <c r="Q432" s="15">
        <f t="shared" si="101"/>
        <v>0</v>
      </c>
      <c r="R432" s="15">
        <f t="shared" si="101"/>
        <v>0</v>
      </c>
      <c r="S432" s="15">
        <f t="shared" si="101"/>
        <v>0</v>
      </c>
      <c r="T432" s="15">
        <f t="shared" si="101"/>
        <v>0</v>
      </c>
      <c r="U432" s="15">
        <f t="shared" si="101"/>
        <v>0</v>
      </c>
      <c r="V432" s="15">
        <f t="shared" si="101"/>
        <v>0</v>
      </c>
      <c r="W432" s="15">
        <f t="shared" si="101"/>
        <v>0</v>
      </c>
      <c r="X432" s="15">
        <f t="shared" si="101"/>
        <v>0</v>
      </c>
      <c r="Y432" s="15">
        <f t="shared" si="101"/>
        <v>0</v>
      </c>
      <c r="Z432" s="15">
        <f t="shared" si="101"/>
        <v>0</v>
      </c>
      <c r="AA432" s="15">
        <f t="shared" si="101"/>
        <v>2437.0627565802247</v>
      </c>
      <c r="AB432" s="15">
        <f t="shared" si="101"/>
        <v>5456.6688058007694</v>
      </c>
    </row>
    <row r="433" spans="1:28">
      <c r="A433" s="21">
        <v>2073</v>
      </c>
      <c r="B433" s="15">
        <f t="shared" ref="B433:AB433" si="102">IF(B488="",0,MAX(0,B488)/(1-p_cgt*(1-B372/F_nom^($A433-B365-1)))/G_real^($A433-B365-1))</f>
        <v>3844.0322181525003</v>
      </c>
      <c r="C433" s="15">
        <f t="shared" si="102"/>
        <v>2933.5238105542094</v>
      </c>
      <c r="D433" s="15">
        <f t="shared" si="102"/>
        <v>2954.5792834571016</v>
      </c>
      <c r="E433" s="15">
        <f t="shared" si="102"/>
        <v>3546.253424368379</v>
      </c>
      <c r="F433" s="15">
        <f t="shared" si="102"/>
        <v>3944.4715934416149</v>
      </c>
      <c r="G433" s="15">
        <f t="shared" si="102"/>
        <v>3844.0322181525003</v>
      </c>
      <c r="H433" s="15">
        <f t="shared" si="102"/>
        <v>3747.2650335574685</v>
      </c>
      <c r="I433" s="15">
        <f t="shared" si="102"/>
        <v>3341.6969412939038</v>
      </c>
      <c r="J433" s="15">
        <f t="shared" si="102"/>
        <v>2933.5238105542094</v>
      </c>
      <c r="K433" s="15">
        <f t="shared" si="102"/>
        <v>2506.1622057060745</v>
      </c>
      <c r="L433" s="15">
        <f t="shared" si="102"/>
        <v>2106.3908791124572</v>
      </c>
      <c r="M433" s="15">
        <f t="shared" si="102"/>
        <v>1663.3510125902876</v>
      </c>
      <c r="N433" s="15">
        <f t="shared" si="102"/>
        <v>1196.89708842866</v>
      </c>
      <c r="O433" s="15">
        <f t="shared" si="102"/>
        <v>706.15709483770206</v>
      </c>
      <c r="P433" s="15">
        <f t="shared" si="102"/>
        <v>190.23072593106332</v>
      </c>
      <c r="Q433" s="15">
        <f t="shared" si="102"/>
        <v>0</v>
      </c>
      <c r="R433" s="15">
        <f t="shared" si="102"/>
        <v>0</v>
      </c>
      <c r="S433" s="15">
        <f t="shared" si="102"/>
        <v>0</v>
      </c>
      <c r="T433" s="15">
        <f t="shared" si="102"/>
        <v>0</v>
      </c>
      <c r="U433" s="15">
        <f t="shared" si="102"/>
        <v>0</v>
      </c>
      <c r="V433" s="15">
        <f t="shared" si="102"/>
        <v>0</v>
      </c>
      <c r="W433" s="15">
        <f t="shared" si="102"/>
        <v>0</v>
      </c>
      <c r="X433" s="15">
        <f t="shared" si="102"/>
        <v>0</v>
      </c>
      <c r="Y433" s="15">
        <f t="shared" si="102"/>
        <v>0</v>
      </c>
      <c r="Z433" s="15">
        <f t="shared" si="102"/>
        <v>0</v>
      </c>
      <c r="AA433" s="15">
        <f t="shared" si="102"/>
        <v>2373.5663367625853</v>
      </c>
      <c r="AB433" s="15">
        <f t="shared" si="102"/>
        <v>5314.4980995424157</v>
      </c>
    </row>
    <row r="434" spans="1:28">
      <c r="A434" s="21">
        <v>2074</v>
      </c>
      <c r="B434" s="15">
        <f t="shared" ref="B434:AB434" si="103">IF(B489="",0,MAX(0,B489)/(1-p_cgt*(1-B372/F_nom^($A434-B365-1)))/G_real^($A434-B365-1))</f>
        <v>3743.6822669127032</v>
      </c>
      <c r="C434" s="15">
        <f t="shared" si="103"/>
        <v>2857.0855093889031</v>
      </c>
      <c r="D434" s="15">
        <f t="shared" si="103"/>
        <v>2877.448845884564</v>
      </c>
      <c r="E434" s="15">
        <f t="shared" si="103"/>
        <v>3453.6771039778168</v>
      </c>
      <c r="F434" s="15">
        <f t="shared" si="103"/>
        <v>3841.4996333733739</v>
      </c>
      <c r="G434" s="15">
        <f t="shared" si="103"/>
        <v>3743.6822669127032</v>
      </c>
      <c r="H434" s="15">
        <f t="shared" si="103"/>
        <v>3649.4991558427246</v>
      </c>
      <c r="I434" s="15">
        <f t="shared" si="103"/>
        <v>3254.566432539159</v>
      </c>
      <c r="J434" s="15">
        <f t="shared" si="103"/>
        <v>2857.0855093889031</v>
      </c>
      <c r="K434" s="15">
        <f t="shared" si="103"/>
        <v>2440.9037135374069</v>
      </c>
      <c r="L434" s="15">
        <f t="shared" si="103"/>
        <v>2051.5806331450949</v>
      </c>
      <c r="M434" s="15">
        <f t="shared" si="103"/>
        <v>1620.1005962554557</v>
      </c>
      <c r="N434" s="15">
        <f t="shared" si="103"/>
        <v>1165.7988619548157</v>
      </c>
      <c r="O434" s="15">
        <f t="shared" si="103"/>
        <v>687.82375853701217</v>
      </c>
      <c r="P434" s="15">
        <f t="shared" si="103"/>
        <v>185.29590688391551</v>
      </c>
      <c r="Q434" s="15">
        <f t="shared" si="103"/>
        <v>0</v>
      </c>
      <c r="R434" s="15">
        <f t="shared" si="103"/>
        <v>0</v>
      </c>
      <c r="S434" s="15">
        <f t="shared" si="103"/>
        <v>0</v>
      </c>
      <c r="T434" s="15">
        <f t="shared" si="103"/>
        <v>0</v>
      </c>
      <c r="U434" s="15">
        <f t="shared" si="103"/>
        <v>0</v>
      </c>
      <c r="V434" s="15">
        <f t="shared" si="103"/>
        <v>0</v>
      </c>
      <c r="W434" s="15">
        <f t="shared" si="103"/>
        <v>0</v>
      </c>
      <c r="X434" s="15">
        <f t="shared" si="103"/>
        <v>0</v>
      </c>
      <c r="Y434" s="15">
        <f t="shared" si="103"/>
        <v>0</v>
      </c>
      <c r="Z434" s="15">
        <f t="shared" si="103"/>
        <v>0</v>
      </c>
      <c r="AA434" s="15">
        <f t="shared" si="103"/>
        <v>2311.6034674001053</v>
      </c>
      <c r="AB434" s="15">
        <f t="shared" si="103"/>
        <v>5175.7610664253016</v>
      </c>
    </row>
    <row r="435" spans="1:28">
      <c r="A435" s="21">
        <v>2075</v>
      </c>
      <c r="B435" s="15">
        <f t="shared" ref="B435:AB435" si="104">IF(B490="",0,MAX(0,B490)/(1-p_cgt*(1-B372/F_nom^($A435-B365-1)))/G_real^($A435-B365-1))</f>
        <v>3645.7698554088529</v>
      </c>
      <c r="C435" s="15">
        <f t="shared" si="104"/>
        <v>2782.4938138549805</v>
      </c>
      <c r="D435" s="15">
        <f t="shared" si="104"/>
        <v>2802.191936939706</v>
      </c>
      <c r="E435" s="15">
        <f t="shared" si="104"/>
        <v>3363.3494987761687</v>
      </c>
      <c r="F435" s="15">
        <f t="shared" si="104"/>
        <v>3741.0289026655228</v>
      </c>
      <c r="G435" s="15">
        <f t="shared" si="104"/>
        <v>3645.7698554088529</v>
      </c>
      <c r="H435" s="15">
        <f t="shared" si="104"/>
        <v>3554.1039352168127</v>
      </c>
      <c r="I435" s="15">
        <f t="shared" si="104"/>
        <v>3169.5448476798811</v>
      </c>
      <c r="J435" s="15">
        <f t="shared" si="104"/>
        <v>2782.4938138549805</v>
      </c>
      <c r="K435" s="15">
        <f t="shared" si="104"/>
        <v>2377.218612154416</v>
      </c>
      <c r="L435" s="15">
        <f t="shared" si="104"/>
        <v>1998.0891365480579</v>
      </c>
      <c r="M435" s="15">
        <f t="shared" si="104"/>
        <v>1577.8885607256211</v>
      </c>
      <c r="N435" s="15">
        <f t="shared" si="104"/>
        <v>1135.4455955245539</v>
      </c>
      <c r="O435" s="15">
        <f t="shared" si="104"/>
        <v>669.92858468409611</v>
      </c>
      <c r="P435" s="15">
        <f t="shared" si="104"/>
        <v>180.47874720155173</v>
      </c>
      <c r="Q435" s="15">
        <f t="shared" si="104"/>
        <v>0</v>
      </c>
      <c r="R435" s="15">
        <f t="shared" si="104"/>
        <v>0</v>
      </c>
      <c r="S435" s="15">
        <f t="shared" si="104"/>
        <v>0</v>
      </c>
      <c r="T435" s="15">
        <f t="shared" si="104"/>
        <v>0</v>
      </c>
      <c r="U435" s="15">
        <f t="shared" si="104"/>
        <v>0</v>
      </c>
      <c r="V435" s="15">
        <f t="shared" si="104"/>
        <v>0</v>
      </c>
      <c r="W435" s="15">
        <f t="shared" si="104"/>
        <v>0</v>
      </c>
      <c r="X435" s="15">
        <f t="shared" si="104"/>
        <v>0</v>
      </c>
      <c r="Y435" s="15">
        <f t="shared" si="104"/>
        <v>0</v>
      </c>
      <c r="Z435" s="15">
        <f t="shared" si="104"/>
        <v>0</v>
      </c>
      <c r="AA435" s="15">
        <f t="shared" si="104"/>
        <v>2251.1457004752274</v>
      </c>
      <c r="AB435" s="15">
        <f t="shared" si="104"/>
        <v>5040.3940103424784</v>
      </c>
    </row>
    <row r="436" spans="1:28">
      <c r="A436" s="21">
        <v>2076</v>
      </c>
      <c r="B436" s="15">
        <f t="shared" ref="B436:AB436" si="105">IF(B491="",0,MAX(0,B491)/(1-p_cgt*(1-B372/F_nom^($A436-B365-1)))/G_real^($A436-B365-1))</f>
        <v>3550.2487331067682</v>
      </c>
      <c r="C436" s="15">
        <f t="shared" si="105"/>
        <v>2709.7144326102834</v>
      </c>
      <c r="D436" s="15">
        <f t="shared" si="105"/>
        <v>2728.7730077867254</v>
      </c>
      <c r="E436" s="15">
        <f t="shared" si="105"/>
        <v>3275.2279410369661</v>
      </c>
      <c r="F436" s="15">
        <f t="shared" si="105"/>
        <v>3643.0119423198253</v>
      </c>
      <c r="G436" s="15">
        <f t="shared" si="105"/>
        <v>3550.2487331067682</v>
      </c>
      <c r="H436" s="15">
        <f t="shared" si="105"/>
        <v>3461.0346944435682</v>
      </c>
      <c r="I436" s="15">
        <f t="shared" si="105"/>
        <v>3086.5927264265442</v>
      </c>
      <c r="J436" s="15">
        <f t="shared" si="105"/>
        <v>2709.7144326102834</v>
      </c>
      <c r="K436" s="15">
        <f t="shared" si="105"/>
        <v>2315.0779157121401</v>
      </c>
      <c r="L436" s="15">
        <f t="shared" si="105"/>
        <v>1945.8922971067843</v>
      </c>
      <c r="M436" s="15">
        <f t="shared" si="105"/>
        <v>1536.696101603743</v>
      </c>
      <c r="N436" s="15">
        <f t="shared" si="105"/>
        <v>1105.823921840853</v>
      </c>
      <c r="O436" s="15">
        <f t="shared" si="105"/>
        <v>652.46378630455217</v>
      </c>
      <c r="P436" s="15">
        <f t="shared" si="105"/>
        <v>175.77717677609778</v>
      </c>
      <c r="Q436" s="15">
        <f t="shared" si="105"/>
        <v>0</v>
      </c>
      <c r="R436" s="15">
        <f t="shared" si="105"/>
        <v>0</v>
      </c>
      <c r="S436" s="15">
        <f t="shared" si="105"/>
        <v>0</v>
      </c>
      <c r="T436" s="15">
        <f t="shared" si="105"/>
        <v>0</v>
      </c>
      <c r="U436" s="15">
        <f t="shared" si="105"/>
        <v>0</v>
      </c>
      <c r="V436" s="15">
        <f t="shared" si="105"/>
        <v>0</v>
      </c>
      <c r="W436" s="15">
        <f t="shared" si="105"/>
        <v>0</v>
      </c>
      <c r="X436" s="15">
        <f t="shared" si="105"/>
        <v>0</v>
      </c>
      <c r="Y436" s="15">
        <f t="shared" si="105"/>
        <v>0</v>
      </c>
      <c r="Z436" s="15">
        <f t="shared" si="105"/>
        <v>0</v>
      </c>
      <c r="AA436" s="15">
        <f t="shared" si="105"/>
        <v>2192.1644777697165</v>
      </c>
      <c r="AB436" s="15">
        <f t="shared" si="105"/>
        <v>4908.332988443819</v>
      </c>
    </row>
    <row r="437" spans="1:28">
      <c r="A437" s="21">
        <v>2077</v>
      </c>
      <c r="B437" s="15">
        <f t="shared" ref="B437:AB437" si="106">IF(B492="",0,MAX(0,B492)/(1-p_cgt*(1-B372/F_nom^($A437-B365-1)))/G_real^($A437-B365-1))</f>
        <v>3457.0725663634312</v>
      </c>
      <c r="C437" s="15">
        <f t="shared" si="106"/>
        <v>2638.7129448170526</v>
      </c>
      <c r="D437" s="15">
        <f t="shared" si="106"/>
        <v>2657.1564457111567</v>
      </c>
      <c r="E437" s="15">
        <f t="shared" si="106"/>
        <v>3189.2696863629499</v>
      </c>
      <c r="F437" s="15">
        <f t="shared" si="106"/>
        <v>3547.4012080576886</v>
      </c>
      <c r="G437" s="15">
        <f t="shared" si="106"/>
        <v>3457.0725663634312</v>
      </c>
      <c r="H437" s="15">
        <f t="shared" si="106"/>
        <v>3370.2466483003118</v>
      </c>
      <c r="I437" s="15">
        <f t="shared" si="106"/>
        <v>3005.6704870854305</v>
      </c>
      <c r="J437" s="15">
        <f t="shared" si="106"/>
        <v>2638.7129448170526</v>
      </c>
      <c r="K437" s="15">
        <f t="shared" si="106"/>
        <v>2254.4525074331991</v>
      </c>
      <c r="L437" s="15">
        <f t="shared" si="106"/>
        <v>1894.9658949147331</v>
      </c>
      <c r="M437" s="15">
        <f t="shared" si="106"/>
        <v>1496.504299281778</v>
      </c>
      <c r="N437" s="15">
        <f t="shared" si="106"/>
        <v>1076.9203800513917</v>
      </c>
      <c r="O437" s="15">
        <f t="shared" si="106"/>
        <v>635.4215147660716</v>
      </c>
      <c r="P437" s="15">
        <f t="shared" si="106"/>
        <v>171.18910710305821</v>
      </c>
      <c r="Q437" s="15">
        <f t="shared" si="106"/>
        <v>0</v>
      </c>
      <c r="R437" s="15">
        <f t="shared" si="106"/>
        <v>0</v>
      </c>
      <c r="S437" s="15">
        <f t="shared" si="106"/>
        <v>0</v>
      </c>
      <c r="T437" s="15">
        <f t="shared" si="106"/>
        <v>0</v>
      </c>
      <c r="U437" s="15">
        <f t="shared" si="106"/>
        <v>0</v>
      </c>
      <c r="V437" s="15">
        <f t="shared" si="106"/>
        <v>0</v>
      </c>
      <c r="W437" s="15">
        <f t="shared" si="106"/>
        <v>0</v>
      </c>
      <c r="X437" s="15">
        <f t="shared" si="106"/>
        <v>0</v>
      </c>
      <c r="Y437" s="15">
        <f t="shared" si="106"/>
        <v>0</v>
      </c>
      <c r="Z437" s="15">
        <f t="shared" si="106"/>
        <v>0</v>
      </c>
      <c r="AA437" s="15">
        <f t="shared" si="106"/>
        <v>2134.6311897483029</v>
      </c>
      <c r="AB437" s="15">
        <f t="shared" si="106"/>
        <v>4779.5139429785604</v>
      </c>
    </row>
    <row r="438" spans="1:28">
      <c r="A438" s="21">
        <v>2078</v>
      </c>
      <c r="B438" s="15">
        <f t="shared" ref="B438:AB438" si="107">IF(B493="",0,MAX(0,B493)/(1-p_cgt*(1-B372/F_nom^($A438-B365-1)))/G_real^($A438-B365-1))</f>
        <v>3366.1950260380695</v>
      </c>
      <c r="C438" s="15">
        <f t="shared" si="107"/>
        <v>2569.4548708389343</v>
      </c>
      <c r="D438" s="15">
        <f t="shared" si="107"/>
        <v>2587.3066414590212</v>
      </c>
      <c r="E438" s="15">
        <f t="shared" si="107"/>
        <v>3105.4319945103362</v>
      </c>
      <c r="F438" s="15">
        <f t="shared" si="107"/>
        <v>3454.1491602204001</v>
      </c>
      <c r="G438" s="15">
        <f t="shared" si="107"/>
        <v>3366.1950260380695</v>
      </c>
      <c r="H438" s="15">
        <f t="shared" si="107"/>
        <v>3281.6949905567535</v>
      </c>
      <c r="I438" s="15">
        <f t="shared" si="107"/>
        <v>2926.7385055822315</v>
      </c>
      <c r="J438" s="15">
        <f t="shared" si="107"/>
        <v>2569.4548708389343</v>
      </c>
      <c r="K438" s="15">
        <f t="shared" si="107"/>
        <v>2195.3132011744651</v>
      </c>
      <c r="L438" s="15">
        <f t="shared" si="107"/>
        <v>1845.2856351303719</v>
      </c>
      <c r="M438" s="15">
        <f t="shared" si="107"/>
        <v>1457.2941614209103</v>
      </c>
      <c r="N438" s="15">
        <f t="shared" si="107"/>
        <v>1048.7214469202545</v>
      </c>
      <c r="O438" s="15">
        <f t="shared" si="107"/>
        <v>618.79387853388857</v>
      </c>
      <c r="P438" s="15">
        <f t="shared" si="107"/>
        <v>166.71243643403113</v>
      </c>
      <c r="Q438" s="15">
        <f t="shared" si="107"/>
        <v>0</v>
      </c>
      <c r="R438" s="15">
        <f t="shared" si="107"/>
        <v>0</v>
      </c>
      <c r="S438" s="15">
        <f t="shared" si="107"/>
        <v>0</v>
      </c>
      <c r="T438" s="15">
        <f t="shared" si="107"/>
        <v>0</v>
      </c>
      <c r="U438" s="15">
        <f t="shared" si="107"/>
        <v>0</v>
      </c>
      <c r="V438" s="15">
        <f t="shared" si="107"/>
        <v>0</v>
      </c>
      <c r="W438" s="15">
        <f t="shared" si="107"/>
        <v>0</v>
      </c>
      <c r="X438" s="15">
        <f t="shared" si="107"/>
        <v>0</v>
      </c>
      <c r="Y438" s="15">
        <f t="shared" si="107"/>
        <v>0</v>
      </c>
      <c r="Z438" s="15">
        <f t="shared" si="107"/>
        <v>0</v>
      </c>
      <c r="AA438" s="15">
        <f t="shared" si="107"/>
        <v>2078.5172296557066</v>
      </c>
      <c r="AB438" s="15">
        <f t="shared" si="107"/>
        <v>4653.8728224204324</v>
      </c>
    </row>
    <row r="440" spans="1:28">
      <c r="A440" s="33" t="s">
        <v>398</v>
      </c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</row>
    <row r="441" spans="1:28" ht="32.1" customHeight="1">
      <c r="A441" s="12" t="s">
        <v>246</v>
      </c>
      <c r="B441" s="12" t="s">
        <v>177</v>
      </c>
      <c r="C441" s="12" t="s">
        <v>178</v>
      </c>
      <c r="D441" s="12" t="s">
        <v>179</v>
      </c>
      <c r="E441" s="12" t="s">
        <v>352</v>
      </c>
      <c r="F441" s="12" t="s">
        <v>353</v>
      </c>
      <c r="G441" s="12" t="s">
        <v>354</v>
      </c>
      <c r="H441" s="12" t="s">
        <v>355</v>
      </c>
      <c r="I441" s="12" t="s">
        <v>356</v>
      </c>
      <c r="J441" s="12" t="s">
        <v>357</v>
      </c>
      <c r="K441" s="12" t="s">
        <v>358</v>
      </c>
      <c r="L441" s="12" t="s">
        <v>359</v>
      </c>
      <c r="M441" s="12" t="s">
        <v>360</v>
      </c>
      <c r="N441" s="12" t="s">
        <v>361</v>
      </c>
      <c r="O441" s="12" t="s">
        <v>362</v>
      </c>
      <c r="P441" s="12" t="s">
        <v>363</v>
      </c>
      <c r="Q441" s="12" t="s">
        <v>364</v>
      </c>
      <c r="R441" s="12" t="s">
        <v>365</v>
      </c>
      <c r="S441" s="12" t="s">
        <v>366</v>
      </c>
      <c r="T441" s="12" t="s">
        <v>367</v>
      </c>
      <c r="U441" s="12" t="s">
        <v>368</v>
      </c>
      <c r="V441" s="12" t="s">
        <v>369</v>
      </c>
      <c r="W441" s="12" t="s">
        <v>370</v>
      </c>
      <c r="X441" s="12" t="s">
        <v>371</v>
      </c>
      <c r="Y441" s="12" t="s">
        <v>372</v>
      </c>
      <c r="Z441" s="12" t="s">
        <v>373</v>
      </c>
      <c r="AA441" s="12" t="s">
        <v>374</v>
      </c>
      <c r="AB441" s="12" t="s">
        <v>375</v>
      </c>
    </row>
    <row r="442" spans="1:28">
      <c r="A442" s="21">
        <v>2027</v>
      </c>
      <c r="B442" s="15">
        <f t="shared" ref="B442:AB442" si="108">IF(OR($A387&lt;=B365,$A387&gt;p_orizz),"",B364-Tz_netto*($A387&lt;=B362)-Cm_netto*($A387&lt;=B363)-B373*IF($A387&gt;B375,1,IF($A387=B375,(13-B376)/12,0))-B374*IF($A387&gt;B377,1,IF($A387=B377,(13-B378)/12,0)))</f>
        <v>39600</v>
      </c>
      <c r="C442" s="15" t="str">
        <f t="shared" si="108"/>
        <v/>
      </c>
      <c r="D442" s="15">
        <f t="shared" si="108"/>
        <v>16721.404307692308</v>
      </c>
      <c r="E442" s="15">
        <f t="shared" si="108"/>
        <v>4842.1188181818216</v>
      </c>
      <c r="F442" s="15">
        <f t="shared" si="108"/>
        <v>16721.404307692308</v>
      </c>
      <c r="G442" s="15">
        <f t="shared" si="108"/>
        <v>39600</v>
      </c>
      <c r="H442" s="15" t="str">
        <f t="shared" si="108"/>
        <v/>
      </c>
      <c r="I442" s="15" t="str">
        <f t="shared" si="108"/>
        <v/>
      </c>
      <c r="J442" s="15" t="str">
        <f t="shared" si="108"/>
        <v/>
      </c>
      <c r="K442" s="15" t="str">
        <f t="shared" si="108"/>
        <v/>
      </c>
      <c r="L442" s="15" t="str">
        <f t="shared" si="108"/>
        <v/>
      </c>
      <c r="M442" s="15" t="str">
        <f t="shared" si="108"/>
        <v/>
      </c>
      <c r="N442" s="15" t="str">
        <f t="shared" si="108"/>
        <v/>
      </c>
      <c r="O442" s="15" t="str">
        <f t="shared" si="108"/>
        <v/>
      </c>
      <c r="P442" s="15" t="str">
        <f t="shared" si="108"/>
        <v/>
      </c>
      <c r="Q442" s="15" t="str">
        <f t="shared" si="108"/>
        <v/>
      </c>
      <c r="R442" s="15" t="str">
        <f t="shared" si="108"/>
        <v/>
      </c>
      <c r="S442" s="15" t="str">
        <f t="shared" si="108"/>
        <v/>
      </c>
      <c r="T442" s="15" t="str">
        <f t="shared" si="108"/>
        <v/>
      </c>
      <c r="U442" s="15" t="str">
        <f t="shared" si="108"/>
        <v/>
      </c>
      <c r="V442" s="15" t="str">
        <f t="shared" si="108"/>
        <v/>
      </c>
      <c r="W442" s="15" t="str">
        <f t="shared" si="108"/>
        <v/>
      </c>
      <c r="X442" s="15" t="str">
        <f t="shared" si="108"/>
        <v/>
      </c>
      <c r="Y442" s="15" t="str">
        <f t="shared" si="108"/>
        <v/>
      </c>
      <c r="Z442" s="15" t="str">
        <f t="shared" si="108"/>
        <v/>
      </c>
      <c r="AA442" s="15">
        <f t="shared" si="108"/>
        <v>35640</v>
      </c>
      <c r="AB442" s="15">
        <f t="shared" si="108"/>
        <v>43560</v>
      </c>
    </row>
    <row r="443" spans="1:28">
      <c r="A443" s="21">
        <v>2028</v>
      </c>
      <c r="B443" s="15">
        <f t="shared" ref="B443:AB443" si="109">IF(OR($A388&lt;=B365,$A388&gt;p_orizz),"",B364-Tz_netto*($A388&lt;=B362)-Cm_netto*($A388&lt;=B363)-B373*IF($A388&gt;B375,1,IF($A388=B375,(13-B376)/12,0))-B374*IF($A388&gt;B377,1,IF($A388=B377,(13-B378)/12,0)))</f>
        <v>39600</v>
      </c>
      <c r="C443" s="15" t="str">
        <f t="shared" si="109"/>
        <v/>
      </c>
      <c r="D443" s="15">
        <f t="shared" si="109"/>
        <v>16721.404307692308</v>
      </c>
      <c r="E443" s="15">
        <f t="shared" si="109"/>
        <v>39600</v>
      </c>
      <c r="F443" s="15">
        <f t="shared" si="109"/>
        <v>39600</v>
      </c>
      <c r="G443" s="15">
        <f t="shared" si="109"/>
        <v>39600</v>
      </c>
      <c r="H443" s="15">
        <f t="shared" si="109"/>
        <v>39600</v>
      </c>
      <c r="I443" s="15" t="str">
        <f t="shared" si="109"/>
        <v/>
      </c>
      <c r="J443" s="15" t="str">
        <f t="shared" si="109"/>
        <v/>
      </c>
      <c r="K443" s="15" t="str">
        <f t="shared" si="109"/>
        <v/>
      </c>
      <c r="L443" s="15" t="str">
        <f t="shared" si="109"/>
        <v/>
      </c>
      <c r="M443" s="15" t="str">
        <f t="shared" si="109"/>
        <v/>
      </c>
      <c r="N443" s="15" t="str">
        <f t="shared" si="109"/>
        <v/>
      </c>
      <c r="O443" s="15" t="str">
        <f t="shared" si="109"/>
        <v/>
      </c>
      <c r="P443" s="15" t="str">
        <f t="shared" si="109"/>
        <v/>
      </c>
      <c r="Q443" s="15" t="str">
        <f t="shared" si="109"/>
        <v/>
      </c>
      <c r="R443" s="15" t="str">
        <f t="shared" si="109"/>
        <v/>
      </c>
      <c r="S443" s="15" t="str">
        <f t="shared" si="109"/>
        <v/>
      </c>
      <c r="T443" s="15" t="str">
        <f t="shared" si="109"/>
        <v/>
      </c>
      <c r="U443" s="15" t="str">
        <f t="shared" si="109"/>
        <v/>
      </c>
      <c r="V443" s="15" t="str">
        <f t="shared" si="109"/>
        <v/>
      </c>
      <c r="W443" s="15" t="str">
        <f t="shared" si="109"/>
        <v/>
      </c>
      <c r="X443" s="15" t="str">
        <f t="shared" si="109"/>
        <v/>
      </c>
      <c r="Y443" s="15" t="str">
        <f t="shared" si="109"/>
        <v/>
      </c>
      <c r="Z443" s="15" t="str">
        <f t="shared" si="109"/>
        <v/>
      </c>
      <c r="AA443" s="15">
        <f t="shared" si="109"/>
        <v>35640</v>
      </c>
      <c r="AB443" s="15">
        <f t="shared" si="109"/>
        <v>43560</v>
      </c>
    </row>
    <row r="444" spans="1:28">
      <c r="A444" s="21">
        <v>2029</v>
      </c>
      <c r="B444" s="15">
        <f t="shared" ref="B444:AB444" si="110">IF(OR($A389&lt;=B365,$A389&gt;p_orizz),"",B364-Tz_netto*($A389&lt;=B362)-Cm_netto*($A389&lt;=B363)-B373*IF($A389&gt;B375,1,IF($A389=B375,(13-B376)/12,0))-B374*IF($A389&gt;B377,1,IF($A389=B377,(13-B378)/12,0)))</f>
        <v>39600</v>
      </c>
      <c r="C444" s="15" t="str">
        <f t="shared" si="110"/>
        <v/>
      </c>
      <c r="D444" s="15">
        <f t="shared" si="110"/>
        <v>16721.404307692308</v>
      </c>
      <c r="E444" s="15">
        <f t="shared" si="110"/>
        <v>39600</v>
      </c>
      <c r="F444" s="15">
        <f t="shared" si="110"/>
        <v>39600</v>
      </c>
      <c r="G444" s="15">
        <f t="shared" si="110"/>
        <v>39600</v>
      </c>
      <c r="H444" s="15">
        <f t="shared" si="110"/>
        <v>39600</v>
      </c>
      <c r="I444" s="15">
        <f t="shared" si="110"/>
        <v>39600</v>
      </c>
      <c r="J444" s="15" t="str">
        <f t="shared" si="110"/>
        <v/>
      </c>
      <c r="K444" s="15" t="str">
        <f t="shared" si="110"/>
        <v/>
      </c>
      <c r="L444" s="15" t="str">
        <f t="shared" si="110"/>
        <v/>
      </c>
      <c r="M444" s="15" t="str">
        <f t="shared" si="110"/>
        <v/>
      </c>
      <c r="N444" s="15" t="str">
        <f t="shared" si="110"/>
        <v/>
      </c>
      <c r="O444" s="15" t="str">
        <f t="shared" si="110"/>
        <v/>
      </c>
      <c r="P444" s="15" t="str">
        <f t="shared" si="110"/>
        <v/>
      </c>
      <c r="Q444" s="15" t="str">
        <f t="shared" si="110"/>
        <v/>
      </c>
      <c r="R444" s="15" t="str">
        <f t="shared" si="110"/>
        <v/>
      </c>
      <c r="S444" s="15" t="str">
        <f t="shared" si="110"/>
        <v/>
      </c>
      <c r="T444" s="15" t="str">
        <f t="shared" si="110"/>
        <v/>
      </c>
      <c r="U444" s="15" t="str">
        <f t="shared" si="110"/>
        <v/>
      </c>
      <c r="V444" s="15" t="str">
        <f t="shared" si="110"/>
        <v/>
      </c>
      <c r="W444" s="15" t="str">
        <f t="shared" si="110"/>
        <v/>
      </c>
      <c r="X444" s="15" t="str">
        <f t="shared" si="110"/>
        <v/>
      </c>
      <c r="Y444" s="15" t="str">
        <f t="shared" si="110"/>
        <v/>
      </c>
      <c r="Z444" s="15" t="str">
        <f t="shared" si="110"/>
        <v/>
      </c>
      <c r="AA444" s="15">
        <f t="shared" si="110"/>
        <v>35640</v>
      </c>
      <c r="AB444" s="15">
        <f t="shared" si="110"/>
        <v>43560</v>
      </c>
    </row>
    <row r="445" spans="1:28">
      <c r="A445" s="21">
        <v>2030</v>
      </c>
      <c r="B445" s="15">
        <f t="shared" ref="B445:AB445" si="111">IF(OR($A390&lt;=B365,$A390&gt;p_orizz),"",B364-Tz_netto*($A390&lt;=B362)-Cm_netto*($A390&lt;=B363)-B373*IF($A390&gt;B375,1,IF($A390=B375,(13-B376)/12,0))-B374*IF($A390&gt;B377,1,IF($A390=B377,(13-B378)/12,0)))</f>
        <v>39600</v>
      </c>
      <c r="C445" s="15">
        <f t="shared" si="111"/>
        <v>39600</v>
      </c>
      <c r="D445" s="15">
        <f t="shared" si="111"/>
        <v>16721.404307692308</v>
      </c>
      <c r="E445" s="15">
        <f t="shared" si="111"/>
        <v>39600</v>
      </c>
      <c r="F445" s="15">
        <f t="shared" si="111"/>
        <v>39600</v>
      </c>
      <c r="G445" s="15">
        <f t="shared" si="111"/>
        <v>39600</v>
      </c>
      <c r="H445" s="15">
        <f t="shared" si="111"/>
        <v>39600</v>
      </c>
      <c r="I445" s="15">
        <f t="shared" si="111"/>
        <v>39600</v>
      </c>
      <c r="J445" s="15">
        <f t="shared" si="111"/>
        <v>39600</v>
      </c>
      <c r="K445" s="15" t="str">
        <f t="shared" si="111"/>
        <v/>
      </c>
      <c r="L445" s="15" t="str">
        <f t="shared" si="111"/>
        <v/>
      </c>
      <c r="M445" s="15" t="str">
        <f t="shared" si="111"/>
        <v/>
      </c>
      <c r="N445" s="15" t="str">
        <f t="shared" si="111"/>
        <v/>
      </c>
      <c r="O445" s="15" t="str">
        <f t="shared" si="111"/>
        <v/>
      </c>
      <c r="P445" s="15" t="str">
        <f t="shared" si="111"/>
        <v/>
      </c>
      <c r="Q445" s="15" t="str">
        <f t="shared" si="111"/>
        <v/>
      </c>
      <c r="R445" s="15" t="str">
        <f t="shared" si="111"/>
        <v/>
      </c>
      <c r="S445" s="15" t="str">
        <f t="shared" si="111"/>
        <v/>
      </c>
      <c r="T445" s="15" t="str">
        <f t="shared" si="111"/>
        <v/>
      </c>
      <c r="U445" s="15" t="str">
        <f t="shared" si="111"/>
        <v/>
      </c>
      <c r="V445" s="15" t="str">
        <f t="shared" si="111"/>
        <v/>
      </c>
      <c r="W445" s="15" t="str">
        <f t="shared" si="111"/>
        <v/>
      </c>
      <c r="X445" s="15" t="str">
        <f t="shared" si="111"/>
        <v/>
      </c>
      <c r="Y445" s="15" t="str">
        <f t="shared" si="111"/>
        <v/>
      </c>
      <c r="Z445" s="15" t="str">
        <f t="shared" si="111"/>
        <v/>
      </c>
      <c r="AA445" s="15">
        <f t="shared" si="111"/>
        <v>35640</v>
      </c>
      <c r="AB445" s="15">
        <f t="shared" si="111"/>
        <v>43560</v>
      </c>
    </row>
    <row r="446" spans="1:28">
      <c r="A446" s="21">
        <v>2031</v>
      </c>
      <c r="B446" s="15">
        <f t="shared" ref="B446:AB446" si="112">IF(OR($A391&lt;=B365,$A391&gt;p_orizz),"",B364-Tz_netto*($A391&lt;=B362)-Cm_netto*($A391&lt;=B363)-B373*IF($A391&gt;B375,1,IF($A391=B375,(13-B376)/12,0))-B374*IF($A391&gt;B377,1,IF($A391=B377,(13-B378)/12,0)))</f>
        <v>39600</v>
      </c>
      <c r="C446" s="15">
        <f t="shared" si="112"/>
        <v>39600</v>
      </c>
      <c r="D446" s="15">
        <f t="shared" si="112"/>
        <v>16721.404307692308</v>
      </c>
      <c r="E446" s="15">
        <f t="shared" si="112"/>
        <v>39600</v>
      </c>
      <c r="F446" s="15">
        <f t="shared" si="112"/>
        <v>39600</v>
      </c>
      <c r="G446" s="15">
        <f t="shared" si="112"/>
        <v>39600</v>
      </c>
      <c r="H446" s="15">
        <f t="shared" si="112"/>
        <v>39600</v>
      </c>
      <c r="I446" s="15">
        <f t="shared" si="112"/>
        <v>39600</v>
      </c>
      <c r="J446" s="15">
        <f t="shared" si="112"/>
        <v>39600</v>
      </c>
      <c r="K446" s="15">
        <f t="shared" si="112"/>
        <v>39600</v>
      </c>
      <c r="L446" s="15" t="str">
        <f t="shared" si="112"/>
        <v/>
      </c>
      <c r="M446" s="15" t="str">
        <f t="shared" si="112"/>
        <v/>
      </c>
      <c r="N446" s="15" t="str">
        <f t="shared" si="112"/>
        <v/>
      </c>
      <c r="O446" s="15" t="str">
        <f t="shared" si="112"/>
        <v/>
      </c>
      <c r="P446" s="15" t="str">
        <f t="shared" si="112"/>
        <v/>
      </c>
      <c r="Q446" s="15" t="str">
        <f t="shared" si="112"/>
        <v/>
      </c>
      <c r="R446" s="15" t="str">
        <f t="shared" si="112"/>
        <v/>
      </c>
      <c r="S446" s="15" t="str">
        <f t="shared" si="112"/>
        <v/>
      </c>
      <c r="T446" s="15" t="str">
        <f t="shared" si="112"/>
        <v/>
      </c>
      <c r="U446" s="15" t="str">
        <f t="shared" si="112"/>
        <v/>
      </c>
      <c r="V446" s="15" t="str">
        <f t="shared" si="112"/>
        <v/>
      </c>
      <c r="W446" s="15" t="str">
        <f t="shared" si="112"/>
        <v/>
      </c>
      <c r="X446" s="15" t="str">
        <f t="shared" si="112"/>
        <v/>
      </c>
      <c r="Y446" s="15" t="str">
        <f t="shared" si="112"/>
        <v/>
      </c>
      <c r="Z446" s="15" t="str">
        <f t="shared" si="112"/>
        <v/>
      </c>
      <c r="AA446" s="15">
        <f t="shared" si="112"/>
        <v>35640</v>
      </c>
      <c r="AB446" s="15">
        <f t="shared" si="112"/>
        <v>43560</v>
      </c>
    </row>
    <row r="447" spans="1:28">
      <c r="A447" s="21">
        <v>2032</v>
      </c>
      <c r="B447" s="15">
        <f t="shared" ref="B447:AB447" si="113">IF(OR($A392&lt;=B365,$A392&gt;p_orizz),"",B364-Tz_netto*($A392&lt;=B362)-Cm_netto*($A392&lt;=B363)-B373*IF($A392&gt;B375,1,IF($A392=B375,(13-B376)/12,0))-B374*IF($A392&gt;B377,1,IF($A392=B377,(13-B378)/12,0)))</f>
        <v>39600</v>
      </c>
      <c r="C447" s="15">
        <f t="shared" si="113"/>
        <v>39600</v>
      </c>
      <c r="D447" s="15">
        <f t="shared" si="113"/>
        <v>16721.404307692308</v>
      </c>
      <c r="E447" s="15">
        <f t="shared" si="113"/>
        <v>39600</v>
      </c>
      <c r="F447" s="15">
        <f t="shared" si="113"/>
        <v>39600</v>
      </c>
      <c r="G447" s="15">
        <f t="shared" si="113"/>
        <v>39600</v>
      </c>
      <c r="H447" s="15">
        <f t="shared" si="113"/>
        <v>39600</v>
      </c>
      <c r="I447" s="15">
        <f t="shared" si="113"/>
        <v>39600</v>
      </c>
      <c r="J447" s="15">
        <f t="shared" si="113"/>
        <v>39600</v>
      </c>
      <c r="K447" s="15">
        <f t="shared" si="113"/>
        <v>39600</v>
      </c>
      <c r="L447" s="15">
        <f t="shared" si="113"/>
        <v>39600</v>
      </c>
      <c r="M447" s="15" t="str">
        <f t="shared" si="113"/>
        <v/>
      </c>
      <c r="N447" s="15" t="str">
        <f t="shared" si="113"/>
        <v/>
      </c>
      <c r="O447" s="15" t="str">
        <f t="shared" si="113"/>
        <v/>
      </c>
      <c r="P447" s="15" t="str">
        <f t="shared" si="113"/>
        <v/>
      </c>
      <c r="Q447" s="15" t="str">
        <f t="shared" si="113"/>
        <v/>
      </c>
      <c r="R447" s="15" t="str">
        <f t="shared" si="113"/>
        <v/>
      </c>
      <c r="S447" s="15" t="str">
        <f t="shared" si="113"/>
        <v/>
      </c>
      <c r="T447" s="15" t="str">
        <f t="shared" si="113"/>
        <v/>
      </c>
      <c r="U447" s="15" t="str">
        <f t="shared" si="113"/>
        <v/>
      </c>
      <c r="V447" s="15" t="str">
        <f t="shared" si="113"/>
        <v/>
      </c>
      <c r="W447" s="15" t="str">
        <f t="shared" si="113"/>
        <v/>
      </c>
      <c r="X447" s="15" t="str">
        <f t="shared" si="113"/>
        <v/>
      </c>
      <c r="Y447" s="15" t="str">
        <f t="shared" si="113"/>
        <v/>
      </c>
      <c r="Z447" s="15" t="str">
        <f t="shared" si="113"/>
        <v/>
      </c>
      <c r="AA447" s="15">
        <f t="shared" si="113"/>
        <v>35640</v>
      </c>
      <c r="AB447" s="15">
        <f t="shared" si="113"/>
        <v>43560</v>
      </c>
    </row>
    <row r="448" spans="1:28">
      <c r="A448" s="21">
        <v>2033</v>
      </c>
      <c r="B448" s="15">
        <f t="shared" ref="B448:AB448" si="114">IF(OR($A393&lt;=B365,$A393&gt;p_orizz),"",B364-Tz_netto*($A393&lt;=B362)-Cm_netto*($A393&lt;=B363)-B373*IF($A393&gt;B375,1,IF($A393=B375,(13-B376)/12,0))-B374*IF($A393&gt;B377,1,IF($A393=B377,(13-B378)/12,0)))</f>
        <v>39600</v>
      </c>
      <c r="C448" s="15">
        <f t="shared" si="114"/>
        <v>39600</v>
      </c>
      <c r="D448" s="15">
        <f t="shared" si="114"/>
        <v>16721.404307692308</v>
      </c>
      <c r="E448" s="15">
        <f t="shared" si="114"/>
        <v>39600</v>
      </c>
      <c r="F448" s="15">
        <f t="shared" si="114"/>
        <v>39600</v>
      </c>
      <c r="G448" s="15">
        <f t="shared" si="114"/>
        <v>39600</v>
      </c>
      <c r="H448" s="15">
        <f t="shared" si="114"/>
        <v>39600</v>
      </c>
      <c r="I448" s="15">
        <f t="shared" si="114"/>
        <v>39600</v>
      </c>
      <c r="J448" s="15">
        <f t="shared" si="114"/>
        <v>39600</v>
      </c>
      <c r="K448" s="15">
        <f t="shared" si="114"/>
        <v>39600</v>
      </c>
      <c r="L448" s="15">
        <f t="shared" si="114"/>
        <v>39600</v>
      </c>
      <c r="M448" s="15">
        <f t="shared" si="114"/>
        <v>39600</v>
      </c>
      <c r="N448" s="15" t="str">
        <f t="shared" si="114"/>
        <v/>
      </c>
      <c r="O448" s="15" t="str">
        <f t="shared" si="114"/>
        <v/>
      </c>
      <c r="P448" s="15" t="str">
        <f t="shared" si="114"/>
        <v/>
      </c>
      <c r="Q448" s="15" t="str">
        <f t="shared" si="114"/>
        <v/>
      </c>
      <c r="R448" s="15" t="str">
        <f t="shared" si="114"/>
        <v/>
      </c>
      <c r="S448" s="15" t="str">
        <f t="shared" si="114"/>
        <v/>
      </c>
      <c r="T448" s="15" t="str">
        <f t="shared" si="114"/>
        <v/>
      </c>
      <c r="U448" s="15" t="str">
        <f t="shared" si="114"/>
        <v/>
      </c>
      <c r="V448" s="15" t="str">
        <f t="shared" si="114"/>
        <v/>
      </c>
      <c r="W448" s="15" t="str">
        <f t="shared" si="114"/>
        <v/>
      </c>
      <c r="X448" s="15" t="str">
        <f t="shared" si="114"/>
        <v/>
      </c>
      <c r="Y448" s="15" t="str">
        <f t="shared" si="114"/>
        <v/>
      </c>
      <c r="Z448" s="15" t="str">
        <f t="shared" si="114"/>
        <v/>
      </c>
      <c r="AA448" s="15">
        <f t="shared" si="114"/>
        <v>35640</v>
      </c>
      <c r="AB448" s="15">
        <f t="shared" si="114"/>
        <v>43560</v>
      </c>
    </row>
    <row r="449" spans="1:28">
      <c r="A449" s="21">
        <v>2034</v>
      </c>
      <c r="B449" s="15">
        <f t="shared" ref="B449:AB449" si="115">IF(OR($A394&lt;=B365,$A394&gt;p_orizz),"",B364-Tz_netto*($A394&lt;=B362)-Cm_netto*($A394&lt;=B363)-B373*IF($A394&gt;B375,1,IF($A394=B375,(13-B376)/12,0))-B374*IF($A394&gt;B377,1,IF($A394=B377,(13-B378)/12,0)))</f>
        <v>39600</v>
      </c>
      <c r="C449" s="15">
        <f t="shared" si="115"/>
        <v>39600</v>
      </c>
      <c r="D449" s="15">
        <f t="shared" si="115"/>
        <v>39600</v>
      </c>
      <c r="E449" s="15">
        <f t="shared" si="115"/>
        <v>39600</v>
      </c>
      <c r="F449" s="15">
        <f t="shared" si="115"/>
        <v>39600</v>
      </c>
      <c r="G449" s="15">
        <f t="shared" si="115"/>
        <v>39600</v>
      </c>
      <c r="H449" s="15">
        <f t="shared" si="115"/>
        <v>39600</v>
      </c>
      <c r="I449" s="15">
        <f t="shared" si="115"/>
        <v>39600</v>
      </c>
      <c r="J449" s="15">
        <f t="shared" si="115"/>
        <v>39600</v>
      </c>
      <c r="K449" s="15">
        <f t="shared" si="115"/>
        <v>39600</v>
      </c>
      <c r="L449" s="15">
        <f t="shared" si="115"/>
        <v>39600</v>
      </c>
      <c r="M449" s="15">
        <f t="shared" si="115"/>
        <v>39600</v>
      </c>
      <c r="N449" s="15">
        <f t="shared" si="115"/>
        <v>39600</v>
      </c>
      <c r="O449" s="15" t="str">
        <f t="shared" si="115"/>
        <v/>
      </c>
      <c r="P449" s="15" t="str">
        <f t="shared" si="115"/>
        <v/>
      </c>
      <c r="Q449" s="15" t="str">
        <f t="shared" si="115"/>
        <v/>
      </c>
      <c r="R449" s="15" t="str">
        <f t="shared" si="115"/>
        <v/>
      </c>
      <c r="S449" s="15" t="str">
        <f t="shared" si="115"/>
        <v/>
      </c>
      <c r="T449" s="15" t="str">
        <f t="shared" si="115"/>
        <v/>
      </c>
      <c r="U449" s="15" t="str">
        <f t="shared" si="115"/>
        <v/>
      </c>
      <c r="V449" s="15" t="str">
        <f t="shared" si="115"/>
        <v/>
      </c>
      <c r="W449" s="15" t="str">
        <f t="shared" si="115"/>
        <v/>
      </c>
      <c r="X449" s="15" t="str">
        <f t="shared" si="115"/>
        <v/>
      </c>
      <c r="Y449" s="15" t="str">
        <f t="shared" si="115"/>
        <v/>
      </c>
      <c r="Z449" s="15" t="str">
        <f t="shared" si="115"/>
        <v/>
      </c>
      <c r="AA449" s="15">
        <f t="shared" si="115"/>
        <v>35640</v>
      </c>
      <c r="AB449" s="15">
        <f t="shared" si="115"/>
        <v>43560</v>
      </c>
    </row>
    <row r="450" spans="1:28">
      <c r="A450" s="21">
        <v>2035</v>
      </c>
      <c r="B450" s="15">
        <f t="shared" ref="B450:AB450" si="116">IF(OR($A395&lt;=B365,$A395&gt;p_orizz),"",B364-Tz_netto*($A395&lt;=B362)-Cm_netto*($A395&lt;=B363)-B373*IF($A395&gt;B375,1,IF($A395=B375,(13-B376)/12,0))-B374*IF($A395&gt;B377,1,IF($A395=B377,(13-B378)/12,0)))</f>
        <v>39600</v>
      </c>
      <c r="C450" s="15">
        <f t="shared" si="116"/>
        <v>39600</v>
      </c>
      <c r="D450" s="15">
        <f t="shared" si="116"/>
        <v>39600</v>
      </c>
      <c r="E450" s="15">
        <f t="shared" si="116"/>
        <v>39600</v>
      </c>
      <c r="F450" s="15">
        <f t="shared" si="116"/>
        <v>39600</v>
      </c>
      <c r="G450" s="15">
        <f t="shared" si="116"/>
        <v>39600</v>
      </c>
      <c r="H450" s="15">
        <f t="shared" si="116"/>
        <v>39600</v>
      </c>
      <c r="I450" s="15">
        <f t="shared" si="116"/>
        <v>39600</v>
      </c>
      <c r="J450" s="15">
        <f t="shared" si="116"/>
        <v>39600</v>
      </c>
      <c r="K450" s="15">
        <f t="shared" si="116"/>
        <v>39600</v>
      </c>
      <c r="L450" s="15">
        <f t="shared" si="116"/>
        <v>39600</v>
      </c>
      <c r="M450" s="15">
        <f t="shared" si="116"/>
        <v>39600</v>
      </c>
      <c r="N450" s="15">
        <f t="shared" si="116"/>
        <v>39600</v>
      </c>
      <c r="O450" s="15">
        <f t="shared" si="116"/>
        <v>39600</v>
      </c>
      <c r="P450" s="15" t="str">
        <f t="shared" si="116"/>
        <v/>
      </c>
      <c r="Q450" s="15" t="str">
        <f t="shared" si="116"/>
        <v/>
      </c>
      <c r="R450" s="15" t="str">
        <f t="shared" si="116"/>
        <v/>
      </c>
      <c r="S450" s="15" t="str">
        <f t="shared" si="116"/>
        <v/>
      </c>
      <c r="T450" s="15" t="str">
        <f t="shared" si="116"/>
        <v/>
      </c>
      <c r="U450" s="15" t="str">
        <f t="shared" si="116"/>
        <v/>
      </c>
      <c r="V450" s="15" t="str">
        <f t="shared" si="116"/>
        <v/>
      </c>
      <c r="W450" s="15" t="str">
        <f t="shared" si="116"/>
        <v/>
      </c>
      <c r="X450" s="15" t="str">
        <f t="shared" si="116"/>
        <v/>
      </c>
      <c r="Y450" s="15" t="str">
        <f t="shared" si="116"/>
        <v/>
      </c>
      <c r="Z450" s="15" t="str">
        <f t="shared" si="116"/>
        <v/>
      </c>
      <c r="AA450" s="15">
        <f t="shared" si="116"/>
        <v>35640</v>
      </c>
      <c r="AB450" s="15">
        <f t="shared" si="116"/>
        <v>43560</v>
      </c>
    </row>
    <row r="451" spans="1:28">
      <c r="A451" s="21">
        <v>2036</v>
      </c>
      <c r="B451" s="15">
        <f t="shared" ref="B451:AB451" si="117">IF(OR($A396&lt;=B365,$A396&gt;p_orizz),"",B364-Tz_netto*($A396&lt;=B362)-Cm_netto*($A396&lt;=B363)-B373*IF($A396&gt;B375,1,IF($A396=B375,(13-B376)/12,0))-B374*IF($A396&gt;B377,1,IF($A396=B377,(13-B378)/12,0)))</f>
        <v>39600</v>
      </c>
      <c r="C451" s="15">
        <f t="shared" si="117"/>
        <v>39600</v>
      </c>
      <c r="D451" s="15">
        <f t="shared" si="117"/>
        <v>39600</v>
      </c>
      <c r="E451" s="15">
        <f t="shared" si="117"/>
        <v>39600</v>
      </c>
      <c r="F451" s="15">
        <f t="shared" si="117"/>
        <v>39600</v>
      </c>
      <c r="G451" s="15">
        <f t="shared" si="117"/>
        <v>39600</v>
      </c>
      <c r="H451" s="15">
        <f t="shared" si="117"/>
        <v>39600</v>
      </c>
      <c r="I451" s="15">
        <f t="shared" si="117"/>
        <v>39600</v>
      </c>
      <c r="J451" s="15">
        <f t="shared" si="117"/>
        <v>39600</v>
      </c>
      <c r="K451" s="15">
        <f t="shared" si="117"/>
        <v>39600</v>
      </c>
      <c r="L451" s="15">
        <f t="shared" si="117"/>
        <v>39600</v>
      </c>
      <c r="M451" s="15">
        <f t="shared" si="117"/>
        <v>39600</v>
      </c>
      <c r="N451" s="15">
        <f t="shared" si="117"/>
        <v>39600</v>
      </c>
      <c r="O451" s="15">
        <f t="shared" si="117"/>
        <v>39600</v>
      </c>
      <c r="P451" s="15">
        <f t="shared" si="117"/>
        <v>39600</v>
      </c>
      <c r="Q451" s="15" t="str">
        <f t="shared" si="117"/>
        <v/>
      </c>
      <c r="R451" s="15" t="str">
        <f t="shared" si="117"/>
        <v/>
      </c>
      <c r="S451" s="15" t="str">
        <f t="shared" si="117"/>
        <v/>
      </c>
      <c r="T451" s="15" t="str">
        <f t="shared" si="117"/>
        <v/>
      </c>
      <c r="U451" s="15" t="str">
        <f t="shared" si="117"/>
        <v/>
      </c>
      <c r="V451" s="15" t="str">
        <f t="shared" si="117"/>
        <v/>
      </c>
      <c r="W451" s="15" t="str">
        <f t="shared" si="117"/>
        <v/>
      </c>
      <c r="X451" s="15" t="str">
        <f t="shared" si="117"/>
        <v/>
      </c>
      <c r="Y451" s="15" t="str">
        <f t="shared" si="117"/>
        <v/>
      </c>
      <c r="Z451" s="15" t="str">
        <f t="shared" si="117"/>
        <v/>
      </c>
      <c r="AA451" s="15">
        <f t="shared" si="117"/>
        <v>35640</v>
      </c>
      <c r="AB451" s="15">
        <f t="shared" si="117"/>
        <v>43560</v>
      </c>
    </row>
    <row r="452" spans="1:28">
      <c r="A452" s="21">
        <v>2037</v>
      </c>
      <c r="B452" s="15">
        <f t="shared" ref="B452:AB452" si="118">IF(OR($A397&lt;=B365,$A397&gt;p_orizz),"",B364-Tz_netto*($A397&lt;=B362)-Cm_netto*($A397&lt;=B363)-B373*IF($A397&gt;B375,1,IF($A397=B375,(13-B376)/12,0))-B374*IF($A397&gt;B377,1,IF($A397=B377,(13-B378)/12,0)))</f>
        <v>39600</v>
      </c>
      <c r="C452" s="15">
        <f t="shared" si="118"/>
        <v>39600</v>
      </c>
      <c r="D452" s="15">
        <f t="shared" si="118"/>
        <v>39600</v>
      </c>
      <c r="E452" s="15">
        <f t="shared" si="118"/>
        <v>39600</v>
      </c>
      <c r="F452" s="15">
        <f t="shared" si="118"/>
        <v>39600</v>
      </c>
      <c r="G452" s="15">
        <f t="shared" si="118"/>
        <v>39600</v>
      </c>
      <c r="H452" s="15">
        <f t="shared" si="118"/>
        <v>39600</v>
      </c>
      <c r="I452" s="15">
        <f t="shared" si="118"/>
        <v>39600</v>
      </c>
      <c r="J452" s="15">
        <f t="shared" si="118"/>
        <v>39600</v>
      </c>
      <c r="K452" s="15">
        <f t="shared" si="118"/>
        <v>39600</v>
      </c>
      <c r="L452" s="15">
        <f t="shared" si="118"/>
        <v>39600</v>
      </c>
      <c r="M452" s="15">
        <f t="shared" si="118"/>
        <v>39600</v>
      </c>
      <c r="N452" s="15">
        <f t="shared" si="118"/>
        <v>39600</v>
      </c>
      <c r="O452" s="15">
        <f t="shared" si="118"/>
        <v>39600</v>
      </c>
      <c r="P452" s="15">
        <f t="shared" si="118"/>
        <v>39600</v>
      </c>
      <c r="Q452" s="15">
        <f t="shared" si="118"/>
        <v>39600</v>
      </c>
      <c r="R452" s="15" t="str">
        <f t="shared" si="118"/>
        <v/>
      </c>
      <c r="S452" s="15" t="str">
        <f t="shared" si="118"/>
        <v/>
      </c>
      <c r="T452" s="15" t="str">
        <f t="shared" si="118"/>
        <v/>
      </c>
      <c r="U452" s="15" t="str">
        <f t="shared" si="118"/>
        <v/>
      </c>
      <c r="V452" s="15" t="str">
        <f t="shared" si="118"/>
        <v/>
      </c>
      <c r="W452" s="15" t="str">
        <f t="shared" si="118"/>
        <v/>
      </c>
      <c r="X452" s="15" t="str">
        <f t="shared" si="118"/>
        <v/>
      </c>
      <c r="Y452" s="15" t="str">
        <f t="shared" si="118"/>
        <v/>
      </c>
      <c r="Z452" s="15" t="str">
        <f t="shared" si="118"/>
        <v/>
      </c>
      <c r="AA452" s="15">
        <f t="shared" si="118"/>
        <v>35640</v>
      </c>
      <c r="AB452" s="15">
        <f t="shared" si="118"/>
        <v>43560</v>
      </c>
    </row>
    <row r="453" spans="1:28">
      <c r="A453" s="21">
        <v>2038</v>
      </c>
      <c r="B453" s="15">
        <f t="shared" ref="B453:AB453" si="119">IF(OR($A398&lt;=B365,$A398&gt;p_orizz),"",B364-Tz_netto*($A398&lt;=B362)-Cm_netto*($A398&lt;=B363)-B373*IF($A398&gt;B375,1,IF($A398=B375,(13-B376)/12,0))-B374*IF($A398&gt;B377,1,IF($A398=B377,(13-B378)/12,0)))</f>
        <v>39600</v>
      </c>
      <c r="C453" s="15">
        <f t="shared" si="119"/>
        <v>39600</v>
      </c>
      <c r="D453" s="15">
        <f t="shared" si="119"/>
        <v>39600</v>
      </c>
      <c r="E453" s="15">
        <f t="shared" si="119"/>
        <v>39600</v>
      </c>
      <c r="F453" s="15">
        <f t="shared" si="119"/>
        <v>39600</v>
      </c>
      <c r="G453" s="15">
        <f t="shared" si="119"/>
        <v>39600</v>
      </c>
      <c r="H453" s="15">
        <f t="shared" si="119"/>
        <v>39600</v>
      </c>
      <c r="I453" s="15">
        <f t="shared" si="119"/>
        <v>39600</v>
      </c>
      <c r="J453" s="15">
        <f t="shared" si="119"/>
        <v>39600</v>
      </c>
      <c r="K453" s="15">
        <f t="shared" si="119"/>
        <v>39600</v>
      </c>
      <c r="L453" s="15">
        <f t="shared" si="119"/>
        <v>39600</v>
      </c>
      <c r="M453" s="15">
        <f t="shared" si="119"/>
        <v>39600</v>
      </c>
      <c r="N453" s="15">
        <f t="shared" si="119"/>
        <v>39600</v>
      </c>
      <c r="O453" s="15">
        <f t="shared" si="119"/>
        <v>39600</v>
      </c>
      <c r="P453" s="15">
        <f t="shared" si="119"/>
        <v>39600</v>
      </c>
      <c r="Q453" s="15">
        <f t="shared" si="119"/>
        <v>39600</v>
      </c>
      <c r="R453" s="15">
        <f t="shared" si="119"/>
        <v>39600</v>
      </c>
      <c r="S453" s="15" t="str">
        <f t="shared" si="119"/>
        <v/>
      </c>
      <c r="T453" s="15" t="str">
        <f t="shared" si="119"/>
        <v/>
      </c>
      <c r="U453" s="15" t="str">
        <f t="shared" si="119"/>
        <v/>
      </c>
      <c r="V453" s="15" t="str">
        <f t="shared" si="119"/>
        <v/>
      </c>
      <c r="W453" s="15" t="str">
        <f t="shared" si="119"/>
        <v/>
      </c>
      <c r="X453" s="15" t="str">
        <f t="shared" si="119"/>
        <v/>
      </c>
      <c r="Y453" s="15" t="str">
        <f t="shared" si="119"/>
        <v/>
      </c>
      <c r="Z453" s="15" t="str">
        <f t="shared" si="119"/>
        <v/>
      </c>
      <c r="AA453" s="15">
        <f t="shared" si="119"/>
        <v>35640</v>
      </c>
      <c r="AB453" s="15">
        <f t="shared" si="119"/>
        <v>43560</v>
      </c>
    </row>
    <row r="454" spans="1:28">
      <c r="A454" s="21">
        <v>2039</v>
      </c>
      <c r="B454" s="15">
        <f t="shared" ref="B454:AB454" si="120">IF(OR($A399&lt;=B365,$A399&gt;p_orizz),"",B364-Tz_netto*($A399&lt;=B362)-Cm_netto*($A399&lt;=B363)-B373*IF($A399&gt;B375,1,IF($A399=B375,(13-B376)/12,0))-B374*IF($A399&gt;B377,1,IF($A399=B377,(13-B378)/12,0)))</f>
        <v>39600</v>
      </c>
      <c r="C454" s="15">
        <f t="shared" si="120"/>
        <v>39600</v>
      </c>
      <c r="D454" s="15">
        <f t="shared" si="120"/>
        <v>39600</v>
      </c>
      <c r="E454" s="15">
        <f t="shared" si="120"/>
        <v>39600</v>
      </c>
      <c r="F454" s="15">
        <f t="shared" si="120"/>
        <v>39600</v>
      </c>
      <c r="G454" s="15">
        <f t="shared" si="120"/>
        <v>39600</v>
      </c>
      <c r="H454" s="15">
        <f t="shared" si="120"/>
        <v>39600</v>
      </c>
      <c r="I454" s="15">
        <f t="shared" si="120"/>
        <v>39600</v>
      </c>
      <c r="J454" s="15">
        <f t="shared" si="120"/>
        <v>39600</v>
      </c>
      <c r="K454" s="15">
        <f t="shared" si="120"/>
        <v>39600</v>
      </c>
      <c r="L454" s="15">
        <f t="shared" si="120"/>
        <v>39600</v>
      </c>
      <c r="M454" s="15">
        <f t="shared" si="120"/>
        <v>39600</v>
      </c>
      <c r="N454" s="15">
        <f t="shared" si="120"/>
        <v>39600</v>
      </c>
      <c r="O454" s="15">
        <f t="shared" si="120"/>
        <v>39600</v>
      </c>
      <c r="P454" s="15">
        <f t="shared" si="120"/>
        <v>39600</v>
      </c>
      <c r="Q454" s="15">
        <f t="shared" si="120"/>
        <v>39600</v>
      </c>
      <c r="R454" s="15">
        <f t="shared" si="120"/>
        <v>39600</v>
      </c>
      <c r="S454" s="15">
        <f t="shared" si="120"/>
        <v>39600</v>
      </c>
      <c r="T454" s="15" t="str">
        <f t="shared" si="120"/>
        <v/>
      </c>
      <c r="U454" s="15" t="str">
        <f t="shared" si="120"/>
        <v/>
      </c>
      <c r="V454" s="15" t="str">
        <f t="shared" si="120"/>
        <v/>
      </c>
      <c r="W454" s="15" t="str">
        <f t="shared" si="120"/>
        <v/>
      </c>
      <c r="X454" s="15" t="str">
        <f t="shared" si="120"/>
        <v/>
      </c>
      <c r="Y454" s="15" t="str">
        <f t="shared" si="120"/>
        <v/>
      </c>
      <c r="Z454" s="15" t="str">
        <f t="shared" si="120"/>
        <v/>
      </c>
      <c r="AA454" s="15">
        <f t="shared" si="120"/>
        <v>35640</v>
      </c>
      <c r="AB454" s="15">
        <f t="shared" si="120"/>
        <v>43560</v>
      </c>
    </row>
    <row r="455" spans="1:28">
      <c r="A455" s="21">
        <v>2040</v>
      </c>
      <c r="B455" s="15">
        <f t="shared" ref="B455:AB455" si="121">IF(OR($A400&lt;=B365,$A400&gt;p_orizz),"",B364-Tz_netto*($A400&lt;=B362)-Cm_netto*($A400&lt;=B363)-B373*IF($A400&gt;B375,1,IF($A400=B375,(13-B376)/12,0))-B374*IF($A400&gt;B377,1,IF($A400=B377,(13-B378)/12,0)))</f>
        <v>39600</v>
      </c>
      <c r="C455" s="15">
        <f t="shared" si="121"/>
        <v>39600</v>
      </c>
      <c r="D455" s="15">
        <f t="shared" si="121"/>
        <v>39600</v>
      </c>
      <c r="E455" s="15">
        <f t="shared" si="121"/>
        <v>39600</v>
      </c>
      <c r="F455" s="15">
        <f t="shared" si="121"/>
        <v>39600</v>
      </c>
      <c r="G455" s="15">
        <f t="shared" si="121"/>
        <v>39600</v>
      </c>
      <c r="H455" s="15">
        <f t="shared" si="121"/>
        <v>39600</v>
      </c>
      <c r="I455" s="15">
        <f t="shared" si="121"/>
        <v>39600</v>
      </c>
      <c r="J455" s="15">
        <f t="shared" si="121"/>
        <v>39600</v>
      </c>
      <c r="K455" s="15">
        <f t="shared" si="121"/>
        <v>39600</v>
      </c>
      <c r="L455" s="15">
        <f t="shared" si="121"/>
        <v>39600</v>
      </c>
      <c r="M455" s="15">
        <f t="shared" si="121"/>
        <v>39600</v>
      </c>
      <c r="N455" s="15">
        <f t="shared" si="121"/>
        <v>39600</v>
      </c>
      <c r="O455" s="15">
        <f t="shared" si="121"/>
        <v>39600</v>
      </c>
      <c r="P455" s="15">
        <f t="shared" si="121"/>
        <v>39600</v>
      </c>
      <c r="Q455" s="15">
        <f t="shared" si="121"/>
        <v>39600</v>
      </c>
      <c r="R455" s="15">
        <f t="shared" si="121"/>
        <v>39600</v>
      </c>
      <c r="S455" s="15">
        <f t="shared" si="121"/>
        <v>39600</v>
      </c>
      <c r="T455" s="15">
        <f t="shared" si="121"/>
        <v>39600</v>
      </c>
      <c r="U455" s="15" t="str">
        <f t="shared" si="121"/>
        <v/>
      </c>
      <c r="V455" s="15" t="str">
        <f t="shared" si="121"/>
        <v/>
      </c>
      <c r="W455" s="15" t="str">
        <f t="shared" si="121"/>
        <v/>
      </c>
      <c r="X455" s="15" t="str">
        <f t="shared" si="121"/>
        <v/>
      </c>
      <c r="Y455" s="15" t="str">
        <f t="shared" si="121"/>
        <v/>
      </c>
      <c r="Z455" s="15" t="str">
        <f t="shared" si="121"/>
        <v/>
      </c>
      <c r="AA455" s="15">
        <f t="shared" si="121"/>
        <v>35640</v>
      </c>
      <c r="AB455" s="15">
        <f t="shared" si="121"/>
        <v>43560</v>
      </c>
    </row>
    <row r="456" spans="1:28">
      <c r="A456" s="21">
        <v>2041</v>
      </c>
      <c r="B456" s="15">
        <f t="shared" ref="B456:AB456" si="122">IF(OR($A401&lt;=B365,$A401&gt;p_orizz),"",B364-Tz_netto*($A401&lt;=B362)-Cm_netto*($A401&lt;=B363)-B373*IF($A401&gt;B375,1,IF($A401=B375,(13-B376)/12,0))-B374*IF($A401&gt;B377,1,IF($A401=B377,(13-B378)/12,0)))</f>
        <v>39600</v>
      </c>
      <c r="C456" s="15">
        <f t="shared" si="122"/>
        <v>39600</v>
      </c>
      <c r="D456" s="15">
        <f t="shared" si="122"/>
        <v>39600</v>
      </c>
      <c r="E456" s="15">
        <f t="shared" si="122"/>
        <v>39600</v>
      </c>
      <c r="F456" s="15">
        <f t="shared" si="122"/>
        <v>39600</v>
      </c>
      <c r="G456" s="15">
        <f t="shared" si="122"/>
        <v>39600</v>
      </c>
      <c r="H456" s="15">
        <f t="shared" si="122"/>
        <v>39600</v>
      </c>
      <c r="I456" s="15">
        <f t="shared" si="122"/>
        <v>39600</v>
      </c>
      <c r="J456" s="15">
        <f t="shared" si="122"/>
        <v>39600</v>
      </c>
      <c r="K456" s="15">
        <f t="shared" si="122"/>
        <v>39600</v>
      </c>
      <c r="L456" s="15">
        <f t="shared" si="122"/>
        <v>39600</v>
      </c>
      <c r="M456" s="15">
        <f t="shared" si="122"/>
        <v>39600</v>
      </c>
      <c r="N456" s="15">
        <f t="shared" si="122"/>
        <v>39600</v>
      </c>
      <c r="O456" s="15">
        <f t="shared" si="122"/>
        <v>39600</v>
      </c>
      <c r="P456" s="15">
        <f t="shared" si="122"/>
        <v>39600</v>
      </c>
      <c r="Q456" s="15">
        <f t="shared" si="122"/>
        <v>39600</v>
      </c>
      <c r="R456" s="15">
        <f t="shared" si="122"/>
        <v>39600</v>
      </c>
      <c r="S456" s="15">
        <f t="shared" si="122"/>
        <v>39600</v>
      </c>
      <c r="T456" s="15">
        <f t="shared" si="122"/>
        <v>39600</v>
      </c>
      <c r="U456" s="15">
        <f t="shared" si="122"/>
        <v>39600</v>
      </c>
      <c r="V456" s="15" t="str">
        <f t="shared" si="122"/>
        <v/>
      </c>
      <c r="W456" s="15" t="str">
        <f t="shared" si="122"/>
        <v/>
      </c>
      <c r="X456" s="15" t="str">
        <f t="shared" si="122"/>
        <v/>
      </c>
      <c r="Y456" s="15" t="str">
        <f t="shared" si="122"/>
        <v/>
      </c>
      <c r="Z456" s="15" t="str">
        <f t="shared" si="122"/>
        <v/>
      </c>
      <c r="AA456" s="15">
        <f t="shared" si="122"/>
        <v>35640</v>
      </c>
      <c r="AB456" s="15">
        <f t="shared" si="122"/>
        <v>43560</v>
      </c>
    </row>
    <row r="457" spans="1:28">
      <c r="A457" s="21">
        <v>2042</v>
      </c>
      <c r="B457" s="15">
        <f t="shared" ref="B457:AB457" si="123">IF(OR($A402&lt;=B365,$A402&gt;p_orizz),"",B364-Tz_netto*($A402&lt;=B362)-Cm_netto*($A402&lt;=B363)-B373*IF($A402&gt;B375,1,IF($A402=B375,(13-B376)/12,0))-B374*IF($A402&gt;B377,1,IF($A402=B377,(13-B378)/12,0)))</f>
        <v>39600</v>
      </c>
      <c r="C457" s="15">
        <f t="shared" si="123"/>
        <v>39600</v>
      </c>
      <c r="D457" s="15">
        <f t="shared" si="123"/>
        <v>39600</v>
      </c>
      <c r="E457" s="15">
        <f t="shared" si="123"/>
        <v>39600</v>
      </c>
      <c r="F457" s="15">
        <f t="shared" si="123"/>
        <v>39600</v>
      </c>
      <c r="G457" s="15">
        <f t="shared" si="123"/>
        <v>39600</v>
      </c>
      <c r="H457" s="15">
        <f t="shared" si="123"/>
        <v>39600</v>
      </c>
      <c r="I457" s="15">
        <f t="shared" si="123"/>
        <v>39600</v>
      </c>
      <c r="J457" s="15">
        <f t="shared" si="123"/>
        <v>39600</v>
      </c>
      <c r="K457" s="15">
        <f t="shared" si="123"/>
        <v>39600</v>
      </c>
      <c r="L457" s="15">
        <f t="shared" si="123"/>
        <v>39600</v>
      </c>
      <c r="M457" s="15">
        <f t="shared" si="123"/>
        <v>39600</v>
      </c>
      <c r="N457" s="15">
        <f t="shared" si="123"/>
        <v>39600</v>
      </c>
      <c r="O457" s="15">
        <f t="shared" si="123"/>
        <v>39600</v>
      </c>
      <c r="P457" s="15">
        <f t="shared" si="123"/>
        <v>39600</v>
      </c>
      <c r="Q457" s="15">
        <f t="shared" si="123"/>
        <v>39600</v>
      </c>
      <c r="R457" s="15">
        <f t="shared" si="123"/>
        <v>39600</v>
      </c>
      <c r="S457" s="15">
        <f t="shared" si="123"/>
        <v>39600</v>
      </c>
      <c r="T457" s="15">
        <f t="shared" si="123"/>
        <v>39600</v>
      </c>
      <c r="U457" s="15">
        <f t="shared" si="123"/>
        <v>39600</v>
      </c>
      <c r="V457" s="15">
        <f t="shared" si="123"/>
        <v>39600</v>
      </c>
      <c r="W457" s="15" t="str">
        <f t="shared" si="123"/>
        <v/>
      </c>
      <c r="X457" s="15" t="str">
        <f t="shared" si="123"/>
        <v/>
      </c>
      <c r="Y457" s="15" t="str">
        <f t="shared" si="123"/>
        <v/>
      </c>
      <c r="Z457" s="15" t="str">
        <f t="shared" si="123"/>
        <v/>
      </c>
      <c r="AA457" s="15">
        <f t="shared" si="123"/>
        <v>35640</v>
      </c>
      <c r="AB457" s="15">
        <f t="shared" si="123"/>
        <v>43560</v>
      </c>
    </row>
    <row r="458" spans="1:28">
      <c r="A458" s="21">
        <v>2043</v>
      </c>
      <c r="B458" s="15">
        <f t="shared" ref="B458:AB458" si="124">IF(OR($A403&lt;=B365,$A403&gt;p_orizz),"",B364-Tz_netto*($A403&lt;=B362)-Cm_netto*($A403&lt;=B363)-B373*IF($A403&gt;B375,1,IF($A403=B375,(13-B376)/12,0))-B374*IF($A403&gt;B377,1,IF($A403=B377,(13-B378)/12,0)))</f>
        <v>39600</v>
      </c>
      <c r="C458" s="15">
        <f t="shared" si="124"/>
        <v>39600</v>
      </c>
      <c r="D458" s="15">
        <f t="shared" si="124"/>
        <v>39600</v>
      </c>
      <c r="E458" s="15">
        <f t="shared" si="124"/>
        <v>39600</v>
      </c>
      <c r="F458" s="15">
        <f t="shared" si="124"/>
        <v>39600</v>
      </c>
      <c r="G458" s="15">
        <f t="shared" si="124"/>
        <v>39600</v>
      </c>
      <c r="H458" s="15">
        <f t="shared" si="124"/>
        <v>39600</v>
      </c>
      <c r="I458" s="15">
        <f t="shared" si="124"/>
        <v>39600</v>
      </c>
      <c r="J458" s="15">
        <f t="shared" si="124"/>
        <v>39600</v>
      </c>
      <c r="K458" s="15">
        <f t="shared" si="124"/>
        <v>39600</v>
      </c>
      <c r="L458" s="15">
        <f t="shared" si="124"/>
        <v>39600</v>
      </c>
      <c r="M458" s="15">
        <f t="shared" si="124"/>
        <v>39600</v>
      </c>
      <c r="N458" s="15">
        <f t="shared" si="124"/>
        <v>39600</v>
      </c>
      <c r="O458" s="15">
        <f t="shared" si="124"/>
        <v>39600</v>
      </c>
      <c r="P458" s="15">
        <f t="shared" si="124"/>
        <v>39600</v>
      </c>
      <c r="Q458" s="15">
        <f t="shared" si="124"/>
        <v>39600</v>
      </c>
      <c r="R458" s="15">
        <f t="shared" si="124"/>
        <v>39600</v>
      </c>
      <c r="S458" s="15">
        <f t="shared" si="124"/>
        <v>39600</v>
      </c>
      <c r="T458" s="15">
        <f t="shared" si="124"/>
        <v>39600</v>
      </c>
      <c r="U458" s="15">
        <f t="shared" si="124"/>
        <v>39600</v>
      </c>
      <c r="V458" s="15">
        <f t="shared" si="124"/>
        <v>39600</v>
      </c>
      <c r="W458" s="15">
        <f t="shared" si="124"/>
        <v>39600</v>
      </c>
      <c r="X458" s="15" t="str">
        <f t="shared" si="124"/>
        <v/>
      </c>
      <c r="Y458" s="15" t="str">
        <f t="shared" si="124"/>
        <v/>
      </c>
      <c r="Z458" s="15" t="str">
        <f t="shared" si="124"/>
        <v/>
      </c>
      <c r="AA458" s="15">
        <f t="shared" si="124"/>
        <v>35640</v>
      </c>
      <c r="AB458" s="15">
        <f t="shared" si="124"/>
        <v>43560</v>
      </c>
    </row>
    <row r="459" spans="1:28">
      <c r="A459" s="21">
        <v>2044</v>
      </c>
      <c r="B459" s="15">
        <f t="shared" ref="B459:AB459" si="125">IF(OR($A404&lt;=B365,$A404&gt;p_orizz),"",B364-Tz_netto*($A404&lt;=B362)-Cm_netto*($A404&lt;=B363)-B373*IF($A404&gt;B375,1,IF($A404=B375,(13-B376)/12,0))-B374*IF($A404&gt;B377,1,IF($A404=B377,(13-B378)/12,0)))</f>
        <v>39600</v>
      </c>
      <c r="C459" s="15">
        <f t="shared" si="125"/>
        <v>39600</v>
      </c>
      <c r="D459" s="15">
        <f t="shared" si="125"/>
        <v>39600</v>
      </c>
      <c r="E459" s="15">
        <f t="shared" si="125"/>
        <v>39600</v>
      </c>
      <c r="F459" s="15">
        <f t="shared" si="125"/>
        <v>39600</v>
      </c>
      <c r="G459" s="15">
        <f t="shared" si="125"/>
        <v>39600</v>
      </c>
      <c r="H459" s="15">
        <f t="shared" si="125"/>
        <v>39600</v>
      </c>
      <c r="I459" s="15">
        <f t="shared" si="125"/>
        <v>39600</v>
      </c>
      <c r="J459" s="15">
        <f t="shared" si="125"/>
        <v>39600</v>
      </c>
      <c r="K459" s="15">
        <f t="shared" si="125"/>
        <v>39600</v>
      </c>
      <c r="L459" s="15">
        <f t="shared" si="125"/>
        <v>39600</v>
      </c>
      <c r="M459" s="15">
        <f t="shared" si="125"/>
        <v>39600</v>
      </c>
      <c r="N459" s="15">
        <f t="shared" si="125"/>
        <v>39600</v>
      </c>
      <c r="O459" s="15">
        <f t="shared" si="125"/>
        <v>39600</v>
      </c>
      <c r="P459" s="15">
        <f t="shared" si="125"/>
        <v>39600</v>
      </c>
      <c r="Q459" s="15">
        <f t="shared" si="125"/>
        <v>39600</v>
      </c>
      <c r="R459" s="15">
        <f t="shared" si="125"/>
        <v>39600</v>
      </c>
      <c r="S459" s="15">
        <f t="shared" si="125"/>
        <v>39600</v>
      </c>
      <c r="T459" s="15">
        <f t="shared" si="125"/>
        <v>39600</v>
      </c>
      <c r="U459" s="15">
        <f t="shared" si="125"/>
        <v>39600</v>
      </c>
      <c r="V459" s="15">
        <f t="shared" si="125"/>
        <v>39600</v>
      </c>
      <c r="W459" s="15">
        <f t="shared" si="125"/>
        <v>39600</v>
      </c>
      <c r="X459" s="15">
        <f t="shared" si="125"/>
        <v>39600</v>
      </c>
      <c r="Y459" s="15" t="str">
        <f t="shared" si="125"/>
        <v/>
      </c>
      <c r="Z459" s="15" t="str">
        <f t="shared" si="125"/>
        <v/>
      </c>
      <c r="AA459" s="15">
        <f t="shared" si="125"/>
        <v>35640</v>
      </c>
      <c r="AB459" s="15">
        <f t="shared" si="125"/>
        <v>43560</v>
      </c>
    </row>
    <row r="460" spans="1:28">
      <c r="A460" s="21">
        <v>2045</v>
      </c>
      <c r="B460" s="15">
        <f t="shared" ref="B460:AB460" si="126">IF(OR($A405&lt;=B365,$A405&gt;p_orizz),"",B364-Tz_netto*($A405&lt;=B362)-Cm_netto*($A405&lt;=B363)-B373*IF($A405&gt;B375,1,IF($A405=B375,(13-B376)/12,0))-B374*IF($A405&gt;B377,1,IF($A405=B377,(13-B378)/12,0)))</f>
        <v>39600</v>
      </c>
      <c r="C460" s="15">
        <f t="shared" si="126"/>
        <v>39600</v>
      </c>
      <c r="D460" s="15">
        <f t="shared" si="126"/>
        <v>39600</v>
      </c>
      <c r="E460" s="15">
        <f t="shared" si="126"/>
        <v>39600</v>
      </c>
      <c r="F460" s="15">
        <f t="shared" si="126"/>
        <v>39600</v>
      </c>
      <c r="G460" s="15">
        <f t="shared" si="126"/>
        <v>39600</v>
      </c>
      <c r="H460" s="15">
        <f t="shared" si="126"/>
        <v>39600</v>
      </c>
      <c r="I460" s="15">
        <f t="shared" si="126"/>
        <v>39600</v>
      </c>
      <c r="J460" s="15">
        <f t="shared" si="126"/>
        <v>39600</v>
      </c>
      <c r="K460" s="15">
        <f t="shared" si="126"/>
        <v>39600</v>
      </c>
      <c r="L460" s="15">
        <f t="shared" si="126"/>
        <v>39600</v>
      </c>
      <c r="M460" s="15">
        <f t="shared" si="126"/>
        <v>39600</v>
      </c>
      <c r="N460" s="15">
        <f t="shared" si="126"/>
        <v>39600</v>
      </c>
      <c r="O460" s="15">
        <f t="shared" si="126"/>
        <v>39600</v>
      </c>
      <c r="P460" s="15">
        <f t="shared" si="126"/>
        <v>39600</v>
      </c>
      <c r="Q460" s="15">
        <f t="shared" si="126"/>
        <v>39600</v>
      </c>
      <c r="R460" s="15">
        <f t="shared" si="126"/>
        <v>39600</v>
      </c>
      <c r="S460" s="15">
        <f t="shared" si="126"/>
        <v>39600</v>
      </c>
      <c r="T460" s="15">
        <f t="shared" si="126"/>
        <v>39600</v>
      </c>
      <c r="U460" s="15">
        <f t="shared" si="126"/>
        <v>39600</v>
      </c>
      <c r="V460" s="15">
        <f t="shared" si="126"/>
        <v>39600</v>
      </c>
      <c r="W460" s="15">
        <f t="shared" si="126"/>
        <v>39600</v>
      </c>
      <c r="X460" s="15">
        <f t="shared" si="126"/>
        <v>39600</v>
      </c>
      <c r="Y460" s="15">
        <f t="shared" si="126"/>
        <v>39600</v>
      </c>
      <c r="Z460" s="15" t="str">
        <f t="shared" si="126"/>
        <v/>
      </c>
      <c r="AA460" s="15">
        <f t="shared" si="126"/>
        <v>35640</v>
      </c>
      <c r="AB460" s="15">
        <f t="shared" si="126"/>
        <v>43560</v>
      </c>
    </row>
    <row r="461" spans="1:28">
      <c r="A461" s="21">
        <v>2046</v>
      </c>
      <c r="B461" s="15">
        <f t="shared" ref="B461:AB461" si="127">IF(OR($A406&lt;=B365,$A406&gt;p_orizz),"",B364-Tz_netto*($A406&lt;=B362)-Cm_netto*($A406&lt;=B363)-B373*IF($A406&gt;B375,1,IF($A406=B375,(13-B376)/12,0))-B374*IF($A406&gt;B377,1,IF($A406=B377,(13-B378)/12,0)))</f>
        <v>38050.203036868224</v>
      </c>
      <c r="C461" s="15">
        <f t="shared" si="127"/>
        <v>37846.550771671747</v>
      </c>
      <c r="D461" s="15">
        <f t="shared" si="127"/>
        <v>38050.203036868224</v>
      </c>
      <c r="E461" s="15">
        <f t="shared" si="127"/>
        <v>37983.375915482808</v>
      </c>
      <c r="F461" s="15">
        <f t="shared" si="127"/>
        <v>38050.203036868224</v>
      </c>
      <c r="G461" s="15">
        <f t="shared" si="127"/>
        <v>38050.203036868224</v>
      </c>
      <c r="H461" s="15">
        <f t="shared" si="127"/>
        <v>37983.375915482808</v>
      </c>
      <c r="I461" s="15">
        <f t="shared" si="127"/>
        <v>37912.714600671447</v>
      </c>
      <c r="J461" s="15">
        <f t="shared" si="127"/>
        <v>37846.550771671747</v>
      </c>
      <c r="K461" s="15">
        <f t="shared" si="127"/>
        <v>37781.383572278901</v>
      </c>
      <c r="L461" s="15">
        <f t="shared" si="127"/>
        <v>37726.488267585148</v>
      </c>
      <c r="M461" s="15">
        <f t="shared" si="127"/>
        <v>37667.720136878263</v>
      </c>
      <c r="N461" s="15">
        <f t="shared" si="127"/>
        <v>37609.244384931117</v>
      </c>
      <c r="O461" s="15">
        <f t="shared" si="127"/>
        <v>37551.059557123008</v>
      </c>
      <c r="P461" s="15">
        <f t="shared" si="127"/>
        <v>37493.164206070163</v>
      </c>
      <c r="Q461" s="15">
        <f t="shared" si="127"/>
        <v>37435.556891589724</v>
      </c>
      <c r="R461" s="15">
        <f t="shared" si="127"/>
        <v>37378.236180663909</v>
      </c>
      <c r="S461" s="15">
        <f t="shared" si="127"/>
        <v>37321.200647404403</v>
      </c>
      <c r="T461" s="15">
        <f t="shared" si="127"/>
        <v>37264.448873016823</v>
      </c>
      <c r="U461" s="15">
        <f t="shared" si="127"/>
        <v>37207.979445765501</v>
      </c>
      <c r="V461" s="15">
        <f t="shared" si="127"/>
        <v>37151.79096093832</v>
      </c>
      <c r="W461" s="15">
        <f t="shared" si="127"/>
        <v>37095.882020811769</v>
      </c>
      <c r="X461" s="15">
        <f t="shared" si="127"/>
        <v>37040.251234616197</v>
      </c>
      <c r="Y461" s="15">
        <f t="shared" si="127"/>
        <v>36984.897218501195</v>
      </c>
      <c r="Z461" s="15">
        <f t="shared" si="127"/>
        <v>36929.818595501201</v>
      </c>
      <c r="AA461" s="15">
        <f t="shared" si="127"/>
        <v>34090.203036868224</v>
      </c>
      <c r="AB461" s="15">
        <f t="shared" si="127"/>
        <v>42010.203036868224</v>
      </c>
    </row>
    <row r="462" spans="1:28">
      <c r="A462" s="21">
        <v>2047</v>
      </c>
      <c r="B462" s="15">
        <f t="shared" ref="B462:AB462" si="128">IF(OR($A407&lt;=B365,$A407&gt;p_orizz),"",B364-Tz_netto*($A407&lt;=B362)-Cm_netto*($A407&lt;=B363)-B373*IF($A407&gt;B375,1,IF($A407=B375,(13-B376)/12,0))-B374*IF($A407&gt;B377,1,IF($A407=B377,(13-B378)/12,0)))</f>
        <v>21002.436442418701</v>
      </c>
      <c r="C462" s="15">
        <f t="shared" si="128"/>
        <v>18558.609260060999</v>
      </c>
      <c r="D462" s="15">
        <f t="shared" si="128"/>
        <v>21002.436442418701</v>
      </c>
      <c r="E462" s="15">
        <f t="shared" si="128"/>
        <v>20200.51098579368</v>
      </c>
      <c r="F462" s="15">
        <f t="shared" si="128"/>
        <v>21002.436442418701</v>
      </c>
      <c r="G462" s="15">
        <f t="shared" si="128"/>
        <v>21002.436442418701</v>
      </c>
      <c r="H462" s="15">
        <f t="shared" si="128"/>
        <v>20200.51098579368</v>
      </c>
      <c r="I462" s="15">
        <f t="shared" si="128"/>
        <v>19352.575208057355</v>
      </c>
      <c r="J462" s="15">
        <f t="shared" si="128"/>
        <v>18558.609260060999</v>
      </c>
      <c r="K462" s="15">
        <f t="shared" si="128"/>
        <v>17776.602867346795</v>
      </c>
      <c r="L462" s="15">
        <f t="shared" si="128"/>
        <v>17117.859211021787</v>
      </c>
      <c r="M462" s="15">
        <f t="shared" si="128"/>
        <v>16412.641642539187</v>
      </c>
      <c r="N462" s="15">
        <f t="shared" si="128"/>
        <v>15710.9326191734</v>
      </c>
      <c r="O462" s="15">
        <f t="shared" si="128"/>
        <v>15012.714685476105</v>
      </c>
      <c r="P462" s="15">
        <f t="shared" si="128"/>
        <v>14317.970472841967</v>
      </c>
      <c r="Q462" s="15">
        <f t="shared" si="128"/>
        <v>13626.682699076679</v>
      </c>
      <c r="R462" s="15">
        <f t="shared" si="128"/>
        <v>12938.834167966928</v>
      </c>
      <c r="S462" s="15">
        <f t="shared" si="128"/>
        <v>12254.40776885279</v>
      </c>
      <c r="T462" s="15">
        <f t="shared" si="128"/>
        <v>11573.386476201867</v>
      </c>
      <c r="U462" s="15">
        <f t="shared" si="128"/>
        <v>10895.753349186038</v>
      </c>
      <c r="V462" s="15">
        <f t="shared" si="128"/>
        <v>10221.491531259842</v>
      </c>
      <c r="W462" s="15">
        <f t="shared" si="128"/>
        <v>9550.5842497412195</v>
      </c>
      <c r="X462" s="15">
        <f t="shared" si="128"/>
        <v>8883.0148153943192</v>
      </c>
      <c r="Y462" s="15">
        <f t="shared" si="128"/>
        <v>8218.7666220143583</v>
      </c>
      <c r="Z462" s="15">
        <f t="shared" si="128"/>
        <v>7557.8231460143725</v>
      </c>
      <c r="AA462" s="15">
        <f t="shared" si="128"/>
        <v>17042.436442418701</v>
      </c>
      <c r="AB462" s="15">
        <f t="shared" si="128"/>
        <v>24962.436442418701</v>
      </c>
    </row>
    <row r="463" spans="1:28">
      <c r="A463" s="21">
        <v>2048</v>
      </c>
      <c r="B463" s="15">
        <f t="shared" ref="B463:AB463" si="129">IF(OR($A408&lt;=B365,$A408&gt;p_orizz),"",B364-Tz_netto*($A408&lt;=B362)-Cm_netto*($A408&lt;=B363)-B373*IF($A408&gt;B375,1,IF($A408=B375,(13-B376)/12,0))-B374*IF($A408&gt;B377,1,IF($A408=B377,(13-B378)/12,0)))</f>
        <v>21002.436442418701</v>
      </c>
      <c r="C463" s="15">
        <f t="shared" si="129"/>
        <v>18558.609260060999</v>
      </c>
      <c r="D463" s="15">
        <f t="shared" si="129"/>
        <v>21002.436442418701</v>
      </c>
      <c r="E463" s="15">
        <f t="shared" si="129"/>
        <v>20200.51098579368</v>
      </c>
      <c r="F463" s="15">
        <f t="shared" si="129"/>
        <v>21002.436442418701</v>
      </c>
      <c r="G463" s="15">
        <f t="shared" si="129"/>
        <v>21002.436442418701</v>
      </c>
      <c r="H463" s="15">
        <f t="shared" si="129"/>
        <v>20200.51098579368</v>
      </c>
      <c r="I463" s="15">
        <f t="shared" si="129"/>
        <v>19352.575208057355</v>
      </c>
      <c r="J463" s="15">
        <f t="shared" si="129"/>
        <v>18558.609260060999</v>
      </c>
      <c r="K463" s="15">
        <f t="shared" si="129"/>
        <v>17776.602867346795</v>
      </c>
      <c r="L463" s="15">
        <f t="shared" si="129"/>
        <v>17117.859211021787</v>
      </c>
      <c r="M463" s="15">
        <f t="shared" si="129"/>
        <v>16412.641642539187</v>
      </c>
      <c r="N463" s="15">
        <f t="shared" si="129"/>
        <v>15710.9326191734</v>
      </c>
      <c r="O463" s="15">
        <f t="shared" si="129"/>
        <v>15012.714685476105</v>
      </c>
      <c r="P463" s="15">
        <f t="shared" si="129"/>
        <v>14317.970472841967</v>
      </c>
      <c r="Q463" s="15">
        <f t="shared" si="129"/>
        <v>13626.682699076679</v>
      </c>
      <c r="R463" s="15">
        <f t="shared" si="129"/>
        <v>12938.834167966928</v>
      </c>
      <c r="S463" s="15">
        <f t="shared" si="129"/>
        <v>12254.40776885279</v>
      </c>
      <c r="T463" s="15">
        <f t="shared" si="129"/>
        <v>11573.386476201867</v>
      </c>
      <c r="U463" s="15">
        <f t="shared" si="129"/>
        <v>10895.753349186038</v>
      </c>
      <c r="V463" s="15">
        <f t="shared" si="129"/>
        <v>10221.491531259842</v>
      </c>
      <c r="W463" s="15">
        <f t="shared" si="129"/>
        <v>9550.5842497412195</v>
      </c>
      <c r="X463" s="15">
        <f t="shared" si="129"/>
        <v>8883.0148153943192</v>
      </c>
      <c r="Y463" s="15">
        <f t="shared" si="129"/>
        <v>8218.7666220143583</v>
      </c>
      <c r="Z463" s="15">
        <f t="shared" si="129"/>
        <v>7557.8231460143725</v>
      </c>
      <c r="AA463" s="15">
        <f t="shared" si="129"/>
        <v>17042.436442418701</v>
      </c>
      <c r="AB463" s="15">
        <f t="shared" si="129"/>
        <v>24962.436442418701</v>
      </c>
    </row>
    <row r="464" spans="1:28">
      <c r="A464" s="21">
        <v>2049</v>
      </c>
      <c r="B464" s="15">
        <f t="shared" ref="B464:AB464" si="130">IF(OR($A409&lt;=B365,$A409&gt;p_orizz),"",B364-Tz_netto*($A409&lt;=B362)-Cm_netto*($A409&lt;=B363)-B373*IF($A409&gt;B375,1,IF($A409=B375,(13-B376)/12,0))-B374*IF($A409&gt;B377,1,IF($A409=B377,(13-B378)/12,0)))</f>
        <v>21002.436442418701</v>
      </c>
      <c r="C464" s="15">
        <f t="shared" si="130"/>
        <v>18558.609260060999</v>
      </c>
      <c r="D464" s="15">
        <f t="shared" si="130"/>
        <v>21002.436442418701</v>
      </c>
      <c r="E464" s="15">
        <f t="shared" si="130"/>
        <v>20200.51098579368</v>
      </c>
      <c r="F464" s="15">
        <f t="shared" si="130"/>
        <v>21002.436442418701</v>
      </c>
      <c r="G464" s="15">
        <f t="shared" si="130"/>
        <v>21002.436442418701</v>
      </c>
      <c r="H464" s="15">
        <f t="shared" si="130"/>
        <v>20200.51098579368</v>
      </c>
      <c r="I464" s="15">
        <f t="shared" si="130"/>
        <v>19352.575208057355</v>
      </c>
      <c r="J464" s="15">
        <f t="shared" si="130"/>
        <v>18558.609260060999</v>
      </c>
      <c r="K464" s="15">
        <f t="shared" si="130"/>
        <v>17776.602867346795</v>
      </c>
      <c r="L464" s="15">
        <f t="shared" si="130"/>
        <v>17117.859211021787</v>
      </c>
      <c r="M464" s="15">
        <f t="shared" si="130"/>
        <v>16412.641642539187</v>
      </c>
      <c r="N464" s="15">
        <f t="shared" si="130"/>
        <v>15710.9326191734</v>
      </c>
      <c r="O464" s="15">
        <f t="shared" si="130"/>
        <v>15012.714685476105</v>
      </c>
      <c r="P464" s="15">
        <f t="shared" si="130"/>
        <v>14317.970472841967</v>
      </c>
      <c r="Q464" s="15">
        <f t="shared" si="130"/>
        <v>13626.682699076679</v>
      </c>
      <c r="R464" s="15">
        <f t="shared" si="130"/>
        <v>12938.834167966928</v>
      </c>
      <c r="S464" s="15">
        <f t="shared" si="130"/>
        <v>12254.40776885279</v>
      </c>
      <c r="T464" s="15">
        <f t="shared" si="130"/>
        <v>11573.386476201867</v>
      </c>
      <c r="U464" s="15">
        <f t="shared" si="130"/>
        <v>10895.753349186038</v>
      </c>
      <c r="V464" s="15">
        <f t="shared" si="130"/>
        <v>10221.491531259842</v>
      </c>
      <c r="W464" s="15">
        <f t="shared" si="130"/>
        <v>9550.5842497412195</v>
      </c>
      <c r="X464" s="15">
        <f t="shared" si="130"/>
        <v>8883.0148153943192</v>
      </c>
      <c r="Y464" s="15">
        <f t="shared" si="130"/>
        <v>8218.7666220143583</v>
      </c>
      <c r="Z464" s="15">
        <f t="shared" si="130"/>
        <v>7557.8231460143725</v>
      </c>
      <c r="AA464" s="15">
        <f t="shared" si="130"/>
        <v>17042.436442418701</v>
      </c>
      <c r="AB464" s="15">
        <f t="shared" si="130"/>
        <v>24962.436442418701</v>
      </c>
    </row>
    <row r="465" spans="1:28">
      <c r="A465" s="21">
        <v>2050</v>
      </c>
      <c r="B465" s="15">
        <f t="shared" ref="B465:AB465" si="131">IF(OR($A410&lt;=B365,$A410&gt;p_orizz),"",B364-Tz_netto*($A410&lt;=B362)-Cm_netto*($A410&lt;=B363)-B373*IF($A410&gt;B375,1,IF($A410=B375,(13-B376)/12,0))-B374*IF($A410&gt;B377,1,IF($A410=B377,(13-B378)/12,0)))</f>
        <v>21002.436442418701</v>
      </c>
      <c r="C465" s="15">
        <f t="shared" si="131"/>
        <v>18558.609260060999</v>
      </c>
      <c r="D465" s="15">
        <f t="shared" si="131"/>
        <v>21002.436442418701</v>
      </c>
      <c r="E465" s="15">
        <f t="shared" si="131"/>
        <v>20200.51098579368</v>
      </c>
      <c r="F465" s="15">
        <f t="shared" si="131"/>
        <v>21002.436442418701</v>
      </c>
      <c r="G465" s="15">
        <f t="shared" si="131"/>
        <v>21002.436442418701</v>
      </c>
      <c r="H465" s="15">
        <f t="shared" si="131"/>
        <v>20200.51098579368</v>
      </c>
      <c r="I465" s="15">
        <f t="shared" si="131"/>
        <v>19352.575208057355</v>
      </c>
      <c r="J465" s="15">
        <f t="shared" si="131"/>
        <v>18558.609260060999</v>
      </c>
      <c r="K465" s="15">
        <f t="shared" si="131"/>
        <v>17776.602867346795</v>
      </c>
      <c r="L465" s="15">
        <f t="shared" si="131"/>
        <v>17117.859211021787</v>
      </c>
      <c r="M465" s="15">
        <f t="shared" si="131"/>
        <v>16412.641642539187</v>
      </c>
      <c r="N465" s="15">
        <f t="shared" si="131"/>
        <v>15710.9326191734</v>
      </c>
      <c r="O465" s="15">
        <f t="shared" si="131"/>
        <v>15012.714685476105</v>
      </c>
      <c r="P465" s="15">
        <f t="shared" si="131"/>
        <v>14317.970472841967</v>
      </c>
      <c r="Q465" s="15">
        <f t="shared" si="131"/>
        <v>13626.682699076679</v>
      </c>
      <c r="R465" s="15">
        <f t="shared" si="131"/>
        <v>12938.834167966928</v>
      </c>
      <c r="S465" s="15">
        <f t="shared" si="131"/>
        <v>12254.40776885279</v>
      </c>
      <c r="T465" s="15">
        <f t="shared" si="131"/>
        <v>11573.386476201867</v>
      </c>
      <c r="U465" s="15">
        <f t="shared" si="131"/>
        <v>10895.753349186038</v>
      </c>
      <c r="V465" s="15">
        <f t="shared" si="131"/>
        <v>10221.491531259842</v>
      </c>
      <c r="W465" s="15">
        <f t="shared" si="131"/>
        <v>9550.5842497412195</v>
      </c>
      <c r="X465" s="15">
        <f t="shared" si="131"/>
        <v>8883.0148153943192</v>
      </c>
      <c r="Y465" s="15">
        <f t="shared" si="131"/>
        <v>8218.7666220143583</v>
      </c>
      <c r="Z465" s="15">
        <f t="shared" si="131"/>
        <v>7557.8231460143725</v>
      </c>
      <c r="AA465" s="15">
        <f t="shared" si="131"/>
        <v>17042.436442418701</v>
      </c>
      <c r="AB465" s="15">
        <f t="shared" si="131"/>
        <v>24962.436442418701</v>
      </c>
    </row>
    <row r="466" spans="1:28">
      <c r="A466" s="21">
        <v>2051</v>
      </c>
      <c r="B466" s="15">
        <f t="shared" ref="B466:AB466" si="132">IF(OR($A411&lt;=B365,$A411&gt;p_orizz),"",B364-Tz_netto*($A411&lt;=B362)-Cm_netto*($A411&lt;=B363)-B373*IF($A411&gt;B375,1,IF($A411=B375,(13-B376)/12,0))-B374*IF($A411&gt;B377,1,IF($A411=B377,(13-B378)/12,0)))</f>
        <v>21002.436442418701</v>
      </c>
      <c r="C466" s="15">
        <f t="shared" si="132"/>
        <v>18558.609260060999</v>
      </c>
      <c r="D466" s="15">
        <f t="shared" si="132"/>
        <v>21002.436442418701</v>
      </c>
      <c r="E466" s="15">
        <f t="shared" si="132"/>
        <v>20200.51098579368</v>
      </c>
      <c r="F466" s="15">
        <f t="shared" si="132"/>
        <v>21002.436442418701</v>
      </c>
      <c r="G466" s="15">
        <f t="shared" si="132"/>
        <v>21002.436442418701</v>
      </c>
      <c r="H466" s="15">
        <f t="shared" si="132"/>
        <v>20200.51098579368</v>
      </c>
      <c r="I466" s="15">
        <f t="shared" si="132"/>
        <v>19352.575208057355</v>
      </c>
      <c r="J466" s="15">
        <f t="shared" si="132"/>
        <v>18558.609260060999</v>
      </c>
      <c r="K466" s="15">
        <f t="shared" si="132"/>
        <v>17776.602867346795</v>
      </c>
      <c r="L466" s="15">
        <f t="shared" si="132"/>
        <v>17117.859211021787</v>
      </c>
      <c r="M466" s="15">
        <f t="shared" si="132"/>
        <v>16412.641642539187</v>
      </c>
      <c r="N466" s="15">
        <f t="shared" si="132"/>
        <v>15710.9326191734</v>
      </c>
      <c r="O466" s="15">
        <f t="shared" si="132"/>
        <v>15012.714685476105</v>
      </c>
      <c r="P466" s="15">
        <f t="shared" si="132"/>
        <v>14317.970472841967</v>
      </c>
      <c r="Q466" s="15">
        <f t="shared" si="132"/>
        <v>13626.682699076679</v>
      </c>
      <c r="R466" s="15">
        <f t="shared" si="132"/>
        <v>12938.834167966928</v>
      </c>
      <c r="S466" s="15">
        <f t="shared" si="132"/>
        <v>12254.40776885279</v>
      </c>
      <c r="T466" s="15">
        <f t="shared" si="132"/>
        <v>11573.386476201867</v>
      </c>
      <c r="U466" s="15">
        <f t="shared" si="132"/>
        <v>10895.753349186038</v>
      </c>
      <c r="V466" s="15">
        <f t="shared" si="132"/>
        <v>10221.491531259842</v>
      </c>
      <c r="W466" s="15">
        <f t="shared" si="132"/>
        <v>9550.5842497412195</v>
      </c>
      <c r="X466" s="15">
        <f t="shared" si="132"/>
        <v>8883.0148153943192</v>
      </c>
      <c r="Y466" s="15">
        <f t="shared" si="132"/>
        <v>8218.7666220143583</v>
      </c>
      <c r="Z466" s="15">
        <f t="shared" si="132"/>
        <v>7557.8231460143725</v>
      </c>
      <c r="AA466" s="15">
        <f t="shared" si="132"/>
        <v>17042.436442418701</v>
      </c>
      <c r="AB466" s="15">
        <f t="shared" si="132"/>
        <v>24962.436442418701</v>
      </c>
    </row>
    <row r="467" spans="1:28">
      <c r="A467" s="21">
        <v>2052</v>
      </c>
      <c r="B467" s="15">
        <f t="shared" ref="B467:AB467" si="133">IF(OR($A412&lt;=B365,$A412&gt;p_orizz),"",B364-Tz_netto*($A412&lt;=B362)-Cm_netto*($A412&lt;=B363)-B373*IF($A412&gt;B375,1,IF($A412=B375,(13-B376)/12,0))-B374*IF($A412&gt;B377,1,IF($A412=B377,(13-B378)/12,0)))</f>
        <v>21002.436442418701</v>
      </c>
      <c r="C467" s="15">
        <f t="shared" si="133"/>
        <v>17618.829321565547</v>
      </c>
      <c r="D467" s="15">
        <f t="shared" si="133"/>
        <v>19915.296164013966</v>
      </c>
      <c r="E467" s="15">
        <f t="shared" si="133"/>
        <v>20200.51098579368</v>
      </c>
      <c r="F467" s="15">
        <f t="shared" si="133"/>
        <v>20137.446481426374</v>
      </c>
      <c r="G467" s="15">
        <f t="shared" si="133"/>
        <v>21002.436442418701</v>
      </c>
      <c r="H467" s="15">
        <f t="shared" si="133"/>
        <v>19335.521024801354</v>
      </c>
      <c r="I467" s="15">
        <f t="shared" si="133"/>
        <v>18450.097003977426</v>
      </c>
      <c r="J467" s="15">
        <f t="shared" si="133"/>
        <v>17618.829321565547</v>
      </c>
      <c r="K467" s="15">
        <f t="shared" si="133"/>
        <v>16799.706775204053</v>
      </c>
      <c r="L467" s="15">
        <f t="shared" si="133"/>
        <v>16104.03162271259</v>
      </c>
      <c r="M467" s="15">
        <f t="shared" si="133"/>
        <v>15362.066296850431</v>
      </c>
      <c r="N467" s="15">
        <f t="shared" si="133"/>
        <v>14623.792340768665</v>
      </c>
      <c r="O467" s="15">
        <f t="shared" si="133"/>
        <v>13889.191389443529</v>
      </c>
      <c r="P467" s="15">
        <f t="shared" si="133"/>
        <v>13158.245169219501</v>
      </c>
      <c r="Q467" s="15">
        <f t="shared" si="133"/>
        <v>12430.93549735482</v>
      </c>
      <c r="R467" s="15">
        <f t="shared" si="133"/>
        <v>11707.244281569056</v>
      </c>
      <c r="S467" s="15">
        <f t="shared" si="133"/>
        <v>10987.153519593214</v>
      </c>
      <c r="T467" s="15">
        <f t="shared" si="133"/>
        <v>10270.645298721689</v>
      </c>
      <c r="U467" s="15">
        <f t="shared" si="133"/>
        <v>9557.7017953669529</v>
      </c>
      <c r="V467" s="15">
        <f t="shared" si="133"/>
        <v>8848.3052746159738</v>
      </c>
      <c r="W467" s="15">
        <f t="shared" si="133"/>
        <v>8142.4380897891097</v>
      </c>
      <c r="X467" s="15">
        <f t="shared" si="133"/>
        <v>7440.0826820011707</v>
      </c>
      <c r="Y467" s="15">
        <f t="shared" si="133"/>
        <v>6741.2215797246572</v>
      </c>
      <c r="Z467" s="15">
        <f t="shared" si="133"/>
        <v>6045.8373983549664</v>
      </c>
      <c r="AA467" s="15">
        <f t="shared" si="133"/>
        <v>17042.436442418701</v>
      </c>
      <c r="AB467" s="15">
        <f t="shared" si="133"/>
        <v>24962.436442418701</v>
      </c>
    </row>
    <row r="468" spans="1:28">
      <c r="A468" s="21">
        <v>2053</v>
      </c>
      <c r="B468" s="15">
        <f t="shared" ref="B468:AB468" si="134">IF(OR($A413&lt;=B365,$A413&gt;p_orizz),"",B364-Tz_netto*($A413&lt;=B362)-Cm_netto*($A413&lt;=B363)-B373*IF($A413&gt;B375,1,IF($A413=B375,(13-B376)/12,0))-B374*IF($A413&gt;B377,1,IF($A413=B377,(13-B378)/12,0)))</f>
        <v>21002.436442418701</v>
      </c>
      <c r="C468" s="15">
        <f t="shared" si="134"/>
        <v>7281.2499981155579</v>
      </c>
      <c r="D468" s="15">
        <f t="shared" si="134"/>
        <v>7956.7531015618752</v>
      </c>
      <c r="E468" s="15">
        <f t="shared" si="134"/>
        <v>20200.51098579368</v>
      </c>
      <c r="F468" s="15">
        <f t="shared" si="134"/>
        <v>10622.556910510799</v>
      </c>
      <c r="G468" s="15">
        <f t="shared" si="134"/>
        <v>21002.436442418701</v>
      </c>
      <c r="H468" s="15">
        <f t="shared" si="134"/>
        <v>9820.6314538857787</v>
      </c>
      <c r="I468" s="15">
        <f t="shared" si="134"/>
        <v>8522.836759098218</v>
      </c>
      <c r="J468" s="15">
        <f t="shared" si="134"/>
        <v>7281.2499981155579</v>
      </c>
      <c r="K468" s="15">
        <f t="shared" si="134"/>
        <v>6053.8497616339009</v>
      </c>
      <c r="L468" s="15">
        <f t="shared" si="134"/>
        <v>4951.9281513114165</v>
      </c>
      <c r="M468" s="15">
        <f t="shared" si="134"/>
        <v>3805.7374942741135</v>
      </c>
      <c r="N468" s="15">
        <f t="shared" si="134"/>
        <v>2665.2492783165744</v>
      </c>
      <c r="O468" s="15">
        <f t="shared" si="134"/>
        <v>1530.4351330852005</v>
      </c>
      <c r="P468" s="15">
        <f t="shared" si="134"/>
        <v>401.26682937236728</v>
      </c>
      <c r="Q468" s="15">
        <f t="shared" si="134"/>
        <v>-722.28372158563616</v>
      </c>
      <c r="R468" s="15">
        <f t="shared" si="134"/>
        <v>-1840.2444688075484</v>
      </c>
      <c r="S468" s="15">
        <f t="shared" si="134"/>
        <v>-2952.6432222621279</v>
      </c>
      <c r="T468" s="15">
        <f t="shared" si="134"/>
        <v>-4059.5076535602766</v>
      </c>
      <c r="U468" s="15">
        <f t="shared" si="134"/>
        <v>-5160.8652966429872</v>
      </c>
      <c r="V468" s="15">
        <f t="shared" si="134"/>
        <v>-6256.7435484665766</v>
      </c>
      <c r="W468" s="15">
        <f t="shared" si="134"/>
        <v>-7347.1696696841027</v>
      </c>
      <c r="X468" s="15">
        <f t="shared" si="134"/>
        <v>-8432.170785323462</v>
      </c>
      <c r="Y468" s="15">
        <f t="shared" si="134"/>
        <v>-9511.7738854620511</v>
      </c>
      <c r="Z468" s="15">
        <f t="shared" si="134"/>
        <v>-10586.005825898508</v>
      </c>
      <c r="AA468" s="15">
        <f t="shared" si="134"/>
        <v>17042.436442418701</v>
      </c>
      <c r="AB468" s="15">
        <f t="shared" si="134"/>
        <v>24962.436442418701</v>
      </c>
    </row>
    <row r="469" spans="1:28">
      <c r="A469" s="21">
        <v>2054</v>
      </c>
      <c r="B469" s="15">
        <f t="shared" ref="B469:AB469" si="135">IF(OR($A414&lt;=B365,$A414&gt;p_orizz),"",B364-Tz_netto*($A414&lt;=B362)-Cm_netto*($A414&lt;=B363)-B373*IF($A414&gt;B375,1,IF($A414=B375,(13-B376)/12,0))-B374*IF($A414&gt;B377,1,IF($A414=B377,(13-B378)/12,0)))</f>
        <v>21002.436442418701</v>
      </c>
      <c r="C469" s="15">
        <f t="shared" si="135"/>
        <v>7281.2499981155579</v>
      </c>
      <c r="D469" s="15">
        <f t="shared" si="135"/>
        <v>7956.7531015618752</v>
      </c>
      <c r="E469" s="15">
        <f t="shared" si="135"/>
        <v>20200.51098579368</v>
      </c>
      <c r="F469" s="15">
        <f t="shared" si="135"/>
        <v>10622.556910510799</v>
      </c>
      <c r="G469" s="15">
        <f t="shared" si="135"/>
        <v>21002.436442418701</v>
      </c>
      <c r="H469" s="15">
        <f t="shared" si="135"/>
        <v>9820.6314538857787</v>
      </c>
      <c r="I469" s="15">
        <f t="shared" si="135"/>
        <v>8522.836759098218</v>
      </c>
      <c r="J469" s="15">
        <f t="shared" si="135"/>
        <v>7281.2499981155579</v>
      </c>
      <c r="K469" s="15">
        <f t="shared" si="135"/>
        <v>6053.8497616339009</v>
      </c>
      <c r="L469" s="15">
        <f t="shared" si="135"/>
        <v>4951.9281513114165</v>
      </c>
      <c r="M469" s="15">
        <f t="shared" si="135"/>
        <v>3805.7374942741135</v>
      </c>
      <c r="N469" s="15">
        <f t="shared" si="135"/>
        <v>2665.2492783165744</v>
      </c>
      <c r="O469" s="15">
        <f t="shared" si="135"/>
        <v>1530.4351330852005</v>
      </c>
      <c r="P469" s="15">
        <f t="shared" si="135"/>
        <v>401.26682937236728</v>
      </c>
      <c r="Q469" s="15">
        <f t="shared" si="135"/>
        <v>-722.28372158563616</v>
      </c>
      <c r="R469" s="15">
        <f t="shared" si="135"/>
        <v>-1840.2444688075484</v>
      </c>
      <c r="S469" s="15">
        <f t="shared" si="135"/>
        <v>-2952.6432222621279</v>
      </c>
      <c r="T469" s="15">
        <f t="shared" si="135"/>
        <v>-4059.5076535602766</v>
      </c>
      <c r="U469" s="15">
        <f t="shared" si="135"/>
        <v>-5160.8652966429872</v>
      </c>
      <c r="V469" s="15">
        <f t="shared" si="135"/>
        <v>-6256.7435484665766</v>
      </c>
      <c r="W469" s="15">
        <f t="shared" si="135"/>
        <v>-7347.1696696841027</v>
      </c>
      <c r="X469" s="15">
        <f t="shared" si="135"/>
        <v>-8432.170785323462</v>
      </c>
      <c r="Y469" s="15">
        <f t="shared" si="135"/>
        <v>-9511.7738854620511</v>
      </c>
      <c r="Z469" s="15">
        <f t="shared" si="135"/>
        <v>-10586.005825898508</v>
      </c>
      <c r="AA469" s="15">
        <f t="shared" si="135"/>
        <v>17042.436442418701</v>
      </c>
      <c r="AB469" s="15">
        <f t="shared" si="135"/>
        <v>24962.436442418701</v>
      </c>
    </row>
    <row r="470" spans="1:28">
      <c r="A470" s="21">
        <v>2055</v>
      </c>
      <c r="B470" s="15">
        <f t="shared" ref="B470:AB470" si="136">IF(OR($A415&lt;=B365,$A415&gt;p_orizz),"",B364-Tz_netto*($A415&lt;=B362)-Cm_netto*($A415&lt;=B363)-B373*IF($A415&gt;B375,1,IF($A415=B375,(13-B376)/12,0))-B374*IF($A415&gt;B377,1,IF($A415=B377,(13-B378)/12,0)))</f>
        <v>21002.436442418701</v>
      </c>
      <c r="C470" s="15">
        <f t="shared" si="136"/>
        <v>7281.2499981155579</v>
      </c>
      <c r="D470" s="15">
        <f t="shared" si="136"/>
        <v>7956.7531015618752</v>
      </c>
      <c r="E470" s="15">
        <f t="shared" si="136"/>
        <v>20200.51098579368</v>
      </c>
      <c r="F470" s="15">
        <f t="shared" si="136"/>
        <v>10622.556910510799</v>
      </c>
      <c r="G470" s="15">
        <f t="shared" si="136"/>
        <v>21002.436442418701</v>
      </c>
      <c r="H470" s="15">
        <f t="shared" si="136"/>
        <v>9820.6314538857787</v>
      </c>
      <c r="I470" s="15">
        <f t="shared" si="136"/>
        <v>8522.836759098218</v>
      </c>
      <c r="J470" s="15">
        <f t="shared" si="136"/>
        <v>7281.2499981155579</v>
      </c>
      <c r="K470" s="15">
        <f t="shared" si="136"/>
        <v>6053.8497616339009</v>
      </c>
      <c r="L470" s="15">
        <f t="shared" si="136"/>
        <v>4951.9281513114165</v>
      </c>
      <c r="M470" s="15">
        <f t="shared" si="136"/>
        <v>3805.7374942741135</v>
      </c>
      <c r="N470" s="15">
        <f t="shared" si="136"/>
        <v>2665.2492783165744</v>
      </c>
      <c r="O470" s="15">
        <f t="shared" si="136"/>
        <v>1530.4351330852005</v>
      </c>
      <c r="P470" s="15">
        <f t="shared" si="136"/>
        <v>401.26682937236728</v>
      </c>
      <c r="Q470" s="15">
        <f t="shared" si="136"/>
        <v>-722.28372158563616</v>
      </c>
      <c r="R470" s="15">
        <f t="shared" si="136"/>
        <v>-1840.2444688075484</v>
      </c>
      <c r="S470" s="15">
        <f t="shared" si="136"/>
        <v>-2952.6432222621279</v>
      </c>
      <c r="T470" s="15">
        <f t="shared" si="136"/>
        <v>-4059.5076535602766</v>
      </c>
      <c r="U470" s="15">
        <f t="shared" si="136"/>
        <v>-5160.8652966429872</v>
      </c>
      <c r="V470" s="15">
        <f t="shared" si="136"/>
        <v>-6256.7435484665766</v>
      </c>
      <c r="W470" s="15">
        <f t="shared" si="136"/>
        <v>-7347.1696696841027</v>
      </c>
      <c r="X470" s="15">
        <f t="shared" si="136"/>
        <v>-8432.170785323462</v>
      </c>
      <c r="Y470" s="15">
        <f t="shared" si="136"/>
        <v>-9511.7738854620511</v>
      </c>
      <c r="Z470" s="15">
        <f t="shared" si="136"/>
        <v>-10586.005825898508</v>
      </c>
      <c r="AA470" s="15">
        <f t="shared" si="136"/>
        <v>17042.436442418701</v>
      </c>
      <c r="AB470" s="15">
        <f t="shared" si="136"/>
        <v>24962.436442418701</v>
      </c>
    </row>
    <row r="471" spans="1:28">
      <c r="A471" s="21">
        <v>2056</v>
      </c>
      <c r="B471" s="15">
        <f t="shared" ref="B471:AB471" si="137">IF(OR($A416&lt;=B365,$A416&gt;p_orizz),"",B364-Tz_netto*($A416&lt;=B362)-Cm_netto*($A416&lt;=B363)-B373*IF($A416&gt;B375,1,IF($A416=B375,(13-B376)/12,0))-B374*IF($A416&gt;B377,1,IF($A416=B377,(13-B378)/12,0)))</f>
        <v>21002.436442418701</v>
      </c>
      <c r="C471" s="15">
        <f t="shared" si="137"/>
        <v>7281.2499981155579</v>
      </c>
      <c r="D471" s="15">
        <f t="shared" si="137"/>
        <v>7956.7531015618752</v>
      </c>
      <c r="E471" s="15">
        <f t="shared" si="137"/>
        <v>20200.51098579368</v>
      </c>
      <c r="F471" s="15">
        <f t="shared" si="137"/>
        <v>10622.556910510799</v>
      </c>
      <c r="G471" s="15">
        <f t="shared" si="137"/>
        <v>21002.436442418701</v>
      </c>
      <c r="H471" s="15">
        <f t="shared" si="137"/>
        <v>9820.6314538857787</v>
      </c>
      <c r="I471" s="15">
        <f t="shared" si="137"/>
        <v>8522.836759098218</v>
      </c>
      <c r="J471" s="15">
        <f t="shared" si="137"/>
        <v>7281.2499981155579</v>
      </c>
      <c r="K471" s="15">
        <f t="shared" si="137"/>
        <v>6053.8497616339009</v>
      </c>
      <c r="L471" s="15">
        <f t="shared" si="137"/>
        <v>4951.9281513114165</v>
      </c>
      <c r="M471" s="15">
        <f t="shared" si="137"/>
        <v>3805.7374942741135</v>
      </c>
      <c r="N471" s="15">
        <f t="shared" si="137"/>
        <v>2665.2492783165744</v>
      </c>
      <c r="O471" s="15">
        <f t="shared" si="137"/>
        <v>1530.4351330852005</v>
      </c>
      <c r="P471" s="15">
        <f t="shared" si="137"/>
        <v>401.26682937236728</v>
      </c>
      <c r="Q471" s="15">
        <f t="shared" si="137"/>
        <v>-722.28372158563616</v>
      </c>
      <c r="R471" s="15">
        <f t="shared" si="137"/>
        <v>-1840.2444688075484</v>
      </c>
      <c r="S471" s="15">
        <f t="shared" si="137"/>
        <v>-2952.6432222621279</v>
      </c>
      <c r="T471" s="15">
        <f t="shared" si="137"/>
        <v>-4059.5076535602766</v>
      </c>
      <c r="U471" s="15">
        <f t="shared" si="137"/>
        <v>-5160.8652966429872</v>
      </c>
      <c r="V471" s="15">
        <f t="shared" si="137"/>
        <v>-6256.7435484665766</v>
      </c>
      <c r="W471" s="15">
        <f t="shared" si="137"/>
        <v>-7347.1696696841027</v>
      </c>
      <c r="X471" s="15">
        <f t="shared" si="137"/>
        <v>-8432.170785323462</v>
      </c>
      <c r="Y471" s="15">
        <f t="shared" si="137"/>
        <v>-9511.7738854620511</v>
      </c>
      <c r="Z471" s="15">
        <f t="shared" si="137"/>
        <v>-10586.005825898508</v>
      </c>
      <c r="AA471" s="15">
        <f t="shared" si="137"/>
        <v>17042.436442418701</v>
      </c>
      <c r="AB471" s="15">
        <f t="shared" si="137"/>
        <v>24962.436442418701</v>
      </c>
    </row>
    <row r="472" spans="1:28">
      <c r="A472" s="21">
        <v>2057</v>
      </c>
      <c r="B472" s="15">
        <f t="shared" ref="B472:AB472" si="138">IF(OR($A417&lt;=B365,$A417&gt;p_orizz),"",B364-Tz_netto*($A417&lt;=B362)-Cm_netto*($A417&lt;=B363)-B373*IF($A417&gt;B375,1,IF($A417=B375,(13-B376)/12,0))-B374*IF($A417&gt;B377,1,IF($A417=B377,(13-B378)/12,0)))</f>
        <v>13902.192984905367</v>
      </c>
      <c r="C472" s="15">
        <f t="shared" si="138"/>
        <v>7281.2499981155579</v>
      </c>
      <c r="D472" s="15">
        <f t="shared" si="138"/>
        <v>7956.7531015618752</v>
      </c>
      <c r="E472" s="15">
        <f t="shared" si="138"/>
        <v>13100.267528280347</v>
      </c>
      <c r="F472" s="15">
        <f t="shared" si="138"/>
        <v>10622.556910510799</v>
      </c>
      <c r="G472" s="15">
        <f t="shared" si="138"/>
        <v>13902.192984905367</v>
      </c>
      <c r="H472" s="15">
        <f t="shared" si="138"/>
        <v>9820.6314538857787</v>
      </c>
      <c r="I472" s="15">
        <f t="shared" si="138"/>
        <v>8522.836759098218</v>
      </c>
      <c r="J472" s="15">
        <f t="shared" si="138"/>
        <v>7281.2499981155579</v>
      </c>
      <c r="K472" s="15">
        <f t="shared" si="138"/>
        <v>6053.8497616339009</v>
      </c>
      <c r="L472" s="15">
        <f t="shared" si="138"/>
        <v>4951.9281513114165</v>
      </c>
      <c r="M472" s="15">
        <f t="shared" si="138"/>
        <v>3805.7374942741135</v>
      </c>
      <c r="N472" s="15">
        <f t="shared" si="138"/>
        <v>2665.2492783165744</v>
      </c>
      <c r="O472" s="15">
        <f t="shared" si="138"/>
        <v>1530.4351330852005</v>
      </c>
      <c r="P472" s="15">
        <f t="shared" si="138"/>
        <v>401.26682937236728</v>
      </c>
      <c r="Q472" s="15">
        <f t="shared" si="138"/>
        <v>-722.28372158563616</v>
      </c>
      <c r="R472" s="15">
        <f t="shared" si="138"/>
        <v>-1840.2444688075484</v>
      </c>
      <c r="S472" s="15">
        <f t="shared" si="138"/>
        <v>-2952.6432222621279</v>
      </c>
      <c r="T472" s="15">
        <f t="shared" si="138"/>
        <v>-4059.5076535602766</v>
      </c>
      <c r="U472" s="15">
        <f t="shared" si="138"/>
        <v>-5160.8652966429872</v>
      </c>
      <c r="V472" s="15">
        <f t="shared" si="138"/>
        <v>-6256.7435484665766</v>
      </c>
      <c r="W472" s="15">
        <f t="shared" si="138"/>
        <v>-7347.1696696841027</v>
      </c>
      <c r="X472" s="15">
        <f t="shared" si="138"/>
        <v>-8432.170785323462</v>
      </c>
      <c r="Y472" s="15">
        <f t="shared" si="138"/>
        <v>-9511.7738854620511</v>
      </c>
      <c r="Z472" s="15">
        <f t="shared" si="138"/>
        <v>-10586.005825898508</v>
      </c>
      <c r="AA472" s="15">
        <f t="shared" si="138"/>
        <v>9942.1929849053668</v>
      </c>
      <c r="AB472" s="15">
        <f t="shared" si="138"/>
        <v>17862.192984905367</v>
      </c>
    </row>
    <row r="473" spans="1:28">
      <c r="A473" s="21">
        <v>2058</v>
      </c>
      <c r="B473" s="15">
        <f t="shared" ref="B473:AB473" si="139">IF(OR($A418&lt;=B365,$A418&gt;p_orizz),"",B364-Tz_netto*($A418&lt;=B362)-Cm_netto*($A418&lt;=B363)-B373*IF($A418&gt;B375,1,IF($A418=B375,(13-B376)/12,0))-B374*IF($A418&gt;B377,1,IF($A418=B377,(13-B378)/12,0)))</f>
        <v>10352.0712561487</v>
      </c>
      <c r="C473" s="15">
        <f t="shared" si="139"/>
        <v>7281.2499981155579</v>
      </c>
      <c r="D473" s="15">
        <f t="shared" si="139"/>
        <v>7956.7531015618752</v>
      </c>
      <c r="E473" s="15">
        <f t="shared" si="139"/>
        <v>9550.1457995236797</v>
      </c>
      <c r="F473" s="15">
        <f t="shared" si="139"/>
        <v>10622.556910510799</v>
      </c>
      <c r="G473" s="15">
        <f t="shared" si="139"/>
        <v>10352.0712561487</v>
      </c>
      <c r="H473" s="15">
        <f t="shared" si="139"/>
        <v>9820.6314538857787</v>
      </c>
      <c r="I473" s="15">
        <f t="shared" si="139"/>
        <v>8522.836759098218</v>
      </c>
      <c r="J473" s="15">
        <f t="shared" si="139"/>
        <v>7281.2499981155579</v>
      </c>
      <c r="K473" s="15">
        <f t="shared" si="139"/>
        <v>6053.8497616339009</v>
      </c>
      <c r="L473" s="15">
        <f t="shared" si="139"/>
        <v>4951.9281513114165</v>
      </c>
      <c r="M473" s="15">
        <f t="shared" si="139"/>
        <v>3805.7374942741135</v>
      </c>
      <c r="N473" s="15">
        <f t="shared" si="139"/>
        <v>2665.2492783165744</v>
      </c>
      <c r="O473" s="15">
        <f t="shared" si="139"/>
        <v>1530.4351330852005</v>
      </c>
      <c r="P473" s="15">
        <f t="shared" si="139"/>
        <v>401.26682937236728</v>
      </c>
      <c r="Q473" s="15">
        <f t="shared" si="139"/>
        <v>-722.28372158563616</v>
      </c>
      <c r="R473" s="15">
        <f t="shared" si="139"/>
        <v>-1840.2444688075484</v>
      </c>
      <c r="S473" s="15">
        <f t="shared" si="139"/>
        <v>-2952.6432222621279</v>
      </c>
      <c r="T473" s="15">
        <f t="shared" si="139"/>
        <v>-4059.5076535602766</v>
      </c>
      <c r="U473" s="15">
        <f t="shared" si="139"/>
        <v>-5160.8652966429872</v>
      </c>
      <c r="V473" s="15">
        <f t="shared" si="139"/>
        <v>-6256.7435484665766</v>
      </c>
      <c r="W473" s="15">
        <f t="shared" si="139"/>
        <v>-7347.1696696841027</v>
      </c>
      <c r="X473" s="15">
        <f t="shared" si="139"/>
        <v>-8432.170785323462</v>
      </c>
      <c r="Y473" s="15">
        <f t="shared" si="139"/>
        <v>-9511.7738854620511</v>
      </c>
      <c r="Z473" s="15">
        <f t="shared" si="139"/>
        <v>-10586.005825898508</v>
      </c>
      <c r="AA473" s="15">
        <f t="shared" si="139"/>
        <v>6392.0712561486998</v>
      </c>
      <c r="AB473" s="15">
        <f t="shared" si="139"/>
        <v>14312.0712561487</v>
      </c>
    </row>
    <row r="474" spans="1:28">
      <c r="A474" s="21">
        <v>2059</v>
      </c>
      <c r="B474" s="15">
        <f t="shared" ref="B474:AB474" si="140">IF(OR($A419&lt;=B365,$A419&gt;p_orizz),"",B364-Tz_netto*($A419&lt;=B362)-Cm_netto*($A419&lt;=B363)-B373*IF($A419&gt;B375,1,IF($A419=B375,(13-B376)/12,0))-B374*IF($A419&gt;B377,1,IF($A419=B377,(13-B378)/12,0)))</f>
        <v>10352.0712561487</v>
      </c>
      <c r="C474" s="15">
        <f t="shared" si="140"/>
        <v>7281.2499981155579</v>
      </c>
      <c r="D474" s="15">
        <f t="shared" si="140"/>
        <v>7956.7531015618752</v>
      </c>
      <c r="E474" s="15">
        <f t="shared" si="140"/>
        <v>9550.1457995236797</v>
      </c>
      <c r="F474" s="15">
        <f t="shared" si="140"/>
        <v>10622.556910510799</v>
      </c>
      <c r="G474" s="15">
        <f t="shared" si="140"/>
        <v>10352.0712561487</v>
      </c>
      <c r="H474" s="15">
        <f t="shared" si="140"/>
        <v>9820.6314538857787</v>
      </c>
      <c r="I474" s="15">
        <f t="shared" si="140"/>
        <v>8522.836759098218</v>
      </c>
      <c r="J474" s="15">
        <f t="shared" si="140"/>
        <v>7281.2499981155579</v>
      </c>
      <c r="K474" s="15">
        <f t="shared" si="140"/>
        <v>6053.8497616339009</v>
      </c>
      <c r="L474" s="15">
        <f t="shared" si="140"/>
        <v>4951.9281513114165</v>
      </c>
      <c r="M474" s="15">
        <f t="shared" si="140"/>
        <v>3805.7374942741135</v>
      </c>
      <c r="N474" s="15">
        <f t="shared" si="140"/>
        <v>2665.2492783165744</v>
      </c>
      <c r="O474" s="15">
        <f t="shared" si="140"/>
        <v>1530.4351330852005</v>
      </c>
      <c r="P474" s="15">
        <f t="shared" si="140"/>
        <v>401.26682937236728</v>
      </c>
      <c r="Q474" s="15">
        <f t="shared" si="140"/>
        <v>-722.28372158563616</v>
      </c>
      <c r="R474" s="15">
        <f t="shared" si="140"/>
        <v>-1840.2444688075484</v>
      </c>
      <c r="S474" s="15">
        <f t="shared" si="140"/>
        <v>-2952.6432222621279</v>
      </c>
      <c r="T474" s="15">
        <f t="shared" si="140"/>
        <v>-4059.5076535602766</v>
      </c>
      <c r="U474" s="15">
        <f t="shared" si="140"/>
        <v>-5160.8652966429872</v>
      </c>
      <c r="V474" s="15">
        <f t="shared" si="140"/>
        <v>-6256.7435484665766</v>
      </c>
      <c r="W474" s="15">
        <f t="shared" si="140"/>
        <v>-7347.1696696841027</v>
      </c>
      <c r="X474" s="15">
        <f t="shared" si="140"/>
        <v>-8432.170785323462</v>
      </c>
      <c r="Y474" s="15">
        <f t="shared" si="140"/>
        <v>-9511.7738854620511</v>
      </c>
      <c r="Z474" s="15">
        <f t="shared" si="140"/>
        <v>-10586.005825898508</v>
      </c>
      <c r="AA474" s="15">
        <f t="shared" si="140"/>
        <v>6392.0712561486998</v>
      </c>
      <c r="AB474" s="15">
        <f t="shared" si="140"/>
        <v>14312.0712561487</v>
      </c>
    </row>
    <row r="475" spans="1:28">
      <c r="A475" s="21">
        <v>2060</v>
      </c>
      <c r="B475" s="15">
        <f t="shared" ref="B475:AB475" si="141">IF(OR($A420&lt;=B365,$A420&gt;p_orizz),"",B364-Tz_netto*($A420&lt;=B362)-Cm_netto*($A420&lt;=B363)-B373*IF($A420&gt;B375,1,IF($A420=B375,(13-B376)/12,0))-B374*IF($A420&gt;B377,1,IF($A420=B377,(13-B378)/12,0)))</f>
        <v>10352.0712561487</v>
      </c>
      <c r="C475" s="15">
        <f t="shared" si="141"/>
        <v>7281.2499981155579</v>
      </c>
      <c r="D475" s="15">
        <f t="shared" si="141"/>
        <v>7956.7531015618752</v>
      </c>
      <c r="E475" s="15">
        <f t="shared" si="141"/>
        <v>9550.1457995236797</v>
      </c>
      <c r="F475" s="15">
        <f t="shared" si="141"/>
        <v>10622.556910510799</v>
      </c>
      <c r="G475" s="15">
        <f t="shared" si="141"/>
        <v>10352.0712561487</v>
      </c>
      <c r="H475" s="15">
        <f t="shared" si="141"/>
        <v>9820.6314538857787</v>
      </c>
      <c r="I475" s="15">
        <f t="shared" si="141"/>
        <v>8522.836759098218</v>
      </c>
      <c r="J475" s="15">
        <f t="shared" si="141"/>
        <v>7281.2499981155579</v>
      </c>
      <c r="K475" s="15">
        <f t="shared" si="141"/>
        <v>6053.8497616339009</v>
      </c>
      <c r="L475" s="15">
        <f t="shared" si="141"/>
        <v>4951.9281513114165</v>
      </c>
      <c r="M475" s="15">
        <f t="shared" si="141"/>
        <v>3805.7374942741135</v>
      </c>
      <c r="N475" s="15">
        <f t="shared" si="141"/>
        <v>2665.2492783165744</v>
      </c>
      <c r="O475" s="15">
        <f t="shared" si="141"/>
        <v>1530.4351330852005</v>
      </c>
      <c r="P475" s="15">
        <f t="shared" si="141"/>
        <v>401.26682937236728</v>
      </c>
      <c r="Q475" s="15">
        <f t="shared" si="141"/>
        <v>-722.28372158563616</v>
      </c>
      <c r="R475" s="15">
        <f t="shared" si="141"/>
        <v>-1840.2444688075484</v>
      </c>
      <c r="S475" s="15">
        <f t="shared" si="141"/>
        <v>-2952.6432222621279</v>
      </c>
      <c r="T475" s="15">
        <f t="shared" si="141"/>
        <v>-4059.5076535602766</v>
      </c>
      <c r="U475" s="15">
        <f t="shared" si="141"/>
        <v>-5160.8652966429872</v>
      </c>
      <c r="V475" s="15">
        <f t="shared" si="141"/>
        <v>-6256.7435484665766</v>
      </c>
      <c r="W475" s="15">
        <f t="shared" si="141"/>
        <v>-7347.1696696841027</v>
      </c>
      <c r="X475" s="15">
        <f t="shared" si="141"/>
        <v>-8432.170785323462</v>
      </c>
      <c r="Y475" s="15">
        <f t="shared" si="141"/>
        <v>-9511.7738854620511</v>
      </c>
      <c r="Z475" s="15">
        <f t="shared" si="141"/>
        <v>-10586.005825898508</v>
      </c>
      <c r="AA475" s="15">
        <f t="shared" si="141"/>
        <v>6392.0712561486998</v>
      </c>
      <c r="AB475" s="15">
        <f t="shared" si="141"/>
        <v>14312.0712561487</v>
      </c>
    </row>
    <row r="476" spans="1:28">
      <c r="A476" s="21">
        <v>2061</v>
      </c>
      <c r="B476" s="15">
        <f t="shared" ref="B476:AB476" si="142">IF(OR($A421&lt;=B365,$A421&gt;p_orizz),"",B364-Tz_netto*($A421&lt;=B362)-Cm_netto*($A421&lt;=B363)-B373*IF($A421&gt;B375,1,IF($A421=B375,(13-B376)/12,0))-B374*IF($A421&gt;B377,1,IF($A421=B377,(13-B378)/12,0)))</f>
        <v>10352.0712561487</v>
      </c>
      <c r="C476" s="15">
        <f t="shared" si="142"/>
        <v>7281.2499981155579</v>
      </c>
      <c r="D476" s="15">
        <f t="shared" si="142"/>
        <v>7956.7531015618752</v>
      </c>
      <c r="E476" s="15">
        <f t="shared" si="142"/>
        <v>9550.1457995236797</v>
      </c>
      <c r="F476" s="15">
        <f t="shared" si="142"/>
        <v>10622.556910510799</v>
      </c>
      <c r="G476" s="15">
        <f t="shared" si="142"/>
        <v>10352.0712561487</v>
      </c>
      <c r="H476" s="15">
        <f t="shared" si="142"/>
        <v>9820.6314538857787</v>
      </c>
      <c r="I476" s="15">
        <f t="shared" si="142"/>
        <v>8522.836759098218</v>
      </c>
      <c r="J476" s="15">
        <f t="shared" si="142"/>
        <v>7281.2499981155579</v>
      </c>
      <c r="K476" s="15">
        <f t="shared" si="142"/>
        <v>6053.8497616339009</v>
      </c>
      <c r="L476" s="15">
        <f t="shared" si="142"/>
        <v>4951.9281513114165</v>
      </c>
      <c r="M476" s="15">
        <f t="shared" si="142"/>
        <v>3805.7374942741135</v>
      </c>
      <c r="N476" s="15">
        <f t="shared" si="142"/>
        <v>2665.2492783165744</v>
      </c>
      <c r="O476" s="15">
        <f t="shared" si="142"/>
        <v>1530.4351330852005</v>
      </c>
      <c r="P476" s="15">
        <f t="shared" si="142"/>
        <v>401.26682937236728</v>
      </c>
      <c r="Q476" s="15">
        <f t="shared" si="142"/>
        <v>-722.28372158563616</v>
      </c>
      <c r="R476" s="15">
        <f t="shared" si="142"/>
        <v>-1840.2444688075484</v>
      </c>
      <c r="S476" s="15">
        <f t="shared" si="142"/>
        <v>-2952.6432222621279</v>
      </c>
      <c r="T476" s="15">
        <f t="shared" si="142"/>
        <v>-4059.5076535602766</v>
      </c>
      <c r="U476" s="15">
        <f t="shared" si="142"/>
        <v>-5160.8652966429872</v>
      </c>
      <c r="V476" s="15">
        <f t="shared" si="142"/>
        <v>-6256.7435484665766</v>
      </c>
      <c r="W476" s="15">
        <f t="shared" si="142"/>
        <v>-7347.1696696841027</v>
      </c>
      <c r="X476" s="15">
        <f t="shared" si="142"/>
        <v>-8432.170785323462</v>
      </c>
      <c r="Y476" s="15">
        <f t="shared" si="142"/>
        <v>-9511.7738854620511</v>
      </c>
      <c r="Z476" s="15">
        <f t="shared" si="142"/>
        <v>-10586.005825898508</v>
      </c>
      <c r="AA476" s="15">
        <f t="shared" si="142"/>
        <v>6392.0712561486998</v>
      </c>
      <c r="AB476" s="15">
        <f t="shared" si="142"/>
        <v>14312.0712561487</v>
      </c>
    </row>
    <row r="477" spans="1:28">
      <c r="A477" s="21">
        <v>2062</v>
      </c>
      <c r="B477" s="15">
        <f t="shared" ref="B477:AB477" si="143">IF(OR($A422&lt;=B365,$A422&gt;p_orizz),"",B364-Tz_netto*($A422&lt;=B362)-Cm_netto*($A422&lt;=B363)-B373*IF($A422&gt;B375,1,IF($A422=B375,(13-B376)/12,0))-B374*IF($A422&gt;B377,1,IF($A422=B377,(13-B378)/12,0)))</f>
        <v>10352.0712561487</v>
      </c>
      <c r="C477" s="15">
        <f t="shared" si="143"/>
        <v>7281.2499981155579</v>
      </c>
      <c r="D477" s="15">
        <f t="shared" si="143"/>
        <v>7956.7531015618752</v>
      </c>
      <c r="E477" s="15">
        <f t="shared" si="143"/>
        <v>9550.1457995236797</v>
      </c>
      <c r="F477" s="15">
        <f t="shared" si="143"/>
        <v>10622.556910510799</v>
      </c>
      <c r="G477" s="15">
        <f t="shared" si="143"/>
        <v>10352.0712561487</v>
      </c>
      <c r="H477" s="15">
        <f t="shared" si="143"/>
        <v>9820.6314538857787</v>
      </c>
      <c r="I477" s="15">
        <f t="shared" si="143"/>
        <v>8522.836759098218</v>
      </c>
      <c r="J477" s="15">
        <f t="shared" si="143"/>
        <v>7281.2499981155579</v>
      </c>
      <c r="K477" s="15">
        <f t="shared" si="143"/>
        <v>6053.8497616339009</v>
      </c>
      <c r="L477" s="15">
        <f t="shared" si="143"/>
        <v>4951.9281513114165</v>
      </c>
      <c r="M477" s="15">
        <f t="shared" si="143"/>
        <v>3805.7374942741135</v>
      </c>
      <c r="N477" s="15">
        <f t="shared" si="143"/>
        <v>2665.2492783165744</v>
      </c>
      <c r="O477" s="15">
        <f t="shared" si="143"/>
        <v>1530.4351330852005</v>
      </c>
      <c r="P477" s="15">
        <f t="shared" si="143"/>
        <v>401.26682937236728</v>
      </c>
      <c r="Q477" s="15">
        <f t="shared" si="143"/>
        <v>-722.28372158563616</v>
      </c>
      <c r="R477" s="15">
        <f t="shared" si="143"/>
        <v>-1840.2444688075484</v>
      </c>
      <c r="S477" s="15">
        <f t="shared" si="143"/>
        <v>-2952.6432222621279</v>
      </c>
      <c r="T477" s="15">
        <f t="shared" si="143"/>
        <v>-4059.5076535602766</v>
      </c>
      <c r="U477" s="15">
        <f t="shared" si="143"/>
        <v>-5160.8652966429872</v>
      </c>
      <c r="V477" s="15">
        <f t="shared" si="143"/>
        <v>-6256.7435484665766</v>
      </c>
      <c r="W477" s="15">
        <f t="shared" si="143"/>
        <v>-7347.1696696841027</v>
      </c>
      <c r="X477" s="15">
        <f t="shared" si="143"/>
        <v>-8432.170785323462</v>
      </c>
      <c r="Y477" s="15">
        <f t="shared" si="143"/>
        <v>-9511.7738854620511</v>
      </c>
      <c r="Z477" s="15">
        <f t="shared" si="143"/>
        <v>-10586.005825898508</v>
      </c>
      <c r="AA477" s="15">
        <f t="shared" si="143"/>
        <v>6392.0712561486998</v>
      </c>
      <c r="AB477" s="15">
        <f t="shared" si="143"/>
        <v>14312.0712561487</v>
      </c>
    </row>
    <row r="478" spans="1:28">
      <c r="A478" s="21">
        <v>2063</v>
      </c>
      <c r="B478" s="15">
        <f t="shared" ref="B478:AB478" si="144">IF(OR($A423&lt;=B365,$A423&gt;p_orizz),"",B364-Tz_netto*($A423&lt;=B362)-Cm_netto*($A423&lt;=B363)-B373*IF($A423&gt;B375,1,IF($A423=B375,(13-B376)/12,0))-B374*IF($A423&gt;B377,1,IF($A423=B377,(13-B378)/12,0)))</f>
        <v>10352.0712561487</v>
      </c>
      <c r="C478" s="15">
        <f t="shared" si="144"/>
        <v>7281.2499981155579</v>
      </c>
      <c r="D478" s="15">
        <f t="shared" si="144"/>
        <v>7956.7531015618752</v>
      </c>
      <c r="E478" s="15">
        <f t="shared" si="144"/>
        <v>9550.1457995236797</v>
      </c>
      <c r="F478" s="15">
        <f t="shared" si="144"/>
        <v>10622.556910510799</v>
      </c>
      <c r="G478" s="15">
        <f t="shared" si="144"/>
        <v>10352.0712561487</v>
      </c>
      <c r="H478" s="15">
        <f t="shared" si="144"/>
        <v>9820.6314538857787</v>
      </c>
      <c r="I478" s="15">
        <f t="shared" si="144"/>
        <v>8522.836759098218</v>
      </c>
      <c r="J478" s="15">
        <f t="shared" si="144"/>
        <v>7281.2499981155579</v>
      </c>
      <c r="K478" s="15">
        <f t="shared" si="144"/>
        <v>6053.8497616339009</v>
      </c>
      <c r="L478" s="15">
        <f t="shared" si="144"/>
        <v>4951.9281513114165</v>
      </c>
      <c r="M478" s="15">
        <f t="shared" si="144"/>
        <v>3805.7374942741135</v>
      </c>
      <c r="N478" s="15">
        <f t="shared" si="144"/>
        <v>2665.2492783165744</v>
      </c>
      <c r="O478" s="15">
        <f t="shared" si="144"/>
        <v>1530.4351330852005</v>
      </c>
      <c r="P478" s="15">
        <f t="shared" si="144"/>
        <v>401.26682937236728</v>
      </c>
      <c r="Q478" s="15">
        <f t="shared" si="144"/>
        <v>-722.28372158563616</v>
      </c>
      <c r="R478" s="15">
        <f t="shared" si="144"/>
        <v>-1840.2444688075484</v>
      </c>
      <c r="S478" s="15">
        <f t="shared" si="144"/>
        <v>-2952.6432222621279</v>
      </c>
      <c r="T478" s="15">
        <f t="shared" si="144"/>
        <v>-4059.5076535602766</v>
      </c>
      <c r="U478" s="15">
        <f t="shared" si="144"/>
        <v>-5160.8652966429872</v>
      </c>
      <c r="V478" s="15">
        <f t="shared" si="144"/>
        <v>-6256.7435484665766</v>
      </c>
      <c r="W478" s="15">
        <f t="shared" si="144"/>
        <v>-7347.1696696841027</v>
      </c>
      <c r="X478" s="15">
        <f t="shared" si="144"/>
        <v>-8432.170785323462</v>
      </c>
      <c r="Y478" s="15">
        <f t="shared" si="144"/>
        <v>-9511.7738854620511</v>
      </c>
      <c r="Z478" s="15">
        <f t="shared" si="144"/>
        <v>-10586.005825898508</v>
      </c>
      <c r="AA478" s="15">
        <f t="shared" si="144"/>
        <v>6392.0712561486998</v>
      </c>
      <c r="AB478" s="15">
        <f t="shared" si="144"/>
        <v>14312.0712561487</v>
      </c>
    </row>
    <row r="479" spans="1:28">
      <c r="A479" s="21">
        <v>2064</v>
      </c>
      <c r="B479" s="15">
        <f t="shared" ref="B479:AB479" si="145">IF(OR($A424&lt;=B365,$A424&gt;p_orizz),"",B364-Tz_netto*($A424&lt;=B362)-Cm_netto*($A424&lt;=B363)-B373*IF($A424&gt;B375,1,IF($A424=B375,(13-B376)/12,0))-B374*IF($A424&gt;B377,1,IF($A424=B377,(13-B378)/12,0)))</f>
        <v>10352.0712561487</v>
      </c>
      <c r="C479" s="15">
        <f t="shared" si="145"/>
        <v>7281.2499981155579</v>
      </c>
      <c r="D479" s="15">
        <f t="shared" si="145"/>
        <v>7956.7531015618752</v>
      </c>
      <c r="E479" s="15">
        <f t="shared" si="145"/>
        <v>9550.1457995236797</v>
      </c>
      <c r="F479" s="15">
        <f t="shared" si="145"/>
        <v>10622.556910510799</v>
      </c>
      <c r="G479" s="15">
        <f t="shared" si="145"/>
        <v>10352.0712561487</v>
      </c>
      <c r="H479" s="15">
        <f t="shared" si="145"/>
        <v>9820.6314538857787</v>
      </c>
      <c r="I479" s="15">
        <f t="shared" si="145"/>
        <v>8522.836759098218</v>
      </c>
      <c r="J479" s="15">
        <f t="shared" si="145"/>
        <v>7281.2499981155579</v>
      </c>
      <c r="K479" s="15">
        <f t="shared" si="145"/>
        <v>6053.8497616339009</v>
      </c>
      <c r="L479" s="15">
        <f t="shared" si="145"/>
        <v>4951.9281513114165</v>
      </c>
      <c r="M479" s="15">
        <f t="shared" si="145"/>
        <v>3805.7374942741135</v>
      </c>
      <c r="N479" s="15">
        <f t="shared" si="145"/>
        <v>2665.2492783165744</v>
      </c>
      <c r="O479" s="15">
        <f t="shared" si="145"/>
        <v>1530.4351330852005</v>
      </c>
      <c r="P479" s="15">
        <f t="shared" si="145"/>
        <v>401.26682937236728</v>
      </c>
      <c r="Q479" s="15">
        <f t="shared" si="145"/>
        <v>-722.28372158563616</v>
      </c>
      <c r="R479" s="15">
        <f t="shared" si="145"/>
        <v>-1840.2444688075484</v>
      </c>
      <c r="S479" s="15">
        <f t="shared" si="145"/>
        <v>-2952.6432222621279</v>
      </c>
      <c r="T479" s="15">
        <f t="shared" si="145"/>
        <v>-4059.5076535602766</v>
      </c>
      <c r="U479" s="15">
        <f t="shared" si="145"/>
        <v>-5160.8652966429872</v>
      </c>
      <c r="V479" s="15">
        <f t="shared" si="145"/>
        <v>-6256.7435484665766</v>
      </c>
      <c r="W479" s="15">
        <f t="shared" si="145"/>
        <v>-7347.1696696841027</v>
      </c>
      <c r="X479" s="15">
        <f t="shared" si="145"/>
        <v>-8432.170785323462</v>
      </c>
      <c r="Y479" s="15">
        <f t="shared" si="145"/>
        <v>-9511.7738854620511</v>
      </c>
      <c r="Z479" s="15">
        <f t="shared" si="145"/>
        <v>-10586.005825898508</v>
      </c>
      <c r="AA479" s="15">
        <f t="shared" si="145"/>
        <v>6392.0712561486998</v>
      </c>
      <c r="AB479" s="15">
        <f t="shared" si="145"/>
        <v>14312.0712561487</v>
      </c>
    </row>
    <row r="480" spans="1:28">
      <c r="A480" s="21">
        <v>2065</v>
      </c>
      <c r="B480" s="15">
        <f t="shared" ref="B480:AB480" si="146">IF(OR($A425&lt;=B365,$A425&gt;p_orizz),"",B364-Tz_netto*($A425&lt;=B362)-Cm_netto*($A425&lt;=B363)-B373*IF($A425&gt;B375,1,IF($A425=B375,(13-B376)/12,0))-B374*IF($A425&gt;B377,1,IF($A425=B377,(13-B378)/12,0)))</f>
        <v>10352.0712561487</v>
      </c>
      <c r="C480" s="15">
        <f t="shared" si="146"/>
        <v>7281.2499981155579</v>
      </c>
      <c r="D480" s="15">
        <f t="shared" si="146"/>
        <v>7956.7531015618752</v>
      </c>
      <c r="E480" s="15">
        <f t="shared" si="146"/>
        <v>9550.1457995236797</v>
      </c>
      <c r="F480" s="15">
        <f t="shared" si="146"/>
        <v>10622.556910510799</v>
      </c>
      <c r="G480" s="15">
        <f t="shared" si="146"/>
        <v>10352.0712561487</v>
      </c>
      <c r="H480" s="15">
        <f t="shared" si="146"/>
        <v>9820.6314538857787</v>
      </c>
      <c r="I480" s="15">
        <f t="shared" si="146"/>
        <v>8522.836759098218</v>
      </c>
      <c r="J480" s="15">
        <f t="shared" si="146"/>
        <v>7281.2499981155579</v>
      </c>
      <c r="K480" s="15">
        <f t="shared" si="146"/>
        <v>6053.8497616339009</v>
      </c>
      <c r="L480" s="15">
        <f t="shared" si="146"/>
        <v>4951.9281513114165</v>
      </c>
      <c r="M480" s="15">
        <f t="shared" si="146"/>
        <v>3805.7374942741135</v>
      </c>
      <c r="N480" s="15">
        <f t="shared" si="146"/>
        <v>2665.2492783165744</v>
      </c>
      <c r="O480" s="15">
        <f t="shared" si="146"/>
        <v>1530.4351330852005</v>
      </c>
      <c r="P480" s="15">
        <f t="shared" si="146"/>
        <v>401.26682937236728</v>
      </c>
      <c r="Q480" s="15">
        <f t="shared" si="146"/>
        <v>-722.28372158563616</v>
      </c>
      <c r="R480" s="15">
        <f t="shared" si="146"/>
        <v>-1840.2444688075484</v>
      </c>
      <c r="S480" s="15">
        <f t="shared" si="146"/>
        <v>-2952.6432222621279</v>
      </c>
      <c r="T480" s="15">
        <f t="shared" si="146"/>
        <v>-4059.5076535602766</v>
      </c>
      <c r="U480" s="15">
        <f t="shared" si="146"/>
        <v>-5160.8652966429872</v>
      </c>
      <c r="V480" s="15">
        <f t="shared" si="146"/>
        <v>-6256.7435484665766</v>
      </c>
      <c r="W480" s="15">
        <f t="shared" si="146"/>
        <v>-7347.1696696841027</v>
      </c>
      <c r="X480" s="15">
        <f t="shared" si="146"/>
        <v>-8432.170785323462</v>
      </c>
      <c r="Y480" s="15">
        <f t="shared" si="146"/>
        <v>-9511.7738854620511</v>
      </c>
      <c r="Z480" s="15">
        <f t="shared" si="146"/>
        <v>-10586.005825898508</v>
      </c>
      <c r="AA480" s="15">
        <f t="shared" si="146"/>
        <v>6392.0712561486998</v>
      </c>
      <c r="AB480" s="15">
        <f t="shared" si="146"/>
        <v>14312.0712561487</v>
      </c>
    </row>
    <row r="481" spans="1:28">
      <c r="A481" s="21">
        <v>2066</v>
      </c>
      <c r="B481" s="15">
        <f t="shared" ref="B481:AB481" si="147">IF(OR($A426&lt;=B365,$A426&gt;p_orizz),"",B364-Tz_netto*($A426&lt;=B362)-Cm_netto*($A426&lt;=B363)-B373*IF($A426&gt;B375,1,IF($A426=B375,(13-B376)/12,0))-B374*IF($A426&gt;B377,1,IF($A426=B377,(13-B378)/12,0)))</f>
        <v>10352.0712561487</v>
      </c>
      <c r="C481" s="15">
        <f t="shared" si="147"/>
        <v>7281.2499981155579</v>
      </c>
      <c r="D481" s="15">
        <f t="shared" si="147"/>
        <v>7956.7531015618752</v>
      </c>
      <c r="E481" s="15">
        <f t="shared" si="147"/>
        <v>9550.1457995236797</v>
      </c>
      <c r="F481" s="15">
        <f t="shared" si="147"/>
        <v>10622.556910510799</v>
      </c>
      <c r="G481" s="15">
        <f t="shared" si="147"/>
        <v>10352.0712561487</v>
      </c>
      <c r="H481" s="15">
        <f t="shared" si="147"/>
        <v>9820.6314538857787</v>
      </c>
      <c r="I481" s="15">
        <f t="shared" si="147"/>
        <v>8522.836759098218</v>
      </c>
      <c r="J481" s="15">
        <f t="shared" si="147"/>
        <v>7281.2499981155579</v>
      </c>
      <c r="K481" s="15">
        <f t="shared" si="147"/>
        <v>6053.8497616339009</v>
      </c>
      <c r="L481" s="15">
        <f t="shared" si="147"/>
        <v>4951.9281513114165</v>
      </c>
      <c r="M481" s="15">
        <f t="shared" si="147"/>
        <v>3805.7374942741135</v>
      </c>
      <c r="N481" s="15">
        <f t="shared" si="147"/>
        <v>2665.2492783165744</v>
      </c>
      <c r="O481" s="15">
        <f t="shared" si="147"/>
        <v>1530.4351330852005</v>
      </c>
      <c r="P481" s="15">
        <f t="shared" si="147"/>
        <v>401.26682937236728</v>
      </c>
      <c r="Q481" s="15">
        <f t="shared" si="147"/>
        <v>-722.28372158563616</v>
      </c>
      <c r="R481" s="15">
        <f t="shared" si="147"/>
        <v>-1840.2444688075484</v>
      </c>
      <c r="S481" s="15">
        <f t="shared" si="147"/>
        <v>-2952.6432222621279</v>
      </c>
      <c r="T481" s="15">
        <f t="shared" si="147"/>
        <v>-4059.5076535602766</v>
      </c>
      <c r="U481" s="15">
        <f t="shared" si="147"/>
        <v>-5160.8652966429872</v>
      </c>
      <c r="V481" s="15">
        <f t="shared" si="147"/>
        <v>-6256.7435484665766</v>
      </c>
      <c r="W481" s="15">
        <f t="shared" si="147"/>
        <v>-7347.1696696841027</v>
      </c>
      <c r="X481" s="15">
        <f t="shared" si="147"/>
        <v>-8432.170785323462</v>
      </c>
      <c r="Y481" s="15">
        <f t="shared" si="147"/>
        <v>-9511.7738854620511</v>
      </c>
      <c r="Z481" s="15">
        <f t="shared" si="147"/>
        <v>-10586.005825898508</v>
      </c>
      <c r="AA481" s="15">
        <f t="shared" si="147"/>
        <v>6392.0712561486998</v>
      </c>
      <c r="AB481" s="15">
        <f t="shared" si="147"/>
        <v>14312.0712561487</v>
      </c>
    </row>
    <row r="482" spans="1:28">
      <c r="A482" s="21">
        <v>2067</v>
      </c>
      <c r="B482" s="15">
        <f t="shared" ref="B482:AB482" si="148">IF(OR($A427&lt;=B365,$A427&gt;p_orizz),"",B364-Tz_netto*($A427&lt;=B362)-Cm_netto*($A427&lt;=B363)-B373*IF($A427&gt;B375,1,IF($A427=B375,(13-B376)/12,0))-B374*IF($A427&gt;B377,1,IF($A427=B377,(13-B378)/12,0)))</f>
        <v>10352.0712561487</v>
      </c>
      <c r="C482" s="15">
        <f t="shared" si="148"/>
        <v>7281.2499981155579</v>
      </c>
      <c r="D482" s="15">
        <f t="shared" si="148"/>
        <v>7956.7531015618752</v>
      </c>
      <c r="E482" s="15">
        <f t="shared" si="148"/>
        <v>9550.1457995236797</v>
      </c>
      <c r="F482" s="15">
        <f t="shared" si="148"/>
        <v>10622.556910510799</v>
      </c>
      <c r="G482" s="15">
        <f t="shared" si="148"/>
        <v>10352.0712561487</v>
      </c>
      <c r="H482" s="15">
        <f t="shared" si="148"/>
        <v>9820.6314538857787</v>
      </c>
      <c r="I482" s="15">
        <f t="shared" si="148"/>
        <v>8522.836759098218</v>
      </c>
      <c r="J482" s="15">
        <f t="shared" si="148"/>
        <v>7281.2499981155579</v>
      </c>
      <c r="K482" s="15">
        <f t="shared" si="148"/>
        <v>6053.8497616339009</v>
      </c>
      <c r="L482" s="15">
        <f t="shared" si="148"/>
        <v>4951.9281513114165</v>
      </c>
      <c r="M482" s="15">
        <f t="shared" si="148"/>
        <v>3805.7374942741135</v>
      </c>
      <c r="N482" s="15">
        <f t="shared" si="148"/>
        <v>2665.2492783165744</v>
      </c>
      <c r="O482" s="15">
        <f t="shared" si="148"/>
        <v>1530.4351330852005</v>
      </c>
      <c r="P482" s="15">
        <f t="shared" si="148"/>
        <v>401.26682937236728</v>
      </c>
      <c r="Q482" s="15">
        <f t="shared" si="148"/>
        <v>-722.28372158563616</v>
      </c>
      <c r="R482" s="15">
        <f t="shared" si="148"/>
        <v>-1840.2444688075484</v>
      </c>
      <c r="S482" s="15">
        <f t="shared" si="148"/>
        <v>-2952.6432222621279</v>
      </c>
      <c r="T482" s="15">
        <f t="shared" si="148"/>
        <v>-4059.5076535602766</v>
      </c>
      <c r="U482" s="15">
        <f t="shared" si="148"/>
        <v>-5160.8652966429872</v>
      </c>
      <c r="V482" s="15">
        <f t="shared" si="148"/>
        <v>-6256.7435484665766</v>
      </c>
      <c r="W482" s="15">
        <f t="shared" si="148"/>
        <v>-7347.1696696841027</v>
      </c>
      <c r="X482" s="15">
        <f t="shared" si="148"/>
        <v>-8432.170785323462</v>
      </c>
      <c r="Y482" s="15">
        <f t="shared" si="148"/>
        <v>-9511.7738854620511</v>
      </c>
      <c r="Z482" s="15">
        <f t="shared" si="148"/>
        <v>-10586.005825898508</v>
      </c>
      <c r="AA482" s="15">
        <f t="shared" si="148"/>
        <v>6392.0712561486998</v>
      </c>
      <c r="AB482" s="15">
        <f t="shared" si="148"/>
        <v>14312.0712561487</v>
      </c>
    </row>
    <row r="483" spans="1:28">
      <c r="A483" s="21">
        <v>2068</v>
      </c>
      <c r="B483" s="15">
        <f t="shared" ref="B483:AB483" si="149">IF(OR($A428&lt;=B365,$A428&gt;p_orizz),"",B364-Tz_netto*($A428&lt;=B362)-Cm_netto*($A428&lt;=B363)-B373*IF($A428&gt;B375,1,IF($A428=B375,(13-B376)/12,0))-B374*IF($A428&gt;B377,1,IF($A428=B377,(13-B378)/12,0)))</f>
        <v>10352.0712561487</v>
      </c>
      <c r="C483" s="15">
        <f t="shared" si="149"/>
        <v>7281.2499981155579</v>
      </c>
      <c r="D483" s="15">
        <f t="shared" si="149"/>
        <v>7956.7531015618752</v>
      </c>
      <c r="E483" s="15">
        <f t="shared" si="149"/>
        <v>9550.1457995236797</v>
      </c>
      <c r="F483" s="15">
        <f t="shared" si="149"/>
        <v>10622.556910510799</v>
      </c>
      <c r="G483" s="15">
        <f t="shared" si="149"/>
        <v>10352.0712561487</v>
      </c>
      <c r="H483" s="15">
        <f t="shared" si="149"/>
        <v>9820.6314538857787</v>
      </c>
      <c r="I483" s="15">
        <f t="shared" si="149"/>
        <v>8522.836759098218</v>
      </c>
      <c r="J483" s="15">
        <f t="shared" si="149"/>
        <v>7281.2499981155579</v>
      </c>
      <c r="K483" s="15">
        <f t="shared" si="149"/>
        <v>6053.8497616339009</v>
      </c>
      <c r="L483" s="15">
        <f t="shared" si="149"/>
        <v>4951.9281513114165</v>
      </c>
      <c r="M483" s="15">
        <f t="shared" si="149"/>
        <v>3805.7374942741135</v>
      </c>
      <c r="N483" s="15">
        <f t="shared" si="149"/>
        <v>2665.2492783165744</v>
      </c>
      <c r="O483" s="15">
        <f t="shared" si="149"/>
        <v>1530.4351330852005</v>
      </c>
      <c r="P483" s="15">
        <f t="shared" si="149"/>
        <v>401.26682937236728</v>
      </c>
      <c r="Q483" s="15">
        <f t="shared" si="149"/>
        <v>-722.28372158563616</v>
      </c>
      <c r="R483" s="15">
        <f t="shared" si="149"/>
        <v>-1840.2444688075484</v>
      </c>
      <c r="S483" s="15">
        <f t="shared" si="149"/>
        <v>-2952.6432222621279</v>
      </c>
      <c r="T483" s="15">
        <f t="shared" si="149"/>
        <v>-4059.5076535602766</v>
      </c>
      <c r="U483" s="15">
        <f t="shared" si="149"/>
        <v>-5160.8652966429872</v>
      </c>
      <c r="V483" s="15">
        <f t="shared" si="149"/>
        <v>-6256.7435484665766</v>
      </c>
      <c r="W483" s="15">
        <f t="shared" si="149"/>
        <v>-7347.1696696841027</v>
      </c>
      <c r="X483" s="15">
        <f t="shared" si="149"/>
        <v>-8432.170785323462</v>
      </c>
      <c r="Y483" s="15">
        <f t="shared" si="149"/>
        <v>-9511.7738854620511</v>
      </c>
      <c r="Z483" s="15">
        <f t="shared" si="149"/>
        <v>-10586.005825898508</v>
      </c>
      <c r="AA483" s="15">
        <f t="shared" si="149"/>
        <v>6392.0712561486998</v>
      </c>
      <c r="AB483" s="15">
        <f t="shared" si="149"/>
        <v>14312.0712561487</v>
      </c>
    </row>
    <row r="484" spans="1:28">
      <c r="A484" s="21">
        <v>2069</v>
      </c>
      <c r="B484" s="15">
        <f t="shared" ref="B484:AB484" si="150">IF(OR($A429&lt;=B365,$A429&gt;p_orizz),"",B364-Tz_netto*($A429&lt;=B362)-Cm_netto*($A429&lt;=B363)-B373*IF($A429&gt;B375,1,IF($A429=B375,(13-B376)/12,0))-B374*IF($A429&gt;B377,1,IF($A429=B377,(13-B378)/12,0)))</f>
        <v>10352.0712561487</v>
      </c>
      <c r="C484" s="15">
        <f t="shared" si="150"/>
        <v>7281.2499981155579</v>
      </c>
      <c r="D484" s="15">
        <f t="shared" si="150"/>
        <v>7956.7531015618752</v>
      </c>
      <c r="E484" s="15">
        <f t="shared" si="150"/>
        <v>9550.1457995236797</v>
      </c>
      <c r="F484" s="15">
        <f t="shared" si="150"/>
        <v>10622.556910510799</v>
      </c>
      <c r="G484" s="15">
        <f t="shared" si="150"/>
        <v>10352.0712561487</v>
      </c>
      <c r="H484" s="15">
        <f t="shared" si="150"/>
        <v>9820.6314538857787</v>
      </c>
      <c r="I484" s="15">
        <f t="shared" si="150"/>
        <v>8522.836759098218</v>
      </c>
      <c r="J484" s="15">
        <f t="shared" si="150"/>
        <v>7281.2499981155579</v>
      </c>
      <c r="K484" s="15">
        <f t="shared" si="150"/>
        <v>6053.8497616339009</v>
      </c>
      <c r="L484" s="15">
        <f t="shared" si="150"/>
        <v>4951.9281513114165</v>
      </c>
      <c r="M484" s="15">
        <f t="shared" si="150"/>
        <v>3805.7374942741135</v>
      </c>
      <c r="N484" s="15">
        <f t="shared" si="150"/>
        <v>2665.2492783165744</v>
      </c>
      <c r="O484" s="15">
        <f t="shared" si="150"/>
        <v>1530.4351330852005</v>
      </c>
      <c r="P484" s="15">
        <f t="shared" si="150"/>
        <v>401.26682937236728</v>
      </c>
      <c r="Q484" s="15">
        <f t="shared" si="150"/>
        <v>-722.28372158563616</v>
      </c>
      <c r="R484" s="15">
        <f t="shared" si="150"/>
        <v>-1840.2444688075484</v>
      </c>
      <c r="S484" s="15">
        <f t="shared" si="150"/>
        <v>-2952.6432222621279</v>
      </c>
      <c r="T484" s="15">
        <f t="shared" si="150"/>
        <v>-4059.5076535602766</v>
      </c>
      <c r="U484" s="15">
        <f t="shared" si="150"/>
        <v>-5160.8652966429872</v>
      </c>
      <c r="V484" s="15">
        <f t="shared" si="150"/>
        <v>-6256.7435484665766</v>
      </c>
      <c r="W484" s="15">
        <f t="shared" si="150"/>
        <v>-7347.1696696841027</v>
      </c>
      <c r="X484" s="15">
        <f t="shared" si="150"/>
        <v>-8432.170785323462</v>
      </c>
      <c r="Y484" s="15">
        <f t="shared" si="150"/>
        <v>-9511.7738854620511</v>
      </c>
      <c r="Z484" s="15">
        <f t="shared" si="150"/>
        <v>-10586.005825898508</v>
      </c>
      <c r="AA484" s="15">
        <f t="shared" si="150"/>
        <v>6392.0712561486998</v>
      </c>
      <c r="AB484" s="15">
        <f t="shared" si="150"/>
        <v>14312.0712561487</v>
      </c>
    </row>
    <row r="485" spans="1:28">
      <c r="A485" s="21">
        <v>2070</v>
      </c>
      <c r="B485" s="15">
        <f t="shared" ref="B485:AB485" si="151">IF(OR($A430&lt;=B365,$A430&gt;p_orizz),"",B364-Tz_netto*($A430&lt;=B362)-Cm_netto*($A430&lt;=B363)-B373*IF($A430&gt;B375,1,IF($A430=B375,(13-B376)/12,0))-B374*IF($A430&gt;B377,1,IF($A430=B377,(13-B378)/12,0)))</f>
        <v>10352.0712561487</v>
      </c>
      <c r="C485" s="15">
        <f t="shared" si="151"/>
        <v>7281.2499981155579</v>
      </c>
      <c r="D485" s="15">
        <f t="shared" si="151"/>
        <v>7956.7531015618752</v>
      </c>
      <c r="E485" s="15">
        <f t="shared" si="151"/>
        <v>9550.1457995236797</v>
      </c>
      <c r="F485" s="15">
        <f t="shared" si="151"/>
        <v>10622.556910510799</v>
      </c>
      <c r="G485" s="15">
        <f t="shared" si="151"/>
        <v>10352.0712561487</v>
      </c>
      <c r="H485" s="15">
        <f t="shared" si="151"/>
        <v>9820.6314538857787</v>
      </c>
      <c r="I485" s="15">
        <f t="shared" si="151"/>
        <v>8522.836759098218</v>
      </c>
      <c r="J485" s="15">
        <f t="shared" si="151"/>
        <v>7281.2499981155579</v>
      </c>
      <c r="K485" s="15">
        <f t="shared" si="151"/>
        <v>6053.8497616339009</v>
      </c>
      <c r="L485" s="15">
        <f t="shared" si="151"/>
        <v>4951.9281513114165</v>
      </c>
      <c r="M485" s="15">
        <f t="shared" si="151"/>
        <v>3805.7374942741135</v>
      </c>
      <c r="N485" s="15">
        <f t="shared" si="151"/>
        <v>2665.2492783165744</v>
      </c>
      <c r="O485" s="15">
        <f t="shared" si="151"/>
        <v>1530.4351330852005</v>
      </c>
      <c r="P485" s="15">
        <f t="shared" si="151"/>
        <v>401.26682937236728</v>
      </c>
      <c r="Q485" s="15">
        <f t="shared" si="151"/>
        <v>-722.28372158563616</v>
      </c>
      <c r="R485" s="15">
        <f t="shared" si="151"/>
        <v>-1840.2444688075484</v>
      </c>
      <c r="S485" s="15">
        <f t="shared" si="151"/>
        <v>-2952.6432222621279</v>
      </c>
      <c r="T485" s="15">
        <f t="shared" si="151"/>
        <v>-4059.5076535602766</v>
      </c>
      <c r="U485" s="15">
        <f t="shared" si="151"/>
        <v>-5160.8652966429872</v>
      </c>
      <c r="V485" s="15">
        <f t="shared" si="151"/>
        <v>-6256.7435484665766</v>
      </c>
      <c r="W485" s="15">
        <f t="shared" si="151"/>
        <v>-7347.1696696841027</v>
      </c>
      <c r="X485" s="15">
        <f t="shared" si="151"/>
        <v>-8432.170785323462</v>
      </c>
      <c r="Y485" s="15">
        <f t="shared" si="151"/>
        <v>-9511.7738854620511</v>
      </c>
      <c r="Z485" s="15">
        <f t="shared" si="151"/>
        <v>-10586.005825898508</v>
      </c>
      <c r="AA485" s="15">
        <f t="shared" si="151"/>
        <v>6392.0712561486998</v>
      </c>
      <c r="AB485" s="15">
        <f t="shared" si="151"/>
        <v>14312.0712561487</v>
      </c>
    </row>
    <row r="486" spans="1:28">
      <c r="A486" s="21">
        <v>2071</v>
      </c>
      <c r="B486" s="15">
        <f t="shared" ref="B486:AB486" si="152">IF(OR($A431&lt;=B365,$A431&gt;p_orizz),"",B364-Tz_netto*($A431&lt;=B362)-Cm_netto*($A431&lt;=B363)-B373*IF($A431&gt;B375,1,IF($A431=B375,(13-B376)/12,0))-B374*IF($A431&gt;B377,1,IF($A431=B377,(13-B378)/12,0)))</f>
        <v>10352.0712561487</v>
      </c>
      <c r="C486" s="15">
        <f t="shared" si="152"/>
        <v>7281.2499981155579</v>
      </c>
      <c r="D486" s="15">
        <f t="shared" si="152"/>
        <v>7956.7531015618752</v>
      </c>
      <c r="E486" s="15">
        <f t="shared" si="152"/>
        <v>9550.1457995236797</v>
      </c>
      <c r="F486" s="15">
        <f t="shared" si="152"/>
        <v>10622.556910510799</v>
      </c>
      <c r="G486" s="15">
        <f t="shared" si="152"/>
        <v>10352.0712561487</v>
      </c>
      <c r="H486" s="15">
        <f t="shared" si="152"/>
        <v>9820.6314538857787</v>
      </c>
      <c r="I486" s="15">
        <f t="shared" si="152"/>
        <v>8522.836759098218</v>
      </c>
      <c r="J486" s="15">
        <f t="shared" si="152"/>
        <v>7281.2499981155579</v>
      </c>
      <c r="K486" s="15">
        <f t="shared" si="152"/>
        <v>6053.8497616339009</v>
      </c>
      <c r="L486" s="15">
        <f t="shared" si="152"/>
        <v>4951.9281513114165</v>
      </c>
      <c r="M486" s="15">
        <f t="shared" si="152"/>
        <v>3805.7374942741135</v>
      </c>
      <c r="N486" s="15">
        <f t="shared" si="152"/>
        <v>2665.2492783165744</v>
      </c>
      <c r="O486" s="15">
        <f t="shared" si="152"/>
        <v>1530.4351330852005</v>
      </c>
      <c r="P486" s="15">
        <f t="shared" si="152"/>
        <v>401.26682937236728</v>
      </c>
      <c r="Q486" s="15">
        <f t="shared" si="152"/>
        <v>-722.28372158563616</v>
      </c>
      <c r="R486" s="15">
        <f t="shared" si="152"/>
        <v>-1840.2444688075484</v>
      </c>
      <c r="S486" s="15">
        <f t="shared" si="152"/>
        <v>-2952.6432222621279</v>
      </c>
      <c r="T486" s="15">
        <f t="shared" si="152"/>
        <v>-4059.5076535602766</v>
      </c>
      <c r="U486" s="15">
        <f t="shared" si="152"/>
        <v>-5160.8652966429872</v>
      </c>
      <c r="V486" s="15">
        <f t="shared" si="152"/>
        <v>-6256.7435484665766</v>
      </c>
      <c r="W486" s="15">
        <f t="shared" si="152"/>
        <v>-7347.1696696841027</v>
      </c>
      <c r="X486" s="15">
        <f t="shared" si="152"/>
        <v>-8432.170785323462</v>
      </c>
      <c r="Y486" s="15">
        <f t="shared" si="152"/>
        <v>-9511.7738854620511</v>
      </c>
      <c r="Z486" s="15">
        <f t="shared" si="152"/>
        <v>-10586.005825898508</v>
      </c>
      <c r="AA486" s="15">
        <f t="shared" si="152"/>
        <v>6392.0712561486998</v>
      </c>
      <c r="AB486" s="15">
        <f t="shared" si="152"/>
        <v>14312.0712561487</v>
      </c>
    </row>
    <row r="487" spans="1:28">
      <c r="A487" s="21">
        <v>2072</v>
      </c>
      <c r="B487" s="15">
        <f t="shared" ref="B487:AB487" si="153">IF(OR($A432&lt;=B365,$A432&gt;p_orizz),"",B364-Tz_netto*($A432&lt;=B362)-Cm_netto*($A432&lt;=B363)-B373*IF($A432&gt;B375,1,IF($A432=B375,(13-B376)/12,0))-B374*IF($A432&gt;B377,1,IF($A432=B377,(13-B378)/12,0)))</f>
        <v>10352.0712561487</v>
      </c>
      <c r="C487" s="15">
        <f t="shared" si="153"/>
        <v>7281.2499981155579</v>
      </c>
      <c r="D487" s="15">
        <f t="shared" si="153"/>
        <v>7956.7531015618752</v>
      </c>
      <c r="E487" s="15">
        <f t="shared" si="153"/>
        <v>9550.1457995236797</v>
      </c>
      <c r="F487" s="15">
        <f t="shared" si="153"/>
        <v>10622.556910510799</v>
      </c>
      <c r="G487" s="15">
        <f t="shared" si="153"/>
        <v>10352.0712561487</v>
      </c>
      <c r="H487" s="15">
        <f t="shared" si="153"/>
        <v>9820.6314538857787</v>
      </c>
      <c r="I487" s="15">
        <f t="shared" si="153"/>
        <v>8522.836759098218</v>
      </c>
      <c r="J487" s="15">
        <f t="shared" si="153"/>
        <v>7281.2499981155579</v>
      </c>
      <c r="K487" s="15">
        <f t="shared" si="153"/>
        <v>6053.8497616339009</v>
      </c>
      <c r="L487" s="15">
        <f t="shared" si="153"/>
        <v>4951.9281513114165</v>
      </c>
      <c r="M487" s="15">
        <f t="shared" si="153"/>
        <v>3805.7374942741135</v>
      </c>
      <c r="N487" s="15">
        <f t="shared" si="153"/>
        <v>2665.2492783165744</v>
      </c>
      <c r="O487" s="15">
        <f t="shared" si="153"/>
        <v>1530.4351330852005</v>
      </c>
      <c r="P487" s="15">
        <f t="shared" si="153"/>
        <v>401.26682937236728</v>
      </c>
      <c r="Q487" s="15">
        <f t="shared" si="153"/>
        <v>-722.28372158563616</v>
      </c>
      <c r="R487" s="15">
        <f t="shared" si="153"/>
        <v>-1840.2444688075484</v>
      </c>
      <c r="S487" s="15">
        <f t="shared" si="153"/>
        <v>-2952.6432222621279</v>
      </c>
      <c r="T487" s="15">
        <f t="shared" si="153"/>
        <v>-4059.5076535602766</v>
      </c>
      <c r="U487" s="15">
        <f t="shared" si="153"/>
        <v>-5160.8652966429872</v>
      </c>
      <c r="V487" s="15">
        <f t="shared" si="153"/>
        <v>-6256.7435484665766</v>
      </c>
      <c r="W487" s="15">
        <f t="shared" si="153"/>
        <v>-7347.1696696841027</v>
      </c>
      <c r="X487" s="15">
        <f t="shared" si="153"/>
        <v>-8432.170785323462</v>
      </c>
      <c r="Y487" s="15">
        <f t="shared" si="153"/>
        <v>-9511.7738854620511</v>
      </c>
      <c r="Z487" s="15">
        <f t="shared" si="153"/>
        <v>-10586.005825898508</v>
      </c>
      <c r="AA487" s="15">
        <f t="shared" si="153"/>
        <v>6392.0712561486998</v>
      </c>
      <c r="AB487" s="15">
        <f t="shared" si="153"/>
        <v>14312.0712561487</v>
      </c>
    </row>
    <row r="488" spans="1:28">
      <c r="A488" s="21">
        <v>2073</v>
      </c>
      <c r="B488" s="15">
        <f t="shared" ref="B488:AB488" si="154">IF(OR($A433&lt;=B365,$A433&gt;p_orizz),"",B364-Tz_netto*($A433&lt;=B362)-Cm_netto*($A433&lt;=B363)-B373*IF($A433&gt;B375,1,IF($A433=B375,(13-B376)/12,0))-B374*IF($A433&gt;B377,1,IF($A433=B377,(13-B378)/12,0)))</f>
        <v>10352.0712561487</v>
      </c>
      <c r="C488" s="15">
        <f t="shared" si="154"/>
        <v>7281.2499981155579</v>
      </c>
      <c r="D488" s="15">
        <f t="shared" si="154"/>
        <v>7956.7531015618752</v>
      </c>
      <c r="E488" s="15">
        <f t="shared" si="154"/>
        <v>9550.1457995236797</v>
      </c>
      <c r="F488" s="15">
        <f t="shared" si="154"/>
        <v>10622.556910510799</v>
      </c>
      <c r="G488" s="15">
        <f t="shared" si="154"/>
        <v>10352.0712561487</v>
      </c>
      <c r="H488" s="15">
        <f t="shared" si="154"/>
        <v>9820.6314538857787</v>
      </c>
      <c r="I488" s="15">
        <f t="shared" si="154"/>
        <v>8522.836759098218</v>
      </c>
      <c r="J488" s="15">
        <f t="shared" si="154"/>
        <v>7281.2499981155579</v>
      </c>
      <c r="K488" s="15">
        <f t="shared" si="154"/>
        <v>6053.8497616339009</v>
      </c>
      <c r="L488" s="15">
        <f t="shared" si="154"/>
        <v>4951.9281513114165</v>
      </c>
      <c r="M488" s="15">
        <f t="shared" si="154"/>
        <v>3805.7374942741135</v>
      </c>
      <c r="N488" s="15">
        <f t="shared" si="154"/>
        <v>2665.2492783165744</v>
      </c>
      <c r="O488" s="15">
        <f t="shared" si="154"/>
        <v>1530.4351330852005</v>
      </c>
      <c r="P488" s="15">
        <f t="shared" si="154"/>
        <v>401.26682937236728</v>
      </c>
      <c r="Q488" s="15">
        <f t="shared" si="154"/>
        <v>-722.28372158563616</v>
      </c>
      <c r="R488" s="15">
        <f t="shared" si="154"/>
        <v>-1840.2444688075484</v>
      </c>
      <c r="S488" s="15">
        <f t="shared" si="154"/>
        <v>-2952.6432222621279</v>
      </c>
      <c r="T488" s="15">
        <f t="shared" si="154"/>
        <v>-4059.5076535602766</v>
      </c>
      <c r="U488" s="15">
        <f t="shared" si="154"/>
        <v>-5160.8652966429872</v>
      </c>
      <c r="V488" s="15">
        <f t="shared" si="154"/>
        <v>-6256.7435484665766</v>
      </c>
      <c r="W488" s="15">
        <f t="shared" si="154"/>
        <v>-7347.1696696841027</v>
      </c>
      <c r="X488" s="15">
        <f t="shared" si="154"/>
        <v>-8432.170785323462</v>
      </c>
      <c r="Y488" s="15">
        <f t="shared" si="154"/>
        <v>-9511.7738854620511</v>
      </c>
      <c r="Z488" s="15">
        <f t="shared" si="154"/>
        <v>-10586.005825898508</v>
      </c>
      <c r="AA488" s="15">
        <f t="shared" si="154"/>
        <v>6392.0712561486998</v>
      </c>
      <c r="AB488" s="15">
        <f t="shared" si="154"/>
        <v>14312.0712561487</v>
      </c>
    </row>
    <row r="489" spans="1:28">
      <c r="A489" s="21">
        <v>2074</v>
      </c>
      <c r="B489" s="15">
        <f t="shared" ref="B489:AB489" si="155">IF(OR($A434&lt;=B365,$A434&gt;p_orizz),"",B364-Tz_netto*($A434&lt;=B362)-Cm_netto*($A434&lt;=B363)-B373*IF($A434&gt;B375,1,IF($A434=B375,(13-B376)/12,0))-B374*IF($A434&gt;B377,1,IF($A434=B377,(13-B378)/12,0)))</f>
        <v>10352.0712561487</v>
      </c>
      <c r="C489" s="15">
        <f t="shared" si="155"/>
        <v>7281.2499981155579</v>
      </c>
      <c r="D489" s="15">
        <f t="shared" si="155"/>
        <v>7956.7531015618752</v>
      </c>
      <c r="E489" s="15">
        <f t="shared" si="155"/>
        <v>9550.1457995236797</v>
      </c>
      <c r="F489" s="15">
        <f t="shared" si="155"/>
        <v>10622.556910510799</v>
      </c>
      <c r="G489" s="15">
        <f t="shared" si="155"/>
        <v>10352.0712561487</v>
      </c>
      <c r="H489" s="15">
        <f t="shared" si="155"/>
        <v>9820.6314538857787</v>
      </c>
      <c r="I489" s="15">
        <f t="shared" si="155"/>
        <v>8522.836759098218</v>
      </c>
      <c r="J489" s="15">
        <f t="shared" si="155"/>
        <v>7281.2499981155579</v>
      </c>
      <c r="K489" s="15">
        <f t="shared" si="155"/>
        <v>6053.8497616339009</v>
      </c>
      <c r="L489" s="15">
        <f t="shared" si="155"/>
        <v>4951.9281513114165</v>
      </c>
      <c r="M489" s="15">
        <f t="shared" si="155"/>
        <v>3805.7374942741135</v>
      </c>
      <c r="N489" s="15">
        <f t="shared" si="155"/>
        <v>2665.2492783165744</v>
      </c>
      <c r="O489" s="15">
        <f t="shared" si="155"/>
        <v>1530.4351330852005</v>
      </c>
      <c r="P489" s="15">
        <f t="shared" si="155"/>
        <v>401.26682937236728</v>
      </c>
      <c r="Q489" s="15">
        <f t="shared" si="155"/>
        <v>-722.28372158563616</v>
      </c>
      <c r="R489" s="15">
        <f t="shared" si="155"/>
        <v>-1840.2444688075484</v>
      </c>
      <c r="S489" s="15">
        <f t="shared" si="155"/>
        <v>-2952.6432222621279</v>
      </c>
      <c r="T489" s="15">
        <f t="shared" si="155"/>
        <v>-4059.5076535602766</v>
      </c>
      <c r="U489" s="15">
        <f t="shared" si="155"/>
        <v>-5160.8652966429872</v>
      </c>
      <c r="V489" s="15">
        <f t="shared" si="155"/>
        <v>-6256.7435484665766</v>
      </c>
      <c r="W489" s="15">
        <f t="shared" si="155"/>
        <v>-7347.1696696841027</v>
      </c>
      <c r="X489" s="15">
        <f t="shared" si="155"/>
        <v>-8432.170785323462</v>
      </c>
      <c r="Y489" s="15">
        <f t="shared" si="155"/>
        <v>-9511.7738854620511</v>
      </c>
      <c r="Z489" s="15">
        <f t="shared" si="155"/>
        <v>-10586.005825898508</v>
      </c>
      <c r="AA489" s="15">
        <f t="shared" si="155"/>
        <v>6392.0712561486998</v>
      </c>
      <c r="AB489" s="15">
        <f t="shared" si="155"/>
        <v>14312.0712561487</v>
      </c>
    </row>
    <row r="490" spans="1:28">
      <c r="A490" s="21">
        <v>2075</v>
      </c>
      <c r="B490" s="15">
        <f t="shared" ref="B490:AB490" si="156">IF(OR($A435&lt;=B365,$A435&gt;p_orizz),"",B364-Tz_netto*($A435&lt;=B362)-Cm_netto*($A435&lt;=B363)-B373*IF($A435&gt;B375,1,IF($A435=B375,(13-B376)/12,0))-B374*IF($A435&gt;B377,1,IF($A435=B377,(13-B378)/12,0)))</f>
        <v>10352.0712561487</v>
      </c>
      <c r="C490" s="15">
        <f t="shared" si="156"/>
        <v>7281.2499981155579</v>
      </c>
      <c r="D490" s="15">
        <f t="shared" si="156"/>
        <v>7956.7531015618752</v>
      </c>
      <c r="E490" s="15">
        <f t="shared" si="156"/>
        <v>9550.1457995236797</v>
      </c>
      <c r="F490" s="15">
        <f t="shared" si="156"/>
        <v>10622.556910510799</v>
      </c>
      <c r="G490" s="15">
        <f t="shared" si="156"/>
        <v>10352.0712561487</v>
      </c>
      <c r="H490" s="15">
        <f t="shared" si="156"/>
        <v>9820.6314538857787</v>
      </c>
      <c r="I490" s="15">
        <f t="shared" si="156"/>
        <v>8522.836759098218</v>
      </c>
      <c r="J490" s="15">
        <f t="shared" si="156"/>
        <v>7281.2499981155579</v>
      </c>
      <c r="K490" s="15">
        <f t="shared" si="156"/>
        <v>6053.8497616339009</v>
      </c>
      <c r="L490" s="15">
        <f t="shared" si="156"/>
        <v>4951.9281513114165</v>
      </c>
      <c r="M490" s="15">
        <f t="shared" si="156"/>
        <v>3805.7374942741135</v>
      </c>
      <c r="N490" s="15">
        <f t="shared" si="156"/>
        <v>2665.2492783165744</v>
      </c>
      <c r="O490" s="15">
        <f t="shared" si="156"/>
        <v>1530.4351330852005</v>
      </c>
      <c r="P490" s="15">
        <f t="shared" si="156"/>
        <v>401.26682937236728</v>
      </c>
      <c r="Q490" s="15">
        <f t="shared" si="156"/>
        <v>-722.28372158563616</v>
      </c>
      <c r="R490" s="15">
        <f t="shared" si="156"/>
        <v>-1840.2444688075484</v>
      </c>
      <c r="S490" s="15">
        <f t="shared" si="156"/>
        <v>-2952.6432222621279</v>
      </c>
      <c r="T490" s="15">
        <f t="shared" si="156"/>
        <v>-4059.5076535602766</v>
      </c>
      <c r="U490" s="15">
        <f t="shared" si="156"/>
        <v>-5160.8652966429872</v>
      </c>
      <c r="V490" s="15">
        <f t="shared" si="156"/>
        <v>-6256.7435484665766</v>
      </c>
      <c r="W490" s="15">
        <f t="shared" si="156"/>
        <v>-7347.1696696841027</v>
      </c>
      <c r="X490" s="15">
        <f t="shared" si="156"/>
        <v>-8432.170785323462</v>
      </c>
      <c r="Y490" s="15">
        <f t="shared" si="156"/>
        <v>-9511.7738854620511</v>
      </c>
      <c r="Z490" s="15">
        <f t="shared" si="156"/>
        <v>-10586.005825898508</v>
      </c>
      <c r="AA490" s="15">
        <f t="shared" si="156"/>
        <v>6392.0712561486998</v>
      </c>
      <c r="AB490" s="15">
        <f t="shared" si="156"/>
        <v>14312.0712561487</v>
      </c>
    </row>
    <row r="491" spans="1:28">
      <c r="A491" s="21">
        <v>2076</v>
      </c>
      <c r="B491" s="15">
        <f t="shared" ref="B491:AB491" si="157">IF(OR($A436&lt;=B365,$A436&gt;p_orizz),"",B364-Tz_netto*($A436&lt;=B362)-Cm_netto*($A436&lt;=B363)-B373*IF($A436&gt;B375,1,IF($A436=B375,(13-B376)/12,0))-B374*IF($A436&gt;B377,1,IF($A436=B377,(13-B378)/12,0)))</f>
        <v>10352.0712561487</v>
      </c>
      <c r="C491" s="15">
        <f t="shared" si="157"/>
        <v>7281.2499981155579</v>
      </c>
      <c r="D491" s="15">
        <f t="shared" si="157"/>
        <v>7956.7531015618752</v>
      </c>
      <c r="E491" s="15">
        <f t="shared" si="157"/>
        <v>9550.1457995236797</v>
      </c>
      <c r="F491" s="15">
        <f t="shared" si="157"/>
        <v>10622.556910510799</v>
      </c>
      <c r="G491" s="15">
        <f t="shared" si="157"/>
        <v>10352.0712561487</v>
      </c>
      <c r="H491" s="15">
        <f t="shared" si="157"/>
        <v>9820.6314538857787</v>
      </c>
      <c r="I491" s="15">
        <f t="shared" si="157"/>
        <v>8522.836759098218</v>
      </c>
      <c r="J491" s="15">
        <f t="shared" si="157"/>
        <v>7281.2499981155579</v>
      </c>
      <c r="K491" s="15">
        <f t="shared" si="157"/>
        <v>6053.8497616339009</v>
      </c>
      <c r="L491" s="15">
        <f t="shared" si="157"/>
        <v>4951.9281513114165</v>
      </c>
      <c r="M491" s="15">
        <f t="shared" si="157"/>
        <v>3805.7374942741135</v>
      </c>
      <c r="N491" s="15">
        <f t="shared" si="157"/>
        <v>2665.2492783165744</v>
      </c>
      <c r="O491" s="15">
        <f t="shared" si="157"/>
        <v>1530.4351330852005</v>
      </c>
      <c r="P491" s="15">
        <f t="shared" si="157"/>
        <v>401.26682937236728</v>
      </c>
      <c r="Q491" s="15">
        <f t="shared" si="157"/>
        <v>-722.28372158563616</v>
      </c>
      <c r="R491" s="15">
        <f t="shared" si="157"/>
        <v>-1840.2444688075484</v>
      </c>
      <c r="S491" s="15">
        <f t="shared" si="157"/>
        <v>-2952.6432222621279</v>
      </c>
      <c r="T491" s="15">
        <f t="shared" si="157"/>
        <v>-4059.5076535602766</v>
      </c>
      <c r="U491" s="15">
        <f t="shared" si="157"/>
        <v>-5160.8652966429872</v>
      </c>
      <c r="V491" s="15">
        <f t="shared" si="157"/>
        <v>-6256.7435484665766</v>
      </c>
      <c r="W491" s="15">
        <f t="shared" si="157"/>
        <v>-7347.1696696841027</v>
      </c>
      <c r="X491" s="15">
        <f t="shared" si="157"/>
        <v>-8432.170785323462</v>
      </c>
      <c r="Y491" s="15">
        <f t="shared" si="157"/>
        <v>-9511.7738854620511</v>
      </c>
      <c r="Z491" s="15">
        <f t="shared" si="157"/>
        <v>-10586.005825898508</v>
      </c>
      <c r="AA491" s="15">
        <f t="shared" si="157"/>
        <v>6392.0712561486998</v>
      </c>
      <c r="AB491" s="15">
        <f t="shared" si="157"/>
        <v>14312.0712561487</v>
      </c>
    </row>
    <row r="492" spans="1:28">
      <c r="A492" s="21">
        <v>2077</v>
      </c>
      <c r="B492" s="15">
        <f t="shared" ref="B492:AB492" si="158">IF(OR($A437&lt;=B365,$A437&gt;p_orizz),"",B364-Tz_netto*($A437&lt;=B362)-Cm_netto*($A437&lt;=B363)-B373*IF($A437&gt;B375,1,IF($A437=B375,(13-B376)/12,0))-B374*IF($A437&gt;B377,1,IF($A437=B377,(13-B378)/12,0)))</f>
        <v>10352.0712561487</v>
      </c>
      <c r="C492" s="15">
        <f t="shared" si="158"/>
        <v>7281.2499981155579</v>
      </c>
      <c r="D492" s="15">
        <f t="shared" si="158"/>
        <v>7956.7531015618752</v>
      </c>
      <c r="E492" s="15">
        <f t="shared" si="158"/>
        <v>9550.1457995236797</v>
      </c>
      <c r="F492" s="15">
        <f t="shared" si="158"/>
        <v>10622.556910510799</v>
      </c>
      <c r="G492" s="15">
        <f t="shared" si="158"/>
        <v>10352.0712561487</v>
      </c>
      <c r="H492" s="15">
        <f t="shared" si="158"/>
        <v>9820.6314538857787</v>
      </c>
      <c r="I492" s="15">
        <f t="shared" si="158"/>
        <v>8522.836759098218</v>
      </c>
      <c r="J492" s="15">
        <f t="shared" si="158"/>
        <v>7281.2499981155579</v>
      </c>
      <c r="K492" s="15">
        <f t="shared" si="158"/>
        <v>6053.8497616339009</v>
      </c>
      <c r="L492" s="15">
        <f t="shared" si="158"/>
        <v>4951.9281513114165</v>
      </c>
      <c r="M492" s="15">
        <f t="shared" si="158"/>
        <v>3805.7374942741135</v>
      </c>
      <c r="N492" s="15">
        <f t="shared" si="158"/>
        <v>2665.2492783165744</v>
      </c>
      <c r="O492" s="15">
        <f t="shared" si="158"/>
        <v>1530.4351330852005</v>
      </c>
      <c r="P492" s="15">
        <f t="shared" si="158"/>
        <v>401.26682937236728</v>
      </c>
      <c r="Q492" s="15">
        <f t="shared" si="158"/>
        <v>-722.28372158563616</v>
      </c>
      <c r="R492" s="15">
        <f t="shared" si="158"/>
        <v>-1840.2444688075484</v>
      </c>
      <c r="S492" s="15">
        <f t="shared" si="158"/>
        <v>-2952.6432222621279</v>
      </c>
      <c r="T492" s="15">
        <f t="shared" si="158"/>
        <v>-4059.5076535602766</v>
      </c>
      <c r="U492" s="15">
        <f t="shared" si="158"/>
        <v>-5160.8652966429872</v>
      </c>
      <c r="V492" s="15">
        <f t="shared" si="158"/>
        <v>-6256.7435484665766</v>
      </c>
      <c r="W492" s="15">
        <f t="shared" si="158"/>
        <v>-7347.1696696841027</v>
      </c>
      <c r="X492" s="15">
        <f t="shared" si="158"/>
        <v>-8432.170785323462</v>
      </c>
      <c r="Y492" s="15">
        <f t="shared" si="158"/>
        <v>-9511.7738854620511</v>
      </c>
      <c r="Z492" s="15">
        <f t="shared" si="158"/>
        <v>-10586.005825898508</v>
      </c>
      <c r="AA492" s="15">
        <f t="shared" si="158"/>
        <v>6392.0712561486998</v>
      </c>
      <c r="AB492" s="15">
        <f t="shared" si="158"/>
        <v>14312.0712561487</v>
      </c>
    </row>
    <row r="493" spans="1:28">
      <c r="A493" s="21">
        <v>2078</v>
      </c>
      <c r="B493" s="15">
        <f t="shared" ref="B493:AB493" si="159">IF(OR($A438&lt;=B365,$A438&gt;p_orizz),"",B364-Tz_netto*($A438&lt;=B362)-Cm_netto*($A438&lt;=B363)-B373*IF($A438&gt;B375,1,IF($A438=B375,(13-B376)/12,0))-B374*IF($A438&gt;B377,1,IF($A438=B377,(13-B378)/12,0)))</f>
        <v>10352.0712561487</v>
      </c>
      <c r="C493" s="15">
        <f t="shared" si="159"/>
        <v>7281.2499981155579</v>
      </c>
      <c r="D493" s="15">
        <f t="shared" si="159"/>
        <v>7956.7531015618752</v>
      </c>
      <c r="E493" s="15">
        <f t="shared" si="159"/>
        <v>9550.1457995236797</v>
      </c>
      <c r="F493" s="15">
        <f t="shared" si="159"/>
        <v>10622.556910510799</v>
      </c>
      <c r="G493" s="15">
        <f t="shared" si="159"/>
        <v>10352.0712561487</v>
      </c>
      <c r="H493" s="15">
        <f t="shared" si="159"/>
        <v>9820.6314538857787</v>
      </c>
      <c r="I493" s="15">
        <f t="shared" si="159"/>
        <v>8522.836759098218</v>
      </c>
      <c r="J493" s="15">
        <f t="shared" si="159"/>
        <v>7281.2499981155579</v>
      </c>
      <c r="K493" s="15">
        <f t="shared" si="159"/>
        <v>6053.8497616339009</v>
      </c>
      <c r="L493" s="15">
        <f t="shared" si="159"/>
        <v>4951.9281513114165</v>
      </c>
      <c r="M493" s="15">
        <f t="shared" si="159"/>
        <v>3805.7374942741135</v>
      </c>
      <c r="N493" s="15">
        <f t="shared" si="159"/>
        <v>2665.2492783165744</v>
      </c>
      <c r="O493" s="15">
        <f t="shared" si="159"/>
        <v>1530.4351330852005</v>
      </c>
      <c r="P493" s="15">
        <f t="shared" si="159"/>
        <v>401.26682937236728</v>
      </c>
      <c r="Q493" s="15">
        <f t="shared" si="159"/>
        <v>-722.28372158563616</v>
      </c>
      <c r="R493" s="15">
        <f t="shared" si="159"/>
        <v>-1840.2444688075484</v>
      </c>
      <c r="S493" s="15">
        <f t="shared" si="159"/>
        <v>-2952.6432222621279</v>
      </c>
      <c r="T493" s="15">
        <f t="shared" si="159"/>
        <v>-4059.5076535602766</v>
      </c>
      <c r="U493" s="15">
        <f t="shared" si="159"/>
        <v>-5160.8652966429872</v>
      </c>
      <c r="V493" s="15">
        <f t="shared" si="159"/>
        <v>-6256.7435484665766</v>
      </c>
      <c r="W493" s="15">
        <f t="shared" si="159"/>
        <v>-7347.1696696841027</v>
      </c>
      <c r="X493" s="15">
        <f t="shared" si="159"/>
        <v>-8432.170785323462</v>
      </c>
      <c r="Y493" s="15">
        <f t="shared" si="159"/>
        <v>-9511.7738854620511</v>
      </c>
      <c r="Z493" s="15">
        <f t="shared" si="159"/>
        <v>-10586.005825898508</v>
      </c>
      <c r="AA493" s="15">
        <f t="shared" si="159"/>
        <v>6392.0712561486998</v>
      </c>
      <c r="AB493" s="15">
        <f t="shared" si="159"/>
        <v>14312.0712561487</v>
      </c>
    </row>
  </sheetData>
  <mergeCells count="21">
    <mergeCell ref="A1:L1"/>
    <mergeCell ref="A123:L123"/>
    <mergeCell ref="C324:H324"/>
    <mergeCell ref="A360:L360"/>
    <mergeCell ref="A2:L2"/>
    <mergeCell ref="A104:L104"/>
    <mergeCell ref="A5:L5"/>
    <mergeCell ref="A440:L440"/>
    <mergeCell ref="C23:H23"/>
    <mergeCell ref="A20:L20"/>
    <mergeCell ref="A121:F121"/>
    <mergeCell ref="A308:L308"/>
    <mergeCell ref="A13:L13"/>
    <mergeCell ref="A322:H322"/>
    <mergeCell ref="C24:H24"/>
    <mergeCell ref="A15:L15"/>
    <mergeCell ref="A326:L326"/>
    <mergeCell ref="A3:L3"/>
    <mergeCell ref="A136:L136"/>
    <mergeCell ref="A385:L385"/>
    <mergeCell ref="A26:L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172</vt:i4>
      </vt:variant>
    </vt:vector>
  </HeadingPairs>
  <TitlesOfParts>
    <vt:vector size="178" baseType="lpstr">
      <vt:lpstr>0 - Indice</vt:lpstr>
      <vt:lpstr>1 - Dati</vt:lpstr>
      <vt:lpstr>2 - Pensioni</vt:lpstr>
      <vt:lpstr>3 - Numero FIRE</vt:lpstr>
      <vt:lpstr>4 - Vedovanza</vt:lpstr>
      <vt:lpstr>5 - Motore e tabelle</vt:lpstr>
      <vt:lpstr>Cm_m26</vt:lpstr>
      <vt:lpstr>Cm_nasc_a</vt:lpstr>
      <vt:lpstr>Cm_nasc_m</vt:lpstr>
      <vt:lpstr>Cm_netto</vt:lpstr>
      <vt:lpstr>Cm_ord_cf</vt:lpstr>
      <vt:lpstr>Cm_ord_da</vt:lpstr>
      <vt:lpstr>Cm_ord_dm</vt:lpstr>
      <vt:lpstr>Cm_ord_em</vt:lpstr>
      <vt:lpstr>Cm_primo</vt:lpstr>
      <vt:lpstr>Cm_ral</vt:lpstr>
      <vt:lpstr>Cm_v71_cf</vt:lpstr>
      <vt:lpstr>Cm_v71_da</vt:lpstr>
      <vt:lpstr>Cm_v71_dm</vt:lpstr>
      <vt:lpstr>Cm_v71_em</vt:lpstr>
      <vt:lpstr>CT_eta</vt:lpstr>
      <vt:lpstr>CT_val</vt:lpstr>
      <vt:lpstr>Dist_tot_1</vt:lpstr>
      <vt:lpstr>Dist_tot_2</vt:lpstr>
      <vt:lpstr>Dist_tot_3</vt:lpstr>
      <vt:lpstr>Dist_tot_4</vt:lpstr>
      <vt:lpstr>Ered_2026</vt:lpstr>
      <vt:lpstr>Ered_anno</vt:lpstr>
      <vt:lpstr>Ered_nom</vt:lpstr>
      <vt:lpstr>F_nom</vt:lpstr>
      <vt:lpstr>FZ_key</vt:lpstr>
      <vt:lpstr>FZ_val</vt:lpstr>
      <vt:lpstr>G_real</vt:lpstr>
      <vt:lpstr>imp_R1</vt:lpstr>
      <vt:lpstr>imp_R2</vt:lpstr>
      <vt:lpstr>K_raw</vt:lpstr>
      <vt:lpstr>lam_A0</vt:lpstr>
      <vt:lpstr>lam_C0</vt:lpstr>
      <vt:lpstr>Leva_C</vt:lpstr>
      <vt:lpstr>Leva_T</vt:lpstr>
      <vt:lpstr>N_eta</vt:lpstr>
      <vt:lpstr>Nodi_2013</vt:lpstr>
      <vt:lpstr>Nodi_2025</vt:lpstr>
      <vt:lpstr>Num_esito_1</vt:lpstr>
      <vt:lpstr>Num_esito_2</vt:lpstr>
      <vt:lpstr>Num_esito_3</vt:lpstr>
      <vt:lpstr>Num_fine26_1</vt:lpstr>
      <vt:lpstr>Num_fine26_2</vt:lpstr>
      <vt:lpstr>Num_fine26_3</vt:lpstr>
      <vt:lpstr>Num_marg_1</vt:lpstr>
      <vt:lpstr>Num_marg_2</vt:lpstr>
      <vt:lpstr>Num_marg_3</vt:lpstr>
      <vt:lpstr>Num_patr_1</vt:lpstr>
      <vt:lpstr>Num_patr_2</vt:lpstr>
      <vt:lpstr>Num_patr_3</vt:lpstr>
      <vt:lpstr>Num_ric_1</vt:lpstr>
      <vt:lpstr>Num_ric_2</vt:lpstr>
      <vt:lpstr>Num_ric_3</vt:lpstr>
      <vt:lpstr>p_add</vt:lpstr>
      <vt:lpstr>p_anni_eff</vt:lpstr>
      <vt:lpstr>p_anni_min</vt:lpstr>
      <vt:lpstr>p_AS</vt:lpstr>
      <vt:lpstr>p_banda</vt:lpstr>
      <vt:lpstr>p_bollo</vt:lpstr>
      <vt:lpstr>p_cgt</vt:lpstr>
      <vt:lpstr>p_comp</vt:lpstr>
      <vt:lpstr>p_contr</vt:lpstr>
      <vt:lpstr>p_g</vt:lpstr>
      <vt:lpstr>p_infl</vt:lpstr>
      <vt:lpstr>p_ivs_aliq</vt:lpstr>
      <vt:lpstr>p_ivs_soglia</vt:lpstr>
      <vt:lpstr>p_orizz</vt:lpstr>
      <vt:lpstr>p_rend</vt:lpstr>
      <vt:lpstr>p_scarto</vt:lpstr>
      <vt:lpstr>p_sp_C</vt:lpstr>
      <vt:lpstr>p_sp_com</vt:lpstr>
      <vt:lpstr>p_sp_T</vt:lpstr>
      <vt:lpstr>p_spesa</vt:lpstr>
      <vt:lpstr>p_TM</vt:lpstr>
      <vt:lpstr>Pat_B</vt:lpstr>
      <vt:lpstr>Pat_lat</vt:lpstr>
      <vt:lpstr>Pat_W</vt:lpstr>
      <vt:lpstr>PC_da</vt:lpstr>
      <vt:lpstr>PC_dm</vt:lpstr>
      <vt:lpstr>PC_em</vt:lpstr>
      <vt:lpstr>PC_lorda</vt:lpstr>
      <vt:lpstr>PC_netta</vt:lpstr>
      <vt:lpstr>PC_via</vt:lpstr>
      <vt:lpstr>Pt_C_base</vt:lpstr>
      <vt:lpstr>Pt_C_val</vt:lpstr>
      <vt:lpstr>PT_da</vt:lpstr>
      <vt:lpstr>PT_dm</vt:lpstr>
      <vt:lpstr>PT_em</vt:lpstr>
      <vt:lpstr>Pt_J_base</vt:lpstr>
      <vt:lpstr>Pt_J_val</vt:lpstr>
      <vt:lpstr>PT_lorda</vt:lpstr>
      <vt:lpstr>PT_netta</vt:lpstr>
      <vt:lpstr>Pt_T_base</vt:lpstr>
      <vt:lpstr>Pt_T_val</vt:lpstr>
      <vt:lpstr>PT_via</vt:lpstr>
      <vt:lpstr>q_meta_C</vt:lpstr>
      <vt:lpstr>q_meta_T</vt:lpstr>
      <vt:lpstr>q_prop</vt:lpstr>
      <vt:lpstr>REQ_71</vt:lpstr>
      <vt:lpstr>REQ_a0</vt:lpstr>
      <vt:lpstr>REQ_a1</vt:lpstr>
      <vt:lpstr>REQ_anno</vt:lpstr>
      <vt:lpstr>REQ_ord</vt:lpstr>
      <vt:lpstr>sc_A1</vt:lpstr>
      <vt:lpstr>sc_A2</vt:lpstr>
      <vt:lpstr>sc_A3</vt:lpstr>
      <vt:lpstr>sc_B1</vt:lpstr>
      <vt:lpstr>sc_B2</vt:lpstr>
      <vt:lpstr>sc_L1</vt:lpstr>
      <vt:lpstr>sc_L2</vt:lpstr>
      <vt:lpstr>Sens_pct</vt:lpstr>
      <vt:lpstr>Sens_ric_giu</vt:lpstr>
      <vt:lpstr>Sens_ric_su</vt:lpstr>
      <vt:lpstr>Tab_marg</vt:lpstr>
      <vt:lpstr>tf_M3</vt:lpstr>
      <vt:lpstr>tf_M4</vt:lpstr>
      <vt:lpstr>tf_M5</vt:lpstr>
      <vt:lpstr>tf_S3</vt:lpstr>
      <vt:lpstr>tf_S4</vt:lpstr>
      <vt:lpstr>tf_S5</vt:lpstr>
      <vt:lpstr>Tr_aponte_1</vt:lpstr>
      <vt:lpstr>Tr_aponte_2</vt:lpstr>
      <vt:lpstr>Tr_aponte_3</vt:lpstr>
      <vt:lpstr>Tr_due_1</vt:lpstr>
      <vt:lpstr>Tr_due_2</vt:lpstr>
      <vt:lpstr>Tr_due_3</vt:lpstr>
      <vt:lpstr>Tr_ponte_1</vt:lpstr>
      <vt:lpstr>Tr_ponte_2</vt:lpstr>
      <vt:lpstr>Tr_ponte_3</vt:lpstr>
      <vt:lpstr>Tr_tot_1</vt:lpstr>
      <vt:lpstr>Tr_tot_2</vt:lpstr>
      <vt:lpstr>Tr_tot_3</vt:lpstr>
      <vt:lpstr>Tr_una_1</vt:lpstr>
      <vt:lpstr>Tr_una_2</vt:lpstr>
      <vt:lpstr>Tr_una_3</vt:lpstr>
      <vt:lpstr>Tra_anni</vt:lpstr>
      <vt:lpstr>Tra_U</vt:lpstr>
      <vt:lpstr>Tz_m26</vt:lpstr>
      <vt:lpstr>Tz_nasc_a</vt:lpstr>
      <vt:lpstr>Tz_nasc_m</vt:lpstr>
      <vt:lpstr>Tz_netto</vt:lpstr>
      <vt:lpstr>Tz_ord_cf</vt:lpstr>
      <vt:lpstr>Tz_ord_da</vt:lpstr>
      <vt:lpstr>Tz_ord_dm</vt:lpstr>
      <vt:lpstr>Tz_ord_em</vt:lpstr>
      <vt:lpstr>Tz_primo</vt:lpstr>
      <vt:lpstr>Tz_ral</vt:lpstr>
      <vt:lpstr>Tz_v71_cf</vt:lpstr>
      <vt:lpstr>Tz_v71_da</vt:lpstr>
      <vt:lpstr>Tz_v71_dm</vt:lpstr>
      <vt:lpstr>Tz_v71_em</vt:lpstr>
      <vt:lpstr>U_com</vt:lpstr>
      <vt:lpstr>U_lib_C</vt:lpstr>
      <vt:lpstr>U_lib_T</vt:lpstr>
      <vt:lpstr>U_oggi_C</vt:lpstr>
      <vt:lpstr>U_oggi_T</vt:lpstr>
      <vt:lpstr>V_aliq</vt:lpstr>
      <vt:lpstr>V_anno</vt:lpstr>
      <vt:lpstr>V_chi</vt:lpstr>
      <vt:lpstr>V_den64</vt:lpstr>
      <vt:lpstr>V_den65</vt:lpstr>
      <vt:lpstr>V_fam</vt:lpstr>
      <vt:lpstr>V_figli</vt:lpstr>
      <vt:lpstr>V_regime</vt:lpstr>
      <vt:lpstr>V_test</vt:lpstr>
      <vt:lpstr>Ved_esaur</vt:lpstr>
      <vt:lpstr>Ved_finale</vt:lpstr>
      <vt:lpstr>Ved_ind_Cm</vt:lpstr>
      <vt:lpstr>Ved_ind_Tz</vt:lpstr>
      <vt:lpstr>Ved_q</vt:lpstr>
      <vt:lpstr>Ved_qb</vt:lpstr>
      <vt:lpstr>Ved_rev_lorda</vt:lpstr>
      <vt:lpstr>Ved_rev_ridotta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2026-10-18T01:53:21Z</dcterms:created>
  <dcterms:modified xsi:type="dcterms:W3CDTF">2026-10-18T01:53:23Z</dcterms:modified>
</cp:coreProperties>
</file>