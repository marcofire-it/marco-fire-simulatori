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- Indice" sheetId="1" state="visible" r:id="rId1"/>
    <sheet name="1 - Allocazione per età" sheetId="2" state="visible" r:id="rId2"/>
    <sheet name="2 - Portafogli classici" sheetId="3" state="visible" r:id="rId3"/>
    <sheet name="3 - Impatto 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&quot; €&quot;"/>
  </numFmts>
  <fonts count="8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C8E6C9"/>
      </patternFill>
    </fill>
    <fill>
      <patternFill patternType="solid">
        <fgColor rgb="00FAFAFA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" fontId="5" fillId="4" borderId="1" applyAlignment="1" pivotButton="0" quotePrefix="0" xfId="0">
      <alignment horizontal="right" vertical="center"/>
    </xf>
    <xf numFmtId="9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Marco FIRE — Lazy Portfolio 2026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3" t="inlineStr">
        <is>
          <t>Indice</t>
        </is>
      </c>
    </row>
    <row r="5" ht="22" customHeight="1">
      <c r="A5" s="4" t="inlineStr">
        <is>
          <t>1 - Allocazione per età</t>
        </is>
      </c>
      <c r="B5" s="5" t="inlineStr">
        <is>
          <t>Glide path % equity per età</t>
        </is>
      </c>
    </row>
    <row r="6" ht="22" customHeight="1">
      <c r="A6" s="4" t="inlineStr">
        <is>
          <t>2 - Portafogli classici</t>
        </is>
      </c>
      <c r="B6" s="5" t="inlineStr">
        <is>
          <t>60/40, 70/30, Permanent, 3-fund a confronto</t>
        </is>
      </c>
    </row>
    <row r="7" ht="22" customHeight="1">
      <c r="A7" s="4" t="inlineStr">
        <is>
          <t>3 - Impatto TER</t>
        </is>
      </c>
      <c r="B7" s="5" t="inlineStr">
        <is>
          <t>Effetto costi su 30 anni di accumulo</t>
        </is>
      </c>
    </row>
    <row r="9">
      <c r="A9" s="3" t="inlineStr">
        <is>
          <t>Come usare</t>
        </is>
      </c>
    </row>
    <row r="10">
      <c r="A10" s="5" t="inlineStr">
        <is>
          <t>1. Le celle GIALLE sono input — modificale coi tuoi numeri.</t>
        </is>
      </c>
    </row>
    <row r="11">
      <c r="A11" s="5" t="inlineStr">
        <is>
          <t>2. Le celle VERDI sono output — si aggiornano automaticamente.</t>
        </is>
      </c>
    </row>
    <row r="12">
      <c r="A12" s="5" t="inlineStr">
        <is>
          <t>3. Tutti i numeri di default sono al 2026 da fonti pubbliche.</t>
        </is>
      </c>
    </row>
    <row r="13">
      <c r="A13" s="5" t="inlineStr">
        <is>
          <t>4. Niente codice nascosto: l'Excel è solo formule modificabili.</t>
        </is>
      </c>
    </row>
    <row r="15">
      <c r="A15" s="3" t="inlineStr">
        <is>
          <t>Fonti dati</t>
        </is>
      </c>
    </row>
    <row r="16">
      <c r="A16" s="5" t="inlineStr">
        <is>
          <t>• Brinson 1986 — Asset allocation determina 91% del rendimento</t>
        </is>
      </c>
    </row>
    <row r="17">
      <c r="A17" s="5" t="inlineStr">
        <is>
          <t>• SPIVA Reports — 80-90% consulenti attivi battuti dal benchmark a 10y</t>
        </is>
      </c>
    </row>
    <row r="18">
      <c r="A18" s="5" t="inlineStr">
        <is>
          <t>• MSCI World 1985-2024 (EUR) — rendimenti medi storici per allocazione</t>
        </is>
      </c>
    </row>
    <row r="20">
      <c r="A20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 ht="25" customHeight="1">
      <c r="A1" s="1" t="inlineStr">
        <is>
          <t>Glide path % equity per età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Età attuale</t>
        </is>
      </c>
      <c r="B5" s="9" t="n">
        <v>35</v>
      </c>
    </row>
    <row r="7">
      <c r="A7" s="7" t="inlineStr">
        <is>
          <t>OUTPUT consigliato</t>
        </is>
      </c>
    </row>
    <row r="8">
      <c r="A8" s="8" t="inlineStr">
        <is>
          <t>% Azioni consigliata (regola 110 - età)</t>
        </is>
      </c>
      <c r="B8" s="10">
        <f>MAX(0.20, MIN(0.95, (110-B5)/100))</f>
        <v/>
      </c>
    </row>
    <row r="9">
      <c r="A9" s="8" t="inlineStr">
        <is>
          <t>% Obbligazioni</t>
        </is>
      </c>
      <c r="B9" s="10">
        <f>1-B8</f>
        <v/>
      </c>
    </row>
    <row r="10">
      <c r="A10" s="8" t="inlineStr">
        <is>
          <t>Rendimento atteso netto (stima)</t>
        </is>
      </c>
      <c r="B10" s="11">
        <f>B8*0.06+B9*0.02</f>
        <v/>
      </c>
    </row>
    <row r="12" ht="32" customHeight="1">
      <c r="A12" s="12" t="inlineStr">
        <is>
          <t>Regola 110-età è uno standard Bogleheads. Variante 100-età = più conservativa, 120-età = più aggressiva (per orizzonti FIRE precoci).</t>
        </is>
      </c>
    </row>
  </sheetData>
  <mergeCells count="5">
    <mergeCell ref="A1:D1"/>
    <mergeCell ref="A4:D4"/>
    <mergeCell ref="A7:D7"/>
    <mergeCell ref="A2:D2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5" customHeight="1">
      <c r="A1" s="1" t="inlineStr">
        <is>
          <t>Confronto portafogli classici (1985-2024, EUR)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Tabella</t>
        </is>
      </c>
    </row>
    <row r="5">
      <c r="A5" s="13" t="inlineStr">
        <is>
          <t>Portafoglio</t>
        </is>
      </c>
      <c r="B5" s="13" t="inlineStr">
        <is>
          <t>Composizione</t>
        </is>
      </c>
      <c r="C5" s="13" t="inlineStr">
        <is>
          <t>Rend. medio annuo</t>
        </is>
      </c>
      <c r="D5" s="13" t="inlineStr">
        <is>
          <t>Volatilità</t>
        </is>
      </c>
      <c r="E5" s="13" t="inlineStr">
        <is>
          <t>Max drawdown</t>
        </is>
      </c>
    </row>
    <row r="6">
      <c r="A6" s="8" t="inlineStr">
        <is>
          <t>100% azioni globali</t>
        </is>
      </c>
      <c r="B6" s="8" t="inlineStr">
        <is>
          <t>100% MSCI World</t>
        </is>
      </c>
      <c r="C6" s="11">
        <f>0.075</f>
        <v/>
      </c>
      <c r="D6" s="11">
        <f>0.155</f>
        <v/>
      </c>
      <c r="E6" s="14">
        <f>-0.578</f>
        <v/>
      </c>
    </row>
    <row r="7">
      <c r="A7" s="8" t="inlineStr">
        <is>
          <t>70/30 aggressivo</t>
        </is>
      </c>
      <c r="B7" s="8" t="inlineStr">
        <is>
          <t>70 azioni / 30 bond</t>
        </is>
      </c>
      <c r="C7" s="11">
        <f>0.07</f>
        <v/>
      </c>
      <c r="D7" s="11">
        <f>0.115</f>
        <v/>
      </c>
      <c r="E7" s="14">
        <f>-0.42</f>
        <v/>
      </c>
    </row>
    <row r="8">
      <c r="A8" s="8" t="inlineStr">
        <is>
          <t>60/40 classico</t>
        </is>
      </c>
      <c r="B8" s="8" t="inlineStr">
        <is>
          <t>60 azioni / 40 bond</t>
        </is>
      </c>
      <c r="C8" s="11">
        <f>0.065</f>
        <v/>
      </c>
      <c r="D8" s="11">
        <f>0.1</f>
        <v/>
      </c>
      <c r="E8" s="14">
        <f>-0.32</f>
        <v/>
      </c>
    </row>
    <row r="9">
      <c r="A9" s="8" t="inlineStr">
        <is>
          <t>40/60 prudente</t>
        </is>
      </c>
      <c r="B9" s="8" t="inlineStr">
        <is>
          <t>40 azioni / 60 bond</t>
        </is>
      </c>
      <c r="C9" s="11">
        <f>0.058</f>
        <v/>
      </c>
      <c r="D9" s="11">
        <f>0.075</f>
        <v/>
      </c>
      <c r="E9" s="14">
        <f>-0.22</f>
        <v/>
      </c>
    </row>
    <row r="10">
      <c r="A10" s="8" t="inlineStr">
        <is>
          <t>Permanent (Browne)</t>
        </is>
      </c>
      <c r="B10" s="8" t="inlineStr">
        <is>
          <t>25 az / 25 bond / 25 oro / 25 cash</t>
        </is>
      </c>
      <c r="C10" s="11">
        <f>0.055</f>
        <v/>
      </c>
      <c r="D10" s="11">
        <f>0.08</f>
        <v/>
      </c>
      <c r="E10" s="14">
        <f>-0.2</f>
        <v/>
      </c>
    </row>
    <row r="11">
      <c r="A11" s="8" t="inlineStr">
        <is>
          <t>100% bond global</t>
        </is>
      </c>
      <c r="B11" s="8" t="inlineStr">
        <is>
          <t>100% Bloomberg Global Agg</t>
        </is>
      </c>
      <c r="C11" s="11">
        <f>0.032</f>
        <v/>
      </c>
      <c r="D11" s="11">
        <f>0.055</f>
        <v/>
      </c>
      <c r="E11" s="14">
        <f>-0.2</f>
        <v/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Impatto costi (TER) su 30 anni di accumulo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Contributo mensile (€)</t>
        </is>
      </c>
      <c r="B5" s="15" t="n">
        <v>500</v>
      </c>
    </row>
    <row r="6">
      <c r="A6" s="8" t="inlineStr">
        <is>
          <t>Anni accumulo</t>
        </is>
      </c>
      <c r="B6" s="9" t="n">
        <v>30</v>
      </c>
    </row>
    <row r="7">
      <c r="A7" s="8" t="inlineStr">
        <is>
          <t>Rendimento lordo annuo (%)</t>
        </is>
      </c>
      <c r="B7" s="16" t="n">
        <v>0.07000000000000001</v>
      </c>
    </row>
    <row r="8">
      <c r="A8" s="8" t="inlineStr">
        <is>
          <t>TER scenario A (basso, %)</t>
        </is>
      </c>
      <c r="B8" s="16" t="n">
        <v>0.0015</v>
      </c>
    </row>
    <row r="9">
      <c r="A9" s="8" t="inlineStr">
        <is>
          <t>TER scenario B (alto, %)</t>
        </is>
      </c>
      <c r="B9" s="16" t="n">
        <v>0.012</v>
      </c>
    </row>
    <row r="11">
      <c r="A11" s="7" t="inlineStr">
        <is>
          <t>OUTPUT</t>
        </is>
      </c>
    </row>
    <row r="12">
      <c r="A12" s="8" t="inlineStr">
        <is>
          <t>FV scenario A (TER basso)</t>
        </is>
      </c>
      <c r="B12" s="17">
        <f>B5*(((1+(1+B7-B8)^(1/12)-1)^(B6*12)-1)/((1+B7-B8)^(1/12)-1))</f>
        <v/>
      </c>
    </row>
    <row r="13">
      <c r="A13" s="8" t="inlineStr">
        <is>
          <t>FV scenario B (TER alto)</t>
        </is>
      </c>
      <c r="B13" s="17">
        <f>B5*(((1+(1+B7-B9)^(1/12)-1)^(B6*12)-1)/((1+B7-B9)^(1/12)-1))</f>
        <v/>
      </c>
    </row>
    <row r="14">
      <c r="A14" s="8" t="inlineStr">
        <is>
          <t>Differenza assoluta</t>
        </is>
      </c>
      <c r="B14" s="17">
        <f>B12-B13</f>
        <v/>
      </c>
    </row>
    <row r="15">
      <c r="A15" s="8" t="inlineStr">
        <is>
          <t>Differenza in %</t>
        </is>
      </c>
      <c r="B15" s="11">
        <f>IFERROR((B12-B13)/B12, 0)</f>
        <v/>
      </c>
    </row>
  </sheetData>
  <mergeCells count="4">
    <mergeCell ref="A1:D1"/>
    <mergeCell ref="A4:D4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2026-05-22T20:01:38Z</dcterms:created>
  <dcterms:modified xsi:type="dcterms:W3CDTF">2026-05-22T20:01:38Z</dcterms:modified>
</cp:coreProperties>
</file>