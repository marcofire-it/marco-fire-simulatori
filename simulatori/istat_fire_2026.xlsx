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- Indice" sheetId="1" state="visible" r:id="rId1"/>
    <sheet xmlns:r="http://schemas.openxmlformats.org/officeDocument/2006/relationships" name="1 - SWR Italia 2026" sheetId="2" state="visible" r:id="rId2"/>
    <sheet xmlns:r="http://schemas.openxmlformats.org/officeDocument/2006/relationships" name="2 - Numero FIRE 6 profili" sheetId="3" state="visible" r:id="rId3"/>
    <sheet xmlns:r="http://schemas.openxmlformats.org/officeDocument/2006/relationships" name="3 - 6 alternative anti-inflaz" sheetId="4" state="visible" r:id="rId4"/>
    <sheet xmlns:r="http://schemas.openxmlformats.org/officeDocument/2006/relationships" name="4 - Stress test Brent 5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EUR&quot;"/>
  </numFmts>
  <fonts count="8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i val="1"/>
      <color rgb="00991B1B"/>
      <sz val="10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1E40AF"/>
      </patternFill>
    </fill>
    <fill>
      <patternFill patternType="solid">
        <fgColor rgb="00FFF59D"/>
      </patternFill>
    </fill>
    <fill>
      <patternFill patternType="solid">
        <fgColor rgb="00C8E6C9"/>
      </patternFill>
    </fill>
    <fill>
      <patternFill patternType="solid">
        <fgColor rgb="00DBEAFE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0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 ht="32" customHeight="1">
      <c r="A1" s="1" t="inlineStr">
        <is>
          <t>ISTAT 2026 x FIRE — Simulatori Italia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3" t="inlineStr">
        <is>
          <t>Indice</t>
        </is>
      </c>
    </row>
    <row r="5" ht="22" customHeight="1">
      <c r="A5" s="4" t="inlineStr">
        <is>
          <t>1 - SWR Italia 2026</t>
        </is>
      </c>
      <c r="B5" s="5" t="inlineStr">
        <is>
          <t>SWR aggiornato con dati ISTAT 2026 (inflazione + rendim. reale)</t>
        </is>
      </c>
    </row>
    <row r="6" ht="22" customHeight="1">
      <c r="A6" s="4" t="inlineStr">
        <is>
          <t>2 - Numero FIRE 6 profili</t>
        </is>
      </c>
      <c r="B6" s="5" t="inlineStr">
        <is>
          <t>M/F, Nord/Sud, giovane/over 50 (dati ISTAT)</t>
        </is>
      </c>
    </row>
    <row r="7" ht="22" customHeight="1">
      <c r="A7" s="4" t="inlineStr">
        <is>
          <t>3 - 6 alternative anti-inflaz</t>
        </is>
      </c>
      <c r="B7" s="5" t="inlineStr">
        <is>
          <t>BTP FOI, BTPi, Oro, REIT, value, conto deposito - 4 scenari</t>
        </is>
      </c>
    </row>
    <row r="8" ht="22" customHeight="1">
      <c r="A8" s="4" t="inlineStr">
        <is>
          <t>4 - Stress test Brent 5y</t>
        </is>
      </c>
      <c r="B8" s="5" t="inlineStr">
        <is>
          <t>Cosa succede al FIRE con Brent 120$ per 5 anni</t>
        </is>
      </c>
    </row>
    <row r="10">
      <c r="A10" s="3" t="inlineStr">
        <is>
          <t>Come usare</t>
        </is>
      </c>
    </row>
    <row r="11">
      <c r="A11" s="5" t="inlineStr">
        <is>
          <t>1. Le celle GIALLE sono input — modificale coi tuoi numeri.</t>
        </is>
      </c>
    </row>
    <row r="12">
      <c r="A12" s="5" t="inlineStr">
        <is>
          <t>2. Le celle VERDI sono output — si aggiornano automaticamente.</t>
        </is>
      </c>
    </row>
    <row r="13">
      <c r="A13" s="5" t="inlineStr">
        <is>
          <t>3. Tutti i numeri di default sono al 2026 da fonti pubbliche.</t>
        </is>
      </c>
    </row>
    <row r="14">
      <c r="A14" s="5" t="inlineStr">
        <is>
          <t>4. Niente codice nascosto: l'Excel è solo formule modificabili.</t>
        </is>
      </c>
    </row>
    <row r="16">
      <c r="A16" s="3" t="inlineStr">
        <is>
          <t>Fonti dati</t>
        </is>
      </c>
    </row>
    <row r="17">
      <c r="A17" s="5" t="inlineStr">
        <is>
          <t>• ISTAT — Rapporto Annuale 2026 (21/5/2026): inflazione 1,6% media 2025, 2,8% aprile 2026</t>
        </is>
      </c>
    </row>
    <row r="18">
      <c r="A18" s="5" t="inlineStr">
        <is>
          <t>• ISTAT — Retribuzione lorda mediana lavoro standard 2025: oltre 28k EUR annui</t>
        </is>
      </c>
    </row>
    <row r="19">
      <c r="A19" s="5" t="inlineStr">
        <is>
          <t>• ISTAT — Salari 2026 acquisita &gt;2%; perdita potere acquisto vs 2019: -8,6%</t>
        </is>
      </c>
    </row>
    <row r="20">
      <c r="A20" s="5" t="inlineStr">
        <is>
          <t>• ISTAT — Occupazione 2025: 62,5% (15-64); disocc 6,1% media, 5,2% marzo 2026</t>
        </is>
      </c>
    </row>
    <row r="21">
      <c r="A21" s="5" t="inlineStr">
        <is>
          <t>• ISTAT — Mezzogiorno gap occupazione vs Nord: 20pp (era 23pp nel 2019)</t>
        </is>
      </c>
    </row>
    <row r="22">
      <c r="A22" s="5" t="inlineStr">
        <is>
          <t>• Morningstar State of Retirement Income 2026 — SWR base 3,9%</t>
        </is>
      </c>
    </row>
    <row r="23">
      <c r="A23" s="5" t="inlineStr">
        <is>
          <t>• Bengen W. (2025) — A Richer Retirement: SAFEMAX 4,7%</t>
        </is>
      </c>
    </row>
    <row r="24">
      <c r="A24" s="5" t="inlineStr">
        <is>
          <t>• MEF / D.M. economia — BTP Italia 2026 indicizzato FOI cedola 1,9%</t>
        </is>
      </c>
    </row>
    <row r="25">
      <c r="A25" s="5" t="inlineStr">
        <is>
          <t>• Poste Italiane — Buoni Soluzione Futuro 2025 (rend. medio 2,4%/anno)</t>
        </is>
      </c>
    </row>
    <row r="26">
      <c r="A26" s="5" t="inlineStr">
        <is>
          <t>• Brent aprile 2026: 120,4 USD/barile (ISTAT cita FMI/IEA)</t>
        </is>
      </c>
    </row>
    <row r="28">
      <c r="A28" s="6" t="inlineStr">
        <is>
          <t>Aggiornamenti: github.com/marcofire-it/marco-fire-simulatori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5" customHeight="1">
      <c r="A1" s="1" t="inlineStr">
        <is>
          <t>SWR Italia 2026 — aggiornato post Rapporto ISTAT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 — dati ISTAT 2026</t>
        </is>
      </c>
    </row>
    <row r="5">
      <c r="A5" s="8" t="inlineStr">
        <is>
          <t>Inflazione IPCA media 2025 (ISTAT)</t>
        </is>
      </c>
      <c r="B5" s="9" t="n">
        <v>0.016</v>
      </c>
    </row>
    <row r="6">
      <c r="A6" s="8" t="inlineStr">
        <is>
          <t>Inflazione IPCA aprile 2026 (ISTAT)</t>
        </is>
      </c>
      <c r="B6" s="9" t="n">
        <v>0.028</v>
      </c>
    </row>
    <row r="7">
      <c r="A7" s="8" t="inlineStr">
        <is>
          <t>Energia % aprile 2026</t>
        </is>
      </c>
      <c r="B7" s="9" t="n">
        <v>0.093</v>
      </c>
    </row>
    <row r="8">
      <c r="A8" s="8" t="inlineStr">
        <is>
          <t>Retribuzione mediana lavoro standard (ISTAT)</t>
        </is>
      </c>
      <c r="B8" s="10" t="n">
        <v>28000</v>
      </c>
    </row>
    <row r="9">
      <c r="A9" s="8" t="inlineStr">
        <is>
          <t>Salari 2026 acquisita</t>
        </is>
      </c>
      <c r="B9" s="9" t="n">
        <v>0.02</v>
      </c>
    </row>
    <row r="10">
      <c r="A10" s="8" t="inlineStr">
        <is>
          <t>Recupero potere acquisto vs 2019 (gap)</t>
        </is>
      </c>
      <c r="B10" s="9" t="n">
        <v>-0.08599999999999999</v>
      </c>
    </row>
    <row r="12">
      <c r="A12" s="7" t="inlineStr">
        <is>
          <t>CALCOLO SWR ITALIA REALE 2026</t>
        </is>
      </c>
    </row>
    <row r="13">
      <c r="A13" s="8" t="inlineStr">
        <is>
          <t>Rendimento atteso lordo ETF 60/40 (storico)</t>
        </is>
      </c>
      <c r="B13" s="9" t="n">
        <v>0.06</v>
      </c>
    </row>
    <row r="14">
      <c r="A14" s="8" t="inlineStr">
        <is>
          <t>Costi annui ETF (TER+bollo)</t>
        </is>
      </c>
      <c r="B14" s="9" t="n">
        <v>0.004</v>
      </c>
    </row>
    <row r="15">
      <c r="A15" s="8" t="inlineStr">
        <is>
          <t>Rendimento netto nominale</t>
        </is>
      </c>
      <c r="B15" s="11">
        <f>B13-B14</f>
        <v/>
      </c>
    </row>
    <row r="16">
      <c r="A16" s="8" t="inlineStr">
        <is>
          <t>Rendimento reale (vs inflazione apr 2026)</t>
        </is>
      </c>
      <c r="B16" s="11">
        <f>(1+B15)/(1+B6)-1</f>
        <v/>
      </c>
    </row>
    <row r="17">
      <c r="A17" s="8" t="inlineStr">
        <is>
          <t>Rendimento reale (vs media 2025)</t>
        </is>
      </c>
      <c r="B17" s="11">
        <f>(1+B15)/(1+B5)-1</f>
        <v/>
      </c>
    </row>
    <row r="19">
      <c r="A19" s="7" t="inlineStr">
        <is>
          <t>BENCHMARK SWR (letteratura)</t>
        </is>
      </c>
    </row>
    <row r="20">
      <c r="A20" s="12" t="inlineStr">
        <is>
          <t>Studio</t>
        </is>
      </c>
      <c r="B20" s="12" t="inlineStr">
        <is>
          <t>SWR</t>
        </is>
      </c>
      <c r="C20" s="12" t="inlineStr">
        <is>
          <t>Note 2026 Italia</t>
        </is>
      </c>
    </row>
    <row r="21">
      <c r="A21" s="8" t="inlineStr">
        <is>
          <t>Trinity Study (1998)</t>
        </is>
      </c>
      <c r="B21" s="11" t="n">
        <v>0.04</v>
      </c>
      <c r="C21" s="8" t="inlineStr">
        <is>
          <t>Base 30y USA</t>
        </is>
      </c>
    </row>
    <row r="22">
      <c r="A22" s="8" t="inlineStr">
        <is>
          <t>Bengen 2025 (A Richer Retirement)</t>
        </is>
      </c>
      <c r="B22" s="11" t="n">
        <v>0.047</v>
      </c>
      <c r="C22" s="8" t="inlineStr">
        <is>
          <t>Aggiornato 2025</t>
        </is>
      </c>
    </row>
    <row r="23">
      <c r="A23" s="8" t="inlineStr">
        <is>
          <t>Morningstar State of Retir 2026</t>
        </is>
      </c>
      <c r="B23" s="11" t="n">
        <v>0.039</v>
      </c>
      <c r="C23" s="8" t="inlineStr">
        <is>
          <t>Base case 30y, 90% successo</t>
        </is>
      </c>
    </row>
    <row r="24">
      <c r="A24" s="8" t="inlineStr">
        <is>
          <t>Morningstar guardrails 2026</t>
        </is>
      </c>
      <c r="B24" s="11" t="n">
        <v>0.057</v>
      </c>
      <c r="C24" s="8" t="inlineStr">
        <is>
          <t>Con flessibilita spesa</t>
        </is>
      </c>
    </row>
    <row r="25">
      <c r="A25" s="8" t="inlineStr">
        <is>
          <t>Guyton-Klinger 2006 iniziale</t>
        </is>
      </c>
      <c r="B25" s="11" t="n">
        <v>0.054</v>
      </c>
      <c r="C25" s="8" t="inlineStr">
        <is>
          <t>Con regole dinamiche</t>
        </is>
      </c>
    </row>
    <row r="26">
      <c r="A26" s="8" t="inlineStr">
        <is>
          <t>SWR Italia REALE 2026 (ISTAT)</t>
        </is>
      </c>
      <c r="B26" s="11">
        <f>B16</f>
        <v/>
      </c>
      <c r="C26" s="8" t="inlineStr">
        <is>
          <t>Calcolato sopra</t>
        </is>
      </c>
    </row>
    <row r="28" ht="60" customHeight="1">
      <c r="A28" s="13" t="inlineStr">
        <is>
          <t>ATTENZIONE: il SWR REALE 2026 calcolato sopra e' molto sensibile all'inflazione. Se rimane 2,8% (apr 2026), un portafoglio 60/40 ha rendimento reale circa 2,7%. Se torna a 1,6% (media 2025), sale a circa 4%. La scelta di un SWR conservativo (3-3,5%) e' giustificata dal rischio inflazione strutturale segnalato dal Rapporto ISTAT.</t>
        </is>
      </c>
    </row>
  </sheetData>
  <mergeCells count="6">
    <mergeCell ref="A12:E12"/>
    <mergeCell ref="A4:E4"/>
    <mergeCell ref="A2:E2"/>
    <mergeCell ref="A28:E28"/>
    <mergeCell ref="A19:E19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5" customHeight="1">
      <c r="A1" s="1" t="inlineStr">
        <is>
          <t>Numero FIRE Italia 2026 — per profilo (ISTAT)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PROFILI ITALIA 2026 (dati ISTAT)</t>
        </is>
      </c>
    </row>
    <row r="5">
      <c r="A5" s="12" t="inlineStr">
        <is>
          <t>Voce</t>
        </is>
      </c>
      <c r="B5" s="12" t="inlineStr">
        <is>
          <t>M Nord</t>
        </is>
      </c>
      <c r="C5" s="12" t="inlineStr">
        <is>
          <t>F Nord</t>
        </is>
      </c>
      <c r="D5" s="12" t="inlineStr">
        <is>
          <t>M Sud</t>
        </is>
      </c>
      <c r="E5" s="12" t="inlineStr">
        <is>
          <t>F Sud</t>
        </is>
      </c>
      <c r="F5" s="12" t="inlineStr">
        <is>
          <t>Giovane 25-34</t>
        </is>
      </c>
      <c r="G5" s="12" t="inlineStr">
        <is>
          <t>Over 50</t>
        </is>
      </c>
    </row>
    <row r="6">
      <c r="A6" s="8" t="inlineStr">
        <is>
          <t>Reddito netto annuo stimato</t>
        </is>
      </c>
      <c r="B6" s="14" t="n">
        <v>22000</v>
      </c>
      <c r="C6" s="14" t="n">
        <v>18500</v>
      </c>
      <c r="D6" s="14" t="n">
        <v>17500</v>
      </c>
      <c r="E6" s="14" t="n">
        <v>14000</v>
      </c>
      <c r="F6" s="14" t="n">
        <v>16000</v>
      </c>
      <c r="G6" s="14" t="n">
        <v>24000</v>
      </c>
    </row>
    <row r="7">
      <c r="A7" s="8" t="inlineStr">
        <is>
          <t>Spese annue (cost of living locale)</t>
        </is>
      </c>
      <c r="B7" s="14" t="n">
        <v>22000</v>
      </c>
      <c r="C7" s="14" t="n">
        <v>20000</v>
      </c>
      <c r="D7" s="14" t="n">
        <v>14500</v>
      </c>
      <c r="E7" s="14" t="n">
        <v>13000</v>
      </c>
      <c r="F7" s="14" t="n">
        <v>14500</v>
      </c>
      <c r="G7" s="14" t="n">
        <v>20000</v>
      </c>
    </row>
    <row r="8">
      <c r="A8" s="8" t="inlineStr">
        <is>
          <t>Saving rate (= 1 - spese/reddito)</t>
        </is>
      </c>
      <c r="B8" s="11">
        <f>IF(B6=0,0,1-B7/B6)</f>
        <v/>
      </c>
      <c r="C8" s="11">
        <f>IF(C6=0,0,1-C7/C6)</f>
        <v/>
      </c>
      <c r="D8" s="11">
        <f>IF(D6=0,0,1-D7/D6)</f>
        <v/>
      </c>
      <c r="E8" s="11">
        <f>IF(E6=0,0,1-E7/E6)</f>
        <v/>
      </c>
      <c r="F8" s="11">
        <f>IF(F6=0,0,1-F7/F6)</f>
        <v/>
      </c>
      <c r="G8" s="11">
        <f>IF(G6=0,0,1-G7/G6)</f>
        <v/>
      </c>
    </row>
    <row r="9">
      <c r="A9" s="8" t="inlineStr">
        <is>
          <t>Numero FIRE (SWR 3,9% Morningstar)</t>
        </is>
      </c>
      <c r="B9" s="14">
        <f>ROUND(B7/0.039,0)</f>
        <v/>
      </c>
      <c r="C9" s="14">
        <f>ROUND(C7/0.039,0)</f>
        <v/>
      </c>
      <c r="D9" s="14">
        <f>ROUND(D7/0.039,0)</f>
        <v/>
      </c>
      <c r="E9" s="14">
        <f>ROUND(E7/0.039,0)</f>
        <v/>
      </c>
      <c r="F9" s="14">
        <f>ROUND(F7/0.039,0)</f>
        <v/>
      </c>
      <c r="G9" s="14">
        <f>ROUND(G7/0.039,0)</f>
        <v/>
      </c>
    </row>
    <row r="10">
      <c r="A10" s="8" t="inlineStr">
        <is>
          <t>Numero FIRE conservativo (SWR 3,3%)</t>
        </is>
      </c>
      <c r="B10" s="14">
        <f>ROUND(B7/0.033,0)</f>
        <v/>
      </c>
      <c r="C10" s="14">
        <f>ROUND(C7/0.033,0)</f>
        <v/>
      </c>
      <c r="D10" s="14">
        <f>ROUND(D7/0.033,0)</f>
        <v/>
      </c>
      <c r="E10" s="14">
        <f>ROUND(E7/0.033,0)</f>
        <v/>
      </c>
      <c r="F10" s="14">
        <f>ROUND(F7/0.033,0)</f>
        <v/>
      </c>
      <c r="G10" s="14">
        <f>ROUND(G7/0.033,0)</f>
        <v/>
      </c>
    </row>
    <row r="11">
      <c r="A11" s="8" t="inlineStr">
        <is>
          <t>Anni FIRE @ saving rate (5% reale)</t>
        </is>
      </c>
      <c r="B11" s="15">
        <f>IF((B6-B7)&lt;=0,"impossibile",ROUND(LN(B9*0.05/(B6-B7)+1)/LN(1.05),0))</f>
        <v/>
      </c>
      <c r="C11" s="15">
        <f>IF((C6-C7)&lt;=0,"impossibile",ROUND(LN(C9*0.05/(C6-C7)+1)/LN(1.05),0))</f>
        <v/>
      </c>
      <c r="D11" s="15">
        <f>IF((D6-D7)&lt;=0,"impossibile",ROUND(LN(D9*0.05/(D6-D7)+1)/LN(1.05),0))</f>
        <v/>
      </c>
      <c r="E11" s="15">
        <f>IF((E6-E7)&lt;=0,"impossibile",ROUND(LN(E9*0.05/(E6-E7)+1)/LN(1.05),0))</f>
        <v/>
      </c>
      <c r="F11" s="15">
        <f>IF((F6-F7)&lt;=0,"impossibile",ROUND(LN(F9*0.05/(F6-F7)+1)/LN(1.05),0))</f>
        <v/>
      </c>
      <c r="G11" s="15">
        <f>IF((G6-G7)&lt;=0,"impossibile",ROUND(LN(G9*0.05/(G6-G7)+1)/LN(1.05),0))</f>
        <v/>
      </c>
    </row>
    <row r="13" ht="75" customHeight="1">
      <c r="A13" s="13" t="inlineStr">
        <is>
          <t>INTERPRETAZIONE: M Nord e F Nord con saving rate 0 sono LEAN FIRE a rischio (spese vicine al reddito netto). Il profilo PIU' favorito al FIRE oggi e' 'Giovane 25-34' al Sud e 'Over 50' al Nord (saving rate &gt;15%, numero FIRE accessibile in 25-35 anni). Il profilo 'F Sud' e' il PIU' svantaggiato (saving rate 7%, gap occupazione genere 17pp + Sud 20pp confermati ISTAT 2025).</t>
        </is>
      </c>
    </row>
  </sheetData>
  <mergeCells count="4">
    <mergeCell ref="A13:G13"/>
    <mergeCell ref="A2:G2"/>
    <mergeCell ref="A1:G1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 ht="25" customHeight="1">
      <c r="A1" s="1" t="inlineStr">
        <is>
          <t>6 alternative anti-inflazione — Italia 2026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RENDIMENTO REALE A 8 ANNI PER SCENARIO INFLAZIONE</t>
        </is>
      </c>
    </row>
    <row r="5">
      <c r="A5" s="12" t="inlineStr">
        <is>
          <t>Strumento</t>
        </is>
      </c>
      <c r="B5" s="12" t="inlineStr">
        <is>
          <t>Inflaz. 1,6%</t>
        </is>
      </c>
      <c r="C5" s="12" t="inlineStr">
        <is>
          <t>Inflaz. 2,8%</t>
        </is>
      </c>
      <c r="D5" s="12" t="inlineStr">
        <is>
          <t>Inflaz. 3,5%</t>
        </is>
      </c>
      <c r="E5" s="12" t="inlineStr">
        <is>
          <t>Inflaz. 4,5%</t>
        </is>
      </c>
      <c r="F5" s="12" t="inlineStr">
        <is>
          <t>Note</t>
        </is>
      </c>
    </row>
    <row r="6">
      <c r="A6" s="8" t="inlineStr">
        <is>
          <t>1. BTP Italia FOI (cedola REALE 1,9%)</t>
        </is>
      </c>
      <c r="B6" s="11" t="n">
        <v>0.019</v>
      </c>
      <c r="C6" s="11" t="n">
        <v>0.019</v>
      </c>
      <c r="D6" s="11" t="n">
        <v>0.019</v>
      </c>
      <c r="E6" s="11" t="n">
        <v>0.019</v>
      </c>
      <c r="F6" s="8" t="inlineStr">
        <is>
          <t>Indicizzato FOI: 1,9% reale fisso</t>
        </is>
      </c>
    </row>
    <row r="7">
      <c r="A7" s="8" t="inlineStr">
        <is>
          <t>2. BTPi euro HICP (cedola REALE 1,5%)</t>
        </is>
      </c>
      <c r="B7" s="11" t="n">
        <v>0.015</v>
      </c>
      <c r="C7" s="11" t="n">
        <v>0.015</v>
      </c>
      <c r="D7" s="11" t="n">
        <v>0.015</v>
      </c>
      <c r="E7" s="11" t="n">
        <v>0.015</v>
      </c>
      <c r="F7" s="8" t="inlineStr">
        <is>
          <t>Indicizzato HICP: 1,5% reale fisso</t>
        </is>
      </c>
    </row>
    <row r="8">
      <c r="A8" s="8" t="inlineStr">
        <is>
          <t>3. ETF Oro fisico (nominale 6,5%)</t>
        </is>
      </c>
      <c r="B8" s="11">
        <f>(1+0.065)/(1+0.016)-1</f>
        <v/>
      </c>
      <c r="C8" s="11">
        <f>(1+0.065)/(1+0.028)-1</f>
        <v/>
      </c>
      <c r="D8" s="11">
        <f>(1+0.065)/(1+0.035)-1</f>
        <v/>
      </c>
      <c r="E8" s="11">
        <f>(1+0.065)/(1+0.045)-1</f>
        <v/>
      </c>
      <c r="F8" s="8" t="inlineStr">
        <is>
          <t>Storico nominale 6,5%, 26% cap.gain</t>
        </is>
      </c>
    </row>
    <row r="9">
      <c r="A9" s="8" t="inlineStr">
        <is>
          <t>4. ETF REIT globale (nominale 5,5%)</t>
        </is>
      </c>
      <c r="B9" s="11">
        <f>(1+0.055)/(1+0.016)-1</f>
        <v/>
      </c>
      <c r="C9" s="11">
        <f>(1+0.055)/(1+0.028)-1</f>
        <v/>
      </c>
      <c r="D9" s="11">
        <f>(1+0.055)/(1+0.035)-1</f>
        <v/>
      </c>
      <c r="E9" s="11">
        <f>(1+0.055)/(1+0.045)-1</f>
        <v/>
      </c>
      <c r="F9" s="8" t="inlineStr">
        <is>
          <t>Affitti seguono inflaz. (parziale)</t>
        </is>
      </c>
    </row>
    <row r="10">
      <c r="A10" s="8" t="inlineStr">
        <is>
          <t>5. ETF azionario value/dividend (nominale 6%)</t>
        </is>
      </c>
      <c r="B10" s="11">
        <f>(1+0.060)/(1+0.016)-1</f>
        <v/>
      </c>
      <c r="C10" s="11">
        <f>(1+0.060)/(1+0.028)-1</f>
        <v/>
      </c>
      <c r="D10" s="11">
        <f>(1+0.060)/(1+0.035)-1</f>
        <v/>
      </c>
      <c r="E10" s="11">
        <f>(1+0.060)/(1+0.045)-1</f>
        <v/>
      </c>
      <c r="F10" s="8" t="inlineStr">
        <is>
          <t>Pricing power, lungo periodo</t>
        </is>
      </c>
    </row>
    <row r="11">
      <c r="A11" s="8" t="inlineStr">
        <is>
          <t>6. Conto deposito vincolato 24m (nominale 3%)</t>
        </is>
      </c>
      <c r="B11" s="11">
        <f>(1+0.030)/(1+0.016)-1</f>
        <v/>
      </c>
      <c r="C11" s="11">
        <f>(1+0.030)/(1+0.028)-1</f>
        <v/>
      </c>
      <c r="D11" s="11">
        <f>(1+0.030)/(1+0.035)-1</f>
        <v/>
      </c>
      <c r="E11" s="11">
        <f>(1+0.030)/(1+0.045)-1</f>
        <v/>
      </c>
      <c r="F11" s="8" t="inlineStr">
        <is>
          <t>Sicuro ma in scenari alti perde reale</t>
        </is>
      </c>
    </row>
    <row r="14">
      <c r="A14" s="7" t="inlineStr">
        <is>
          <t>ESEMPIO: 10.000 EUR a 8 anni (capitale finale REALE)</t>
        </is>
      </c>
    </row>
    <row r="15">
      <c r="A15" s="12" t="inlineStr">
        <is>
          <t>Strumento</t>
        </is>
      </c>
      <c r="B15" s="12" t="inlineStr">
        <is>
          <t>@ 1,6%</t>
        </is>
      </c>
      <c r="C15" s="12" t="inlineStr">
        <is>
          <t>@ 2,8%</t>
        </is>
      </c>
      <c r="D15" s="12" t="inlineStr">
        <is>
          <t>@ 3,5%</t>
        </is>
      </c>
      <c r="E15" s="12" t="inlineStr">
        <is>
          <t>@ 4,5%</t>
        </is>
      </c>
    </row>
    <row r="16">
      <c r="A16" s="8" t="inlineStr">
        <is>
          <t>BTP Italia FOI</t>
        </is>
      </c>
      <c r="B16" s="14">
        <f>10000*(1+B6)^8</f>
        <v/>
      </c>
      <c r="C16" s="14">
        <f>10000*(1+C6)^8</f>
        <v/>
      </c>
      <c r="D16" s="14">
        <f>10000*(1+D6)^8</f>
        <v/>
      </c>
      <c r="E16" s="14">
        <f>10000*(1+E6)^8</f>
        <v/>
      </c>
    </row>
    <row r="17">
      <c r="A17" s="8" t="inlineStr">
        <is>
          <t>BTPi euro HICP</t>
        </is>
      </c>
      <c r="B17" s="14">
        <f>10000*(1+B7)^8</f>
        <v/>
      </c>
      <c r="C17" s="14">
        <f>10000*(1+C7)^8</f>
        <v/>
      </c>
      <c r="D17" s="14">
        <f>10000*(1+D7)^8</f>
        <v/>
      </c>
      <c r="E17" s="14">
        <f>10000*(1+E7)^8</f>
        <v/>
      </c>
    </row>
    <row r="18">
      <c r="A18" s="8" t="inlineStr">
        <is>
          <t>ETF Oro</t>
        </is>
      </c>
      <c r="B18" s="14">
        <f>10000*(1+B8)^8</f>
        <v/>
      </c>
      <c r="C18" s="14">
        <f>10000*(1+C8)^8</f>
        <v/>
      </c>
      <c r="D18" s="14">
        <f>10000*(1+D8)^8</f>
        <v/>
      </c>
      <c r="E18" s="14">
        <f>10000*(1+E8)^8</f>
        <v/>
      </c>
    </row>
    <row r="19">
      <c r="A19" s="8" t="inlineStr">
        <is>
          <t>ETF REIT globale</t>
        </is>
      </c>
      <c r="B19" s="14">
        <f>10000*(1+B9)^8</f>
        <v/>
      </c>
      <c r="C19" s="14">
        <f>10000*(1+C9)^8</f>
        <v/>
      </c>
      <c r="D19" s="14">
        <f>10000*(1+D9)^8</f>
        <v/>
      </c>
      <c r="E19" s="14">
        <f>10000*(1+E9)^8</f>
        <v/>
      </c>
    </row>
    <row r="20">
      <c r="A20" s="8" t="inlineStr">
        <is>
          <t>ETF azionario value</t>
        </is>
      </c>
      <c r="B20" s="14">
        <f>10000*(1+B10)^8</f>
        <v/>
      </c>
      <c r="C20" s="14">
        <f>10000*(1+C10)^8</f>
        <v/>
      </c>
      <c r="D20" s="14">
        <f>10000*(1+D10)^8</f>
        <v/>
      </c>
      <c r="E20" s="14">
        <f>10000*(1+E10)^8</f>
        <v/>
      </c>
    </row>
    <row r="21">
      <c r="A21" s="8" t="inlineStr">
        <is>
          <t>Conto deposito vincol.</t>
        </is>
      </c>
      <c r="B21" s="14">
        <f>10000*(1+B11)^8</f>
        <v/>
      </c>
      <c r="C21" s="14">
        <f>10000*(1+C11)^8</f>
        <v/>
      </c>
      <c r="D21" s="14">
        <f>10000*(1+D11)^8</f>
        <v/>
      </c>
      <c r="E21" s="14">
        <f>10000*(1+E11)^8</f>
        <v/>
      </c>
    </row>
    <row r="23" ht="90" customHeight="1">
      <c r="A23" s="13" t="inlineStr">
        <is>
          <t>CHIAVE DI LETTURA: questa tabella mostra il rendimento REALE (post-inflazione), cioe' quanto AUMENTA il tuo potere d'acquisto. BTP indicizzati hanno cedola reale fissa (1,5-1,9%). Strumenti a tasso nominale vedono il loro rendimento reale CALARE quando l'inflazione sale: il Conto Deposito al 3% nominale rende solo 1,4% reale @1,6%, scende a -1,4% reale @4,5%. ETF Oro/azionari resistono meglio. La conclusione: in scenari di inflazione strutturale, BTP indicizzati + Oro + ETF azionari battono il Conto Deposito di 1-3 punti REALI all'anno.</t>
        </is>
      </c>
    </row>
  </sheetData>
  <mergeCells count="5">
    <mergeCell ref="A2:F2"/>
    <mergeCell ref="A14:F14"/>
    <mergeCell ref="A1:F1"/>
    <mergeCell ref="A23:F23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5" customHeight="1">
      <c r="A1" s="1" t="inlineStr">
        <is>
          <t>Stress test: Brent 120$ per 5 anni - impatto FIRE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SCENARIO BASE vs STRESS (5 anni)</t>
        </is>
      </c>
    </row>
    <row r="5">
      <c r="A5" s="12" t="inlineStr">
        <is>
          <t>Variabile</t>
        </is>
      </c>
      <c r="B5" s="12" t="inlineStr">
        <is>
          <t>Base (ISTAT 2025)</t>
        </is>
      </c>
      <c r="C5" s="12" t="inlineStr">
        <is>
          <t>Stress (Brent 5y)</t>
        </is>
      </c>
      <c r="D5" s="12" t="inlineStr">
        <is>
          <t>Delta</t>
        </is>
      </c>
      <c r="E5" s="12" t="inlineStr">
        <is>
          <t>Note</t>
        </is>
      </c>
    </row>
    <row r="6">
      <c r="A6" s="8" t="inlineStr">
        <is>
          <t>Inflazione media 5y</t>
        </is>
      </c>
      <c r="B6" s="11" t="n">
        <v>0.02</v>
      </c>
      <c r="C6" s="11" t="n">
        <v>0.035</v>
      </c>
      <c r="D6" s="11">
        <f>C6-B6</f>
        <v/>
      </c>
      <c r="E6" s="8" t="inlineStr">
        <is>
          <t>Risale e si stabilizza</t>
        </is>
      </c>
    </row>
    <row r="7">
      <c r="A7" s="8" t="inlineStr">
        <is>
          <t>Brent medio 5y (USD)</t>
        </is>
      </c>
      <c r="B7" s="16" t="n">
        <v>75</v>
      </c>
      <c r="C7" s="16" t="n">
        <v>110</v>
      </c>
      <c r="D7" s="16">
        <f>C7-B7</f>
        <v/>
      </c>
      <c r="E7" s="8" t="inlineStr">
        <is>
          <t>Tensione Medio Oriente</t>
        </is>
      </c>
    </row>
    <row r="8">
      <c r="A8" s="8" t="inlineStr">
        <is>
          <t>Tassi BCE deposit facility</t>
        </is>
      </c>
      <c r="B8" s="11" t="n">
        <v>0.025</v>
      </c>
      <c r="C8" s="11" t="n">
        <v>0.04</v>
      </c>
      <c r="D8" s="11">
        <f>C8-B8</f>
        <v/>
      </c>
      <c r="E8" s="8" t="inlineStr">
        <is>
          <t>Risalita per contrastare inflaz.</t>
        </is>
      </c>
    </row>
    <row r="9">
      <c r="A9" s="8" t="inlineStr">
        <is>
          <t>Salari nominali (acquisita)</t>
        </is>
      </c>
      <c r="B9" s="11" t="n">
        <v>0.02</v>
      </c>
      <c r="C9" s="11" t="n">
        <v>0.025</v>
      </c>
      <c r="D9" s="11">
        <f>C9-B9</f>
        <v/>
      </c>
      <c r="E9" s="8" t="inlineStr">
        <is>
          <t>Recupero forzato</t>
        </is>
      </c>
    </row>
    <row r="10">
      <c r="A10" s="8" t="inlineStr">
        <is>
          <t>Potere d'acquisto cum. 5y</t>
        </is>
      </c>
      <c r="B10" s="11" t="n">
        <v>-0.005</v>
      </c>
      <c r="C10" s="11" t="n">
        <v>-0.045</v>
      </c>
      <c r="D10" s="11">
        <f>C10-B10</f>
        <v/>
      </c>
      <c r="E10" s="8" t="inlineStr">
        <is>
          <t>Erosione strutturale</t>
        </is>
      </c>
    </row>
    <row r="11">
      <c r="A11" s="8" t="inlineStr">
        <is>
          <t>Rendimento ETF azion. nominale</t>
        </is>
      </c>
      <c r="B11" s="11" t="n">
        <v>0.06</v>
      </c>
      <c r="C11" s="11" t="n">
        <v>0.04</v>
      </c>
      <c r="D11" s="11">
        <f>C11-B11</f>
        <v/>
      </c>
      <c r="E11" s="8" t="inlineStr">
        <is>
          <t>Compressione multipli</t>
        </is>
      </c>
    </row>
    <row r="12">
      <c r="A12" s="8" t="inlineStr">
        <is>
          <t>Rendimento BTP Italia FOI</t>
        </is>
      </c>
      <c r="B12" s="11" t="n">
        <v>0.039</v>
      </c>
      <c r="C12" s="11" t="n">
        <v>0.054</v>
      </c>
      <c r="D12" s="11">
        <f>C12-B12</f>
        <v/>
      </c>
      <c r="E12" s="8" t="inlineStr">
        <is>
          <t>Indicizzazione segue</t>
        </is>
      </c>
    </row>
    <row r="13">
      <c r="A13" s="8" t="inlineStr">
        <is>
          <t>Rendimento Conto Dep vinc.</t>
        </is>
      </c>
      <c r="B13" s="11" t="n">
        <v>0.03</v>
      </c>
      <c r="C13" s="11" t="n">
        <v>0.045</v>
      </c>
      <c r="D13" s="11">
        <f>C13-B13</f>
        <v/>
      </c>
      <c r="E13" s="8" t="inlineStr">
        <is>
          <t>Risale ma sotto inflaz.</t>
        </is>
      </c>
    </row>
    <row r="16">
      <c r="A16" s="7" t="inlineStr">
        <is>
          <t>IMPATTO SUL TUO FIRE</t>
        </is>
      </c>
    </row>
    <row r="17">
      <c r="A17" s="8" t="inlineStr">
        <is>
          <t>SWR conservativo (Trinity adattato)</t>
        </is>
      </c>
      <c r="B17" s="11">
        <f>0.040</f>
        <v/>
      </c>
      <c r="C17" s="11">
        <f>0.030</f>
        <v/>
      </c>
      <c r="D17" s="11">
        <f>C17-B17</f>
        <v/>
      </c>
      <c r="E17" s="8" t="inlineStr">
        <is>
          <t>Scendi al 3% se inflaz. 3,5%</t>
        </is>
      </c>
    </row>
    <row r="18">
      <c r="A18" s="8" t="inlineStr">
        <is>
          <t>Numero FIRE per 20k spese annue</t>
        </is>
      </c>
      <c r="B18" s="14">
        <f>20000/B17</f>
        <v/>
      </c>
      <c r="C18" s="14">
        <f>20000/C17</f>
        <v/>
      </c>
      <c r="D18" s="14">
        <f>C18-B18</f>
        <v/>
      </c>
      <c r="E18" s="8" t="inlineStr">
        <is>
          <t>Serve +166k EUR di patrimonio!</t>
        </is>
      </c>
    </row>
    <row r="20" ht="75" customHeight="1">
      <c r="A20" s="13" t="inlineStr">
        <is>
          <t>LETTURA: nello scenario stress (Brent 120$ per 5 anni, inflazione 3,5% strutturale), il numero FIRE per coprire 20k EUR di spese annue passa da 500k a 666k EUR. Sono 166k in piu' di patrimonio necessario. Sopravvivono: BTP Italia FOI, BTPi, oro fisico, REIT. Soffrono: ETF azionario puro, conto deposito non vincolato, buoni postali a tasso fisso. La strategia anti-fragile vince.</t>
        </is>
      </c>
    </row>
  </sheetData>
  <mergeCells count="5">
    <mergeCell ref="A4:E4"/>
    <mergeCell ref="A20:E20"/>
    <mergeCell ref="A2:E2"/>
    <mergeCell ref="A16:E1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2026-05-25T18:07:08Z</dcterms:created>
  <dcterms:modified xmlns:dcterms="http://purl.org/dc/terms/" xmlns:xsi="http://www.w3.org/2001/XMLSchema-instance" xsi:type="dcterms:W3CDTF">2026-05-25T18:07:08Z</dcterms:modified>
</cp:coreProperties>
</file>