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Decision tree" sheetId="2" state="visible" r:id="rId2"/>
    <sheet name="2 - Confronto OCSE" sheetId="3" state="visible" r:id="rId3"/>
    <sheet name="3 - Demograf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C8E6C9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3 Pilastri Pensione 2026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Decision tree pilastri</t>
        </is>
      </c>
      <c r="B5" s="5" t="inlineStr">
        <is>
          <t>Quale combinazione 1+2+3 fa per te</t>
        </is>
      </c>
    </row>
    <row r="6" ht="22" customHeight="1">
      <c r="A6" s="4" t="inlineStr">
        <is>
          <t>2 - Confronto OCSE</t>
        </is>
      </c>
      <c r="B6" s="5" t="inlineStr">
        <is>
          <t>Tasso sostituzione paesi euro vs Italia</t>
        </is>
      </c>
    </row>
    <row r="7" ht="22" customHeight="1">
      <c r="A7" s="4" t="inlineStr">
        <is>
          <t>3 - Demografia</t>
        </is>
      </c>
      <c r="B7" s="5" t="inlineStr">
        <is>
          <t>Rapporto lavoratori/pensionati 1950-2040</t>
        </is>
      </c>
    </row>
    <row r="9">
      <c r="A9" s="3" t="inlineStr">
        <is>
          <t>Come usare</t>
        </is>
      </c>
    </row>
    <row r="10">
      <c r="A10" s="5" t="inlineStr">
        <is>
          <t>1. Le celle GIALLE sono input — modificale coi tuoi numeri.</t>
        </is>
      </c>
    </row>
    <row r="11">
      <c r="A11" s="5" t="inlineStr">
        <is>
          <t>2. Le celle VERDI sono output — si aggiornano automaticamente.</t>
        </is>
      </c>
    </row>
    <row r="12">
      <c r="A12" s="5" t="inlineStr">
        <is>
          <t>3. Tutti i numeri di default sono al 2026 da fonti pubbliche.</t>
        </is>
      </c>
    </row>
    <row r="13">
      <c r="A13" s="5" t="inlineStr">
        <is>
          <t>4. Niente codice nascosto: l'Excel è solo formule modificabili.</t>
        </is>
      </c>
    </row>
    <row r="15">
      <c r="A15" s="3" t="inlineStr">
        <is>
          <t>Fonti dati</t>
        </is>
      </c>
    </row>
    <row r="16">
      <c r="A16" s="5" t="inlineStr">
        <is>
          <t>• INPS — primo pilastro obbligatorio, contributivo puro post-2012</t>
        </is>
      </c>
    </row>
    <row r="17">
      <c r="A17" s="5" t="inlineStr">
        <is>
          <t>• COVIP — secondo pilastro complementare, deducibilità 5.300 €</t>
        </is>
      </c>
    </row>
    <row r="18">
      <c r="A18" s="5" t="inlineStr">
        <is>
          <t>• PIP — terzo pilastro individuale, ISC medio 2,17%</t>
        </is>
      </c>
    </row>
    <row r="20">
      <c r="A20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1" ht="25" customHeight="1">
      <c r="A1" s="1" t="inlineStr">
        <is>
          <t>Decision tree: quali pilastri attivare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Combinazioni tipiche per profilo</t>
        </is>
      </c>
    </row>
    <row r="5">
      <c r="A5" s="8" t="inlineStr">
        <is>
          <t>Profilo</t>
        </is>
      </c>
      <c r="B5" s="8" t="inlineStr">
        <is>
          <t>Combinazione consigliata</t>
        </is>
      </c>
    </row>
    <row r="6">
      <c r="A6" s="9" t="inlineStr">
        <is>
          <t>Dipendente con CCNL FP negoziale</t>
        </is>
      </c>
      <c r="B6" s="9" t="inlineStr">
        <is>
          <t>INPS + FP negoziale (categoria) — Pilastro 1 + 2</t>
        </is>
      </c>
    </row>
    <row r="7">
      <c r="A7" s="9" t="inlineStr">
        <is>
          <t>Dipendente senza categoria coperta</t>
        </is>
      </c>
      <c r="B7" s="9" t="inlineStr">
        <is>
          <t>INPS + FP aperto — Pilastro 1 + 2 aperto</t>
        </is>
      </c>
    </row>
    <row r="8">
      <c r="A8" s="9" t="inlineStr">
        <is>
          <t>Autonomo / partita IVA</t>
        </is>
      </c>
      <c r="B8" s="9" t="inlineStr">
        <is>
          <t>Gestione separata INPS + PIP o FP aperto — Pilastro 1 + 3</t>
        </is>
      </c>
    </row>
    <row r="9">
      <c r="A9" s="9" t="inlineStr">
        <is>
          <t>Reddito alto (&gt;50k)</t>
        </is>
      </c>
      <c r="B9" s="9" t="inlineStr">
        <is>
          <t>Tutti e 3: INPS + FP fino 5.300€ + PIP per eccedenza</t>
        </is>
      </c>
    </row>
    <row r="10">
      <c r="A10" s="9" t="inlineStr">
        <is>
          <t>FIRE precoce (pensione &lt;60)</t>
        </is>
      </c>
      <c r="B10" s="9" t="inlineStr">
        <is>
          <t>Tutti e 3 + RITA (rendita anticipata) per ponte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25" customHeight="1">
      <c r="A1" s="1" t="inlineStr">
        <is>
          <t>Tasso sostituzione netto pensione pubblica (OCSE)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Solo pilastro pubblico (no FP)</t>
        </is>
      </c>
    </row>
    <row r="5">
      <c r="A5" s="8" t="inlineStr">
        <is>
          <t>Paese</t>
        </is>
      </c>
      <c r="B5" s="8" t="inlineStr">
        <is>
          <t>Tasso sostituzione</t>
        </is>
      </c>
    </row>
    <row r="6">
      <c r="A6" s="9" t="inlineStr">
        <is>
          <t>Italia (oggi)</t>
        </is>
      </c>
      <c r="B6" s="10">
        <f>0.75</f>
        <v/>
      </c>
    </row>
    <row r="7">
      <c r="A7" s="9" t="inlineStr">
        <is>
          <t>Italia (Millennials)</t>
        </is>
      </c>
      <c r="B7" s="10">
        <f>0.55</f>
        <v/>
      </c>
    </row>
    <row r="8">
      <c r="A8" s="9" t="inlineStr">
        <is>
          <t>Germania</t>
        </is>
      </c>
      <c r="B8" s="10">
        <f>0.7</f>
        <v/>
      </c>
    </row>
    <row r="9">
      <c r="A9" s="9" t="inlineStr">
        <is>
          <t>Francia</t>
        </is>
      </c>
      <c r="B9" s="10">
        <f>0.73</f>
        <v/>
      </c>
    </row>
    <row r="10">
      <c r="A10" s="9" t="inlineStr">
        <is>
          <t>Spagna</t>
        </is>
      </c>
      <c r="B10" s="10">
        <f>0.8</f>
        <v/>
      </c>
    </row>
    <row r="11">
      <c r="A11" s="9" t="inlineStr">
        <is>
          <t>Olanda</t>
        </is>
      </c>
      <c r="B11" s="10">
        <f>0.91</f>
        <v/>
      </c>
    </row>
    <row r="12">
      <c r="A12" s="9" t="inlineStr">
        <is>
          <t>Media OCSE</t>
        </is>
      </c>
      <c r="B12" s="10">
        <f>0.6</f>
        <v/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 ht="25" customHeight="1">
      <c r="A1" s="1" t="inlineStr">
        <is>
          <t>Rapporto lavoratori per pensionato Italia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Anno → lavoratori per ogni pensionato</t>
        </is>
      </c>
    </row>
    <row r="5">
      <c r="A5" s="8" t="inlineStr">
        <is>
          <t>Anno</t>
        </is>
      </c>
      <c r="B5" s="8" t="inlineStr">
        <is>
          <t>Lavoratori per pensionato</t>
        </is>
      </c>
    </row>
    <row r="6">
      <c r="A6" s="9" t="inlineStr">
        <is>
          <t>1950</t>
        </is>
      </c>
      <c r="B6" s="11">
        <f>4.0</f>
        <v/>
      </c>
    </row>
    <row r="7">
      <c r="A7" s="9" t="inlineStr">
        <is>
          <t>1990</t>
        </is>
      </c>
      <c r="B7" s="11">
        <f>2.5</f>
        <v/>
      </c>
    </row>
    <row r="8">
      <c r="A8" s="9" t="inlineStr">
        <is>
          <t>2026</t>
        </is>
      </c>
      <c r="B8" s="11">
        <f>1.3</f>
        <v/>
      </c>
    </row>
    <row r="9">
      <c r="A9" s="9" t="inlineStr">
        <is>
          <t>2040 (stima ISTAT)</t>
        </is>
      </c>
      <c r="B9" s="11">
        <f>1.0</f>
        <v/>
      </c>
    </row>
    <row r="11" ht="60" customHeight="1">
      <c r="A11" s="12" t="inlineStr">
        <is>
          <t>La pensione INPS contributiva pura è SOSTENIBILE per chi versa, perché il montante è proporzionale ai contributi versati. Ma il TASSO DI SOSTITUZIONE scende strutturalmente.</t>
        </is>
      </c>
    </row>
  </sheetData>
  <mergeCells count="4">
    <mergeCell ref="A1:D1"/>
    <mergeCell ref="A4:D4"/>
    <mergeCell ref="A11:B1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2026-05-22T20:01:38Z</dcterms:created>
  <dcterms:modified xsi:type="dcterms:W3CDTF">2026-05-22T20:01:38Z</dcterms:modified>
</cp:coreProperties>
</file>