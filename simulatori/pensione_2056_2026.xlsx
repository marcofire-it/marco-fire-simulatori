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 - Indice" sheetId="1" state="visible" r:id="rId1"/>
    <sheet name="1 - Pensione INPS" sheetId="2" state="visible" r:id="rId2"/>
    <sheet name="2 - Tasso sostituzione" sheetId="3" state="visible" r:id="rId3"/>
    <sheet name="3 - Mix INPS + F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€&quot;"/>
    <numFmt numFmtId="165" formatCode="0.000%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E40AF"/>
      <sz val="16"/>
    </font>
    <font>
      <name val="Calibri"/>
      <i val="1"/>
      <color rgb="00991B1B"/>
      <sz val="10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FEE2E2"/>
      </patternFill>
    </fill>
    <fill>
      <patternFill patternType="solid">
        <fgColor rgb="001E40AF"/>
      </patternFill>
    </fill>
    <fill>
      <patternFill patternType="solid">
        <fgColor rgb="00FFF59D"/>
      </patternFill>
    </fill>
    <fill>
      <patternFill patternType="solid">
        <fgColor rgb="00C8E6C9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</cols>
  <sheetData>
    <row r="1" ht="32" customHeight="1">
      <c r="A1" s="1" t="inlineStr">
        <is>
          <t>Marco FIRE — Pensione 2056 (proiezione)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3" t="inlineStr">
        <is>
          <t>Indice</t>
        </is>
      </c>
    </row>
    <row r="5" ht="22" customHeight="1">
      <c r="A5" s="4" t="inlineStr">
        <is>
          <t>1 - Pensione INPS</t>
        </is>
      </c>
      <c r="B5" s="5" t="inlineStr">
        <is>
          <t>Calcolo contributivo puro montante × coefficiente</t>
        </is>
      </c>
    </row>
    <row r="6" ht="22" customHeight="1">
      <c r="A6" s="4" t="inlineStr">
        <is>
          <t>2 - Tasso sostituzione netto</t>
        </is>
      </c>
      <c r="B6" s="5" t="inlineStr">
        <is>
          <t>Rapporto pensione/ultimo stipendio per generazione</t>
        </is>
      </c>
    </row>
    <row r="7" ht="22" customHeight="1">
      <c r="A7" s="4" t="inlineStr">
        <is>
          <t>3 - Mix INPS + FP</t>
        </is>
      </c>
      <c r="B7" s="5" t="inlineStr">
        <is>
          <t>Pensione totale 3 pilastri</t>
        </is>
      </c>
    </row>
    <row r="9">
      <c r="A9" s="3" t="inlineStr">
        <is>
          <t>Come usare</t>
        </is>
      </c>
    </row>
    <row r="10">
      <c r="A10" s="5" t="inlineStr">
        <is>
          <t>1. Le celle GIALLE sono input — modificale coi tuoi numeri.</t>
        </is>
      </c>
    </row>
    <row r="11">
      <c r="A11" s="5" t="inlineStr">
        <is>
          <t>2. Le celle VERDI sono output — si aggiornano automaticamente.</t>
        </is>
      </c>
    </row>
    <row r="12">
      <c r="A12" s="5" t="inlineStr">
        <is>
          <t>3. Tutti i numeri di default sono al 2026 da fonti pubbliche.</t>
        </is>
      </c>
    </row>
    <row r="13">
      <c r="A13" s="5" t="inlineStr">
        <is>
          <t>4. Niente codice nascosto: l'Excel è solo formule modificabili.</t>
        </is>
      </c>
    </row>
    <row r="15">
      <c r="A15" s="3" t="inlineStr">
        <is>
          <t>Fonti dati</t>
        </is>
      </c>
    </row>
    <row r="16">
      <c r="A16" s="5" t="inlineStr">
        <is>
          <t>• INPS coefficienti trasformazione 2025-2026 (67y = 5,608%)</t>
        </is>
      </c>
    </row>
    <row r="17">
      <c r="A17" s="5" t="inlineStr">
        <is>
          <t>• INPS — Aliquota contributiva 33% (9,19% lavoratore + 23,81% datore)</t>
        </is>
      </c>
    </row>
    <row r="18">
      <c r="A18" s="5" t="inlineStr">
        <is>
          <t>• Rendimento medio FP comparto bilanciato 10y: ~2,5%</t>
        </is>
      </c>
    </row>
    <row r="20">
      <c r="A20" s="6" t="inlineStr">
        <is>
          <t>Aggiornamenti: github.com/marcofire-it/marco-fire-simulatori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4" customWidth="1" min="3" max="3"/>
    <col width="36" customWidth="1" min="4" max="4"/>
    <col width="18" customWidth="1" min="5" max="5"/>
  </cols>
  <sheetData>
    <row r="1" ht="25" customHeight="1">
      <c r="A1" s="1" t="inlineStr">
        <is>
          <t>Calcolo pensione INPS contributivo puro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Età attuale</t>
        </is>
      </c>
      <c r="B5" s="9" t="n">
        <v>30</v>
      </c>
    </row>
    <row r="6">
      <c r="A6" s="8" t="inlineStr">
        <is>
          <t>Età pensione vecchiaia</t>
        </is>
      </c>
      <c r="B6" s="9" t="n">
        <v>67</v>
      </c>
    </row>
    <row r="7">
      <c r="A7" s="8" t="inlineStr">
        <is>
          <t>Stipendio lordo medio annuo (€)</t>
        </is>
      </c>
      <c r="B7" s="10" t="n">
        <v>30000</v>
      </c>
    </row>
    <row r="8">
      <c r="A8" s="8" t="inlineStr">
        <is>
          <t>Aliquota contributiva (33%)</t>
        </is>
      </c>
      <c r="B8" s="11" t="n">
        <v>0.33</v>
      </c>
    </row>
    <row r="9">
      <c r="A9" s="8" t="inlineStr">
        <is>
          <t>Rivalutazione media annua montante (%)</t>
        </is>
      </c>
      <c r="B9" s="11" t="n">
        <v>0.012</v>
      </c>
    </row>
    <row r="10">
      <c r="A10" s="8" t="inlineStr">
        <is>
          <t>Coefficiente trasformazione età 67 (%)</t>
        </is>
      </c>
      <c r="B10" s="12" t="n">
        <v>0.05608</v>
      </c>
    </row>
    <row r="12">
      <c r="A12" s="7" t="inlineStr">
        <is>
          <t>OUTPUT</t>
        </is>
      </c>
    </row>
    <row r="13">
      <c r="A13" s="8" t="inlineStr">
        <is>
          <t>Anni contribuzione</t>
        </is>
      </c>
      <c r="B13" s="13">
        <f>B6-B5</f>
        <v/>
      </c>
    </row>
    <row r="14">
      <c r="A14" s="8" t="inlineStr">
        <is>
          <t>Contributo annuo</t>
        </is>
      </c>
      <c r="B14" s="14">
        <f>B7*B8</f>
        <v/>
      </c>
    </row>
    <row r="15">
      <c r="A15" s="8" t="inlineStr">
        <is>
          <t>Montante stimato (rivalutato)</t>
        </is>
      </c>
      <c r="B15" s="14">
        <f>B14*(((1+B9)^B13-1)/B9)</f>
        <v/>
      </c>
    </row>
    <row r="16">
      <c r="A16" s="8" t="inlineStr">
        <is>
          <t>Pensione annua lorda</t>
        </is>
      </c>
      <c r="B16" s="14">
        <f>B15*B10</f>
        <v/>
      </c>
    </row>
    <row r="17">
      <c r="A17" s="8" t="inlineStr">
        <is>
          <t>Pensione mensile lorda (÷13)</t>
        </is>
      </c>
      <c r="B17" s="14">
        <f>B16/13</f>
        <v/>
      </c>
    </row>
    <row r="18">
      <c r="A18" s="8" t="inlineStr">
        <is>
          <t>Pensione mensile netta (stima -22% IRPEF)</t>
        </is>
      </c>
      <c r="B18" s="14">
        <f>B17*0.78</f>
        <v/>
      </c>
    </row>
  </sheetData>
  <mergeCells count="4">
    <mergeCell ref="A1:D1"/>
    <mergeCell ref="A12:D12"/>
    <mergeCell ref="A4:D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 ht="25" customHeight="1">
      <c r="A1" s="1" t="inlineStr">
        <is>
          <t>Tasso di sostituzione netto INPS per generazione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Tabella per generazione (dati COVIP/Banca d'Italia)</t>
        </is>
      </c>
    </row>
    <row r="5">
      <c r="A5" s="15" t="inlineStr">
        <is>
          <t>Generazione</t>
        </is>
      </c>
      <c r="B5" s="15" t="inlineStr">
        <is>
          <t>Sistema</t>
        </is>
      </c>
      <c r="C5" s="15" t="inlineStr">
        <is>
          <t>Tasso netto INPS</t>
        </is>
      </c>
    </row>
    <row r="6">
      <c r="A6" s="8" t="inlineStr">
        <is>
          <t>Pensionati oggi</t>
        </is>
      </c>
      <c r="B6" s="8" t="inlineStr">
        <is>
          <t>Retributivo/misto</t>
        </is>
      </c>
      <c r="C6" s="16">
        <f>0.73</f>
        <v/>
      </c>
    </row>
    <row r="7">
      <c r="A7" s="8" t="inlineStr">
        <is>
          <t>Nati 1965-1980</t>
        </is>
      </c>
      <c r="B7" s="8" t="inlineStr">
        <is>
          <t>Misto</t>
        </is>
      </c>
      <c r="C7" s="16">
        <f>0.65</f>
        <v/>
      </c>
    </row>
    <row r="8">
      <c r="A8" s="8" t="inlineStr">
        <is>
          <t>Nati 1980-2000</t>
        </is>
      </c>
      <c r="B8" s="8" t="inlineStr">
        <is>
          <t>Contributivo puro</t>
        </is>
      </c>
      <c r="C8" s="16">
        <f>0.55</f>
        <v/>
      </c>
    </row>
    <row r="9">
      <c r="A9" s="8" t="inlineStr">
        <is>
          <t>Nati post-2000</t>
        </is>
      </c>
      <c r="B9" s="8" t="inlineStr">
        <is>
          <t>Contributivo puro</t>
        </is>
      </c>
      <c r="C9" s="16">
        <f>0.5</f>
        <v/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4" customWidth="1" min="3" max="3"/>
    <col width="36" customWidth="1" min="4" max="4"/>
    <col width="18" customWidth="1" min="5" max="5"/>
  </cols>
  <sheetData>
    <row r="1" ht="25" customHeight="1">
      <c r="A1" s="1" t="inlineStr">
        <is>
          <t>Pensione totale: INPS + Fondo Pensione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Pensione INPS netta mensile (da sheet 1)</t>
        </is>
      </c>
      <c r="B5" s="10" t="n">
        <v>1500</v>
      </c>
    </row>
    <row r="6">
      <c r="A6" s="8" t="inlineStr">
        <is>
          <t>Capitale FP a 67y (€)</t>
        </is>
      </c>
      <c r="B6" s="10" t="n">
        <v>200000</v>
      </c>
    </row>
    <row r="7">
      <c r="A7" s="8" t="inlineStr">
        <is>
          <t>% capitale prelevato in unica soluzione (max 60%)</t>
        </is>
      </c>
      <c r="B7" s="17" t="n">
        <v>0.6</v>
      </c>
    </row>
    <row r="8">
      <c r="A8" s="8" t="inlineStr">
        <is>
          <t>Coefficiente conversione rendita 67y (%)</t>
        </is>
      </c>
      <c r="B8" s="12" t="n">
        <v>0.054</v>
      </c>
    </row>
    <row r="9">
      <c r="A9" s="8" t="inlineStr">
        <is>
          <t>Ultimo stipendio netto mensile (riferimento)</t>
        </is>
      </c>
      <c r="B9" s="10" t="n">
        <v>1900</v>
      </c>
    </row>
    <row r="11">
      <c r="A11" s="7" t="inlineStr">
        <is>
          <t>OUTPUT</t>
        </is>
      </c>
    </row>
    <row r="12">
      <c r="A12" s="8" t="inlineStr">
        <is>
          <t>Capitale FP in rendita</t>
        </is>
      </c>
      <c r="B12" s="14">
        <f>B6*(1-B7)</f>
        <v/>
      </c>
    </row>
    <row r="13">
      <c r="A13" s="8" t="inlineStr">
        <is>
          <t>Rendita FP annua lorda</t>
        </is>
      </c>
      <c r="B13" s="14">
        <f>B12*B8</f>
        <v/>
      </c>
    </row>
    <row r="14">
      <c r="A14" s="8" t="inlineStr">
        <is>
          <t>Rendita FP mensile netta (÷13, stima -10% tassa)</t>
        </is>
      </c>
      <c r="B14" s="14">
        <f>B13/13*0.91</f>
        <v/>
      </c>
    </row>
    <row r="15">
      <c r="A15" s="8" t="inlineStr">
        <is>
          <t>Pensione totale netta mensile (INPS + FP)</t>
        </is>
      </c>
      <c r="B15" s="14">
        <f>B5+B14</f>
        <v/>
      </c>
    </row>
    <row r="16">
      <c r="A16" s="8" t="inlineStr">
        <is>
          <t>Tasso sostituzione totale netto</t>
        </is>
      </c>
      <c r="B16" s="16">
        <f>B15/B9</f>
        <v/>
      </c>
    </row>
  </sheetData>
  <mergeCells count="4">
    <mergeCell ref="A1:D1"/>
    <mergeCell ref="A4:D4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2026-05-22T20:01:38Z</dcterms:created>
  <dcterms:modified xsi:type="dcterms:W3CDTF">2026-05-22T20:01:38Z</dcterms:modified>
</cp:coreProperties>
</file>