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Stesso contributo" sheetId="2" state="visible" r:id="rId2"/>
    <sheet name="2 - Risparmio fiscale netto" sheetId="3" state="visible" r:id="rId3"/>
    <sheet name="3 - Anni per paregg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FAFAFA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FP vs PAC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Confronto stesso contributo</t>
        </is>
      </c>
      <c r="B5" s="5" t="inlineStr">
        <is>
          <t>FP vs PAC ETF con stesso €/anno</t>
        </is>
      </c>
    </row>
    <row r="6" ht="22" customHeight="1">
      <c r="A6" s="4" t="inlineStr">
        <is>
          <t>2 - Risparmio fiscale netto</t>
        </is>
      </c>
      <c r="B6" s="5" t="inlineStr">
        <is>
          <t>Bonus deducibilità nel confronto</t>
        </is>
      </c>
    </row>
    <row r="7" ht="22" customHeight="1">
      <c r="A7" s="4" t="inlineStr">
        <is>
          <t>3 - Anni per pareggio</t>
        </is>
      </c>
      <c r="B7" s="5" t="inlineStr">
        <is>
          <t>Quando FP supera/non supera PAC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Deducibilità FP 5.300 €/anno (LB 2026)</t>
        </is>
      </c>
    </row>
    <row r="17">
      <c r="A17" s="5" t="inlineStr">
        <is>
          <t>• Tassazione FP rendimenti 20%/12,5% + bollo 0%; PAC ETF 26% + bollo 0,2%</t>
        </is>
      </c>
    </row>
    <row r="18">
      <c r="A18" s="5" t="inlineStr">
        <is>
          <t>• Aliquota prestazione FP 15%→9% dopo 35y; ETF PAC 26% alla vendita</t>
        </is>
      </c>
    </row>
    <row r="20">
      <c r="A20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FP vs PAC ETF — stesso contributo annuo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Contributo annuo (€)</t>
        </is>
      </c>
      <c r="B5" s="9" t="n">
        <v>3000</v>
      </c>
    </row>
    <row r="6">
      <c r="A6" s="8" t="inlineStr">
        <is>
          <t>Anni di accumulo</t>
        </is>
      </c>
      <c r="B6" s="10" t="n">
        <v>30</v>
      </c>
    </row>
    <row r="7">
      <c r="A7" s="8" t="inlineStr">
        <is>
          <t>Rendimento netto FP (%)</t>
        </is>
      </c>
      <c r="B7" s="11" t="n">
        <v>0.035</v>
      </c>
    </row>
    <row r="8">
      <c r="A8" s="8" t="inlineStr">
        <is>
          <t>Rendimento netto PAC ETF (%)</t>
        </is>
      </c>
      <c r="B8" s="11" t="n">
        <v>0.05</v>
      </c>
    </row>
    <row r="9">
      <c r="A9" s="8" t="inlineStr">
        <is>
          <t>Aliquota prestazione FP (9% se &gt;=35y)</t>
        </is>
      </c>
      <c r="B9" s="11" t="n">
        <v>0.09</v>
      </c>
    </row>
    <row r="10">
      <c r="A10" s="8" t="inlineStr">
        <is>
          <t>Aliquota capital gain ETF</t>
        </is>
      </c>
      <c r="B10" s="11" t="n">
        <v>0.26</v>
      </c>
    </row>
    <row r="12">
      <c r="A12" s="7" t="inlineStr">
        <is>
          <t>OUTPUT</t>
        </is>
      </c>
    </row>
    <row r="13">
      <c r="A13" s="8" t="inlineStr">
        <is>
          <t>FV FP (lordo)</t>
        </is>
      </c>
      <c r="B13" s="12">
        <f>B5*(((1+B7)^B6-1)/B7)</f>
        <v/>
      </c>
    </row>
    <row r="14">
      <c r="A14" s="8" t="inlineStr">
        <is>
          <t>FV FP (netto post-tassa prestazione)</t>
        </is>
      </c>
      <c r="B14" s="12">
        <f>B13*(1-B9)+B5*B6*B9</f>
        <v/>
      </c>
    </row>
    <row r="15">
      <c r="A15" s="8" t="inlineStr">
        <is>
          <t>FV PAC ETF (lordo)</t>
        </is>
      </c>
      <c r="B15" s="12">
        <f>B5*(((1+B8)^B6-1)/B8)</f>
        <v/>
      </c>
    </row>
    <row r="16">
      <c r="A16" s="8" t="inlineStr">
        <is>
          <t>FV PAC ETF (netto post-capital gain)</t>
        </is>
      </c>
      <c r="B16" s="12">
        <f>B5*B6+(B15-B5*B6)*(1-B10)</f>
        <v/>
      </c>
    </row>
    <row r="17">
      <c r="A17" s="8" t="inlineStr">
        <is>
          <t>Differenza FP - PAC (netto)</t>
        </is>
      </c>
      <c r="B17" s="12">
        <f>B14-B16</f>
        <v/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FP con risparmio fiscale dedotto re-investito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Contributo FP annuo (€)</t>
        </is>
      </c>
      <c r="B5" s="9" t="n">
        <v>3000</v>
      </c>
    </row>
    <row r="6">
      <c r="A6" s="8" t="inlineStr">
        <is>
          <t>Aliquota IRPEF + addiz. (%)</t>
        </is>
      </c>
      <c r="B6" s="11" t="n">
        <v>0.355</v>
      </c>
    </row>
    <row r="7">
      <c r="A7" s="8" t="inlineStr">
        <is>
          <t>Anni</t>
        </is>
      </c>
      <c r="B7" s="10" t="n">
        <v>30</v>
      </c>
    </row>
    <row r="8">
      <c r="A8" s="8" t="inlineStr">
        <is>
          <t>Rendimento FP (%)</t>
        </is>
      </c>
      <c r="B8" s="11" t="n">
        <v>0.035</v>
      </c>
    </row>
    <row r="9">
      <c r="A9" s="8" t="inlineStr">
        <is>
          <t>Rendimento PAC se reinvesto risparmio (%)</t>
        </is>
      </c>
      <c r="B9" s="11" t="n">
        <v>0.05</v>
      </c>
    </row>
    <row r="11">
      <c r="A11" s="7" t="inlineStr">
        <is>
          <t>OUTPUT</t>
        </is>
      </c>
    </row>
    <row r="12">
      <c r="A12" s="8" t="inlineStr">
        <is>
          <t>Risparmio fiscale annuo (€)</t>
        </is>
      </c>
      <c r="B12" s="12">
        <f>B5*B6</f>
        <v/>
      </c>
    </row>
    <row r="13">
      <c r="A13" s="8" t="inlineStr">
        <is>
          <t>FV del risparmio fiscale reinvestito in ETF</t>
        </is>
      </c>
      <c r="B13" s="12">
        <f>B12*(((1+B9)^B7-1)/B9)</f>
        <v/>
      </c>
    </row>
    <row r="15" ht="32" customHeight="1">
      <c r="A15" s="13" t="inlineStr">
        <is>
          <t>Mossa intelligente: ogni anno reinvesti il risparmio IRPEF (es. 1.000 €/anno) in un PAC ETF parallelo. Su 30 anni a 5% diventa ~70k € extra.</t>
        </is>
      </c>
    </row>
  </sheetData>
  <mergeCells count="5">
    <mergeCell ref="A1:D1"/>
    <mergeCell ref="A15:B15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In quanti anni FP supera PAC ETF?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 ht="60" customHeight="1">
      <c r="A4" s="13" t="inlineStr">
        <is>
          <t>Il FP ha vantaggio fiscale all'INGRESSO (deducibilità) e in USCITA (15→9%). Il PAC ETF ha vantaggio sul rendimento (di solito più alto). L'incrocio dipende da: scaglione IRPEF, rendimento ipotetico, anni partecipazione.</t>
        </is>
      </c>
    </row>
    <row r="6">
      <c r="A6" s="7" t="inlineStr">
        <is>
          <t>INPUT</t>
        </is>
      </c>
    </row>
    <row r="7">
      <c r="A7" s="8" t="inlineStr">
        <is>
          <t>Contributo annuo (€)</t>
        </is>
      </c>
      <c r="B7" s="9" t="n">
        <v>3000</v>
      </c>
    </row>
    <row r="8">
      <c r="A8" s="8" t="inlineStr">
        <is>
          <t>Aliquota IRPEF marginale (%)</t>
        </is>
      </c>
      <c r="B8" s="11" t="n">
        <v>0.355</v>
      </c>
    </row>
    <row r="9">
      <c r="A9" s="8" t="inlineStr">
        <is>
          <t>Rendimento FP (%)</t>
        </is>
      </c>
      <c r="B9" s="11" t="n">
        <v>0.035</v>
      </c>
    </row>
    <row r="10">
      <c r="A10" s="8" t="inlineStr">
        <is>
          <t>Rendimento PAC (%)</t>
        </is>
      </c>
      <c r="B10" s="11" t="n">
        <v>0.05</v>
      </c>
    </row>
    <row r="12">
      <c r="A12" s="7" t="inlineStr">
        <is>
          <t>Tabella anni vs vantaggio FP</t>
        </is>
      </c>
    </row>
    <row r="13">
      <c r="A13" s="14" t="inlineStr">
        <is>
          <t>Anni partecipazione</t>
        </is>
      </c>
      <c r="B13" s="14" t="inlineStr">
        <is>
          <t>FV FP netto</t>
        </is>
      </c>
      <c r="C13" s="14" t="inlineStr">
        <is>
          <t>FV PAC ETF netto</t>
        </is>
      </c>
      <c r="D13" s="14" t="inlineStr">
        <is>
          <t>FP vince?</t>
        </is>
      </c>
    </row>
    <row r="14">
      <c r="A14" s="8" t="inlineStr">
        <is>
          <t>10 anni</t>
        </is>
      </c>
      <c r="B14" s="12">
        <f>(B7*(((1+B9)^10-1)/B9))*(1-(MAX(0.09, 0.15 - MAX(0,10-15)*0.003)))+B7*10*(MAX(0.09, 0.15 - MAX(0,10-15)*0.003))+B7*B8*(((1+B10)^10-1)/B10)</f>
        <v/>
      </c>
      <c r="C14" s="12">
        <f>B7*10+(B7*(((1+B10)^10-1)/B10)-B7*10)*(1-0.26)</f>
        <v/>
      </c>
      <c r="D14" s="15">
        <f>IF(B14&gt;C14,"Sì","No")</f>
        <v/>
      </c>
    </row>
    <row r="15">
      <c r="A15" s="8" t="inlineStr">
        <is>
          <t>15 anni</t>
        </is>
      </c>
      <c r="B15" s="12">
        <f>(B7*(((1+B9)^15-1)/B9))*(1-(MAX(0.09, 0.15 - MAX(0,15-15)*0.003)))+B7*15*(MAX(0.09, 0.15 - MAX(0,15-15)*0.003))+B7*B8*(((1+B10)^15-1)/B10)</f>
        <v/>
      </c>
      <c r="C15" s="12">
        <f>B7*15+(B7*(((1+B10)^15-1)/B10)-B7*15)*(1-0.26)</f>
        <v/>
      </c>
      <c r="D15" s="15">
        <f>IF(B15&gt;C15,"Sì","No")</f>
        <v/>
      </c>
    </row>
    <row r="16">
      <c r="A16" s="8" t="inlineStr">
        <is>
          <t>20 anni</t>
        </is>
      </c>
      <c r="B16" s="12">
        <f>(B7*(((1+B9)^20-1)/B9))*(1-(MAX(0.09, 0.15 - MAX(0,20-15)*0.003)))+B7*20*(MAX(0.09, 0.15 - MAX(0,20-15)*0.003))+B7*B8*(((1+B10)^20-1)/B10)</f>
        <v/>
      </c>
      <c r="C16" s="12">
        <f>B7*20+(B7*(((1+B10)^20-1)/B10)-B7*20)*(1-0.26)</f>
        <v/>
      </c>
      <c r="D16" s="15">
        <f>IF(B16&gt;C16,"Sì","No")</f>
        <v/>
      </c>
    </row>
    <row r="17">
      <c r="A17" s="8" t="inlineStr">
        <is>
          <t>25 anni</t>
        </is>
      </c>
      <c r="B17" s="12">
        <f>(B7*(((1+B9)^25-1)/B9))*(1-(MAX(0.09, 0.15 - MAX(0,25-15)*0.003)))+B7*25*(MAX(0.09, 0.15 - MAX(0,25-15)*0.003))+B7*B8*(((1+B10)^25-1)/B10)</f>
        <v/>
      </c>
      <c r="C17" s="12">
        <f>B7*25+(B7*(((1+B10)^25-1)/B10)-B7*25)*(1-0.26)</f>
        <v/>
      </c>
      <c r="D17" s="15">
        <f>IF(B17&gt;C17,"Sì","No")</f>
        <v/>
      </c>
    </row>
    <row r="18">
      <c r="A18" s="8" t="inlineStr">
        <is>
          <t>30 anni</t>
        </is>
      </c>
      <c r="B18" s="12">
        <f>(B7*(((1+B9)^30-1)/B9))*(1-(MAX(0.09, 0.15 - MAX(0,30-15)*0.003)))+B7*30*(MAX(0.09, 0.15 - MAX(0,30-15)*0.003))+B7*B8*(((1+B10)^30-1)/B10)</f>
        <v/>
      </c>
      <c r="C18" s="12">
        <f>B7*30+(B7*(((1+B10)^30-1)/B10)-B7*30)*(1-0.26)</f>
        <v/>
      </c>
      <c r="D18" s="15">
        <f>IF(B18&gt;C18,"Sì","No")</f>
        <v/>
      </c>
    </row>
    <row r="19">
      <c r="A19" s="8" t="inlineStr">
        <is>
          <t>35 anni</t>
        </is>
      </c>
      <c r="B19" s="12">
        <f>(B7*(((1+B9)^35-1)/B9))*(1-(MAX(0.09, 0.15 - MAX(0,35-15)*0.003)))+B7*35*(MAX(0.09, 0.15 - MAX(0,35-15)*0.003))+B7*B8*(((1+B10)^35-1)/B10)</f>
        <v/>
      </c>
      <c r="C19" s="12">
        <f>B7*35+(B7*(((1+B10)^35-1)/B10)-B7*35)*(1-0.26)</f>
        <v/>
      </c>
      <c r="D19" s="15">
        <f>IF(B19&gt;C19,"Sì","No")</f>
        <v/>
      </c>
    </row>
    <row r="20">
      <c r="A20" s="8" t="inlineStr">
        <is>
          <t>40 anni</t>
        </is>
      </c>
      <c r="B20" s="12">
        <f>(B7*(((1+B9)^40-1)/B9))*(1-(MAX(0.09, 0.15 - MAX(0,40-15)*0.003)))+B7*40*(MAX(0.09, 0.15 - MAX(0,40-15)*0.003))+B7*B8*(((1+B10)^40-1)/B10)</f>
        <v/>
      </c>
      <c r="C20" s="12">
        <f>B7*40+(B7*(((1+B10)^40-1)/B10)-B7*40)*(1-0.26)</f>
        <v/>
      </c>
      <c r="D20" s="15">
        <f>IF(B20&gt;C20,"Sì","No")</f>
        <v/>
      </c>
    </row>
  </sheetData>
  <mergeCells count="5">
    <mergeCell ref="A4:B4"/>
    <mergeCell ref="A1:D1"/>
    <mergeCell ref="A6:D6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