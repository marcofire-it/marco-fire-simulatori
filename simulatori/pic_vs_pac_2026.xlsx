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Lump sum vs DCA" sheetId="2" state="visible" r:id="rId2"/>
    <sheet name="2 - Stress test crash" sheetId="3" state="visible" r:id="rId3"/>
    <sheet name="3 - Strategia ibrida 50-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€&quot;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FAFAFA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PIC vs PAC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Lump sum vs DCA</t>
        </is>
      </c>
      <c r="B5" s="5" t="inlineStr">
        <is>
          <t>Simulatore base entrambi gli scenari</t>
        </is>
      </c>
    </row>
    <row r="6" ht="22" customHeight="1">
      <c r="A6" s="4" t="inlineStr">
        <is>
          <t>2 - Stress test crash</t>
        </is>
      </c>
      <c r="B6" s="5" t="inlineStr">
        <is>
          <t>Cosa succede in scenari storici (2008, 2020, 2022)</t>
        </is>
      </c>
    </row>
    <row r="7" ht="22" customHeight="1">
      <c r="A7" s="4" t="inlineStr">
        <is>
          <t>3 - Strategia ibrida 50/50</t>
        </is>
      </c>
      <c r="B7" s="5" t="inlineStr">
        <is>
          <t>Compromesso lump sum + spalmato</t>
        </is>
      </c>
    </row>
    <row r="9">
      <c r="A9" s="3" t="inlineStr">
        <is>
          <t>Come usare</t>
        </is>
      </c>
    </row>
    <row r="10">
      <c r="A10" s="5" t="inlineStr">
        <is>
          <t>1. Le celle GIALLE sono input — modificale coi tuoi numeri.</t>
        </is>
      </c>
    </row>
    <row r="11">
      <c r="A11" s="5" t="inlineStr">
        <is>
          <t>2. Le celle VERDI sono output — si aggiornano automaticamente.</t>
        </is>
      </c>
    </row>
    <row r="12">
      <c r="A12" s="5" t="inlineStr">
        <is>
          <t>3. Tutti i numeri di default sono al 2026 da fonti pubbliche.</t>
        </is>
      </c>
    </row>
    <row r="13">
      <c r="A13" s="5" t="inlineStr">
        <is>
          <t>4. Niente codice nascosto: l'Excel è solo formule modificabili.</t>
        </is>
      </c>
    </row>
    <row r="15">
      <c r="A15" s="3" t="inlineStr">
        <is>
          <t>Fonti dati</t>
        </is>
      </c>
    </row>
    <row r="16">
      <c r="A16" s="5" t="inlineStr">
        <is>
          <t>• Vanguard Research (2023) — Cost averaging 68% lump sum wins</t>
        </is>
      </c>
    </row>
    <row r="17">
      <c r="A17" s="5" t="inlineStr">
        <is>
          <t>• MSCI World 1976-2022 — vol 15%, drawdown -57,8% GFC, -34% COVID</t>
        </is>
      </c>
    </row>
    <row r="18">
      <c r="A18" s="5" t="inlineStr">
        <is>
          <t>• Constantinides 1979 — DCA suboptimal vs lump sum (paper accademico)</t>
        </is>
      </c>
    </row>
    <row r="20">
      <c r="A20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PIC (lump sum) vs PAC (dollar cost averaging)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Capitale disponibile (€)</t>
        </is>
      </c>
      <c r="B5" s="9" t="n">
        <v>50000</v>
      </c>
    </row>
    <row r="6">
      <c r="A6" s="8" t="inlineStr">
        <is>
          <t>Mesi spalmatura PAC</t>
        </is>
      </c>
      <c r="B6" s="10" t="n">
        <v>12</v>
      </c>
    </row>
    <row r="7">
      <c r="A7" s="8" t="inlineStr">
        <is>
          <t>Orizzonte totale (anni)</t>
        </is>
      </c>
      <c r="B7" s="10" t="n">
        <v>15</v>
      </c>
    </row>
    <row r="8">
      <c r="A8" s="8" t="inlineStr">
        <is>
          <t>Rendimento netto medio annuo (%)</t>
        </is>
      </c>
      <c r="B8" s="11" t="n">
        <v>0.07000000000000001</v>
      </c>
    </row>
    <row r="10">
      <c r="A10" s="7" t="inlineStr">
        <is>
          <t>OUTPUT</t>
        </is>
      </c>
    </row>
    <row r="11">
      <c r="A11" s="8" t="inlineStr">
        <is>
          <t>Lump sum — capitale finale lordo</t>
        </is>
      </c>
      <c r="B11" s="12">
        <f>B5*(1+B8)^B7</f>
        <v/>
      </c>
    </row>
    <row r="12">
      <c r="A12" s="8" t="inlineStr">
        <is>
          <t>PAC mensile equivalente</t>
        </is>
      </c>
      <c r="B12" s="12">
        <f>B5/B6</f>
        <v/>
      </c>
    </row>
    <row r="13">
      <c r="A13" s="8" t="inlineStr">
        <is>
          <t>PAC — capitale finale lordo</t>
        </is>
      </c>
      <c r="B13" s="12">
        <f>(B12*(((1+(1+B8)^(1/12)-1)^B6-1)/((1+B8)^(1/12)-1)))*(1+B8)^(B7-B6/12)</f>
        <v/>
      </c>
    </row>
    <row r="14">
      <c r="A14" s="8" t="inlineStr">
        <is>
          <t>Differenza assoluta (PIC - PAC)</t>
        </is>
      </c>
      <c r="B14" s="12">
        <f>B11-B13</f>
        <v/>
      </c>
    </row>
    <row r="15">
      <c r="A15" s="8" t="inlineStr">
        <is>
          <t>Outperformance % del PIC</t>
        </is>
      </c>
      <c r="B15" s="13">
        <f>IFERROR((B11-B13)/B13, 0)</f>
        <v/>
      </c>
    </row>
    <row r="17" ht="45" customHeight="1">
      <c r="A17" s="14" t="inlineStr">
        <is>
          <t>Vanguard 2023: lump sum vince nel 68% dei casi a 12m. Outperformance media +2,2% (100% equity), +1,8% (60/40). Sotto +3,3% di rendimento atteso, PAC diventa preferibile.</t>
        </is>
      </c>
    </row>
  </sheetData>
  <mergeCells count="5">
    <mergeCell ref="A1:D1"/>
    <mergeCell ref="A4:D4"/>
    <mergeCell ref="A2:D2"/>
    <mergeCell ref="A17:B17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 ht="25" customHeight="1">
      <c r="A1" s="1" t="inlineStr">
        <is>
          <t>Stress test — scenari storici di crash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Capitale (€)</t>
        </is>
      </c>
      <c r="B5" s="9" t="n">
        <v>50000</v>
      </c>
    </row>
    <row r="7">
      <c r="A7" s="7" t="inlineStr">
        <is>
          <t>Scenari (drawdown nei primi 12 mesi, poi recovery 7%/anno per 10y totale)</t>
        </is>
      </c>
    </row>
    <row r="8">
      <c r="A8" s="15" t="inlineStr">
        <is>
          <t>Scenario</t>
        </is>
      </c>
      <c r="B8" s="15" t="inlineStr">
        <is>
          <t>Drawdown 1y</t>
        </is>
      </c>
      <c r="C8" s="15" t="inlineStr">
        <is>
          <t>Lump sum a 10y</t>
        </is>
      </c>
      <c r="D8" s="15" t="inlineStr">
        <is>
          <t>PAC 12m a 10y</t>
        </is>
      </c>
    </row>
    <row r="9">
      <c r="A9" s="8" t="inlineStr">
        <is>
          <t>Crash 2008 (GFC)</t>
        </is>
      </c>
      <c r="B9" s="16">
        <f>-0.578</f>
        <v/>
      </c>
      <c r="C9" s="12">
        <f>B5*(1+B9)*(1.07)^9</f>
        <v/>
      </c>
      <c r="D9" s="12">
        <f>B5*(1+B9*0.5)*(1.07)^9.5</f>
        <v/>
      </c>
    </row>
    <row r="10">
      <c r="A10" s="8" t="inlineStr">
        <is>
          <t>Crash 2020 (COVID, breve)</t>
        </is>
      </c>
      <c r="B10" s="16">
        <f>-0.34</f>
        <v/>
      </c>
      <c r="C10" s="12">
        <f>B5*(1+B10)*(1.07)^9</f>
        <v/>
      </c>
      <c r="D10" s="12">
        <f>B5*(1+B10*0.5)*(1.07)^9.5</f>
        <v/>
      </c>
    </row>
    <row r="11">
      <c r="A11" s="8" t="inlineStr">
        <is>
          <t>Bear 2022 (calendar)</t>
        </is>
      </c>
      <c r="B11" s="16">
        <f>-0.18</f>
        <v/>
      </c>
      <c r="C11" s="12">
        <f>B5*(1+B11)*(1.07)^9</f>
        <v/>
      </c>
      <c r="D11" s="12">
        <f>B5*(1+B11*0.5)*(1.07)^9.5</f>
        <v/>
      </c>
    </row>
    <row r="12">
      <c r="A12" s="8" t="inlineStr">
        <is>
          <t>Flat decade (Japan 1990-2010)</t>
        </is>
      </c>
      <c r="B12" s="16">
        <f>0.0</f>
        <v/>
      </c>
      <c r="C12" s="12">
        <f>B5*(1+B12)*(1.07)^9</f>
        <v/>
      </c>
      <c r="D12" s="12">
        <f>B5*(1+B12*0.5)*(1.07)^9.5</f>
        <v/>
      </c>
    </row>
    <row r="14" ht="45" customHeight="1">
      <c r="A14" s="14" t="inlineStr">
        <is>
          <t>Modello semplificato: drawdown nel 1° anno, recovery 7%/anno. Il PAC media il prezzo di ingresso → meno drawdown ma anche meno upside.</t>
        </is>
      </c>
    </row>
  </sheetData>
  <mergeCells count="5">
    <mergeCell ref="A1:D1"/>
    <mergeCell ref="A4:D4"/>
    <mergeCell ref="A7:D7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Strategia ibrida 50/50 (PIC subito + PAC su 12m)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Capitale (€)</t>
        </is>
      </c>
      <c r="B5" s="9" t="n">
        <v>50000</v>
      </c>
    </row>
    <row r="6">
      <c r="A6" s="8" t="inlineStr">
        <is>
          <t>% subito (PIC)</t>
        </is>
      </c>
      <c r="B6" s="11" t="n">
        <v>0.5</v>
      </c>
    </row>
    <row r="7">
      <c r="A7" s="8" t="inlineStr">
        <is>
          <t>Mesi spalmatura resto (PAC)</t>
        </is>
      </c>
      <c r="B7" s="10" t="n">
        <v>12</v>
      </c>
    </row>
    <row r="8">
      <c r="A8" s="8" t="inlineStr">
        <is>
          <t>Orizzonte (anni)</t>
        </is>
      </c>
      <c r="B8" s="10" t="n">
        <v>15</v>
      </c>
    </row>
    <row r="9">
      <c r="A9" s="8" t="inlineStr">
        <is>
          <t>Rendimento netto annuo (%)</t>
        </is>
      </c>
      <c r="B9" s="11" t="n">
        <v>0.07000000000000001</v>
      </c>
    </row>
    <row r="11">
      <c r="A11" s="7" t="inlineStr">
        <is>
          <t>OUTPUT</t>
        </is>
      </c>
    </row>
    <row r="12">
      <c r="A12" s="8" t="inlineStr">
        <is>
          <t>Parte PIC subito (€)</t>
        </is>
      </c>
      <c r="B12" s="12">
        <f>B5*B6</f>
        <v/>
      </c>
    </row>
    <row r="13">
      <c r="A13" s="8" t="inlineStr">
        <is>
          <t>Parte PAC mensile (€/mese)</t>
        </is>
      </c>
      <c r="B13" s="12">
        <f>B5*(1-B6)/B7</f>
        <v/>
      </c>
    </row>
    <row r="14">
      <c r="A14" s="8" t="inlineStr">
        <is>
          <t>FV parte PIC</t>
        </is>
      </c>
      <c r="B14" s="12">
        <f>B12*(1+B9)^B8</f>
        <v/>
      </c>
    </row>
    <row r="15">
      <c r="A15" s="8" t="inlineStr">
        <is>
          <t>FV parte PAC</t>
        </is>
      </c>
      <c r="B15" s="12">
        <f>(B13*(((1+(1+B9)^(1/12)-1)^B7-1)/((1+B9)^(1/12)-1)))*(1+B9)^(B8-B7/12)</f>
        <v/>
      </c>
    </row>
    <row r="16">
      <c r="A16" s="8" t="inlineStr">
        <is>
          <t>Capitale totale finale</t>
        </is>
      </c>
      <c r="B16" s="12">
        <f>B14+B15</f>
        <v/>
      </c>
    </row>
  </sheetData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2026-05-22T20:01:38Z</dcterms:created>
  <dcterms:modified xsi:type="dcterms:W3CDTF">2026-05-22T20:01:38Z</dcterms:modified>
</cp:coreProperties>
</file>