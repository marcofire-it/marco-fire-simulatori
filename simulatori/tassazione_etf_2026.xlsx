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 Indice" sheetId="1" state="visible" r:id="rId1"/>
    <sheet name="1 - Aliquota per categoria" sheetId="2" state="visible" r:id="rId2"/>
    <sheet name="2 - ETF misto" sheetId="3" state="visible" r:id="rId3"/>
    <sheet name="3 - Compensazione minus" sheetId="4" state="visible" r:id="rId4"/>
  </sheets>
  <definedNames/>
  <calcPr calcId="124519" fullCalcOnLoad="1"/>
</workbook>
</file>

<file path=xl/styles.xml><?xml version="1.0" encoding="utf-8"?>
<styleSheet xmlns="http://schemas.openxmlformats.org/spreadsheetml/2006/main">
  <numFmts count="1">
    <numFmt numFmtId="164" formatCode="#,##0&quot; €&quot;"/>
  </numFmts>
  <fonts count="8">
    <font>
      <name val="Calibri"/>
      <family val="2"/>
      <color theme="1"/>
      <sz val="11"/>
      <scheme val="minor"/>
    </font>
    <font>
      <name val="Calibri"/>
      <b val="1"/>
      <color rgb="001E40AF"/>
      <sz val="16"/>
    </font>
    <font>
      <name val="Calibri"/>
      <i val="1"/>
      <color rgb="00991B1B"/>
      <sz val="10"/>
    </font>
    <font>
      <name val="Calibri"/>
      <b val="1"/>
      <sz val="14"/>
    </font>
    <font>
      <name val="Calibri"/>
      <b val="1"/>
      <sz val="11"/>
    </font>
    <font>
      <name val="Calibri"/>
      <sz val="11"/>
    </font>
    <font>
      <name val="Calibri"/>
      <i val="1"/>
      <color rgb="00666666"/>
      <sz val="9"/>
    </font>
    <font>
      <name val="Calibri"/>
      <b val="1"/>
      <color rgb="00FFFFFF"/>
      <sz val="13"/>
    </font>
  </fonts>
  <fills count="8">
    <fill>
      <patternFill/>
    </fill>
    <fill>
      <patternFill patternType="gray125"/>
    </fill>
    <fill>
      <patternFill patternType="solid">
        <fgColor rgb="00FEE2E2"/>
      </patternFill>
    </fill>
    <fill>
      <patternFill patternType="solid">
        <fgColor rgb="001E40AF"/>
      </patternFill>
    </fill>
    <fill>
      <patternFill patternType="solid">
        <fgColor rgb="00FFF59D"/>
      </patternFill>
    </fill>
    <fill>
      <patternFill patternType="solid">
        <fgColor rgb="00DBEAFE"/>
      </patternFill>
    </fill>
    <fill>
      <patternFill patternType="solid">
        <fgColor rgb="00C8E6C9"/>
      </patternFill>
    </fill>
    <fill>
      <patternFill patternType="solid">
        <fgColor rgb="00FAFAF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0" applyAlignment="1" pivotButton="0" quotePrefix="0" xfId="0">
      <alignment horizontal="left" vertical="center" wrapText="1"/>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3" borderId="0" applyAlignment="1" pivotButton="0" quotePrefix="0" xfId="0">
      <alignment horizontal="center" vertical="center" wrapText="1"/>
    </xf>
    <xf numFmtId="0" fontId="4" fillId="0" borderId="1" applyAlignment="1" pivotButton="0" quotePrefix="0" xfId="0">
      <alignment horizontal="left" vertical="center" wrapText="1"/>
    </xf>
    <xf numFmtId="164" fontId="5" fillId="4" borderId="1" applyAlignment="1" pivotButton="0" quotePrefix="0" xfId="0">
      <alignment horizontal="right" vertical="center"/>
    </xf>
    <xf numFmtId="0" fontId="4" fillId="5" borderId="1" applyAlignment="1" pivotButton="0" quotePrefix="0" xfId="0">
      <alignment horizontal="center" vertical="center" wrapText="1"/>
    </xf>
    <xf numFmtId="10" fontId="5" fillId="6" borderId="1" applyAlignment="1" pivotButton="0" quotePrefix="0" xfId="0">
      <alignment horizontal="right" vertical="center"/>
    </xf>
    <xf numFmtId="164" fontId="5" fillId="6" borderId="1" applyAlignment="1" pivotButton="0" quotePrefix="0" xfId="0">
      <alignment horizontal="right" vertical="center"/>
    </xf>
    <xf numFmtId="10" fontId="5" fillId="4" borderId="1" applyAlignment="1" pivotButton="0" quotePrefix="0" xfId="0">
      <alignment horizontal="right" vertical="center"/>
    </xf>
    <xf numFmtId="0" fontId="6" fillId="7"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60" customWidth="1" min="1" max="1"/>
    <col width="30" customWidth="1" min="2" max="2"/>
  </cols>
  <sheetData>
    <row r="1" ht="32" customHeight="1">
      <c r="A1" s="1" t="inlineStr">
        <is>
          <t>Marco FIRE — Tassazione ETF 2026</t>
        </is>
      </c>
    </row>
    <row r="2" ht="32" customHeight="1">
      <c r="A2" s="2" t="inlineStr">
        <is>
          <t>Strumento informativo / divulgativo. NON è consulenza finanziaria. I valori sono indicativi al 2026 e vanno verificati col tuo consulente.</t>
        </is>
      </c>
    </row>
    <row r="4">
      <c r="A4" s="3" t="inlineStr">
        <is>
          <t>Indice</t>
        </is>
      </c>
    </row>
    <row r="5" ht="22" customHeight="1">
      <c r="A5" s="4" t="inlineStr">
        <is>
          <t>1 - Aliquota per categoria</t>
        </is>
      </c>
      <c r="B5" s="5" t="inlineStr">
        <is>
          <t>26% vs 12,5% in base al sottostante</t>
        </is>
      </c>
    </row>
    <row r="6" ht="22" customHeight="1">
      <c r="A6" s="4" t="inlineStr">
        <is>
          <t>2 - ETF misto (Global Aggregate)</t>
        </is>
      </c>
      <c r="B6" s="5" t="inlineStr">
        <is>
          <t>Aliquota ponderata per quota white-list</t>
        </is>
      </c>
    </row>
    <row r="7" ht="22" customHeight="1">
      <c r="A7" s="4" t="inlineStr">
        <is>
          <t>3 - Compensazione minus/plus</t>
        </is>
      </c>
      <c r="B7" s="5" t="inlineStr">
        <is>
          <t>Regole asimmetria fiscale italiana</t>
        </is>
      </c>
    </row>
    <row r="9">
      <c r="A9" s="3" t="inlineStr">
        <is>
          <t>Come usare</t>
        </is>
      </c>
    </row>
    <row r="10">
      <c r="A10" s="5" t="inlineStr">
        <is>
          <t>1. Le celle GIALLE sono input — modificale coi tuoi numeri.</t>
        </is>
      </c>
    </row>
    <row r="11">
      <c r="A11" s="5" t="inlineStr">
        <is>
          <t>2. Le celle VERDI sono output — si aggiornano automaticamente.</t>
        </is>
      </c>
    </row>
    <row r="12">
      <c r="A12" s="5" t="inlineStr">
        <is>
          <t>3. Tutti i numeri di default sono al 2026 da fonti pubbliche.</t>
        </is>
      </c>
    </row>
    <row r="13">
      <c r="A13" s="5" t="inlineStr">
        <is>
          <t>4. Niente codice nascosto: l'Excel è solo formule modificabili.</t>
        </is>
      </c>
    </row>
    <row r="15">
      <c r="A15" s="3" t="inlineStr">
        <is>
          <t>Fonti dati</t>
        </is>
      </c>
    </row>
    <row r="16">
      <c r="A16" s="5" t="inlineStr">
        <is>
          <t>• Agenzia delle Entrate — Tassazione plusvalenze 26% / 12,5%</t>
        </is>
      </c>
    </row>
    <row r="17">
      <c r="A17" s="5" t="inlineStr">
        <is>
          <t>• TUIR — Compensazione minusvalenze entro 4 anni</t>
        </is>
      </c>
    </row>
    <row r="18">
      <c r="A18" s="5" t="inlineStr">
        <is>
          <t>• Bollo 0,2% annuo strumenti in deposito titoli</t>
        </is>
      </c>
    </row>
    <row r="20">
      <c r="A20" s="6" t="inlineStr">
        <is>
          <t>Aggiornamenti: github.com/marcofire-it/marco-fire-simulatori</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2" customWidth="1" min="1" max="1"/>
    <col width="18" customWidth="1" min="2" max="2"/>
    <col width="4" customWidth="1" min="3" max="3"/>
    <col width="36" customWidth="1" min="4" max="4"/>
    <col width="18" customWidth="1" min="5" max="5"/>
  </cols>
  <sheetData>
    <row r="1" ht="25" customHeight="1">
      <c r="A1" s="1" t="inlineStr">
        <is>
          <t>Aliquota ETF per categoria sottostante</t>
        </is>
      </c>
    </row>
    <row r="2" ht="32" customHeight="1">
      <c r="A2" s="2" t="inlineStr">
        <is>
          <t>Strumento informativo / divulgativo. NON è consulenza finanziaria. I valori sono indicativi al 2026 e vanno verificati col tuo consulente.</t>
        </is>
      </c>
    </row>
    <row r="4">
      <c r="A4" s="7" t="inlineStr">
        <is>
          <t>INPUT</t>
        </is>
      </c>
    </row>
    <row r="5">
      <c r="A5" s="8" t="inlineStr">
        <is>
          <t>Plusvalenza realizzata (€)</t>
        </is>
      </c>
      <c r="B5" s="9" t="n">
        <v>10000</v>
      </c>
    </row>
    <row r="7">
      <c r="A7" s="7" t="inlineStr">
        <is>
          <t>Tabella aliquote</t>
        </is>
      </c>
    </row>
    <row r="8">
      <c r="A8" s="10" t="inlineStr">
        <is>
          <t>Categoria sottostante</t>
        </is>
      </c>
      <c r="B8" s="10" t="inlineStr">
        <is>
          <t>Aliquota</t>
        </is>
      </c>
      <c r="C8" s="10" t="inlineStr">
        <is>
          <t>Tasse</t>
        </is>
      </c>
      <c r="D8" s="10" t="inlineStr">
        <is>
          <t>Netto</t>
        </is>
      </c>
    </row>
    <row r="9">
      <c r="A9" s="8" t="inlineStr">
        <is>
          <t>Azioni / Corporate bond</t>
        </is>
      </c>
      <c r="B9" s="11">
        <f>0.26</f>
        <v/>
      </c>
      <c r="C9" s="12">
        <f>B5*B9</f>
        <v/>
      </c>
      <c r="D9" s="12">
        <f>B5-C9</f>
        <v/>
      </c>
    </row>
    <row r="10">
      <c r="A10" s="8" t="inlineStr">
        <is>
          <t>Titoli di Stato white-list (BTP, BOT, UE/OCSE)</t>
        </is>
      </c>
      <c r="B10" s="11">
        <f>0.125</f>
        <v/>
      </c>
      <c r="C10" s="12">
        <f>B5*B10</f>
        <v/>
      </c>
      <c r="D10" s="12">
        <f>B5-C10</f>
        <v/>
      </c>
    </row>
    <row r="11">
      <c r="A11" s="8" t="inlineStr">
        <is>
          <t>ETF misto Global Aggregate (orientativo ~22%)</t>
        </is>
      </c>
      <c r="B11" s="11">
        <f>0.22</f>
        <v/>
      </c>
      <c r="C11" s="12">
        <f>B5*B11</f>
        <v/>
      </c>
      <c r="D11" s="12">
        <f>B5-C11</f>
        <v/>
      </c>
    </row>
  </sheetData>
  <mergeCells count="4">
    <mergeCell ref="A1:D1"/>
    <mergeCell ref="A7:D7"/>
    <mergeCell ref="A4:D4"/>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2" customWidth="1" min="1" max="1"/>
    <col width="18" customWidth="1" min="2" max="2"/>
    <col width="4" customWidth="1" min="3" max="3"/>
    <col width="36" customWidth="1" min="4" max="4"/>
    <col width="18" customWidth="1" min="5" max="5"/>
  </cols>
  <sheetData>
    <row r="1" ht="25" customHeight="1">
      <c r="A1" s="1" t="inlineStr">
        <is>
          <t>ETF obbligazionario misto — aliquota ponderata</t>
        </is>
      </c>
    </row>
    <row r="2" ht="32" customHeight="1">
      <c r="A2" s="2" t="inlineStr">
        <is>
          <t>Strumento informativo / divulgativo. NON è consulenza finanziaria. I valori sono indicativi al 2026 e vanno verificati col tuo consulente.</t>
        </is>
      </c>
    </row>
    <row r="4">
      <c r="A4" s="7" t="inlineStr">
        <is>
          <t>INPUT</t>
        </is>
      </c>
    </row>
    <row r="5">
      <c r="A5" s="8" t="inlineStr">
        <is>
          <t>Plusvalenza (€)</t>
        </is>
      </c>
      <c r="B5" s="9" t="n">
        <v>10000</v>
      </c>
    </row>
    <row r="6">
      <c r="A6" s="8" t="inlineStr">
        <is>
          <t>% sottostante = titoli Stato white-list (%)</t>
        </is>
      </c>
      <c r="B6" s="13" t="n">
        <v>0.35</v>
      </c>
    </row>
    <row r="8">
      <c r="A8" s="7" t="inlineStr">
        <is>
          <t>OUTPUT</t>
        </is>
      </c>
    </row>
    <row r="9">
      <c r="A9" s="8" t="inlineStr">
        <is>
          <t>Aliquota effettiva (ponderata)</t>
        </is>
      </c>
      <c r="B9" s="11">
        <f>B6*0.125+(1-B6)*0.26</f>
        <v/>
      </c>
    </row>
    <row r="10">
      <c r="A10" s="8" t="inlineStr">
        <is>
          <t>Tasse</t>
        </is>
      </c>
      <c r="B10" s="12">
        <f>B5*B9</f>
        <v/>
      </c>
    </row>
    <row r="11">
      <c r="A11" s="8" t="inlineStr">
        <is>
          <t>Netto</t>
        </is>
      </c>
      <c r="B11" s="12">
        <f>B5-B10</f>
        <v/>
      </c>
    </row>
    <row r="13" ht="32" customHeight="1">
      <c r="A13" s="14" t="inlineStr">
        <is>
          <t>La quota white-list di ogni ETF è dichiarata dall'emittente nei documenti fiscali. Tipica per Global Aggregate ~20-40%, varia per anno e composizione.</t>
        </is>
      </c>
    </row>
  </sheetData>
  <mergeCells count="5">
    <mergeCell ref="A1:D1"/>
    <mergeCell ref="A8:D8"/>
    <mergeCell ref="A4:D4"/>
    <mergeCell ref="A13:B13"/>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4" customWidth="1" min="1" max="1"/>
    <col width="18" customWidth="1" min="2" max="2"/>
    <col width="4" customWidth="1" min="3" max="3"/>
    <col width="36" customWidth="1" min="4" max="4"/>
    <col width="18" customWidth="1" min="5" max="5"/>
  </cols>
  <sheetData>
    <row r="1" ht="25" customHeight="1">
      <c r="A1" s="1" t="inlineStr">
        <is>
          <t>Compensazione minusvalenze entro 4 anni</t>
        </is>
      </c>
    </row>
    <row r="2" ht="32" customHeight="1">
      <c r="A2" s="2" t="inlineStr">
        <is>
          <t>Strumento informativo / divulgativo. NON è consulenza finanziaria. I valori sono indicativi al 2026 e vanno verificati col tuo consulente.</t>
        </is>
      </c>
    </row>
    <row r="4">
      <c r="A4" s="7" t="inlineStr">
        <is>
          <t>INPUT</t>
        </is>
      </c>
    </row>
    <row r="5">
      <c r="A5" s="8" t="inlineStr">
        <is>
          <t>Minusvalenze accumulate (€)</t>
        </is>
      </c>
      <c r="B5" s="9" t="n">
        <v>5000</v>
      </c>
    </row>
    <row r="6">
      <c r="A6" s="8" t="inlineStr">
        <is>
          <t>Plusvalenze ETF nell'anno (€)</t>
        </is>
      </c>
      <c r="B6" s="9" t="n">
        <v>8000</v>
      </c>
    </row>
    <row r="7">
      <c r="A7" s="8" t="inlineStr">
        <is>
          <t>Plusvalenze 'redditi diversi' (€)</t>
        </is>
      </c>
      <c r="B7" s="9" t="n">
        <v>0</v>
      </c>
    </row>
    <row r="9">
      <c r="A9" s="7" t="inlineStr">
        <is>
          <t>OUTPUT</t>
        </is>
      </c>
    </row>
    <row r="10" ht="60" customHeight="1">
      <c r="A10" s="14" t="inlineStr">
        <is>
          <t>ATTENZIONE: in Italia, le PLUSVALENZE da ETF sono 'redditi di capitale'. Le MINUSVALENZE sono 'redditi diversi'. NON si compensano direttamente. Le minus si possono usare solo contro plus di azioni dirette, certificati, ETC, oppure ETF al CHIUSURA (non quote a quote).</t>
        </is>
      </c>
    </row>
    <row r="12">
      <c r="A12" s="8" t="inlineStr">
        <is>
          <t>Quota minus compensabile (con redditi diversi)</t>
        </is>
      </c>
      <c r="B12" s="12">
        <f>MIN(B5,B7)</f>
        <v/>
      </c>
    </row>
    <row r="13">
      <c r="A13" s="8" t="inlineStr">
        <is>
          <t>Tasse residue sulle plus ETF (26%)</t>
        </is>
      </c>
      <c r="B13" s="12">
        <f>B6*0.26</f>
        <v/>
      </c>
    </row>
  </sheetData>
  <mergeCells count="5">
    <mergeCell ref="A1:D1"/>
    <mergeCell ref="A9:D9"/>
    <mergeCell ref="A4:D4"/>
    <mergeCell ref="A10:B10"/>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2026-05-22T20:01:38Z</dcterms:created>
  <dcterms:modified xsi:type="dcterms:W3CDTF">2026-05-22T20:01:38Z</dcterms:modified>
</cp:coreProperties>
</file>