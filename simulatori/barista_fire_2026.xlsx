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- Indice" sheetId="1" state="visible" r:id="rId1"/>
    <sheet xmlns:r="http://schemas.openxmlformats.org/officeDocument/2006/relationships" name="1 - INPUT" sheetId="2" state="visible" r:id="rId2"/>
    <sheet xmlns:r="http://schemas.openxmlformats.org/officeDocument/2006/relationships" name="1b - COMPOSIZIONE" sheetId="3" state="visible" r:id="rId3"/>
    <sheet xmlns:r="http://schemas.openxmlformats.org/officeDocument/2006/relationships" name="1c - NASPI" sheetId="4" state="visible" r:id="rId4"/>
    <sheet xmlns:r="http://schemas.openxmlformats.org/officeDocument/2006/relationships" name="2 - SIMULAZIONE" sheetId="5" state="visible" r:id="rId5"/>
    <sheet xmlns:r="http://schemas.openxmlformats.org/officeDocument/2006/relationships" name="3 - CRUSCOTTO" sheetId="6" state="visible" r:id="rId6"/>
    <sheet xmlns:r="http://schemas.openxmlformats.org/officeDocument/2006/relationships" name="4 - CAPITALE EQUIV" sheetId="7" state="visible" r:id="rId7"/>
    <sheet xmlns:r="http://schemas.openxmlformats.org/officeDocument/2006/relationships" name="5 - LE TRE STRADE" sheetId="8" state="visible" r:id="rId8"/>
    <sheet xmlns:r="http://schemas.openxmlformats.org/officeDocument/2006/relationships" name="6 - PONTE E PENSIONE" sheetId="9" state="visible" r:id="rId9"/>
    <sheet xmlns:r="http://schemas.openxmlformats.org/officeDocument/2006/relationships" name="7 - SEQUENZA" sheetId="10" state="visible" r:id="rId10"/>
    <sheet xmlns:r="http://schemas.openxmlformats.org/officeDocument/2006/relationships" name="8 - PARAMETRI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&quot; €&quot;"/>
    <numFmt numFmtId="165" formatCode="0.0%"/>
    <numFmt numFmtId="166" formatCode="0.0000%"/>
    <numFmt numFmtId="167" formatCode="#,##0.00&quot; €&quot;"/>
    <numFmt numFmtId="168" formatCode="0.00000"/>
    <numFmt numFmtId="169" formatCode="0.000%"/>
    <numFmt numFmtId="170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991B1B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color rgb="001E40AF"/>
      <sz val="14"/>
    </font>
  </fonts>
  <fills count="10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1E40AF"/>
      </patternFill>
    </fill>
    <fill>
      <patternFill patternType="solid">
        <fgColor rgb="00FFF59D"/>
      </patternFill>
    </fill>
    <fill>
      <patternFill patternType="solid">
        <fgColor rgb="00FAFAFA"/>
      </patternFill>
    </fill>
    <fill>
      <patternFill patternType="solid">
        <fgColor rgb="00C8E6C9"/>
      </patternFill>
    </fill>
    <fill>
      <patternFill patternType="solid">
        <fgColor rgb="00DBEAFE"/>
      </patternFill>
    </fill>
    <fill>
      <patternFill patternType="solid">
        <fgColor rgb="00FDE68A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  <xf numFmtId="1" fontId="5" fillId="6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right" vertical="center"/>
    </xf>
    <xf numFmtId="168" fontId="5" fillId="6" borderId="1" applyAlignment="1" pivotButton="0" quotePrefix="0" xfId="0">
      <alignment horizontal="right" vertical="center"/>
    </xf>
    <xf numFmtId="10" fontId="8" fillId="8" borderId="1" applyAlignment="1" pivotButton="0" quotePrefix="0" xfId="0">
      <alignment horizontal="center" vertical="center" wrapText="1"/>
    </xf>
    <xf numFmtId="2" fontId="8" fillId="8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right" vertical="center"/>
    </xf>
    <xf numFmtId="167" fontId="8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right" vertical="center"/>
    </xf>
    <xf numFmtId="169" fontId="5" fillId="6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right" vertical="center"/>
    </xf>
    <xf numFmtId="167" fontId="5" fillId="9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7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 ht="32" customHeight="1">
      <c r="A1" s="1" t="inlineStr">
        <is>
          <t>Barista FIRE — il divario, il lavoro leggero e le tre strade fiscali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/>
    <row r="4">
      <c r="A4" s="3" t="inlineStr">
        <is>
          <t>Indice</t>
        </is>
      </c>
    </row>
    <row r="5" ht="22" customHeight="1">
      <c r="A5" s="4" t="inlineStr">
        <is>
          <t>1 - INPUT</t>
        </is>
      </c>
      <c r="B5" s="5" t="inlineStr">
        <is>
          <t>Il caso, il lavoro leggero, i mercati e la sequenza</t>
        </is>
      </c>
    </row>
    <row r="6" ht="22" customHeight="1">
      <c r="A6" s="4" t="inlineStr">
        <is>
          <t>1b - COMPOSIZIONE</t>
        </is>
      </c>
      <c r="B6" s="5" t="inlineStr">
        <is>
          <t>Da dove viene il capitale: la latente si CALCOLA, non si sceglie</t>
        </is>
      </c>
    </row>
    <row r="7" ht="22" customHeight="1">
      <c r="A7" s="4" t="inlineStr">
        <is>
          <t>1c - NASPI</t>
        </is>
      </c>
      <c r="B7" s="5" t="inlineStr">
        <is>
          <t>I 24 assegni con la tutela degli over 55, dal lordo alla cassa</t>
        </is>
      </c>
    </row>
    <row r="8" ht="22" customHeight="1">
      <c r="A8" s="4" t="inlineStr">
        <is>
          <t>2 - SIMULAZIONE</t>
        </is>
      </c>
      <c r="B8" s="5" t="inlineStr">
        <is>
          <t>Il motore: 37 anni riga per riga e i DUE fattori di lordizzazione</t>
        </is>
      </c>
    </row>
    <row r="9" ht="22" customHeight="1">
      <c r="A9" s="4" t="inlineStr">
        <is>
          <t>3 - CRUSCOTTO</t>
        </is>
      </c>
      <c r="B9" s="5" t="inlineStr">
        <is>
          <t>Il cruscotto: divario, copertura, capitale, reddito necessario</t>
        </is>
      </c>
    </row>
    <row r="10" ht="22" customHeight="1">
      <c r="A10" s="4" t="inlineStr">
        <is>
          <t>4 - CAPITALE EQUIV</t>
        </is>
      </c>
      <c r="B10" s="5" t="inlineStr">
        <is>
          <t>Quanto vale un reddito a termine, netto e al lordo dell'imposta</t>
        </is>
      </c>
    </row>
    <row r="11" ht="22" customHeight="1">
      <c r="A11" s="4" t="inlineStr">
        <is>
          <t>5 - LE TRE STRADE</t>
        </is>
      </c>
      <c r="B11" s="5" t="inlineStr">
        <is>
          <t>Occasionale, dipendente, forfettario: i due pareggi e i costi reali</t>
        </is>
      </c>
    </row>
    <row r="12" ht="22" customHeight="1">
      <c r="A12" s="4" t="inlineStr">
        <is>
          <t>6 - PONTE E PENSIONE</t>
        </is>
      </c>
      <c r="B12" s="5" t="inlineStr">
        <is>
          <t>Le pensioni di coppia dal 2039 e la pensione che il part-time aggiunge</t>
        </is>
      </c>
    </row>
    <row r="13" ht="22" customHeight="1">
      <c r="A13" s="4" t="inlineStr">
        <is>
          <t>7 - SEQUENZA</t>
        </is>
      </c>
      <c r="B13" s="5" t="inlineStr">
        <is>
          <t>Quattro ordini di rendimento, stessa media, esiti molto diversi</t>
        </is>
      </c>
    </row>
    <row r="14" ht="22" customHeight="1">
      <c r="A14" s="4" t="inlineStr">
        <is>
          <t>8 - PARAMETRI 2026</t>
        </is>
      </c>
      <c r="B14" s="5" t="inlineStr">
        <is>
          <t>Tutti i parametri 2026 con la fonte, e le due scadenze</t>
        </is>
      </c>
    </row>
    <row r="15"/>
    <row r="16">
      <c r="A16" s="3" t="inlineStr">
        <is>
          <t>Come usare</t>
        </is>
      </c>
    </row>
    <row r="17">
      <c r="A17" s="5" t="inlineStr">
        <is>
          <t>1. Le celle GIALLE sono input — modificale coi tuoi numeri.</t>
        </is>
      </c>
    </row>
    <row r="18">
      <c r="A18" s="5" t="inlineStr">
        <is>
          <t>2. Le celle VERDI sono output — si aggiornano automaticamente.</t>
        </is>
      </c>
    </row>
    <row r="19">
      <c r="A19" s="5" t="inlineStr">
        <is>
          <t>3. Tutti i numeri di default sono al 2026 da fonti pubbliche.</t>
        </is>
      </c>
    </row>
    <row r="20">
      <c r="A20" s="5" t="inlineStr">
        <is>
          <t>4. Niente codice nascosto: l'Excel è solo formule modificabili.</t>
        </is>
      </c>
    </row>
    <row r="21"/>
    <row r="22">
      <c r="A22" s="3" t="inlineStr">
        <is>
          <t>Fonti dati</t>
        </is>
      </c>
    </row>
    <row r="23">
      <c r="A23" s="5" t="inlineStr">
        <is>
          <t>• D.Lgs. 4 marzo 2015 n. 22 (NASpI): artt. 3, 4 c. 1, 5, 10</t>
        </is>
      </c>
    </row>
    <row r="24">
      <c r="A24" s="5" t="inlineStr">
        <is>
          <t>• L. 145/2018 art. 1 c. 510 (decalage dall'ottavo mese per gli over 55)</t>
        </is>
      </c>
    </row>
    <row r="25">
      <c r="A25" s="5" t="inlineStr">
        <is>
          <t>• Messaggio INPS n. 1414 del 9 aprile 2024 (soglie 5.500 / 8.500)</t>
        </is>
      </c>
    </row>
    <row r="26">
      <c r="A26" s="5" t="inlineStr">
        <is>
          <t>• Corte cost. n. 90/2024 e circolare INPS n. 36 del 4 febbraio 2025</t>
        </is>
      </c>
    </row>
    <row r="27">
      <c r="A27" s="5" t="inlineStr">
        <is>
          <t>• L. 190/2014 art. 1 cc. 54-89 e Allegato 4 (regime forfettario)</t>
        </is>
      </c>
    </row>
    <row r="28">
      <c r="A28" s="5" t="inlineStr">
        <is>
          <t>• L. 199/2025 art. 1 c. 27 (soglia 35.000 € per il 2025 e il 2026)</t>
        </is>
      </c>
    </row>
    <row r="29">
      <c r="A29" s="5" t="inlineStr">
        <is>
          <t>• L. 207/2024 art. 1 cc. 4-6 (somma integrativa e ulteriore detrazione)</t>
        </is>
      </c>
    </row>
    <row r="30">
      <c r="A30" s="5" t="inlineStr">
        <is>
          <t>• D.L. 3/2020 (trattamento integrativo); art. 13 TUIR (detrazioni)</t>
        </is>
      </c>
    </row>
    <row r="31">
      <c r="A31" s="5" t="inlineStr">
        <is>
          <t>• Art. 19 TUIR (tassazione separata); art. 67 c. 1 lett. b TUIR</t>
        </is>
      </c>
    </row>
    <row r="32">
      <c r="A32" s="5" t="inlineStr">
        <is>
          <t>• Art. 1 c. 203 L. 662/1996 e Cass. n. 15446/2016 (abitualità e prevalenza)</t>
        </is>
      </c>
    </row>
    <row r="33">
      <c r="A33" s="5" t="inlineStr">
        <is>
          <t>• Art. 2 c. 29 L. 335/1995 (accredito ridotto dei contributi)</t>
        </is>
      </c>
    </row>
    <row r="34">
      <c r="A34" s="5" t="inlineStr">
        <is>
          <t>• Ragioneria Generale dello Stato, Nota di aggiornamento dicembre 2025</t>
        </is>
      </c>
    </row>
    <row r="35"/>
    <row r="36">
      <c r="A36" s="6" t="inlineStr">
        <is>
          <t>Aggiornamenti: github.com/marcofire-it/marco-fire-simulatori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62" customWidth="1" min="4" max="4"/>
  </cols>
  <sheetData>
    <row r="1" ht="25" customHeight="1">
      <c r="A1" s="1" t="inlineStr">
        <is>
          <t>1 — INPUT: il caso, il lavoro leggero, i mercati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/>
    <row r="4">
      <c r="A4" s="7" t="inlineStr">
        <is>
          <t>IL CASO — Franco e Giulia, 55 anni, nati nel 1971</t>
        </is>
      </c>
    </row>
    <row r="5" ht="45" customHeight="1">
      <c r="A5" s="8" t="inlineStr">
        <is>
          <t>Patrimonio iniziale</t>
        </is>
      </c>
      <c r="B5" s="9" t="n">
        <v>1100000</v>
      </c>
      <c r="D5" s="10" t="inlineStr">
        <is>
          <t>1.100.000 € è la scelta d'ancoraggio dell'orchestratore, dichiarata come tale: le tre componenti del foglio 1b sono state calibrate per rispettarla, non viceversa.</t>
        </is>
      </c>
    </row>
    <row r="6" ht="45" customHeight="1">
      <c r="A6" s="8" t="inlineStr">
        <is>
          <t>Spesa annua netta</t>
        </is>
      </c>
      <c r="B6" s="9" t="n">
        <v>70000</v>
      </c>
      <c r="D6" s="10" t="inlineStr">
        <is>
          <t>Variabile di scelta, non un dato: è 2,60 volte il tenore tenuto durante l'accumulo (foglio 1b) e circa due volte l'ISTAT di coppia.</t>
        </is>
      </c>
    </row>
    <row r="7">
      <c r="A7" s="8" t="inlineStr">
        <is>
          <t>Spesa mensile</t>
        </is>
      </c>
      <c r="B7" s="11">
        <f>B6/12</f>
        <v/>
      </c>
    </row>
    <row r="8">
      <c r="A8" s="8" t="inlineStr">
        <is>
          <t>età oggi</t>
        </is>
      </c>
      <c r="B8" s="12" t="n">
        <v>55</v>
      </c>
    </row>
    <row r="9">
      <c r="A9" s="8" t="inlineStr">
        <is>
          <t>Anno dell'uscita dal lavoro pieno</t>
        </is>
      </c>
      <c r="B9" s="12" t="n">
        <v>2026</v>
      </c>
    </row>
    <row r="10" ht="15" customHeight="1">
      <c r="A10" s="8" t="inlineStr">
        <is>
          <t>Orizzonte del piano (anni)</t>
        </is>
      </c>
      <c r="B10" s="12" t="n">
        <v>37</v>
      </c>
      <c r="D10" s="10" t="inlineStr">
        <is>
          <t>37 anni: fino ai 92 di Franco.</t>
        </is>
      </c>
    </row>
    <row r="11">
      <c r="A11" s="8" t="inlineStr">
        <is>
          <t>Anni di ponte fino alle pensioni</t>
        </is>
      </c>
      <c r="B11" s="12" t="n">
        <v>13</v>
      </c>
    </row>
    <row r="12" ht="45" customHeight="1">
      <c r="A12" s="8" t="inlineStr">
        <is>
          <t>Anno di decorrenza delle pensioni</t>
        </is>
      </c>
      <c r="B12" s="13">
        <f>B9+B11</f>
        <v/>
      </c>
      <c r="D12" s="10" t="inlineStr">
        <is>
          <t>68 anni e 2 mesi nel 2039 è una PROIEZIONE della Ragioneria Generale dello Stato, non una norma: va dichiarato ogni volta.</t>
        </is>
      </c>
    </row>
    <row r="13" ht="30" customHeight="1">
      <c r="A13" s="8" t="inlineStr">
        <is>
          <t>Pensione netta di coppia (annua, 13 mensilità)</t>
        </is>
      </c>
      <c r="B13" s="9" t="n">
        <v>29094</v>
      </c>
      <c r="D13" s="10" t="inlineStr">
        <is>
          <t>2.238 €/mese netti: Franco 1.372 + Giulia 866, dalla matrice stop-55 del foglio 6. È il 41,6% della spesa.</t>
        </is>
      </c>
    </row>
    <row r="14"/>
    <row r="15">
      <c r="A15" s="7" t="inlineStr">
        <is>
          <t>IL LAVORO LEGGERO</t>
        </is>
      </c>
    </row>
    <row r="16">
      <c r="A16" s="8" t="inlineStr">
        <is>
          <t>Reddito netto annuo dal part-time</t>
        </is>
      </c>
      <c r="B16" s="9" t="n">
        <v>18000</v>
      </c>
    </row>
    <row r="17">
      <c r="A17" s="8" t="inlineStr">
        <is>
          <t>Anni di lavoro</t>
        </is>
      </c>
      <c r="B17" s="12" t="n">
        <v>13</v>
      </c>
    </row>
    <row r="18" ht="45" customHeight="1">
      <c r="A18" s="8" t="inlineStr">
        <is>
          <t>Primo anno di lavoro (1 = subito)</t>
        </is>
      </c>
      <c r="B18" s="12" t="n">
        <v>1</v>
      </c>
      <c r="D18" s="10" t="inlineStr">
        <is>
          <t>Porta B (scenario canonico): il lavoro parte subito e l'indennità decade. Porta A: 1 e 2 di sola indennità, lavoro dal terzo anno (metti 3 qui e 11 sopra).</t>
        </is>
      </c>
    </row>
    <row r="19" ht="45" customHeight="1">
      <c r="A19" s="8" t="inlineStr">
        <is>
          <t>Coefficiente di redditività (Allegato 4)</t>
        </is>
      </c>
      <c r="B19" s="14" t="n">
        <v>0.67</v>
      </c>
      <c r="D19" s="10" t="inlineStr">
        <is>
          <t>67% = «altre attività economiche», assistenza e servizi tecnici leggeri. È una SCELTA, non un dato: il foglio 5 pubblica anche il 40% e il 78%.</t>
        </is>
      </c>
    </row>
    <row r="20">
      <c r="A20" s="8" t="inlineStr">
        <is>
          <t>Costi reali, in % dei ricavi</t>
        </is>
      </c>
      <c r="B20" s="14" t="n">
        <v>0.1</v>
      </c>
    </row>
    <row r="21" ht="30" customHeight="1">
      <c r="A21" s="8" t="inlineStr">
        <is>
          <t>Fattore costo per chi paga</t>
        </is>
      </c>
      <c r="B21" s="15" t="n">
        <v>1.34</v>
      </c>
      <c r="D21" s="10" t="inlineStr">
        <is>
          <t>Contributi del datore ~30% nel terziario più il TFR 6,91%. Banda dichiarata 1,30-1,38.</t>
        </is>
      </c>
    </row>
    <row r="22" ht="30" customHeight="1">
      <c r="A22" s="8" t="inlineStr">
        <is>
          <t>Ore annue lavorate</t>
        </is>
      </c>
      <c r="B22" s="12" t="n">
        <v>630</v>
      </c>
      <c r="D22" s="10" t="inlineStr">
        <is>
          <t>2 giorni x 7 ore x 45 settimane (52 meno 5 di ferie e 2 di festivita' e chiusure).</t>
        </is>
      </c>
    </row>
    <row r="23" ht="45" customHeight="1">
      <c r="A23" s="8" t="inlineStr">
        <is>
          <t>Compenso orario lordo</t>
        </is>
      </c>
      <c r="B23" s="9" t="n">
        <v>12</v>
      </c>
      <c r="D23" s="10" t="inlineStr">
        <is>
          <t>CCNL Pubblici esercizi, 5o livello: circa 9 €/ora di paga base, 11-12 comprensivi dei ratei. FONTE SECONDARIA (tabelle retributive): a video sempre «circa».</t>
        </is>
      </c>
    </row>
    <row r="24">
      <c r="A24" s="8" t="inlineStr">
        <is>
          <t>Compenso lordo annuo</t>
        </is>
      </c>
      <c r="B24" s="11">
        <f>B22*B23</f>
        <v/>
      </c>
    </row>
    <row r="25"/>
    <row r="26">
      <c r="A26" s="7" t="inlineStr">
        <is>
          <t>MERCATI, IMPOSTE, SEQUENZA</t>
        </is>
      </c>
    </row>
    <row r="27">
      <c r="A27" s="8" t="inlineStr">
        <is>
          <t>Rendimento reale annuo</t>
        </is>
      </c>
      <c r="B27" s="14" t="n">
        <v>0.03</v>
      </c>
    </row>
    <row r="28">
      <c r="A28" s="8" t="inlineStr">
        <is>
          <t>Imposta sulla plusvalenza</t>
        </is>
      </c>
      <c r="B28" s="14" t="n">
        <v>0.26</v>
      </c>
    </row>
    <row r="29">
      <c r="A29" s="8" t="inlineStr">
        <is>
          <t>Imposta di bollo sul dossier</t>
        </is>
      </c>
      <c r="B29" s="16" t="n">
        <v>0.002</v>
      </c>
    </row>
    <row r="30" ht="30" customHeight="1">
      <c r="A30" s="8" t="inlineStr">
        <is>
          <t>PLUSVALENZA LATENTE INIZIALE (calcolata)</t>
        </is>
      </c>
      <c r="B30" s="17">
        <f>'1b - COMPOSIZIONE'!B31</f>
        <v/>
      </c>
      <c r="D30" s="10" t="inlineStr">
        <is>
          <t>DERIVATA dal foglio 1b, non postulata: è il risultato della composizione patrimoniale.</t>
        </is>
      </c>
    </row>
    <row r="31">
      <c r="A31" s="8" t="inlineStr">
        <is>
          <t>Ordine dei rendimenti (0 costante, 1 inizio, 2 metà, 3 fine)</t>
        </is>
      </c>
      <c r="B31" s="12" t="n">
        <v>0</v>
      </c>
    </row>
    <row r="32">
      <c r="A32" s="8" t="inlineStr">
        <is>
          <t>Primo crollo</t>
        </is>
      </c>
      <c r="B32" s="14" t="n">
        <v>-0.35</v>
      </c>
    </row>
    <row r="33">
      <c r="A33" s="8" t="inlineStr">
        <is>
          <t>Secondo crollo</t>
        </is>
      </c>
      <c r="B33" s="14" t="n">
        <v>-0.2</v>
      </c>
    </row>
    <row r="34">
      <c r="A34" s="8" t="inlineStr">
        <is>
          <t>Posizioni dei crolli — «all'inizio»</t>
        </is>
      </c>
      <c r="B34" s="12" t="n">
        <v>1</v>
      </c>
      <c r="C34" s="12" t="n">
        <v>2</v>
      </c>
    </row>
    <row r="35">
      <c r="A35" s="8" t="inlineStr">
        <is>
          <t>Posizioni dei crolli — «a metà»</t>
        </is>
      </c>
      <c r="B35" s="12" t="n">
        <v>19</v>
      </c>
      <c r="C35" s="12" t="n">
        <v>20</v>
      </c>
    </row>
    <row r="36">
      <c r="A36" s="8" t="inlineStr">
        <is>
          <t>Posizioni dei crolli — «alla fine»</t>
        </is>
      </c>
      <c r="B36" s="12" t="n">
        <v>36</v>
      </c>
      <c r="C36" s="12" t="n">
        <v>37</v>
      </c>
    </row>
    <row r="37" ht="45" customHeight="1">
      <c r="A37" s="8" t="inlineStr">
        <is>
          <t>Rendimento degli anni normali (calcolato)</t>
        </is>
      </c>
      <c r="B37" s="18">
        <f>((1+B27)^B10/((1+B32)*(1+B33)))^(1/(B10-2))-1</f>
        <v/>
      </c>
      <c r="D37" s="10" t="inlineStr">
        <is>
          <t>Calibrato perché la media geometrica dei 37 anni resti pari al rendimento scelto: i quattro ordini hanno lo STESSO rendimento medio e differiscono solo per la sequenza.</t>
        </is>
      </c>
    </row>
    <row r="38"/>
    <row r="39">
      <c r="A39" s="7" t="inlineStr">
        <is>
          <t>L'INDENNITÀ NEL PIANO</t>
        </is>
      </c>
    </row>
    <row r="40" ht="90" customHeight="1">
      <c r="A40" s="8" t="inlineStr">
        <is>
          <t>indennità inclusa nel piano (1 = sì, 0 = no)</t>
        </is>
      </c>
      <c r="B40" s="12" t="n">
        <v>0</v>
      </c>
      <c r="D40" s="10" t="inlineStr">
        <is>
          <t>Franco esce per risoluzione consensuale in sede protetta e ha diritto alla NASpI per 24 mesi — ma nella PORTA B lavora subito e l'indennità DECADE: per questo il default è zero. Metti 1 (con lavoro dal terzo anno per 11 anni) per la porta A. Se ti DIMETTI l'indennità non c'è in nessuna delle due.</t>
        </is>
      </c>
    </row>
    <row r="41">
      <c r="A41" s="8" t="inlineStr">
        <is>
          <t>indennità netta anno 1</t>
        </is>
      </c>
      <c r="B41" s="19">
        <f>'1c - NASPI'!B59</f>
        <v/>
      </c>
    </row>
    <row r="42">
      <c r="A42" s="8" t="inlineStr">
        <is>
          <t>indennità netta anno 2</t>
        </is>
      </c>
      <c r="B42" s="19">
        <f>'1c - NASPI'!C59</f>
        <v/>
      </c>
    </row>
    <row r="43" ht="60" customHeight="1">
      <c r="A43" s="10" t="inlineStr">
        <is>
          <t>IL CORTOCIRCUITO: indennità e lavoro NON convivono. Entro le soglie di compatibilità (5.500 € per il lavoro autonomo, 8.500 per il subordinato, msg. INPS 1414/2024) l'indennità prosegue ridotta dell'80% del reddito previsto — venti centesimi per euro, e solo DENTRO la finestra dell'indennità; oltre le soglie, decadenza. I 18.000 € del part-time fanno decadere la NASpI: le due risorse vanno in ALTERNATIVA, mai in somma. Per questo il piano ha due porte, non una somma.</t>
        </is>
      </c>
    </row>
  </sheetData>
  <mergeCells count="7">
    <mergeCell ref="A1:D1"/>
    <mergeCell ref="A4:D4"/>
    <mergeCell ref="A26:D26"/>
    <mergeCell ref="A39:D39"/>
    <mergeCell ref="A15:D15"/>
    <mergeCell ref="A43:D4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60" customWidth="1" min="4" max="4"/>
  </cols>
  <sheetData>
    <row r="1" ht="25" customHeight="1">
      <c r="A1" s="1" t="inlineStr">
        <is>
          <t>1b — DA DOVE VIENE IL CAPITALE, e quanta plusvalenza c'è dentro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/>
    <row r="4">
      <c r="A4" s="7" t="inlineStr">
        <is>
          <t>COMPONENTI EVENTO — incassate e investite all'uscita</t>
        </is>
      </c>
    </row>
    <row r="5" ht="30" customHeight="1">
      <c r="A5" s="20" t="inlineStr">
        <is>
          <t>Componente</t>
        </is>
      </c>
      <c r="B5" s="20" t="inlineStr">
        <is>
          <t>Valore</t>
        </is>
      </c>
      <c r="C5" s="20" t="inlineStr">
        <is>
          <t>Base di costo</t>
        </is>
      </c>
      <c r="D5" s="10" t="inlineStr">
        <is>
          <t>Incassate e investite all'uscita: base di costo = valore, latente zero.</t>
        </is>
      </c>
    </row>
    <row r="6">
      <c r="A6" s="8" t="inlineStr">
        <is>
          <t>TFR netto (30 anni di anzianità, tassazione separata)</t>
        </is>
      </c>
      <c r="B6" s="9" t="n">
        <v>68000</v>
      </c>
      <c r="C6" s="11">
        <f>B6</f>
        <v/>
      </c>
    </row>
    <row r="7">
      <c r="A7" s="8" t="inlineStr">
        <is>
          <t>Incentivo all'esodo: mensilità</t>
        </is>
      </c>
      <c r="B7" s="12" t="n">
        <v>26</v>
      </c>
    </row>
    <row r="8">
      <c r="A8" s="8" t="inlineStr">
        <is>
          <t>Retribuzione mensile (35.000 / 13)</t>
        </is>
      </c>
      <c r="B8" s="19">
        <f>35000/13</f>
        <v/>
      </c>
    </row>
    <row r="9">
      <c r="A9" s="8" t="inlineStr">
        <is>
          <t>Incentivo lordo</t>
        </is>
      </c>
      <c r="B9" s="11">
        <f>B7*B8</f>
        <v/>
      </c>
    </row>
    <row r="10" ht="30" customHeight="1">
      <c r="A10" s="8" t="inlineStr">
        <is>
          <t>Aliquota della tassazione separata</t>
        </is>
      </c>
      <c r="B10" s="16" t="n">
        <v>0.2476</v>
      </c>
      <c r="D10" s="10" t="inlineStr">
        <is>
          <t>Aliquota della separata con reddito di riferimento 34.000 € (art. 19 TUIR).</t>
        </is>
      </c>
    </row>
    <row r="11">
      <c r="A11" s="8" t="inlineStr">
        <is>
          <t>Incentivo all'esodo NETTO</t>
        </is>
      </c>
      <c r="B11" s="11">
        <f>B9*(1-B10)</f>
        <v/>
      </c>
      <c r="C11" s="11">
        <f>B11</f>
        <v/>
      </c>
    </row>
    <row r="12" ht="60" customHeight="1">
      <c r="A12" s="8" t="inlineStr">
        <is>
          <t>Cessione dell'immobile locato, netta</t>
        </is>
      </c>
      <c r="B12" s="9" t="n">
        <v>225000</v>
      </c>
      <c r="C12" s="11">
        <f>B12</f>
        <v/>
      </c>
      <c r="D12" s="10" t="inlineStr">
        <is>
          <t>Acquistato nel 2003 CON MUTUO e messo a reddito: possesso oltre cinque anni, nessuna imposta sulla plusvalenza (art. 67 c. 1 lett. b TUIR). I canoni storici sono ESCLUSI dal conto del tasso di risparmio.</t>
        </is>
      </c>
    </row>
    <row r="13">
      <c r="A13" s="8" t="inlineStr">
        <is>
          <t>TOTALE COMPONENTI EVENTO</t>
        </is>
      </c>
      <c r="B13" s="11">
        <f>B6+B11+B12</f>
        <v/>
      </c>
      <c r="C13" s="11">
        <f>C6+C11+C12</f>
        <v/>
      </c>
    </row>
    <row r="14"/>
    <row r="15">
      <c r="A15" s="7" t="inlineStr">
        <is>
          <t>ACCUMULO FINANZIARIO — e paga il bollo</t>
        </is>
      </c>
    </row>
    <row r="16">
      <c r="A16" s="8" t="inlineStr">
        <is>
          <t>Anni di accumulo</t>
        </is>
      </c>
      <c r="B16" s="12" t="n">
        <v>30</v>
      </c>
    </row>
    <row r="17">
      <c r="A17" s="8" t="inlineStr">
        <is>
          <t>Rendimento reale lordo</t>
        </is>
      </c>
      <c r="B17" s="14" t="n">
        <v>0.03</v>
      </c>
    </row>
    <row r="18">
      <c r="A18" s="8" t="inlineStr">
        <is>
          <t>Imposta di bollo in accumulo</t>
        </is>
      </c>
      <c r="B18" s="16" t="n">
        <v>0.002</v>
      </c>
    </row>
    <row r="19" ht="45" customHeight="1">
      <c r="A19" s="8" t="inlineStr">
        <is>
          <t>Rendimento reale NETTO BOLLO</t>
        </is>
      </c>
      <c r="B19" s="21">
        <f>B17-B18</f>
        <v/>
      </c>
      <c r="D19" s="10" t="inlineStr">
        <is>
          <t>Anche l'accumulo paga il bollo: 3,0% - 0,2% = 2,8%. Senza questa correzione il versamento richiesto sarebbe sottostimato.</t>
        </is>
      </c>
    </row>
    <row r="20">
      <c r="A20" s="8" t="inlineStr">
        <is>
          <t>Fattore di montante</t>
        </is>
      </c>
      <c r="B20" s="22">
        <f>((1+B19)^B16-1)/B19</f>
        <v/>
      </c>
    </row>
    <row r="21" ht="45" customHeight="1">
      <c r="A21" s="8" t="inlineStr">
        <is>
          <t>MONTANTE DELL'ACCUMULO (per differenza)</t>
        </is>
      </c>
      <c r="B21" s="11">
        <f>'1 - INPUT'!B5-B13</f>
        <v/>
      </c>
      <c r="D21" s="10" t="inlineStr">
        <is>
          <t>È il residuo dell'ancoraggio: il totale 1.100.000 è la scelta dichiarata, le componenti sono calibrate su di essa.</t>
        </is>
      </c>
    </row>
    <row r="22">
      <c r="A22" s="8" t="inlineStr">
        <is>
          <t>Versamento annuo reale implicito</t>
        </is>
      </c>
      <c r="B22" s="19">
        <f>B21/B20</f>
        <v/>
      </c>
    </row>
    <row r="23">
      <c r="A23" s="8" t="inlineStr">
        <is>
          <t>Inflazione</t>
        </is>
      </c>
      <c r="B23" s="14" t="n">
        <v>0.02</v>
      </c>
    </row>
    <row r="24" ht="30" customHeight="1">
      <c r="A24" s="8" t="inlineStr">
        <is>
          <t>Fattore della base di costo nominale</t>
        </is>
      </c>
      <c r="B24" s="22">
        <f>(1-(1+B23)^-B16)/B23*(1+B23)</f>
        <v/>
      </c>
      <c r="D24" s="10" t="inlineStr">
        <is>
          <t>Versamenti REALI costanti = versamenti NOMINALI crescenti al 2%: la base di costo è la somma dei nominali.</t>
        </is>
      </c>
    </row>
    <row r="25">
      <c r="A25" s="8" t="inlineStr">
        <is>
          <t>BASE DI COSTO NOMINALE DELL'ACCUMULO</t>
        </is>
      </c>
      <c r="B25" s="11">
        <f>B22*B24</f>
        <v/>
      </c>
    </row>
    <row r="26"/>
    <row r="27">
      <c r="A27" s="7" t="inlineStr">
        <is>
          <t>IL TOTALE E LA LATENTE — derivata, non postulata</t>
        </is>
      </c>
    </row>
    <row r="28">
      <c r="A28" s="8" t="inlineStr">
        <is>
          <t>Patrimonio totale</t>
        </is>
      </c>
      <c r="B28" s="11">
        <f>B13+B21</f>
        <v/>
      </c>
    </row>
    <row r="29">
      <c r="A29" s="8" t="inlineStr">
        <is>
          <t>Base di costo totale</t>
        </is>
      </c>
      <c r="B29" s="11">
        <f>C13+B25</f>
        <v/>
      </c>
    </row>
    <row r="30">
      <c r="A30" s="8" t="inlineStr">
        <is>
          <t>Plusvalenza latente, in euro</t>
        </is>
      </c>
      <c r="B30" s="11">
        <f>B28-B29</f>
        <v/>
      </c>
    </row>
    <row r="31" ht="45" customHeight="1">
      <c r="A31" s="8" t="inlineStr">
        <is>
          <t>PLUSVALENZA LATENTE INIZIALE</t>
        </is>
      </c>
      <c r="B31" s="23">
        <f>1-B29/B28</f>
        <v/>
      </c>
      <c r="D31" s="10" t="inlineStr">
        <is>
          <t>Non è un input libero: è quello che la composizione patrimoniale IMPLICA. Da qui discendono tutti i tassi di prelievo e i due fattori di lordizzazione.</t>
        </is>
      </c>
    </row>
    <row r="32"/>
    <row r="33">
      <c r="A33" s="7" t="inlineStr">
        <is>
          <t>IL TASSO DI RISPARMIO E IL SALTO</t>
        </is>
      </c>
    </row>
    <row r="34">
      <c r="B34" s="20" t="inlineStr">
        <is>
          <t>Franco</t>
        </is>
      </c>
      <c r="C34" s="20" t="inlineStr">
        <is>
          <t>Giulia</t>
        </is>
      </c>
    </row>
    <row r="35">
      <c r="A35" s="8" t="inlineStr">
        <is>
          <t>Retribuzione lorda in carriera</t>
        </is>
      </c>
      <c r="B35" s="9" t="n">
        <v>35000</v>
      </c>
      <c r="C35" s="9" t="n">
        <v>20000</v>
      </c>
    </row>
    <row r="36">
      <c r="A36" s="8" t="inlineStr">
        <is>
          <t>Contributi a carico del lavoratore (9,19%)</t>
        </is>
      </c>
      <c r="B36" s="19">
        <f>B35*0.0919</f>
        <v/>
      </c>
      <c r="C36" s="19">
        <f>C35*0.0919</f>
        <v/>
      </c>
    </row>
    <row r="37">
      <c r="A37" s="8" t="inlineStr">
        <is>
          <t>Imponibile</t>
        </is>
      </c>
      <c r="B37" s="19">
        <f>B35-B36</f>
        <v/>
      </c>
      <c r="C37" s="19">
        <f>C35-C36</f>
        <v/>
      </c>
    </row>
    <row r="38">
      <c r="A38" s="8" t="inlineStr">
        <is>
          <t>IRPEF lorda</t>
        </is>
      </c>
      <c r="B38" s="19">
        <f>(MIN(B37,28000)*0.23+MAX(0,MIN(B37,50000)-28000)*0.33+MAX(0,B37-50000)*0.43)</f>
        <v/>
      </c>
      <c r="C38" s="19">
        <f>(MIN(C37,28000)*0.23+MAX(0,MIN(C37,50000)-28000)*0.33+MAX(0,C37-50000)*0.43)</f>
        <v/>
      </c>
    </row>
    <row r="39">
      <c r="A39" s="8" t="inlineStr">
        <is>
          <t>Detrazioni (art. 13 c. 1 e ulteriore)</t>
        </is>
      </c>
      <c r="B39" s="19">
        <f>IF(B37&lt;=15000,1955,IF(B37&lt;=28000,1910+1190*(28000-B37)/13000,IF(B37&lt;=50000,1910*(50000-B37)/22000,0)))+IF(B37&lt;=20000,0,IF(B37&lt;=32000,1000,IF(B37&lt;=40000,1000*(40000-B37)/8000,0)))</f>
        <v/>
      </c>
      <c r="C39" s="19">
        <f>IF(C37&lt;=15000,1955,IF(C37&lt;=28000,1910+1190*(28000-C37)/13000,IF(C37&lt;=50000,1910*(50000-C37)/22000,0)))+IF(C37&lt;=20000,0,IF(C37&lt;=32000,1000,IF(C37&lt;=40000,1000*(40000-C37)/8000,0)))</f>
        <v/>
      </c>
    </row>
    <row r="40">
      <c r="A40" s="8" t="inlineStr">
        <is>
          <t>IRPEF netta</t>
        </is>
      </c>
      <c r="B40" s="19">
        <f>MAX(0,B38-B39)</f>
        <v/>
      </c>
      <c r="C40" s="19">
        <f>MAX(0,C38-C39)</f>
        <v/>
      </c>
    </row>
    <row r="41">
      <c r="A41" s="8" t="inlineStr">
        <is>
          <t>Somma integrativa sul cuneo</t>
        </is>
      </c>
      <c r="B41" s="19">
        <f>IF(B37&lt;=8500,0.071*B37,IF(B37&lt;=15000,0.053*B37,IF(B37&lt;=20000,0.048*B37,0)))</f>
        <v/>
      </c>
      <c r="C41" s="19">
        <f>IF(C37&lt;=8500,0.071*C37,IF(C37&lt;=15000,0.053*C37,IF(C37&lt;=20000,0.048*C37,0)))</f>
        <v/>
      </c>
    </row>
    <row r="42">
      <c r="A42" s="8" t="inlineStr">
        <is>
          <t>Addizionali locali (2,0%)</t>
        </is>
      </c>
      <c r="B42" s="19">
        <f>IF(B40&gt;0,B37*0.02,0)</f>
        <v/>
      </c>
      <c r="C42" s="19">
        <f>IF(C40&gt;0,C37*0.02,0)</f>
        <v/>
      </c>
    </row>
    <row r="43">
      <c r="A43" s="8" t="inlineStr">
        <is>
          <t>NETTO</t>
        </is>
      </c>
      <c r="B43" s="19">
        <f>B37-B40+B41-B42</f>
        <v/>
      </c>
      <c r="C43" s="19">
        <f>C37-C40+C41-C42</f>
        <v/>
      </c>
    </row>
    <row r="44">
      <c r="A44" s="8" t="inlineStr">
        <is>
          <t>Netto di coppia durante l'accumulo</t>
        </is>
      </c>
      <c r="B44" s="11">
        <f>B43+C43</f>
        <v/>
      </c>
    </row>
    <row r="45">
      <c r="A45" s="8" t="inlineStr">
        <is>
          <t>TASSO DI RISPARMIO</t>
        </is>
      </c>
      <c r="B45" s="21">
        <f>B22/B44</f>
        <v/>
      </c>
    </row>
    <row r="46">
      <c r="A46" s="8" t="inlineStr">
        <is>
          <t>Tenore durante l'accumulo</t>
        </is>
      </c>
      <c r="B46" s="11">
        <f>B44-B22</f>
        <v/>
      </c>
    </row>
    <row r="47" ht="45" customHeight="1">
      <c r="A47" s="8" t="inlineStr">
        <is>
          <t>IL SALTO: spesa dopo / tenore prima</t>
        </is>
      </c>
      <c r="B47" s="24">
        <f>'1 - INPUT'!B6/B46</f>
        <v/>
      </c>
      <c r="D47" s="10" t="inlineStr">
        <is>
          <t>Hanno vissuto trent'anni con un tenore e ne vogliono spendere il DOPPIO ABBONDANTE. Il Barista FIRE non è il prezzo dell'uscita: è il prezzo di questo salto.</t>
        </is>
      </c>
    </row>
    <row r="48" ht="30" customHeight="1">
      <c r="A48" s="10" t="inlineStr">
        <is>
          <t>IL MODELLO ASSUME UN RISPARMIO REALE COSTANTE, quindi un reddito reale costante per trent'anni. Le carriere vere crescono: lo sforzo è stato molto più pesante nei primi anni di quanto la media suggerisca.</t>
        </is>
      </c>
    </row>
    <row r="49" ht="45" customHeight="1">
      <c r="A49" s="10" t="inlineStr">
        <is>
          <t>NESSUNA delle tre componenti ha una fonte esterna: sono una costruzione coerente (tasso di risparmio, tenore, base di costo derivata), non un dato. Cambia i tre importi qui sopra e la latente si ricalcola da sola: fra il 20% e il 60% di latente la spesa massima si muove di circa il 2,6% in tutto.</t>
        </is>
      </c>
    </row>
  </sheetData>
  <mergeCells count="8">
    <mergeCell ref="A1:D1"/>
    <mergeCell ref="A27:D27"/>
    <mergeCell ref="A4:D4"/>
    <mergeCell ref="A48:D48"/>
    <mergeCell ref="A15:D15"/>
    <mergeCell ref="A2:D2"/>
    <mergeCell ref="A33:D33"/>
    <mergeCell ref="A49:D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56" customWidth="1" min="5" max="5"/>
  </cols>
  <sheetData>
    <row r="1" ht="25" customHeight="1">
      <c r="A1" s="1" t="inlineStr">
        <is>
          <t>1c — LA NASpI DI FRANCO: 24 assegni, con la tutela degli over 55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/>
    <row r="4">
      <c r="A4" s="7" t="inlineStr">
        <is>
          <t>LA FATTISPECIE E L'ASSEGNO</t>
        </is>
      </c>
    </row>
    <row r="5" ht="45" customHeight="1">
      <c r="A5" s="8" t="inlineStr">
        <is>
          <t>Retribuzione lorda annua</t>
        </is>
      </c>
      <c r="B5" s="9" t="n">
        <v>35000</v>
      </c>
      <c r="E5" s="10" t="inlineStr">
        <is>
          <t>Risoluzione consensuale in sede protetta (art. 3 D.Lgs. 22/2015 con art. 7 L. 604/1966): Franco HA diritto. Se ti DIMETTI, no.</t>
        </is>
      </c>
    </row>
    <row r="6">
      <c r="A6" s="8" t="inlineStr">
        <is>
          <t>Anni di riferimento</t>
        </is>
      </c>
      <c r="B6" s="12" t="n">
        <v>4</v>
      </c>
    </row>
    <row r="7">
      <c r="A7" s="8" t="inlineStr">
        <is>
          <t>Settimane del quadriennio</t>
        </is>
      </c>
      <c r="B7" s="12" t="n">
        <v>208</v>
      </c>
    </row>
    <row r="8" ht="30" customHeight="1">
      <c r="A8" s="8" t="inlineStr">
        <is>
          <t>Coefficiente di mensilizzazione</t>
        </is>
      </c>
      <c r="B8" s="15" t="n">
        <v>4.33</v>
      </c>
      <c r="E8" s="10" t="inlineStr">
        <is>
          <t>Lo STESSO coefficiente in ogni formula del foglio, comprese le soglie: 4,33 e non 13/3.</t>
        </is>
      </c>
    </row>
    <row r="9">
      <c r="A9" s="8" t="inlineStr">
        <is>
          <t>Retribuzione media mensile imponibile</t>
        </is>
      </c>
      <c r="B9" s="19">
        <f>B5*B6/B7*B8</f>
        <v/>
      </c>
    </row>
    <row r="10">
      <c r="A10" s="8" t="inlineStr">
        <is>
          <t>Soglia della formula 2026</t>
        </is>
      </c>
      <c r="B10" s="25" t="n">
        <v>1456.72</v>
      </c>
    </row>
    <row r="11">
      <c r="A11" s="8" t="inlineStr">
        <is>
          <t>Tetto mensile 2026</t>
        </is>
      </c>
      <c r="B11" s="25" t="n">
        <v>1584.7</v>
      </c>
    </row>
    <row r="12" ht="26" customHeight="1">
      <c r="A12" s="8" t="inlineStr">
        <is>
          <t>ASSEGNO INIZIALE</t>
        </is>
      </c>
      <c r="B12" s="26">
        <f>MIN(B11,0.75*B10+0.25*(B9-B10))</f>
        <v/>
      </c>
    </row>
    <row r="13">
      <c r="A13" s="8" t="inlineStr">
        <is>
          <t>Il tetto è saturato?</t>
        </is>
      </c>
      <c r="B13" s="27">
        <f>IF(0.75*B10+0.25*(B9-B10)&gt;=B11,"SI","NO")</f>
        <v/>
      </c>
    </row>
    <row r="14" ht="45" customHeight="1">
      <c r="A14" s="8" t="inlineStr">
        <is>
          <t>Retribuzione annua che satura il tetto</t>
        </is>
      </c>
      <c r="B14" s="11">
        <f>((B11-0.75*B10)/0.25+B10)/B8*B7/B6</f>
        <v/>
      </c>
      <c r="E14" s="10" t="inlineStr">
        <is>
          <t>Franco è a 35.000: SOTTO la soglia di saturazione, quindi il suo assegno NON è quello di chi il tetto lo tocca.</t>
        </is>
      </c>
    </row>
    <row r="15">
      <c r="A15" s="8" t="inlineStr">
        <is>
          <t>età alla data della domanda</t>
        </is>
      </c>
      <c r="B15" s="12" t="n">
        <v>55</v>
      </c>
    </row>
    <row r="16" ht="75" customHeight="1">
      <c r="A16" s="8" t="inlineStr">
        <is>
          <t>Decorrenza del decalage (mese)</t>
        </is>
      </c>
      <c r="B16" s="13">
        <f>IF(B15&gt;=55,8,6)</f>
        <v/>
      </c>
      <c r="E16" s="10" t="inlineStr">
        <is>
          <t>Chi ha compiuto 55 anni alla domanda vede la riduzione partire dal primo giorno dell'OTTAVO mese (211o giorno) e non dal sesto: art. 4 c. 1 D.Lgs. 22/2015 come modificato dalla L. 145/2018 art. 1 c. 510. È la tutela che cambia i numeri a valle di tutto il piano.</t>
        </is>
      </c>
    </row>
    <row r="17">
      <c r="A17" s="8" t="inlineStr">
        <is>
          <t>Riduzione mensile</t>
        </is>
      </c>
      <c r="B17" s="14" t="n">
        <v>0.03</v>
      </c>
    </row>
    <row r="18"/>
    <row r="19">
      <c r="A19" s="7" t="inlineStr">
        <is>
          <t>I 24 ASSEGNI, MESE PER MESE</t>
        </is>
      </c>
    </row>
    <row r="20">
      <c r="A20" s="20" t="inlineStr">
        <is>
          <t>Mese</t>
        </is>
      </c>
      <c r="B20" s="20" t="inlineStr">
        <is>
          <t>Coefficiente</t>
        </is>
      </c>
      <c r="C20" s="20" t="inlineStr">
        <is>
          <t>Assegno lordo</t>
        </is>
      </c>
      <c r="D20" s="20" t="inlineStr">
        <is>
          <t>Anno</t>
        </is>
      </c>
    </row>
    <row r="21">
      <c r="A21" s="13" t="n">
        <v>1</v>
      </c>
      <c r="B21" s="22">
        <f>IF(A21&lt;$B$16,1,(1-$B$17)^(A21-$B$16+1))</f>
        <v/>
      </c>
      <c r="C21" s="19">
        <f>$B$12*B21</f>
        <v/>
      </c>
      <c r="D21" s="13">
        <f>IF(A21&lt;=12,1,2)</f>
        <v/>
      </c>
    </row>
    <row r="22">
      <c r="A22" s="13" t="n">
        <v>2</v>
      </c>
      <c r="B22" s="22">
        <f>IF(A22&lt;$B$16,1,(1-$B$17)^(A22-$B$16+1))</f>
        <v/>
      </c>
      <c r="C22" s="19">
        <f>$B$12*B22</f>
        <v/>
      </c>
      <c r="D22" s="13">
        <f>IF(A22&lt;=12,1,2)</f>
        <v/>
      </c>
    </row>
    <row r="23">
      <c r="A23" s="13" t="n">
        <v>3</v>
      </c>
      <c r="B23" s="22">
        <f>IF(A23&lt;$B$16,1,(1-$B$17)^(A23-$B$16+1))</f>
        <v/>
      </c>
      <c r="C23" s="19">
        <f>$B$12*B23</f>
        <v/>
      </c>
      <c r="D23" s="13">
        <f>IF(A23&lt;=12,1,2)</f>
        <v/>
      </c>
    </row>
    <row r="24">
      <c r="A24" s="13" t="n">
        <v>4</v>
      </c>
      <c r="B24" s="22">
        <f>IF(A24&lt;$B$16,1,(1-$B$17)^(A24-$B$16+1))</f>
        <v/>
      </c>
      <c r="C24" s="19">
        <f>$B$12*B24</f>
        <v/>
      </c>
      <c r="D24" s="13">
        <f>IF(A24&lt;=12,1,2)</f>
        <v/>
      </c>
    </row>
    <row r="25">
      <c r="A25" s="13" t="n">
        <v>5</v>
      </c>
      <c r="B25" s="22">
        <f>IF(A25&lt;$B$16,1,(1-$B$17)^(A25-$B$16+1))</f>
        <v/>
      </c>
      <c r="C25" s="19">
        <f>$B$12*B25</f>
        <v/>
      </c>
      <c r="D25" s="13">
        <f>IF(A25&lt;=12,1,2)</f>
        <v/>
      </c>
    </row>
    <row r="26">
      <c r="A26" s="13" t="n">
        <v>6</v>
      </c>
      <c r="B26" s="22">
        <f>IF(A26&lt;$B$16,1,(1-$B$17)^(A26-$B$16+1))</f>
        <v/>
      </c>
      <c r="C26" s="19">
        <f>$B$12*B26</f>
        <v/>
      </c>
      <c r="D26" s="13">
        <f>IF(A26&lt;=12,1,2)</f>
        <v/>
      </c>
    </row>
    <row r="27">
      <c r="A27" s="13" t="n">
        <v>7</v>
      </c>
      <c r="B27" s="22">
        <f>IF(A27&lt;$B$16,1,(1-$B$17)^(A27-$B$16+1))</f>
        <v/>
      </c>
      <c r="C27" s="19">
        <f>$B$12*B27</f>
        <v/>
      </c>
      <c r="D27" s="13">
        <f>IF(A27&lt;=12,1,2)</f>
        <v/>
      </c>
    </row>
    <row r="28">
      <c r="A28" s="13" t="n">
        <v>8</v>
      </c>
      <c r="B28" s="22">
        <f>IF(A28&lt;$B$16,1,(1-$B$17)^(A28-$B$16+1))</f>
        <v/>
      </c>
      <c r="C28" s="19">
        <f>$B$12*B28</f>
        <v/>
      </c>
      <c r="D28" s="13">
        <f>IF(A28&lt;=12,1,2)</f>
        <v/>
      </c>
    </row>
    <row r="29">
      <c r="A29" s="13" t="n">
        <v>9</v>
      </c>
      <c r="B29" s="22">
        <f>IF(A29&lt;$B$16,1,(1-$B$17)^(A29-$B$16+1))</f>
        <v/>
      </c>
      <c r="C29" s="19">
        <f>$B$12*B29</f>
        <v/>
      </c>
      <c r="D29" s="13">
        <f>IF(A29&lt;=12,1,2)</f>
        <v/>
      </c>
    </row>
    <row r="30">
      <c r="A30" s="13" t="n">
        <v>10</v>
      </c>
      <c r="B30" s="22">
        <f>IF(A30&lt;$B$16,1,(1-$B$17)^(A30-$B$16+1))</f>
        <v/>
      </c>
      <c r="C30" s="19">
        <f>$B$12*B30</f>
        <v/>
      </c>
      <c r="D30" s="13">
        <f>IF(A30&lt;=12,1,2)</f>
        <v/>
      </c>
    </row>
    <row r="31">
      <c r="A31" s="13" t="n">
        <v>11</v>
      </c>
      <c r="B31" s="22">
        <f>IF(A31&lt;$B$16,1,(1-$B$17)^(A31-$B$16+1))</f>
        <v/>
      </c>
      <c r="C31" s="19">
        <f>$B$12*B31</f>
        <v/>
      </c>
      <c r="D31" s="13">
        <f>IF(A31&lt;=12,1,2)</f>
        <v/>
      </c>
    </row>
    <row r="32">
      <c r="A32" s="13" t="n">
        <v>12</v>
      </c>
      <c r="B32" s="22">
        <f>IF(A32&lt;$B$16,1,(1-$B$17)^(A32-$B$16+1))</f>
        <v/>
      </c>
      <c r="C32" s="19">
        <f>$B$12*B32</f>
        <v/>
      </c>
      <c r="D32" s="13">
        <f>IF(A32&lt;=12,1,2)</f>
        <v/>
      </c>
    </row>
    <row r="33">
      <c r="A33" s="13" t="n">
        <v>13</v>
      </c>
      <c r="B33" s="22">
        <f>IF(A33&lt;$B$16,1,(1-$B$17)^(A33-$B$16+1))</f>
        <v/>
      </c>
      <c r="C33" s="19">
        <f>$B$12*B33</f>
        <v/>
      </c>
      <c r="D33" s="13">
        <f>IF(A33&lt;=12,1,2)</f>
        <v/>
      </c>
    </row>
    <row r="34">
      <c r="A34" s="13" t="n">
        <v>14</v>
      </c>
      <c r="B34" s="22">
        <f>IF(A34&lt;$B$16,1,(1-$B$17)^(A34-$B$16+1))</f>
        <v/>
      </c>
      <c r="C34" s="19">
        <f>$B$12*B34</f>
        <v/>
      </c>
      <c r="D34" s="13">
        <f>IF(A34&lt;=12,1,2)</f>
        <v/>
      </c>
    </row>
    <row r="35">
      <c r="A35" s="13" t="n">
        <v>15</v>
      </c>
      <c r="B35" s="22">
        <f>IF(A35&lt;$B$16,1,(1-$B$17)^(A35-$B$16+1))</f>
        <v/>
      </c>
      <c r="C35" s="19">
        <f>$B$12*B35</f>
        <v/>
      </c>
      <c r="D35" s="13">
        <f>IF(A35&lt;=12,1,2)</f>
        <v/>
      </c>
    </row>
    <row r="36">
      <c r="A36" s="13" t="n">
        <v>16</v>
      </c>
      <c r="B36" s="22">
        <f>IF(A36&lt;$B$16,1,(1-$B$17)^(A36-$B$16+1))</f>
        <v/>
      </c>
      <c r="C36" s="19">
        <f>$B$12*B36</f>
        <v/>
      </c>
      <c r="D36" s="13">
        <f>IF(A36&lt;=12,1,2)</f>
        <v/>
      </c>
    </row>
    <row r="37">
      <c r="A37" s="13" t="n">
        <v>17</v>
      </c>
      <c r="B37" s="22">
        <f>IF(A37&lt;$B$16,1,(1-$B$17)^(A37-$B$16+1))</f>
        <v/>
      </c>
      <c r="C37" s="19">
        <f>$B$12*B37</f>
        <v/>
      </c>
      <c r="D37" s="13">
        <f>IF(A37&lt;=12,1,2)</f>
        <v/>
      </c>
    </row>
    <row r="38">
      <c r="A38" s="13" t="n">
        <v>18</v>
      </c>
      <c r="B38" s="22">
        <f>IF(A38&lt;$B$16,1,(1-$B$17)^(A38-$B$16+1))</f>
        <v/>
      </c>
      <c r="C38" s="19">
        <f>$B$12*B38</f>
        <v/>
      </c>
      <c r="D38" s="13">
        <f>IF(A38&lt;=12,1,2)</f>
        <v/>
      </c>
    </row>
    <row r="39">
      <c r="A39" s="13" t="n">
        <v>19</v>
      </c>
      <c r="B39" s="22">
        <f>IF(A39&lt;$B$16,1,(1-$B$17)^(A39-$B$16+1))</f>
        <v/>
      </c>
      <c r="C39" s="19">
        <f>$B$12*B39</f>
        <v/>
      </c>
      <c r="D39" s="13">
        <f>IF(A39&lt;=12,1,2)</f>
        <v/>
      </c>
    </row>
    <row r="40">
      <c r="A40" s="13" t="n">
        <v>20</v>
      </c>
      <c r="B40" s="22">
        <f>IF(A40&lt;$B$16,1,(1-$B$17)^(A40-$B$16+1))</f>
        <v/>
      </c>
      <c r="C40" s="19">
        <f>$B$12*B40</f>
        <v/>
      </c>
      <c r="D40" s="13">
        <f>IF(A40&lt;=12,1,2)</f>
        <v/>
      </c>
    </row>
    <row r="41">
      <c r="A41" s="13" t="n">
        <v>21</v>
      </c>
      <c r="B41" s="22">
        <f>IF(A41&lt;$B$16,1,(1-$B$17)^(A41-$B$16+1))</f>
        <v/>
      </c>
      <c r="C41" s="19">
        <f>$B$12*B41</f>
        <v/>
      </c>
      <c r="D41" s="13">
        <f>IF(A41&lt;=12,1,2)</f>
        <v/>
      </c>
    </row>
    <row r="42">
      <c r="A42" s="13" t="n">
        <v>22</v>
      </c>
      <c r="B42" s="22">
        <f>IF(A42&lt;$B$16,1,(1-$B$17)^(A42-$B$16+1))</f>
        <v/>
      </c>
      <c r="C42" s="19">
        <f>$B$12*B42</f>
        <v/>
      </c>
      <c r="D42" s="13">
        <f>IF(A42&lt;=12,1,2)</f>
        <v/>
      </c>
    </row>
    <row r="43">
      <c r="A43" s="13" t="n">
        <v>23</v>
      </c>
      <c r="B43" s="22">
        <f>IF(A43&lt;$B$16,1,(1-$B$17)^(A43-$B$16+1))</f>
        <v/>
      </c>
      <c r="C43" s="19">
        <f>$B$12*B43</f>
        <v/>
      </c>
      <c r="D43" s="13">
        <f>IF(A43&lt;=12,1,2)</f>
        <v/>
      </c>
    </row>
    <row r="44">
      <c r="A44" s="13" t="n">
        <v>24</v>
      </c>
      <c r="B44" s="22">
        <f>IF(A44&lt;$B$16,1,(1-$B$17)^(A44-$B$16+1))</f>
        <v/>
      </c>
      <c r="C44" s="19">
        <f>$B$12*B44</f>
        <v/>
      </c>
      <c r="D44" s="13">
        <f>IF(A44&lt;=12,1,2)</f>
        <v/>
      </c>
    </row>
    <row r="45">
      <c r="A45" s="8" t="inlineStr">
        <is>
          <t>Fattore cumulato — anno 1</t>
        </is>
      </c>
      <c r="B45" s="22">
        <f>SUMIF($D$21:$D$44,1,$B$21:$B$44)</f>
        <v/>
      </c>
    </row>
    <row r="46">
      <c r="A46" s="8" t="inlineStr">
        <is>
          <t>Fattore cumulato — anno 2</t>
        </is>
      </c>
      <c r="B46" s="22">
        <f>SUMIF($D$21:$D$44,2,$B$21:$B$44)</f>
        <v/>
      </c>
    </row>
    <row r="47">
      <c r="A47" s="8" t="inlineStr">
        <is>
          <t>FATTORE CUMULATO 24 MESI</t>
        </is>
      </c>
      <c r="B47" s="22">
        <f>B45+B46</f>
        <v/>
      </c>
    </row>
    <row r="48">
      <c r="A48" s="8" t="inlineStr">
        <is>
          <t>Ultimo assegno (24o mese)</t>
        </is>
      </c>
      <c r="B48" s="19">
        <f>C44</f>
        <v/>
      </c>
    </row>
    <row r="49">
      <c r="A49" s="8" t="inlineStr">
        <is>
          <t>Ultimo assegno in % del primo</t>
        </is>
      </c>
      <c r="B49" s="17">
        <f>C44/B12</f>
        <v/>
      </c>
    </row>
    <row r="50"/>
    <row r="51">
      <c r="A51" s="7" t="inlineStr">
        <is>
          <t>DAL LORDO ALLA CASSA</t>
        </is>
      </c>
    </row>
    <row r="52">
      <c r="B52" s="20" t="inlineStr">
        <is>
          <t>Anno 1</t>
        </is>
      </c>
      <c r="C52" s="20" t="inlineStr">
        <is>
          <t>Anno 2</t>
        </is>
      </c>
      <c r="D52" s="20" t="inlineStr">
        <is>
          <t>Totale</t>
        </is>
      </c>
    </row>
    <row r="53">
      <c r="A53" s="8" t="inlineStr">
        <is>
          <t>Lordo</t>
        </is>
      </c>
      <c r="B53" s="19">
        <f>$B$12*$B$45</f>
        <v/>
      </c>
      <c r="C53" s="19">
        <f>$B$12*$B$46</f>
        <v/>
      </c>
      <c r="D53" s="19">
        <f>B53+C53</f>
        <v/>
      </c>
    </row>
    <row r="54">
      <c r="A54" s="8" t="inlineStr">
        <is>
          <t>IRPEF lorda (23%)</t>
        </is>
      </c>
      <c r="B54" s="19">
        <f>B53*0.23</f>
        <v/>
      </c>
      <c r="C54" s="19">
        <f>C53*0.23</f>
        <v/>
      </c>
      <c r="D54" s="19">
        <f>B54+C54</f>
        <v/>
      </c>
    </row>
    <row r="55">
      <c r="A55" s="8" t="inlineStr">
        <is>
          <t>Detrazione art. 13 c. 1 TUIR</t>
        </is>
      </c>
      <c r="B55" s="19">
        <f>IF(B53&lt;=15000,1955,IF(B53&lt;=28000,1910+1190*(28000-B53)/13000,IF(B53&lt;=50000,1910*(50000-B53)/22000,0)))</f>
        <v/>
      </c>
      <c r="C55" s="19">
        <f>IF(C53&lt;=15000,1955,IF(C53&lt;=28000,1910+1190*(28000-C53)/13000,IF(C53&lt;=50000,1910*(50000-C53)/22000,0)))</f>
        <v/>
      </c>
      <c r="D55" s="19">
        <f>B55+C55</f>
        <v/>
      </c>
    </row>
    <row r="56">
      <c r="A56" s="8" t="inlineStr">
        <is>
          <t>IRPEF netta</t>
        </is>
      </c>
      <c r="B56" s="19">
        <f>MAX(0,B54-B55)</f>
        <v/>
      </c>
      <c r="C56" s="19">
        <f>MAX(0,C54-C55)</f>
        <v/>
      </c>
      <c r="D56" s="19">
        <f>B56+C56</f>
        <v/>
      </c>
    </row>
    <row r="57">
      <c r="A57" s="8" t="inlineStr">
        <is>
          <t>Trattamento integrativo (D.L. 3/2020)</t>
        </is>
      </c>
      <c r="B57" s="19">
        <f>IF(AND(B53&lt;=15000,B54&gt;B55),1200,0)</f>
        <v/>
      </c>
      <c r="C57" s="19">
        <f>IF(AND(C53&lt;=15000,C54&gt;C55),1200,0)</f>
        <v/>
      </c>
      <c r="D57" s="19">
        <f>B57+C57</f>
        <v/>
      </c>
    </row>
    <row r="58">
      <c r="A58" s="8" t="inlineStr">
        <is>
          <t>Addizionali locali (2,0%)</t>
        </is>
      </c>
      <c r="B58" s="19">
        <f>IF(B56&gt;0,B53*0.02,0)</f>
        <v/>
      </c>
      <c r="C58" s="19">
        <f>IF(C56&gt;0,C53*0.02,0)</f>
        <v/>
      </c>
      <c r="D58" s="19">
        <f>B58+C58</f>
        <v/>
      </c>
    </row>
    <row r="59">
      <c r="A59" s="8" t="inlineStr">
        <is>
          <t>NETTO DI CASSA</t>
        </is>
      </c>
      <c r="B59" s="19">
        <f>B53-B56+B57-B58</f>
        <v/>
      </c>
      <c r="C59" s="19">
        <f>C53-C56+C57-C58</f>
        <v/>
      </c>
      <c r="D59" s="19">
        <f>B59+C59</f>
        <v/>
      </c>
    </row>
    <row r="60">
      <c r="A60" s="8" t="inlineStr">
        <is>
          <t>Prelievo fiscale netto sui 24 mesi</t>
        </is>
      </c>
      <c r="B60" s="19">
        <f>D53-D59</f>
        <v/>
      </c>
    </row>
    <row r="61">
      <c r="A61" s="8" t="inlineStr">
        <is>
          <t>in % del lordo</t>
        </is>
      </c>
      <c r="B61" s="17">
        <f>B60/D53</f>
        <v/>
      </c>
    </row>
    <row r="62" ht="30" customHeight="1">
      <c r="A62" s="10" t="inlineStr">
        <is>
          <t>LA SOMMA INTEGRATIVA SUL CUNEO NON È CASSA MENSILE su questi importi e resta fuori dal conto: si recupera in dichiarazione. È la stessa lezione del video sul licenziamento: quello che arriva sul conto e quello che spetta non sono la stessa cosa.</t>
        </is>
      </c>
    </row>
    <row r="63" ht="30" customHeight="1">
      <c r="A63" s="10" t="inlineStr">
        <is>
          <t>L'indennità entra nel piano SOLO nella porta A (nessun lavoro nei primi due anni). Con il part-time da 18.000 € la NASpI decade: le due risorse non si sommano mai.</t>
        </is>
      </c>
    </row>
  </sheetData>
  <mergeCells count="7">
    <mergeCell ref="A4:E4"/>
    <mergeCell ref="A62:E62"/>
    <mergeCell ref="A2:E2"/>
    <mergeCell ref="A19:E19"/>
    <mergeCell ref="A51:E51"/>
    <mergeCell ref="A63:E63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5" customWidth="1" min="3" max="3"/>
    <col width="15" customWidth="1" min="4" max="4"/>
    <col width="10" customWidth="1" min="5" max="5"/>
    <col width="11" customWidth="1" min="6" max="6"/>
    <col width="11" customWidth="1" min="7" max="7"/>
    <col width="11" customWidth="1" min="8" max="8"/>
    <col width="13" customWidth="1" min="9" max="9"/>
    <col width="13" customWidth="1" min="10" max="10"/>
    <col width="10" customWidth="1" min="11" max="11"/>
    <col width="10" customWidth="1" min="12" max="12"/>
    <col width="15" customWidth="1" min="13" max="13"/>
    <col width="15" customWidth="1" min="14" max="14"/>
  </cols>
  <sheetData>
    <row r="1" ht="25" customHeight="1">
      <c r="A1" s="1" t="inlineStr">
        <is>
          <t>2 — IL MOTORE: trentasette anni, riga per riga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/>
    <row r="4">
      <c r="A4" s="7" t="inlineStr">
        <is>
          <t>SCENARIO DEL TEST — lascia 0 (o -1) per usare il foglio 1</t>
        </is>
      </c>
    </row>
    <row r="5">
      <c r="A5" s="8" t="inlineStr">
        <is>
          <t>Patrimonio iniziale del test (0 = foglio 1)</t>
        </is>
      </c>
      <c r="C5" s="9" t="n">
        <v>0</v>
      </c>
    </row>
    <row r="6" ht="60" customHeight="1">
      <c r="A6" s="8" t="inlineStr">
        <is>
          <t>Spesa annua del test (0 = foglio 1)</t>
        </is>
      </c>
      <c r="C6" s="25" t="n">
        <v>64089.31</v>
      </c>
      <c r="E6" s="10" t="inlineStr">
        <is>
          <t>SCENARIO DI RIFERIMENTO DEL FOGLIO: la SPESA MASSIMA della porta B, cioe' quella che porta il patrimonio esattamente a zero al trentasettesimo anno. È su questo scenario che si misurano i due fattori di lordizzazione in fondo al foglio. Metti 0 per vedere il piano com'è oggi, con la spesa scelta di settantamila euro: il patrimonio finisce prima.</t>
        </is>
      </c>
    </row>
    <row r="7">
      <c r="A7" s="8" t="inlineStr">
        <is>
          <t>Reddito da lavoro del test (-1 = foglio 1)</t>
        </is>
      </c>
      <c r="C7" s="9" t="n">
        <v>-1</v>
      </c>
    </row>
    <row r="8">
      <c r="A8" s="8" t="inlineStr">
        <is>
          <t>Anni di lavoro del test (-1 = foglio 1)</t>
        </is>
      </c>
      <c r="C8" s="12" t="n">
        <v>-1</v>
      </c>
    </row>
    <row r="9">
      <c r="A9" s="8" t="inlineStr">
        <is>
          <t>Primo anno di lavoro del test (0 = foglio 1)</t>
        </is>
      </c>
      <c r="C9" s="12" t="n">
        <v>0</v>
      </c>
    </row>
    <row r="10">
      <c r="A10" s="8" t="inlineStr">
        <is>
          <t>indennità nel test (-1 = foglio 1)</t>
        </is>
      </c>
      <c r="C10" s="12" t="n">
        <v>-1</v>
      </c>
    </row>
    <row r="11">
      <c r="A11" s="8" t="inlineStr">
        <is>
          <t>Rendimento reale del test (-1 = foglio 1)</t>
        </is>
      </c>
      <c r="C11" s="16" t="n">
        <v>-1</v>
      </c>
    </row>
    <row r="12">
      <c r="A12" s="8" t="inlineStr">
        <is>
          <t>Ordine dei rendimenti del test (-1 = foglio 1)</t>
        </is>
      </c>
      <c r="C12" s="12" t="n">
        <v>-1</v>
      </c>
    </row>
    <row r="13"/>
    <row r="14">
      <c r="A14" s="8" t="inlineStr">
        <is>
          <t>Patrimonio iniziale usato</t>
        </is>
      </c>
      <c r="C14" s="19">
        <f>IF(C5&gt;0,C5,'1 - INPUT'!B5)</f>
        <v/>
      </c>
    </row>
    <row r="15">
      <c r="A15" s="8" t="inlineStr">
        <is>
          <t>Spesa annua usata</t>
        </is>
      </c>
      <c r="C15" s="19">
        <f>IF(C6&gt;0,C6,'1 - INPUT'!B6)</f>
        <v/>
      </c>
    </row>
    <row r="16">
      <c r="A16" s="8" t="inlineStr">
        <is>
          <t>Reddito da lavoro usato</t>
        </is>
      </c>
      <c r="C16" s="19">
        <f>IF(C7&gt;=0,C7,'1 - INPUT'!B16)</f>
        <v/>
      </c>
    </row>
    <row r="17">
      <c r="A17" s="8" t="inlineStr">
        <is>
          <t>Anni di lavoro usati</t>
        </is>
      </c>
      <c r="C17" s="13">
        <f>IF(C8&gt;=0,C8,'1 - INPUT'!B17)</f>
        <v/>
      </c>
    </row>
    <row r="18">
      <c r="A18" s="8" t="inlineStr">
        <is>
          <t>Primo anno di lavoro usato</t>
        </is>
      </c>
      <c r="C18" s="13">
        <f>IF(C9&gt;0,C9,'1 - INPUT'!B18)</f>
        <v/>
      </c>
    </row>
    <row r="19">
      <c r="A19" s="8" t="inlineStr">
        <is>
          <t>indennità usata (1/0)</t>
        </is>
      </c>
      <c r="C19" s="13">
        <f>IF(C10&gt;=0,C10,'1 - INPUT'!B40)</f>
        <v/>
      </c>
    </row>
    <row r="20">
      <c r="A20" s="8" t="inlineStr">
        <is>
          <t>Rendimento reale usato</t>
        </is>
      </c>
      <c r="C20" s="28">
        <f>IF(C11&gt;=0,C11,'1 - INPUT'!B27)</f>
        <v/>
      </c>
    </row>
    <row r="21">
      <c r="A21" s="8" t="inlineStr">
        <is>
          <t>Ordine usato</t>
        </is>
      </c>
      <c r="C21" s="13">
        <f>IF(C12&gt;=0,C12,'1 - INPUT'!B31)</f>
        <v/>
      </c>
    </row>
    <row r="22">
      <c r="A22" s="8" t="inlineStr">
        <is>
          <t>Base di costo iniziale</t>
        </is>
      </c>
      <c r="C22" s="19">
        <f>C14*(1-'1 - INPUT'!B30)</f>
        <v/>
      </c>
    </row>
    <row r="23">
      <c r="A23" s="8" t="inlineStr">
        <is>
          <t>Rendimento degli anni normali</t>
        </is>
      </c>
      <c r="C23" s="18">
        <f>((1+C20)^'1 - INPUT'!B10/((1+'1 - INPUT'!B32)*(1+'1 - INPUT'!B33)))^(1/('1 - INPUT'!B10-2))-1</f>
        <v/>
      </c>
    </row>
    <row r="24"/>
    <row r="25">
      <c r="A25" s="7" t="inlineStr">
        <is>
          <t>TRENTASETTE ANNI DI PIANO</t>
        </is>
      </c>
    </row>
    <row r="26" ht="32" customHeight="1">
      <c r="A26" s="20" t="inlineStr">
        <is>
          <t>Anno</t>
        </is>
      </c>
      <c r="B26" s="20" t="inlineStr">
        <is>
          <t>Civile</t>
        </is>
      </c>
      <c r="C26" s="20" t="inlineStr">
        <is>
          <t>Patrimonio a inizio anno</t>
        </is>
      </c>
      <c r="D26" s="20" t="inlineStr">
        <is>
          <t>Base di costo</t>
        </is>
      </c>
      <c r="E26" s="20" t="inlineStr">
        <is>
          <t>Latente</t>
        </is>
      </c>
      <c r="F26" s="20" t="inlineStr">
        <is>
          <t>Lavoro</t>
        </is>
      </c>
      <c r="G26" s="20" t="inlineStr">
        <is>
          <t>indennità</t>
        </is>
      </c>
      <c r="H26" s="20" t="inlineStr">
        <is>
          <t>Pensioni</t>
        </is>
      </c>
      <c r="I26" s="20" t="inlineStr">
        <is>
          <t>Fabbisogno netto</t>
        </is>
      </c>
      <c r="J26" s="20" t="inlineStr">
        <is>
          <t>Vendita lorda</t>
        </is>
      </c>
      <c r="K26" s="20" t="inlineStr">
        <is>
          <t>Rendim.</t>
        </is>
      </c>
      <c r="L26" s="20" t="inlineStr">
        <is>
          <t>Bollo</t>
        </is>
      </c>
      <c r="M26" s="20" t="inlineStr">
        <is>
          <t>Patrimonio a fine anno</t>
        </is>
      </c>
      <c r="N26" s="20" t="inlineStr">
        <is>
          <t>Base a fine anno</t>
        </is>
      </c>
    </row>
    <row r="27">
      <c r="A27" s="13" t="n">
        <v>1</v>
      </c>
      <c r="B27" s="13">
        <f>'1 - INPUT'!$B$9+A27-1</f>
        <v/>
      </c>
      <c r="C27" s="11">
        <f>$C$14</f>
        <v/>
      </c>
      <c r="D27" s="11">
        <f>$C$22</f>
        <v/>
      </c>
      <c r="E27" s="21">
        <f>MAX(0,1-D27/C27)</f>
        <v/>
      </c>
      <c r="F27" s="11">
        <f>IF(AND(A27&gt;=$C$18,A27&lt;$C$18+$C$17),$C$16,0)</f>
        <v/>
      </c>
      <c r="G27" s="11">
        <f>IF(A27=1,$C$19*'1c - NASPI'!$B$59,IF(A27=2,$C$19*'1c - NASPI'!$C$59,0))</f>
        <v/>
      </c>
      <c r="H27" s="11">
        <f>IF(A27&gt;'1 - INPUT'!$B$11,'1 - INPUT'!$B$13,0)</f>
        <v/>
      </c>
      <c r="I27" s="11">
        <f>MAX(0,$C$15-F27-G27-H27)</f>
        <v/>
      </c>
      <c r="J27" s="11">
        <f>I27/(1-'1 - INPUT'!$B$28*E27)</f>
        <v/>
      </c>
      <c r="K27" s="17">
        <f>IF($C$21=0,$C$20,IF(A27=CHOOSE($C$21,'1 - INPUT'!$B$34,'1 - INPUT'!$B$35,'1 - INPUT'!$B$36),'1 - INPUT'!$B$32,IF(A27=CHOOSE($C$21,'1 - INPUT'!$C$34,'1 - INPUT'!$C$35,'1 - INPUT'!$C$36),'1 - INPUT'!$B$33,$C$23)))</f>
        <v/>
      </c>
      <c r="L27" s="11">
        <f>(C27-J27)*(1+K27)*'1 - INPUT'!$B$29</f>
        <v/>
      </c>
      <c r="M27" s="11">
        <f>(C27-J27)*(1+K27)-L27</f>
        <v/>
      </c>
      <c r="N27" s="11">
        <f>D27*(1-J27/C27)</f>
        <v/>
      </c>
    </row>
    <row r="28">
      <c r="A28" s="13" t="n">
        <v>2</v>
      </c>
      <c r="B28" s="13">
        <f>'1 - INPUT'!$B$9+A28-1</f>
        <v/>
      </c>
      <c r="C28" s="11">
        <f>M27</f>
        <v/>
      </c>
      <c r="D28" s="11">
        <f>N27</f>
        <v/>
      </c>
      <c r="E28" s="21">
        <f>MAX(0,1-D28/C28)</f>
        <v/>
      </c>
      <c r="F28" s="11">
        <f>IF(AND(A28&gt;=$C$18,A28&lt;$C$18+$C$17),$C$16,0)</f>
        <v/>
      </c>
      <c r="G28" s="11">
        <f>IF(A28=1,$C$19*'1c - NASPI'!$B$59,IF(A28=2,$C$19*'1c - NASPI'!$C$59,0))</f>
        <v/>
      </c>
      <c r="H28" s="11">
        <f>IF(A28&gt;'1 - INPUT'!$B$11,'1 - INPUT'!$B$13,0)</f>
        <v/>
      </c>
      <c r="I28" s="11">
        <f>MAX(0,$C$15-F28-G28-H28)</f>
        <v/>
      </c>
      <c r="J28" s="11">
        <f>I28/(1-'1 - INPUT'!$B$28*E28)</f>
        <v/>
      </c>
      <c r="K28" s="17">
        <f>IF($C$21=0,$C$20,IF(A28=CHOOSE($C$21,'1 - INPUT'!$B$34,'1 - INPUT'!$B$35,'1 - INPUT'!$B$36),'1 - INPUT'!$B$32,IF(A28=CHOOSE($C$21,'1 - INPUT'!$C$34,'1 - INPUT'!$C$35,'1 - INPUT'!$C$36),'1 - INPUT'!$B$33,$C$23)))</f>
        <v/>
      </c>
      <c r="L28" s="11">
        <f>(C28-J28)*(1+K28)*'1 - INPUT'!$B$29</f>
        <v/>
      </c>
      <c r="M28" s="11">
        <f>(C28-J28)*(1+K28)-L28</f>
        <v/>
      </c>
      <c r="N28" s="11">
        <f>D28*(1-J28/C28)</f>
        <v/>
      </c>
    </row>
    <row r="29">
      <c r="A29" s="13" t="n">
        <v>3</v>
      </c>
      <c r="B29" s="13">
        <f>'1 - INPUT'!$B$9+A29-1</f>
        <v/>
      </c>
      <c r="C29" s="11">
        <f>M28</f>
        <v/>
      </c>
      <c r="D29" s="11">
        <f>N28</f>
        <v/>
      </c>
      <c r="E29" s="21">
        <f>MAX(0,1-D29/C29)</f>
        <v/>
      </c>
      <c r="F29" s="11">
        <f>IF(AND(A29&gt;=$C$18,A29&lt;$C$18+$C$17),$C$16,0)</f>
        <v/>
      </c>
      <c r="G29" s="11">
        <f>IF(A29=1,$C$19*'1c - NASPI'!$B$59,IF(A29=2,$C$19*'1c - NASPI'!$C$59,0))</f>
        <v/>
      </c>
      <c r="H29" s="11">
        <f>IF(A29&gt;'1 - INPUT'!$B$11,'1 - INPUT'!$B$13,0)</f>
        <v/>
      </c>
      <c r="I29" s="11">
        <f>MAX(0,$C$15-F29-G29-H29)</f>
        <v/>
      </c>
      <c r="J29" s="11">
        <f>I29/(1-'1 - INPUT'!$B$28*E29)</f>
        <v/>
      </c>
      <c r="K29" s="17">
        <f>IF($C$21=0,$C$20,IF(A29=CHOOSE($C$21,'1 - INPUT'!$B$34,'1 - INPUT'!$B$35,'1 - INPUT'!$B$36),'1 - INPUT'!$B$32,IF(A29=CHOOSE($C$21,'1 - INPUT'!$C$34,'1 - INPUT'!$C$35,'1 - INPUT'!$C$36),'1 - INPUT'!$B$33,$C$23)))</f>
        <v/>
      </c>
      <c r="L29" s="11">
        <f>(C29-J29)*(1+K29)*'1 - INPUT'!$B$29</f>
        <v/>
      </c>
      <c r="M29" s="11">
        <f>(C29-J29)*(1+K29)-L29</f>
        <v/>
      </c>
      <c r="N29" s="11">
        <f>D29*(1-J29/C29)</f>
        <v/>
      </c>
    </row>
    <row r="30">
      <c r="A30" s="13" t="n">
        <v>4</v>
      </c>
      <c r="B30" s="13">
        <f>'1 - INPUT'!$B$9+A30-1</f>
        <v/>
      </c>
      <c r="C30" s="11">
        <f>M29</f>
        <v/>
      </c>
      <c r="D30" s="11">
        <f>N29</f>
        <v/>
      </c>
      <c r="E30" s="21">
        <f>MAX(0,1-D30/C30)</f>
        <v/>
      </c>
      <c r="F30" s="11">
        <f>IF(AND(A30&gt;=$C$18,A30&lt;$C$18+$C$17),$C$16,0)</f>
        <v/>
      </c>
      <c r="G30" s="11">
        <f>IF(A30=1,$C$19*'1c - NASPI'!$B$59,IF(A30=2,$C$19*'1c - NASPI'!$C$59,0))</f>
        <v/>
      </c>
      <c r="H30" s="11">
        <f>IF(A30&gt;'1 - INPUT'!$B$11,'1 - INPUT'!$B$13,0)</f>
        <v/>
      </c>
      <c r="I30" s="11">
        <f>MAX(0,$C$15-F30-G30-H30)</f>
        <v/>
      </c>
      <c r="J30" s="11">
        <f>I30/(1-'1 - INPUT'!$B$28*E30)</f>
        <v/>
      </c>
      <c r="K30" s="17">
        <f>IF($C$21=0,$C$20,IF(A30=CHOOSE($C$21,'1 - INPUT'!$B$34,'1 - INPUT'!$B$35,'1 - INPUT'!$B$36),'1 - INPUT'!$B$32,IF(A30=CHOOSE($C$21,'1 - INPUT'!$C$34,'1 - INPUT'!$C$35,'1 - INPUT'!$C$36),'1 - INPUT'!$B$33,$C$23)))</f>
        <v/>
      </c>
      <c r="L30" s="11">
        <f>(C30-J30)*(1+K30)*'1 - INPUT'!$B$29</f>
        <v/>
      </c>
      <c r="M30" s="11">
        <f>(C30-J30)*(1+K30)-L30</f>
        <v/>
      </c>
      <c r="N30" s="11">
        <f>D30*(1-J30/C30)</f>
        <v/>
      </c>
    </row>
    <row r="31">
      <c r="A31" s="13" t="n">
        <v>5</v>
      </c>
      <c r="B31" s="13">
        <f>'1 - INPUT'!$B$9+A31-1</f>
        <v/>
      </c>
      <c r="C31" s="11">
        <f>M30</f>
        <v/>
      </c>
      <c r="D31" s="11">
        <f>N30</f>
        <v/>
      </c>
      <c r="E31" s="21">
        <f>MAX(0,1-D31/C31)</f>
        <v/>
      </c>
      <c r="F31" s="11">
        <f>IF(AND(A31&gt;=$C$18,A31&lt;$C$18+$C$17),$C$16,0)</f>
        <v/>
      </c>
      <c r="G31" s="11">
        <f>IF(A31=1,$C$19*'1c - NASPI'!$B$59,IF(A31=2,$C$19*'1c - NASPI'!$C$59,0))</f>
        <v/>
      </c>
      <c r="H31" s="11">
        <f>IF(A31&gt;'1 - INPUT'!$B$11,'1 - INPUT'!$B$13,0)</f>
        <v/>
      </c>
      <c r="I31" s="11">
        <f>MAX(0,$C$15-F31-G31-H31)</f>
        <v/>
      </c>
      <c r="J31" s="11">
        <f>I31/(1-'1 - INPUT'!$B$28*E31)</f>
        <v/>
      </c>
      <c r="K31" s="17">
        <f>IF($C$21=0,$C$20,IF(A31=CHOOSE($C$21,'1 - INPUT'!$B$34,'1 - INPUT'!$B$35,'1 - INPUT'!$B$36),'1 - INPUT'!$B$32,IF(A31=CHOOSE($C$21,'1 - INPUT'!$C$34,'1 - INPUT'!$C$35,'1 - INPUT'!$C$36),'1 - INPUT'!$B$33,$C$23)))</f>
        <v/>
      </c>
      <c r="L31" s="11">
        <f>(C31-J31)*(1+K31)*'1 - INPUT'!$B$29</f>
        <v/>
      </c>
      <c r="M31" s="11">
        <f>(C31-J31)*(1+K31)-L31</f>
        <v/>
      </c>
      <c r="N31" s="11">
        <f>D31*(1-J31/C31)</f>
        <v/>
      </c>
    </row>
    <row r="32">
      <c r="A32" s="13" t="n">
        <v>6</v>
      </c>
      <c r="B32" s="13">
        <f>'1 - INPUT'!$B$9+A32-1</f>
        <v/>
      </c>
      <c r="C32" s="11">
        <f>M31</f>
        <v/>
      </c>
      <c r="D32" s="11">
        <f>N31</f>
        <v/>
      </c>
      <c r="E32" s="21">
        <f>MAX(0,1-D32/C32)</f>
        <v/>
      </c>
      <c r="F32" s="11">
        <f>IF(AND(A32&gt;=$C$18,A32&lt;$C$18+$C$17),$C$16,0)</f>
        <v/>
      </c>
      <c r="G32" s="11">
        <f>IF(A32=1,$C$19*'1c - NASPI'!$B$59,IF(A32=2,$C$19*'1c - NASPI'!$C$59,0))</f>
        <v/>
      </c>
      <c r="H32" s="11">
        <f>IF(A32&gt;'1 - INPUT'!$B$11,'1 - INPUT'!$B$13,0)</f>
        <v/>
      </c>
      <c r="I32" s="11">
        <f>MAX(0,$C$15-F32-G32-H32)</f>
        <v/>
      </c>
      <c r="J32" s="11">
        <f>I32/(1-'1 - INPUT'!$B$28*E32)</f>
        <v/>
      </c>
      <c r="K32" s="17">
        <f>IF($C$21=0,$C$20,IF(A32=CHOOSE($C$21,'1 - INPUT'!$B$34,'1 - INPUT'!$B$35,'1 - INPUT'!$B$36),'1 - INPUT'!$B$32,IF(A32=CHOOSE($C$21,'1 - INPUT'!$C$34,'1 - INPUT'!$C$35,'1 - INPUT'!$C$36),'1 - INPUT'!$B$33,$C$23)))</f>
        <v/>
      </c>
      <c r="L32" s="11">
        <f>(C32-J32)*(1+K32)*'1 - INPUT'!$B$29</f>
        <v/>
      </c>
      <c r="M32" s="11">
        <f>(C32-J32)*(1+K32)-L32</f>
        <v/>
      </c>
      <c r="N32" s="11">
        <f>D32*(1-J32/C32)</f>
        <v/>
      </c>
    </row>
    <row r="33">
      <c r="A33" s="13" t="n">
        <v>7</v>
      </c>
      <c r="B33" s="13">
        <f>'1 - INPUT'!$B$9+A33-1</f>
        <v/>
      </c>
      <c r="C33" s="11">
        <f>M32</f>
        <v/>
      </c>
      <c r="D33" s="11">
        <f>N32</f>
        <v/>
      </c>
      <c r="E33" s="21">
        <f>MAX(0,1-D33/C33)</f>
        <v/>
      </c>
      <c r="F33" s="11">
        <f>IF(AND(A33&gt;=$C$18,A33&lt;$C$18+$C$17),$C$16,0)</f>
        <v/>
      </c>
      <c r="G33" s="11">
        <f>IF(A33=1,$C$19*'1c - NASPI'!$B$59,IF(A33=2,$C$19*'1c - NASPI'!$C$59,0))</f>
        <v/>
      </c>
      <c r="H33" s="11">
        <f>IF(A33&gt;'1 - INPUT'!$B$11,'1 - INPUT'!$B$13,0)</f>
        <v/>
      </c>
      <c r="I33" s="11">
        <f>MAX(0,$C$15-F33-G33-H33)</f>
        <v/>
      </c>
      <c r="J33" s="11">
        <f>I33/(1-'1 - INPUT'!$B$28*E33)</f>
        <v/>
      </c>
      <c r="K33" s="17">
        <f>IF($C$21=0,$C$20,IF(A33=CHOOSE($C$21,'1 - INPUT'!$B$34,'1 - INPUT'!$B$35,'1 - INPUT'!$B$36),'1 - INPUT'!$B$32,IF(A33=CHOOSE($C$21,'1 - INPUT'!$C$34,'1 - INPUT'!$C$35,'1 - INPUT'!$C$36),'1 - INPUT'!$B$33,$C$23)))</f>
        <v/>
      </c>
      <c r="L33" s="11">
        <f>(C33-J33)*(1+K33)*'1 - INPUT'!$B$29</f>
        <v/>
      </c>
      <c r="M33" s="11">
        <f>(C33-J33)*(1+K33)-L33</f>
        <v/>
      </c>
      <c r="N33" s="11">
        <f>D33*(1-J33/C33)</f>
        <v/>
      </c>
    </row>
    <row r="34">
      <c r="A34" s="13" t="n">
        <v>8</v>
      </c>
      <c r="B34" s="13">
        <f>'1 - INPUT'!$B$9+A34-1</f>
        <v/>
      </c>
      <c r="C34" s="11">
        <f>M33</f>
        <v/>
      </c>
      <c r="D34" s="11">
        <f>N33</f>
        <v/>
      </c>
      <c r="E34" s="21">
        <f>MAX(0,1-D34/C34)</f>
        <v/>
      </c>
      <c r="F34" s="11">
        <f>IF(AND(A34&gt;=$C$18,A34&lt;$C$18+$C$17),$C$16,0)</f>
        <v/>
      </c>
      <c r="G34" s="11">
        <f>IF(A34=1,$C$19*'1c - NASPI'!$B$59,IF(A34=2,$C$19*'1c - NASPI'!$C$59,0))</f>
        <v/>
      </c>
      <c r="H34" s="11">
        <f>IF(A34&gt;'1 - INPUT'!$B$11,'1 - INPUT'!$B$13,0)</f>
        <v/>
      </c>
      <c r="I34" s="11">
        <f>MAX(0,$C$15-F34-G34-H34)</f>
        <v/>
      </c>
      <c r="J34" s="11">
        <f>I34/(1-'1 - INPUT'!$B$28*E34)</f>
        <v/>
      </c>
      <c r="K34" s="17">
        <f>IF($C$21=0,$C$20,IF(A34=CHOOSE($C$21,'1 - INPUT'!$B$34,'1 - INPUT'!$B$35,'1 - INPUT'!$B$36),'1 - INPUT'!$B$32,IF(A34=CHOOSE($C$21,'1 - INPUT'!$C$34,'1 - INPUT'!$C$35,'1 - INPUT'!$C$36),'1 - INPUT'!$B$33,$C$23)))</f>
        <v/>
      </c>
      <c r="L34" s="11">
        <f>(C34-J34)*(1+K34)*'1 - INPUT'!$B$29</f>
        <v/>
      </c>
      <c r="M34" s="11">
        <f>(C34-J34)*(1+K34)-L34</f>
        <v/>
      </c>
      <c r="N34" s="11">
        <f>D34*(1-J34/C34)</f>
        <v/>
      </c>
    </row>
    <row r="35">
      <c r="A35" s="13" t="n">
        <v>9</v>
      </c>
      <c r="B35" s="13">
        <f>'1 - INPUT'!$B$9+A35-1</f>
        <v/>
      </c>
      <c r="C35" s="11">
        <f>M34</f>
        <v/>
      </c>
      <c r="D35" s="11">
        <f>N34</f>
        <v/>
      </c>
      <c r="E35" s="21">
        <f>MAX(0,1-D35/C35)</f>
        <v/>
      </c>
      <c r="F35" s="11">
        <f>IF(AND(A35&gt;=$C$18,A35&lt;$C$18+$C$17),$C$16,0)</f>
        <v/>
      </c>
      <c r="G35" s="11">
        <f>IF(A35=1,$C$19*'1c - NASPI'!$B$59,IF(A35=2,$C$19*'1c - NASPI'!$C$59,0))</f>
        <v/>
      </c>
      <c r="H35" s="11">
        <f>IF(A35&gt;'1 - INPUT'!$B$11,'1 - INPUT'!$B$13,0)</f>
        <v/>
      </c>
      <c r="I35" s="11">
        <f>MAX(0,$C$15-F35-G35-H35)</f>
        <v/>
      </c>
      <c r="J35" s="11">
        <f>I35/(1-'1 - INPUT'!$B$28*E35)</f>
        <v/>
      </c>
      <c r="K35" s="17">
        <f>IF($C$21=0,$C$20,IF(A35=CHOOSE($C$21,'1 - INPUT'!$B$34,'1 - INPUT'!$B$35,'1 - INPUT'!$B$36),'1 - INPUT'!$B$32,IF(A35=CHOOSE($C$21,'1 - INPUT'!$C$34,'1 - INPUT'!$C$35,'1 - INPUT'!$C$36),'1 - INPUT'!$B$33,$C$23)))</f>
        <v/>
      </c>
      <c r="L35" s="11">
        <f>(C35-J35)*(1+K35)*'1 - INPUT'!$B$29</f>
        <v/>
      </c>
      <c r="M35" s="11">
        <f>(C35-J35)*(1+K35)-L35</f>
        <v/>
      </c>
      <c r="N35" s="11">
        <f>D35*(1-J35/C35)</f>
        <v/>
      </c>
    </row>
    <row r="36">
      <c r="A36" s="13" t="n">
        <v>10</v>
      </c>
      <c r="B36" s="13">
        <f>'1 - INPUT'!$B$9+A36-1</f>
        <v/>
      </c>
      <c r="C36" s="11">
        <f>M35</f>
        <v/>
      </c>
      <c r="D36" s="11">
        <f>N35</f>
        <v/>
      </c>
      <c r="E36" s="21">
        <f>MAX(0,1-D36/C36)</f>
        <v/>
      </c>
      <c r="F36" s="11">
        <f>IF(AND(A36&gt;=$C$18,A36&lt;$C$18+$C$17),$C$16,0)</f>
        <v/>
      </c>
      <c r="G36" s="11">
        <f>IF(A36=1,$C$19*'1c - NASPI'!$B$59,IF(A36=2,$C$19*'1c - NASPI'!$C$59,0))</f>
        <v/>
      </c>
      <c r="H36" s="11">
        <f>IF(A36&gt;'1 - INPUT'!$B$11,'1 - INPUT'!$B$13,0)</f>
        <v/>
      </c>
      <c r="I36" s="11">
        <f>MAX(0,$C$15-F36-G36-H36)</f>
        <v/>
      </c>
      <c r="J36" s="11">
        <f>I36/(1-'1 - INPUT'!$B$28*E36)</f>
        <v/>
      </c>
      <c r="K36" s="17">
        <f>IF($C$21=0,$C$20,IF(A36=CHOOSE($C$21,'1 - INPUT'!$B$34,'1 - INPUT'!$B$35,'1 - INPUT'!$B$36),'1 - INPUT'!$B$32,IF(A36=CHOOSE($C$21,'1 - INPUT'!$C$34,'1 - INPUT'!$C$35,'1 - INPUT'!$C$36),'1 - INPUT'!$B$33,$C$23)))</f>
        <v/>
      </c>
      <c r="L36" s="11">
        <f>(C36-J36)*(1+K36)*'1 - INPUT'!$B$29</f>
        <v/>
      </c>
      <c r="M36" s="11">
        <f>(C36-J36)*(1+K36)-L36</f>
        <v/>
      </c>
      <c r="N36" s="11">
        <f>D36*(1-J36/C36)</f>
        <v/>
      </c>
    </row>
    <row r="37">
      <c r="A37" s="13" t="n">
        <v>11</v>
      </c>
      <c r="B37" s="13">
        <f>'1 - INPUT'!$B$9+A37-1</f>
        <v/>
      </c>
      <c r="C37" s="11">
        <f>M36</f>
        <v/>
      </c>
      <c r="D37" s="11">
        <f>N36</f>
        <v/>
      </c>
      <c r="E37" s="21">
        <f>MAX(0,1-D37/C37)</f>
        <v/>
      </c>
      <c r="F37" s="11">
        <f>IF(AND(A37&gt;=$C$18,A37&lt;$C$18+$C$17),$C$16,0)</f>
        <v/>
      </c>
      <c r="G37" s="11">
        <f>IF(A37=1,$C$19*'1c - NASPI'!$B$59,IF(A37=2,$C$19*'1c - NASPI'!$C$59,0))</f>
        <v/>
      </c>
      <c r="H37" s="11">
        <f>IF(A37&gt;'1 - INPUT'!$B$11,'1 - INPUT'!$B$13,0)</f>
        <v/>
      </c>
      <c r="I37" s="11">
        <f>MAX(0,$C$15-F37-G37-H37)</f>
        <v/>
      </c>
      <c r="J37" s="11">
        <f>I37/(1-'1 - INPUT'!$B$28*E37)</f>
        <v/>
      </c>
      <c r="K37" s="17">
        <f>IF($C$21=0,$C$20,IF(A37=CHOOSE($C$21,'1 - INPUT'!$B$34,'1 - INPUT'!$B$35,'1 - INPUT'!$B$36),'1 - INPUT'!$B$32,IF(A37=CHOOSE($C$21,'1 - INPUT'!$C$34,'1 - INPUT'!$C$35,'1 - INPUT'!$C$36),'1 - INPUT'!$B$33,$C$23)))</f>
        <v/>
      </c>
      <c r="L37" s="11">
        <f>(C37-J37)*(1+K37)*'1 - INPUT'!$B$29</f>
        <v/>
      </c>
      <c r="M37" s="11">
        <f>(C37-J37)*(1+K37)-L37</f>
        <v/>
      </c>
      <c r="N37" s="11">
        <f>D37*(1-J37/C37)</f>
        <v/>
      </c>
    </row>
    <row r="38">
      <c r="A38" s="13" t="n">
        <v>12</v>
      </c>
      <c r="B38" s="13">
        <f>'1 - INPUT'!$B$9+A38-1</f>
        <v/>
      </c>
      <c r="C38" s="11">
        <f>M37</f>
        <v/>
      </c>
      <c r="D38" s="11">
        <f>N37</f>
        <v/>
      </c>
      <c r="E38" s="21">
        <f>MAX(0,1-D38/C38)</f>
        <v/>
      </c>
      <c r="F38" s="11">
        <f>IF(AND(A38&gt;=$C$18,A38&lt;$C$18+$C$17),$C$16,0)</f>
        <v/>
      </c>
      <c r="G38" s="11">
        <f>IF(A38=1,$C$19*'1c - NASPI'!$B$59,IF(A38=2,$C$19*'1c - NASPI'!$C$59,0))</f>
        <v/>
      </c>
      <c r="H38" s="11">
        <f>IF(A38&gt;'1 - INPUT'!$B$11,'1 - INPUT'!$B$13,0)</f>
        <v/>
      </c>
      <c r="I38" s="11">
        <f>MAX(0,$C$15-F38-G38-H38)</f>
        <v/>
      </c>
      <c r="J38" s="11">
        <f>I38/(1-'1 - INPUT'!$B$28*E38)</f>
        <v/>
      </c>
      <c r="K38" s="17">
        <f>IF($C$21=0,$C$20,IF(A38=CHOOSE($C$21,'1 - INPUT'!$B$34,'1 - INPUT'!$B$35,'1 - INPUT'!$B$36),'1 - INPUT'!$B$32,IF(A38=CHOOSE($C$21,'1 - INPUT'!$C$34,'1 - INPUT'!$C$35,'1 - INPUT'!$C$36),'1 - INPUT'!$B$33,$C$23)))</f>
        <v/>
      </c>
      <c r="L38" s="11">
        <f>(C38-J38)*(1+K38)*'1 - INPUT'!$B$29</f>
        <v/>
      </c>
      <c r="M38" s="11">
        <f>(C38-J38)*(1+K38)-L38</f>
        <v/>
      </c>
      <c r="N38" s="11">
        <f>D38*(1-J38/C38)</f>
        <v/>
      </c>
    </row>
    <row r="39">
      <c r="A39" s="13" t="n">
        <v>13</v>
      </c>
      <c r="B39" s="13">
        <f>'1 - INPUT'!$B$9+A39-1</f>
        <v/>
      </c>
      <c r="C39" s="11">
        <f>M38</f>
        <v/>
      </c>
      <c r="D39" s="11">
        <f>N38</f>
        <v/>
      </c>
      <c r="E39" s="21">
        <f>MAX(0,1-D39/C39)</f>
        <v/>
      </c>
      <c r="F39" s="11">
        <f>IF(AND(A39&gt;=$C$18,A39&lt;$C$18+$C$17),$C$16,0)</f>
        <v/>
      </c>
      <c r="G39" s="11">
        <f>IF(A39=1,$C$19*'1c - NASPI'!$B$59,IF(A39=2,$C$19*'1c - NASPI'!$C$59,0))</f>
        <v/>
      </c>
      <c r="H39" s="11">
        <f>IF(A39&gt;'1 - INPUT'!$B$11,'1 - INPUT'!$B$13,0)</f>
        <v/>
      </c>
      <c r="I39" s="11">
        <f>MAX(0,$C$15-F39-G39-H39)</f>
        <v/>
      </c>
      <c r="J39" s="11">
        <f>I39/(1-'1 - INPUT'!$B$28*E39)</f>
        <v/>
      </c>
      <c r="K39" s="17">
        <f>IF($C$21=0,$C$20,IF(A39=CHOOSE($C$21,'1 - INPUT'!$B$34,'1 - INPUT'!$B$35,'1 - INPUT'!$B$36),'1 - INPUT'!$B$32,IF(A39=CHOOSE($C$21,'1 - INPUT'!$C$34,'1 - INPUT'!$C$35,'1 - INPUT'!$C$36),'1 - INPUT'!$B$33,$C$23)))</f>
        <v/>
      </c>
      <c r="L39" s="11">
        <f>(C39-J39)*(1+K39)*'1 - INPUT'!$B$29</f>
        <v/>
      </c>
      <c r="M39" s="11">
        <f>(C39-J39)*(1+K39)-L39</f>
        <v/>
      </c>
      <c r="N39" s="11">
        <f>D39*(1-J39/C39)</f>
        <v/>
      </c>
    </row>
    <row r="40">
      <c r="A40" s="13" t="n">
        <v>14</v>
      </c>
      <c r="B40" s="13">
        <f>'1 - INPUT'!$B$9+A40-1</f>
        <v/>
      </c>
      <c r="C40" s="11">
        <f>M39</f>
        <v/>
      </c>
      <c r="D40" s="11">
        <f>N39</f>
        <v/>
      </c>
      <c r="E40" s="21">
        <f>MAX(0,1-D40/C40)</f>
        <v/>
      </c>
      <c r="F40" s="11">
        <f>IF(AND(A40&gt;=$C$18,A40&lt;$C$18+$C$17),$C$16,0)</f>
        <v/>
      </c>
      <c r="G40" s="11">
        <f>IF(A40=1,$C$19*'1c - NASPI'!$B$59,IF(A40=2,$C$19*'1c - NASPI'!$C$59,0))</f>
        <v/>
      </c>
      <c r="H40" s="11">
        <f>IF(A40&gt;'1 - INPUT'!$B$11,'1 - INPUT'!$B$13,0)</f>
        <v/>
      </c>
      <c r="I40" s="11">
        <f>MAX(0,$C$15-F40-G40-H40)</f>
        <v/>
      </c>
      <c r="J40" s="11">
        <f>I40/(1-'1 - INPUT'!$B$28*E40)</f>
        <v/>
      </c>
      <c r="K40" s="17">
        <f>IF($C$21=0,$C$20,IF(A40=CHOOSE($C$21,'1 - INPUT'!$B$34,'1 - INPUT'!$B$35,'1 - INPUT'!$B$36),'1 - INPUT'!$B$32,IF(A40=CHOOSE($C$21,'1 - INPUT'!$C$34,'1 - INPUT'!$C$35,'1 - INPUT'!$C$36),'1 - INPUT'!$B$33,$C$23)))</f>
        <v/>
      </c>
      <c r="L40" s="11">
        <f>(C40-J40)*(1+K40)*'1 - INPUT'!$B$29</f>
        <v/>
      </c>
      <c r="M40" s="11">
        <f>(C40-J40)*(1+K40)-L40</f>
        <v/>
      </c>
      <c r="N40" s="11">
        <f>D40*(1-J40/C40)</f>
        <v/>
      </c>
    </row>
    <row r="41">
      <c r="A41" s="13" t="n">
        <v>15</v>
      </c>
      <c r="B41" s="13">
        <f>'1 - INPUT'!$B$9+A41-1</f>
        <v/>
      </c>
      <c r="C41" s="11">
        <f>M40</f>
        <v/>
      </c>
      <c r="D41" s="11">
        <f>N40</f>
        <v/>
      </c>
      <c r="E41" s="21">
        <f>MAX(0,1-D41/C41)</f>
        <v/>
      </c>
      <c r="F41" s="11">
        <f>IF(AND(A41&gt;=$C$18,A41&lt;$C$18+$C$17),$C$16,0)</f>
        <v/>
      </c>
      <c r="G41" s="11">
        <f>IF(A41=1,$C$19*'1c - NASPI'!$B$59,IF(A41=2,$C$19*'1c - NASPI'!$C$59,0))</f>
        <v/>
      </c>
      <c r="H41" s="11">
        <f>IF(A41&gt;'1 - INPUT'!$B$11,'1 - INPUT'!$B$13,0)</f>
        <v/>
      </c>
      <c r="I41" s="11">
        <f>MAX(0,$C$15-F41-G41-H41)</f>
        <v/>
      </c>
      <c r="J41" s="11">
        <f>I41/(1-'1 - INPUT'!$B$28*E41)</f>
        <v/>
      </c>
      <c r="K41" s="17">
        <f>IF($C$21=0,$C$20,IF(A41=CHOOSE($C$21,'1 - INPUT'!$B$34,'1 - INPUT'!$B$35,'1 - INPUT'!$B$36),'1 - INPUT'!$B$32,IF(A41=CHOOSE($C$21,'1 - INPUT'!$C$34,'1 - INPUT'!$C$35,'1 - INPUT'!$C$36),'1 - INPUT'!$B$33,$C$23)))</f>
        <v/>
      </c>
      <c r="L41" s="11">
        <f>(C41-J41)*(1+K41)*'1 - INPUT'!$B$29</f>
        <v/>
      </c>
      <c r="M41" s="11">
        <f>(C41-J41)*(1+K41)-L41</f>
        <v/>
      </c>
      <c r="N41" s="11">
        <f>D41*(1-J41/C41)</f>
        <v/>
      </c>
    </row>
    <row r="42">
      <c r="A42" s="13" t="n">
        <v>16</v>
      </c>
      <c r="B42" s="13">
        <f>'1 - INPUT'!$B$9+A42-1</f>
        <v/>
      </c>
      <c r="C42" s="11">
        <f>M41</f>
        <v/>
      </c>
      <c r="D42" s="11">
        <f>N41</f>
        <v/>
      </c>
      <c r="E42" s="21">
        <f>MAX(0,1-D42/C42)</f>
        <v/>
      </c>
      <c r="F42" s="11">
        <f>IF(AND(A42&gt;=$C$18,A42&lt;$C$18+$C$17),$C$16,0)</f>
        <v/>
      </c>
      <c r="G42" s="11">
        <f>IF(A42=1,$C$19*'1c - NASPI'!$B$59,IF(A42=2,$C$19*'1c - NASPI'!$C$59,0))</f>
        <v/>
      </c>
      <c r="H42" s="11">
        <f>IF(A42&gt;'1 - INPUT'!$B$11,'1 - INPUT'!$B$13,0)</f>
        <v/>
      </c>
      <c r="I42" s="11">
        <f>MAX(0,$C$15-F42-G42-H42)</f>
        <v/>
      </c>
      <c r="J42" s="11">
        <f>I42/(1-'1 - INPUT'!$B$28*E42)</f>
        <v/>
      </c>
      <c r="K42" s="17">
        <f>IF($C$21=0,$C$20,IF(A42=CHOOSE($C$21,'1 - INPUT'!$B$34,'1 - INPUT'!$B$35,'1 - INPUT'!$B$36),'1 - INPUT'!$B$32,IF(A42=CHOOSE($C$21,'1 - INPUT'!$C$34,'1 - INPUT'!$C$35,'1 - INPUT'!$C$36),'1 - INPUT'!$B$33,$C$23)))</f>
        <v/>
      </c>
      <c r="L42" s="11">
        <f>(C42-J42)*(1+K42)*'1 - INPUT'!$B$29</f>
        <v/>
      </c>
      <c r="M42" s="11">
        <f>(C42-J42)*(1+K42)-L42</f>
        <v/>
      </c>
      <c r="N42" s="11">
        <f>D42*(1-J42/C42)</f>
        <v/>
      </c>
    </row>
    <row r="43">
      <c r="A43" s="13" t="n">
        <v>17</v>
      </c>
      <c r="B43" s="13">
        <f>'1 - INPUT'!$B$9+A43-1</f>
        <v/>
      </c>
      <c r="C43" s="11">
        <f>M42</f>
        <v/>
      </c>
      <c r="D43" s="11">
        <f>N42</f>
        <v/>
      </c>
      <c r="E43" s="21">
        <f>MAX(0,1-D43/C43)</f>
        <v/>
      </c>
      <c r="F43" s="11">
        <f>IF(AND(A43&gt;=$C$18,A43&lt;$C$18+$C$17),$C$16,0)</f>
        <v/>
      </c>
      <c r="G43" s="11">
        <f>IF(A43=1,$C$19*'1c - NASPI'!$B$59,IF(A43=2,$C$19*'1c - NASPI'!$C$59,0))</f>
        <v/>
      </c>
      <c r="H43" s="11">
        <f>IF(A43&gt;'1 - INPUT'!$B$11,'1 - INPUT'!$B$13,0)</f>
        <v/>
      </c>
      <c r="I43" s="11">
        <f>MAX(0,$C$15-F43-G43-H43)</f>
        <v/>
      </c>
      <c r="J43" s="11">
        <f>I43/(1-'1 - INPUT'!$B$28*E43)</f>
        <v/>
      </c>
      <c r="K43" s="17">
        <f>IF($C$21=0,$C$20,IF(A43=CHOOSE($C$21,'1 - INPUT'!$B$34,'1 - INPUT'!$B$35,'1 - INPUT'!$B$36),'1 - INPUT'!$B$32,IF(A43=CHOOSE($C$21,'1 - INPUT'!$C$34,'1 - INPUT'!$C$35,'1 - INPUT'!$C$36),'1 - INPUT'!$B$33,$C$23)))</f>
        <v/>
      </c>
      <c r="L43" s="11">
        <f>(C43-J43)*(1+K43)*'1 - INPUT'!$B$29</f>
        <v/>
      </c>
      <c r="M43" s="11">
        <f>(C43-J43)*(1+K43)-L43</f>
        <v/>
      </c>
      <c r="N43" s="11">
        <f>D43*(1-J43/C43)</f>
        <v/>
      </c>
    </row>
    <row r="44">
      <c r="A44" s="13" t="n">
        <v>18</v>
      </c>
      <c r="B44" s="13">
        <f>'1 - INPUT'!$B$9+A44-1</f>
        <v/>
      </c>
      <c r="C44" s="11">
        <f>M43</f>
        <v/>
      </c>
      <c r="D44" s="11">
        <f>N43</f>
        <v/>
      </c>
      <c r="E44" s="21">
        <f>MAX(0,1-D44/C44)</f>
        <v/>
      </c>
      <c r="F44" s="11">
        <f>IF(AND(A44&gt;=$C$18,A44&lt;$C$18+$C$17),$C$16,0)</f>
        <v/>
      </c>
      <c r="G44" s="11">
        <f>IF(A44=1,$C$19*'1c - NASPI'!$B$59,IF(A44=2,$C$19*'1c - NASPI'!$C$59,0))</f>
        <v/>
      </c>
      <c r="H44" s="11">
        <f>IF(A44&gt;'1 - INPUT'!$B$11,'1 - INPUT'!$B$13,0)</f>
        <v/>
      </c>
      <c r="I44" s="11">
        <f>MAX(0,$C$15-F44-G44-H44)</f>
        <v/>
      </c>
      <c r="J44" s="11">
        <f>I44/(1-'1 - INPUT'!$B$28*E44)</f>
        <v/>
      </c>
      <c r="K44" s="17">
        <f>IF($C$21=0,$C$20,IF(A44=CHOOSE($C$21,'1 - INPUT'!$B$34,'1 - INPUT'!$B$35,'1 - INPUT'!$B$36),'1 - INPUT'!$B$32,IF(A44=CHOOSE($C$21,'1 - INPUT'!$C$34,'1 - INPUT'!$C$35,'1 - INPUT'!$C$36),'1 - INPUT'!$B$33,$C$23)))</f>
        <v/>
      </c>
      <c r="L44" s="11">
        <f>(C44-J44)*(1+K44)*'1 - INPUT'!$B$29</f>
        <v/>
      </c>
      <c r="M44" s="11">
        <f>(C44-J44)*(1+K44)-L44</f>
        <v/>
      </c>
      <c r="N44" s="11">
        <f>D44*(1-J44/C44)</f>
        <v/>
      </c>
    </row>
    <row r="45">
      <c r="A45" s="13" t="n">
        <v>19</v>
      </c>
      <c r="B45" s="13">
        <f>'1 - INPUT'!$B$9+A45-1</f>
        <v/>
      </c>
      <c r="C45" s="11">
        <f>M44</f>
        <v/>
      </c>
      <c r="D45" s="11">
        <f>N44</f>
        <v/>
      </c>
      <c r="E45" s="21">
        <f>MAX(0,1-D45/C45)</f>
        <v/>
      </c>
      <c r="F45" s="11">
        <f>IF(AND(A45&gt;=$C$18,A45&lt;$C$18+$C$17),$C$16,0)</f>
        <v/>
      </c>
      <c r="G45" s="11">
        <f>IF(A45=1,$C$19*'1c - NASPI'!$B$59,IF(A45=2,$C$19*'1c - NASPI'!$C$59,0))</f>
        <v/>
      </c>
      <c r="H45" s="11">
        <f>IF(A45&gt;'1 - INPUT'!$B$11,'1 - INPUT'!$B$13,0)</f>
        <v/>
      </c>
      <c r="I45" s="11">
        <f>MAX(0,$C$15-F45-G45-H45)</f>
        <v/>
      </c>
      <c r="J45" s="11">
        <f>I45/(1-'1 - INPUT'!$B$28*E45)</f>
        <v/>
      </c>
      <c r="K45" s="17">
        <f>IF($C$21=0,$C$20,IF(A45=CHOOSE($C$21,'1 - INPUT'!$B$34,'1 - INPUT'!$B$35,'1 - INPUT'!$B$36),'1 - INPUT'!$B$32,IF(A45=CHOOSE($C$21,'1 - INPUT'!$C$34,'1 - INPUT'!$C$35,'1 - INPUT'!$C$36),'1 - INPUT'!$B$33,$C$23)))</f>
        <v/>
      </c>
      <c r="L45" s="11">
        <f>(C45-J45)*(1+K45)*'1 - INPUT'!$B$29</f>
        <v/>
      </c>
      <c r="M45" s="11">
        <f>(C45-J45)*(1+K45)-L45</f>
        <v/>
      </c>
      <c r="N45" s="11">
        <f>D45*(1-J45/C45)</f>
        <v/>
      </c>
    </row>
    <row r="46">
      <c r="A46" s="13" t="n">
        <v>20</v>
      </c>
      <c r="B46" s="13">
        <f>'1 - INPUT'!$B$9+A46-1</f>
        <v/>
      </c>
      <c r="C46" s="11">
        <f>M45</f>
        <v/>
      </c>
      <c r="D46" s="11">
        <f>N45</f>
        <v/>
      </c>
      <c r="E46" s="21">
        <f>MAX(0,1-D46/C46)</f>
        <v/>
      </c>
      <c r="F46" s="11">
        <f>IF(AND(A46&gt;=$C$18,A46&lt;$C$18+$C$17),$C$16,0)</f>
        <v/>
      </c>
      <c r="G46" s="11">
        <f>IF(A46=1,$C$19*'1c - NASPI'!$B$59,IF(A46=2,$C$19*'1c - NASPI'!$C$59,0))</f>
        <v/>
      </c>
      <c r="H46" s="11">
        <f>IF(A46&gt;'1 - INPUT'!$B$11,'1 - INPUT'!$B$13,0)</f>
        <v/>
      </c>
      <c r="I46" s="11">
        <f>MAX(0,$C$15-F46-G46-H46)</f>
        <v/>
      </c>
      <c r="J46" s="11">
        <f>I46/(1-'1 - INPUT'!$B$28*E46)</f>
        <v/>
      </c>
      <c r="K46" s="17">
        <f>IF($C$21=0,$C$20,IF(A46=CHOOSE($C$21,'1 - INPUT'!$B$34,'1 - INPUT'!$B$35,'1 - INPUT'!$B$36),'1 - INPUT'!$B$32,IF(A46=CHOOSE($C$21,'1 - INPUT'!$C$34,'1 - INPUT'!$C$35,'1 - INPUT'!$C$36),'1 - INPUT'!$B$33,$C$23)))</f>
        <v/>
      </c>
      <c r="L46" s="11">
        <f>(C46-J46)*(1+K46)*'1 - INPUT'!$B$29</f>
        <v/>
      </c>
      <c r="M46" s="11">
        <f>(C46-J46)*(1+K46)-L46</f>
        <v/>
      </c>
      <c r="N46" s="11">
        <f>D46*(1-J46/C46)</f>
        <v/>
      </c>
    </row>
    <row r="47">
      <c r="A47" s="13" t="n">
        <v>21</v>
      </c>
      <c r="B47" s="13">
        <f>'1 - INPUT'!$B$9+A47-1</f>
        <v/>
      </c>
      <c r="C47" s="11">
        <f>M46</f>
        <v/>
      </c>
      <c r="D47" s="11">
        <f>N46</f>
        <v/>
      </c>
      <c r="E47" s="21">
        <f>MAX(0,1-D47/C47)</f>
        <v/>
      </c>
      <c r="F47" s="11">
        <f>IF(AND(A47&gt;=$C$18,A47&lt;$C$18+$C$17),$C$16,0)</f>
        <v/>
      </c>
      <c r="G47" s="11">
        <f>IF(A47=1,$C$19*'1c - NASPI'!$B$59,IF(A47=2,$C$19*'1c - NASPI'!$C$59,0))</f>
        <v/>
      </c>
      <c r="H47" s="11">
        <f>IF(A47&gt;'1 - INPUT'!$B$11,'1 - INPUT'!$B$13,0)</f>
        <v/>
      </c>
      <c r="I47" s="11">
        <f>MAX(0,$C$15-F47-G47-H47)</f>
        <v/>
      </c>
      <c r="J47" s="11">
        <f>I47/(1-'1 - INPUT'!$B$28*E47)</f>
        <v/>
      </c>
      <c r="K47" s="17">
        <f>IF($C$21=0,$C$20,IF(A47=CHOOSE($C$21,'1 - INPUT'!$B$34,'1 - INPUT'!$B$35,'1 - INPUT'!$B$36),'1 - INPUT'!$B$32,IF(A47=CHOOSE($C$21,'1 - INPUT'!$C$34,'1 - INPUT'!$C$35,'1 - INPUT'!$C$36),'1 - INPUT'!$B$33,$C$23)))</f>
        <v/>
      </c>
      <c r="L47" s="11">
        <f>(C47-J47)*(1+K47)*'1 - INPUT'!$B$29</f>
        <v/>
      </c>
      <c r="M47" s="11">
        <f>(C47-J47)*(1+K47)-L47</f>
        <v/>
      </c>
      <c r="N47" s="11">
        <f>D47*(1-J47/C47)</f>
        <v/>
      </c>
    </row>
    <row r="48">
      <c r="A48" s="13" t="n">
        <v>22</v>
      </c>
      <c r="B48" s="13">
        <f>'1 - INPUT'!$B$9+A48-1</f>
        <v/>
      </c>
      <c r="C48" s="11">
        <f>M47</f>
        <v/>
      </c>
      <c r="D48" s="11">
        <f>N47</f>
        <v/>
      </c>
      <c r="E48" s="21">
        <f>MAX(0,1-D48/C48)</f>
        <v/>
      </c>
      <c r="F48" s="11">
        <f>IF(AND(A48&gt;=$C$18,A48&lt;$C$18+$C$17),$C$16,0)</f>
        <v/>
      </c>
      <c r="G48" s="11">
        <f>IF(A48=1,$C$19*'1c - NASPI'!$B$59,IF(A48=2,$C$19*'1c - NASPI'!$C$59,0))</f>
        <v/>
      </c>
      <c r="H48" s="11">
        <f>IF(A48&gt;'1 - INPUT'!$B$11,'1 - INPUT'!$B$13,0)</f>
        <v/>
      </c>
      <c r="I48" s="11">
        <f>MAX(0,$C$15-F48-G48-H48)</f>
        <v/>
      </c>
      <c r="J48" s="11">
        <f>I48/(1-'1 - INPUT'!$B$28*E48)</f>
        <v/>
      </c>
      <c r="K48" s="17">
        <f>IF($C$21=0,$C$20,IF(A48=CHOOSE($C$21,'1 - INPUT'!$B$34,'1 - INPUT'!$B$35,'1 - INPUT'!$B$36),'1 - INPUT'!$B$32,IF(A48=CHOOSE($C$21,'1 - INPUT'!$C$34,'1 - INPUT'!$C$35,'1 - INPUT'!$C$36),'1 - INPUT'!$B$33,$C$23)))</f>
        <v/>
      </c>
      <c r="L48" s="11">
        <f>(C48-J48)*(1+K48)*'1 - INPUT'!$B$29</f>
        <v/>
      </c>
      <c r="M48" s="11">
        <f>(C48-J48)*(1+K48)-L48</f>
        <v/>
      </c>
      <c r="N48" s="11">
        <f>D48*(1-J48/C48)</f>
        <v/>
      </c>
    </row>
    <row r="49">
      <c r="A49" s="13" t="n">
        <v>23</v>
      </c>
      <c r="B49" s="13">
        <f>'1 - INPUT'!$B$9+A49-1</f>
        <v/>
      </c>
      <c r="C49" s="11">
        <f>M48</f>
        <v/>
      </c>
      <c r="D49" s="11">
        <f>N48</f>
        <v/>
      </c>
      <c r="E49" s="21">
        <f>MAX(0,1-D49/C49)</f>
        <v/>
      </c>
      <c r="F49" s="11">
        <f>IF(AND(A49&gt;=$C$18,A49&lt;$C$18+$C$17),$C$16,0)</f>
        <v/>
      </c>
      <c r="G49" s="11">
        <f>IF(A49=1,$C$19*'1c - NASPI'!$B$59,IF(A49=2,$C$19*'1c - NASPI'!$C$59,0))</f>
        <v/>
      </c>
      <c r="H49" s="11">
        <f>IF(A49&gt;'1 - INPUT'!$B$11,'1 - INPUT'!$B$13,0)</f>
        <v/>
      </c>
      <c r="I49" s="11">
        <f>MAX(0,$C$15-F49-G49-H49)</f>
        <v/>
      </c>
      <c r="J49" s="11">
        <f>I49/(1-'1 - INPUT'!$B$28*E49)</f>
        <v/>
      </c>
      <c r="K49" s="17">
        <f>IF($C$21=0,$C$20,IF(A49=CHOOSE($C$21,'1 - INPUT'!$B$34,'1 - INPUT'!$B$35,'1 - INPUT'!$B$36),'1 - INPUT'!$B$32,IF(A49=CHOOSE($C$21,'1 - INPUT'!$C$34,'1 - INPUT'!$C$35,'1 - INPUT'!$C$36),'1 - INPUT'!$B$33,$C$23)))</f>
        <v/>
      </c>
      <c r="L49" s="11">
        <f>(C49-J49)*(1+K49)*'1 - INPUT'!$B$29</f>
        <v/>
      </c>
      <c r="M49" s="11">
        <f>(C49-J49)*(1+K49)-L49</f>
        <v/>
      </c>
      <c r="N49" s="11">
        <f>D49*(1-J49/C49)</f>
        <v/>
      </c>
    </row>
    <row r="50">
      <c r="A50" s="13" t="n">
        <v>24</v>
      </c>
      <c r="B50" s="13">
        <f>'1 - INPUT'!$B$9+A50-1</f>
        <v/>
      </c>
      <c r="C50" s="11">
        <f>M49</f>
        <v/>
      </c>
      <c r="D50" s="11">
        <f>N49</f>
        <v/>
      </c>
      <c r="E50" s="21">
        <f>MAX(0,1-D50/C50)</f>
        <v/>
      </c>
      <c r="F50" s="11">
        <f>IF(AND(A50&gt;=$C$18,A50&lt;$C$18+$C$17),$C$16,0)</f>
        <v/>
      </c>
      <c r="G50" s="11">
        <f>IF(A50=1,$C$19*'1c - NASPI'!$B$59,IF(A50=2,$C$19*'1c - NASPI'!$C$59,0))</f>
        <v/>
      </c>
      <c r="H50" s="11">
        <f>IF(A50&gt;'1 - INPUT'!$B$11,'1 - INPUT'!$B$13,0)</f>
        <v/>
      </c>
      <c r="I50" s="11">
        <f>MAX(0,$C$15-F50-G50-H50)</f>
        <v/>
      </c>
      <c r="J50" s="11">
        <f>I50/(1-'1 - INPUT'!$B$28*E50)</f>
        <v/>
      </c>
      <c r="K50" s="17">
        <f>IF($C$21=0,$C$20,IF(A50=CHOOSE($C$21,'1 - INPUT'!$B$34,'1 - INPUT'!$B$35,'1 - INPUT'!$B$36),'1 - INPUT'!$B$32,IF(A50=CHOOSE($C$21,'1 - INPUT'!$C$34,'1 - INPUT'!$C$35,'1 - INPUT'!$C$36),'1 - INPUT'!$B$33,$C$23)))</f>
        <v/>
      </c>
      <c r="L50" s="11">
        <f>(C50-J50)*(1+K50)*'1 - INPUT'!$B$29</f>
        <v/>
      </c>
      <c r="M50" s="11">
        <f>(C50-J50)*(1+K50)-L50</f>
        <v/>
      </c>
      <c r="N50" s="11">
        <f>D50*(1-J50/C50)</f>
        <v/>
      </c>
    </row>
    <row r="51">
      <c r="A51" s="13" t="n">
        <v>25</v>
      </c>
      <c r="B51" s="13">
        <f>'1 - INPUT'!$B$9+A51-1</f>
        <v/>
      </c>
      <c r="C51" s="11">
        <f>M50</f>
        <v/>
      </c>
      <c r="D51" s="11">
        <f>N50</f>
        <v/>
      </c>
      <c r="E51" s="21">
        <f>MAX(0,1-D51/C51)</f>
        <v/>
      </c>
      <c r="F51" s="11">
        <f>IF(AND(A51&gt;=$C$18,A51&lt;$C$18+$C$17),$C$16,0)</f>
        <v/>
      </c>
      <c r="G51" s="11">
        <f>IF(A51=1,$C$19*'1c - NASPI'!$B$59,IF(A51=2,$C$19*'1c - NASPI'!$C$59,0))</f>
        <v/>
      </c>
      <c r="H51" s="11">
        <f>IF(A51&gt;'1 - INPUT'!$B$11,'1 - INPUT'!$B$13,0)</f>
        <v/>
      </c>
      <c r="I51" s="11">
        <f>MAX(0,$C$15-F51-G51-H51)</f>
        <v/>
      </c>
      <c r="J51" s="11">
        <f>I51/(1-'1 - INPUT'!$B$28*E51)</f>
        <v/>
      </c>
      <c r="K51" s="17">
        <f>IF($C$21=0,$C$20,IF(A51=CHOOSE($C$21,'1 - INPUT'!$B$34,'1 - INPUT'!$B$35,'1 - INPUT'!$B$36),'1 - INPUT'!$B$32,IF(A51=CHOOSE($C$21,'1 - INPUT'!$C$34,'1 - INPUT'!$C$35,'1 - INPUT'!$C$36),'1 - INPUT'!$B$33,$C$23)))</f>
        <v/>
      </c>
      <c r="L51" s="11">
        <f>(C51-J51)*(1+K51)*'1 - INPUT'!$B$29</f>
        <v/>
      </c>
      <c r="M51" s="11">
        <f>(C51-J51)*(1+K51)-L51</f>
        <v/>
      </c>
      <c r="N51" s="11">
        <f>D51*(1-J51/C51)</f>
        <v/>
      </c>
    </row>
    <row r="52">
      <c r="A52" s="13" t="n">
        <v>26</v>
      </c>
      <c r="B52" s="13">
        <f>'1 - INPUT'!$B$9+A52-1</f>
        <v/>
      </c>
      <c r="C52" s="11">
        <f>M51</f>
        <v/>
      </c>
      <c r="D52" s="11">
        <f>N51</f>
        <v/>
      </c>
      <c r="E52" s="21">
        <f>MAX(0,1-D52/C52)</f>
        <v/>
      </c>
      <c r="F52" s="11">
        <f>IF(AND(A52&gt;=$C$18,A52&lt;$C$18+$C$17),$C$16,0)</f>
        <v/>
      </c>
      <c r="G52" s="11">
        <f>IF(A52=1,$C$19*'1c - NASPI'!$B$59,IF(A52=2,$C$19*'1c - NASPI'!$C$59,0))</f>
        <v/>
      </c>
      <c r="H52" s="11">
        <f>IF(A52&gt;'1 - INPUT'!$B$11,'1 - INPUT'!$B$13,0)</f>
        <v/>
      </c>
      <c r="I52" s="11">
        <f>MAX(0,$C$15-F52-G52-H52)</f>
        <v/>
      </c>
      <c r="J52" s="11">
        <f>I52/(1-'1 - INPUT'!$B$28*E52)</f>
        <v/>
      </c>
      <c r="K52" s="17">
        <f>IF($C$21=0,$C$20,IF(A52=CHOOSE($C$21,'1 - INPUT'!$B$34,'1 - INPUT'!$B$35,'1 - INPUT'!$B$36),'1 - INPUT'!$B$32,IF(A52=CHOOSE($C$21,'1 - INPUT'!$C$34,'1 - INPUT'!$C$35,'1 - INPUT'!$C$36),'1 - INPUT'!$B$33,$C$23)))</f>
        <v/>
      </c>
      <c r="L52" s="11">
        <f>(C52-J52)*(1+K52)*'1 - INPUT'!$B$29</f>
        <v/>
      </c>
      <c r="M52" s="11">
        <f>(C52-J52)*(1+K52)-L52</f>
        <v/>
      </c>
      <c r="N52" s="11">
        <f>D52*(1-J52/C52)</f>
        <v/>
      </c>
    </row>
    <row r="53">
      <c r="A53" s="13" t="n">
        <v>27</v>
      </c>
      <c r="B53" s="13">
        <f>'1 - INPUT'!$B$9+A53-1</f>
        <v/>
      </c>
      <c r="C53" s="11">
        <f>M52</f>
        <v/>
      </c>
      <c r="D53" s="11">
        <f>N52</f>
        <v/>
      </c>
      <c r="E53" s="21">
        <f>MAX(0,1-D53/C53)</f>
        <v/>
      </c>
      <c r="F53" s="11">
        <f>IF(AND(A53&gt;=$C$18,A53&lt;$C$18+$C$17),$C$16,0)</f>
        <v/>
      </c>
      <c r="G53" s="11">
        <f>IF(A53=1,$C$19*'1c - NASPI'!$B$59,IF(A53=2,$C$19*'1c - NASPI'!$C$59,0))</f>
        <v/>
      </c>
      <c r="H53" s="11">
        <f>IF(A53&gt;'1 - INPUT'!$B$11,'1 - INPUT'!$B$13,0)</f>
        <v/>
      </c>
      <c r="I53" s="11">
        <f>MAX(0,$C$15-F53-G53-H53)</f>
        <v/>
      </c>
      <c r="J53" s="11">
        <f>I53/(1-'1 - INPUT'!$B$28*E53)</f>
        <v/>
      </c>
      <c r="K53" s="17">
        <f>IF($C$21=0,$C$20,IF(A53=CHOOSE($C$21,'1 - INPUT'!$B$34,'1 - INPUT'!$B$35,'1 - INPUT'!$B$36),'1 - INPUT'!$B$32,IF(A53=CHOOSE($C$21,'1 - INPUT'!$C$34,'1 - INPUT'!$C$35,'1 - INPUT'!$C$36),'1 - INPUT'!$B$33,$C$23)))</f>
        <v/>
      </c>
      <c r="L53" s="11">
        <f>(C53-J53)*(1+K53)*'1 - INPUT'!$B$29</f>
        <v/>
      </c>
      <c r="M53" s="11">
        <f>(C53-J53)*(1+K53)-L53</f>
        <v/>
      </c>
      <c r="N53" s="11">
        <f>D53*(1-J53/C53)</f>
        <v/>
      </c>
    </row>
    <row r="54">
      <c r="A54" s="13" t="n">
        <v>28</v>
      </c>
      <c r="B54" s="13">
        <f>'1 - INPUT'!$B$9+A54-1</f>
        <v/>
      </c>
      <c r="C54" s="11">
        <f>M53</f>
        <v/>
      </c>
      <c r="D54" s="11">
        <f>N53</f>
        <v/>
      </c>
      <c r="E54" s="21">
        <f>MAX(0,1-D54/C54)</f>
        <v/>
      </c>
      <c r="F54" s="11">
        <f>IF(AND(A54&gt;=$C$18,A54&lt;$C$18+$C$17),$C$16,0)</f>
        <v/>
      </c>
      <c r="G54" s="11">
        <f>IF(A54=1,$C$19*'1c - NASPI'!$B$59,IF(A54=2,$C$19*'1c - NASPI'!$C$59,0))</f>
        <v/>
      </c>
      <c r="H54" s="11">
        <f>IF(A54&gt;'1 - INPUT'!$B$11,'1 - INPUT'!$B$13,0)</f>
        <v/>
      </c>
      <c r="I54" s="11">
        <f>MAX(0,$C$15-F54-G54-H54)</f>
        <v/>
      </c>
      <c r="J54" s="11">
        <f>I54/(1-'1 - INPUT'!$B$28*E54)</f>
        <v/>
      </c>
      <c r="K54" s="17">
        <f>IF($C$21=0,$C$20,IF(A54=CHOOSE($C$21,'1 - INPUT'!$B$34,'1 - INPUT'!$B$35,'1 - INPUT'!$B$36),'1 - INPUT'!$B$32,IF(A54=CHOOSE($C$21,'1 - INPUT'!$C$34,'1 - INPUT'!$C$35,'1 - INPUT'!$C$36),'1 - INPUT'!$B$33,$C$23)))</f>
        <v/>
      </c>
      <c r="L54" s="11">
        <f>(C54-J54)*(1+K54)*'1 - INPUT'!$B$29</f>
        <v/>
      </c>
      <c r="M54" s="11">
        <f>(C54-J54)*(1+K54)-L54</f>
        <v/>
      </c>
      <c r="N54" s="11">
        <f>D54*(1-J54/C54)</f>
        <v/>
      </c>
    </row>
    <row r="55">
      <c r="A55" s="13" t="n">
        <v>29</v>
      </c>
      <c r="B55" s="13">
        <f>'1 - INPUT'!$B$9+A55-1</f>
        <v/>
      </c>
      <c r="C55" s="11">
        <f>M54</f>
        <v/>
      </c>
      <c r="D55" s="11">
        <f>N54</f>
        <v/>
      </c>
      <c r="E55" s="21">
        <f>MAX(0,1-D55/C55)</f>
        <v/>
      </c>
      <c r="F55" s="11">
        <f>IF(AND(A55&gt;=$C$18,A55&lt;$C$18+$C$17),$C$16,0)</f>
        <v/>
      </c>
      <c r="G55" s="11">
        <f>IF(A55=1,$C$19*'1c - NASPI'!$B$59,IF(A55=2,$C$19*'1c - NASPI'!$C$59,0))</f>
        <v/>
      </c>
      <c r="H55" s="11">
        <f>IF(A55&gt;'1 - INPUT'!$B$11,'1 - INPUT'!$B$13,0)</f>
        <v/>
      </c>
      <c r="I55" s="11">
        <f>MAX(0,$C$15-F55-G55-H55)</f>
        <v/>
      </c>
      <c r="J55" s="11">
        <f>I55/(1-'1 - INPUT'!$B$28*E55)</f>
        <v/>
      </c>
      <c r="K55" s="17">
        <f>IF($C$21=0,$C$20,IF(A55=CHOOSE($C$21,'1 - INPUT'!$B$34,'1 - INPUT'!$B$35,'1 - INPUT'!$B$36),'1 - INPUT'!$B$32,IF(A55=CHOOSE($C$21,'1 - INPUT'!$C$34,'1 - INPUT'!$C$35,'1 - INPUT'!$C$36),'1 - INPUT'!$B$33,$C$23)))</f>
        <v/>
      </c>
      <c r="L55" s="11">
        <f>(C55-J55)*(1+K55)*'1 - INPUT'!$B$29</f>
        <v/>
      </c>
      <c r="M55" s="11">
        <f>(C55-J55)*(1+K55)-L55</f>
        <v/>
      </c>
      <c r="N55" s="11">
        <f>D55*(1-J55/C55)</f>
        <v/>
      </c>
    </row>
    <row r="56">
      <c r="A56" s="13" t="n">
        <v>30</v>
      </c>
      <c r="B56" s="13">
        <f>'1 - INPUT'!$B$9+A56-1</f>
        <v/>
      </c>
      <c r="C56" s="11">
        <f>M55</f>
        <v/>
      </c>
      <c r="D56" s="11">
        <f>N55</f>
        <v/>
      </c>
      <c r="E56" s="21">
        <f>MAX(0,1-D56/C56)</f>
        <v/>
      </c>
      <c r="F56" s="11">
        <f>IF(AND(A56&gt;=$C$18,A56&lt;$C$18+$C$17),$C$16,0)</f>
        <v/>
      </c>
      <c r="G56" s="11">
        <f>IF(A56=1,$C$19*'1c - NASPI'!$B$59,IF(A56=2,$C$19*'1c - NASPI'!$C$59,0))</f>
        <v/>
      </c>
      <c r="H56" s="11">
        <f>IF(A56&gt;'1 - INPUT'!$B$11,'1 - INPUT'!$B$13,0)</f>
        <v/>
      </c>
      <c r="I56" s="11">
        <f>MAX(0,$C$15-F56-G56-H56)</f>
        <v/>
      </c>
      <c r="J56" s="11">
        <f>I56/(1-'1 - INPUT'!$B$28*E56)</f>
        <v/>
      </c>
      <c r="K56" s="17">
        <f>IF($C$21=0,$C$20,IF(A56=CHOOSE($C$21,'1 - INPUT'!$B$34,'1 - INPUT'!$B$35,'1 - INPUT'!$B$36),'1 - INPUT'!$B$32,IF(A56=CHOOSE($C$21,'1 - INPUT'!$C$34,'1 - INPUT'!$C$35,'1 - INPUT'!$C$36),'1 - INPUT'!$B$33,$C$23)))</f>
        <v/>
      </c>
      <c r="L56" s="11">
        <f>(C56-J56)*(1+K56)*'1 - INPUT'!$B$29</f>
        <v/>
      </c>
      <c r="M56" s="11">
        <f>(C56-J56)*(1+K56)-L56</f>
        <v/>
      </c>
      <c r="N56" s="11">
        <f>D56*(1-J56/C56)</f>
        <v/>
      </c>
    </row>
    <row r="57">
      <c r="A57" s="13" t="n">
        <v>31</v>
      </c>
      <c r="B57" s="13">
        <f>'1 - INPUT'!$B$9+A57-1</f>
        <v/>
      </c>
      <c r="C57" s="11">
        <f>M56</f>
        <v/>
      </c>
      <c r="D57" s="11">
        <f>N56</f>
        <v/>
      </c>
      <c r="E57" s="21">
        <f>MAX(0,1-D57/C57)</f>
        <v/>
      </c>
      <c r="F57" s="11">
        <f>IF(AND(A57&gt;=$C$18,A57&lt;$C$18+$C$17),$C$16,0)</f>
        <v/>
      </c>
      <c r="G57" s="11">
        <f>IF(A57=1,$C$19*'1c - NASPI'!$B$59,IF(A57=2,$C$19*'1c - NASPI'!$C$59,0))</f>
        <v/>
      </c>
      <c r="H57" s="11">
        <f>IF(A57&gt;'1 - INPUT'!$B$11,'1 - INPUT'!$B$13,0)</f>
        <v/>
      </c>
      <c r="I57" s="11">
        <f>MAX(0,$C$15-F57-G57-H57)</f>
        <v/>
      </c>
      <c r="J57" s="11">
        <f>I57/(1-'1 - INPUT'!$B$28*E57)</f>
        <v/>
      </c>
      <c r="K57" s="17">
        <f>IF($C$21=0,$C$20,IF(A57=CHOOSE($C$21,'1 - INPUT'!$B$34,'1 - INPUT'!$B$35,'1 - INPUT'!$B$36),'1 - INPUT'!$B$32,IF(A57=CHOOSE($C$21,'1 - INPUT'!$C$34,'1 - INPUT'!$C$35,'1 - INPUT'!$C$36),'1 - INPUT'!$B$33,$C$23)))</f>
        <v/>
      </c>
      <c r="L57" s="11">
        <f>(C57-J57)*(1+K57)*'1 - INPUT'!$B$29</f>
        <v/>
      </c>
      <c r="M57" s="11">
        <f>(C57-J57)*(1+K57)-L57</f>
        <v/>
      </c>
      <c r="N57" s="11">
        <f>D57*(1-J57/C57)</f>
        <v/>
      </c>
    </row>
    <row r="58">
      <c r="A58" s="13" t="n">
        <v>32</v>
      </c>
      <c r="B58" s="13">
        <f>'1 - INPUT'!$B$9+A58-1</f>
        <v/>
      </c>
      <c r="C58" s="11">
        <f>M57</f>
        <v/>
      </c>
      <c r="D58" s="11">
        <f>N57</f>
        <v/>
      </c>
      <c r="E58" s="21">
        <f>MAX(0,1-D58/C58)</f>
        <v/>
      </c>
      <c r="F58" s="11">
        <f>IF(AND(A58&gt;=$C$18,A58&lt;$C$18+$C$17),$C$16,0)</f>
        <v/>
      </c>
      <c r="G58" s="11">
        <f>IF(A58=1,$C$19*'1c - NASPI'!$B$59,IF(A58=2,$C$19*'1c - NASPI'!$C$59,0))</f>
        <v/>
      </c>
      <c r="H58" s="11">
        <f>IF(A58&gt;'1 - INPUT'!$B$11,'1 - INPUT'!$B$13,0)</f>
        <v/>
      </c>
      <c r="I58" s="11">
        <f>MAX(0,$C$15-F58-G58-H58)</f>
        <v/>
      </c>
      <c r="J58" s="11">
        <f>I58/(1-'1 - INPUT'!$B$28*E58)</f>
        <v/>
      </c>
      <c r="K58" s="17">
        <f>IF($C$21=0,$C$20,IF(A58=CHOOSE($C$21,'1 - INPUT'!$B$34,'1 - INPUT'!$B$35,'1 - INPUT'!$B$36),'1 - INPUT'!$B$32,IF(A58=CHOOSE($C$21,'1 - INPUT'!$C$34,'1 - INPUT'!$C$35,'1 - INPUT'!$C$36),'1 - INPUT'!$B$33,$C$23)))</f>
        <v/>
      </c>
      <c r="L58" s="11">
        <f>(C58-J58)*(1+K58)*'1 - INPUT'!$B$29</f>
        <v/>
      </c>
      <c r="M58" s="11">
        <f>(C58-J58)*(1+K58)-L58</f>
        <v/>
      </c>
      <c r="N58" s="11">
        <f>D58*(1-J58/C58)</f>
        <v/>
      </c>
    </row>
    <row r="59">
      <c r="A59" s="13" t="n">
        <v>33</v>
      </c>
      <c r="B59" s="13">
        <f>'1 - INPUT'!$B$9+A59-1</f>
        <v/>
      </c>
      <c r="C59" s="11">
        <f>M58</f>
        <v/>
      </c>
      <c r="D59" s="11">
        <f>N58</f>
        <v/>
      </c>
      <c r="E59" s="21">
        <f>MAX(0,1-D59/C59)</f>
        <v/>
      </c>
      <c r="F59" s="11">
        <f>IF(AND(A59&gt;=$C$18,A59&lt;$C$18+$C$17),$C$16,0)</f>
        <v/>
      </c>
      <c r="G59" s="11">
        <f>IF(A59=1,$C$19*'1c - NASPI'!$B$59,IF(A59=2,$C$19*'1c - NASPI'!$C$59,0))</f>
        <v/>
      </c>
      <c r="H59" s="11">
        <f>IF(A59&gt;'1 - INPUT'!$B$11,'1 - INPUT'!$B$13,0)</f>
        <v/>
      </c>
      <c r="I59" s="11">
        <f>MAX(0,$C$15-F59-G59-H59)</f>
        <v/>
      </c>
      <c r="J59" s="11">
        <f>I59/(1-'1 - INPUT'!$B$28*E59)</f>
        <v/>
      </c>
      <c r="K59" s="17">
        <f>IF($C$21=0,$C$20,IF(A59=CHOOSE($C$21,'1 - INPUT'!$B$34,'1 - INPUT'!$B$35,'1 - INPUT'!$B$36),'1 - INPUT'!$B$32,IF(A59=CHOOSE($C$21,'1 - INPUT'!$C$34,'1 - INPUT'!$C$35,'1 - INPUT'!$C$36),'1 - INPUT'!$B$33,$C$23)))</f>
        <v/>
      </c>
      <c r="L59" s="11">
        <f>(C59-J59)*(1+K59)*'1 - INPUT'!$B$29</f>
        <v/>
      </c>
      <c r="M59" s="11">
        <f>(C59-J59)*(1+K59)-L59</f>
        <v/>
      </c>
      <c r="N59" s="11">
        <f>D59*(1-J59/C59)</f>
        <v/>
      </c>
    </row>
    <row r="60">
      <c r="A60" s="13" t="n">
        <v>34</v>
      </c>
      <c r="B60" s="13">
        <f>'1 - INPUT'!$B$9+A60-1</f>
        <v/>
      </c>
      <c r="C60" s="11">
        <f>M59</f>
        <v/>
      </c>
      <c r="D60" s="11">
        <f>N59</f>
        <v/>
      </c>
      <c r="E60" s="21">
        <f>MAX(0,1-D60/C60)</f>
        <v/>
      </c>
      <c r="F60" s="11">
        <f>IF(AND(A60&gt;=$C$18,A60&lt;$C$18+$C$17),$C$16,0)</f>
        <v/>
      </c>
      <c r="G60" s="11">
        <f>IF(A60=1,$C$19*'1c - NASPI'!$B$59,IF(A60=2,$C$19*'1c - NASPI'!$C$59,0))</f>
        <v/>
      </c>
      <c r="H60" s="11">
        <f>IF(A60&gt;'1 - INPUT'!$B$11,'1 - INPUT'!$B$13,0)</f>
        <v/>
      </c>
      <c r="I60" s="11">
        <f>MAX(0,$C$15-F60-G60-H60)</f>
        <v/>
      </c>
      <c r="J60" s="11">
        <f>I60/(1-'1 - INPUT'!$B$28*E60)</f>
        <v/>
      </c>
      <c r="K60" s="17">
        <f>IF($C$21=0,$C$20,IF(A60=CHOOSE($C$21,'1 - INPUT'!$B$34,'1 - INPUT'!$B$35,'1 - INPUT'!$B$36),'1 - INPUT'!$B$32,IF(A60=CHOOSE($C$21,'1 - INPUT'!$C$34,'1 - INPUT'!$C$35,'1 - INPUT'!$C$36),'1 - INPUT'!$B$33,$C$23)))</f>
        <v/>
      </c>
      <c r="L60" s="11">
        <f>(C60-J60)*(1+K60)*'1 - INPUT'!$B$29</f>
        <v/>
      </c>
      <c r="M60" s="11">
        <f>(C60-J60)*(1+K60)-L60</f>
        <v/>
      </c>
      <c r="N60" s="11">
        <f>D60*(1-J60/C60)</f>
        <v/>
      </c>
    </row>
    <row r="61">
      <c r="A61" s="13" t="n">
        <v>35</v>
      </c>
      <c r="B61" s="13">
        <f>'1 - INPUT'!$B$9+A61-1</f>
        <v/>
      </c>
      <c r="C61" s="11">
        <f>M60</f>
        <v/>
      </c>
      <c r="D61" s="11">
        <f>N60</f>
        <v/>
      </c>
      <c r="E61" s="21">
        <f>MAX(0,1-D61/C61)</f>
        <v/>
      </c>
      <c r="F61" s="11">
        <f>IF(AND(A61&gt;=$C$18,A61&lt;$C$18+$C$17),$C$16,0)</f>
        <v/>
      </c>
      <c r="G61" s="11">
        <f>IF(A61=1,$C$19*'1c - NASPI'!$B$59,IF(A61=2,$C$19*'1c - NASPI'!$C$59,0))</f>
        <v/>
      </c>
      <c r="H61" s="11">
        <f>IF(A61&gt;'1 - INPUT'!$B$11,'1 - INPUT'!$B$13,0)</f>
        <v/>
      </c>
      <c r="I61" s="11">
        <f>MAX(0,$C$15-F61-G61-H61)</f>
        <v/>
      </c>
      <c r="J61" s="11">
        <f>I61/(1-'1 - INPUT'!$B$28*E61)</f>
        <v/>
      </c>
      <c r="K61" s="17">
        <f>IF($C$21=0,$C$20,IF(A61=CHOOSE($C$21,'1 - INPUT'!$B$34,'1 - INPUT'!$B$35,'1 - INPUT'!$B$36),'1 - INPUT'!$B$32,IF(A61=CHOOSE($C$21,'1 - INPUT'!$C$34,'1 - INPUT'!$C$35,'1 - INPUT'!$C$36),'1 - INPUT'!$B$33,$C$23)))</f>
        <v/>
      </c>
      <c r="L61" s="11">
        <f>(C61-J61)*(1+K61)*'1 - INPUT'!$B$29</f>
        <v/>
      </c>
      <c r="M61" s="11">
        <f>(C61-J61)*(1+K61)-L61</f>
        <v/>
      </c>
      <c r="N61" s="11">
        <f>D61*(1-J61/C61)</f>
        <v/>
      </c>
    </row>
    <row r="62">
      <c r="A62" s="13" t="n">
        <v>36</v>
      </c>
      <c r="B62" s="13">
        <f>'1 - INPUT'!$B$9+A62-1</f>
        <v/>
      </c>
      <c r="C62" s="11">
        <f>M61</f>
        <v/>
      </c>
      <c r="D62" s="11">
        <f>N61</f>
        <v/>
      </c>
      <c r="E62" s="21">
        <f>MAX(0,1-D62/C62)</f>
        <v/>
      </c>
      <c r="F62" s="11">
        <f>IF(AND(A62&gt;=$C$18,A62&lt;$C$18+$C$17),$C$16,0)</f>
        <v/>
      </c>
      <c r="G62" s="11">
        <f>IF(A62=1,$C$19*'1c - NASPI'!$B$59,IF(A62=2,$C$19*'1c - NASPI'!$C$59,0))</f>
        <v/>
      </c>
      <c r="H62" s="11">
        <f>IF(A62&gt;'1 - INPUT'!$B$11,'1 - INPUT'!$B$13,0)</f>
        <v/>
      </c>
      <c r="I62" s="11">
        <f>MAX(0,$C$15-F62-G62-H62)</f>
        <v/>
      </c>
      <c r="J62" s="11">
        <f>I62/(1-'1 - INPUT'!$B$28*E62)</f>
        <v/>
      </c>
      <c r="K62" s="17">
        <f>IF($C$21=0,$C$20,IF(A62=CHOOSE($C$21,'1 - INPUT'!$B$34,'1 - INPUT'!$B$35,'1 - INPUT'!$B$36),'1 - INPUT'!$B$32,IF(A62=CHOOSE($C$21,'1 - INPUT'!$C$34,'1 - INPUT'!$C$35,'1 - INPUT'!$C$36),'1 - INPUT'!$B$33,$C$23)))</f>
        <v/>
      </c>
      <c r="L62" s="11">
        <f>(C62-J62)*(1+K62)*'1 - INPUT'!$B$29</f>
        <v/>
      </c>
      <c r="M62" s="11">
        <f>(C62-J62)*(1+K62)-L62</f>
        <v/>
      </c>
      <c r="N62" s="11">
        <f>D62*(1-J62/C62)</f>
        <v/>
      </c>
    </row>
    <row r="63">
      <c r="A63" s="13" t="n">
        <v>37</v>
      </c>
      <c r="B63" s="13">
        <f>'1 - INPUT'!$B$9+A63-1</f>
        <v/>
      </c>
      <c r="C63" s="11">
        <f>M62</f>
        <v/>
      </c>
      <c r="D63" s="11">
        <f>N62</f>
        <v/>
      </c>
      <c r="E63" s="21">
        <f>MAX(0,1-D63/C63)</f>
        <v/>
      </c>
      <c r="F63" s="11">
        <f>IF(AND(A63&gt;=$C$18,A63&lt;$C$18+$C$17),$C$16,0)</f>
        <v/>
      </c>
      <c r="G63" s="11">
        <f>IF(A63=1,$C$19*'1c - NASPI'!$B$59,IF(A63=2,$C$19*'1c - NASPI'!$C$59,0))</f>
        <v/>
      </c>
      <c r="H63" s="11">
        <f>IF(A63&gt;'1 - INPUT'!$B$11,'1 - INPUT'!$B$13,0)</f>
        <v/>
      </c>
      <c r="I63" s="11">
        <f>MAX(0,$C$15-F63-G63-H63)</f>
        <v/>
      </c>
      <c r="J63" s="11">
        <f>I63/(1-'1 - INPUT'!$B$28*E63)</f>
        <v/>
      </c>
      <c r="K63" s="17">
        <f>IF($C$21=0,$C$20,IF(A63=CHOOSE($C$21,'1 - INPUT'!$B$34,'1 - INPUT'!$B$35,'1 - INPUT'!$B$36),'1 - INPUT'!$B$32,IF(A63=CHOOSE($C$21,'1 - INPUT'!$C$34,'1 - INPUT'!$C$35,'1 - INPUT'!$C$36),'1 - INPUT'!$B$33,$C$23)))</f>
        <v/>
      </c>
      <c r="L63" s="11">
        <f>(C63-J63)*(1+K63)*'1 - INPUT'!$B$29</f>
        <v/>
      </c>
      <c r="M63" s="11">
        <f>(C63-J63)*(1+K63)-L63</f>
        <v/>
      </c>
      <c r="N63" s="11">
        <f>D63*(1-J63/C63)</f>
        <v/>
      </c>
    </row>
    <row r="64"/>
    <row r="65">
      <c r="A65" s="7" t="inlineStr">
        <is>
          <t>I DUE FATTORI DI LORDIZZAZIONE — misurati, non scelti</t>
        </is>
      </c>
    </row>
    <row r="66">
      <c r="A66" s="20" t="inlineStr"/>
      <c r="B66" s="20" t="inlineStr">
        <is>
          <t>Prelievi netti</t>
        </is>
      </c>
      <c r="C66" s="20" t="inlineStr">
        <is>
          <t>Vendite lorde</t>
        </is>
      </c>
      <c r="D66" s="20" t="inlineStr">
        <is>
          <t>Fattore</t>
        </is>
      </c>
      <c r="E66" s="20" t="inlineStr">
        <is>
          <t>Latente media ponderata</t>
        </is>
      </c>
    </row>
    <row r="67">
      <c r="A67" s="8" t="inlineStr">
        <is>
          <t>Orizzonte intero (37 anni)</t>
        </is>
      </c>
      <c r="B67" s="11">
        <f>SUM(I27:I63)</f>
        <v/>
      </c>
      <c r="C67" s="11">
        <f>SUM(J27:J63)</f>
        <v/>
      </c>
      <c r="D67" s="22">
        <f>C67/B67</f>
        <v/>
      </c>
      <c r="E67" s="17">
        <f>(1-B67/C67)/'1 - INPUT'!B28</f>
        <v/>
      </c>
    </row>
    <row r="68">
      <c r="A68" s="8" t="inlineStr">
        <is>
          <t>FINESTRA DEL LAVORO (13 anni)</t>
        </is>
      </c>
      <c r="B68" s="11">
        <f>SUM(I27:I39)</f>
        <v/>
      </c>
      <c r="C68" s="11">
        <f>SUM(J27:J39)</f>
        <v/>
      </c>
      <c r="D68" s="22">
        <f>C68/B68</f>
        <v/>
      </c>
      <c r="E68" s="17">
        <f>(1-B68/C68)/'1 - INPUT'!B28</f>
        <v/>
      </c>
    </row>
    <row r="69" ht="45" customHeight="1">
      <c r="A69" s="10" t="inlineStr">
        <is>
          <t>IL FOGLIO 4 LEGGE IL FATTORE DELLA FINESTRA, non quello dell'orizzonte: il lavoro dura tredici anni, e la latente di quei tredici anni è molto più bassa di quella media dei trentasette. Usare il fattore sbagliato gonfia il valore del lavoro. Il fattore dell'orizzonte resta qui solo come termine di confronto.</t>
        </is>
      </c>
    </row>
    <row r="70"/>
    <row r="71" ht="26" customHeight="1">
      <c r="A71" s="8" t="inlineStr">
        <is>
          <t>PATRIMONIO RESIDUO ALL'ANNO 37</t>
        </is>
      </c>
      <c r="C71" s="29">
        <f>M63</f>
        <v/>
      </c>
    </row>
    <row r="72" ht="30" customHeight="1">
      <c r="A72" s="10" t="inlineStr">
        <is>
          <t>È la cella su cui gira tutto: la spesa massima e il capitale necessario sono i valori che la portano a ZERO. Le celle azzurre degli altri fogli sono quelle soluzioni, calcolate per bisezione con questo stesso motore: riscrivile qui sopra nel riquadro del test e questa cella deve tornare a zero.</t>
        </is>
      </c>
    </row>
  </sheetData>
  <mergeCells count="8">
    <mergeCell ref="A69:N69"/>
    <mergeCell ref="A4:N4"/>
    <mergeCell ref="A2:N2"/>
    <mergeCell ref="A72:N72"/>
    <mergeCell ref="A25:N25"/>
    <mergeCell ref="A65:N65"/>
    <mergeCell ref="E6:M6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5" customHeight="1">
      <c r="A1" s="1" t="inlineStr">
        <is>
          <t>3 — IL CRUSCOTTO: il divario, quanto ne copre il lavoro, quanto resta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/>
    <row r="4">
      <c r="A4" s="7" t="inlineStr">
        <is>
          <t>IL CONTO DI FRANCO E GIULIA — banda obbligatoria 1/2/3%</t>
        </is>
      </c>
    </row>
    <row r="5">
      <c r="A5" s="20" t="inlineStr">
        <is>
          <t>Grandezza</t>
        </is>
      </c>
      <c r="B5" s="20" t="inlineStr">
        <is>
          <t>r = 1%</t>
        </is>
      </c>
      <c r="C5" s="20" t="inlineStr">
        <is>
          <t>r = 2%</t>
        </is>
      </c>
      <c r="D5" s="20" t="inlineStr">
        <is>
          <t>r = 3%</t>
        </is>
      </c>
    </row>
    <row r="6" ht="45" customHeight="1">
      <c r="A6" s="8" t="inlineStr">
        <is>
          <t>Portafoglio da solo, con l'indennità, senza lavoro</t>
        </is>
      </c>
      <c r="B6" s="30" t="n">
        <v>49280.72</v>
      </c>
      <c r="C6" s="30" t="n">
        <v>52927.25</v>
      </c>
      <c r="D6" s="30" t="n">
        <v>57008.59</v>
      </c>
      <c r="E6" s="10" t="inlineStr">
        <is>
          <t>È la baseline: quello che Franco ottiene se non fa niente. L'indennità c'è perché esce per risoluzione consensuale.</t>
        </is>
      </c>
    </row>
    <row r="7">
      <c r="A7" s="8" t="inlineStr">
        <is>
          <t>IL DIVARIO (spesa meno portafoglio)</t>
        </is>
      </c>
      <c r="B7" s="11">
        <f>'1 - INPUT'!$B$6-B6</f>
        <v/>
      </c>
      <c r="C7" s="11">
        <f>'1 - INPUT'!$B$6-C6</f>
        <v/>
      </c>
      <c r="D7" s="11">
        <f>'1 - INPUT'!$B$6-D6</f>
        <v/>
      </c>
    </row>
    <row r="8">
      <c r="A8" s="8" t="inlineStr">
        <is>
          <t>Spesa massima con il part-time (porta B)</t>
        </is>
      </c>
      <c r="B8" s="30" t="n">
        <v>55264.38</v>
      </c>
      <c r="C8" s="30" t="n">
        <v>59453.62</v>
      </c>
      <c r="D8" s="30" t="n">
        <v>64089.31</v>
      </c>
    </row>
    <row r="9">
      <c r="A9" s="8" t="inlineStr">
        <is>
          <t>Il lavoro copre, in euro</t>
        </is>
      </c>
      <c r="B9" s="11">
        <f>B8-B6</f>
        <v/>
      </c>
      <c r="C9" s="11">
        <f>C8-C6</f>
        <v/>
      </c>
      <c r="D9" s="11">
        <f>D8-D6</f>
        <v/>
      </c>
    </row>
    <row r="10" ht="45" customHeight="1">
      <c r="A10" s="8" t="inlineStr">
        <is>
          <t>IL LAVORO COPRE, in % del divario</t>
        </is>
      </c>
      <c r="B10" s="21">
        <f>B9/B7</f>
        <v/>
      </c>
      <c r="C10" s="21">
        <f>C9/C7</f>
        <v/>
      </c>
      <c r="D10" s="21">
        <f>D9/D7</f>
        <v/>
      </c>
      <c r="E10" s="10" t="inlineStr">
        <is>
          <t>LA COPERTURA DIPENDE DAL RENDIMENTO PIÙ DI QUALUNQUE ALTRA COSA: è il numero più fragile del verdetto e non va mai detto da solo.</t>
        </is>
      </c>
    </row>
    <row r="11">
      <c r="A11" s="8" t="inlineStr">
        <is>
          <t>Resta scoperto, in euro</t>
        </is>
      </c>
      <c r="B11" s="11">
        <f>'1 - INPUT'!$B$6-B8</f>
        <v/>
      </c>
      <c r="C11" s="11">
        <f>'1 - INPUT'!$B$6-C8</f>
        <v/>
      </c>
      <c r="D11" s="11">
        <f>'1 - INPUT'!$B$6-D8</f>
        <v/>
      </c>
    </row>
    <row r="12">
      <c r="A12" s="8" t="inlineStr">
        <is>
          <t>Resta scoperto, in % della spesa</t>
        </is>
      </c>
      <c r="B12" s="21">
        <f>B11/'1 - INPUT'!$B$6</f>
        <v/>
      </c>
      <c r="C12" s="21">
        <f>C11/'1 - INPUT'!$B$6</f>
        <v/>
      </c>
      <c r="D12" s="21">
        <f>D11/'1 - INPUT'!$B$6</f>
        <v/>
      </c>
    </row>
    <row r="13">
      <c r="A13" s="8" t="inlineStr">
        <is>
          <t>Porta A: 24 mesi di indennità, poi 11 anni di lavoro</t>
        </is>
      </c>
      <c r="B13" s="30" t="n">
        <v>55023.14</v>
      </c>
      <c r="C13" s="30" t="n">
        <v>59177.38</v>
      </c>
      <c r="D13" s="30" t="n">
        <v>63774.84</v>
      </c>
    </row>
    <row r="14" ht="45" customHeight="1">
      <c r="A14" s="8" t="inlineStr">
        <is>
          <t>Distanza fra le due porte</t>
        </is>
      </c>
      <c r="B14" s="11">
        <f>B8-B13</f>
        <v/>
      </c>
      <c r="C14" s="11">
        <f>C8-C13</f>
        <v/>
      </c>
      <c r="D14" s="11">
        <f>D8-D13</f>
        <v/>
      </c>
      <c r="E14" s="10" t="inlineStr">
        <is>
          <t>Le due porte QUASI SI PAREGGIANO: l'indennità è certa e arriva prima, il lavoro rende di più ma va trovato.</t>
        </is>
      </c>
    </row>
    <row r="15">
      <c r="A15" s="8" t="inlineStr">
        <is>
          <t>Spesa massima senza lavoro e senza indennità</t>
        </is>
      </c>
      <c r="B15" s="30" t="n">
        <v>48433.03</v>
      </c>
      <c r="C15" s="30" t="n">
        <v>51954.64</v>
      </c>
      <c r="D15" s="30" t="n">
        <v>55899.13</v>
      </c>
    </row>
    <row r="16" ht="60" customHeight="1">
      <c r="A16" s="8" t="inlineStr">
        <is>
          <t>La pendenza: valore di 1.000 € di reddito per 13 anni</t>
        </is>
      </c>
      <c r="B16" s="11">
        <f>(B8-B15)/('1 - INPUT'!$B$16/1000)</f>
        <v/>
      </c>
      <c r="C16" s="11">
        <f>(C8-C15)/('1 - INPUT'!$B$16/1000)</f>
        <v/>
      </c>
      <c r="D16" s="11">
        <f>(D8-D15)/('1 - INPUT'!$B$16/1000)</f>
        <v/>
      </c>
      <c r="E16" s="10" t="inlineStr">
        <is>
          <t>Misura il lavoro DA SOLO. Nel conto di Franco il part-time prende il posto dell'indennità, non si somma: per questo la copertura del divario è più bassa del prodotto.</t>
        </is>
      </c>
    </row>
    <row r="17">
      <c r="A17" s="8" t="inlineStr">
        <is>
          <t>CAPITALE PER SMETTERE DEL TUTTO</t>
        </is>
      </c>
      <c r="B17" s="30" t="n">
        <v>1850185.03</v>
      </c>
      <c r="C17" s="30" t="n">
        <v>1636856.03</v>
      </c>
      <c r="D17" s="30" t="n">
        <v>1456878.53</v>
      </c>
    </row>
    <row r="18">
      <c r="A18" s="8" t="inlineStr">
        <is>
          <t>Capitale necessario con il part-time</t>
        </is>
      </c>
      <c r="B18" s="30" t="n">
        <v>1633534.09</v>
      </c>
      <c r="C18" s="30" t="n">
        <v>1431633.14</v>
      </c>
      <c r="D18" s="30" t="n">
        <v>1262368.66</v>
      </c>
    </row>
    <row r="19" ht="60" customHeight="1">
      <c r="A19" s="8" t="inlineStr">
        <is>
          <t>REDDITO NETTO NECESSARIO PER LA SPESA PIENA</t>
        </is>
      </c>
      <c r="B19" s="30" t="n">
        <v>56827.01</v>
      </c>
      <c r="C19" s="30" t="n">
        <v>43314.76</v>
      </c>
      <c r="D19" s="30" t="n">
        <v>30990.24</v>
      </c>
      <c r="E19" s="10" t="inlineStr">
        <is>
          <t>A venti euro l'ora sono più di duemila ore: quattro giorni e mezzo a settimana. La soglia di plausibilita' del reddito non è lineare, anche se il modello lo è.</t>
        </is>
      </c>
    </row>
    <row r="20"/>
    <row r="21">
      <c r="A21" s="7" t="inlineStr">
        <is>
          <t>IL SEMAFORO</t>
        </is>
      </c>
    </row>
    <row r="22">
      <c r="A22" s="8" t="inlineStr">
        <is>
          <t>Spesa scelta</t>
        </is>
      </c>
      <c r="B22" s="11">
        <f>'1 - INPUT'!B6</f>
        <v/>
      </c>
    </row>
    <row r="23">
      <c r="A23" s="8" t="inlineStr">
        <is>
          <t>Spesa massima col lavoro, al rendimento scelto</t>
        </is>
      </c>
      <c r="B23" s="11">
        <f>IF('1 - INPUT'!B27&lt;=0.015,B8,IF('1 - INPUT'!B27&lt;=0.025,C8,D8))</f>
        <v/>
      </c>
    </row>
    <row r="24">
      <c r="A24" s="8" t="inlineStr">
        <is>
          <t>ESITO</t>
        </is>
      </c>
      <c r="B24" s="31">
        <f>IF(B22&lt;=B23,"REGGE","NON REGGE")</f>
        <v/>
      </c>
    </row>
    <row r="25" ht="45" customHeight="1">
      <c r="A25" s="8" t="inlineStr">
        <is>
          <t>Quanto manca</t>
        </is>
      </c>
      <c r="B25" s="11">
        <f>MAX(0,B22-B23)</f>
        <v/>
      </c>
      <c r="E25" s="10" t="inlineStr">
        <is>
          <t>Con i default il semaforo è ROSSO: la spesa scelta è sopra quello che il piano regge. Non è un errore del piano: è il verdetto del video.</t>
        </is>
      </c>
    </row>
    <row r="26"/>
    <row r="27">
      <c r="A27" s="7" t="inlineStr">
        <is>
          <t>I TRE TASSI DI PRELIEVO DELL'ANNO 1</t>
        </is>
      </c>
    </row>
    <row r="28">
      <c r="A28" s="20" t="inlineStr"/>
      <c r="B28" s="20" t="inlineStr">
        <is>
          <t>Prelievo netto</t>
        </is>
      </c>
      <c r="C28" s="20" t="inlineStr">
        <is>
          <t>Vendita lorda</t>
        </is>
      </c>
      <c r="D28" s="20" t="inlineStr">
        <is>
          <t>cassa</t>
        </is>
      </c>
      <c r="E28" s="20" t="inlineStr">
        <is>
          <t>omogeneo / col bollo</t>
        </is>
      </c>
    </row>
    <row r="29">
      <c r="A29" s="8" t="inlineStr">
        <is>
          <t>Senza lavoro</t>
        </is>
      </c>
      <c r="B29" s="11">
        <f>'1 - INPUT'!B6</f>
        <v/>
      </c>
      <c r="C29" s="11">
        <f>B29/(1-'1 - INPUT'!B28*'1 - INPUT'!B30)</f>
        <v/>
      </c>
      <c r="D29" s="17">
        <f>B29/'1 - INPUT'!B5</f>
        <v/>
      </c>
    </row>
    <row r="30">
      <c r="A30" s="8" t="inlineStr">
        <is>
          <t>Con il lavoro</t>
        </is>
      </c>
      <c r="B30" s="11">
        <f>'1 - INPUT'!B6-'1 - INPUT'!B16</f>
        <v/>
      </c>
      <c r="C30" s="11">
        <f>B30/(1-'1 - INPUT'!B28*'1 - INPUT'!B30)</f>
        <v/>
      </c>
      <c r="D30" s="17">
        <f>B30/'1 - INPUT'!B5</f>
        <v/>
      </c>
    </row>
    <row r="31">
      <c r="A31" s="8" t="inlineStr">
        <is>
          <t>Tasso omogeneo — senza lavoro / con il lavoro</t>
        </is>
      </c>
      <c r="B31" s="17">
        <f>C29/'1 - INPUT'!B5</f>
        <v/>
      </c>
      <c r="C31" s="17">
        <f>C30/'1 - INPUT'!B5</f>
        <v/>
      </c>
    </row>
    <row r="32" ht="45" customHeight="1">
      <c r="A32" s="8" t="inlineStr">
        <is>
          <t>Tasso col bollo — senza lavoro / con il lavoro</t>
        </is>
      </c>
      <c r="B32" s="17">
        <f>(C29+'1 - INPUT'!B29*'1 - INPUT'!B5)/'1 - INPUT'!B5</f>
        <v/>
      </c>
      <c r="C32" s="17">
        <f>(C30+'1 - INPUT'!B29*'1 - INPUT'!B5)/'1 - INPUT'!B5</f>
        <v/>
      </c>
      <c r="E32" s="10" t="inlineStr">
        <is>
          <t>IL NUMERO DA CONFRONTARE CON IL QUATTRO PER CENTO DELLA REGOLA FAMOSA È QUELLO OMOGENEO, la vendita lorda: è l'unico misurato sulla stessa scala.</t>
        </is>
      </c>
    </row>
    <row r="33"/>
    <row r="34">
      <c r="A34" s="7" t="inlineStr">
        <is>
          <t>SE IL LAVORO FINISCE PRIMA (r = 3%)</t>
        </is>
      </c>
    </row>
    <row r="35">
      <c r="A35" s="20" t="inlineStr">
        <is>
          <t>Anni di lavoro</t>
        </is>
      </c>
      <c r="B35" s="20" t="n">
        <v>0</v>
      </c>
      <c r="C35" s="20" t="n">
        <v>1</v>
      </c>
      <c r="D35" s="20" t="n">
        <v>2</v>
      </c>
      <c r="E35" s="20" t="n">
        <v>3</v>
      </c>
      <c r="F35" s="20" t="n">
        <v>4</v>
      </c>
      <c r="G35" s="20" t="n">
        <v>5</v>
      </c>
      <c r="H35" s="20" t="n">
        <v>6</v>
      </c>
      <c r="I35" s="20" t="n">
        <v>7</v>
      </c>
      <c r="J35" s="20" t="n">
        <v>8</v>
      </c>
      <c r="K35" s="20" t="n">
        <v>9</v>
      </c>
      <c r="L35" s="20" t="n">
        <v>10</v>
      </c>
      <c r="M35" s="20" t="n">
        <v>11</v>
      </c>
      <c r="N35" s="20" t="n">
        <v>12</v>
      </c>
      <c r="O35" s="20" t="n">
        <v>13</v>
      </c>
    </row>
    <row r="36">
      <c r="A36" s="20" t="inlineStr">
        <is>
          <t>Spesa massima sostenibile</t>
        </is>
      </c>
      <c r="B36" s="30" t="n">
        <v>55899.13</v>
      </c>
      <c r="C36" s="30" t="n">
        <v>56619.09</v>
      </c>
      <c r="D36" s="30" t="n">
        <v>57323.05</v>
      </c>
      <c r="E36" s="30" t="n">
        <v>58011.3</v>
      </c>
      <c r="F36" s="30" t="n">
        <v>58684.11</v>
      </c>
      <c r="G36" s="30" t="n">
        <v>59341.76</v>
      </c>
      <c r="H36" s="30" t="n">
        <v>59984.52</v>
      </c>
      <c r="I36" s="30" t="n">
        <v>60612.65</v>
      </c>
      <c r="J36" s="30" t="n">
        <v>61226.43</v>
      </c>
      <c r="K36" s="30" t="n">
        <v>61826.12</v>
      </c>
      <c r="L36" s="30" t="n">
        <v>62412</v>
      </c>
      <c r="M36" s="30" t="n">
        <v>62984.31</v>
      </c>
      <c r="N36" s="30" t="n">
        <v>63543.33</v>
      </c>
      <c r="O36" s="30" t="n">
        <v>64089.31</v>
      </c>
    </row>
    <row r="37" ht="30" customHeight="1">
      <c r="A37" s="10" t="inlineStr">
        <is>
          <t>La curva è piatta: perdere tre anni di lavoro costa poco, perderli tutti costa circa ottomila euro l'anno di spesa. Il valore a ZERO anni è SENZA indennità: serve al confronto fra le due porte, non è la linea di partenza del divario.</t>
        </is>
      </c>
    </row>
    <row r="38"/>
    <row r="39">
      <c r="A39" s="7" t="inlineStr">
        <is>
          <t>LA SCALA ONESTA DEL PRELIEVO (r = 3%, 13 anni di lavoro)</t>
        </is>
      </c>
    </row>
    <row r="40">
      <c r="A40" s="20" t="inlineStr">
        <is>
          <t>Reddito netto dal lavoro</t>
        </is>
      </c>
      <c r="B40" s="20" t="inlineStr">
        <is>
          <t>Spesa massima</t>
        </is>
      </c>
      <c r="C40" s="20" t="inlineStr">
        <is>
          <t>Guadagno rispetto a zero</t>
        </is>
      </c>
      <c r="D40" s="20" t="inlineStr">
        <is>
          <t>Per 1.000 € di reddito</t>
        </is>
      </c>
    </row>
    <row r="41">
      <c r="A41" s="11" t="n">
        <v>0</v>
      </c>
      <c r="B41" s="30" t="n">
        <v>55899.13</v>
      </c>
      <c r="C41" s="11">
        <f>B41-$B$41</f>
        <v/>
      </c>
      <c r="D41" s="11">
        <f>IF(A41=0,"—",C41/(A41/1000))</f>
        <v/>
      </c>
    </row>
    <row r="42">
      <c r="A42" s="11" t="n">
        <v>5000</v>
      </c>
      <c r="B42" s="30" t="n">
        <v>58174.18</v>
      </c>
      <c r="C42" s="11">
        <f>B42-$B$41</f>
        <v/>
      </c>
      <c r="D42" s="11">
        <f>IF(A42=0,"—",C42/(A42/1000))</f>
        <v/>
      </c>
    </row>
    <row r="43">
      <c r="A43" s="11" t="n">
        <v>15000</v>
      </c>
      <c r="B43" s="30" t="n">
        <v>62724.28</v>
      </c>
      <c r="C43" s="11">
        <f>B43-$B$41</f>
        <v/>
      </c>
      <c r="D43" s="11">
        <f>IF(A43=0,"—",C43/(A43/1000))</f>
        <v/>
      </c>
    </row>
    <row r="44">
      <c r="A44" s="11" t="n">
        <v>25000</v>
      </c>
      <c r="B44" s="30" t="n">
        <v>67274.38</v>
      </c>
      <c r="C44" s="11">
        <f>B44-$B$41</f>
        <v/>
      </c>
      <c r="D44" s="11">
        <f>IF(A44=0,"—",C44/(A44/1000))</f>
        <v/>
      </c>
    </row>
    <row r="45">
      <c r="A45" s="11" t="n">
        <v>35000</v>
      </c>
      <c r="B45" s="30" t="n">
        <v>71824.48</v>
      </c>
      <c r="C45" s="11">
        <f>B45-$B$41</f>
        <v/>
      </c>
      <c r="D45" s="11">
        <f>IF(A45=0,"—",C45/(A45/1000))</f>
        <v/>
      </c>
    </row>
    <row r="46" ht="60" customHeight="1">
      <c r="A46" s="10" t="inlineStr">
        <is>
          <t>PERCHÉ «DA QUINDICI A VENTICINQUE AIUTA PIÙ CHE DA ZERO A CINQUE» È FALSO: l'ultima colonna è sempre la stessa cifra. Ogni mille euro di reddito valgono esattamente quanto i precedenti — la relazione è lineare. Quello che NON è lineare è la vita: fra due giorni a settimana e quattro e mezzo non c'è una differenza di grado.</t>
        </is>
      </c>
    </row>
  </sheetData>
  <mergeCells count="9">
    <mergeCell ref="A21:E21"/>
    <mergeCell ref="A39:E39"/>
    <mergeCell ref="A34:E34"/>
    <mergeCell ref="A4:E4"/>
    <mergeCell ref="A2:E2"/>
    <mergeCell ref="A1:E1"/>
    <mergeCell ref="A46:E46"/>
    <mergeCell ref="A37:N37"/>
    <mergeCell ref="A27:E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54" customWidth="1" min="6" max="6"/>
  </cols>
  <sheetData>
    <row r="1" ht="25" customHeight="1">
      <c r="A1" s="1" t="inlineStr">
        <is>
          <t>4 — QUANTO VALE DAVVERO UN REDDITO A TERMINE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/>
    <row r="4">
      <c r="A4" s="7" t="inlineStr">
        <is>
          <t>VALORE ATTUALE DI UNA RENDITA ANTICIPATA</t>
        </is>
      </c>
    </row>
    <row r="5">
      <c r="A5" s="8" t="inlineStr">
        <is>
          <t>Reddito annuo netto</t>
        </is>
      </c>
      <c r="B5" s="11">
        <f>'1 - INPUT'!B16</f>
        <v/>
      </c>
    </row>
    <row r="6">
      <c r="A6" s="20" t="inlineStr">
        <is>
          <t>Durata (anni)</t>
        </is>
      </c>
      <c r="B6" s="20" t="inlineStr">
        <is>
          <t>r = 1%</t>
        </is>
      </c>
      <c r="C6" s="20" t="inlineStr">
        <is>
          <t>r = 2%</t>
        </is>
      </c>
      <c r="D6" s="20" t="inlineStr">
        <is>
          <t>r = 3%</t>
        </is>
      </c>
      <c r="E6" s="20" t="inlineStr">
        <is>
          <t>r = 4%</t>
        </is>
      </c>
    </row>
    <row r="7">
      <c r="A7" s="13" t="n">
        <v>5</v>
      </c>
      <c r="B7" s="11">
        <f>$B$5*(1-(1+0.01)^-$A7)/0.01*(1+0.01)</f>
        <v/>
      </c>
      <c r="C7" s="11">
        <f>$B$5*(1-(1+0.02)^-$A7)/0.02*(1+0.02)</f>
        <v/>
      </c>
      <c r="D7" s="11">
        <f>$B$5*(1-(1+0.03)^-$A7)/0.03*(1+0.03)</f>
        <v/>
      </c>
      <c r="E7" s="11">
        <f>$B$5*(1-(1+0.04)^-$A7)/0.04*(1+0.04)</f>
        <v/>
      </c>
    </row>
    <row r="8">
      <c r="A8" s="13" t="n">
        <v>10</v>
      </c>
      <c r="B8" s="11">
        <f>$B$5*(1-(1+0.01)^-$A8)/0.01*(1+0.01)</f>
        <v/>
      </c>
      <c r="C8" s="11">
        <f>$B$5*(1-(1+0.02)^-$A8)/0.02*(1+0.02)</f>
        <v/>
      </c>
      <c r="D8" s="11">
        <f>$B$5*(1-(1+0.03)^-$A8)/0.03*(1+0.03)</f>
        <v/>
      </c>
      <c r="E8" s="11">
        <f>$B$5*(1-(1+0.04)^-$A8)/0.04*(1+0.04)</f>
        <v/>
      </c>
    </row>
    <row r="9">
      <c r="A9" s="13" t="n">
        <v>13</v>
      </c>
      <c r="B9" s="11">
        <f>$B$5*(1-(1+0.01)^-$A9)/0.01*(1+0.01)</f>
        <v/>
      </c>
      <c r="C9" s="11">
        <f>$B$5*(1-(1+0.02)^-$A9)/0.02*(1+0.02)</f>
        <v/>
      </c>
      <c r="D9" s="11">
        <f>$B$5*(1-(1+0.03)^-$A9)/0.03*(1+0.03)</f>
        <v/>
      </c>
      <c r="E9" s="11">
        <f>$B$5*(1-(1+0.04)^-$A9)/0.04*(1+0.04)</f>
        <v/>
      </c>
    </row>
    <row r="10">
      <c r="A10" s="13" t="n">
        <v>20</v>
      </c>
      <c r="B10" s="11">
        <f>$B$5*(1-(1+0.01)^-$A10)/0.01*(1+0.01)</f>
        <v/>
      </c>
      <c r="C10" s="11">
        <f>$B$5*(1-(1+0.02)^-$A10)/0.02*(1+0.02)</f>
        <v/>
      </c>
      <c r="D10" s="11">
        <f>$B$5*(1-(1+0.03)^-$A10)/0.03*(1+0.03)</f>
        <v/>
      </c>
      <c r="E10" s="11">
        <f>$B$5*(1-(1+0.04)^-$A10)/0.04*(1+0.04)</f>
        <v/>
      </c>
    </row>
    <row r="11">
      <c r="A11" s="13" t="n">
        <v>30</v>
      </c>
      <c r="B11" s="11">
        <f>$B$5*(1-(1+0.01)^-$A11)/0.01*(1+0.01)</f>
        <v/>
      </c>
      <c r="C11" s="11">
        <f>$B$5*(1-(1+0.02)^-$A11)/0.02*(1+0.02)</f>
        <v/>
      </c>
      <c r="D11" s="11">
        <f>$B$5*(1-(1+0.03)^-$A11)/0.03*(1+0.03)</f>
        <v/>
      </c>
      <c r="E11" s="11">
        <f>$B$5*(1-(1+0.04)^-$A11)/0.04*(1+0.04)</f>
        <v/>
      </c>
    </row>
    <row r="12">
      <c r="A12" s="13" t="n">
        <v>37</v>
      </c>
      <c r="B12" s="11">
        <f>$B$5*(1-(1+0.01)^-$A12)/0.01*(1+0.01)</f>
        <v/>
      </c>
      <c r="C12" s="11">
        <f>$B$5*(1-(1+0.02)^-$A12)/0.02*(1+0.02)</f>
        <v/>
      </c>
      <c r="D12" s="11">
        <f>$B$5*(1-(1+0.03)^-$A12)/0.03*(1+0.03)</f>
        <v/>
      </c>
      <c r="E12" s="11">
        <f>$B$5*(1-(1+0.04)^-$A12)/0.04*(1+0.04)</f>
        <v/>
      </c>
    </row>
    <row r="13">
      <c r="A13" s="8" t="inlineStr">
        <is>
          <t>PERPETUO (reddito / tasso)</t>
        </is>
      </c>
      <c r="B13" s="11">
        <f>$B$5/0.01</f>
        <v/>
      </c>
      <c r="C13" s="11">
        <f>$B$5/0.02</f>
        <v/>
      </c>
      <c r="D13" s="11">
        <f>$B$5/0.03</f>
        <v/>
      </c>
      <c r="E13" s="11">
        <f>$B$5/0.04</f>
        <v/>
      </c>
    </row>
    <row r="14" ht="60" customHeight="1">
      <c r="A14" s="8" t="inlineStr">
        <is>
          <t>Perpetuo / valore a 13 anni</t>
        </is>
      </c>
      <c r="B14" s="32">
        <f>B13/B9</f>
        <v/>
      </c>
      <c r="C14" s="32">
        <f>C13/C9</f>
        <v/>
      </c>
      <c r="D14" s="32">
        <f>D13/D9</f>
        <v/>
      </c>
      <c r="E14" s="32">
        <f>E13/E9</f>
        <v/>
      </c>
      <c r="F14" s="10" t="inlineStr">
        <is>
          <t>Il numero canonico del video: al 3% reale il perpetuo vale TRE VOLTE il valore vero di un lavoro che dura tredici anni. «Diecimila euro l'anno valgono trecentomila» è vero solo se durano per sempre.</t>
        </is>
      </c>
    </row>
    <row r="15"/>
    <row r="16">
      <c r="A16" s="7" t="inlineStr">
        <is>
          <t>LO STESSO NUMERO AL LORDO DELL'IMPOSTA (Y7)</t>
        </is>
      </c>
    </row>
    <row r="17">
      <c r="A17" s="8" t="inlineStr">
        <is>
          <t>Valore attuale NETTO, 13 anni al 3%</t>
        </is>
      </c>
      <c r="B17" s="19">
        <f>D9</f>
        <v/>
      </c>
    </row>
    <row r="18">
      <c r="A18" s="8" t="inlineStr">
        <is>
          <t>Fattore di lordizzazione della FINESTRA (13 anni)</t>
        </is>
      </c>
      <c r="B18" s="22">
        <f>'2 - SIMULAZIONE'!D68</f>
        <v/>
      </c>
    </row>
    <row r="19" ht="26" customHeight="1">
      <c r="A19" s="8" t="inlineStr">
        <is>
          <t>Valore attuale LORDIZZATO</t>
        </is>
      </c>
      <c r="B19" s="29">
        <f>B17*B18</f>
        <v/>
      </c>
    </row>
    <row r="20">
      <c r="A20" s="8" t="inlineStr">
        <is>
          <t>Capitale risparmiato, misurato dalla simulazione</t>
        </is>
      </c>
      <c r="B20" s="33" t="n">
        <v>224986.98</v>
      </c>
    </row>
    <row r="21">
      <c r="A21" s="8" t="inlineStr">
        <is>
          <t>SCARTO della formula chiusa</t>
        </is>
      </c>
      <c r="B21" s="17">
        <f>B19/B20-1</f>
        <v/>
      </c>
    </row>
    <row r="22">
      <c r="A22" s="8" t="inlineStr">
        <is>
          <t>Fattore sull'orizzonte intero (solo confronto)</t>
        </is>
      </c>
      <c r="B22" s="22">
        <f>'2 - SIMULAZIONE'!D67</f>
        <v/>
      </c>
    </row>
    <row r="23" ht="75" customHeight="1">
      <c r="A23" s="8" t="inlineStr">
        <is>
          <t>Cosa darebbe il fattore sbagliato</t>
        </is>
      </c>
      <c r="B23" s="11">
        <f>B17*B22</f>
        <v/>
      </c>
      <c r="F23" s="10" t="inlineStr">
        <is>
          <t>LO SCARTO SI DICHIARA, NON SI NASCONDE: sotto l'uno per cento, e la formula chiusa SOTTOSTIMA — è conservativa. Il fattore dell'orizzonte darebbe quasi novemila euro in più: è la differenza fra misurare la finestra giusta e quella comoda.</t>
        </is>
      </c>
    </row>
    <row r="24"/>
    <row r="25">
      <c r="A25" s="7" t="inlineStr">
        <is>
          <t>E SE IL LAVORO DURASSE TUTTA LA VITA (Y3)</t>
        </is>
      </c>
    </row>
    <row r="26">
      <c r="A26" s="8" t="inlineStr">
        <is>
          <t>Perpetuo netto (reddito / 3%)</t>
        </is>
      </c>
      <c r="B26" s="11">
        <f>D13</f>
        <v/>
      </c>
    </row>
    <row r="27">
      <c r="A27" s="8" t="inlineStr">
        <is>
          <t>Rendita a termine di 37 anni — il TRONCAMENTO</t>
        </is>
      </c>
      <c r="B27" s="11">
        <f>D12</f>
        <v/>
      </c>
    </row>
    <row r="28">
      <c r="A28" s="8" t="inlineStr">
        <is>
          <t>Effetto del troncamento</t>
        </is>
      </c>
      <c r="B28" s="21">
        <f>B27/B26-1</f>
        <v/>
      </c>
    </row>
    <row r="29">
      <c r="A29" s="8" t="inlineStr">
        <is>
          <t>Capitale risparmiato misurato dalla simulazione</t>
        </is>
      </c>
      <c r="B29" s="33" t="n">
        <v>494466.1</v>
      </c>
    </row>
    <row r="30">
      <c r="A30" s="8" t="inlineStr">
        <is>
          <t>Effetto delle IMPOSTE</t>
        </is>
      </c>
      <c r="B30" s="21">
        <f>B29/B27-1</f>
        <v/>
      </c>
    </row>
    <row r="31">
      <c r="A31" s="8" t="inlineStr">
        <is>
          <t>Effetto netto sul perpetuo</t>
        </is>
      </c>
      <c r="B31" s="21">
        <f>B29/B26-1</f>
        <v/>
      </c>
    </row>
    <row r="32" ht="75" customHeight="1">
      <c r="A32" s="8" t="inlineStr">
        <is>
          <t>PERPETUO / VALORE VERO</t>
        </is>
      </c>
      <c r="B32" s="24">
        <f>B26/B29</f>
        <v/>
      </c>
      <c r="F32" s="10" t="inlineStr">
        <is>
          <t>LE IMPOSTE ALZANO IL VALORE DEL LAVORO, non lo abbassano: un euro di lavoro arriva netto, un euro prelevato dal portafoglio va lordizzato. La causa del divario è il TRONCAMENTO — anche «tutta la vita» sono trentasette anni, non l'infinito.</t>
        </is>
      </c>
    </row>
  </sheetData>
  <mergeCells count="5">
    <mergeCell ref="A2:F2"/>
    <mergeCell ref="A16:F16"/>
    <mergeCell ref="A1:F1"/>
    <mergeCell ref="A4:F4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3" customWidth="1" min="14" max="14"/>
    <col width="13" customWidth="1" min="15" max="15"/>
    <col width="13" customWidth="1" min="16" max="16"/>
  </cols>
  <sheetData>
    <row r="1" ht="25" customHeight="1">
      <c r="A1" s="1" t="inlineStr">
        <is>
          <t>5 — LE TRE STRADE: occasionale, dipendente, forfettario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/>
    <row r="4">
      <c r="A4" s="7" t="inlineStr">
        <is>
          <t>PARAMETRI DELLE TRE STRADE</t>
        </is>
      </c>
    </row>
    <row r="5">
      <c r="A5" s="8" t="inlineStr">
        <is>
          <t>Contributi a carico del dipendente</t>
        </is>
      </c>
      <c r="B5" s="16" t="n">
        <v>0.0919</v>
      </c>
    </row>
    <row r="6">
      <c r="A6" s="8" t="inlineStr">
        <is>
          <t>Aliquota IVS gestione commercianti</t>
        </is>
      </c>
      <c r="B6" s="16" t="n">
        <v>0.2448</v>
      </c>
    </row>
    <row r="7" ht="30" customHeight="1">
      <c r="A7" s="8" t="inlineStr">
        <is>
          <t>Maternita' (quota fissa)</t>
        </is>
      </c>
      <c r="B7" s="25" t="n">
        <v>7.44</v>
      </c>
      <c r="D7" s="10" t="inlineStr">
        <is>
          <t>Paghi il 24,48% ma te ne accreditano il 24: lo 0,48% finanzia l'indennizzo per la cessazione dell'attività commerciale e non la pensione.</t>
        </is>
      </c>
    </row>
    <row r="8">
      <c r="A8" s="8" t="inlineStr">
        <is>
          <t>Reddito minimale INPS</t>
        </is>
      </c>
      <c r="B8" s="9" t="n">
        <v>18808</v>
      </c>
    </row>
    <row r="9" ht="30" customHeight="1">
      <c r="A9" s="8" t="inlineStr">
        <is>
          <t>Riduzione contributiva richiesta</t>
        </is>
      </c>
      <c r="B9" s="14" t="n">
        <v>0.35</v>
      </c>
      <c r="D9" s="10" t="inlineStr">
        <is>
          <t>La riduzione del 35% si applica alla sola quota IVS, non alla maternita': 4.604,20 x 0,65 + 7,44 = 3.000,17.</t>
        </is>
      </c>
    </row>
    <row r="10">
      <c r="A10" s="8" t="inlineStr">
        <is>
          <t>Aliquota del forfettario</t>
        </is>
      </c>
      <c r="B10" s="14" t="n">
        <v>0.15</v>
      </c>
    </row>
    <row r="11">
      <c r="A11" s="8" t="inlineStr">
        <is>
          <t>Gestione Separata — professionisti</t>
        </is>
      </c>
      <c r="B11" s="16" t="n">
        <v>0.2607</v>
      </c>
    </row>
    <row r="12">
      <c r="A12" s="8" t="inlineStr">
        <is>
          <t>Gestione Separata — occasionali</t>
        </is>
      </c>
      <c r="B12" s="16" t="n">
        <v>0.3372</v>
      </c>
    </row>
    <row r="13">
      <c r="A13" s="8" t="inlineStr">
        <is>
          <t>Addizionali locali</t>
        </is>
      </c>
      <c r="B13" s="14" t="n">
        <v>0.02</v>
      </c>
    </row>
    <row r="14">
      <c r="A14" s="8" t="inlineStr">
        <is>
          <t>Aliquota di computo — commercianti</t>
        </is>
      </c>
      <c r="B14" s="14" t="n">
        <v>0.24</v>
      </c>
    </row>
    <row r="15">
      <c r="A15" s="8" t="inlineStr">
        <is>
          <t>Aliquota di computo — dipendenti</t>
        </is>
      </c>
      <c r="B15" s="14" t="n">
        <v>0.33</v>
      </c>
    </row>
    <row r="16"/>
    <row r="17"/>
    <row r="18">
      <c r="A18" s="7" t="inlineStr">
        <is>
          <t>A PARITÀ DI COMPENSO LORDO CONTRATTUALE</t>
        </is>
      </c>
    </row>
    <row r="19" ht="34" customHeight="1">
      <c r="A19" s="20" t="inlineStr">
        <is>
          <t>Compenso lordo</t>
        </is>
      </c>
      <c r="B19" s="20" t="inlineStr">
        <is>
          <t>DIP contributi</t>
        </is>
      </c>
      <c r="C19" s="20" t="inlineStr">
        <is>
          <t>DIP imponibile</t>
        </is>
      </c>
      <c r="D19" s="20" t="inlineStr">
        <is>
          <t>DIP IRPEF lorda</t>
        </is>
      </c>
      <c r="E19" s="20" t="inlineStr">
        <is>
          <t>DIP detrazioni</t>
        </is>
      </c>
      <c r="F19" s="20" t="inlineStr">
        <is>
          <t>DIP IRPEF netta</t>
        </is>
      </c>
      <c r="G19" s="20" t="inlineStr">
        <is>
          <t>DIP bonus</t>
        </is>
      </c>
      <c r="H19" s="20" t="inlineStr">
        <is>
          <t>DIP addizionali</t>
        </is>
      </c>
      <c r="I19" s="20" t="inlineStr">
        <is>
          <t>DIPENDENTE netto</t>
        </is>
      </c>
      <c r="J19" s="20" t="inlineStr">
        <is>
          <t>FORF forfettizzato</t>
        </is>
      </c>
      <c r="K19" s="20" t="inlineStr">
        <is>
          <t>FORF contributi</t>
        </is>
      </c>
      <c r="L19" s="20" t="inlineStr">
        <is>
          <t>FORF imponibile</t>
        </is>
      </c>
      <c r="M19" s="20" t="inlineStr">
        <is>
          <t>FORF imposta</t>
        </is>
      </c>
      <c r="N19" s="20" t="inlineStr">
        <is>
          <t>FORF costi reali</t>
        </is>
      </c>
      <c r="O19" s="20" t="inlineStr">
        <is>
          <t>FORFETTARIO netto</t>
        </is>
      </c>
      <c r="P19" s="20" t="inlineStr">
        <is>
          <t>Differenza</t>
        </is>
      </c>
    </row>
    <row r="20">
      <c r="A20" s="25" t="n">
        <v>5000</v>
      </c>
      <c r="B20" s="19">
        <f>A20*$B$5</f>
        <v/>
      </c>
      <c r="C20" s="19">
        <f>A20-B20</f>
        <v/>
      </c>
      <c r="D20" s="19">
        <f>(MIN(C20,28000)*0.23+MAX(0,MIN(C20,50000)-28000)*0.33+MAX(0,C20-50000)*0.43)</f>
        <v/>
      </c>
      <c r="E20" s="19">
        <f>IF(C20&lt;=15000,1955,IF(C20&lt;=28000,1910+1190*(28000-C20)/13000,IF(C20&lt;=50000,1910*(50000-C20)/22000,0)))+IF(C20&lt;=20000,0,IF(C20&lt;=32000,1000,IF(C20&lt;=40000,1000*(40000-C20)/8000,0)))</f>
        <v/>
      </c>
      <c r="F20" s="19">
        <f>MAX(0,D20-E20)</f>
        <v/>
      </c>
      <c r="G20" s="19">
        <f>IF(AND(C20&lt;=15000,(MIN(C20,28000)*0.23+MAX(0,MIN(C20,50000)-28000)*0.33+MAX(0,C20-50000)*0.43)&gt;IF(C20&lt;=15000,1955,IF(C20&lt;=28000,1910+1190*(28000-C20)/13000,IF(C20&lt;=50000,1910*(50000-C20)/22000,0)))),1200,0)+IF(C20&lt;=8500,0.071*C20,IF(C20&lt;=15000,0.053*C20,IF(C20&lt;=20000,0.048*C20,0)))</f>
        <v/>
      </c>
      <c r="H20" s="19">
        <f>IF(F20&gt;0,C20*$B$13,0)</f>
        <v/>
      </c>
      <c r="I20" s="19">
        <f>C20-F20+G20-H20</f>
        <v/>
      </c>
      <c r="J20" s="19">
        <f>A20*'1 - INPUT'!$B$19</f>
        <v/>
      </c>
      <c r="K20" s="19">
        <f>$B$8*$B$6*(1-$B$9)+$B$7+MAX(0,J20-$B$8)*$B$6*(1-$B$9)</f>
        <v/>
      </c>
      <c r="L20" s="19">
        <f>MAX(0,J20-K20)</f>
        <v/>
      </c>
      <c r="M20" s="19">
        <f>L20*$B$10</f>
        <v/>
      </c>
      <c r="N20" s="19">
        <f>A20*'1 - INPUT'!$B$20</f>
        <v/>
      </c>
      <c r="O20" s="19">
        <f>A20-N20-K20-M20</f>
        <v/>
      </c>
      <c r="P20" s="19">
        <f>I20-O20</f>
        <v/>
      </c>
    </row>
    <row r="21">
      <c r="A21" s="25" t="n">
        <v>10000</v>
      </c>
      <c r="B21" s="19">
        <f>A21*$B$5</f>
        <v/>
      </c>
      <c r="C21" s="19">
        <f>A21-B21</f>
        <v/>
      </c>
      <c r="D21" s="19">
        <f>(MIN(C21,28000)*0.23+MAX(0,MIN(C21,50000)-28000)*0.33+MAX(0,C21-50000)*0.43)</f>
        <v/>
      </c>
      <c r="E21" s="19">
        <f>IF(C21&lt;=15000,1955,IF(C21&lt;=28000,1910+1190*(28000-C21)/13000,IF(C21&lt;=50000,1910*(50000-C21)/22000,0)))+IF(C21&lt;=20000,0,IF(C21&lt;=32000,1000,IF(C21&lt;=40000,1000*(40000-C21)/8000,0)))</f>
        <v/>
      </c>
      <c r="F21" s="19">
        <f>MAX(0,D21-E21)</f>
        <v/>
      </c>
      <c r="G21" s="19">
        <f>IF(AND(C21&lt;=15000,(MIN(C21,28000)*0.23+MAX(0,MIN(C21,50000)-28000)*0.33+MAX(0,C21-50000)*0.43)&gt;IF(C21&lt;=15000,1955,IF(C21&lt;=28000,1910+1190*(28000-C21)/13000,IF(C21&lt;=50000,1910*(50000-C21)/22000,0)))),1200,0)+IF(C21&lt;=8500,0.071*C21,IF(C21&lt;=15000,0.053*C21,IF(C21&lt;=20000,0.048*C21,0)))</f>
        <v/>
      </c>
      <c r="H21" s="19">
        <f>IF(F21&gt;0,C21*$B$13,0)</f>
        <v/>
      </c>
      <c r="I21" s="19">
        <f>C21-F21+G21-H21</f>
        <v/>
      </c>
      <c r="J21" s="19">
        <f>A21*'1 - INPUT'!$B$19</f>
        <v/>
      </c>
      <c r="K21" s="19">
        <f>$B$8*$B$6*(1-$B$9)+$B$7+MAX(0,J21-$B$8)*$B$6*(1-$B$9)</f>
        <v/>
      </c>
      <c r="L21" s="19">
        <f>MAX(0,J21-K21)</f>
        <v/>
      </c>
      <c r="M21" s="19">
        <f>L21*$B$10</f>
        <v/>
      </c>
      <c r="N21" s="19">
        <f>A21*'1 - INPUT'!$B$20</f>
        <v/>
      </c>
      <c r="O21" s="19">
        <f>A21-N21-K21-M21</f>
        <v/>
      </c>
      <c r="P21" s="19">
        <f>I21-O21</f>
        <v/>
      </c>
    </row>
    <row r="22">
      <c r="A22" s="25" t="n">
        <v>12000</v>
      </c>
      <c r="B22" s="19">
        <f>A22*$B$5</f>
        <v/>
      </c>
      <c r="C22" s="19">
        <f>A22-B22</f>
        <v/>
      </c>
      <c r="D22" s="19">
        <f>(MIN(C22,28000)*0.23+MAX(0,MIN(C22,50000)-28000)*0.33+MAX(0,C22-50000)*0.43)</f>
        <v/>
      </c>
      <c r="E22" s="19">
        <f>IF(C22&lt;=15000,1955,IF(C22&lt;=28000,1910+1190*(28000-C22)/13000,IF(C22&lt;=50000,1910*(50000-C22)/22000,0)))+IF(C22&lt;=20000,0,IF(C22&lt;=32000,1000,IF(C22&lt;=40000,1000*(40000-C22)/8000,0)))</f>
        <v/>
      </c>
      <c r="F22" s="19">
        <f>MAX(0,D22-E22)</f>
        <v/>
      </c>
      <c r="G22" s="19">
        <f>IF(AND(C22&lt;=15000,(MIN(C22,28000)*0.23+MAX(0,MIN(C22,50000)-28000)*0.33+MAX(0,C22-50000)*0.43)&gt;IF(C22&lt;=15000,1955,IF(C22&lt;=28000,1910+1190*(28000-C22)/13000,IF(C22&lt;=50000,1910*(50000-C22)/22000,0)))),1200,0)+IF(C22&lt;=8500,0.071*C22,IF(C22&lt;=15000,0.053*C22,IF(C22&lt;=20000,0.048*C22,0)))</f>
        <v/>
      </c>
      <c r="H22" s="19">
        <f>IF(F22&gt;0,C22*$B$13,0)</f>
        <v/>
      </c>
      <c r="I22" s="19">
        <f>C22-F22+G22-H22</f>
        <v/>
      </c>
      <c r="J22" s="19">
        <f>A22*'1 - INPUT'!$B$19</f>
        <v/>
      </c>
      <c r="K22" s="19">
        <f>$B$8*$B$6*(1-$B$9)+$B$7+MAX(0,J22-$B$8)*$B$6*(1-$B$9)</f>
        <v/>
      </c>
      <c r="L22" s="19">
        <f>MAX(0,J22-K22)</f>
        <v/>
      </c>
      <c r="M22" s="19">
        <f>L22*$B$10</f>
        <v/>
      </c>
      <c r="N22" s="19">
        <f>A22*'1 - INPUT'!$B$20</f>
        <v/>
      </c>
      <c r="O22" s="19">
        <f>A22-N22-K22-M22</f>
        <v/>
      </c>
      <c r="P22" s="19">
        <f>I22-O22</f>
        <v/>
      </c>
    </row>
    <row r="23">
      <c r="A23" s="25" t="n">
        <v>15000</v>
      </c>
      <c r="B23" s="19">
        <f>A23*$B$5</f>
        <v/>
      </c>
      <c r="C23" s="19">
        <f>A23-B23</f>
        <v/>
      </c>
      <c r="D23" s="19">
        <f>(MIN(C23,28000)*0.23+MAX(0,MIN(C23,50000)-28000)*0.33+MAX(0,C23-50000)*0.43)</f>
        <v/>
      </c>
      <c r="E23" s="19">
        <f>IF(C23&lt;=15000,1955,IF(C23&lt;=28000,1910+1190*(28000-C23)/13000,IF(C23&lt;=50000,1910*(50000-C23)/22000,0)))+IF(C23&lt;=20000,0,IF(C23&lt;=32000,1000,IF(C23&lt;=40000,1000*(40000-C23)/8000,0)))</f>
        <v/>
      </c>
      <c r="F23" s="19">
        <f>MAX(0,D23-E23)</f>
        <v/>
      </c>
      <c r="G23" s="19">
        <f>IF(AND(C23&lt;=15000,(MIN(C23,28000)*0.23+MAX(0,MIN(C23,50000)-28000)*0.33+MAX(0,C23-50000)*0.43)&gt;IF(C23&lt;=15000,1955,IF(C23&lt;=28000,1910+1190*(28000-C23)/13000,IF(C23&lt;=50000,1910*(50000-C23)/22000,0)))),1200,0)+IF(C23&lt;=8500,0.071*C23,IF(C23&lt;=15000,0.053*C23,IF(C23&lt;=20000,0.048*C23,0)))</f>
        <v/>
      </c>
      <c r="H23" s="19">
        <f>IF(F23&gt;0,C23*$B$13,0)</f>
        <v/>
      </c>
      <c r="I23" s="19">
        <f>C23-F23+G23-H23</f>
        <v/>
      </c>
      <c r="J23" s="19">
        <f>A23*'1 - INPUT'!$B$19</f>
        <v/>
      </c>
      <c r="K23" s="19">
        <f>$B$8*$B$6*(1-$B$9)+$B$7+MAX(0,J23-$B$8)*$B$6*(1-$B$9)</f>
        <v/>
      </c>
      <c r="L23" s="19">
        <f>MAX(0,J23-K23)</f>
        <v/>
      </c>
      <c r="M23" s="19">
        <f>L23*$B$10</f>
        <v/>
      </c>
      <c r="N23" s="19">
        <f>A23*'1 - INPUT'!$B$20</f>
        <v/>
      </c>
      <c r="O23" s="19">
        <f>A23-N23-K23-M23</f>
        <v/>
      </c>
      <c r="P23" s="19">
        <f>I23-O23</f>
        <v/>
      </c>
    </row>
    <row r="24">
      <c r="A24" s="25" t="n">
        <v>20000</v>
      </c>
      <c r="B24" s="19">
        <f>A24*$B$5</f>
        <v/>
      </c>
      <c r="C24" s="19">
        <f>A24-B24</f>
        <v/>
      </c>
      <c r="D24" s="19">
        <f>(MIN(C24,28000)*0.23+MAX(0,MIN(C24,50000)-28000)*0.33+MAX(0,C24-50000)*0.43)</f>
        <v/>
      </c>
      <c r="E24" s="19">
        <f>IF(C24&lt;=15000,1955,IF(C24&lt;=28000,1910+1190*(28000-C24)/13000,IF(C24&lt;=50000,1910*(50000-C24)/22000,0)))+IF(C24&lt;=20000,0,IF(C24&lt;=32000,1000,IF(C24&lt;=40000,1000*(40000-C24)/8000,0)))</f>
        <v/>
      </c>
      <c r="F24" s="19">
        <f>MAX(0,D24-E24)</f>
        <v/>
      </c>
      <c r="G24" s="19">
        <f>IF(AND(C24&lt;=15000,(MIN(C24,28000)*0.23+MAX(0,MIN(C24,50000)-28000)*0.33+MAX(0,C24-50000)*0.43)&gt;IF(C24&lt;=15000,1955,IF(C24&lt;=28000,1910+1190*(28000-C24)/13000,IF(C24&lt;=50000,1910*(50000-C24)/22000,0)))),1200,0)+IF(C24&lt;=8500,0.071*C24,IF(C24&lt;=15000,0.053*C24,IF(C24&lt;=20000,0.048*C24,0)))</f>
        <v/>
      </c>
      <c r="H24" s="19">
        <f>IF(F24&gt;0,C24*$B$13,0)</f>
        <v/>
      </c>
      <c r="I24" s="19">
        <f>C24-F24+G24-H24</f>
        <v/>
      </c>
      <c r="J24" s="19">
        <f>A24*'1 - INPUT'!$B$19</f>
        <v/>
      </c>
      <c r="K24" s="19">
        <f>$B$8*$B$6*(1-$B$9)+$B$7+MAX(0,J24-$B$8)*$B$6*(1-$B$9)</f>
        <v/>
      </c>
      <c r="L24" s="19">
        <f>MAX(0,J24-K24)</f>
        <v/>
      </c>
      <c r="M24" s="19">
        <f>L24*$B$10</f>
        <v/>
      </c>
      <c r="N24" s="19">
        <f>A24*'1 - INPUT'!$B$20</f>
        <v/>
      </c>
      <c r="O24" s="19">
        <f>A24-N24-K24-M24</f>
        <v/>
      </c>
      <c r="P24" s="19">
        <f>I24-O24</f>
        <v/>
      </c>
    </row>
    <row r="25">
      <c r="A25" s="25" t="n">
        <v>25000</v>
      </c>
      <c r="B25" s="19">
        <f>A25*$B$5</f>
        <v/>
      </c>
      <c r="C25" s="19">
        <f>A25-B25</f>
        <v/>
      </c>
      <c r="D25" s="19">
        <f>(MIN(C25,28000)*0.23+MAX(0,MIN(C25,50000)-28000)*0.33+MAX(0,C25-50000)*0.43)</f>
        <v/>
      </c>
      <c r="E25" s="19">
        <f>IF(C25&lt;=15000,1955,IF(C25&lt;=28000,1910+1190*(28000-C25)/13000,IF(C25&lt;=50000,1910*(50000-C25)/22000,0)))+IF(C25&lt;=20000,0,IF(C25&lt;=32000,1000,IF(C25&lt;=40000,1000*(40000-C25)/8000,0)))</f>
        <v/>
      </c>
      <c r="F25" s="19">
        <f>MAX(0,D25-E25)</f>
        <v/>
      </c>
      <c r="G25" s="19">
        <f>IF(AND(C25&lt;=15000,(MIN(C25,28000)*0.23+MAX(0,MIN(C25,50000)-28000)*0.33+MAX(0,C25-50000)*0.43)&gt;IF(C25&lt;=15000,1955,IF(C25&lt;=28000,1910+1190*(28000-C25)/13000,IF(C25&lt;=50000,1910*(50000-C25)/22000,0)))),1200,0)+IF(C25&lt;=8500,0.071*C25,IF(C25&lt;=15000,0.053*C25,IF(C25&lt;=20000,0.048*C25,0)))</f>
        <v/>
      </c>
      <c r="H25" s="19">
        <f>IF(F25&gt;0,C25*$B$13,0)</f>
        <v/>
      </c>
      <c r="I25" s="19">
        <f>C25-F25+G25-H25</f>
        <v/>
      </c>
      <c r="J25" s="19">
        <f>A25*'1 - INPUT'!$B$19</f>
        <v/>
      </c>
      <c r="K25" s="19">
        <f>$B$8*$B$6*(1-$B$9)+$B$7+MAX(0,J25-$B$8)*$B$6*(1-$B$9)</f>
        <v/>
      </c>
      <c r="L25" s="19">
        <f>MAX(0,J25-K25)</f>
        <v/>
      </c>
      <c r="M25" s="19">
        <f>L25*$B$10</f>
        <v/>
      </c>
      <c r="N25" s="19">
        <f>A25*'1 - INPUT'!$B$20</f>
        <v/>
      </c>
      <c r="O25" s="19">
        <f>A25-N25-K25-M25</f>
        <v/>
      </c>
      <c r="P25" s="19">
        <f>I25-O25</f>
        <v/>
      </c>
    </row>
    <row r="26">
      <c r="A26" s="25" t="n">
        <v>30000</v>
      </c>
      <c r="B26" s="19">
        <f>A26*$B$5</f>
        <v/>
      </c>
      <c r="C26" s="19">
        <f>A26-B26</f>
        <v/>
      </c>
      <c r="D26" s="19">
        <f>(MIN(C26,28000)*0.23+MAX(0,MIN(C26,50000)-28000)*0.33+MAX(0,C26-50000)*0.43)</f>
        <v/>
      </c>
      <c r="E26" s="19">
        <f>IF(C26&lt;=15000,1955,IF(C26&lt;=28000,1910+1190*(28000-C26)/13000,IF(C26&lt;=50000,1910*(50000-C26)/22000,0)))+IF(C26&lt;=20000,0,IF(C26&lt;=32000,1000,IF(C26&lt;=40000,1000*(40000-C26)/8000,0)))</f>
        <v/>
      </c>
      <c r="F26" s="19">
        <f>MAX(0,D26-E26)</f>
        <v/>
      </c>
      <c r="G26" s="19">
        <f>IF(AND(C26&lt;=15000,(MIN(C26,28000)*0.23+MAX(0,MIN(C26,50000)-28000)*0.33+MAX(0,C26-50000)*0.43)&gt;IF(C26&lt;=15000,1955,IF(C26&lt;=28000,1910+1190*(28000-C26)/13000,IF(C26&lt;=50000,1910*(50000-C26)/22000,0)))),1200,0)+IF(C26&lt;=8500,0.071*C26,IF(C26&lt;=15000,0.053*C26,IF(C26&lt;=20000,0.048*C26,0)))</f>
        <v/>
      </c>
      <c r="H26" s="19">
        <f>IF(F26&gt;0,C26*$B$13,0)</f>
        <v/>
      </c>
      <c r="I26" s="19">
        <f>C26-F26+G26-H26</f>
        <v/>
      </c>
      <c r="J26" s="19">
        <f>A26*'1 - INPUT'!$B$19</f>
        <v/>
      </c>
      <c r="K26" s="19">
        <f>$B$8*$B$6*(1-$B$9)+$B$7+MAX(0,J26-$B$8)*$B$6*(1-$B$9)</f>
        <v/>
      </c>
      <c r="L26" s="19">
        <f>MAX(0,J26-K26)</f>
        <v/>
      </c>
      <c r="M26" s="19">
        <f>L26*$B$10</f>
        <v/>
      </c>
      <c r="N26" s="19">
        <f>A26*'1 - INPUT'!$B$20</f>
        <v/>
      </c>
      <c r="O26" s="19">
        <f>A26-N26-K26-M26</f>
        <v/>
      </c>
      <c r="P26" s="19">
        <f>I26-O26</f>
        <v/>
      </c>
    </row>
    <row r="27">
      <c r="A27" s="25" t="n">
        <v>39062.62</v>
      </c>
      <c r="B27" s="19">
        <f>A27*$B$5</f>
        <v/>
      </c>
      <c r="C27" s="19">
        <f>A27-B27</f>
        <v/>
      </c>
      <c r="D27" s="19">
        <f>(MIN(C27,28000)*0.23+MAX(0,MIN(C27,50000)-28000)*0.33+MAX(0,C27-50000)*0.43)</f>
        <v/>
      </c>
      <c r="E27" s="19">
        <f>IF(C27&lt;=15000,1955,IF(C27&lt;=28000,1910+1190*(28000-C27)/13000,IF(C27&lt;=50000,1910*(50000-C27)/22000,0)))+IF(C27&lt;=20000,0,IF(C27&lt;=32000,1000,IF(C27&lt;=40000,1000*(40000-C27)/8000,0)))</f>
        <v/>
      </c>
      <c r="F27" s="19">
        <f>MAX(0,D27-E27)</f>
        <v/>
      </c>
      <c r="G27" s="19">
        <f>IF(AND(C27&lt;=15000,(MIN(C27,28000)*0.23+MAX(0,MIN(C27,50000)-28000)*0.33+MAX(0,C27-50000)*0.43)&gt;IF(C27&lt;=15000,1955,IF(C27&lt;=28000,1910+1190*(28000-C27)/13000,IF(C27&lt;=50000,1910*(50000-C27)/22000,0)))),1200,0)+IF(C27&lt;=8500,0.071*C27,IF(C27&lt;=15000,0.053*C27,IF(C27&lt;=20000,0.048*C27,0)))</f>
        <v/>
      </c>
      <c r="H27" s="19">
        <f>IF(F27&gt;0,C27*$B$13,0)</f>
        <v/>
      </c>
      <c r="I27" s="19">
        <f>C27-F27+G27-H27</f>
        <v/>
      </c>
      <c r="J27" s="19">
        <f>A27*'1 - INPUT'!$B$19</f>
        <v/>
      </c>
      <c r="K27" s="19">
        <f>$B$8*$B$6*(1-$B$9)+$B$7+MAX(0,J27-$B$8)*$B$6*(1-$B$9)</f>
        <v/>
      </c>
      <c r="L27" s="19">
        <f>MAX(0,J27-K27)</f>
        <v/>
      </c>
      <c r="M27" s="19">
        <f>L27*$B$10</f>
        <v/>
      </c>
      <c r="N27" s="19">
        <f>A27*'1 - INPUT'!$B$20</f>
        <v/>
      </c>
      <c r="O27" s="19">
        <f>A27-N27-K27-M27</f>
        <v/>
      </c>
      <c r="P27" s="19">
        <f>I27-O27</f>
        <v/>
      </c>
    </row>
    <row r="28">
      <c r="A28" s="25" t="n">
        <v>45000</v>
      </c>
      <c r="B28" s="19">
        <f>A28*$B$5</f>
        <v/>
      </c>
      <c r="C28" s="19">
        <f>A28-B28</f>
        <v/>
      </c>
      <c r="D28" s="19">
        <f>(MIN(C28,28000)*0.23+MAX(0,MIN(C28,50000)-28000)*0.33+MAX(0,C28-50000)*0.43)</f>
        <v/>
      </c>
      <c r="E28" s="19">
        <f>IF(C28&lt;=15000,1955,IF(C28&lt;=28000,1910+1190*(28000-C28)/13000,IF(C28&lt;=50000,1910*(50000-C28)/22000,0)))+IF(C28&lt;=20000,0,IF(C28&lt;=32000,1000,IF(C28&lt;=40000,1000*(40000-C28)/8000,0)))</f>
        <v/>
      </c>
      <c r="F28" s="19">
        <f>MAX(0,D28-E28)</f>
        <v/>
      </c>
      <c r="G28" s="19">
        <f>IF(AND(C28&lt;=15000,(MIN(C28,28000)*0.23+MAX(0,MIN(C28,50000)-28000)*0.33+MAX(0,C28-50000)*0.43)&gt;IF(C28&lt;=15000,1955,IF(C28&lt;=28000,1910+1190*(28000-C28)/13000,IF(C28&lt;=50000,1910*(50000-C28)/22000,0)))),1200,0)+IF(C28&lt;=8500,0.071*C28,IF(C28&lt;=15000,0.053*C28,IF(C28&lt;=20000,0.048*C28,0)))</f>
        <v/>
      </c>
      <c r="H28" s="19">
        <f>IF(F28&gt;0,C28*$B$13,0)</f>
        <v/>
      </c>
      <c r="I28" s="19">
        <f>C28-F28+G28-H28</f>
        <v/>
      </c>
      <c r="J28" s="19">
        <f>A28*'1 - INPUT'!$B$19</f>
        <v/>
      </c>
      <c r="K28" s="19">
        <f>$B$8*$B$6*(1-$B$9)+$B$7+MAX(0,J28-$B$8)*$B$6*(1-$B$9)</f>
        <v/>
      </c>
      <c r="L28" s="19">
        <f>MAX(0,J28-K28)</f>
        <v/>
      </c>
      <c r="M28" s="19">
        <f>L28*$B$10</f>
        <v/>
      </c>
      <c r="N28" s="19">
        <f>A28*'1 - INPUT'!$B$20</f>
        <v/>
      </c>
      <c r="O28" s="19">
        <f>A28-N28-K28-M28</f>
        <v/>
      </c>
      <c r="P28" s="19">
        <f>I28-O28</f>
        <v/>
      </c>
    </row>
    <row r="29">
      <c r="A29" s="8" t="inlineStr">
        <is>
          <t>PAREGGIO a parità di lordo, costi reali 10%</t>
        </is>
      </c>
      <c r="B29" s="33" t="n">
        <v>39062.62</v>
      </c>
    </row>
    <row r="30" ht="30" customHeight="1">
      <c r="A30" s="8" t="inlineStr">
        <is>
          <t>PAREGGIO a parità di lordo, costi ZERO</t>
        </is>
      </c>
      <c r="B30" s="33" t="n">
        <v>26606.51</v>
      </c>
      <c r="D30" s="10" t="inlineStr">
        <is>
          <t>«Ecco quanto pesano i costi»: dodicimila euro di soglia in più fra la riga a costi zero e quella con i costi veri.</t>
        </is>
      </c>
    </row>
    <row r="31"/>
    <row r="32">
      <c r="A32" s="7" t="inlineStr">
        <is>
          <t>A PARITÀ DI COSTO PER CHI PAGA</t>
        </is>
      </c>
    </row>
    <row r="33" ht="34" customHeight="1">
      <c r="A33" s="20" t="inlineStr">
        <is>
          <t>Costo per chi paga</t>
        </is>
      </c>
      <c r="B33" s="20" t="inlineStr">
        <is>
          <t>RAL equivalente</t>
        </is>
      </c>
      <c r="C33" s="20" t="inlineStr">
        <is>
          <t>DIP contributi</t>
        </is>
      </c>
      <c r="D33" s="20" t="inlineStr">
        <is>
          <t>DIP imponibile</t>
        </is>
      </c>
      <c r="E33" s="20" t="inlineStr">
        <is>
          <t>DIP IRPEF netta</t>
        </is>
      </c>
      <c r="F33" s="20" t="inlineStr">
        <is>
          <t>DIP bonus</t>
        </is>
      </c>
      <c r="G33" s="20" t="inlineStr">
        <is>
          <t>DIP addizionali</t>
        </is>
      </c>
      <c r="H33" s="20" t="inlineStr">
        <is>
          <t>DIPENDENTE netto</t>
        </is>
      </c>
      <c r="I33" s="20" t="inlineStr">
        <is>
          <t>FORF contributi</t>
        </is>
      </c>
      <c r="J33" s="20" t="inlineStr">
        <is>
          <t>FORF imposta</t>
        </is>
      </c>
      <c r="K33" s="20" t="inlineStr">
        <is>
          <t>FORF costi reali</t>
        </is>
      </c>
      <c r="L33" s="20" t="inlineStr">
        <is>
          <t>FORFETTARIO netto</t>
        </is>
      </c>
      <c r="M33" s="20" t="inlineStr">
        <is>
          <t>Vince</t>
        </is>
      </c>
    </row>
    <row r="34">
      <c r="A34" s="25" t="n">
        <v>8000</v>
      </c>
      <c r="B34" s="19">
        <f>A34/'1 - INPUT'!$B$21</f>
        <v/>
      </c>
      <c r="C34" s="19">
        <f>B34*$B$5</f>
        <v/>
      </c>
      <c r="D34" s="19">
        <f>B34-C34</f>
        <v/>
      </c>
      <c r="E34" s="19">
        <f>MAX(0,(MIN(D34,28000)*0.23+MAX(0,MIN(D34,50000)-28000)*0.33+MAX(0,D34-50000)*0.43)-IF(D34&lt;=15000,1955,IF(D34&lt;=28000,1910+1190*(28000-D34)/13000,IF(D34&lt;=50000,1910*(50000-D34)/22000,0)))-IF(D34&lt;=20000,0,IF(D34&lt;=32000,1000,IF(D34&lt;=40000,1000*(40000-D34)/8000,0))))</f>
        <v/>
      </c>
      <c r="F34" s="19">
        <f>IF(AND(D34&lt;=15000,(MIN(D34,28000)*0.23+MAX(0,MIN(D34,50000)-28000)*0.33+MAX(0,D34-50000)*0.43)&gt;IF(D34&lt;=15000,1955,IF(D34&lt;=28000,1910+1190*(28000-D34)/13000,IF(D34&lt;=50000,1910*(50000-D34)/22000,0)))),1200,0)+IF(D34&lt;=8500,0.071*D34,IF(D34&lt;=15000,0.053*D34,IF(D34&lt;=20000,0.048*D34,0)))</f>
        <v/>
      </c>
      <c r="G34" s="19">
        <f>IF(E34&gt;0,D34*$B$13,0)</f>
        <v/>
      </c>
      <c r="H34" s="19">
        <f>D34-E34+F34-G34</f>
        <v/>
      </c>
      <c r="I34" s="19">
        <f>$B$8*$B$6*(1-$B$9)+$B$7+MAX(0,A34*'1 - INPUT'!$B$19-$B$8)*$B$6*(1-$B$9)</f>
        <v/>
      </c>
      <c r="J34" s="19">
        <f>MAX(0,A34*'1 - INPUT'!$B$19-I34)*$B$10</f>
        <v/>
      </c>
      <c r="K34" s="19">
        <f>A34*'1 - INPUT'!$B$20</f>
        <v/>
      </c>
      <c r="L34" s="19">
        <f>A34-K34-I34-J34</f>
        <v/>
      </c>
      <c r="M34" s="27">
        <f>IF(H34&gt;=L34,"dipendente","forfettario")</f>
        <v/>
      </c>
    </row>
    <row r="35">
      <c r="A35" s="25" t="n">
        <v>12000</v>
      </c>
      <c r="B35" s="19">
        <f>A35/'1 - INPUT'!$B$21</f>
        <v/>
      </c>
      <c r="C35" s="19">
        <f>B35*$B$5</f>
        <v/>
      </c>
      <c r="D35" s="19">
        <f>B35-C35</f>
        <v/>
      </c>
      <c r="E35" s="19">
        <f>MAX(0,(MIN(D35,28000)*0.23+MAX(0,MIN(D35,50000)-28000)*0.33+MAX(0,D35-50000)*0.43)-IF(D35&lt;=15000,1955,IF(D35&lt;=28000,1910+1190*(28000-D35)/13000,IF(D35&lt;=50000,1910*(50000-D35)/22000,0)))-IF(D35&lt;=20000,0,IF(D35&lt;=32000,1000,IF(D35&lt;=40000,1000*(40000-D35)/8000,0))))</f>
        <v/>
      </c>
      <c r="F35" s="19">
        <f>IF(AND(D35&lt;=15000,(MIN(D35,28000)*0.23+MAX(0,MIN(D35,50000)-28000)*0.33+MAX(0,D35-50000)*0.43)&gt;IF(D35&lt;=15000,1955,IF(D35&lt;=28000,1910+1190*(28000-D35)/13000,IF(D35&lt;=50000,1910*(50000-D35)/22000,0)))),1200,0)+IF(D35&lt;=8500,0.071*D35,IF(D35&lt;=15000,0.053*D35,IF(D35&lt;=20000,0.048*D35,0)))</f>
        <v/>
      </c>
      <c r="G35" s="19">
        <f>IF(E35&gt;0,D35*$B$13,0)</f>
        <v/>
      </c>
      <c r="H35" s="19">
        <f>D35-E35+F35-G35</f>
        <v/>
      </c>
      <c r="I35" s="19">
        <f>$B$8*$B$6*(1-$B$9)+$B$7+MAX(0,A35*'1 - INPUT'!$B$19-$B$8)*$B$6*(1-$B$9)</f>
        <v/>
      </c>
      <c r="J35" s="19">
        <f>MAX(0,A35*'1 - INPUT'!$B$19-I35)*$B$10</f>
        <v/>
      </c>
      <c r="K35" s="19">
        <f>A35*'1 - INPUT'!$B$20</f>
        <v/>
      </c>
      <c r="L35" s="19">
        <f>A35-K35-I35-J35</f>
        <v/>
      </c>
      <c r="M35" s="27">
        <f>IF(H35&gt;=L35,"dipendente","forfettario")</f>
        <v/>
      </c>
    </row>
    <row r="36">
      <c r="A36" s="25" t="n">
        <v>15000</v>
      </c>
      <c r="B36" s="19">
        <f>A36/'1 - INPUT'!$B$21</f>
        <v/>
      </c>
      <c r="C36" s="19">
        <f>B36*$B$5</f>
        <v/>
      </c>
      <c r="D36" s="19">
        <f>B36-C36</f>
        <v/>
      </c>
      <c r="E36" s="19">
        <f>MAX(0,(MIN(D36,28000)*0.23+MAX(0,MIN(D36,50000)-28000)*0.33+MAX(0,D36-50000)*0.43)-IF(D36&lt;=15000,1955,IF(D36&lt;=28000,1910+1190*(28000-D36)/13000,IF(D36&lt;=50000,1910*(50000-D36)/22000,0)))-IF(D36&lt;=20000,0,IF(D36&lt;=32000,1000,IF(D36&lt;=40000,1000*(40000-D36)/8000,0))))</f>
        <v/>
      </c>
      <c r="F36" s="19">
        <f>IF(AND(D36&lt;=15000,(MIN(D36,28000)*0.23+MAX(0,MIN(D36,50000)-28000)*0.33+MAX(0,D36-50000)*0.43)&gt;IF(D36&lt;=15000,1955,IF(D36&lt;=28000,1910+1190*(28000-D36)/13000,IF(D36&lt;=50000,1910*(50000-D36)/22000,0)))),1200,0)+IF(D36&lt;=8500,0.071*D36,IF(D36&lt;=15000,0.053*D36,IF(D36&lt;=20000,0.048*D36,0)))</f>
        <v/>
      </c>
      <c r="G36" s="19">
        <f>IF(E36&gt;0,D36*$B$13,0)</f>
        <v/>
      </c>
      <c r="H36" s="19">
        <f>D36-E36+F36-G36</f>
        <v/>
      </c>
      <c r="I36" s="19">
        <f>$B$8*$B$6*(1-$B$9)+$B$7+MAX(0,A36*'1 - INPUT'!$B$19-$B$8)*$B$6*(1-$B$9)</f>
        <v/>
      </c>
      <c r="J36" s="19">
        <f>MAX(0,A36*'1 - INPUT'!$B$19-I36)*$B$10</f>
        <v/>
      </c>
      <c r="K36" s="19">
        <f>A36*'1 - INPUT'!$B$20</f>
        <v/>
      </c>
      <c r="L36" s="19">
        <f>A36-K36-I36-J36</f>
        <v/>
      </c>
      <c r="M36" s="27">
        <f>IF(H36&gt;=L36,"dipendente","forfettario")</f>
        <v/>
      </c>
    </row>
    <row r="37">
      <c r="A37" s="25" t="n">
        <v>20000</v>
      </c>
      <c r="B37" s="19">
        <f>A37/'1 - INPUT'!$B$21</f>
        <v/>
      </c>
      <c r="C37" s="19">
        <f>B37*$B$5</f>
        <v/>
      </c>
      <c r="D37" s="19">
        <f>B37-C37</f>
        <v/>
      </c>
      <c r="E37" s="19">
        <f>MAX(0,(MIN(D37,28000)*0.23+MAX(0,MIN(D37,50000)-28000)*0.33+MAX(0,D37-50000)*0.43)-IF(D37&lt;=15000,1955,IF(D37&lt;=28000,1910+1190*(28000-D37)/13000,IF(D37&lt;=50000,1910*(50000-D37)/22000,0)))-IF(D37&lt;=20000,0,IF(D37&lt;=32000,1000,IF(D37&lt;=40000,1000*(40000-D37)/8000,0))))</f>
        <v/>
      </c>
      <c r="F37" s="19">
        <f>IF(AND(D37&lt;=15000,(MIN(D37,28000)*0.23+MAX(0,MIN(D37,50000)-28000)*0.33+MAX(0,D37-50000)*0.43)&gt;IF(D37&lt;=15000,1955,IF(D37&lt;=28000,1910+1190*(28000-D37)/13000,IF(D37&lt;=50000,1910*(50000-D37)/22000,0)))),1200,0)+IF(D37&lt;=8500,0.071*D37,IF(D37&lt;=15000,0.053*D37,IF(D37&lt;=20000,0.048*D37,0)))</f>
        <v/>
      </c>
      <c r="G37" s="19">
        <f>IF(E37&gt;0,D37*$B$13,0)</f>
        <v/>
      </c>
      <c r="H37" s="19">
        <f>D37-E37+F37-G37</f>
        <v/>
      </c>
      <c r="I37" s="19">
        <f>$B$8*$B$6*(1-$B$9)+$B$7+MAX(0,A37*'1 - INPUT'!$B$19-$B$8)*$B$6*(1-$B$9)</f>
        <v/>
      </c>
      <c r="J37" s="19">
        <f>MAX(0,A37*'1 - INPUT'!$B$19-I37)*$B$10</f>
        <v/>
      </c>
      <c r="K37" s="19">
        <f>A37*'1 - INPUT'!$B$20</f>
        <v/>
      </c>
      <c r="L37" s="19">
        <f>A37-K37-I37-J37</f>
        <v/>
      </c>
      <c r="M37" s="27">
        <f>IF(H37&gt;=L37,"dipendente","forfettario")</f>
        <v/>
      </c>
    </row>
    <row r="38">
      <c r="A38" s="25" t="n">
        <v>22134.13</v>
      </c>
      <c r="B38" s="19">
        <f>A38/'1 - INPUT'!$B$21</f>
        <v/>
      </c>
      <c r="C38" s="19">
        <f>B38*$B$5</f>
        <v/>
      </c>
      <c r="D38" s="19">
        <f>B38-C38</f>
        <v/>
      </c>
      <c r="E38" s="19">
        <f>MAX(0,(MIN(D38,28000)*0.23+MAX(0,MIN(D38,50000)-28000)*0.33+MAX(0,D38-50000)*0.43)-IF(D38&lt;=15000,1955,IF(D38&lt;=28000,1910+1190*(28000-D38)/13000,IF(D38&lt;=50000,1910*(50000-D38)/22000,0)))-IF(D38&lt;=20000,0,IF(D38&lt;=32000,1000,IF(D38&lt;=40000,1000*(40000-D38)/8000,0))))</f>
        <v/>
      </c>
      <c r="F38" s="19">
        <f>IF(AND(D38&lt;=15000,(MIN(D38,28000)*0.23+MAX(0,MIN(D38,50000)-28000)*0.33+MAX(0,D38-50000)*0.43)&gt;IF(D38&lt;=15000,1955,IF(D38&lt;=28000,1910+1190*(28000-D38)/13000,IF(D38&lt;=50000,1910*(50000-D38)/22000,0)))),1200,0)+IF(D38&lt;=8500,0.071*D38,IF(D38&lt;=15000,0.053*D38,IF(D38&lt;=20000,0.048*D38,0)))</f>
        <v/>
      </c>
      <c r="G38" s="19">
        <f>IF(E38&gt;0,D38*$B$13,0)</f>
        <v/>
      </c>
      <c r="H38" s="19">
        <f>D38-E38+F38-G38</f>
        <v/>
      </c>
      <c r="I38" s="19">
        <f>$B$8*$B$6*(1-$B$9)+$B$7+MAX(0,A38*'1 - INPUT'!$B$19-$B$8)*$B$6*(1-$B$9)</f>
        <v/>
      </c>
      <c r="J38" s="19">
        <f>MAX(0,A38*'1 - INPUT'!$B$19-I38)*$B$10</f>
        <v/>
      </c>
      <c r="K38" s="19">
        <f>A38*'1 - INPUT'!$B$20</f>
        <v/>
      </c>
      <c r="L38" s="19">
        <f>A38-K38-I38-J38</f>
        <v/>
      </c>
      <c r="M38" s="27">
        <f>IF(H38&gt;=L38,"dipendente","forfettario")</f>
        <v/>
      </c>
    </row>
    <row r="39">
      <c r="A39" s="25" t="n">
        <v>27000</v>
      </c>
      <c r="B39" s="19">
        <f>A39/'1 - INPUT'!$B$21</f>
        <v/>
      </c>
      <c r="C39" s="19">
        <f>B39*$B$5</f>
        <v/>
      </c>
      <c r="D39" s="19">
        <f>B39-C39</f>
        <v/>
      </c>
      <c r="E39" s="19">
        <f>MAX(0,(MIN(D39,28000)*0.23+MAX(0,MIN(D39,50000)-28000)*0.33+MAX(0,D39-50000)*0.43)-IF(D39&lt;=15000,1955,IF(D39&lt;=28000,1910+1190*(28000-D39)/13000,IF(D39&lt;=50000,1910*(50000-D39)/22000,0)))-IF(D39&lt;=20000,0,IF(D39&lt;=32000,1000,IF(D39&lt;=40000,1000*(40000-D39)/8000,0))))</f>
        <v/>
      </c>
      <c r="F39" s="19">
        <f>IF(AND(D39&lt;=15000,(MIN(D39,28000)*0.23+MAX(0,MIN(D39,50000)-28000)*0.33+MAX(0,D39-50000)*0.43)&gt;IF(D39&lt;=15000,1955,IF(D39&lt;=28000,1910+1190*(28000-D39)/13000,IF(D39&lt;=50000,1910*(50000-D39)/22000,0)))),1200,0)+IF(D39&lt;=8500,0.071*D39,IF(D39&lt;=15000,0.053*D39,IF(D39&lt;=20000,0.048*D39,0)))</f>
        <v/>
      </c>
      <c r="G39" s="19">
        <f>IF(E39&gt;0,D39*$B$13,0)</f>
        <v/>
      </c>
      <c r="H39" s="19">
        <f>D39-E39+F39-G39</f>
        <v/>
      </c>
      <c r="I39" s="19">
        <f>$B$8*$B$6*(1-$B$9)+$B$7+MAX(0,A39*'1 - INPUT'!$B$19-$B$8)*$B$6*(1-$B$9)</f>
        <v/>
      </c>
      <c r="J39" s="19">
        <f>MAX(0,A39*'1 - INPUT'!$B$19-I39)*$B$10</f>
        <v/>
      </c>
      <c r="K39" s="19">
        <f>A39*'1 - INPUT'!$B$20</f>
        <v/>
      </c>
      <c r="L39" s="19">
        <f>A39-K39-I39-J39</f>
        <v/>
      </c>
      <c r="M39" s="27">
        <f>IF(H39&gt;=L39,"dipendente","forfettario")</f>
        <v/>
      </c>
    </row>
    <row r="40">
      <c r="A40" s="25" t="n">
        <v>35000</v>
      </c>
      <c r="B40" s="19">
        <f>A40/'1 - INPUT'!$B$21</f>
        <v/>
      </c>
      <c r="C40" s="19">
        <f>B40*$B$5</f>
        <v/>
      </c>
      <c r="D40" s="19">
        <f>B40-C40</f>
        <v/>
      </c>
      <c r="E40" s="19">
        <f>MAX(0,(MIN(D40,28000)*0.23+MAX(0,MIN(D40,50000)-28000)*0.33+MAX(0,D40-50000)*0.43)-IF(D40&lt;=15000,1955,IF(D40&lt;=28000,1910+1190*(28000-D40)/13000,IF(D40&lt;=50000,1910*(50000-D40)/22000,0)))-IF(D40&lt;=20000,0,IF(D40&lt;=32000,1000,IF(D40&lt;=40000,1000*(40000-D40)/8000,0))))</f>
        <v/>
      </c>
      <c r="F40" s="19">
        <f>IF(AND(D40&lt;=15000,(MIN(D40,28000)*0.23+MAX(0,MIN(D40,50000)-28000)*0.33+MAX(0,D40-50000)*0.43)&gt;IF(D40&lt;=15000,1955,IF(D40&lt;=28000,1910+1190*(28000-D40)/13000,IF(D40&lt;=50000,1910*(50000-D40)/22000,0)))),1200,0)+IF(D40&lt;=8500,0.071*D40,IF(D40&lt;=15000,0.053*D40,IF(D40&lt;=20000,0.048*D40,0)))</f>
        <v/>
      </c>
      <c r="G40" s="19">
        <f>IF(E40&gt;0,D40*$B$13,0)</f>
        <v/>
      </c>
      <c r="H40" s="19">
        <f>D40-E40+F40-G40</f>
        <v/>
      </c>
      <c r="I40" s="19">
        <f>$B$8*$B$6*(1-$B$9)+$B$7+MAX(0,A40*'1 - INPUT'!$B$19-$B$8)*$B$6*(1-$B$9)</f>
        <v/>
      </c>
      <c r="J40" s="19">
        <f>MAX(0,A40*'1 - INPUT'!$B$19-I40)*$B$10</f>
        <v/>
      </c>
      <c r="K40" s="19">
        <f>A40*'1 - INPUT'!$B$20</f>
        <v/>
      </c>
      <c r="L40" s="19">
        <f>A40-K40-I40-J40</f>
        <v/>
      </c>
      <c r="M40" s="27">
        <f>IF(H40&gt;=L40,"dipendente","forfettario")</f>
        <v/>
      </c>
    </row>
    <row r="41">
      <c r="A41" s="8" t="inlineStr">
        <is>
          <t>PAREGGIO a parità di costo, costi reali 10%</t>
        </is>
      </c>
      <c r="B41" s="33" t="n">
        <v>22134.13</v>
      </c>
    </row>
    <row r="42">
      <c r="A42" s="8" t="inlineStr">
        <is>
          <t>PAREGGIO a parità di costo, costi ZERO</t>
        </is>
      </c>
      <c r="B42" s="33" t="n">
        <v>16056.46</v>
      </c>
    </row>
    <row r="43" ht="45" customHeight="1">
      <c r="A43" s="8" t="inlineStr">
        <is>
          <t>Banda del fattore: 1,30 / 1,38</t>
        </is>
      </c>
      <c r="B43" s="33" t="n">
        <v>22950.99</v>
      </c>
      <c r="C43" s="33" t="n">
        <v>21045.12</v>
      </c>
      <c r="E43" s="10" t="inlineStr">
        <is>
          <t>A PARITÀ DI QUELLO CHE TI OFFRONO VINCE IL DIPENDENTE; A PARITÀ DI QUELLO CHE COSTI VINCE LA PARTITA IVA. La domanda vera è quale delle due cifre stai negoziando. Il pareggio a parità di costo cade dove il trattamento integrativo e la somma sul cuneo si spengono: è un gradino, non una curva liscia.</t>
        </is>
      </c>
    </row>
    <row r="44"/>
    <row r="45">
      <c r="A45" s="7" t="inlineStr">
        <is>
          <t>IL COEFFICIENTE DECIDE TUTTO, E I COSTI REALI PURE</t>
        </is>
      </c>
    </row>
    <row r="46">
      <c r="A46" s="20" t="inlineStr">
        <is>
          <t>Ricavi 15.000 €</t>
        </is>
      </c>
      <c r="B46" s="20" t="inlineStr">
        <is>
          <t>coeff. 40%</t>
        </is>
      </c>
      <c r="C46" s="20" t="inlineStr">
        <is>
          <t>coeff. 67%</t>
        </is>
      </c>
      <c r="D46" s="20" t="inlineStr">
        <is>
          <t>coeff. 78% (Gestione Separata)</t>
        </is>
      </c>
    </row>
    <row r="47">
      <c r="A47" s="8" t="inlineStr">
        <is>
          <t>Netto, costi zero</t>
        </is>
      </c>
      <c r="B47" s="33" t="n">
        <v>11549.86</v>
      </c>
      <c r="C47" s="33" t="n">
        <v>10942.36</v>
      </c>
      <c r="D47" s="33" t="n">
        <v>10652.34</v>
      </c>
    </row>
    <row r="48">
      <c r="A48" s="8" t="inlineStr">
        <is>
          <t>Netto, costi reali 10%</t>
        </is>
      </c>
      <c r="B48" s="33" t="n">
        <v>10049.86</v>
      </c>
      <c r="C48" s="33" t="n">
        <v>9442.360000000001</v>
      </c>
      <c r="D48" s="33" t="n">
        <v>9152.34</v>
      </c>
    </row>
    <row r="49">
      <c r="A49" s="8" t="inlineStr">
        <is>
          <t>Netto, costi reali 20%</t>
        </is>
      </c>
      <c r="B49" s="33" t="n">
        <v>8549.860000000001</v>
      </c>
      <c r="C49" s="33" t="n">
        <v>7942.36</v>
      </c>
      <c r="D49" s="33" t="n">
        <v>7652.34</v>
      </c>
    </row>
    <row r="50">
      <c r="A50" s="8" t="inlineStr">
        <is>
          <t>Pareggio col dipendente (parità di lordo, costi zero)</t>
        </is>
      </c>
      <c r="B50" s="33" t="n">
        <v>23456.21</v>
      </c>
      <c r="C50" s="33" t="n">
        <v>26606.51</v>
      </c>
      <c r="D50" s="33" t="n">
        <v>38882.89</v>
      </c>
    </row>
    <row r="51">
      <c r="A51" s="8" t="inlineStr">
        <is>
          <t>Ricavi in cui i contributi superano il minimale</t>
        </is>
      </c>
      <c r="B51" s="33" t="n">
        <v>47020</v>
      </c>
      <c r="C51" s="33" t="n">
        <v>28071.64</v>
      </c>
      <c r="D51" s="33" t="n">
        <v>24112.82</v>
      </c>
    </row>
    <row r="52" ht="30" customHeight="1">
      <c r="A52" s="10" t="inlineStr">
        <is>
          <t>Il coefficiente è una SCELTA che discende dall'attività-tipo, non un dato: con il 40% il pareggio scende di tremila euro, con il 78% sale di dodicimila. Le tre colonne stanno qui proprio perché il rischio non si chiude: si dichiara.</t>
        </is>
      </c>
    </row>
    <row r="53"/>
    <row r="54">
      <c r="A54" s="7" t="inlineStr">
        <is>
          <t>I RICAVI PICCOLI, E LA CONDIZIONE DI ISCRIZIONE</t>
        </is>
      </c>
    </row>
    <row r="55" ht="32" customHeight="1">
      <c r="A55" s="20" t="inlineStr">
        <is>
          <t>Ricavi</t>
        </is>
      </c>
      <c r="B55" s="20" t="inlineStr">
        <is>
          <t>Occasionale — netto</t>
        </is>
      </c>
      <c r="C55" s="20" t="inlineStr">
        <is>
          <t>Forfettario — contributi</t>
        </is>
      </c>
      <c r="D55" s="20" t="inlineStr">
        <is>
          <t>Forfettario — imposta</t>
        </is>
      </c>
      <c r="E55" s="20" t="inlineStr">
        <is>
          <t>Forfettario — netto</t>
        </is>
      </c>
      <c r="F55" s="20" t="inlineStr">
        <is>
          <t>Netto per ora</t>
        </is>
      </c>
      <c r="G55" s="20" t="inlineStr">
        <is>
          <t>Mesi accreditati</t>
        </is>
      </c>
      <c r="H55" s="20" t="inlineStr">
        <is>
          <t>Montante annuo</t>
        </is>
      </c>
    </row>
    <row r="56">
      <c r="A56" s="9" t="n">
        <v>3000</v>
      </c>
      <c r="B56" s="19">
        <f>IF(A56&lt;=5000,A56,"non legittimo se non è occasionale")</f>
        <v/>
      </c>
      <c r="C56" s="19">
        <f>$B$8*$B$6*(1-$B$9)+$B$7+MAX(0,A56*'1 - INPUT'!$B$19-$B$8)*$B$6*(1-$B$9)</f>
        <v/>
      </c>
      <c r="D56" s="19">
        <f>MAX(0,A56*'1 - INPUT'!$B$19-C56)*$B$10</f>
        <v/>
      </c>
      <c r="E56" s="19">
        <f>A56-C56-D56</f>
        <v/>
      </c>
      <c r="F56" s="19">
        <f>E56/'1 - INPUT'!$B$22</f>
        <v/>
      </c>
      <c r="G56" s="13">
        <f>TRUNC(MIN(12,12*(1-$B$9)))</f>
        <v/>
      </c>
      <c r="H56" s="19">
        <f>MAX($B$8,A56*'1 - INPUT'!$B$19)*$B$14*(1-$B$9)</f>
        <v/>
      </c>
    </row>
    <row r="57">
      <c r="A57" s="9" t="n">
        <v>5000</v>
      </c>
      <c r="B57" s="19">
        <f>IF(A57&lt;=5000,A57,"non legittimo se non è occasionale")</f>
        <v/>
      </c>
      <c r="C57" s="19">
        <f>$B$8*$B$6*(1-$B$9)+$B$7+MAX(0,A57*'1 - INPUT'!$B$19-$B$8)*$B$6*(1-$B$9)</f>
        <v/>
      </c>
      <c r="D57" s="19">
        <f>MAX(0,A57*'1 - INPUT'!$B$19-C57)*$B$10</f>
        <v/>
      </c>
      <c r="E57" s="19">
        <f>A57-C57-D57</f>
        <v/>
      </c>
      <c r="F57" s="19">
        <f>E57/'1 - INPUT'!$B$22</f>
        <v/>
      </c>
      <c r="G57" s="13">
        <f>TRUNC(MIN(12,12*(1-$B$9)))</f>
        <v/>
      </c>
      <c r="H57" s="19">
        <f>MAX($B$8,A57*'1 - INPUT'!$B$19)*$B$14*(1-$B$9)</f>
        <v/>
      </c>
    </row>
    <row r="58">
      <c r="A58" s="9" t="n">
        <v>8000</v>
      </c>
      <c r="B58" s="19">
        <f>IF(A58&lt;=5000,A58,"non legittimo se non è occasionale")</f>
        <v/>
      </c>
      <c r="C58" s="19">
        <f>$B$8*$B$6*(1-$B$9)+$B$7+MAX(0,A58*'1 - INPUT'!$B$19-$B$8)*$B$6*(1-$B$9)</f>
        <v/>
      </c>
      <c r="D58" s="19">
        <f>MAX(0,A58*'1 - INPUT'!$B$19-C58)*$B$10</f>
        <v/>
      </c>
      <c r="E58" s="19">
        <f>A58-C58-D58</f>
        <v/>
      </c>
      <c r="F58" s="19">
        <f>E58/'1 - INPUT'!$B$22</f>
        <v/>
      </c>
      <c r="G58" s="13">
        <f>TRUNC(MIN(12,12*(1-$B$9)))</f>
        <v/>
      </c>
      <c r="H58" s="19">
        <f>MAX($B$8,A58*'1 - INPUT'!$B$19)*$B$14*(1-$B$9)</f>
        <v/>
      </c>
    </row>
    <row r="59">
      <c r="A59" s="9" t="n">
        <v>10000</v>
      </c>
      <c r="B59" s="19">
        <f>IF(A59&lt;=5000,A59,"non legittimo se non è occasionale")</f>
        <v/>
      </c>
      <c r="C59" s="19">
        <f>$B$8*$B$6*(1-$B$9)+$B$7+MAX(0,A59*'1 - INPUT'!$B$19-$B$8)*$B$6*(1-$B$9)</f>
        <v/>
      </c>
      <c r="D59" s="19">
        <f>MAX(0,A59*'1 - INPUT'!$B$19-C59)*$B$10</f>
        <v/>
      </c>
      <c r="E59" s="19">
        <f>A59-C59-D59</f>
        <v/>
      </c>
      <c r="F59" s="19">
        <f>E59/'1 - INPUT'!$B$22</f>
        <v/>
      </c>
      <c r="G59" s="13">
        <f>TRUNC(MIN(12,12*(1-$B$9)))</f>
        <v/>
      </c>
      <c r="H59" s="19">
        <f>MAX($B$8,A59*'1 - INPUT'!$B$19)*$B$14*(1-$B$9)</f>
        <v/>
      </c>
    </row>
    <row r="60">
      <c r="A60" s="9" t="n">
        <v>15000</v>
      </c>
      <c r="B60" s="19">
        <f>IF(A60&lt;=5000,A60,"non legittimo se non è occasionale")</f>
        <v/>
      </c>
      <c r="C60" s="19">
        <f>$B$8*$B$6*(1-$B$9)+$B$7+MAX(0,A60*'1 - INPUT'!$B$19-$B$8)*$B$6*(1-$B$9)</f>
        <v/>
      </c>
      <c r="D60" s="19">
        <f>MAX(0,A60*'1 - INPUT'!$B$19-C60)*$B$10</f>
        <v/>
      </c>
      <c r="E60" s="19">
        <f>A60-C60-D60</f>
        <v/>
      </c>
      <c r="F60" s="19">
        <f>E60/'1 - INPUT'!$B$22</f>
        <v/>
      </c>
      <c r="G60" s="13">
        <f>TRUNC(MIN(12,12*(1-$B$9)))</f>
        <v/>
      </c>
      <c r="H60" s="19">
        <f>MAX($B$8,A60*'1 - INPUT'!$B$19)*$B$14*(1-$B$9)</f>
        <v/>
      </c>
    </row>
    <row r="61">
      <c r="A61" s="8" t="inlineStr">
        <is>
          <t>Minimo ridotto pieno (12 mesi)</t>
        </is>
      </c>
      <c r="B61" s="19">
        <f>$B$8*$B$6*(1-$B$9)+$B$7</f>
        <v/>
      </c>
    </row>
    <row r="62">
      <c r="A62" s="8" t="inlineStr">
        <is>
          <t>Ragguaglio: apertura a luglio (6 mesi)</t>
        </is>
      </c>
      <c r="B62" s="19">
        <f>B61/2</f>
        <v/>
      </c>
    </row>
    <row r="63">
      <c r="A63" s="8" t="inlineStr">
        <is>
          <t>Imposta effettiva su 10.000 € di ricavi</t>
        </is>
      </c>
      <c r="B63" s="19">
        <f>MAX(0,10000*'1 - INPUT'!$B$19-($B$8*$B$6*(1-$B$9)+$B$7))*$B$10</f>
        <v/>
      </c>
    </row>
    <row r="64" ht="30" customHeight="1">
      <c r="A64" s="10" t="inlineStr">
        <is>
          <t>DIECIMILA EURO DI RICAVI NON FANNO MILLECINQUE DI IMPOSTA: ne fanno circa cinquecentocinquanta, perché i contributi si deducono. Il problema non è l'imposta: sono i tremila euro di contributi, che non guardano quanto hai incassato.</t>
        </is>
      </c>
    </row>
    <row r="65" ht="60" customHeight="1">
      <c r="A65" s="10" t="inlineStr">
        <is>
          <t>SE SEI OBBLIGATO A ISCRIVERTI. L'obbligo alla gestione commercianti richiede l'esercizio dell'attività con caratteri di ABITUALITÀ E PREVALENZA (art. 1 c. 203 L. 662/1996, Cass. 15446/2016): è materia giurisprudenziale, decisa sul caso concreto, mai da una tabella. Un'attività realmente marginale non integra il requisito, e in quel caso non serve nemmeno la partita IVA.</t>
        </is>
      </c>
    </row>
    <row r="66" ht="45" customHeight="1">
      <c r="A66" s="10" t="inlineStr">
        <is>
          <t>I PRIMI 5.000 € OCCASIONALI SONO NETTI AL 100% SOLO SE PRESENTI LA DICHIARAZIONE DEI REDDITI: la ritenuta d'acconto del 20% (art. 25 D.P.R. 600/1973) si recupera lì. Oltre i 5.000 scatta la Gestione Separata sull'eccedenza. Il prezzo dell'occasionale è zero pensione.</t>
        </is>
      </c>
    </row>
    <row r="67" ht="30" customHeight="1">
      <c r="A67" s="10" t="inlineStr">
        <is>
          <t>L'ACCREDITO RIDOTTO NON INTACCA IL MONTANTE: i mesi contano per il DIRITTO, il montante conta per l'IMPORTO. I «circa sette mesi» sono una deduzione (0,65 x 12 = 7,8, art. 2 c. 29 L. 335/1995), non una regola letta su circolare.</t>
        </is>
      </c>
    </row>
    <row r="68"/>
    <row r="69">
      <c r="A69" s="8" t="inlineStr">
        <is>
          <t>Lordo che serve per fare 18.000 € netti</t>
        </is>
      </c>
    </row>
    <row r="70">
      <c r="A70" s="20" t="inlineStr">
        <is>
          <t>dipendente</t>
        </is>
      </c>
      <c r="B70" s="20" t="inlineStr">
        <is>
          <t>forfettario 67% costi zero</t>
        </is>
      </c>
      <c r="C70" s="20" t="inlineStr">
        <is>
          <t>forfettario 67% costi 10%</t>
        </is>
      </c>
      <c r="D70" s="20" t="inlineStr">
        <is>
          <t>forfettario prof. 78%</t>
        </is>
      </c>
    </row>
    <row r="71">
      <c r="A71" s="33" t="n">
        <v>21085.16</v>
      </c>
      <c r="B71" s="33" t="n">
        <v>22846.19</v>
      </c>
      <c r="C71" s="33" t="n">
        <v>25703.74</v>
      </c>
      <c r="D71" s="33" t="n">
        <v>25346.55</v>
      </c>
    </row>
    <row r="72"/>
    <row r="73" ht="45" customHeight="1">
      <c r="A73" s="8" t="inlineStr">
        <is>
          <t>Due giorni veri: netto da dipendente</t>
        </is>
      </c>
      <c r="B73" s="19">
        <f>('1 - INPUT'!$B$24*(1-$B$5))-MAX(0,(MIN('1 - INPUT'!$B$24*(1-$B$5),28000)*0.23+MAX(0,MIN('1 - INPUT'!$B$24*(1-$B$5),50000)-28000)*0.33+MAX(0,'1 - INPUT'!$B$24*(1-$B$5)-50000)*0.43)-IF('1 - INPUT'!$B$24*(1-$B$5)&lt;=15000,1955,IF('1 - INPUT'!$B$24*(1-$B$5)&lt;=28000,1910+1190*(28000-'1 - INPUT'!$B$24*(1-$B$5))/13000,IF('1 - INPUT'!$B$24*(1-$B$5)&lt;=50000,1910*(50000-'1 - INPUT'!$B$24*(1-$B$5))/22000,0))))+IF('1 - INPUT'!$B$24*(1-$B$5)&lt;=8500,0.071*'1 - INPUT'!$B$24*(1-$B$5),IF('1 - INPUT'!$B$24*(1-$B$5)&lt;=15000,0.053*'1 - INPUT'!$B$24*(1-$B$5),IF('1 - INPUT'!$B$24*(1-$B$5)&lt;=20000,0.048*'1 - INPUT'!$B$24*(1-$B$5),0)))</f>
        <v/>
      </c>
      <c r="D73" s="10" t="inlineStr">
        <is>
          <t>630 ore a circa dodici euro l'ora: settemilacinquecentosessanta lordi. A Franco ne servono diciottomila netti, e per la spesa piena quasi trentunomila. TARIFFE ORARIE SEMPRE «CIRCA»: fonte secondaria.</t>
        </is>
      </c>
    </row>
  </sheetData>
  <mergeCells count="17">
    <mergeCell ref="D9:K9"/>
    <mergeCell ref="A32:P32"/>
    <mergeCell ref="D7:K7"/>
    <mergeCell ref="D30:K30"/>
    <mergeCell ref="A1:P1"/>
    <mergeCell ref="A45:P45"/>
    <mergeCell ref="A18:P18"/>
    <mergeCell ref="A67:J67"/>
    <mergeCell ref="A66:J66"/>
    <mergeCell ref="D73:K73"/>
    <mergeCell ref="E43:N43"/>
    <mergeCell ref="A4:P4"/>
    <mergeCell ref="A65:J65"/>
    <mergeCell ref="A64:J64"/>
    <mergeCell ref="A54:P54"/>
    <mergeCell ref="A52:J52"/>
    <mergeCell ref="A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54" customWidth="1" min="6" max="6"/>
  </cols>
  <sheetData>
    <row r="1" ht="25" customHeight="1">
      <c r="A1" s="1" t="inlineStr">
        <is>
          <t>6 — IL PONTE E LA PENSIONE: 2026 → 2039 → 2062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/>
    <row r="4">
      <c r="A4" s="7" t="inlineStr">
        <is>
          <t>LE DUE PENSIONI — matrice stop-55, BLOCCATA</t>
        </is>
      </c>
    </row>
    <row r="5">
      <c r="A5" s="20" t="inlineStr"/>
      <c r="B5" s="20" t="inlineStr">
        <is>
          <t>Lorda mensile</t>
        </is>
      </c>
      <c r="C5" s="20" t="inlineStr">
        <is>
          <t>Netta mensile</t>
        </is>
      </c>
      <c r="D5" s="20" t="inlineStr">
        <is>
          <t>Fattore di nettizz.</t>
        </is>
      </c>
    </row>
    <row r="6">
      <c r="A6" s="8" t="inlineStr">
        <is>
          <t>Franco — carriera 35.000, densita' 100%, inizio a 25 anni</t>
        </is>
      </c>
      <c r="B6" s="9" t="n">
        <v>1720</v>
      </c>
      <c r="C6" s="9" t="n">
        <v>1372</v>
      </c>
      <c r="D6" s="22">
        <f>C6/B6</f>
        <v/>
      </c>
    </row>
    <row r="7">
      <c r="A7" s="8" t="inlineStr">
        <is>
          <t>Giulia — carriera 20.000, densita' 100%, inizio a 25 anni</t>
        </is>
      </c>
      <c r="B7" s="9" t="n">
        <v>983</v>
      </c>
      <c r="C7" s="9" t="n">
        <v>866</v>
      </c>
    </row>
    <row r="8">
      <c r="A8" s="8" t="inlineStr">
        <is>
          <t>COPPIA, mensile</t>
        </is>
      </c>
      <c r="B8" s="11">
        <f>B6+B7</f>
        <v/>
      </c>
      <c r="C8" s="11">
        <f>C6+C7</f>
        <v/>
      </c>
    </row>
    <row r="9">
      <c r="A9" s="8" t="inlineStr">
        <is>
          <t>COPPIA, annua (13 mensilità)</t>
        </is>
      </c>
      <c r="C9" s="11">
        <f>C8*13</f>
        <v/>
      </c>
    </row>
    <row r="10">
      <c r="A10" s="8" t="inlineStr">
        <is>
          <t>Copertura della spesa</t>
        </is>
      </c>
      <c r="C10" s="21">
        <f>C9/'1 - INPUT'!B6</f>
        <v/>
      </c>
    </row>
    <row r="11" ht="60" customHeight="1">
      <c r="A11" s="8" t="inlineStr">
        <is>
          <t>Coefficiente di trasformazione (68 anni e 2 mesi, interpolato)</t>
        </is>
      </c>
      <c r="B11" s="34" t="n">
        <v>0.05844</v>
      </c>
      <c r="F11" s="10" t="inlineStr">
        <is>
          <t>Il 68 anni e 2 mesi e il 2039 sono una PROIEZIONE della Ragioneria Generale dello Stato (Nota di aggiornamento dicembre 2025), NON una norma: da dichiarare ogni volta che si nominano.</t>
        </is>
      </c>
    </row>
    <row r="12">
      <c r="A12" s="8" t="inlineStr">
        <is>
          <t>Tasso di capitalizzazione del montante</t>
        </is>
      </c>
      <c r="B12" s="14" t="n">
        <v>0.006</v>
      </c>
    </row>
    <row r="13">
      <c r="A13" s="8" t="inlineStr">
        <is>
          <t>Fattore di montante su 13 anni</t>
        </is>
      </c>
      <c r="B13" s="22">
        <f>((1+B12)^'1 - INPUT'!B17-1)/B12</f>
        <v/>
      </c>
    </row>
    <row r="14"/>
    <row r="15">
      <c r="A15" s="7" t="inlineStr">
        <is>
          <t>LA PENSIONE CHE IL PART-TIME AGGIUNGE (convenzione NETTA)</t>
        </is>
      </c>
    </row>
    <row r="16" ht="32" customHeight="1">
      <c r="A16" s="20" t="inlineStr">
        <is>
          <t>Inquadramento</t>
        </is>
      </c>
      <c r="B16" s="20" t="inlineStr">
        <is>
          <t>Di tasca tua, lordo</t>
        </is>
      </c>
      <c r="C16" s="20" t="inlineStr">
        <is>
          <t>Di tasca tua, NETTO</t>
        </is>
      </c>
      <c r="D16" s="20" t="inlineStr">
        <is>
          <t>Montante annuo</t>
        </is>
      </c>
      <c r="E16" s="20" t="inlineStr">
        <is>
          <t>Pensione lorda in più</t>
        </is>
      </c>
      <c r="F16" s="20" t="inlineStr">
        <is>
          <t>Pensione netta in più / per euro proprio</t>
        </is>
      </c>
    </row>
    <row r="17">
      <c r="A17" s="8" t="inlineStr">
        <is>
          <t>Forfettario, riduzione 35%</t>
        </is>
      </c>
      <c r="B17" s="19">
        <f>'5 - LE TRE STRADE'!$B$8*'5 - LE TRE STRADE'!$B$6*(1-'5 - LE TRE STRADE'!$B$9)</f>
        <v/>
      </c>
      <c r="C17" s="19">
        <f>B17*0.85</f>
        <v/>
      </c>
      <c r="D17" s="19">
        <f>'5 - LE TRE STRADE'!$B$8*'5 - LE TRE STRADE'!$B$14*(1-'5 - LE TRE STRADE'!$B$9)</f>
        <v/>
      </c>
      <c r="E17" s="19">
        <f>D17*$B$13*$B$11</f>
        <v/>
      </c>
      <c r="F17" s="35">
        <f>E17*$D$6/C17</f>
        <v/>
      </c>
    </row>
    <row r="18">
      <c r="A18" s="8" t="inlineStr">
        <is>
          <t>Forfettario pieno (commercianti)</t>
        </is>
      </c>
      <c r="B18" s="19">
        <f>'5 - LE TRE STRADE'!$B$8*'5 - LE TRE STRADE'!$B$6</f>
        <v/>
      </c>
      <c r="C18" s="19">
        <f>B18*0.85</f>
        <v/>
      </c>
      <c r="D18" s="19">
        <f>'5 - LE TRE STRADE'!$B$8*'5 - LE TRE STRADE'!$B$14</f>
        <v/>
      </c>
      <c r="E18" s="19">
        <f>D18*$B$13*$B$11</f>
        <v/>
      </c>
      <c r="F18" s="35">
        <f>E18*$D$6/C18</f>
        <v/>
      </c>
    </row>
    <row r="19">
      <c r="A19" s="8" t="inlineStr">
        <is>
          <t>Dipendente, 15.000 € lordi</t>
        </is>
      </c>
      <c r="B19" s="19">
        <f>15000*'5 - LE TRE STRADE'!$B$5</f>
        <v/>
      </c>
      <c r="C19" s="19">
        <f>B19*0.75</f>
        <v/>
      </c>
      <c r="D19" s="19">
        <f>15000*'5 - LE TRE STRADE'!$B$15</f>
        <v/>
      </c>
      <c r="E19" s="19">
        <f>D19*$B$13*$B$11</f>
        <v/>
      </c>
      <c r="F19" s="35">
        <f>E19*$D$6/C19</f>
        <v/>
      </c>
    </row>
    <row r="20" ht="75" customHeight="1">
      <c r="A20" s="8" t="inlineStr">
        <is>
          <t>MOLTIPLICATORE: dipendente / forfettario ridotto</t>
        </is>
      </c>
      <c r="B20" s="24">
        <f>F19/F17</f>
        <v/>
      </c>
      <c r="F20" s="10" t="inlineStr">
        <is>
          <t>Circa QUATTRO VOLTE, per euro di tasca propria. La convenzione è unica e NETTA: costo netto (i contributi si deducono) contro beneficio netto (la pensione è tassata), col fattore di nettizzazione della cella D6.</t>
        </is>
      </c>
    </row>
    <row r="21">
      <c r="A21" s="8" t="inlineStr">
        <is>
          <t>Pensione lorda in più, al mese (13 mensilità)</t>
        </is>
      </c>
      <c r="B21" s="11">
        <f>E17/13</f>
        <v/>
      </c>
      <c r="C21" s="11">
        <f>E18/13</f>
        <v/>
      </c>
      <c r="D21" s="11">
        <f>E19/13</f>
        <v/>
      </c>
    </row>
    <row r="22"/>
    <row r="23">
      <c r="A23" s="7" t="inlineStr">
        <is>
          <t>QUANTO COSTA LA RIDUZIONE DEL 35%</t>
        </is>
      </c>
    </row>
    <row r="24">
      <c r="A24" s="8" t="inlineStr">
        <is>
          <t>Costo lordo annuo (contributi in meno)</t>
        </is>
      </c>
      <c r="B24" s="19">
        <f>'5 - LE TRE STRADE'!$B$8*'5 - LE TRE STRADE'!$B$6*'5 - LE TRE STRADE'!$B$9</f>
        <v/>
      </c>
    </row>
    <row r="25">
      <c r="A25" s="8" t="inlineStr">
        <is>
          <t>Costo NETTO annuo (deducibili al 15%)</t>
        </is>
      </c>
      <c r="B25" s="19">
        <f>B24*0.85</f>
        <v/>
      </c>
    </row>
    <row r="26">
      <c r="A26" s="8" t="inlineStr">
        <is>
          <t>Montante annuo in meno</t>
        </is>
      </c>
      <c r="B26" s="19">
        <f>'5 - LE TRE STRADE'!$B$8*'5 - LE TRE STRADE'!$B$14*'5 - LE TRE STRADE'!$B$9</f>
        <v/>
      </c>
    </row>
    <row r="27">
      <c r="A27" s="8" t="inlineStr">
        <is>
          <t>Beneficio LORDO annuo (pensione in meno)</t>
        </is>
      </c>
      <c r="B27" s="19">
        <f>B26*$B$13*$B$11</f>
        <v/>
      </c>
    </row>
    <row r="28">
      <c r="A28" s="8" t="inlineStr">
        <is>
          <t>Beneficio NETTO annuo</t>
        </is>
      </c>
      <c r="B28" s="19">
        <f>B27*$D$6</f>
        <v/>
      </c>
    </row>
    <row r="29">
      <c r="A29" s="8" t="inlineStr">
        <is>
          <t>Anni di erogazione della pensione</t>
        </is>
      </c>
      <c r="B29" s="13">
        <f>'1 - INPUT'!B10-'1 - INPUT'!B11</f>
        <v/>
      </c>
    </row>
    <row r="30">
      <c r="A30" s="8" t="inlineStr">
        <is>
          <t>Valori attuali</t>
        </is>
      </c>
      <c r="C30" s="20" t="inlineStr">
        <is>
          <t>r = 1%</t>
        </is>
      </c>
      <c r="D30" s="20" t="inlineStr">
        <is>
          <t>r = 2%</t>
        </is>
      </c>
      <c r="E30" s="20" t="inlineStr">
        <is>
          <t>r = 3%</t>
        </is>
      </c>
    </row>
    <row r="31">
      <c r="A31" s="8" t="inlineStr">
        <is>
          <t>Valore attuale del COSTO (13 anni)</t>
        </is>
      </c>
      <c r="C31" s="11">
        <f>$B$25*(1-(1+0.01)^-'1 - INPUT'!$B$17)/0.01*(1+0.01)</f>
        <v/>
      </c>
      <c r="D31" s="11">
        <f>$B$25*(1-(1+0.02)^-'1 - INPUT'!$B$17)/0.02*(1+0.02)</f>
        <v/>
      </c>
      <c r="E31" s="11">
        <f>$B$25*(1-(1+0.03)^-'1 - INPUT'!$B$17)/0.03*(1+0.03)</f>
        <v/>
      </c>
    </row>
    <row r="32">
      <c r="A32" s="8" t="inlineStr">
        <is>
          <t>Valore attuale del BENEFICIO LORDO</t>
        </is>
      </c>
      <c r="C32" s="11">
        <f>$B$27*(1-(1+0.01)^-$B$29)/0.01*(1+0.01)/(1+0.01)^'1 - INPUT'!$B$11</f>
        <v/>
      </c>
      <c r="D32" s="11">
        <f>$B$27*(1-(1+0.02)^-$B$29)/0.02*(1+0.02)/(1+0.02)^'1 - INPUT'!$B$11</f>
        <v/>
      </c>
      <c r="E32" s="11">
        <f>$B$27*(1-(1+0.03)^-$B$29)/0.03*(1+0.03)/(1+0.03)^'1 - INPUT'!$B$11</f>
        <v/>
      </c>
    </row>
    <row r="33">
      <c r="A33" s="8" t="inlineStr">
        <is>
          <t>Rapporto costo / beneficio LORDO</t>
        </is>
      </c>
      <c r="C33" s="32">
        <f>C31/C32</f>
        <v/>
      </c>
      <c r="D33" s="32">
        <f>D31/D32</f>
        <v/>
      </c>
      <c r="E33" s="32">
        <f>E31/E32</f>
        <v/>
      </c>
    </row>
    <row r="34">
      <c r="A34" s="8" t="inlineStr">
        <is>
          <t>Valore attuale del BENEFICIO NETTO</t>
        </is>
      </c>
      <c r="C34" s="11">
        <f>C32*$D$6</f>
        <v/>
      </c>
      <c r="D34" s="11">
        <f>D32*$D$6</f>
        <v/>
      </c>
      <c r="E34" s="11">
        <f>E32*$D$6</f>
        <v/>
      </c>
    </row>
    <row r="35" ht="60" customHeight="1">
      <c r="A35" s="8" t="inlineStr">
        <is>
          <t>RAPPORTO COSTO / BENEFICIO NETTO</t>
        </is>
      </c>
      <c r="C35" s="32">
        <f>C31/C34</f>
        <v/>
      </c>
      <c r="D35" s="32">
        <f>D31/D34</f>
        <v/>
      </c>
      <c r="E35" s="32">
        <f>E31/E34</f>
        <v/>
      </c>
      <c r="F35" s="10" t="inlineStr">
        <is>
          <t>Il SEGNO DEL VERDETTO DIPENDE DALLA CONVENZIONE: al 3% conviene tenere lo sconto, all'1% conviene rinunciarci. Per questo si pubblicano tutte e due le righe, non solo quella comoda.</t>
        </is>
      </c>
    </row>
    <row r="36"/>
    <row r="37">
      <c r="A37" s="7" t="inlineStr">
        <is>
          <t>IL PONTE, ANNO PER ANNO</t>
        </is>
      </c>
    </row>
    <row r="38">
      <c r="A38" s="20" t="inlineStr">
        <is>
          <t>Fase</t>
        </is>
      </c>
      <c r="B38" s="20" t="inlineStr">
        <is>
          <t>Dal</t>
        </is>
      </c>
      <c r="C38" s="20" t="inlineStr">
        <is>
          <t>Al</t>
        </is>
      </c>
      <c r="D38" s="20" t="inlineStr">
        <is>
          <t>Anni</t>
        </is>
      </c>
      <c r="E38" s="20" t="inlineStr">
        <is>
          <t>Risorse</t>
        </is>
      </c>
    </row>
    <row r="39" ht="15" customHeight="1">
      <c r="A39" s="8" t="inlineStr">
        <is>
          <t>indennità (solo nella porta A)</t>
        </is>
      </c>
      <c r="B39" s="13">
        <f>'1 - INPUT'!B9</f>
        <v/>
      </c>
      <c r="C39" s="13">
        <f>'1 - INPUT'!B9+1</f>
        <v/>
      </c>
      <c r="D39" s="13">
        <f>2</f>
        <v/>
      </c>
      <c r="E39" s="10" t="inlineStr">
        <is>
          <t>NASpI 24 mesi</t>
        </is>
      </c>
    </row>
    <row r="40" ht="15" customHeight="1">
      <c r="A40" s="8" t="inlineStr">
        <is>
          <t>Ponte: portafoglio (più il lavoro leggero)</t>
        </is>
      </c>
      <c r="B40" s="13">
        <f>'1 - INPUT'!B9</f>
        <v/>
      </c>
      <c r="C40" s="13">
        <f>'1 - INPUT'!B12-1</f>
        <v/>
      </c>
      <c r="D40" s="13">
        <f>'1 - INPUT'!B11</f>
        <v/>
      </c>
      <c r="E40" s="10" t="inlineStr">
        <is>
          <t>portafoglio + part-time</t>
        </is>
      </c>
    </row>
    <row r="41" ht="15" customHeight="1">
      <c r="A41" s="8" t="inlineStr">
        <is>
          <t>Dalle pensioni in poi</t>
        </is>
      </c>
      <c r="B41" s="13">
        <f>'1 - INPUT'!B12</f>
        <v/>
      </c>
      <c r="C41" s="13">
        <f>'1 - INPUT'!B9+'1 - INPUT'!B10-1</f>
        <v/>
      </c>
      <c r="D41" s="13">
        <f>'1 - INPUT'!B10-'1 - INPUT'!B11</f>
        <v/>
      </c>
      <c r="E41" s="10" t="inlineStr">
        <is>
          <t>portafoglio + pensioni di coppia</t>
        </is>
      </c>
    </row>
    <row r="42">
      <c r="A42" s="8" t="inlineStr">
        <is>
          <t>Prelievo netto dal portafoglio, con il lavoro, fino al 2039</t>
        </is>
      </c>
      <c r="B42" s="11">
        <f>'1 - INPUT'!B6-'1 - INPUT'!B16</f>
        <v/>
      </c>
    </row>
    <row r="43">
      <c r="A43" s="8" t="inlineStr">
        <is>
          <t>Prelievo netto dal portafoglio, dal 2039</t>
        </is>
      </c>
      <c r="B43" s="11">
        <f>'1 - INPUT'!B6-'1 - INPUT'!B13</f>
        <v/>
      </c>
    </row>
    <row r="44" ht="30" customHeight="1">
      <c r="A44" s="10" t="inlineStr">
        <is>
          <t>È IL PIANO COM'È OGGI, non una previsione: le due fasi si leggono sulla riga del fabbisogno del foglio 2. Nel piano NON esistono rendite: cedole e dividendi non sono una terza fonte, sono già dentro il rendimento del portafoglio.</t>
        </is>
      </c>
    </row>
  </sheetData>
  <mergeCells count="10">
    <mergeCell ref="A2:F2"/>
    <mergeCell ref="A44:F44"/>
    <mergeCell ref="A1:F1"/>
    <mergeCell ref="A23:F23"/>
    <mergeCell ref="A37:F37"/>
    <mergeCell ref="E41:F41"/>
    <mergeCell ref="A4:F4"/>
    <mergeCell ref="E40:F40"/>
    <mergeCell ref="E39:F39"/>
    <mergeCell ref="A15:F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17" customWidth="1" min="4" max="4"/>
    <col width="17" customWidth="1" min="5" max="5"/>
    <col width="54" customWidth="1" min="6" max="6"/>
  </cols>
  <sheetData>
    <row r="1" ht="25" customHeight="1">
      <c r="A1" s="1" t="inlineStr">
        <is>
          <t>7 — L'ORDINE DEI RENDIMENTI: quattro sequenze, stessa media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/>
    <row r="4" ht="30" customHeight="1">
      <c r="A4" s="10" t="inlineStr">
        <is>
          <t>ILLUSTRATIVO, NON PROBABILISTICO. I quattro ordini hanno lo STESSO rendimento medio geometrico: due crolli (-35% e -20%) e trentacinque anni calibrati perché la media torni. Cambia le posizioni dei crolli nel foglio 1 e ricalcola col motore del foglio 2.</t>
        </is>
      </c>
    </row>
    <row r="5"/>
    <row r="6">
      <c r="A6" s="7" t="inlineStr">
        <is>
          <t>RENDIMENTO REALE MEDIO 1%</t>
        </is>
      </c>
    </row>
    <row r="7">
      <c r="A7" s="20" t="inlineStr"/>
      <c r="B7" s="20" t="inlineStr">
        <is>
          <t>costante</t>
        </is>
      </c>
      <c r="C7" s="20" t="inlineStr">
        <is>
          <t>crolli all'INIZIO</t>
        </is>
      </c>
      <c r="D7" s="20" t="inlineStr">
        <is>
          <t>crolli a METÀ</t>
        </is>
      </c>
      <c r="E7" s="20" t="inlineStr">
        <is>
          <t>crolli alla FINE</t>
        </is>
      </c>
    </row>
    <row r="8">
      <c r="A8" s="8" t="inlineStr">
        <is>
          <t>Capitale necessario SENZA lavoro</t>
        </is>
      </c>
      <c r="B8" s="30" t="n">
        <v>1880877.71</v>
      </c>
      <c r="C8" s="30" t="n">
        <v>2617888.81</v>
      </c>
      <c r="D8" s="30" t="n">
        <v>1845887.31</v>
      </c>
      <c r="E8" s="30" t="n">
        <v>1503248.68</v>
      </c>
    </row>
    <row r="9">
      <c r="A9" s="8" t="inlineStr">
        <is>
          <t>Capitale necessario CON il part-time</t>
        </is>
      </c>
      <c r="B9" s="30" t="n">
        <v>1633534.09</v>
      </c>
      <c r="C9" s="30" t="n">
        <v>2235105.27</v>
      </c>
      <c r="D9" s="30" t="n">
        <v>1620515.61</v>
      </c>
      <c r="E9" s="30" t="n">
        <v>1277876.98</v>
      </c>
    </row>
    <row r="10">
      <c r="A10" s="8" t="inlineStr">
        <is>
          <t>Capitale risparmiato dal lavoro</t>
        </is>
      </c>
      <c r="B10" s="11">
        <f>B8-B9</f>
        <v/>
      </c>
      <c r="C10" s="11">
        <f>C8-C9</f>
        <v/>
      </c>
      <c r="D10" s="11">
        <f>D8-D9</f>
        <v/>
      </c>
      <c r="E10" s="11">
        <f>E8-E9</f>
        <v/>
      </c>
    </row>
    <row r="11">
      <c r="A11" s="8" t="inlineStr">
        <is>
          <t>PER 1.000 € DI REDDITO ANNUO</t>
        </is>
      </c>
      <c r="B11" s="11">
        <f>B10/('1 - INPUT'!$B$16/1000)</f>
        <v/>
      </c>
      <c r="C11" s="11">
        <f>C10/('1 - INPUT'!$B$16/1000)</f>
        <v/>
      </c>
      <c r="D11" s="11">
        <f>D10/('1 - INPUT'!$B$16/1000)</f>
        <v/>
      </c>
      <c r="E11" s="11">
        <f>E10/('1 - INPUT'!$B$16/1000)</f>
        <v/>
      </c>
    </row>
    <row r="12">
      <c r="A12" s="8" t="inlineStr">
        <is>
          <t>Sovrappeso rispetto all'ordine costante</t>
        </is>
      </c>
      <c r="B12" s="21">
        <f>B11/$B$11-1</f>
        <v/>
      </c>
      <c r="C12" s="21">
        <f>C11/$B$11-1</f>
        <v/>
      </c>
      <c r="D12" s="21">
        <f>D11/$B$11-1</f>
        <v/>
      </c>
      <c r="E12" s="21">
        <f>E11/$B$11-1</f>
        <v/>
      </c>
    </row>
    <row r="13"/>
    <row r="14">
      <c r="A14" s="7" t="inlineStr">
        <is>
          <t>RENDIMENTO REALE MEDIO 2%</t>
        </is>
      </c>
    </row>
    <row r="15">
      <c r="A15" s="20" t="inlineStr"/>
      <c r="B15" s="20" t="inlineStr">
        <is>
          <t>costante</t>
        </is>
      </c>
      <c r="C15" s="20" t="inlineStr">
        <is>
          <t>crolli all'INIZIO</t>
        </is>
      </c>
      <c r="D15" s="20" t="inlineStr">
        <is>
          <t>crolli a METÀ</t>
        </is>
      </c>
      <c r="E15" s="20" t="inlineStr">
        <is>
          <t>crolli alla FINE</t>
        </is>
      </c>
    </row>
    <row r="16">
      <c r="A16" s="8" t="inlineStr">
        <is>
          <t>Capitale necessario SENZA lavoro</t>
        </is>
      </c>
      <c r="B16" s="30" t="n">
        <v>1667440.06</v>
      </c>
      <c r="C16" s="30" t="n">
        <v>2374584.24</v>
      </c>
      <c r="D16" s="30" t="n">
        <v>1625730.6</v>
      </c>
      <c r="E16" s="30" t="n">
        <v>1337475.99</v>
      </c>
    </row>
    <row r="17">
      <c r="A17" s="8" t="inlineStr">
        <is>
          <t>Capitale necessario CON il part-time</t>
        </is>
      </c>
      <c r="B17" s="30" t="n">
        <v>1431633.14</v>
      </c>
      <c r="C17" s="30" t="n">
        <v>2005906.14</v>
      </c>
      <c r="D17" s="30" t="n">
        <v>1411287.56</v>
      </c>
      <c r="E17" s="30" t="n">
        <v>1123032.96</v>
      </c>
    </row>
    <row r="18">
      <c r="A18" s="8" t="inlineStr">
        <is>
          <t>Capitale risparmiato dal lavoro</t>
        </is>
      </c>
      <c r="B18" s="11">
        <f>B16-B17</f>
        <v/>
      </c>
      <c r="C18" s="11">
        <f>C16-C17</f>
        <v/>
      </c>
      <c r="D18" s="11">
        <f>D16-D17</f>
        <v/>
      </c>
      <c r="E18" s="11">
        <f>E16-E17</f>
        <v/>
      </c>
    </row>
    <row r="19">
      <c r="A19" s="8" t="inlineStr">
        <is>
          <t>PER 1.000 € DI REDDITO ANNUO</t>
        </is>
      </c>
      <c r="B19" s="11">
        <f>B18/('1 - INPUT'!$B$16/1000)</f>
        <v/>
      </c>
      <c r="C19" s="11">
        <f>C18/('1 - INPUT'!$B$16/1000)</f>
        <v/>
      </c>
      <c r="D19" s="11">
        <f>D18/('1 - INPUT'!$B$16/1000)</f>
        <v/>
      </c>
      <c r="E19" s="11">
        <f>E18/('1 - INPUT'!$B$16/1000)</f>
        <v/>
      </c>
    </row>
    <row r="20">
      <c r="A20" s="8" t="inlineStr">
        <is>
          <t>Sovrappeso rispetto all'ordine costante</t>
        </is>
      </c>
      <c r="B20" s="21">
        <f>B19/$B$19-1</f>
        <v/>
      </c>
      <c r="C20" s="21">
        <f>C19/$B$19-1</f>
        <v/>
      </c>
      <c r="D20" s="21">
        <f>D19/$B$19-1</f>
        <v/>
      </c>
      <c r="E20" s="21">
        <f>E19/$B$19-1</f>
        <v/>
      </c>
    </row>
    <row r="21"/>
    <row r="22">
      <c r="A22" s="7" t="inlineStr">
        <is>
          <t>RENDIMENTO REALE MEDIO 3%</t>
        </is>
      </c>
    </row>
    <row r="23">
      <c r="A23" s="20" t="inlineStr"/>
      <c r="B23" s="20" t="inlineStr">
        <is>
          <t>costante</t>
        </is>
      </c>
      <c r="C23" s="20" t="inlineStr">
        <is>
          <t>crolli all'INIZIO</t>
        </is>
      </c>
      <c r="D23" s="20" t="inlineStr">
        <is>
          <t>crolli a METÀ</t>
        </is>
      </c>
      <c r="E23" s="20" t="inlineStr">
        <is>
          <t>crolli alla FINE</t>
        </is>
      </c>
    </row>
    <row r="24">
      <c r="A24" s="8" t="inlineStr">
        <is>
          <t>Capitale necessario SENZA lavoro</t>
        </is>
      </c>
      <c r="B24" s="30" t="n">
        <v>1487355.64</v>
      </c>
      <c r="C24" s="30" t="n">
        <v>2168540.02</v>
      </c>
      <c r="D24" s="30" t="n">
        <v>1439679.12</v>
      </c>
      <c r="E24" s="30" t="n">
        <v>1199735.75</v>
      </c>
    </row>
    <row r="25">
      <c r="A25" s="8" t="inlineStr">
        <is>
          <t>Capitale necessario CON il part-time</t>
        </is>
      </c>
      <c r="B25" s="30" t="n">
        <v>1262368.66</v>
      </c>
      <c r="C25" s="30" t="n">
        <v>1812390.8</v>
      </c>
      <c r="D25" s="30" t="n">
        <v>1235423.9</v>
      </c>
      <c r="E25" s="30" t="n">
        <v>995480.53</v>
      </c>
    </row>
    <row r="26">
      <c r="A26" s="8" t="inlineStr">
        <is>
          <t>Capitale risparmiato dal lavoro</t>
        </is>
      </c>
      <c r="B26" s="11">
        <f>B24-B25</f>
        <v/>
      </c>
      <c r="C26" s="11">
        <f>C24-C25</f>
        <v/>
      </c>
      <c r="D26" s="11">
        <f>D24-D25</f>
        <v/>
      </c>
      <c r="E26" s="11">
        <f>E24-E25</f>
        <v/>
      </c>
    </row>
    <row r="27">
      <c r="A27" s="8" t="inlineStr">
        <is>
          <t>PER 1.000 € DI REDDITO ANNUO</t>
        </is>
      </c>
      <c r="B27" s="11">
        <f>B26/('1 - INPUT'!$B$16/1000)</f>
        <v/>
      </c>
      <c r="C27" s="11">
        <f>C26/('1 - INPUT'!$B$16/1000)</f>
        <v/>
      </c>
      <c r="D27" s="11">
        <f>D26/('1 - INPUT'!$B$16/1000)</f>
        <v/>
      </c>
      <c r="E27" s="11">
        <f>E26/('1 - INPUT'!$B$16/1000)</f>
        <v/>
      </c>
    </row>
    <row r="28">
      <c r="A28" s="8" t="inlineStr">
        <is>
          <t>Sovrappeso rispetto all'ordine costante</t>
        </is>
      </c>
      <c r="B28" s="21">
        <f>B27/$B$27-1</f>
        <v/>
      </c>
      <c r="C28" s="21">
        <f>C27/$B$27-1</f>
        <v/>
      </c>
      <c r="D28" s="21">
        <f>D27/$B$27-1</f>
        <v/>
      </c>
      <c r="E28" s="21">
        <f>E27/$B$27-1</f>
        <v/>
      </c>
    </row>
    <row r="29"/>
    <row r="30">
      <c r="A30" s="7" t="inlineStr">
        <is>
          <t>COSA DICE E COSA NON DICE</t>
        </is>
      </c>
    </row>
    <row r="31" ht="30" customHeight="1">
      <c r="A31" s="10" t="inlineStr">
        <is>
          <t>METÀ E FINE DANNO LO STESSO VALORE in questa metrica: non è un errore di trascrizione, è una proprietà del modello. Al livello di capitale necessario il vincolo che morde è lo stesso nei due ordini, e i due numeri non vanno mai messi a schermo come se fossero misure indipendenti.</t>
        </is>
      </c>
    </row>
    <row r="32" ht="30" customHeight="1">
      <c r="A32" s="10" t="inlineStr">
        <is>
          <t>Il lavoro leggero vale MOLTO DI PIÙ se i crolli arrivano nei primi anni: quando il portafoglio è basso, ogni euro che non devi prelevare vale quanto una vendita che non fai al momento peggiore. È l'unico ordine, fra i quattro che ho costruito, in cui il part-time cambia davvero la scala del problema.</t>
        </is>
      </c>
    </row>
    <row r="33" ht="30" customHeight="1">
      <c r="A33" s="10" t="inlineStr">
        <is>
          <t>CON I CROLLI ALLA FINE il lavoro vale di più in euro di spesa e MENO in euro di capitale: è controintuitivo, ed è onesto dirlo. Le due metriche rispondono a due domande diverse.</t>
        </is>
      </c>
    </row>
    <row r="34"/>
    <row r="35">
      <c r="A35" s="8" t="inlineStr">
        <is>
          <t>Rendimento degli anni normali (r = 3%)</t>
        </is>
      </c>
      <c r="B35" s="18">
        <f>'1 - INPUT'!B37</f>
        <v/>
      </c>
    </row>
    <row r="36">
      <c r="A36" s="8" t="inlineStr">
        <is>
          <t>Posizioni dei crolli — inizio / metà / fine</t>
        </is>
      </c>
      <c r="B36" s="27">
        <f>'1 - INPUT'!B34&amp;" e "&amp;'1 - INPUT'!C34</f>
        <v/>
      </c>
      <c r="C36" s="27">
        <f>'1 - INPUT'!B35&amp;" e "&amp;'1 - INPUT'!C35</f>
        <v/>
      </c>
      <c r="D36" s="27">
        <f>'1 - INPUT'!B36&amp;" e "&amp;'1 - INPUT'!C36</f>
        <v/>
      </c>
    </row>
  </sheetData>
  <mergeCells count="10">
    <mergeCell ref="A2:F2"/>
    <mergeCell ref="A33:F33"/>
    <mergeCell ref="A14:F14"/>
    <mergeCell ref="A1:F1"/>
    <mergeCell ref="A32:F32"/>
    <mergeCell ref="A31:F31"/>
    <mergeCell ref="A6:F6"/>
    <mergeCell ref="A22:F22"/>
    <mergeCell ref="A4:F4"/>
    <mergeCell ref="A30:F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74" customWidth="1" min="3" max="3"/>
  </cols>
  <sheetData>
    <row r="1" ht="25" customHeight="1">
      <c r="A1" s="1" t="inlineStr">
        <is>
          <t>8 — I PARAMETRI 2026, con la fonte di ciascuno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/>
    <row r="4">
      <c r="A4" s="7" t="inlineStr">
        <is>
          <t>NASPI E LAVORO DIPENDENTE</t>
        </is>
      </c>
    </row>
    <row r="5" ht="15" customHeight="1">
      <c r="A5" s="8" t="inlineStr">
        <is>
          <t>Soglia della formula NASpI 2026</t>
        </is>
      </c>
      <c r="B5" s="25" t="n">
        <v>1456.72</v>
      </c>
      <c r="C5" s="10" t="inlineStr">
        <is>
          <t>INPS, circolare 4/2026</t>
        </is>
      </c>
    </row>
    <row r="6" ht="15" customHeight="1">
      <c r="A6" s="8" t="inlineStr">
        <is>
          <t>Tetto mensile NASpI 2026</t>
        </is>
      </c>
      <c r="B6" s="25" t="n">
        <v>1584.7</v>
      </c>
      <c r="C6" s="10" t="inlineStr">
        <is>
          <t>INPS, circolare 4/2026</t>
        </is>
      </c>
    </row>
    <row r="7" ht="15" customHeight="1">
      <c r="A7" s="8" t="inlineStr">
        <is>
          <t>Riduzione mensile (decalage)</t>
        </is>
      </c>
      <c r="B7" s="16" t="n">
        <v>0.03</v>
      </c>
      <c r="C7" s="10" t="inlineStr">
        <is>
          <t>Art. 4 c. 1 D.Lgs. 22/2015</t>
        </is>
      </c>
    </row>
    <row r="8" ht="15" customHeight="1">
      <c r="A8" s="8" t="inlineStr">
        <is>
          <t>Decorrenza del decalage — regola generale</t>
        </is>
      </c>
      <c r="B8" s="12" t="n">
        <v>6</v>
      </c>
      <c r="C8" s="10" t="inlineStr">
        <is>
          <t>Art. 4 c. 1 D.Lgs. 22/2015: primo giorno del sesto mese (151o giorno)</t>
        </is>
      </c>
    </row>
    <row r="9" ht="45" customHeight="1">
      <c r="A9" s="8" t="inlineStr">
        <is>
          <t>Decorrenza del decalage — chi ha compiuto 55 anni</t>
        </is>
      </c>
      <c r="B9" s="12" t="n">
        <v>8</v>
      </c>
      <c r="C9" s="10" t="inlineStr">
        <is>
          <t>Art. 4 c. 1 D.Lgs. 22/2015 come modificato dalla L. 145/2018 art. 1 c. 510: primo giorno dell'ottavo mese (211o giorno). È la regola di Franco. Da riconfermare su circolare INPS prima di ogni riuso.</t>
        </is>
      </c>
    </row>
    <row r="10" ht="15" customHeight="1">
      <c r="A10" s="8" t="inlineStr">
        <is>
          <t>Durata massima della NASpI</t>
        </is>
      </c>
      <c r="B10" s="12" t="n">
        <v>24</v>
      </c>
      <c r="C10" s="10" t="inlineStr">
        <is>
          <t>Art. 5 D.Lgs. 22/2015 (mesi)</t>
        </is>
      </c>
    </row>
    <row r="11" ht="15" customHeight="1">
      <c r="A11" s="8" t="inlineStr">
        <is>
          <t>Soglia di compatibilità — lavoro autonomo</t>
        </is>
      </c>
      <c r="B11" s="12" t="n">
        <v>5500</v>
      </c>
      <c r="C11" s="10" t="inlineStr">
        <is>
          <t>Messaggio INPS n. 1414 del 9 aprile 2024</t>
        </is>
      </c>
    </row>
    <row r="12" ht="45" customHeight="1">
      <c r="A12" s="8" t="inlineStr">
        <is>
          <t>Soglia di compatibilità — lavoro subordinato</t>
        </is>
      </c>
      <c r="B12" s="12" t="n">
        <v>8500</v>
      </c>
      <c r="C12" s="10" t="inlineStr">
        <is>
          <t>Messaggio INPS n. 1414 del 9 aprile 2024. Entro soglia l'indennità prosegue ridotta dell'80% del reddito previsto, e solo dentro la finestra dell'indennità; oltre, decadenza.</t>
        </is>
      </c>
    </row>
    <row r="13" ht="15" customHeight="1">
      <c r="A13" s="8" t="inlineStr">
        <is>
          <t>Contributi IVS a carico del dipendente</t>
        </is>
      </c>
      <c r="B13" s="16" t="n">
        <v>0.0919</v>
      </c>
      <c r="C13" s="10" t="inlineStr">
        <is>
          <t>Aliquota ordinaria del settore privato</t>
        </is>
      </c>
    </row>
    <row r="14" ht="15" customHeight="1">
      <c r="A14" s="8" t="inlineStr">
        <is>
          <t>Aliquota di computo pensionistico — dipendenti</t>
        </is>
      </c>
      <c r="B14" s="16" t="n">
        <v>0.33</v>
      </c>
      <c r="C14" s="10" t="inlineStr">
        <is>
          <t>Art. 1 L. 335/1995</t>
        </is>
      </c>
    </row>
    <row r="15" ht="60" customHeight="1">
      <c r="A15" s="8" t="inlineStr">
        <is>
          <t>Restituzione dell'anticipo NASpI in unica soluzione</t>
        </is>
      </c>
      <c r="C15" s="10" t="inlineStr">
        <is>
          <t>Corte costituzionale n. 90/2024 e circolare INPS n. 36 del 4/2/2025: la restituzione resta INTEGRALE; l'attenuazione vale solo per forza maggiore documentata, su lista chiusa, con dichiarazione entro 30 giorni. Procedure concorsuali e insuccesso commerciale ESPRESSAMENTE esclusi.</t>
        </is>
      </c>
    </row>
    <row r="16">
      <c r="A16" s="7" t="inlineStr">
        <is>
          <t>IRPEF E BONUS 2026</t>
        </is>
      </c>
    </row>
    <row r="17" ht="15" customHeight="1">
      <c r="A17" s="8" t="inlineStr">
        <is>
          <t>Primo scaglione IRPEF</t>
        </is>
      </c>
      <c r="B17" s="16" t="n">
        <v>0.23</v>
      </c>
      <c r="C17" s="10" t="inlineStr">
        <is>
          <t>Fino a 28.000 € — L. Bilancio 2026</t>
        </is>
      </c>
    </row>
    <row r="18" ht="15" customHeight="1">
      <c r="A18" s="8" t="inlineStr">
        <is>
          <t>Secondo scaglione IRPEF</t>
        </is>
      </c>
      <c r="B18" s="16" t="n">
        <v>0.33</v>
      </c>
      <c r="C18" s="10" t="inlineStr">
        <is>
          <t>Da 28.000 a 50.000 €</t>
        </is>
      </c>
    </row>
    <row r="19" ht="15" customHeight="1">
      <c r="A19" s="8" t="inlineStr">
        <is>
          <t>Terzo scaglione IRPEF</t>
        </is>
      </c>
      <c r="B19" s="16" t="n">
        <v>0.43</v>
      </c>
      <c r="C19" s="10" t="inlineStr">
        <is>
          <t>Oltre 50.000 €</t>
        </is>
      </c>
    </row>
    <row r="20" ht="15" customHeight="1">
      <c r="A20" s="8" t="inlineStr">
        <is>
          <t>Detrazione da lavoro dipendente</t>
        </is>
      </c>
      <c r="C20" s="10" t="inlineStr">
        <is>
          <t>Art. 13 c. 1 TUIR</t>
        </is>
      </c>
    </row>
    <row r="21" ht="30" customHeight="1">
      <c r="A21" s="8" t="inlineStr">
        <is>
          <t>Trattamento integrativo</t>
        </is>
      </c>
      <c r="B21" s="12" t="n">
        <v>1200</v>
      </c>
      <c r="C21" s="10" t="inlineStr">
        <is>
          <t>D.L. 3/2020: spetta fino a 15.000 € di reddito, se l'imposta lorda supera la detrazione</t>
        </is>
      </c>
    </row>
    <row r="22" ht="30" customHeight="1">
      <c r="A22" s="8" t="inlineStr">
        <is>
          <t>Somma integrativa sul cuneo</t>
        </is>
      </c>
      <c r="C22" s="10" t="inlineStr">
        <is>
          <t>L. 207/2024 art. 1 cc. 4-5: 7,1% fino a 8.500 €, 5,3% fino a 15.000, 4,8% fino a 20.000</t>
        </is>
      </c>
    </row>
    <row r="23" ht="30" customHeight="1">
      <c r="A23" s="8" t="inlineStr">
        <is>
          <t>Ulteriore detrazione</t>
        </is>
      </c>
      <c r="B23" s="12" t="n">
        <v>1000</v>
      </c>
      <c r="C23" s="10" t="inlineStr">
        <is>
          <t>L. 207/2024 art. 1 c. 6: piena da 20.000 a 32.000 €, poi decrescente fino a 40.000</t>
        </is>
      </c>
    </row>
    <row r="24" ht="45" customHeight="1">
      <c r="A24" s="8" t="inlineStr">
        <is>
          <t>Addizionali locali (ipotesi di canale)</t>
        </is>
      </c>
      <c r="B24" s="16" t="n">
        <v>0.02</v>
      </c>
      <c r="C24" s="10" t="inlineStr">
        <is>
          <t>Non dovute quando l'imposta netta è zero (art. 50 c. 2 D.Lgs. 446/1997). In molte Regioni sotto i 15.000 € sono azzerate: sarebbe un ulteriore vantaggio del dipendente.</t>
        </is>
      </c>
    </row>
    <row r="25">
      <c r="A25" s="7" t="inlineStr">
        <is>
          <t>FORFETTARIO E CONTRIBUTI</t>
        </is>
      </c>
    </row>
    <row r="26" ht="15" customHeight="1">
      <c r="A26" s="8" t="inlineStr">
        <is>
          <t>Coefficiente di redditività — altre attività</t>
        </is>
      </c>
      <c r="B26" s="16" t="n">
        <v>0.67</v>
      </c>
      <c r="C26" s="10" t="inlineStr">
        <is>
          <t>Allegato 4 L. 190/2014, gruppo «altre attività economiche»</t>
        </is>
      </c>
    </row>
    <row r="27" ht="15" customHeight="1">
      <c r="A27" s="8" t="inlineStr">
        <is>
          <t>Aliquota sostitutiva del forfettario</t>
        </is>
      </c>
      <c r="B27" s="16" t="n">
        <v>0.15</v>
      </c>
      <c r="C27" s="10" t="inlineStr">
        <is>
          <t>L. 190/2014 art. 1 c. 64</t>
        </is>
      </c>
    </row>
    <row r="28" ht="15" customHeight="1">
      <c r="A28" s="8" t="inlineStr">
        <is>
          <t>Reddito minimale INPS 2026</t>
        </is>
      </c>
      <c r="B28" s="25" t="n">
        <v>18808</v>
      </c>
      <c r="C28" s="10" t="inlineStr">
        <is>
          <t>Circolare INPS sui minimali 2026</t>
        </is>
      </c>
    </row>
    <row r="29" ht="30" customHeight="1">
      <c r="A29" s="8" t="inlineStr">
        <is>
          <t>Aliquota IVS gestione commercianti</t>
        </is>
      </c>
      <c r="B29" s="16" t="n">
        <v>0.2448</v>
      </c>
      <c r="C29" s="10" t="inlineStr">
        <is>
          <t>Di cui lo 0,48% finanzia l'indennizzo per la cessazione dell'attività: l'aliquota di COMPUTO è il 24%</t>
        </is>
      </c>
    </row>
    <row r="30" ht="15" customHeight="1">
      <c r="A30" s="8" t="inlineStr">
        <is>
          <t>Quota fissa maternita'</t>
        </is>
      </c>
      <c r="B30" s="25" t="n">
        <v>7.44</v>
      </c>
      <c r="C30" s="10" t="inlineStr">
        <is>
          <t>Importo annuo</t>
        </is>
      </c>
    </row>
    <row r="31" ht="15" customHeight="1">
      <c r="A31" s="8" t="inlineStr">
        <is>
          <t>Riduzione contributiva richiedibile</t>
        </is>
      </c>
      <c r="B31" s="16" t="n">
        <v>0.35</v>
      </c>
      <c r="C31" s="10" t="inlineStr">
        <is>
          <t>L. 190/2014 art. 1 c. 77</t>
        </is>
      </c>
    </row>
    <row r="32" ht="15" customHeight="1">
      <c r="A32" s="8" t="inlineStr">
        <is>
          <t>Gestione Separata — professionisti senza cassa</t>
        </is>
      </c>
      <c r="B32" s="16" t="n">
        <v>0.2607</v>
      </c>
      <c r="C32" s="10" t="inlineStr">
        <is>
          <t>Aliquota 2026</t>
        </is>
      </c>
    </row>
    <row r="33" ht="15" customHeight="1">
      <c r="A33" s="8" t="inlineStr">
        <is>
          <t>Gestione Separata — collaborazioni e occasionali</t>
        </is>
      </c>
      <c r="B33" s="16" t="n">
        <v>0.3372</v>
      </c>
      <c r="C33" s="10" t="inlineStr">
        <is>
          <t>Aliquota 2026</t>
        </is>
      </c>
    </row>
    <row r="34" ht="30" customHeight="1">
      <c r="A34" s="8" t="inlineStr">
        <is>
          <t>Soglia dell'occasionale</t>
        </is>
      </c>
      <c r="B34" s="12" t="n">
        <v>5000</v>
      </c>
      <c r="C34" s="10" t="inlineStr">
        <is>
          <t>Oltre la quale scatta l'obbligo di Gestione Separata sull'eccedenza; la ritenuta d'acconto è il 20% (art. 25 D.P.R. 600/1973)</t>
        </is>
      </c>
    </row>
    <row r="35" ht="30" customHeight="1">
      <c r="A35" s="8" t="inlineStr">
        <is>
          <t>Soglia dei redditi da lavoro dipendente per il forfettario</t>
        </is>
      </c>
      <c r="B35" s="12" t="n">
        <v>35000</v>
      </c>
      <c r="C35" s="10" t="inlineStr">
        <is>
          <t>Art. 1 c. 27 L. 199/2025: vale SOLO per il 2025 e il 2026. Dal 2027, senza nuovi interventi, torna a 30.000 €.</t>
        </is>
      </c>
    </row>
    <row r="36">
      <c r="A36" s="7" t="inlineStr">
        <is>
          <t>PATRIMONIO E PENSIONI</t>
        </is>
      </c>
    </row>
    <row r="37" ht="15" customHeight="1">
      <c r="A37" s="8" t="inlineStr">
        <is>
          <t>Imposta sulle plusvalenze finanziarie</t>
        </is>
      </c>
      <c r="B37" s="16" t="n">
        <v>0.26</v>
      </c>
      <c r="C37" s="10" t="inlineStr">
        <is>
          <t>Aliquota ordinaria</t>
        </is>
      </c>
    </row>
    <row r="38" ht="15" customHeight="1">
      <c r="A38" s="8" t="inlineStr">
        <is>
          <t>Imposta di bollo sul dossier titoli</t>
        </is>
      </c>
      <c r="B38" s="16" t="n">
        <v>0.002</v>
      </c>
      <c r="C38" s="10" t="inlineStr">
        <is>
          <t>Aliquota annua</t>
        </is>
      </c>
    </row>
    <row r="39" ht="45" customHeight="1">
      <c r="A39" s="8" t="inlineStr">
        <is>
          <t>Coefficiente di trasformazione — 68 anni e 2 mesi</t>
        </is>
      </c>
      <c r="B39" s="16" t="n">
        <v>0.05844</v>
      </c>
      <c r="C39" s="10" t="inlineStr">
        <is>
          <t>Interpolato sui coefficienti 2025-2026. PROIEZIONE della Ragioneria Generale dello Stato (Nota di aggiornamento dicembre 2025), NON una norma.</t>
        </is>
      </c>
    </row>
    <row r="40" ht="15" customHeight="1">
      <c r="A40" s="8" t="inlineStr">
        <is>
          <t>Tassazione separata sull'incentivo all'esodo</t>
        </is>
      </c>
      <c r="B40" s="16" t="n">
        <v>0.2476</v>
      </c>
      <c r="C40" s="10" t="inlineStr">
        <is>
          <t>Art. 19 TUIR, reddito di riferimento del quinquennio</t>
        </is>
      </c>
    </row>
    <row r="41" ht="15" customHeight="1">
      <c r="A41" s="8" t="inlineStr">
        <is>
          <t>Plusvalenza sulla cessione immobiliare oltre i cinque anni</t>
        </is>
      </c>
      <c r="B41" s="12" t="n">
        <v>0</v>
      </c>
      <c r="C41" s="10" t="inlineStr">
        <is>
          <t>Art. 67 c. 1 lett. b TUIR: nessuna imposta</t>
        </is>
      </c>
    </row>
    <row r="42"/>
    <row r="43">
      <c r="A43" s="7" t="inlineStr">
        <is>
          <t>LE DUE SCADENZE DI QUESTO FOGLIO</t>
        </is>
      </c>
    </row>
    <row r="44" ht="45" customHeight="1">
      <c r="A44" s="10" t="inlineStr">
        <is>
          <t>PRIMA SCADENZA — GENNAIO 2027. Si rivalutano la soglia e il tetto della NASpI, i minimali e le aliquote INPS, i coefficienti di trasformazione, gli scaglioni e le detrazioni IRPEF, gli importi del trattamento e della somma integrativa. I numeri di questo foglio sono al 2026: da gennaio vanno rifatti tutti, e il decalage degli over 55 va riconfermato su circolare INPS.</t>
        </is>
      </c>
    </row>
    <row r="45" ht="60" customHeight="1">
      <c r="A45" s="10" t="inlineStr">
        <is>
          <t>SECONDA SCADENZA — 1 GENNAIO 2027, e non è una rivalutazione. La soglia dei 35.000 € di redditi da lavoro dipendente per l'accesso al forfettario vale SOLO per il 2025 e il 2026 (art. 1 c. 27 L. 199/2025): dal 2027, senza nuovi interventi, torna a 30.000 €. E i coefficienti di redditività dell'Allegato 4 continuano ad applicarsi IN ATTESA dei nuovi criteri basati sulla classificazione ATECO 2025: quando arriveranno, il 67% di questo foglio andra' riletto.</t>
        </is>
      </c>
    </row>
    <row r="46" ht="30" customHeight="1">
      <c r="A46" s="10" t="inlineStr">
        <is>
          <t>COSA NON C'È IN QUESTO FOGLIO, e non per dimenticanza: nessuna rendita. Cedole e dividendi non sono una fonte separata di reddito, sono già dentro il rendimento del portafoglio, e contarli due volte è l'errore più comune di chi costruisce un piano di prelievo.</t>
        </is>
      </c>
    </row>
  </sheetData>
  <mergeCells count="10">
    <mergeCell ref="A25:C25"/>
    <mergeCell ref="A36:C36"/>
    <mergeCell ref="A44:C44"/>
    <mergeCell ref="A1:C1"/>
    <mergeCell ref="A16:C16"/>
    <mergeCell ref="A45:C45"/>
    <mergeCell ref="A46:C46"/>
    <mergeCell ref="A4:C4"/>
    <mergeCell ref="A43:C4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2026-08-16T20:01:32Z</dcterms:created>
  <dcterms:modified xmlns:dcterms="http://purl.org/dc/terms/" xmlns:xsi="http://www.w3.org/2001/XMLSchema-instance" xsi:type="dcterms:W3CDTF">2026-08-16T20:01:32Z</dcterms:modified>
</cp:coreProperties>
</file>