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- Indice" sheetId="1" state="visible" r:id="rId1"/>
    <sheet xmlns:r="http://schemas.openxmlformats.org/officeDocument/2006/relationships" name="1 - INPUT" sheetId="2" state="visible" r:id="rId2"/>
    <sheet xmlns:r="http://schemas.openxmlformats.org/officeDocument/2006/relationships" name="2 - NASPI" sheetId="3" state="visible" r:id="rId3"/>
    <sheet xmlns:r="http://schemas.openxmlformats.org/officeDocument/2006/relationships" name="3 - TFR" sheetId="4" state="visible" r:id="rId4"/>
    <sheet xmlns:r="http://schemas.openxmlformats.org/officeDocument/2006/relationships" name="4 - PONTE" sheetId="5" state="visible" r:id="rId5"/>
    <sheet xmlns:r="http://schemas.openxmlformats.org/officeDocument/2006/relationships" name="5 - PATRIMONIO" sheetId="6" state="visible" r:id="rId6"/>
    <sheet xmlns:r="http://schemas.openxmlformats.org/officeDocument/2006/relationships" name="6 - VOLONTARI" sheetId="7" state="visible" r:id="rId7"/>
    <sheet xmlns:r="http://schemas.openxmlformats.org/officeDocument/2006/relationships" name="7 - PARAMETRI 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€&quot;"/>
    <numFmt numFmtId="165" formatCode="0.000%"/>
    <numFmt numFmtId="166" formatCode="0.0%"/>
    <numFmt numFmtId="167" formatCode="#,##0.00&quot; €&quot;"/>
    <numFmt numFmtId="168" formatCode="0.000000"/>
  </numFmts>
  <fonts count="12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color rgb="001E40AF"/>
      <sz val="14"/>
    </font>
    <font>
      <name val="Calibri"/>
      <b val="1"/>
      <color rgb="001E40AF"/>
      <sz val="20"/>
    </font>
    <font>
      <name val="Calibri"/>
      <b val="1"/>
      <sz val="12"/>
    </font>
    <font>
      <name val="Calibri"/>
      <b val="1"/>
      <color rgb="001E40AF"/>
      <sz val="12"/>
    </font>
  </fonts>
  <fills count="10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FDE68A"/>
      </patternFill>
    </fill>
    <fill>
      <patternFill patternType="solid">
        <fgColor rgb="00DBEAFE"/>
      </patternFill>
    </fill>
    <fill>
      <patternFill patternType="solid">
        <fgColor rgb="00FEF08A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6" fontId="8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168" fontId="5" fillId="6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7" fontId="4" fillId="6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7" fontId="8" fillId="7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9" fillId="7" borderId="1" applyAlignment="1" pivotButton="0" quotePrefix="0" xfId="0">
      <alignment horizontal="center" vertical="center" wrapText="1"/>
    </xf>
    <xf numFmtId="1" fontId="9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1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 wrapText="1"/>
    </xf>
    <xf numFmtId="2" fontId="5" fillId="6" borderId="1" applyAlignment="1" pivotButton="0" quotePrefix="0" xfId="0">
      <alignment horizontal="right" vertical="center"/>
    </xf>
    <xf numFmtId="2" fontId="10" fillId="6" borderId="1" applyAlignment="1" pivotButton="0" quotePrefix="0" xfId="0">
      <alignment horizontal="right" vertical="center"/>
    </xf>
    <xf numFmtId="0" fontId="11" fillId="8" borderId="0" pivotButton="0" quotePrefix="0" xfId="0"/>
  </cellXfs>
  <cellStyles count="1">
    <cellStyle name="Normal" xfId="0" builtinId="0" hidden="0"/>
  </cellStyles>
  <dxfs count="2">
    <dxf>
      <font>
        <b val="1"/>
        <color rgb="00991B1B"/>
      </font>
      <fill>
        <patternFill patternType="solid">
          <fgColor rgb="00FECACA"/>
        </patternFill>
      </fill>
    </dxf>
    <dxf>
      <fill>
        <patternFill patternType="solid">
          <fgColor rgb="00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FIRE per forza — NASPI, TFR, ponte e patrimonio dopo un licenziamento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3" t="inlineStr">
        <is>
          <t>Indice</t>
        </is>
      </c>
    </row>
    <row r="5" ht="22" customHeight="1">
      <c r="A5" s="4" t="inlineStr">
        <is>
          <t>1 - INPUT</t>
        </is>
      </c>
      <c r="B5" s="5" t="inlineStr">
        <is>
          <t>Il caso, il patrimonio (la latente si CALCOLA), la sequenza dei rendimenti</t>
        </is>
      </c>
    </row>
    <row r="6" ht="22" customHeight="1">
      <c r="A6" s="4" t="inlineStr">
        <is>
          <t>2 - NASPI</t>
        </is>
      </c>
      <c r="B6" s="5" t="inlineStr">
        <is>
          <t>I 24 assegni: lorda, riduzione, imposte, trattamento, somma differita, CASSA</t>
        </is>
      </c>
    </row>
    <row r="7" ht="22" customHeight="1">
      <c r="A7" s="4" t="inlineStr">
        <is>
          <t>3 - TFR</t>
        </is>
      </c>
      <c r="B7" s="5" t="inlineStr">
        <is>
          <t>TFR in azienda (separata, salvaguardia, detrazione) e nel fondo (riscatti, RITA)</t>
        </is>
      </c>
    </row>
    <row r="8" ht="22" customHeight="1">
      <c r="A8" s="4" t="inlineStr">
        <is>
          <t>4 - PONTE</t>
        </is>
      </c>
      <c r="B8" s="5" t="inlineStr">
        <is>
          <t>I due ponti in mesi di spesa e il mese del primo prelievo</t>
        </is>
      </c>
    </row>
    <row r="9" ht="22" customHeight="1">
      <c r="A9" s="4" t="inlineStr">
        <is>
          <t>5 - PATRIMONIO</t>
        </is>
      </c>
      <c r="B9" s="5" t="inlineStr">
        <is>
          <t>44 anni di simulazione, la griglia 4x4, il semaforo, la riga-ingrediente</t>
        </is>
      </c>
    </row>
    <row r="10" ht="22" customHeight="1">
      <c r="A10" s="4" t="inlineStr">
        <is>
          <t>6 - VOLONTARI</t>
        </is>
      </c>
      <c r="B10" s="5" t="inlineStr">
        <is>
          <t>Prosecuzione volontaria: costo, beneficio netto, pareggio, valore attuale</t>
        </is>
      </c>
    </row>
    <row r="11" ht="22" customHeight="1">
      <c r="A11" s="4" t="inlineStr">
        <is>
          <t>7 - PARAMETRI 2026</t>
        </is>
      </c>
      <c r="B11" s="5" t="inlineStr">
        <is>
          <t>Tutti i parametri 2026 con la fonte, e le due scadenze</t>
        </is>
      </c>
    </row>
    <row r="12"/>
    <row r="13">
      <c r="A13" s="3" t="inlineStr">
        <is>
          <t>Come usare</t>
        </is>
      </c>
    </row>
    <row r="14">
      <c r="A14" s="5" t="inlineStr">
        <is>
          <t>1. Le celle GIALLE sono input — modificale coi tuoi numeri.</t>
        </is>
      </c>
    </row>
    <row r="15">
      <c r="A15" s="5" t="inlineStr">
        <is>
          <t>2. Le celle VERDI sono output — si aggiornano automaticamente.</t>
        </is>
      </c>
    </row>
    <row r="16">
      <c r="A16" s="5" t="inlineStr">
        <is>
          <t>3. Tutti i numeri di default sono al 2026 da fonti pubbliche.</t>
        </is>
      </c>
    </row>
    <row r="17">
      <c r="A17" s="5" t="inlineStr">
        <is>
          <t>4. Niente codice nascosto: l'Excel è solo formule modificabili.</t>
        </is>
      </c>
    </row>
    <row r="18"/>
    <row r="19">
      <c r="A19" s="3" t="inlineStr">
        <is>
          <t>Fonti dati</t>
        </is>
      </c>
    </row>
    <row r="20">
      <c r="A20" s="5" t="inlineStr">
        <is>
          <t>• D.Lgs. 4 marzo 2015 n. 22 (NASPI): artt. 4, 5 c. 1, 6 c. 1, 9, 10, 12 c. 1</t>
        </is>
      </c>
    </row>
    <row r="21">
      <c r="A21" s="5" t="inlineStr">
        <is>
          <t>• Messaggio INPS n. 1414 del 9 aprile 2024 (soglie 5.500 / 8.500)</t>
        </is>
      </c>
    </row>
    <row r="22">
      <c r="A22" s="5" t="inlineStr">
        <is>
          <t>• Circolare INPS n. 96/2020 (trattamento integrativo) e n. 40 del 3 aprile 2026 (CU)</t>
        </is>
      </c>
    </row>
    <row r="23">
      <c r="A23" s="5" t="inlineStr">
        <is>
          <t>• L. 207/2024, art. 1 cc. 4-9; FAQ Agenzia delle Entrate del 30 aprile 2026</t>
        </is>
      </c>
    </row>
    <row r="24">
      <c r="A24" s="5" t="inlineStr">
        <is>
          <t>• Art. 2120 c.c.; art. 19 TUIR; art. 1 c. 9 L. 296/2006; D.M. 20 marzo 2008</t>
        </is>
      </c>
    </row>
    <row r="25">
      <c r="A25" s="5" t="inlineStr">
        <is>
          <t>• D.Lgs. 252/2005: art. 11 cc. 4 e 4-bis, art. 14 c. 2 lett. b) e c), c. 5</t>
        </is>
      </c>
    </row>
    <row r="26">
      <c r="A26" s="5" t="inlineStr">
        <is>
          <t>• L. 18 febbraio 1983 n. 47, art. 1 cc. 3 e 4; D.Lgs. 184/1997, art. 5 cc. 2 e 2-bis</t>
        </is>
      </c>
    </row>
    <row r="27">
      <c r="A27" s="5" t="inlineStr">
        <is>
          <t>• Ragioneria Generale dello Stato, Rapporto n. 26, App. 3 Tab. A3.2 (dic. 2025)</t>
        </is>
      </c>
    </row>
    <row r="28">
      <c r="A28" s="5" t="inlineStr">
        <is>
          <t>• D.P.R. 600/1973 art. 26-quinquies (costo medio ponderato)</t>
        </is>
      </c>
    </row>
    <row r="29">
      <c r="A29" s="5" t="inlineStr">
        <is>
          <t>• D.Lgs. 19 giugno 2026 n. 117 (GU n. 152 del 3 luglio 2026): nuovo TUIR dal 2027</t>
        </is>
      </c>
    </row>
    <row r="30"/>
    <row r="31">
      <c r="A31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62" customWidth="1" min="4" max="4"/>
  </cols>
  <sheetData>
    <row r="1" ht="25" customHeight="1">
      <c r="A1" s="1" t="inlineStr">
        <is>
          <t>1 — INPUT: il caso, il patrimonio, la sequenza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IL CASO — lavoro, spesa, età</t>
        </is>
      </c>
    </row>
    <row r="5" ht="30" customHeight="1">
      <c r="A5" s="8" t="inlineStr">
        <is>
          <t>Retribuzione lorda annua</t>
        </is>
      </c>
      <c r="B5" s="9" t="n">
        <v>50000</v>
      </c>
      <c r="D5" s="10" t="inlineStr">
        <is>
          <t>Caso Paolo: 50.000 € lordi, che è anche la carriera media. Netto 32.712,18 €.</t>
        </is>
      </c>
    </row>
    <row r="6">
      <c r="A6" s="8" t="inlineStr">
        <is>
          <t>anzianità presso l'ultimo datore (anni)</t>
        </is>
      </c>
      <c r="B6" s="11" t="n">
        <v>6</v>
      </c>
    </row>
    <row r="7" ht="45" customHeight="1">
      <c r="A7" s="8" t="inlineStr">
        <is>
          <t>Spesa annua netta</t>
        </is>
      </c>
      <c r="B7" s="9" t="n">
        <v>42000</v>
      </c>
      <c r="D7" s="10" t="inlineStr">
        <is>
          <t>Variabile di scelta, non un dato. Ancora ISTAT persona sola 35-64 anni: 2.097 €/mese = 25.164 €/anno (Paolo è a 1,67 volte, ma il dato ISTAT include l'affitto figurativo).</t>
        </is>
      </c>
    </row>
    <row r="8">
      <c r="A8" s="8" t="inlineStr">
        <is>
          <t>Spesa mensile</t>
        </is>
      </c>
      <c r="B8" s="12">
        <f>B7/12</f>
        <v/>
      </c>
    </row>
    <row r="9">
      <c r="A9" s="8" t="inlineStr">
        <is>
          <t>età oggi</t>
        </is>
      </c>
      <c r="B9" s="11" t="n">
        <v>48</v>
      </c>
    </row>
    <row r="10">
      <c r="A10" s="8" t="inlineStr">
        <is>
          <t>Anno di nascita</t>
        </is>
      </c>
      <c r="B10" s="11" t="n">
        <v>1978</v>
      </c>
    </row>
    <row r="11" ht="60" customHeight="1">
      <c r="A11" s="8" t="inlineStr">
        <is>
          <t>Mese di nascita (1-12)</t>
        </is>
      </c>
      <c r="B11" s="11" t="n">
        <v>9</v>
      </c>
      <c r="D11" s="10" t="inlineStr">
        <is>
          <t>Ramo conservativo: nato nella SECONDA metà del 1978. Chi è nato entro l'aprile esce a 68 anni e 8 mesi nel 2046, con un anno di ponte in meno e circa 40.000 € di capitale in meno.</t>
        </is>
      </c>
    </row>
    <row r="12">
      <c r="A12" s="8" t="inlineStr">
        <is>
          <t>Coorte e requisito proiettato</t>
        </is>
      </c>
      <c r="B12" s="13">
        <f>IF(B11&lt;=6,"68 anni e 8 mesi nel "&amp;(B10+68),"68 anni e 10 mesi nel "&amp;(B10+69))</f>
        <v/>
      </c>
      <c r="C12" s="14" t="n"/>
    </row>
    <row r="13">
      <c r="A13" s="8" t="inlineStr">
        <is>
          <t>Anno di decorrenza della pensione</t>
        </is>
      </c>
      <c r="B13" s="15">
        <f>IF(B11&lt;=6,B10+68,B10+69)</f>
        <v/>
      </c>
    </row>
    <row r="14">
      <c r="A14" s="8" t="inlineStr">
        <is>
          <t>Anni al pensionamento (ponte)</t>
        </is>
      </c>
      <c r="B14" s="15">
        <f>B13-(B10+B9)</f>
        <v/>
      </c>
    </row>
    <row r="15">
      <c r="A15" s="8" t="inlineStr">
        <is>
          <t>Coefficiente di trasformazione</t>
        </is>
      </c>
      <c r="B15" s="16">
        <f>IF(B11&lt;=6,0.05952,0.05988)</f>
        <v/>
      </c>
    </row>
    <row r="16">
      <c r="A16" s="8" t="inlineStr">
        <is>
          <t>età finale del piano</t>
        </is>
      </c>
      <c r="B16" s="11" t="n">
        <v>92</v>
      </c>
    </row>
    <row r="17" ht="30" customHeight="1">
      <c r="A17" s="8" t="inlineStr">
        <is>
          <t>Orizzonte del piano (anni)</t>
        </is>
      </c>
      <c r="B17" s="15">
        <f>B16-B9</f>
        <v/>
      </c>
      <c r="D17" s="10" t="inlineStr">
        <is>
          <t>Il foglio 5 simula esattamente 44 anni. Se cambi età o orizzonte, allunga o accorcia le righe della simulazione.</t>
        </is>
      </c>
    </row>
    <row r="18"/>
    <row r="19">
      <c r="A19" s="7" t="inlineStr">
        <is>
          <t>IL PATRIMONIO — e la latente, che si CALCOLA</t>
        </is>
      </c>
    </row>
    <row r="20">
      <c r="A20" s="8" t="inlineStr">
        <is>
          <t>Quota da evento non ricorrente</t>
        </is>
      </c>
      <c r="B20" s="9" t="n">
        <v>700000</v>
      </c>
    </row>
    <row r="21">
      <c r="A21" s="8" t="inlineStr">
        <is>
          <t xml:space="preserve">  plusvalenza latente su quella quota</t>
        </is>
      </c>
      <c r="B21" s="17" t="n">
        <v>0</v>
      </c>
    </row>
    <row r="22">
      <c r="A22" s="8" t="inlineStr">
        <is>
          <t>Quota da accumulo</t>
        </is>
      </c>
      <c r="B22" s="9" t="n">
        <v>1050000</v>
      </c>
    </row>
    <row r="23">
      <c r="A23" s="8" t="inlineStr">
        <is>
          <t xml:space="preserve">  plusvalenza latente su quella quota</t>
        </is>
      </c>
      <c r="B23" s="17" t="n">
        <v>0.5</v>
      </c>
    </row>
    <row r="24">
      <c r="A24" s="8" t="inlineStr">
        <is>
          <t>PATRIMONIO TOTALE</t>
        </is>
      </c>
      <c r="B24" s="12">
        <f>B20+B22</f>
        <v/>
      </c>
    </row>
    <row r="25" ht="30" customHeight="1">
      <c r="A25" s="8" t="inlineStr">
        <is>
          <t>PLUSVALENZA LATENTE INIZIALE (calcolata)</t>
        </is>
      </c>
      <c r="B25" s="18">
        <f>(B20*B21+B22*B23)/B24</f>
        <v/>
      </c>
      <c r="D25" s="10" t="inlineStr">
        <is>
          <t>Non si digita: esce dalla composizione. 700.000 a latente ~0 più 1.050.000 a latente ~50% fanno esattamente il 30%.</t>
        </is>
      </c>
    </row>
    <row r="26" ht="45" customHeight="1">
      <c r="A26" s="10" t="inlineStr">
        <is>
          <t>La latente è ENDOGENA (foglio 5): la vendita è a costo medio ponderato (art. 26-quinquies D.P.R. 600/1973), quindi la quota di plusvalenza non cresce per effetto del prelievo — cresce solo per effetto del rendimento. A rendimento reale zero resta al 30% per quarantaquattro anni.</t>
        </is>
      </c>
    </row>
    <row r="27"/>
    <row r="28">
      <c r="A28" s="7" t="inlineStr">
        <is>
          <t>LA SEQUENZA DEI RENDIMENTI</t>
        </is>
      </c>
    </row>
    <row r="29">
      <c r="A29" s="8" t="inlineStr">
        <is>
          <t>Media geometrica reale (target)</t>
        </is>
      </c>
      <c r="B29" s="17" t="n">
        <v>0.03</v>
      </c>
    </row>
    <row r="30" ht="60" customHeight="1">
      <c r="A30" s="8" t="inlineStr">
        <is>
          <t>Ordine dei crolli</t>
        </is>
      </c>
      <c r="B30" s="19" t="inlineStr">
        <is>
          <t>costante</t>
        </is>
      </c>
      <c r="D30" s="10" t="inlineStr">
        <is>
          <t>costante = nessun crollo · inizio = crolli agli anni 1-2 · meta = anni 22-23 · fine = anni 43-44. Le posizioni sono dichiarate, non implicite: spostarle di un anno vale circa 700 € l'anno di spesa massima.</t>
        </is>
      </c>
    </row>
    <row r="31">
      <c r="A31" s="8" t="inlineStr">
        <is>
          <t>Primo crollo</t>
        </is>
      </c>
      <c r="B31" s="17" t="n">
        <v>-0.35</v>
      </c>
    </row>
    <row r="32">
      <c r="A32" s="8" t="inlineStr">
        <is>
          <t>Secondo crollo</t>
        </is>
      </c>
      <c r="B32" s="17" t="n">
        <v>-0.2</v>
      </c>
    </row>
    <row r="33" ht="30" customHeight="1">
      <c r="A33" s="8" t="inlineStr">
        <is>
          <t>Rendimento degli anni normali</t>
        </is>
      </c>
      <c r="B33" s="16">
        <f>IF(B30="costante",B29,((1+B29)^B17/((1+B31)*(1+B32)))^(1/(B17-2))-1)</f>
        <v/>
      </c>
      <c r="D33" s="10" t="inlineStr">
        <is>
          <t>Formula dichiarata: ((1+r)^44 / (0,65 x 0,80))^(1/42) - 1. Al 3% reale gli anni normali valgono +4,764%.</t>
        </is>
      </c>
    </row>
    <row r="34">
      <c r="A34" s="8" t="inlineStr">
        <is>
          <t>Posizione del primo crollo (anno)</t>
        </is>
      </c>
      <c r="B34" s="15">
        <f>IF(B30="inizio",1,IF(B30="meta",22,IF(B30="fine",43,0)))</f>
        <v/>
      </c>
    </row>
    <row r="35">
      <c r="A35" s="8" t="inlineStr">
        <is>
          <t>Posizione del secondo crollo (anno)</t>
        </is>
      </c>
      <c r="B35" s="15">
        <f>IF(B34=0,0,B34+1)</f>
        <v/>
      </c>
    </row>
    <row r="36" ht="45" customHeight="1">
      <c r="A36" s="10" t="inlineStr">
        <is>
          <t>ATTENZIONE, è una scelta e non una previsione: due crolli del 35% e del 20% collocati a mano in quarantaquattro anni NON sono una distribuzione di probabilità. Questo foglio non misura la probabilità che il piano fallisca: misura quanto pesa l'ORDINE, a parità di media geometrica.</t>
        </is>
      </c>
    </row>
    <row r="37"/>
    <row r="38">
      <c r="A38" s="7" t="inlineStr">
        <is>
          <t>PARAMETRI FISCALI DEL PORTAFOGLIO</t>
        </is>
      </c>
    </row>
    <row r="39">
      <c r="A39" s="8" t="inlineStr">
        <is>
          <t>Aliquota sulle plusvalenze</t>
        </is>
      </c>
      <c r="B39" s="17" t="n">
        <v>0.26</v>
      </c>
    </row>
    <row r="40" ht="45" customHeight="1">
      <c r="A40" s="8" t="inlineStr">
        <is>
          <t>Imposta di bollo sul dossier titoli</t>
        </is>
      </c>
      <c r="B40" s="20" t="n">
        <v>0.002</v>
      </c>
      <c r="D40" s="10" t="inlineStr">
        <is>
          <t>Calcolata sul patrimonio di FINE anno, non su quello iniziale: nel percorso al 3% reale va da 3.586 € (anno 1) a 5.211 € (anno 44).</t>
        </is>
      </c>
    </row>
  </sheetData>
  <mergeCells count="9">
    <mergeCell ref="A1:D1"/>
    <mergeCell ref="A4:D4"/>
    <mergeCell ref="A26:D26"/>
    <mergeCell ref="A38:D38"/>
    <mergeCell ref="A19:D19"/>
    <mergeCell ref="A2:D2"/>
    <mergeCell ref="A28:D28"/>
    <mergeCell ref="A36:D36"/>
    <mergeCell ref="B12:C12"/>
  </mergeCells>
  <dataValidations count="1">
    <dataValidation sqref="B30" showDropDown="0" showInputMessage="0" showErrorMessage="0" allowBlank="0" type="list">
      <formula1>"costante,inizio,meta,fine"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7" customWidth="1" min="7" max="7"/>
    <col width="3" customWidth="1" min="8" max="8"/>
    <col width="56" customWidth="1" min="9" max="9"/>
  </cols>
  <sheetData>
    <row r="1" ht="25" customHeight="1">
      <c r="A1" s="1" t="inlineStr">
        <is>
          <t>2 — NASPI: dalla lorda alla cassa vera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PARAMETRI DELL'INDENNITÀ</t>
        </is>
      </c>
    </row>
    <row r="5">
      <c r="A5" s="8" t="inlineStr">
        <is>
          <t>Retribuzione lorda annua</t>
        </is>
      </c>
      <c r="C5" s="12">
        <f>'1 - INPUT'!B5</f>
        <v/>
      </c>
    </row>
    <row r="6">
      <c r="A6" s="8" t="inlineStr">
        <is>
          <t>Retribuzione media mensile imponibile</t>
        </is>
      </c>
      <c r="C6" s="21">
        <f>C5/12</f>
        <v/>
      </c>
    </row>
    <row r="7">
      <c r="A7" s="8" t="inlineStr">
        <is>
          <t>Soglia di riferimento 2026</t>
        </is>
      </c>
      <c r="C7" s="22" t="n">
        <v>1456.9</v>
      </c>
    </row>
    <row r="8">
      <c r="A8" s="8" t="inlineStr">
        <is>
          <t>Massimale mensile 2026</t>
        </is>
      </c>
      <c r="C8" s="22" t="n">
        <v>1584.7</v>
      </c>
    </row>
    <row r="9" ht="30" customHeight="1">
      <c r="A9" s="8" t="inlineStr">
        <is>
          <t>NASPI MENSILE LORDA INIZIALE</t>
        </is>
      </c>
      <c r="C9" s="21">
        <f>MIN(C8,0.75*MIN(C6,C7)+0.25*MAX(0,C6-C7))</f>
        <v/>
      </c>
      <c r="I9" s="10" t="inlineStr">
        <is>
          <t>75% della retribuzione media fino alla soglia, più il 25% dell'eccedenza, con il tetto del massimale.</t>
        </is>
      </c>
    </row>
    <row r="10">
      <c r="A10" s="8" t="inlineStr">
        <is>
          <t>Riduzione mensile dal sesto mese</t>
        </is>
      </c>
      <c r="C10" s="17" t="n">
        <v>0.03</v>
      </c>
    </row>
    <row r="11" ht="30" customHeight="1">
      <c r="A11" s="8" t="inlineStr">
        <is>
          <t>Durata (mesi)</t>
        </is>
      </c>
      <c r="C11" s="11" t="n">
        <v>24</v>
      </c>
      <c r="I11" s="10" t="inlineStr">
        <is>
          <t>Art. 5 c. 1 D.Lgs. 22/2015. Il tetto delle 78 settimane è abrogato dall'art. 43 c. 3 D.Lgs. 148/2015.</t>
        </is>
      </c>
    </row>
    <row r="12" ht="30" customHeight="1">
      <c r="A12" s="8" t="inlineStr">
        <is>
          <t>Retribuzione oltre la quale si è al massimale</t>
        </is>
      </c>
      <c r="C12" s="12">
        <f>12*(C7+(C8-0.75*C7)/0.25)</f>
        <v/>
      </c>
      <c r="I12" s="10" t="inlineStr">
        <is>
          <t>Sopra questa retribuzione l'assegno è identico per tutti: circa 41.100 € lordi l'anno.</t>
        </is>
      </c>
    </row>
    <row r="13">
      <c r="A13" s="8" t="inlineStr">
        <is>
          <t>Ultimo assegno in % del primo</t>
        </is>
      </c>
      <c r="C13" s="23">
        <f>(1-C10)^(C11-5)</f>
        <v/>
      </c>
    </row>
    <row r="14"/>
    <row r="15">
      <c r="A15" s="7" t="inlineStr">
        <is>
          <t>IL CALCOLO FISCALE, ANNO PER ANNO</t>
        </is>
      </c>
    </row>
    <row r="16">
      <c r="A16" s="24" t="inlineStr">
        <is>
          <t>Voce</t>
        </is>
      </c>
      <c r="C16" s="24" t="inlineStr">
        <is>
          <t>Anno 1</t>
        </is>
      </c>
      <c r="D16" s="24" t="inlineStr">
        <is>
          <t>Anno 2</t>
        </is>
      </c>
    </row>
    <row r="17">
      <c r="A17" s="8" t="inlineStr">
        <is>
          <t>NASPI lorda dell'anno (imponibile)</t>
        </is>
      </c>
      <c r="B17" s="14" t="n"/>
      <c r="C17" s="21">
        <f>SUM(B33:B44)</f>
        <v/>
      </c>
      <c r="D17" s="21">
        <f>SUM(B45:B56)</f>
        <v/>
      </c>
    </row>
    <row r="18">
      <c r="A18" s="8" t="inlineStr">
        <is>
          <t>IRPEF lorda (scaglioni 2026)</t>
        </is>
      </c>
      <c r="B18" s="14" t="n"/>
      <c r="C18" s="21">
        <f>(MIN(C17,28000)*0.23+MAX(0,MIN(C17,50000)-28000)*0.33+MAX(0,C17-50000)*0.43)</f>
        <v/>
      </c>
      <c r="D18" s="21">
        <f>(MIN(D17,28000)*0.23+MAX(0,MIN(D17,50000)-28000)*0.33+MAX(0,D17-50000)*0.43)</f>
        <v/>
      </c>
    </row>
    <row r="19">
      <c r="A19" s="8" t="inlineStr">
        <is>
          <t>Detrazione art. 13 c. 1 TUIR</t>
        </is>
      </c>
      <c r="B19" s="14" t="n"/>
      <c r="C19" s="21">
        <f>IF(C17&lt;=15000,1955,IF(C17&lt;=28000,1910+1190*(28000-C17)/13000,IF(C17&lt;=50000,1910*(50000-C17)/22000,0)))</f>
        <v/>
      </c>
      <c r="D19" s="21">
        <f>IF(D17&lt;=15000,1955,IF(D17&lt;=28000,1910+1190*(28000-D17)/13000,IF(D17&lt;=50000,1910*(50000-D17)/22000,0)))</f>
        <v/>
      </c>
    </row>
    <row r="20">
      <c r="A20" s="8" t="inlineStr">
        <is>
          <t>IRPEF netta</t>
        </is>
      </c>
      <c r="B20" s="14" t="n"/>
      <c r="C20" s="21">
        <f>MAX(0,C18-C19)</f>
        <v/>
      </c>
      <c r="D20" s="21">
        <f>MAX(0,D18-D19)</f>
        <v/>
      </c>
    </row>
    <row r="21">
      <c r="A21" s="8" t="inlineStr">
        <is>
          <t>Addizionali regionale e comunale (2%)</t>
        </is>
      </c>
      <c r="B21" s="14" t="n"/>
      <c r="C21" s="21">
        <f>0.02*C17</f>
        <v/>
      </c>
      <c r="D21" s="21">
        <f>0.02*D17</f>
        <v/>
      </c>
    </row>
    <row r="22">
      <c r="A22" s="8" t="inlineStr">
        <is>
          <t>Trattamento integrativo (mensile, in cassa)</t>
        </is>
      </c>
      <c r="B22" s="14" t="n"/>
      <c r="C22" s="21">
        <f>IF(AND(C17&lt;=15000,C18&gt;1955),1200,0)</f>
        <v/>
      </c>
      <c r="D22" s="21">
        <f>IF(AND(D17&lt;=15000,D18&gt;1955),1200,0)</f>
        <v/>
      </c>
    </row>
    <row r="23">
      <c r="A23" s="8" t="inlineStr">
        <is>
          <t>Somma integrativa L. 207/2024 (DIFFERITA)</t>
        </is>
      </c>
      <c r="B23" s="14" t="n"/>
      <c r="C23" s="21">
        <f>IF(C17&lt;=8500,0.071*C17,IF(C17&lt;=15000,0.053*C17,IF(C17&lt;=20000,0.048*C17,0)))</f>
        <v/>
      </c>
      <c r="D23" s="21">
        <f>IF(D17&lt;=8500,0.071*D17,IF(D17&lt;=15000,0.053*D17,IF(D17&lt;=20000,0.048*D17,0)))</f>
        <v/>
      </c>
    </row>
    <row r="24">
      <c r="A24" s="8" t="inlineStr">
        <is>
          <t>NASPI NETTA CONTABILE</t>
        </is>
      </c>
      <c r="B24" s="14" t="n"/>
      <c r="C24" s="21">
        <f>C17-C20-C21+C22+C23</f>
        <v/>
      </c>
      <c r="D24" s="21">
        <f>D17-D20-D21+D22+D23</f>
        <v/>
      </c>
    </row>
    <row r="25">
      <c r="A25" s="8" t="inlineStr">
        <is>
          <t>NASPI DI CASSA (senza la somma integrativa)</t>
        </is>
      </c>
      <c r="B25" s="14" t="n"/>
      <c r="C25" s="21">
        <f>C24-C23</f>
        <v/>
      </c>
      <c r="D25" s="21">
        <f>D24-D23</f>
        <v/>
      </c>
    </row>
    <row r="26">
      <c r="A26" s="8" t="inlineStr">
        <is>
          <t>Fattore di cassa (cassa / lorda)</t>
        </is>
      </c>
      <c r="B26" s="14" t="n"/>
      <c r="C26" s="25">
        <f>C25/C17</f>
        <v/>
      </c>
      <c r="D26" s="25">
        <f>D25/D17</f>
        <v/>
      </c>
    </row>
    <row r="27" ht="26" customHeight="1">
      <c r="A27" s="8" t="inlineStr">
        <is>
          <t>TOTALE 24 MESI — lordo / netto contabile / CASSA</t>
        </is>
      </c>
      <c r="B27" s="14" t="n"/>
      <c r="C27" s="12">
        <f>C17+D17</f>
        <v/>
      </c>
      <c r="D27" s="12">
        <f>C24+D24</f>
        <v/>
      </c>
      <c r="E27" s="26">
        <f>C25+D25</f>
        <v/>
      </c>
    </row>
    <row r="28" ht="60" customHeight="1">
      <c r="A28" s="10" t="inlineStr">
        <is>
          <t>DECISIONE D23 — convenzione unica di SOLA CASSA. La somma integrativa non arriva nel cedolino: si recupera in dichiarazione dei redditi l'anno dopo. Quindi resta FUORI dal ponte del foglio 4 e dentro il consiglio operativo: senza dichiarazione questi soldi si perdono. Il totale contabile (30.354 € netti su 30.437 lordi) resta un'altra grandezza, ed è quella che entra nel foglio 5.</t>
        </is>
      </c>
    </row>
    <row r="29">
      <c r="A29" s="8" t="inlineStr">
        <is>
          <t>Somma integrativa recuperabile SOLO in dichiarazione</t>
        </is>
      </c>
      <c r="B29" s="14" t="n"/>
      <c r="C29" s="12">
        <f>C23+D23</f>
        <v/>
      </c>
    </row>
    <row r="30"/>
    <row r="31">
      <c r="A31" s="7" t="inlineStr">
        <is>
          <t>LE VENTIQUATTRO MENSILITÀ</t>
        </is>
      </c>
    </row>
    <row r="32" ht="42" customHeight="1">
      <c r="A32" s="24" t="inlineStr">
        <is>
          <t>Mese</t>
        </is>
      </c>
      <c r="B32" s="24" t="inlineStr">
        <is>
          <t>NASPI lorda</t>
        </is>
      </c>
      <c r="C32" s="24" t="inlineStr">
        <is>
          <t>In % del primo
assegno</t>
        </is>
      </c>
      <c r="D32" s="24" t="inlineStr">
        <is>
          <t>Imposte
(pro quota)</t>
        </is>
      </c>
      <c r="E32" s="24" t="inlineStr">
        <is>
          <t>Trattamento
integrativo</t>
        </is>
      </c>
      <c r="F32" s="24" t="inlineStr">
        <is>
          <t>NETTO DI CASSA</t>
        </is>
      </c>
      <c r="G32" s="24" t="inlineStr">
        <is>
          <t>Somma integrativa
(differita, NON in cassa)</t>
        </is>
      </c>
    </row>
    <row r="33">
      <c r="A33" s="27" t="n">
        <v>1</v>
      </c>
      <c r="B33" s="21">
        <f>$C$9*(1-$C$10)^MAX(0,A33-5)</f>
        <v/>
      </c>
      <c r="C33" s="23">
        <f>B33/$C$9</f>
        <v/>
      </c>
      <c r="D33" s="21">
        <f>-($C$20+$C$21)*B33/$C$17</f>
        <v/>
      </c>
      <c r="E33" s="21">
        <f>$C$22*B33/$C$17</f>
        <v/>
      </c>
      <c r="F33" s="21">
        <f>B33+D33+E33</f>
        <v/>
      </c>
      <c r="G33" s="21">
        <f>$C$23*B33/$C$17</f>
        <v/>
      </c>
    </row>
    <row r="34">
      <c r="A34" s="27" t="n">
        <v>2</v>
      </c>
      <c r="B34" s="21">
        <f>$C$9*(1-$C$10)^MAX(0,A34-5)</f>
        <v/>
      </c>
      <c r="C34" s="23">
        <f>B34/$C$9</f>
        <v/>
      </c>
      <c r="D34" s="21">
        <f>-($C$20+$C$21)*B34/$C$17</f>
        <v/>
      </c>
      <c r="E34" s="21">
        <f>$C$22*B34/$C$17</f>
        <v/>
      </c>
      <c r="F34" s="21">
        <f>B34+D34+E34</f>
        <v/>
      </c>
      <c r="G34" s="21">
        <f>$C$23*B34/$C$17</f>
        <v/>
      </c>
    </row>
    <row r="35">
      <c r="A35" s="27" t="n">
        <v>3</v>
      </c>
      <c r="B35" s="21">
        <f>$C$9*(1-$C$10)^MAX(0,A35-5)</f>
        <v/>
      </c>
      <c r="C35" s="23">
        <f>B35/$C$9</f>
        <v/>
      </c>
      <c r="D35" s="21">
        <f>-($C$20+$C$21)*B35/$C$17</f>
        <v/>
      </c>
      <c r="E35" s="21">
        <f>$C$22*B35/$C$17</f>
        <v/>
      </c>
      <c r="F35" s="21">
        <f>B35+D35+E35</f>
        <v/>
      </c>
      <c r="G35" s="21">
        <f>$C$23*B35/$C$17</f>
        <v/>
      </c>
    </row>
    <row r="36">
      <c r="A36" s="27" t="n">
        <v>4</v>
      </c>
      <c r="B36" s="21">
        <f>$C$9*(1-$C$10)^MAX(0,A36-5)</f>
        <v/>
      </c>
      <c r="C36" s="23">
        <f>B36/$C$9</f>
        <v/>
      </c>
      <c r="D36" s="21">
        <f>-($C$20+$C$21)*B36/$C$17</f>
        <v/>
      </c>
      <c r="E36" s="21">
        <f>$C$22*B36/$C$17</f>
        <v/>
      </c>
      <c r="F36" s="21">
        <f>B36+D36+E36</f>
        <v/>
      </c>
      <c r="G36" s="21">
        <f>$C$23*B36/$C$17</f>
        <v/>
      </c>
    </row>
    <row r="37">
      <c r="A37" s="27" t="n">
        <v>5</v>
      </c>
      <c r="B37" s="21">
        <f>$C$9*(1-$C$10)^MAX(0,A37-5)</f>
        <v/>
      </c>
      <c r="C37" s="23">
        <f>B37/$C$9</f>
        <v/>
      </c>
      <c r="D37" s="21">
        <f>-($C$20+$C$21)*B37/$C$17</f>
        <v/>
      </c>
      <c r="E37" s="21">
        <f>$C$22*B37/$C$17</f>
        <v/>
      </c>
      <c r="F37" s="21">
        <f>B37+D37+E37</f>
        <v/>
      </c>
      <c r="G37" s="21">
        <f>$C$23*B37/$C$17</f>
        <v/>
      </c>
    </row>
    <row r="38">
      <c r="A38" s="27" t="n">
        <v>6</v>
      </c>
      <c r="B38" s="21">
        <f>$C$9*(1-$C$10)^MAX(0,A38-5)</f>
        <v/>
      </c>
      <c r="C38" s="23">
        <f>B38/$C$9</f>
        <v/>
      </c>
      <c r="D38" s="21">
        <f>-($C$20+$C$21)*B38/$C$17</f>
        <v/>
      </c>
      <c r="E38" s="21">
        <f>$C$22*B38/$C$17</f>
        <v/>
      </c>
      <c r="F38" s="21">
        <f>B38+D38+E38</f>
        <v/>
      </c>
      <c r="G38" s="21">
        <f>$C$23*B38/$C$17</f>
        <v/>
      </c>
    </row>
    <row r="39">
      <c r="A39" s="27" t="n">
        <v>7</v>
      </c>
      <c r="B39" s="21">
        <f>$C$9*(1-$C$10)^MAX(0,A39-5)</f>
        <v/>
      </c>
      <c r="C39" s="23">
        <f>B39/$C$9</f>
        <v/>
      </c>
      <c r="D39" s="21">
        <f>-($C$20+$C$21)*B39/$C$17</f>
        <v/>
      </c>
      <c r="E39" s="21">
        <f>$C$22*B39/$C$17</f>
        <v/>
      </c>
      <c r="F39" s="21">
        <f>B39+D39+E39</f>
        <v/>
      </c>
      <c r="G39" s="21">
        <f>$C$23*B39/$C$17</f>
        <v/>
      </c>
    </row>
    <row r="40">
      <c r="A40" s="27" t="n">
        <v>8</v>
      </c>
      <c r="B40" s="21">
        <f>$C$9*(1-$C$10)^MAX(0,A40-5)</f>
        <v/>
      </c>
      <c r="C40" s="23">
        <f>B40/$C$9</f>
        <v/>
      </c>
      <c r="D40" s="21">
        <f>-($C$20+$C$21)*B40/$C$17</f>
        <v/>
      </c>
      <c r="E40" s="21">
        <f>$C$22*B40/$C$17</f>
        <v/>
      </c>
      <c r="F40" s="21">
        <f>B40+D40+E40</f>
        <v/>
      </c>
      <c r="G40" s="21">
        <f>$C$23*B40/$C$17</f>
        <v/>
      </c>
    </row>
    <row r="41">
      <c r="A41" s="27" t="n">
        <v>9</v>
      </c>
      <c r="B41" s="21">
        <f>$C$9*(1-$C$10)^MAX(0,A41-5)</f>
        <v/>
      </c>
      <c r="C41" s="23">
        <f>B41/$C$9</f>
        <v/>
      </c>
      <c r="D41" s="21">
        <f>-($C$20+$C$21)*B41/$C$17</f>
        <v/>
      </c>
      <c r="E41" s="21">
        <f>$C$22*B41/$C$17</f>
        <v/>
      </c>
      <c r="F41" s="21">
        <f>B41+D41+E41</f>
        <v/>
      </c>
      <c r="G41" s="21">
        <f>$C$23*B41/$C$17</f>
        <v/>
      </c>
    </row>
    <row r="42">
      <c r="A42" s="27" t="n">
        <v>10</v>
      </c>
      <c r="B42" s="21">
        <f>$C$9*(1-$C$10)^MAX(0,A42-5)</f>
        <v/>
      </c>
      <c r="C42" s="23">
        <f>B42/$C$9</f>
        <v/>
      </c>
      <c r="D42" s="21">
        <f>-($C$20+$C$21)*B42/$C$17</f>
        <v/>
      </c>
      <c r="E42" s="21">
        <f>$C$22*B42/$C$17</f>
        <v/>
      </c>
      <c r="F42" s="21">
        <f>B42+D42+E42</f>
        <v/>
      </c>
      <c r="G42" s="21">
        <f>$C$23*B42/$C$17</f>
        <v/>
      </c>
    </row>
    <row r="43">
      <c r="A43" s="27" t="n">
        <v>11</v>
      </c>
      <c r="B43" s="21">
        <f>$C$9*(1-$C$10)^MAX(0,A43-5)</f>
        <v/>
      </c>
      <c r="C43" s="23">
        <f>B43/$C$9</f>
        <v/>
      </c>
      <c r="D43" s="21">
        <f>-($C$20+$C$21)*B43/$C$17</f>
        <v/>
      </c>
      <c r="E43" s="21">
        <f>$C$22*B43/$C$17</f>
        <v/>
      </c>
      <c r="F43" s="21">
        <f>B43+D43+E43</f>
        <v/>
      </c>
      <c r="G43" s="21">
        <f>$C$23*B43/$C$17</f>
        <v/>
      </c>
    </row>
    <row r="44">
      <c r="A44" s="27" t="n">
        <v>12</v>
      </c>
      <c r="B44" s="21">
        <f>$C$9*(1-$C$10)^MAX(0,A44-5)</f>
        <v/>
      </c>
      <c r="C44" s="23">
        <f>B44/$C$9</f>
        <v/>
      </c>
      <c r="D44" s="21">
        <f>-($C$20+$C$21)*B44/$C$17</f>
        <v/>
      </c>
      <c r="E44" s="21">
        <f>$C$22*B44/$C$17</f>
        <v/>
      </c>
      <c r="F44" s="21">
        <f>B44+D44+E44</f>
        <v/>
      </c>
      <c r="G44" s="21">
        <f>$C$23*B44/$C$17</f>
        <v/>
      </c>
    </row>
    <row r="45">
      <c r="A45" s="27" t="n">
        <v>13</v>
      </c>
      <c r="B45" s="21">
        <f>$C$9*(1-$C$10)^MAX(0,A45-5)</f>
        <v/>
      </c>
      <c r="C45" s="23">
        <f>B45/$C$9</f>
        <v/>
      </c>
      <c r="D45" s="21">
        <f>-($D$20+$D$21)*B45/$D$17</f>
        <v/>
      </c>
      <c r="E45" s="21">
        <f>$D$22*B45/$D$17</f>
        <v/>
      </c>
      <c r="F45" s="21">
        <f>B45+D45+E45</f>
        <v/>
      </c>
      <c r="G45" s="21">
        <f>$D$23*B45/$D$17</f>
        <v/>
      </c>
    </row>
    <row r="46">
      <c r="A46" s="27" t="n">
        <v>14</v>
      </c>
      <c r="B46" s="21">
        <f>$C$9*(1-$C$10)^MAX(0,A46-5)</f>
        <v/>
      </c>
      <c r="C46" s="23">
        <f>B46/$C$9</f>
        <v/>
      </c>
      <c r="D46" s="21">
        <f>-($D$20+$D$21)*B46/$D$17</f>
        <v/>
      </c>
      <c r="E46" s="21">
        <f>$D$22*B46/$D$17</f>
        <v/>
      </c>
      <c r="F46" s="21">
        <f>B46+D46+E46</f>
        <v/>
      </c>
      <c r="G46" s="21">
        <f>$D$23*B46/$D$17</f>
        <v/>
      </c>
    </row>
    <row r="47">
      <c r="A47" s="27" t="n">
        <v>15</v>
      </c>
      <c r="B47" s="21">
        <f>$C$9*(1-$C$10)^MAX(0,A47-5)</f>
        <v/>
      </c>
      <c r="C47" s="23">
        <f>B47/$C$9</f>
        <v/>
      </c>
      <c r="D47" s="21">
        <f>-($D$20+$D$21)*B47/$D$17</f>
        <v/>
      </c>
      <c r="E47" s="21">
        <f>$D$22*B47/$D$17</f>
        <v/>
      </c>
      <c r="F47" s="21">
        <f>B47+D47+E47</f>
        <v/>
      </c>
      <c r="G47" s="21">
        <f>$D$23*B47/$D$17</f>
        <v/>
      </c>
    </row>
    <row r="48">
      <c r="A48" s="27" t="n">
        <v>16</v>
      </c>
      <c r="B48" s="21">
        <f>$C$9*(1-$C$10)^MAX(0,A48-5)</f>
        <v/>
      </c>
      <c r="C48" s="23">
        <f>B48/$C$9</f>
        <v/>
      </c>
      <c r="D48" s="21">
        <f>-($D$20+$D$21)*B48/$D$17</f>
        <v/>
      </c>
      <c r="E48" s="21">
        <f>$D$22*B48/$D$17</f>
        <v/>
      </c>
      <c r="F48" s="21">
        <f>B48+D48+E48</f>
        <v/>
      </c>
      <c r="G48" s="21">
        <f>$D$23*B48/$D$17</f>
        <v/>
      </c>
    </row>
    <row r="49">
      <c r="A49" s="27" t="n">
        <v>17</v>
      </c>
      <c r="B49" s="21">
        <f>$C$9*(1-$C$10)^MAX(0,A49-5)</f>
        <v/>
      </c>
      <c r="C49" s="23">
        <f>B49/$C$9</f>
        <v/>
      </c>
      <c r="D49" s="21">
        <f>-($D$20+$D$21)*B49/$D$17</f>
        <v/>
      </c>
      <c r="E49" s="21">
        <f>$D$22*B49/$D$17</f>
        <v/>
      </c>
      <c r="F49" s="21">
        <f>B49+D49+E49</f>
        <v/>
      </c>
      <c r="G49" s="21">
        <f>$D$23*B49/$D$17</f>
        <v/>
      </c>
    </row>
    <row r="50">
      <c r="A50" s="27" t="n">
        <v>18</v>
      </c>
      <c r="B50" s="21">
        <f>$C$9*(1-$C$10)^MAX(0,A50-5)</f>
        <v/>
      </c>
      <c r="C50" s="23">
        <f>B50/$C$9</f>
        <v/>
      </c>
      <c r="D50" s="21">
        <f>-($D$20+$D$21)*B50/$D$17</f>
        <v/>
      </c>
      <c r="E50" s="21">
        <f>$D$22*B50/$D$17</f>
        <v/>
      </c>
      <c r="F50" s="21">
        <f>B50+D50+E50</f>
        <v/>
      </c>
      <c r="G50" s="21">
        <f>$D$23*B50/$D$17</f>
        <v/>
      </c>
    </row>
    <row r="51">
      <c r="A51" s="27" t="n">
        <v>19</v>
      </c>
      <c r="B51" s="21">
        <f>$C$9*(1-$C$10)^MAX(0,A51-5)</f>
        <v/>
      </c>
      <c r="C51" s="23">
        <f>B51/$C$9</f>
        <v/>
      </c>
      <c r="D51" s="21">
        <f>-($D$20+$D$21)*B51/$D$17</f>
        <v/>
      </c>
      <c r="E51" s="21">
        <f>$D$22*B51/$D$17</f>
        <v/>
      </c>
      <c r="F51" s="21">
        <f>B51+D51+E51</f>
        <v/>
      </c>
      <c r="G51" s="21">
        <f>$D$23*B51/$D$17</f>
        <v/>
      </c>
    </row>
    <row r="52">
      <c r="A52" s="27" t="n">
        <v>20</v>
      </c>
      <c r="B52" s="21">
        <f>$C$9*(1-$C$10)^MAX(0,A52-5)</f>
        <v/>
      </c>
      <c r="C52" s="23">
        <f>B52/$C$9</f>
        <v/>
      </c>
      <c r="D52" s="21">
        <f>-($D$20+$D$21)*B52/$D$17</f>
        <v/>
      </c>
      <c r="E52" s="21">
        <f>$D$22*B52/$D$17</f>
        <v/>
      </c>
      <c r="F52" s="21">
        <f>B52+D52+E52</f>
        <v/>
      </c>
      <c r="G52" s="21">
        <f>$D$23*B52/$D$17</f>
        <v/>
      </c>
    </row>
    <row r="53">
      <c r="A53" s="27" t="n">
        <v>21</v>
      </c>
      <c r="B53" s="21">
        <f>$C$9*(1-$C$10)^MAX(0,A53-5)</f>
        <v/>
      </c>
      <c r="C53" s="23">
        <f>B53/$C$9</f>
        <v/>
      </c>
      <c r="D53" s="21">
        <f>-($D$20+$D$21)*B53/$D$17</f>
        <v/>
      </c>
      <c r="E53" s="21">
        <f>$D$22*B53/$D$17</f>
        <v/>
      </c>
      <c r="F53" s="21">
        <f>B53+D53+E53</f>
        <v/>
      </c>
      <c r="G53" s="21">
        <f>$D$23*B53/$D$17</f>
        <v/>
      </c>
    </row>
    <row r="54">
      <c r="A54" s="27" t="n">
        <v>22</v>
      </c>
      <c r="B54" s="21">
        <f>$C$9*(1-$C$10)^MAX(0,A54-5)</f>
        <v/>
      </c>
      <c r="C54" s="23">
        <f>B54/$C$9</f>
        <v/>
      </c>
      <c r="D54" s="21">
        <f>-($D$20+$D$21)*B54/$D$17</f>
        <v/>
      </c>
      <c r="E54" s="21">
        <f>$D$22*B54/$D$17</f>
        <v/>
      </c>
      <c r="F54" s="21">
        <f>B54+D54+E54</f>
        <v/>
      </c>
      <c r="G54" s="21">
        <f>$D$23*B54/$D$17</f>
        <v/>
      </c>
    </row>
    <row r="55">
      <c r="A55" s="27" t="n">
        <v>23</v>
      </c>
      <c r="B55" s="21">
        <f>$C$9*(1-$C$10)^MAX(0,A55-5)</f>
        <v/>
      </c>
      <c r="C55" s="23">
        <f>B55/$C$9</f>
        <v/>
      </c>
      <c r="D55" s="21">
        <f>-($D$20+$D$21)*B55/$D$17</f>
        <v/>
      </c>
      <c r="E55" s="21">
        <f>$D$22*B55/$D$17</f>
        <v/>
      </c>
      <c r="F55" s="21">
        <f>B55+D55+E55</f>
        <v/>
      </c>
      <c r="G55" s="21">
        <f>$D$23*B55/$D$17</f>
        <v/>
      </c>
    </row>
    <row r="56">
      <c r="A56" s="27" t="n">
        <v>24</v>
      </c>
      <c r="B56" s="21">
        <f>$C$9*(1-$C$10)^MAX(0,A56-5)</f>
        <v/>
      </c>
      <c r="C56" s="23">
        <f>B56/$C$9</f>
        <v/>
      </c>
      <c r="D56" s="21">
        <f>-($D$20+$D$21)*B56/$D$17</f>
        <v/>
      </c>
      <c r="E56" s="21">
        <f>$D$22*B56/$D$17</f>
        <v/>
      </c>
      <c r="F56" s="21">
        <f>B56+D56+E56</f>
        <v/>
      </c>
      <c r="G56" s="21">
        <f>$D$23*B56/$D$17</f>
        <v/>
      </c>
    </row>
    <row r="57">
      <c r="A57" s="8" t="inlineStr">
        <is>
          <t>TOT</t>
        </is>
      </c>
      <c r="B57" s="28">
        <f>SUM(B33:B56)</f>
        <v/>
      </c>
      <c r="D57" s="28">
        <f>SUM(D33:D56)</f>
        <v/>
      </c>
      <c r="E57" s="28">
        <f>SUM(E33:E56)</f>
        <v/>
      </c>
      <c r="F57" s="28">
        <f>SUM(F33:F56)</f>
        <v/>
      </c>
      <c r="G57" s="28">
        <f>SUM(G33:G56)</f>
        <v/>
      </c>
    </row>
    <row r="58"/>
    <row r="59">
      <c r="A59" s="7" t="inlineStr">
        <is>
          <t>LA CONTRIBUZIONE FIGURATIVA, E IL BUCO CHE RESTA</t>
        </is>
      </c>
    </row>
    <row r="60">
      <c r="A60" s="8" t="inlineStr">
        <is>
          <t>Coefficiente sulla retribuzione figurativa</t>
        </is>
      </c>
      <c r="B60" s="14" t="n"/>
      <c r="C60" s="29" t="n">
        <v>1.4</v>
      </c>
    </row>
    <row r="61">
      <c r="A61" s="8" t="inlineStr">
        <is>
          <t>Retribuzione figurativa mensile</t>
        </is>
      </c>
      <c r="B61" s="14" t="n"/>
      <c r="C61" s="21">
        <f>C60*$C$8</f>
        <v/>
      </c>
    </row>
    <row r="62">
      <c r="A62" s="8" t="inlineStr">
        <is>
          <t>Retribuzione figurativa nei 24 mesi</t>
        </is>
      </c>
      <c r="B62" s="14" t="n"/>
      <c r="C62" s="21">
        <f>C61*$C$11</f>
        <v/>
      </c>
    </row>
    <row r="63">
      <c r="A63" s="8" t="inlineStr">
        <is>
          <t>Aliquota di computo IVS</t>
        </is>
      </c>
      <c r="B63" s="14" t="n"/>
      <c r="C63" s="17" t="n">
        <v>0.33</v>
      </c>
    </row>
    <row r="64">
      <c r="A64" s="8" t="inlineStr">
        <is>
          <t>Montante accreditato dallo Stato</t>
        </is>
      </c>
      <c r="B64" s="14" t="n"/>
      <c r="C64" s="21">
        <f>C62*C63</f>
        <v/>
      </c>
    </row>
    <row r="65">
      <c r="A65" s="8" t="inlineStr">
        <is>
          <t>Montante che avresti fatto lavorando</t>
        </is>
      </c>
      <c r="B65" s="14" t="n"/>
      <c r="C65" s="21">
        <f>$C$5*($C$11/12)*C63</f>
        <v/>
      </c>
    </row>
    <row r="66">
      <c r="A66" s="8" t="inlineStr">
        <is>
          <t>Copertura</t>
        </is>
      </c>
      <c r="B66" s="14" t="n"/>
      <c r="C66" s="23">
        <f>C64/C65</f>
        <v/>
      </c>
    </row>
    <row r="67">
      <c r="A67" s="8" t="inlineStr">
        <is>
          <t>BUCO CONTRIBUTIVO DEI 24 MESI</t>
        </is>
      </c>
      <c r="B67" s="14" t="n"/>
      <c r="C67" s="21">
        <f>C65-C64</f>
        <v/>
      </c>
    </row>
    <row r="68" ht="60" customHeight="1">
      <c r="A68" s="10" t="inlineStr">
        <is>
          <t>Art. 12 comma 1 D.Lgs. 22/2015 — il comma 2 è un'altra cosa (la neutralizzazione ai fini della retribuzione pensionabile). Durante i due anni di indennità il buco c'è già, ma lo Stato accredita più della metà del montante che avresti fatto lavorando. Dal mese venticinque non accredita più niente.</t>
        </is>
      </c>
    </row>
    <row r="69"/>
    <row r="70">
      <c r="A70" s="7" t="inlineStr">
        <is>
          <t>LA NASPI ANTICIPATA IN UNICA SOLUZIONE — il costo fiscale</t>
        </is>
      </c>
    </row>
    <row r="71">
      <c r="A71" s="8" t="inlineStr">
        <is>
          <t>Importo lordo anticipato (tutto in un anno)</t>
        </is>
      </c>
      <c r="B71" s="14" t="n"/>
      <c r="C71" s="21">
        <f>C27</f>
        <v/>
      </c>
    </row>
    <row r="72">
      <c r="A72" s="8" t="inlineStr">
        <is>
          <t>IRPEF lorda (scaglioni 2026)</t>
        </is>
      </c>
      <c r="B72" s="14" t="n"/>
      <c r="C72" s="21">
        <f>(MIN(C71,28000)*0.23+MAX(0,MIN(C71,50000)-28000)*0.33+MAX(0,C71-50000)*0.43)</f>
        <v/>
      </c>
    </row>
    <row r="73">
      <c r="A73" s="8" t="inlineStr">
        <is>
          <t>Detrazione art. 13 c. 1 TUIR</t>
        </is>
      </c>
      <c r="B73" s="14" t="n"/>
      <c r="C73" s="21">
        <f>IF(C71&lt;=15000,1955,IF(C71&lt;=28000,1910+1190*(28000-C71)/13000,IF(C71&lt;=50000,1910*(50000-C71)/22000,0)))</f>
        <v/>
      </c>
    </row>
    <row r="74">
      <c r="A74" s="8" t="inlineStr">
        <is>
          <t>IRPEF netta</t>
        </is>
      </c>
      <c r="B74" s="14" t="n"/>
      <c r="C74" s="21">
        <f>MAX(0,C72-C73)</f>
        <v/>
      </c>
    </row>
    <row r="75">
      <c r="A75" s="8" t="inlineStr">
        <is>
          <t>Addizionali (2%)</t>
        </is>
      </c>
      <c r="B75" s="14" t="n"/>
      <c r="C75" s="21">
        <f>0.02*C71</f>
        <v/>
      </c>
    </row>
    <row r="76">
      <c r="A76" s="8" t="inlineStr">
        <is>
          <t>Somma integrativa (reddito oltre 20.000: non spetta)</t>
        </is>
      </c>
      <c r="B76" s="14" t="n"/>
      <c r="C76" s="21">
        <f>IF(C71&lt;=8500,0.071*C71,IF(C71&lt;=15000,0.053*C71,IF(C71&lt;=20000,0.048*C71,0)))</f>
        <v/>
      </c>
    </row>
    <row r="77">
      <c r="A77" s="8" t="inlineStr">
        <is>
          <t>Ulteriore detrazione L. 207/2024 (20.000-40.000)</t>
        </is>
      </c>
      <c r="B77" s="14" t="n"/>
      <c r="C77" s="21">
        <f>IF(C71&lt;=20000,0,IF(C71&lt;=32000,1000,IF(C71&lt;=40000,1000*(40000-C71)/8000,0)))</f>
        <v/>
      </c>
    </row>
    <row r="78">
      <c r="A78" s="8" t="inlineStr">
        <is>
          <t>NETTO ANTICIPATO</t>
        </is>
      </c>
      <c r="B78" s="14" t="n"/>
      <c r="C78" s="21">
        <f>C71-C74-C75+C76+C77</f>
        <v/>
      </c>
    </row>
    <row r="79">
      <c r="A79" s="8" t="inlineStr">
        <is>
          <t>Netto spalmato sui 24 mesi (contabile)</t>
        </is>
      </c>
      <c r="B79" s="14" t="n"/>
      <c r="C79" s="21">
        <f>C24+D24</f>
        <v/>
      </c>
    </row>
    <row r="80">
      <c r="A80" s="8" t="inlineStr">
        <is>
          <t>COSTO FISCALE DELL'ANTICIPO</t>
        </is>
      </c>
      <c r="B80" s="14" t="n"/>
      <c r="C80" s="21">
        <f>C79-C78</f>
        <v/>
      </c>
    </row>
    <row r="81">
      <c r="A81" s="8" t="inlineStr">
        <is>
          <t>in percentuale del netto spalmato</t>
        </is>
      </c>
      <c r="B81" s="14" t="n"/>
      <c r="C81" s="23">
        <f>C80/C79</f>
        <v/>
      </c>
    </row>
    <row r="82" ht="75" customHeight="1">
      <c r="A82" s="10" t="inlineStr">
        <is>
          <t>Due rate, settanta e trenta per cento; domanda entro trenta giorni, termine perentorio. Il costo fiscale è alto proprio PERCHÉ il regime spalmato è quasi esente: si perdono la somma integrativa (il reddito supera i ventimila) e il trattamento integrativo del secondo anno, e tutto l'importo finisce in un solo scaglione. Resta aperto anche il punto della contribuzione figurativa: è una lettura dell'art. 12 c. 1 sui «periodi di fruizione», non una prassi INPS consolidata.</t>
        </is>
      </c>
    </row>
    <row r="83" ht="60" customHeight="1">
      <c r="A83" s="10" t="inlineStr">
        <is>
          <t>SCARTO DICHIARATO rispetto al dossier: qui l'ulteriore detrazione della L. 207/2024 è 1.000 € pieni (la fascia 20.000-32.000 non decresce), il dossier usava 1.195,38 €. Il costo fiscale dell'anticipo passa quindi da 4.876 € a circa 5.072 €. La conclusione — l'anticipo costa, e costa più di prima della correzione sul cuneo — non cambia.</t>
        </is>
      </c>
    </row>
  </sheetData>
  <mergeCells count="42">
    <mergeCell ref="A24:B24"/>
    <mergeCell ref="A64:B64"/>
    <mergeCell ref="A60:B60"/>
    <mergeCell ref="A73:B73"/>
    <mergeCell ref="A4:G4"/>
    <mergeCell ref="A79:B79"/>
    <mergeCell ref="A68:G68"/>
    <mergeCell ref="A61:B61"/>
    <mergeCell ref="A28:G28"/>
    <mergeCell ref="A78:B78"/>
    <mergeCell ref="A25:B25"/>
    <mergeCell ref="A31:G31"/>
    <mergeCell ref="A65:B65"/>
    <mergeCell ref="A83:G83"/>
    <mergeCell ref="A75:B75"/>
    <mergeCell ref="A66:B66"/>
    <mergeCell ref="A15:G15"/>
    <mergeCell ref="A59:G59"/>
    <mergeCell ref="A74:B74"/>
    <mergeCell ref="A18:B18"/>
    <mergeCell ref="A27:B27"/>
    <mergeCell ref="A80:B80"/>
    <mergeCell ref="A82:G82"/>
    <mergeCell ref="A26:B26"/>
    <mergeCell ref="A21:B21"/>
    <mergeCell ref="A1:G1"/>
    <mergeCell ref="A70:G70"/>
    <mergeCell ref="A76:B76"/>
    <mergeCell ref="A71:B71"/>
    <mergeCell ref="A23:B23"/>
    <mergeCell ref="A17:B17"/>
    <mergeCell ref="A22:B22"/>
    <mergeCell ref="A62:B62"/>
    <mergeCell ref="A20:B20"/>
    <mergeCell ref="A72:B72"/>
    <mergeCell ref="A29:B29"/>
    <mergeCell ref="A81:B81"/>
    <mergeCell ref="A19:B19"/>
    <mergeCell ref="A63:B63"/>
    <mergeCell ref="A2:G2"/>
    <mergeCell ref="A67:B67"/>
    <mergeCell ref="A77:B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3" customWidth="1" min="4" max="4"/>
    <col width="60" customWidth="1" min="5" max="5"/>
  </cols>
  <sheetData>
    <row r="1" ht="25" customHeight="1">
      <c r="A1" s="1" t="inlineStr">
        <is>
          <t>3 — TFR: in azienda o nel fondo pensione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A — TFR LASCIATO IN AZIENDA</t>
        </is>
      </c>
    </row>
    <row r="5">
      <c r="A5" s="8" t="inlineStr">
        <is>
          <t>Retribuzione lorda annua</t>
        </is>
      </c>
      <c r="B5" s="12">
        <f>'1 - INPUT'!B5</f>
        <v/>
      </c>
    </row>
    <row r="6">
      <c r="A6" s="8" t="inlineStr">
        <is>
          <t>Anni presso il datore</t>
        </is>
      </c>
      <c r="B6" s="15">
        <f>'1 - INPUT'!B6</f>
        <v/>
      </c>
    </row>
    <row r="7">
      <c r="A7" s="8" t="inlineStr">
        <is>
          <t>Divisore art. 2120 c.c.</t>
        </is>
      </c>
      <c r="B7" s="29" t="n">
        <v>13.5</v>
      </c>
    </row>
    <row r="8">
      <c r="A8" s="8" t="inlineStr">
        <is>
          <t>Contributo al fondo di garanzia (0,50%)</t>
        </is>
      </c>
      <c r="B8" s="20" t="n">
        <v>0.005</v>
      </c>
    </row>
    <row r="9">
      <c r="A9" s="8" t="inlineStr">
        <is>
          <t>Quota annua accantonata</t>
        </is>
      </c>
      <c r="B9" s="21">
        <f>B5/B7-B8*B5</f>
        <v/>
      </c>
    </row>
    <row r="10">
      <c r="A10" s="8" t="inlineStr">
        <is>
          <t>Rivalutazione annua (1,5% + 75% inflazione)</t>
        </is>
      </c>
      <c r="B10" s="17" t="n">
        <v>0.03</v>
      </c>
    </row>
    <row r="11">
      <c r="A11" s="8" t="inlineStr">
        <is>
          <t>Montante lordo a fine rapporto</t>
        </is>
      </c>
      <c r="B11" s="21">
        <f>B9*((1+B10)^B6-1)/B10</f>
        <v/>
      </c>
    </row>
    <row r="12">
      <c r="A12" s="8" t="inlineStr">
        <is>
          <t xml:space="preserve">  di cui quote accantonate (imponibile)</t>
        </is>
      </c>
      <c r="B12" s="21">
        <f>B9*B6</f>
        <v/>
      </c>
    </row>
    <row r="13">
      <c r="A13" s="8" t="inlineStr">
        <is>
          <t xml:space="preserve">  di cui rivalutazioni</t>
        </is>
      </c>
      <c r="B13" s="21">
        <f>B11-B12</f>
        <v/>
      </c>
    </row>
    <row r="14">
      <c r="A14" s="8" t="inlineStr">
        <is>
          <t>Imposta sostitutiva sulle rivalutazioni (17%)</t>
        </is>
      </c>
      <c r="B14" s="17" t="n">
        <v>0.17</v>
      </c>
    </row>
    <row r="15">
      <c r="A15" s="8" t="inlineStr">
        <is>
          <t>Rivalutazioni nette</t>
        </is>
      </c>
      <c r="B15" s="21">
        <f>B13*(1-B14)</f>
        <v/>
      </c>
    </row>
    <row r="16">
      <c r="A16" s="8" t="inlineStr">
        <is>
          <t>FONDO DISPONIBILE (montante al netto del 17%)</t>
        </is>
      </c>
      <c r="B16" s="21">
        <f>B12+B15</f>
        <v/>
      </c>
    </row>
    <row r="17"/>
    <row r="18">
      <c r="A18" s="7" t="inlineStr">
        <is>
          <t>LA TASSAZIONE SEPARATA, E LA CLAUSOLA DI SALVAGUARDIA</t>
        </is>
      </c>
    </row>
    <row r="19">
      <c r="A19" s="8" t="inlineStr">
        <is>
          <t>Reddito di riferimento = (imponibile / anni) x 12</t>
        </is>
      </c>
      <c r="B19" s="21">
        <f>B12/B6*12</f>
        <v/>
      </c>
    </row>
    <row r="20">
      <c r="A20" s="8" t="inlineStr">
        <is>
          <t>IRPEF sul reddito di riferimento — aliquote 2026</t>
        </is>
      </c>
      <c r="B20" s="21">
        <f>(MIN(B19,28000)*0.23+MAX(0,MIN(B19,50000)-28000)*0.33+MAX(0,B19-50000)*0.43)</f>
        <v/>
      </c>
    </row>
    <row r="21">
      <c r="A21" s="8" t="inlineStr">
        <is>
          <t xml:space="preserve">  aliquota media 2026</t>
        </is>
      </c>
      <c r="B21" s="16">
        <f>B20/B19</f>
        <v/>
      </c>
    </row>
    <row r="22">
      <c r="A22" s="8" t="inlineStr">
        <is>
          <t>IRPEF sul reddito di riferimento — scaglioni 2006</t>
        </is>
      </c>
      <c r="B22" s="21">
        <f>(MIN(B19,26000)*0.23+MAX(0,MIN(B19,33500)-26000)*0.33+MAX(0,MIN(B19,100000)-33500)*0.39+MAX(0,B19-100000)*0.43)</f>
        <v/>
      </c>
    </row>
    <row r="23" ht="30" customHeight="1">
      <c r="A23" s="8" t="inlineStr">
        <is>
          <t xml:space="preserve">  aliquota media 2006</t>
        </is>
      </c>
      <c r="B23" s="16">
        <f>B22/B19</f>
        <v/>
      </c>
      <c r="E23" s="10" t="inlineStr">
        <is>
          <t>Scaglioni al 31/12/2006: 23% fino a 26.000, 33% fino a 33.500, 39% fino a 100.000, 43% oltre.</t>
        </is>
      </c>
    </row>
    <row r="24">
      <c r="A24" s="8" t="inlineStr">
        <is>
          <t>ALIQUOTA APPLICATA (la più favorevole)</t>
        </is>
      </c>
      <c r="B24" s="16">
        <f>MIN(B21,B23)</f>
        <v/>
      </c>
    </row>
    <row r="25" ht="30" customHeight="1">
      <c r="A25" s="8" t="inlineStr">
        <is>
          <t>La clausola di salvaguardia si applica?</t>
        </is>
      </c>
      <c r="B25" s="13">
        <f>IF(B23&lt;B21,"SI — vincono gli scaglioni 2006","NO — vincono le aliquote 2026")</f>
        <v/>
      </c>
      <c r="C25" s="14" t="n"/>
      <c r="E25" s="10" t="inlineStr">
        <is>
          <t>Art. 1 c. 9 L. 296/2006. Su Paolo NON si applica: 27,877% contro 26,244%.</t>
        </is>
      </c>
    </row>
    <row r="26" ht="30" customHeight="1">
      <c r="A26" s="8" t="inlineStr">
        <is>
          <t>Detrazione D.M. 20/03/2008 (redditi fino a 30.000)</t>
        </is>
      </c>
      <c r="B26" s="21">
        <f>IF(B19&lt;=7500,70,IF(B19&lt;=28000,50+20*(28000-B19)/20500,IF(B19&lt;=30000,50*(30000-B19)/2000,0)))</f>
        <v/>
      </c>
      <c r="E26" s="10" t="inlineStr">
        <is>
          <t>Art. 2 c. 514 L. 244/2007. Non tocca Paolo, ma smonta la generalizzazione: chi guadagna poco paga meno del 23%.</t>
        </is>
      </c>
    </row>
    <row r="27">
      <c r="A27" s="8" t="inlineStr">
        <is>
          <t>IMPOSTA SUL TFR</t>
        </is>
      </c>
      <c r="B27" s="21">
        <f>MAX(0,B12*B24-B26)</f>
        <v/>
      </c>
    </row>
    <row r="28" ht="26" customHeight="1">
      <c r="A28" s="8" t="inlineStr">
        <is>
          <t>TFR NETTO INCASSATO</t>
        </is>
      </c>
      <c r="B28" s="30">
        <f>B16-B27</f>
        <v/>
      </c>
    </row>
    <row r="29"/>
    <row r="30">
      <c r="A30" s="7" t="inlineStr">
        <is>
          <t>SEPARATA CONTRO ORDINARIA — quanto vale davvero il regime</t>
        </is>
      </c>
    </row>
    <row r="31">
      <c r="A31" s="8" t="inlineStr">
        <is>
          <t>Aliquota contributiva a carico del lavoratore</t>
        </is>
      </c>
      <c r="B31" s="20" t="n">
        <v>0.0919</v>
      </c>
    </row>
    <row r="32">
      <c r="A32" s="8" t="inlineStr">
        <is>
          <t>Reddito imponibile ordinario dell'anno</t>
        </is>
      </c>
      <c r="B32" s="21">
        <f>B5*(1-B31)</f>
        <v/>
      </c>
    </row>
    <row r="33">
      <c r="A33" s="8" t="inlineStr">
        <is>
          <t>IRPEF ordinaria sul solo reddito</t>
        </is>
      </c>
      <c r="B33" s="21">
        <f>(MIN(B32,28000)*0.23+MAX(0,MIN(B32,50000)-28000)*0.33+MAX(0,B32-50000)*0.43)</f>
        <v/>
      </c>
    </row>
    <row r="34">
      <c r="A34" s="8" t="inlineStr">
        <is>
          <t>IRPEF ordinaria su reddito + TFR</t>
        </is>
      </c>
      <c r="B34" s="21">
        <f>(MIN((B32+B12),28000)*0.23+MAX(0,MIN((B32+B12),50000)-28000)*0.33+MAX(0,(B32+B12)-50000)*0.43)</f>
        <v/>
      </c>
    </row>
    <row r="35">
      <c r="A35" s="8" t="inlineStr">
        <is>
          <t>Imposta che il TFR pagherebbe in ordinaria</t>
        </is>
      </c>
      <c r="B35" s="21">
        <f>B34-B33</f>
        <v/>
      </c>
    </row>
    <row r="36" ht="45" customHeight="1">
      <c r="A36" s="8" t="inlineStr">
        <is>
          <t>RISPARMIO DELLA TASSAZIONE SEPARATA</t>
        </is>
      </c>
      <c r="B36" s="21">
        <f>B35-B27</f>
        <v/>
      </c>
      <c r="E36" s="10" t="inlineStr">
        <is>
          <t>Il regime È di favore, ma meno di quanto si crede: l'aliquota si calcola su un reddito di riferimento che sta già nel secondo o terzo scaglione.</t>
        </is>
      </c>
    </row>
    <row r="37">
      <c r="A37" s="8" t="inlineStr">
        <is>
          <t>Aliquota media dei 5 anni precedenti (riliquidazione)</t>
        </is>
      </c>
      <c r="B37" s="31" t="n">
        <v>0.25955</v>
      </c>
    </row>
    <row r="38" ht="45" customHeight="1">
      <c r="A38" s="8" t="inlineStr">
        <is>
          <t>Effetto della riliquidazione</t>
        </is>
      </c>
      <c r="B38" s="21">
        <f>B12*B24-B12*B37</f>
        <v/>
      </c>
      <c r="E38" s="10" t="inlineStr">
        <is>
          <t>Sostanzialmente neutra: un centinaio di euro in più o in meno a seconda della convenzione (imposta NETTA 25,955% contro imposta LORDA 26,834%). Il segno non si afferma.</t>
        </is>
      </c>
    </row>
    <row r="39"/>
    <row r="40">
      <c r="A40" s="7" t="inlineStr">
        <is>
          <t>B — TFR CONFERITO AL FONDO PENSIONE</t>
        </is>
      </c>
    </row>
    <row r="41" ht="30" customHeight="1">
      <c r="A41" s="8" t="inlineStr">
        <is>
          <t>Posizione individuale (esempio numerico neutro)</t>
        </is>
      </c>
      <c r="B41" s="9" t="n">
        <v>60000</v>
      </c>
      <c r="E41" s="10" t="inlineStr">
        <is>
          <t>Non è un dato del caso: è un esempio dichiarato. Il solo TFR di sei anni varrebbe circa 22.000 €.</t>
        </is>
      </c>
    </row>
    <row r="42">
      <c r="A42" s="24" t="inlineStr">
        <is>
          <t>Fattispecie</t>
        </is>
      </c>
      <c r="B42" s="24" t="inlineStr">
        <is>
          <t>Quota riscattabile</t>
        </is>
      </c>
      <c r="C42" s="24" t="inlineStr">
        <is>
          <t>Aliquota</t>
        </is>
      </c>
      <c r="D42" s="24" t="inlineStr">
        <is>
          <t>Importo netto</t>
        </is>
      </c>
    </row>
    <row r="43">
      <c r="A43" s="8" t="inlineStr">
        <is>
          <t>Inoccupazione fra 12 e 48 mesi (art. 14 c. 2 lett. b)</t>
        </is>
      </c>
      <c r="B43" s="23" t="n">
        <v>0.5</v>
      </c>
      <c r="C43" s="32" t="inlineStr">
        <is>
          <t>dal 15% al 9%</t>
        </is>
      </c>
      <c r="D43" s="12">
        <f>B41*B43*(1-0.15)</f>
        <v/>
      </c>
    </row>
    <row r="44">
      <c r="A44" s="8" t="inlineStr">
        <is>
          <t>Inoccupazione oltre 48 mesi (art. 14 c. 2 lett. c)</t>
        </is>
      </c>
      <c r="B44" s="23" t="n">
        <v>1</v>
      </c>
      <c r="C44" s="32" t="inlineStr">
        <is>
          <t>dal 15% al 9%</t>
        </is>
      </c>
      <c r="D44" s="12">
        <f>B41*B44*(1-0.15)</f>
        <v/>
      </c>
    </row>
    <row r="45">
      <c r="A45" s="8" t="inlineStr">
        <is>
          <t>Cause diverse (art. 14 c. 5)</t>
        </is>
      </c>
      <c r="B45" s="23" t="n">
        <v>1</v>
      </c>
      <c r="C45" s="32" t="inlineStr">
        <is>
          <t>23%</t>
        </is>
      </c>
      <c r="D45" s="12">
        <f>B41*B45*(1-0.23)</f>
        <v/>
      </c>
    </row>
    <row r="46">
      <c r="A46" s="8" t="inlineStr">
        <is>
          <t>Divieto quinquennale (art. 14 c. 2 lett. c, seconda parte)</t>
        </is>
      </c>
      <c r="B46" s="23" t="n">
        <v>0</v>
      </c>
      <c r="C46" s="32" t="inlineStr">
        <is>
          <t>si applica l'art. 11 c. 4 — RITA</t>
        </is>
      </c>
    </row>
    <row r="47" ht="45" customHeight="1">
      <c r="A47" s="10" t="inlineStr">
        <is>
          <t>ERRATA CORRIGE sul video «Fondo pensione, la guida»: lì avevo detto che con più di dodici mesi di disoccupazione si riscatta TUTTO al 15-9%. Non è così: fra dodici e quarantotto mesi si riscatta il CINQUANTA per cento. Il totale alla stessa aliquota agevolata arriva solo oltre i quarantotto mesi. E ritiro anche il consiglio che ne era seguito.</t>
        </is>
      </c>
    </row>
    <row r="48"/>
    <row r="49">
      <c r="A49" s="7" t="inlineStr">
        <is>
          <t>LA RITA — quale comma, e da quando</t>
        </is>
      </c>
    </row>
    <row r="50">
      <c r="A50" s="24" t="inlineStr">
        <is>
          <t>Norma</t>
        </is>
      </c>
      <c r="B50" s="24" t="inlineStr">
        <is>
          <t>Requisiti</t>
        </is>
      </c>
      <c r="C50" s="24" t="inlineStr">
        <is>
          <t>Anno di apertura</t>
        </is>
      </c>
    </row>
    <row r="51">
      <c r="A51" s="8" t="inlineStr">
        <is>
          <t>Art. 11 c. 4 D.Lgs. 252/2005</t>
        </is>
      </c>
      <c r="B51" s="33" t="inlineStr">
        <is>
          <t>5 anni dalla vecchiaia E almeno 20 anni di contributi obbligatori</t>
        </is>
      </c>
      <c r="C51" s="15">
        <f>'1 - INPUT'!B13-5</f>
        <v/>
      </c>
    </row>
    <row r="52">
      <c r="A52" s="8" t="inlineStr">
        <is>
          <t>Art. 11 c. 4-bis D.Lgs. 252/2005</t>
        </is>
      </c>
      <c r="B52" s="33" t="inlineStr">
        <is>
          <t>inoccupazione oltre 24 mesi, 10 anni dalla vecchiaia — NON chiede i 20 anni</t>
        </is>
      </c>
      <c r="C52" s="15">
        <f>'1 - INPUT'!B13-10</f>
        <v/>
      </c>
    </row>
    <row r="53" ht="15" customHeight="1">
      <c r="A53" s="10" t="inlineStr">
        <is>
          <t>Per Paolo il ramo applicabile è il 4-bis: la RITA gli si apre nel 2037, a cinquantotto anni e dieci mesi.</t>
        </is>
      </c>
    </row>
  </sheetData>
  <mergeCells count="10">
    <mergeCell ref="A30:E30"/>
    <mergeCell ref="A53:E53"/>
    <mergeCell ref="A4:E4"/>
    <mergeCell ref="A2:E2"/>
    <mergeCell ref="B25:C25"/>
    <mergeCell ref="A49:E49"/>
    <mergeCell ref="A47:E47"/>
    <mergeCell ref="A1:E1"/>
    <mergeCell ref="A40:E40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3" customWidth="1" min="4" max="4"/>
    <col width="15" customWidth="1" min="5" max="5"/>
    <col width="16" customWidth="1" min="6" max="6"/>
    <col width="9" customWidth="1" min="7" max="7"/>
    <col width="3" customWidth="1" min="8" max="8"/>
    <col width="56" customWidth="1" min="9" max="9"/>
  </cols>
  <sheetData>
    <row r="1" ht="25" customHeight="1">
      <c r="A1" s="1" t="inlineStr">
        <is>
          <t>4 — IL PONTE: i ventiquattro mesi, a cassa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PARAMETRI</t>
        </is>
      </c>
    </row>
    <row r="5">
      <c r="A5" s="8" t="inlineStr">
        <is>
          <t>Spesa mensile</t>
        </is>
      </c>
      <c r="C5" s="21">
        <f>'1 - INPUT'!B8</f>
        <v/>
      </c>
    </row>
    <row r="6">
      <c r="A6" s="8" t="inlineStr">
        <is>
          <t>TFR netto incassato</t>
        </is>
      </c>
      <c r="C6" s="21">
        <f>'3 - TFR'!B28</f>
        <v/>
      </c>
    </row>
    <row r="7" ht="45" customHeight="1">
      <c r="A7" s="8" t="inlineStr">
        <is>
          <t>Mese di arrivo del TFR</t>
        </is>
      </c>
      <c r="C7" s="11" t="n">
        <v>2</v>
      </c>
      <c r="I7" s="10" t="inlineStr">
        <is>
          <t>L'art. 2120 c.c. non fissa il termine: lo fissano i contratti collettivi, tipicamente fra trenta e sessanta giorni.</t>
        </is>
      </c>
    </row>
    <row r="8">
      <c r="A8" s="8" t="inlineStr">
        <is>
          <t>Il TFR è nel fondo pensione?</t>
        </is>
      </c>
      <c r="C8" s="19" t="inlineStr">
        <is>
          <t>NO</t>
        </is>
      </c>
    </row>
    <row r="9">
      <c r="A9" s="8" t="inlineStr">
        <is>
          <t>Cassa NASPI dei 24 mesi</t>
        </is>
      </c>
      <c r="C9" s="21">
        <f>'2 - NASPI'!F57</f>
        <v/>
      </c>
    </row>
    <row r="10" ht="60" customHeight="1">
      <c r="A10" s="10" t="inlineStr">
        <is>
          <t>CONVENZIONE (decisione D23): sola cassa incassata nella finestra dei ventiquattro mesi. I rimborsi fiscali — la somma integrativa che si recupera in dichiarazione — restano FUORI. È l'unica convenzione con cui i due ponti e il mese del primo prelievo tornano insieme.</t>
        </is>
      </c>
    </row>
    <row r="11"/>
    <row r="12">
      <c r="A12" s="7" t="inlineStr">
        <is>
          <t>I VENTIQUATTRO MESI</t>
        </is>
      </c>
    </row>
    <row r="13" ht="30" customHeight="1">
      <c r="A13" s="24" t="inlineStr">
        <is>
          <t>Mese</t>
        </is>
      </c>
      <c r="B13" s="24" t="inlineStr">
        <is>
          <t>NASPI di cassa</t>
        </is>
      </c>
      <c r="C13" s="24" t="inlineStr">
        <is>
          <t>TFR</t>
        </is>
      </c>
      <c r="D13" s="24" t="inlineStr">
        <is>
          <t>Spesa</t>
        </is>
      </c>
      <c r="E13" s="24" t="inlineStr">
        <is>
          <t>Saldo del mese</t>
        </is>
      </c>
      <c r="F13" s="24" t="inlineStr">
        <is>
          <t>CUMULATO</t>
        </is>
      </c>
      <c r="G13" s="24" t="inlineStr">
        <is>
          <t>aux</t>
        </is>
      </c>
    </row>
    <row r="14">
      <c r="A14" s="27" t="n">
        <v>1</v>
      </c>
      <c r="B14" s="21">
        <f>'2 - NASPI'!F33</f>
        <v/>
      </c>
      <c r="C14" s="21">
        <f>IF(AND($C$8="NO",A14=$C$7),$C$6,0)</f>
        <v/>
      </c>
      <c r="D14" s="21">
        <f>-$C$5</f>
        <v/>
      </c>
      <c r="E14" s="21">
        <f>B14+C14+D14</f>
        <v/>
      </c>
      <c r="F14" s="21">
        <f>E14</f>
        <v/>
      </c>
      <c r="G14" s="15">
        <f>IF(F14&gt;=0,A14,0)</f>
        <v/>
      </c>
    </row>
    <row r="15">
      <c r="A15" s="27" t="n">
        <v>2</v>
      </c>
      <c r="B15" s="21">
        <f>'2 - NASPI'!F34</f>
        <v/>
      </c>
      <c r="C15" s="21">
        <f>IF(AND($C$8="NO",A15=$C$7),$C$6,0)</f>
        <v/>
      </c>
      <c r="D15" s="21">
        <f>-$C$5</f>
        <v/>
      </c>
      <c r="E15" s="21">
        <f>B15+C15+D15</f>
        <v/>
      </c>
      <c r="F15" s="21">
        <f>F14+E15</f>
        <v/>
      </c>
      <c r="G15" s="15">
        <f>IF(F15&gt;=0,A15,0)</f>
        <v/>
      </c>
    </row>
    <row r="16">
      <c r="A16" s="27" t="n">
        <v>3</v>
      </c>
      <c r="B16" s="21">
        <f>'2 - NASPI'!F35</f>
        <v/>
      </c>
      <c r="C16" s="21">
        <f>IF(AND($C$8="NO",A16=$C$7),$C$6,0)</f>
        <v/>
      </c>
      <c r="D16" s="21">
        <f>-$C$5</f>
        <v/>
      </c>
      <c r="E16" s="21">
        <f>B16+C16+D16</f>
        <v/>
      </c>
      <c r="F16" s="21">
        <f>F15+E16</f>
        <v/>
      </c>
      <c r="G16" s="15">
        <f>IF(F16&gt;=0,A16,0)</f>
        <v/>
      </c>
    </row>
    <row r="17">
      <c r="A17" s="27" t="n">
        <v>4</v>
      </c>
      <c r="B17" s="21">
        <f>'2 - NASPI'!F36</f>
        <v/>
      </c>
      <c r="C17" s="21">
        <f>IF(AND($C$8="NO",A17=$C$7),$C$6,0)</f>
        <v/>
      </c>
      <c r="D17" s="21">
        <f>-$C$5</f>
        <v/>
      </c>
      <c r="E17" s="21">
        <f>B17+C17+D17</f>
        <v/>
      </c>
      <c r="F17" s="21">
        <f>F16+E17</f>
        <v/>
      </c>
      <c r="G17" s="15">
        <f>IF(F17&gt;=0,A17,0)</f>
        <v/>
      </c>
    </row>
    <row r="18">
      <c r="A18" s="27" t="n">
        <v>5</v>
      </c>
      <c r="B18" s="21">
        <f>'2 - NASPI'!F37</f>
        <v/>
      </c>
      <c r="C18" s="21">
        <f>IF(AND($C$8="NO",A18=$C$7),$C$6,0)</f>
        <v/>
      </c>
      <c r="D18" s="21">
        <f>-$C$5</f>
        <v/>
      </c>
      <c r="E18" s="21">
        <f>B18+C18+D18</f>
        <v/>
      </c>
      <c r="F18" s="21">
        <f>F17+E18</f>
        <v/>
      </c>
      <c r="G18" s="15">
        <f>IF(F18&gt;=0,A18,0)</f>
        <v/>
      </c>
    </row>
    <row r="19">
      <c r="A19" s="27" t="n">
        <v>6</v>
      </c>
      <c r="B19" s="21">
        <f>'2 - NASPI'!F38</f>
        <v/>
      </c>
      <c r="C19" s="21">
        <f>IF(AND($C$8="NO",A19=$C$7),$C$6,0)</f>
        <v/>
      </c>
      <c r="D19" s="21">
        <f>-$C$5</f>
        <v/>
      </c>
      <c r="E19" s="21">
        <f>B19+C19+D19</f>
        <v/>
      </c>
      <c r="F19" s="21">
        <f>F18+E19</f>
        <v/>
      </c>
      <c r="G19" s="15">
        <f>IF(F19&gt;=0,A19,0)</f>
        <v/>
      </c>
    </row>
    <row r="20">
      <c r="A20" s="27" t="n">
        <v>7</v>
      </c>
      <c r="B20" s="21">
        <f>'2 - NASPI'!F39</f>
        <v/>
      </c>
      <c r="C20" s="21">
        <f>IF(AND($C$8="NO",A20=$C$7),$C$6,0)</f>
        <v/>
      </c>
      <c r="D20" s="21">
        <f>-$C$5</f>
        <v/>
      </c>
      <c r="E20" s="21">
        <f>B20+C20+D20</f>
        <v/>
      </c>
      <c r="F20" s="21">
        <f>F19+E20</f>
        <v/>
      </c>
      <c r="G20" s="15">
        <f>IF(F20&gt;=0,A20,0)</f>
        <v/>
      </c>
    </row>
    <row r="21">
      <c r="A21" s="27" t="n">
        <v>8</v>
      </c>
      <c r="B21" s="21">
        <f>'2 - NASPI'!F40</f>
        <v/>
      </c>
      <c r="C21" s="21">
        <f>IF(AND($C$8="NO",A21=$C$7),$C$6,0)</f>
        <v/>
      </c>
      <c r="D21" s="21">
        <f>-$C$5</f>
        <v/>
      </c>
      <c r="E21" s="21">
        <f>B21+C21+D21</f>
        <v/>
      </c>
      <c r="F21" s="21">
        <f>F20+E21</f>
        <v/>
      </c>
      <c r="G21" s="15">
        <f>IF(F21&gt;=0,A21,0)</f>
        <v/>
      </c>
    </row>
    <row r="22">
      <c r="A22" s="27" t="n">
        <v>9</v>
      </c>
      <c r="B22" s="21">
        <f>'2 - NASPI'!F41</f>
        <v/>
      </c>
      <c r="C22" s="21">
        <f>IF(AND($C$8="NO",A22=$C$7),$C$6,0)</f>
        <v/>
      </c>
      <c r="D22" s="21">
        <f>-$C$5</f>
        <v/>
      </c>
      <c r="E22" s="21">
        <f>B22+C22+D22</f>
        <v/>
      </c>
      <c r="F22" s="21">
        <f>F21+E22</f>
        <v/>
      </c>
      <c r="G22" s="15">
        <f>IF(F22&gt;=0,A22,0)</f>
        <v/>
      </c>
    </row>
    <row r="23">
      <c r="A23" s="27" t="n">
        <v>10</v>
      </c>
      <c r="B23" s="21">
        <f>'2 - NASPI'!F42</f>
        <v/>
      </c>
      <c r="C23" s="21">
        <f>IF(AND($C$8="NO",A23=$C$7),$C$6,0)</f>
        <v/>
      </c>
      <c r="D23" s="21">
        <f>-$C$5</f>
        <v/>
      </c>
      <c r="E23" s="21">
        <f>B23+C23+D23</f>
        <v/>
      </c>
      <c r="F23" s="21">
        <f>F22+E23</f>
        <v/>
      </c>
      <c r="G23" s="15">
        <f>IF(F23&gt;=0,A23,0)</f>
        <v/>
      </c>
    </row>
    <row r="24">
      <c r="A24" s="27" t="n">
        <v>11</v>
      </c>
      <c r="B24" s="21">
        <f>'2 - NASPI'!F43</f>
        <v/>
      </c>
      <c r="C24" s="21">
        <f>IF(AND($C$8="NO",A24=$C$7),$C$6,0)</f>
        <v/>
      </c>
      <c r="D24" s="21">
        <f>-$C$5</f>
        <v/>
      </c>
      <c r="E24" s="21">
        <f>B24+C24+D24</f>
        <v/>
      </c>
      <c r="F24" s="21">
        <f>F23+E24</f>
        <v/>
      </c>
      <c r="G24" s="15">
        <f>IF(F24&gt;=0,A24,0)</f>
        <v/>
      </c>
    </row>
    <row r="25">
      <c r="A25" s="27" t="n">
        <v>12</v>
      </c>
      <c r="B25" s="21">
        <f>'2 - NASPI'!F44</f>
        <v/>
      </c>
      <c r="C25" s="21">
        <f>IF(AND($C$8="NO",A25=$C$7),$C$6,0)</f>
        <v/>
      </c>
      <c r="D25" s="21">
        <f>-$C$5</f>
        <v/>
      </c>
      <c r="E25" s="21">
        <f>B25+C25+D25</f>
        <v/>
      </c>
      <c r="F25" s="21">
        <f>F24+E25</f>
        <v/>
      </c>
      <c r="G25" s="15">
        <f>IF(F25&gt;=0,A25,0)</f>
        <v/>
      </c>
    </row>
    <row r="26">
      <c r="A26" s="27" t="n">
        <v>13</v>
      </c>
      <c r="B26" s="21">
        <f>'2 - NASPI'!F45</f>
        <v/>
      </c>
      <c r="C26" s="21">
        <f>IF(AND($C$8="NO",A26=$C$7),$C$6,0)</f>
        <v/>
      </c>
      <c r="D26" s="21">
        <f>-$C$5</f>
        <v/>
      </c>
      <c r="E26" s="21">
        <f>B26+C26+D26</f>
        <v/>
      </c>
      <c r="F26" s="21">
        <f>F25+E26</f>
        <v/>
      </c>
      <c r="G26" s="15">
        <f>IF(F26&gt;=0,A26,0)</f>
        <v/>
      </c>
    </row>
    <row r="27">
      <c r="A27" s="27" t="n">
        <v>14</v>
      </c>
      <c r="B27" s="21">
        <f>'2 - NASPI'!F46</f>
        <v/>
      </c>
      <c r="C27" s="21">
        <f>IF(AND($C$8="NO",A27=$C$7),$C$6,0)</f>
        <v/>
      </c>
      <c r="D27" s="21">
        <f>-$C$5</f>
        <v/>
      </c>
      <c r="E27" s="21">
        <f>B27+C27+D27</f>
        <v/>
      </c>
      <c r="F27" s="21">
        <f>F26+E27</f>
        <v/>
      </c>
      <c r="G27" s="15">
        <f>IF(F27&gt;=0,A27,0)</f>
        <v/>
      </c>
    </row>
    <row r="28">
      <c r="A28" s="27" t="n">
        <v>15</v>
      </c>
      <c r="B28" s="21">
        <f>'2 - NASPI'!F47</f>
        <v/>
      </c>
      <c r="C28" s="21">
        <f>IF(AND($C$8="NO",A28=$C$7),$C$6,0)</f>
        <v/>
      </c>
      <c r="D28" s="21">
        <f>-$C$5</f>
        <v/>
      </c>
      <c r="E28" s="21">
        <f>B28+C28+D28</f>
        <v/>
      </c>
      <c r="F28" s="21">
        <f>F27+E28</f>
        <v/>
      </c>
      <c r="G28" s="15">
        <f>IF(F28&gt;=0,A28,0)</f>
        <v/>
      </c>
    </row>
    <row r="29">
      <c r="A29" s="27" t="n">
        <v>16</v>
      </c>
      <c r="B29" s="21">
        <f>'2 - NASPI'!F48</f>
        <v/>
      </c>
      <c r="C29" s="21">
        <f>IF(AND($C$8="NO",A29=$C$7),$C$6,0)</f>
        <v/>
      </c>
      <c r="D29" s="21">
        <f>-$C$5</f>
        <v/>
      </c>
      <c r="E29" s="21">
        <f>B29+C29+D29</f>
        <v/>
      </c>
      <c r="F29" s="21">
        <f>F28+E29</f>
        <v/>
      </c>
      <c r="G29" s="15">
        <f>IF(F29&gt;=0,A29,0)</f>
        <v/>
      </c>
    </row>
    <row r="30">
      <c r="A30" s="27" t="n">
        <v>17</v>
      </c>
      <c r="B30" s="21">
        <f>'2 - NASPI'!F49</f>
        <v/>
      </c>
      <c r="C30" s="21">
        <f>IF(AND($C$8="NO",A30=$C$7),$C$6,0)</f>
        <v/>
      </c>
      <c r="D30" s="21">
        <f>-$C$5</f>
        <v/>
      </c>
      <c r="E30" s="21">
        <f>B30+C30+D30</f>
        <v/>
      </c>
      <c r="F30" s="21">
        <f>F29+E30</f>
        <v/>
      </c>
      <c r="G30" s="15">
        <f>IF(F30&gt;=0,A30,0)</f>
        <v/>
      </c>
    </row>
    <row r="31">
      <c r="A31" s="27" t="n">
        <v>18</v>
      </c>
      <c r="B31" s="21">
        <f>'2 - NASPI'!F50</f>
        <v/>
      </c>
      <c r="C31" s="21">
        <f>IF(AND($C$8="NO",A31=$C$7),$C$6,0)</f>
        <v/>
      </c>
      <c r="D31" s="21">
        <f>-$C$5</f>
        <v/>
      </c>
      <c r="E31" s="21">
        <f>B31+C31+D31</f>
        <v/>
      </c>
      <c r="F31" s="21">
        <f>F30+E31</f>
        <v/>
      </c>
      <c r="G31" s="15">
        <f>IF(F31&gt;=0,A31,0)</f>
        <v/>
      </c>
    </row>
    <row r="32">
      <c r="A32" s="27" t="n">
        <v>19</v>
      </c>
      <c r="B32" s="21">
        <f>'2 - NASPI'!F51</f>
        <v/>
      </c>
      <c r="C32" s="21">
        <f>IF(AND($C$8="NO",A32=$C$7),$C$6,0)</f>
        <v/>
      </c>
      <c r="D32" s="21">
        <f>-$C$5</f>
        <v/>
      </c>
      <c r="E32" s="21">
        <f>B32+C32+D32</f>
        <v/>
      </c>
      <c r="F32" s="21">
        <f>F31+E32</f>
        <v/>
      </c>
      <c r="G32" s="15">
        <f>IF(F32&gt;=0,A32,0)</f>
        <v/>
      </c>
    </row>
    <row r="33">
      <c r="A33" s="27" t="n">
        <v>20</v>
      </c>
      <c r="B33" s="21">
        <f>'2 - NASPI'!F52</f>
        <v/>
      </c>
      <c r="C33" s="21">
        <f>IF(AND($C$8="NO",A33=$C$7),$C$6,0)</f>
        <v/>
      </c>
      <c r="D33" s="21">
        <f>-$C$5</f>
        <v/>
      </c>
      <c r="E33" s="21">
        <f>B33+C33+D33</f>
        <v/>
      </c>
      <c r="F33" s="21">
        <f>F32+E33</f>
        <v/>
      </c>
      <c r="G33" s="15">
        <f>IF(F33&gt;=0,A33,0)</f>
        <v/>
      </c>
    </row>
    <row r="34">
      <c r="A34" s="27" t="n">
        <v>21</v>
      </c>
      <c r="B34" s="21">
        <f>'2 - NASPI'!F53</f>
        <v/>
      </c>
      <c r="C34" s="21">
        <f>IF(AND($C$8="NO",A34=$C$7),$C$6,0)</f>
        <v/>
      </c>
      <c r="D34" s="21">
        <f>-$C$5</f>
        <v/>
      </c>
      <c r="E34" s="21">
        <f>B34+C34+D34</f>
        <v/>
      </c>
      <c r="F34" s="21">
        <f>F33+E34</f>
        <v/>
      </c>
      <c r="G34" s="15">
        <f>IF(F34&gt;=0,A34,0)</f>
        <v/>
      </c>
    </row>
    <row r="35">
      <c r="A35" s="27" t="n">
        <v>22</v>
      </c>
      <c r="B35" s="21">
        <f>'2 - NASPI'!F54</f>
        <v/>
      </c>
      <c r="C35" s="21">
        <f>IF(AND($C$8="NO",A35=$C$7),$C$6,0)</f>
        <v/>
      </c>
      <c r="D35" s="21">
        <f>-$C$5</f>
        <v/>
      </c>
      <c r="E35" s="21">
        <f>B35+C35+D35</f>
        <v/>
      </c>
      <c r="F35" s="21">
        <f>F34+E35</f>
        <v/>
      </c>
      <c r="G35" s="15">
        <f>IF(F35&gt;=0,A35,0)</f>
        <v/>
      </c>
    </row>
    <row r="36">
      <c r="A36" s="27" t="n">
        <v>23</v>
      </c>
      <c r="B36" s="21">
        <f>'2 - NASPI'!F55</f>
        <v/>
      </c>
      <c r="C36" s="21">
        <f>IF(AND($C$8="NO",A36=$C$7),$C$6,0)</f>
        <v/>
      </c>
      <c r="D36" s="21">
        <f>-$C$5</f>
        <v/>
      </c>
      <c r="E36" s="21">
        <f>B36+C36+D36</f>
        <v/>
      </c>
      <c r="F36" s="21">
        <f>F35+E36</f>
        <v/>
      </c>
      <c r="G36" s="15">
        <f>IF(F36&gt;=0,A36,0)</f>
        <v/>
      </c>
    </row>
    <row r="37">
      <c r="A37" s="27" t="n">
        <v>24</v>
      </c>
      <c r="B37" s="21">
        <f>'2 - NASPI'!F56</f>
        <v/>
      </c>
      <c r="C37" s="21">
        <f>IF(AND($C$8="NO",A37=$C$7),$C$6,0)</f>
        <v/>
      </c>
      <c r="D37" s="21">
        <f>-$C$5</f>
        <v/>
      </c>
      <c r="E37" s="21">
        <f>B37+C37+D37</f>
        <v/>
      </c>
      <c r="F37" s="21">
        <f>F36+E37</f>
        <v/>
      </c>
      <c r="G37" s="15">
        <f>IF(F37&gt;=0,A37,0)</f>
        <v/>
      </c>
    </row>
    <row r="38">
      <c r="A38" s="8" t="inlineStr">
        <is>
          <t>TOT</t>
        </is>
      </c>
      <c r="B38" s="28">
        <f>SUM(B14:B37)</f>
        <v/>
      </c>
      <c r="C38" s="28">
        <f>SUM(C14:C37)</f>
        <v/>
      </c>
      <c r="D38" s="28">
        <f>SUM(D14:D37)</f>
        <v/>
      </c>
      <c r="E38" s="28">
        <f>SUM(E14:E37)</f>
        <v/>
      </c>
    </row>
    <row r="39"/>
    <row r="40">
      <c r="A40" s="7" t="inlineStr">
        <is>
          <t>I RISULTATI</t>
        </is>
      </c>
    </row>
    <row r="41" ht="26" customHeight="1">
      <c r="A41" s="8" t="inlineStr">
        <is>
          <t>CASSA TOTALE NEI 24 MESI (NASPI + TFR)</t>
        </is>
      </c>
      <c r="B41" s="14" t="n"/>
      <c r="C41" s="26">
        <f>B38+C38</f>
        <v/>
      </c>
    </row>
    <row r="42" ht="34" customHeight="1">
      <c r="A42" s="8" t="inlineStr">
        <is>
          <t>PONTE — NASPI + TFR, in mesi di spesa</t>
        </is>
      </c>
      <c r="B42" s="14" t="n"/>
      <c r="C42" s="34">
        <f>(B38+C38)/C5</f>
        <v/>
      </c>
    </row>
    <row r="43" ht="34" customHeight="1">
      <c r="A43" s="8" t="inlineStr">
        <is>
          <t>PONTE — NASPI sola (TFR nel fondo), in mesi di spesa</t>
        </is>
      </c>
      <c r="B43" s="14" t="n"/>
      <c r="C43" s="34">
        <f>B38/C5</f>
        <v/>
      </c>
    </row>
    <row r="44" ht="34" customHeight="1">
      <c r="A44" s="8" t="inlineStr">
        <is>
          <t>PRIMO PRELIEVO DAL PATRIMONIO (mese)</t>
        </is>
      </c>
      <c r="B44" s="14" t="n"/>
      <c r="C44" s="35">
        <f>1+MAX(G14:G37)</f>
        <v/>
      </c>
    </row>
    <row r="45">
      <c r="A45" s="8" t="inlineStr">
        <is>
          <t>Cumulato a 24 mesi</t>
        </is>
      </c>
      <c r="B45" s="14" t="n"/>
      <c r="C45" s="12">
        <f>F37</f>
        <v/>
      </c>
    </row>
    <row r="46">
      <c r="A46" s="8" t="inlineStr">
        <is>
          <t>Ponte in % dei 24 mesi</t>
        </is>
      </c>
      <c r="B46" s="14" t="n"/>
      <c r="C46" s="23">
        <f>(B38+C38)/C5/24</f>
        <v/>
      </c>
    </row>
    <row r="47" ht="60" customHeight="1">
      <c r="A47" s="10" t="inlineStr">
        <is>
          <t>La cella «primo prelievo» è il mese dal quale il conto non torna più in pari — non il primo mese scoperto. Il primo mese è comunque scoperto finché la liquidazione non arriva. Il risultato è robusto: il TFR può arrivare in un qualunque mese fra il primo e il settimo, il mese del primo prelievo non si muove.</t>
        </is>
      </c>
    </row>
    <row r="48" ht="60" customHeight="1">
      <c r="A48" s="10" t="inlineStr">
        <is>
          <t>I ventiquattro mesi portano in cassa poco più di tredici mesi di spesa. Se il trattamento di fine rapporto è nel fondo pensione, otto e due. A rosicchiare il ponte non è l'IRPEF — lo Stato si riprende ottantatré euro su trentamilaquattrocento — è la riduzione progressiva dell'assegno e la durata.</t>
        </is>
      </c>
    </row>
  </sheetData>
  <mergeCells count="14">
    <mergeCell ref="A1:G1"/>
    <mergeCell ref="A40:G40"/>
    <mergeCell ref="A43:B43"/>
    <mergeCell ref="A41:B41"/>
    <mergeCell ref="A47:G47"/>
    <mergeCell ref="A12:G12"/>
    <mergeCell ref="A4:G4"/>
    <mergeCell ref="A42:B42"/>
    <mergeCell ref="A45:B45"/>
    <mergeCell ref="A46:B46"/>
    <mergeCell ref="A2:G2"/>
    <mergeCell ref="A44:B44"/>
    <mergeCell ref="A48:G48"/>
    <mergeCell ref="A10:G10"/>
  </mergeCells>
  <dataValidations count="1">
    <dataValidation sqref="C8" showDropDown="0" showInputMessage="0" showErrorMessage="0" allowBlank="0" type="list">
      <formula1>"NO,SI"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6" customWidth="1" min="4" max="4"/>
    <col width="16" customWidth="1" min="5" max="5"/>
    <col width="9" customWidth="1" min="6" max="6"/>
    <col width="13" customWidth="1" min="7" max="7"/>
    <col width="13" customWidth="1" min="8" max="8"/>
    <col width="10" customWidth="1" min="9" max="9"/>
    <col width="16" customWidth="1" min="10" max="10"/>
    <col width="12" customWidth="1" min="11" max="11"/>
    <col width="16" customWidth="1" min="12" max="12"/>
    <col width="3" customWidth="1" min="13" max="13"/>
    <col width="46" customWidth="1" min="14" max="14"/>
  </cols>
  <sheetData>
    <row r="1" ht="25" customHeight="1">
      <c r="A1" s="1" t="inlineStr">
        <is>
          <t>5 — PATRIMONIO: quarantaquattro anni, uno per uno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PARAMETRI DELLA SIMULAZIONE</t>
        </is>
      </c>
    </row>
    <row r="5">
      <c r="A5" s="8" t="inlineStr">
        <is>
          <t>Patrimonio iniziale — override (0 = usa il foglio INPUT)</t>
        </is>
      </c>
      <c r="B5" s="36" t="n"/>
      <c r="C5" s="14" t="n"/>
      <c r="D5" s="9" t="n">
        <v>0</v>
      </c>
    </row>
    <row r="6" ht="45" customHeight="1">
      <c r="A6" s="8" t="inlineStr">
        <is>
          <t>Spesa annua netta — override (0 = usa il foglio INPUT)</t>
        </is>
      </c>
      <c r="B6" s="36" t="n"/>
      <c r="C6" s="14" t="n"/>
      <c r="D6" s="9" t="n">
        <v>0</v>
      </c>
      <c r="N6" s="10" t="inlineStr">
        <is>
          <t>Sono le due celle su cui lanciare Ricerca obiettivo: vedi le istruzioni in fondo al foglio.</t>
        </is>
      </c>
    </row>
    <row r="7">
      <c r="A7" s="8" t="inlineStr">
        <is>
          <t>Patrimonio iniziale usato</t>
        </is>
      </c>
      <c r="B7" s="36" t="n"/>
      <c r="C7" s="14" t="n"/>
      <c r="D7" s="21">
        <f>IF($D$5&gt;0,$D$5,'1 - INPUT'!B24)</f>
        <v/>
      </c>
    </row>
    <row r="8">
      <c r="A8" s="8" t="inlineStr">
        <is>
          <t>Plusvalenza latente iniziale</t>
        </is>
      </c>
      <c r="B8" s="36" t="n"/>
      <c r="C8" s="14" t="n"/>
      <c r="D8" s="23">
        <f>'1 - INPUT'!B25</f>
        <v/>
      </c>
    </row>
    <row r="9">
      <c r="A9" s="8" t="inlineStr">
        <is>
          <t>Base fiscale iniziale</t>
        </is>
      </c>
      <c r="B9" s="36" t="n"/>
      <c r="C9" s="14" t="n"/>
      <c r="D9" s="21">
        <f>D7*(1-D8)</f>
        <v/>
      </c>
    </row>
    <row r="10">
      <c r="A10" s="8" t="inlineStr">
        <is>
          <t>Spesa annua netta usata</t>
        </is>
      </c>
      <c r="B10" s="36" t="n"/>
      <c r="C10" s="14" t="n"/>
      <c r="D10" s="21">
        <f>IF($D$6&gt;0,$D$6,'1 - INPUT'!B7)</f>
        <v/>
      </c>
    </row>
    <row r="11">
      <c r="A11" s="8" t="inlineStr">
        <is>
          <t>Aliquota sulle plusvalenze</t>
        </is>
      </c>
      <c r="B11" s="36" t="n"/>
      <c r="C11" s="14" t="n"/>
      <c r="D11" s="23">
        <f>'1 - INPUT'!B39</f>
        <v/>
      </c>
    </row>
    <row r="12">
      <c r="A12" s="8" t="inlineStr">
        <is>
          <t>Imposta di bollo (sul patrimonio di fine anno)</t>
        </is>
      </c>
      <c r="B12" s="36" t="n"/>
      <c r="C12" s="14" t="n"/>
      <c r="D12" s="37">
        <f>'1 - INPUT'!B40</f>
        <v/>
      </c>
    </row>
    <row r="13">
      <c r="A13" s="8" t="inlineStr">
        <is>
          <t>Anni al pensionamento</t>
        </is>
      </c>
      <c r="B13" s="36" t="n"/>
      <c r="C13" s="14" t="n"/>
      <c r="D13" s="15">
        <f>'1 - INPUT'!B14</f>
        <v/>
      </c>
    </row>
    <row r="14">
      <c r="A14" s="8" t="inlineStr">
        <is>
          <t>Pensione netta annua (13 mensilità)</t>
        </is>
      </c>
      <c r="B14" s="36" t="n"/>
      <c r="C14" s="14" t="n"/>
      <c r="D14" s="22" t="n">
        <v>20421.86</v>
      </c>
    </row>
    <row r="15">
      <c r="A15" s="8" t="inlineStr">
        <is>
          <t>NASPI netta contabile, anno 1</t>
        </is>
      </c>
      <c r="B15" s="36" t="n"/>
      <c r="C15" s="14" t="n"/>
      <c r="D15" s="21">
        <f>'2 - NASPI'!C24</f>
        <v/>
      </c>
    </row>
    <row r="16">
      <c r="A16" s="8" t="inlineStr">
        <is>
          <t>NASPI netta contabile, anno 2</t>
        </is>
      </c>
      <c r="B16" s="36" t="n"/>
      <c r="C16" s="14" t="n"/>
      <c r="D16" s="21">
        <f>'2 - NASPI'!D24</f>
        <v/>
      </c>
    </row>
    <row r="17">
      <c r="A17" s="8" t="inlineStr">
        <is>
          <t>TFR netto (0 se è nel fondo pensione)</t>
        </is>
      </c>
      <c r="B17" s="36" t="n"/>
      <c r="C17" s="14" t="n"/>
      <c r="D17" s="21">
        <f>IF('4 - PONTE'!C8="SI",0,'3 - TFR'!B28)</f>
        <v/>
      </c>
    </row>
    <row r="18">
      <c r="A18" s="8" t="inlineStr">
        <is>
          <t>Media geometrica reale</t>
        </is>
      </c>
      <c r="B18" s="36" t="n"/>
      <c r="C18" s="14" t="n"/>
      <c r="D18" s="23">
        <f>'1 - INPUT'!B29</f>
        <v/>
      </c>
    </row>
    <row r="19">
      <c r="A19" s="8" t="inlineStr">
        <is>
          <t>Ordine dei crolli</t>
        </is>
      </c>
      <c r="B19" s="36" t="n"/>
      <c r="C19" s="14" t="n"/>
      <c r="D19" s="38">
        <f>'1 - INPUT'!B30</f>
        <v/>
      </c>
    </row>
    <row r="20">
      <c r="A20" s="8" t="inlineStr">
        <is>
          <t>Rendimento degli anni normali</t>
        </is>
      </c>
      <c r="B20" s="36" t="n"/>
      <c r="C20" s="14" t="n"/>
      <c r="D20" s="16">
        <f>'1 - INPUT'!B33</f>
        <v/>
      </c>
    </row>
    <row r="21">
      <c r="A21" s="8" t="inlineStr">
        <is>
          <t>Anno del primo crollo</t>
        </is>
      </c>
      <c r="B21" s="36" t="n"/>
      <c r="C21" s="14" t="n"/>
      <c r="D21" s="15">
        <f>'1 - INPUT'!B34</f>
        <v/>
      </c>
    </row>
    <row r="22">
      <c r="A22" s="8" t="inlineStr">
        <is>
          <t>Anno del secondo crollo</t>
        </is>
      </c>
      <c r="B22" s="36" t="n"/>
      <c r="C22" s="14" t="n"/>
      <c r="D22" s="15">
        <f>'1 - INPUT'!B35</f>
        <v/>
      </c>
    </row>
    <row r="23">
      <c r="A23" s="8" t="inlineStr">
        <is>
          <t>Primo crollo / secondo crollo</t>
        </is>
      </c>
      <c r="B23" s="36" t="n"/>
      <c r="C23" s="14" t="n"/>
      <c r="D23" s="38">
        <f>'1 - INPUT'!B31&amp;" / "&amp;'1 - INPUT'!B32</f>
        <v/>
      </c>
    </row>
    <row r="24" ht="45" customHeight="1">
      <c r="A24" s="10" t="inlineStr">
        <is>
          <t>RIGA-INGREDIENTE (gate G4). Gli anni 1 e 2 di questa simulazione contengono la NASPI netta e il trattamento di fine rapporto: sono i numeri di chi esce ADESSO. Chi è già fermo da tempo non li ha più e deve aggiungere circa cinquantamila euro al capitale necessario. La riga è esplicita nella tabella del capitale, in fondo al foglio.</t>
        </is>
      </c>
    </row>
    <row r="25"/>
    <row r="26">
      <c r="A26" s="7" t="inlineStr">
        <is>
          <t>LA SIMULAZIONE, ANNO PER ANNO</t>
        </is>
      </c>
    </row>
    <row r="27" ht="44" customHeight="1">
      <c r="A27" s="24" t="inlineStr">
        <is>
          <t>Anno</t>
        </is>
      </c>
      <c r="B27" s="24" t="inlineStr">
        <is>
          <t>età</t>
        </is>
      </c>
      <c r="C27" s="24" t="inlineStr">
        <is>
          <t>Fabbisogno
netto</t>
        </is>
      </c>
      <c r="D27" s="24" t="inlineStr">
        <is>
          <t>Patrimonio
a inizio anno</t>
        </is>
      </c>
      <c r="E27" s="24" t="inlineStr">
        <is>
          <t>Base fiscale
a inizio anno</t>
        </is>
      </c>
      <c r="F27" s="24" t="inlineStr">
        <is>
          <t>Latente</t>
        </is>
      </c>
      <c r="G27" s="24" t="inlineStr">
        <is>
          <t>Vendita
lorda</t>
        </is>
      </c>
      <c r="H27" s="24" t="inlineStr">
        <is>
          <t>Base
consumata</t>
        </is>
      </c>
      <c r="I27" s="24" t="inlineStr">
        <is>
          <t>Rendimento</t>
        </is>
      </c>
      <c r="J27" s="24" t="inlineStr">
        <is>
          <t>Patrimonio prima
del bollo</t>
        </is>
      </c>
      <c r="K27" s="24" t="inlineStr">
        <is>
          <t>Imposta
di bollo</t>
        </is>
      </c>
      <c r="L27" s="24" t="inlineStr">
        <is>
          <t>PATRIMONIO
A FINE ANNO</t>
        </is>
      </c>
    </row>
    <row r="28">
      <c r="A28" s="27" t="n">
        <v>1</v>
      </c>
      <c r="B28" s="15">
        <f>'1 - INPUT'!$B$9+A28</f>
        <v/>
      </c>
      <c r="C28" s="21">
        <f>IF(A28=1,$D$10-$D$15-$D$17,IF(A28=2,$D$10-$D$16,IF(A28&lt;=$D$13,$D$10,$D$10-$D$14)))</f>
        <v/>
      </c>
      <c r="D28" s="21">
        <f>$D$7</f>
        <v/>
      </c>
      <c r="E28" s="21">
        <f>$D$9</f>
        <v/>
      </c>
      <c r="F28" s="23">
        <f>IF(D28&lt;=0,0,1-E28/D28)</f>
        <v/>
      </c>
      <c r="G28" s="21">
        <f>IF(D28&lt;=0,0,IF(C28&gt;0,C28/(1-$D$11*F28),C28))</f>
        <v/>
      </c>
      <c r="H28" s="21">
        <f>IF(C28&gt;0,G28*(1-F28),G28)</f>
        <v/>
      </c>
      <c r="I28" s="16">
        <f>IF(A28=$D$21,'1 - INPUT'!$B$31,IF(A28=$D$22,'1 - INPUT'!$B$32,$D$20))</f>
        <v/>
      </c>
      <c r="J28" s="21">
        <f>(D28-G28)*(1+I28)</f>
        <v/>
      </c>
      <c r="K28" s="21">
        <f>$D$12*J28</f>
        <v/>
      </c>
      <c r="L28" s="21">
        <f>J28-K28</f>
        <v/>
      </c>
    </row>
    <row r="29">
      <c r="A29" s="27" t="n">
        <v>2</v>
      </c>
      <c r="B29" s="15">
        <f>'1 - INPUT'!$B$9+A29</f>
        <v/>
      </c>
      <c r="C29" s="21">
        <f>IF(A29=1,$D$10-$D$15-$D$17,IF(A29=2,$D$10-$D$16,IF(A29&lt;=$D$13,$D$10,$D$10-$D$14)))</f>
        <v/>
      </c>
      <c r="D29" s="21">
        <f>L28</f>
        <v/>
      </c>
      <c r="E29" s="21">
        <f>(E28-H28)*(1-$D$12)</f>
        <v/>
      </c>
      <c r="F29" s="23">
        <f>IF(D29&lt;=0,0,1-E29/D29)</f>
        <v/>
      </c>
      <c r="G29" s="21">
        <f>IF(D29&lt;=0,0,IF(C29&gt;0,C29/(1-$D$11*F29),C29))</f>
        <v/>
      </c>
      <c r="H29" s="21">
        <f>IF(C29&gt;0,G29*(1-F29),G29)</f>
        <v/>
      </c>
      <c r="I29" s="16">
        <f>IF(A29=$D$21,'1 - INPUT'!$B$31,IF(A29=$D$22,'1 - INPUT'!$B$32,$D$20))</f>
        <v/>
      </c>
      <c r="J29" s="21">
        <f>(D29-G29)*(1+I29)</f>
        <v/>
      </c>
      <c r="K29" s="21">
        <f>$D$12*J29</f>
        <v/>
      </c>
      <c r="L29" s="21">
        <f>J29-K29</f>
        <v/>
      </c>
    </row>
    <row r="30">
      <c r="A30" s="27" t="n">
        <v>3</v>
      </c>
      <c r="B30" s="15">
        <f>'1 - INPUT'!$B$9+A30</f>
        <v/>
      </c>
      <c r="C30" s="21">
        <f>IF(A30=1,$D$10-$D$15-$D$17,IF(A30=2,$D$10-$D$16,IF(A30&lt;=$D$13,$D$10,$D$10-$D$14)))</f>
        <v/>
      </c>
      <c r="D30" s="21">
        <f>L29</f>
        <v/>
      </c>
      <c r="E30" s="21">
        <f>(E29-H29)*(1-$D$12)</f>
        <v/>
      </c>
      <c r="F30" s="23">
        <f>IF(D30&lt;=0,0,1-E30/D30)</f>
        <v/>
      </c>
      <c r="G30" s="21">
        <f>IF(D30&lt;=0,0,IF(C30&gt;0,C30/(1-$D$11*F30),C30))</f>
        <v/>
      </c>
      <c r="H30" s="21">
        <f>IF(C30&gt;0,G30*(1-F30),G30)</f>
        <v/>
      </c>
      <c r="I30" s="16">
        <f>IF(A30=$D$21,'1 - INPUT'!$B$31,IF(A30=$D$22,'1 - INPUT'!$B$32,$D$20))</f>
        <v/>
      </c>
      <c r="J30" s="21">
        <f>(D30-G30)*(1+I30)</f>
        <v/>
      </c>
      <c r="K30" s="21">
        <f>$D$12*J30</f>
        <v/>
      </c>
      <c r="L30" s="21">
        <f>J30-K30</f>
        <v/>
      </c>
    </row>
    <row r="31">
      <c r="A31" s="27" t="n">
        <v>4</v>
      </c>
      <c r="B31" s="15">
        <f>'1 - INPUT'!$B$9+A31</f>
        <v/>
      </c>
      <c r="C31" s="21">
        <f>IF(A31=1,$D$10-$D$15-$D$17,IF(A31=2,$D$10-$D$16,IF(A31&lt;=$D$13,$D$10,$D$10-$D$14)))</f>
        <v/>
      </c>
      <c r="D31" s="21">
        <f>L30</f>
        <v/>
      </c>
      <c r="E31" s="21">
        <f>(E30-H30)*(1-$D$12)</f>
        <v/>
      </c>
      <c r="F31" s="23">
        <f>IF(D31&lt;=0,0,1-E31/D31)</f>
        <v/>
      </c>
      <c r="G31" s="21">
        <f>IF(D31&lt;=0,0,IF(C31&gt;0,C31/(1-$D$11*F31),C31))</f>
        <v/>
      </c>
      <c r="H31" s="21">
        <f>IF(C31&gt;0,G31*(1-F31),G31)</f>
        <v/>
      </c>
      <c r="I31" s="16">
        <f>IF(A31=$D$21,'1 - INPUT'!$B$31,IF(A31=$D$22,'1 - INPUT'!$B$32,$D$20))</f>
        <v/>
      </c>
      <c r="J31" s="21">
        <f>(D31-G31)*(1+I31)</f>
        <v/>
      </c>
      <c r="K31" s="21">
        <f>$D$12*J31</f>
        <v/>
      </c>
      <c r="L31" s="21">
        <f>J31-K31</f>
        <v/>
      </c>
    </row>
    <row r="32">
      <c r="A32" s="27" t="n">
        <v>5</v>
      </c>
      <c r="B32" s="15">
        <f>'1 - INPUT'!$B$9+A32</f>
        <v/>
      </c>
      <c r="C32" s="21">
        <f>IF(A32=1,$D$10-$D$15-$D$17,IF(A32=2,$D$10-$D$16,IF(A32&lt;=$D$13,$D$10,$D$10-$D$14)))</f>
        <v/>
      </c>
      <c r="D32" s="21">
        <f>L31</f>
        <v/>
      </c>
      <c r="E32" s="21">
        <f>(E31-H31)*(1-$D$12)</f>
        <v/>
      </c>
      <c r="F32" s="23">
        <f>IF(D32&lt;=0,0,1-E32/D32)</f>
        <v/>
      </c>
      <c r="G32" s="21">
        <f>IF(D32&lt;=0,0,IF(C32&gt;0,C32/(1-$D$11*F32),C32))</f>
        <v/>
      </c>
      <c r="H32" s="21">
        <f>IF(C32&gt;0,G32*(1-F32),G32)</f>
        <v/>
      </c>
      <c r="I32" s="16">
        <f>IF(A32=$D$21,'1 - INPUT'!$B$31,IF(A32=$D$22,'1 - INPUT'!$B$32,$D$20))</f>
        <v/>
      </c>
      <c r="J32" s="21">
        <f>(D32-G32)*(1+I32)</f>
        <v/>
      </c>
      <c r="K32" s="21">
        <f>$D$12*J32</f>
        <v/>
      </c>
      <c r="L32" s="21">
        <f>J32-K32</f>
        <v/>
      </c>
    </row>
    <row r="33">
      <c r="A33" s="27" t="n">
        <v>6</v>
      </c>
      <c r="B33" s="15">
        <f>'1 - INPUT'!$B$9+A33</f>
        <v/>
      </c>
      <c r="C33" s="21">
        <f>IF(A33=1,$D$10-$D$15-$D$17,IF(A33=2,$D$10-$D$16,IF(A33&lt;=$D$13,$D$10,$D$10-$D$14)))</f>
        <v/>
      </c>
      <c r="D33" s="21">
        <f>L32</f>
        <v/>
      </c>
      <c r="E33" s="21">
        <f>(E32-H32)*(1-$D$12)</f>
        <v/>
      </c>
      <c r="F33" s="23">
        <f>IF(D33&lt;=0,0,1-E33/D33)</f>
        <v/>
      </c>
      <c r="G33" s="21">
        <f>IF(D33&lt;=0,0,IF(C33&gt;0,C33/(1-$D$11*F33),C33))</f>
        <v/>
      </c>
      <c r="H33" s="21">
        <f>IF(C33&gt;0,G33*(1-F33),G33)</f>
        <v/>
      </c>
      <c r="I33" s="16">
        <f>IF(A33=$D$21,'1 - INPUT'!$B$31,IF(A33=$D$22,'1 - INPUT'!$B$32,$D$20))</f>
        <v/>
      </c>
      <c r="J33" s="21">
        <f>(D33-G33)*(1+I33)</f>
        <v/>
      </c>
      <c r="K33" s="21">
        <f>$D$12*J33</f>
        <v/>
      </c>
      <c r="L33" s="21">
        <f>J33-K33</f>
        <v/>
      </c>
    </row>
    <row r="34">
      <c r="A34" s="27" t="n">
        <v>7</v>
      </c>
      <c r="B34" s="15">
        <f>'1 - INPUT'!$B$9+A34</f>
        <v/>
      </c>
      <c r="C34" s="21">
        <f>IF(A34=1,$D$10-$D$15-$D$17,IF(A34=2,$D$10-$D$16,IF(A34&lt;=$D$13,$D$10,$D$10-$D$14)))</f>
        <v/>
      </c>
      <c r="D34" s="21">
        <f>L33</f>
        <v/>
      </c>
      <c r="E34" s="21">
        <f>(E33-H33)*(1-$D$12)</f>
        <v/>
      </c>
      <c r="F34" s="23">
        <f>IF(D34&lt;=0,0,1-E34/D34)</f>
        <v/>
      </c>
      <c r="G34" s="21">
        <f>IF(D34&lt;=0,0,IF(C34&gt;0,C34/(1-$D$11*F34),C34))</f>
        <v/>
      </c>
      <c r="H34" s="21">
        <f>IF(C34&gt;0,G34*(1-F34),G34)</f>
        <v/>
      </c>
      <c r="I34" s="16">
        <f>IF(A34=$D$21,'1 - INPUT'!$B$31,IF(A34=$D$22,'1 - INPUT'!$B$32,$D$20))</f>
        <v/>
      </c>
      <c r="J34" s="21">
        <f>(D34-G34)*(1+I34)</f>
        <v/>
      </c>
      <c r="K34" s="21">
        <f>$D$12*J34</f>
        <v/>
      </c>
      <c r="L34" s="21">
        <f>J34-K34</f>
        <v/>
      </c>
    </row>
    <row r="35">
      <c r="A35" s="27" t="n">
        <v>8</v>
      </c>
      <c r="B35" s="15">
        <f>'1 - INPUT'!$B$9+A35</f>
        <v/>
      </c>
      <c r="C35" s="21">
        <f>IF(A35=1,$D$10-$D$15-$D$17,IF(A35=2,$D$10-$D$16,IF(A35&lt;=$D$13,$D$10,$D$10-$D$14)))</f>
        <v/>
      </c>
      <c r="D35" s="21">
        <f>L34</f>
        <v/>
      </c>
      <c r="E35" s="21">
        <f>(E34-H34)*(1-$D$12)</f>
        <v/>
      </c>
      <c r="F35" s="23">
        <f>IF(D35&lt;=0,0,1-E35/D35)</f>
        <v/>
      </c>
      <c r="G35" s="21">
        <f>IF(D35&lt;=0,0,IF(C35&gt;0,C35/(1-$D$11*F35),C35))</f>
        <v/>
      </c>
      <c r="H35" s="21">
        <f>IF(C35&gt;0,G35*(1-F35),G35)</f>
        <v/>
      </c>
      <c r="I35" s="16">
        <f>IF(A35=$D$21,'1 - INPUT'!$B$31,IF(A35=$D$22,'1 - INPUT'!$B$32,$D$20))</f>
        <v/>
      </c>
      <c r="J35" s="21">
        <f>(D35-G35)*(1+I35)</f>
        <v/>
      </c>
      <c r="K35" s="21">
        <f>$D$12*J35</f>
        <v/>
      </c>
      <c r="L35" s="21">
        <f>J35-K35</f>
        <v/>
      </c>
    </row>
    <row r="36">
      <c r="A36" s="27" t="n">
        <v>9</v>
      </c>
      <c r="B36" s="15">
        <f>'1 - INPUT'!$B$9+A36</f>
        <v/>
      </c>
      <c r="C36" s="21">
        <f>IF(A36=1,$D$10-$D$15-$D$17,IF(A36=2,$D$10-$D$16,IF(A36&lt;=$D$13,$D$10,$D$10-$D$14)))</f>
        <v/>
      </c>
      <c r="D36" s="21">
        <f>L35</f>
        <v/>
      </c>
      <c r="E36" s="21">
        <f>(E35-H35)*(1-$D$12)</f>
        <v/>
      </c>
      <c r="F36" s="23">
        <f>IF(D36&lt;=0,0,1-E36/D36)</f>
        <v/>
      </c>
      <c r="G36" s="21">
        <f>IF(D36&lt;=0,0,IF(C36&gt;0,C36/(1-$D$11*F36),C36))</f>
        <v/>
      </c>
      <c r="H36" s="21">
        <f>IF(C36&gt;0,G36*(1-F36),G36)</f>
        <v/>
      </c>
      <c r="I36" s="16">
        <f>IF(A36=$D$21,'1 - INPUT'!$B$31,IF(A36=$D$22,'1 - INPUT'!$B$32,$D$20))</f>
        <v/>
      </c>
      <c r="J36" s="21">
        <f>(D36-G36)*(1+I36)</f>
        <v/>
      </c>
      <c r="K36" s="21">
        <f>$D$12*J36</f>
        <v/>
      </c>
      <c r="L36" s="21">
        <f>J36-K36</f>
        <v/>
      </c>
    </row>
    <row r="37">
      <c r="A37" s="27" t="n">
        <v>10</v>
      </c>
      <c r="B37" s="15">
        <f>'1 - INPUT'!$B$9+A37</f>
        <v/>
      </c>
      <c r="C37" s="21">
        <f>IF(A37=1,$D$10-$D$15-$D$17,IF(A37=2,$D$10-$D$16,IF(A37&lt;=$D$13,$D$10,$D$10-$D$14)))</f>
        <v/>
      </c>
      <c r="D37" s="21">
        <f>L36</f>
        <v/>
      </c>
      <c r="E37" s="21">
        <f>(E36-H36)*(1-$D$12)</f>
        <v/>
      </c>
      <c r="F37" s="23">
        <f>IF(D37&lt;=0,0,1-E37/D37)</f>
        <v/>
      </c>
      <c r="G37" s="21">
        <f>IF(D37&lt;=0,0,IF(C37&gt;0,C37/(1-$D$11*F37),C37))</f>
        <v/>
      </c>
      <c r="H37" s="21">
        <f>IF(C37&gt;0,G37*(1-F37),G37)</f>
        <v/>
      </c>
      <c r="I37" s="16">
        <f>IF(A37=$D$21,'1 - INPUT'!$B$31,IF(A37=$D$22,'1 - INPUT'!$B$32,$D$20))</f>
        <v/>
      </c>
      <c r="J37" s="21">
        <f>(D37-G37)*(1+I37)</f>
        <v/>
      </c>
      <c r="K37" s="21">
        <f>$D$12*J37</f>
        <v/>
      </c>
      <c r="L37" s="21">
        <f>J37-K37</f>
        <v/>
      </c>
    </row>
    <row r="38">
      <c r="A38" s="27" t="n">
        <v>11</v>
      </c>
      <c r="B38" s="15">
        <f>'1 - INPUT'!$B$9+A38</f>
        <v/>
      </c>
      <c r="C38" s="21">
        <f>IF(A38=1,$D$10-$D$15-$D$17,IF(A38=2,$D$10-$D$16,IF(A38&lt;=$D$13,$D$10,$D$10-$D$14)))</f>
        <v/>
      </c>
      <c r="D38" s="21">
        <f>L37</f>
        <v/>
      </c>
      <c r="E38" s="21">
        <f>(E37-H37)*(1-$D$12)</f>
        <v/>
      </c>
      <c r="F38" s="23">
        <f>IF(D38&lt;=0,0,1-E38/D38)</f>
        <v/>
      </c>
      <c r="G38" s="21">
        <f>IF(D38&lt;=0,0,IF(C38&gt;0,C38/(1-$D$11*F38),C38))</f>
        <v/>
      </c>
      <c r="H38" s="21">
        <f>IF(C38&gt;0,G38*(1-F38),G38)</f>
        <v/>
      </c>
      <c r="I38" s="16">
        <f>IF(A38=$D$21,'1 - INPUT'!$B$31,IF(A38=$D$22,'1 - INPUT'!$B$32,$D$20))</f>
        <v/>
      </c>
      <c r="J38" s="21">
        <f>(D38-G38)*(1+I38)</f>
        <v/>
      </c>
      <c r="K38" s="21">
        <f>$D$12*J38</f>
        <v/>
      </c>
      <c r="L38" s="21">
        <f>J38-K38</f>
        <v/>
      </c>
    </row>
    <row r="39">
      <c r="A39" s="27" t="n">
        <v>12</v>
      </c>
      <c r="B39" s="15">
        <f>'1 - INPUT'!$B$9+A39</f>
        <v/>
      </c>
      <c r="C39" s="21">
        <f>IF(A39=1,$D$10-$D$15-$D$17,IF(A39=2,$D$10-$D$16,IF(A39&lt;=$D$13,$D$10,$D$10-$D$14)))</f>
        <v/>
      </c>
      <c r="D39" s="21">
        <f>L38</f>
        <v/>
      </c>
      <c r="E39" s="21">
        <f>(E38-H38)*(1-$D$12)</f>
        <v/>
      </c>
      <c r="F39" s="23">
        <f>IF(D39&lt;=0,0,1-E39/D39)</f>
        <v/>
      </c>
      <c r="G39" s="21">
        <f>IF(D39&lt;=0,0,IF(C39&gt;0,C39/(1-$D$11*F39),C39))</f>
        <v/>
      </c>
      <c r="H39" s="21">
        <f>IF(C39&gt;0,G39*(1-F39),G39)</f>
        <v/>
      </c>
      <c r="I39" s="16">
        <f>IF(A39=$D$21,'1 - INPUT'!$B$31,IF(A39=$D$22,'1 - INPUT'!$B$32,$D$20))</f>
        <v/>
      </c>
      <c r="J39" s="21">
        <f>(D39-G39)*(1+I39)</f>
        <v/>
      </c>
      <c r="K39" s="21">
        <f>$D$12*J39</f>
        <v/>
      </c>
      <c r="L39" s="21">
        <f>J39-K39</f>
        <v/>
      </c>
    </row>
    <row r="40">
      <c r="A40" s="27" t="n">
        <v>13</v>
      </c>
      <c r="B40" s="15">
        <f>'1 - INPUT'!$B$9+A40</f>
        <v/>
      </c>
      <c r="C40" s="21">
        <f>IF(A40=1,$D$10-$D$15-$D$17,IF(A40=2,$D$10-$D$16,IF(A40&lt;=$D$13,$D$10,$D$10-$D$14)))</f>
        <v/>
      </c>
      <c r="D40" s="21">
        <f>L39</f>
        <v/>
      </c>
      <c r="E40" s="21">
        <f>(E39-H39)*(1-$D$12)</f>
        <v/>
      </c>
      <c r="F40" s="23">
        <f>IF(D40&lt;=0,0,1-E40/D40)</f>
        <v/>
      </c>
      <c r="G40" s="21">
        <f>IF(D40&lt;=0,0,IF(C40&gt;0,C40/(1-$D$11*F40),C40))</f>
        <v/>
      </c>
      <c r="H40" s="21">
        <f>IF(C40&gt;0,G40*(1-F40),G40)</f>
        <v/>
      </c>
      <c r="I40" s="16">
        <f>IF(A40=$D$21,'1 - INPUT'!$B$31,IF(A40=$D$22,'1 - INPUT'!$B$32,$D$20))</f>
        <v/>
      </c>
      <c r="J40" s="21">
        <f>(D40-G40)*(1+I40)</f>
        <v/>
      </c>
      <c r="K40" s="21">
        <f>$D$12*J40</f>
        <v/>
      </c>
      <c r="L40" s="21">
        <f>J40-K40</f>
        <v/>
      </c>
    </row>
    <row r="41">
      <c r="A41" s="27" t="n">
        <v>14</v>
      </c>
      <c r="B41" s="15">
        <f>'1 - INPUT'!$B$9+A41</f>
        <v/>
      </c>
      <c r="C41" s="21">
        <f>IF(A41=1,$D$10-$D$15-$D$17,IF(A41=2,$D$10-$D$16,IF(A41&lt;=$D$13,$D$10,$D$10-$D$14)))</f>
        <v/>
      </c>
      <c r="D41" s="21">
        <f>L40</f>
        <v/>
      </c>
      <c r="E41" s="21">
        <f>(E40-H40)*(1-$D$12)</f>
        <v/>
      </c>
      <c r="F41" s="23">
        <f>IF(D41&lt;=0,0,1-E41/D41)</f>
        <v/>
      </c>
      <c r="G41" s="21">
        <f>IF(D41&lt;=0,0,IF(C41&gt;0,C41/(1-$D$11*F41),C41))</f>
        <v/>
      </c>
      <c r="H41" s="21">
        <f>IF(C41&gt;0,G41*(1-F41),G41)</f>
        <v/>
      </c>
      <c r="I41" s="16">
        <f>IF(A41=$D$21,'1 - INPUT'!$B$31,IF(A41=$D$22,'1 - INPUT'!$B$32,$D$20))</f>
        <v/>
      </c>
      <c r="J41" s="21">
        <f>(D41-G41)*(1+I41)</f>
        <v/>
      </c>
      <c r="K41" s="21">
        <f>$D$12*J41</f>
        <v/>
      </c>
      <c r="L41" s="21">
        <f>J41-K41</f>
        <v/>
      </c>
    </row>
    <row r="42">
      <c r="A42" s="27" t="n">
        <v>15</v>
      </c>
      <c r="B42" s="15">
        <f>'1 - INPUT'!$B$9+A42</f>
        <v/>
      </c>
      <c r="C42" s="21">
        <f>IF(A42=1,$D$10-$D$15-$D$17,IF(A42=2,$D$10-$D$16,IF(A42&lt;=$D$13,$D$10,$D$10-$D$14)))</f>
        <v/>
      </c>
      <c r="D42" s="21">
        <f>L41</f>
        <v/>
      </c>
      <c r="E42" s="21">
        <f>(E41-H41)*(1-$D$12)</f>
        <v/>
      </c>
      <c r="F42" s="23">
        <f>IF(D42&lt;=0,0,1-E42/D42)</f>
        <v/>
      </c>
      <c r="G42" s="21">
        <f>IF(D42&lt;=0,0,IF(C42&gt;0,C42/(1-$D$11*F42),C42))</f>
        <v/>
      </c>
      <c r="H42" s="21">
        <f>IF(C42&gt;0,G42*(1-F42),G42)</f>
        <v/>
      </c>
      <c r="I42" s="16">
        <f>IF(A42=$D$21,'1 - INPUT'!$B$31,IF(A42=$D$22,'1 - INPUT'!$B$32,$D$20))</f>
        <v/>
      </c>
      <c r="J42" s="21">
        <f>(D42-G42)*(1+I42)</f>
        <v/>
      </c>
      <c r="K42" s="21">
        <f>$D$12*J42</f>
        <v/>
      </c>
      <c r="L42" s="21">
        <f>J42-K42</f>
        <v/>
      </c>
    </row>
    <row r="43">
      <c r="A43" s="27" t="n">
        <v>16</v>
      </c>
      <c r="B43" s="15">
        <f>'1 - INPUT'!$B$9+A43</f>
        <v/>
      </c>
      <c r="C43" s="21">
        <f>IF(A43=1,$D$10-$D$15-$D$17,IF(A43=2,$D$10-$D$16,IF(A43&lt;=$D$13,$D$10,$D$10-$D$14)))</f>
        <v/>
      </c>
      <c r="D43" s="21">
        <f>L42</f>
        <v/>
      </c>
      <c r="E43" s="21">
        <f>(E42-H42)*(1-$D$12)</f>
        <v/>
      </c>
      <c r="F43" s="23">
        <f>IF(D43&lt;=0,0,1-E43/D43)</f>
        <v/>
      </c>
      <c r="G43" s="21">
        <f>IF(D43&lt;=0,0,IF(C43&gt;0,C43/(1-$D$11*F43),C43))</f>
        <v/>
      </c>
      <c r="H43" s="21">
        <f>IF(C43&gt;0,G43*(1-F43),G43)</f>
        <v/>
      </c>
      <c r="I43" s="16">
        <f>IF(A43=$D$21,'1 - INPUT'!$B$31,IF(A43=$D$22,'1 - INPUT'!$B$32,$D$20))</f>
        <v/>
      </c>
      <c r="J43" s="21">
        <f>(D43-G43)*(1+I43)</f>
        <v/>
      </c>
      <c r="K43" s="21">
        <f>$D$12*J43</f>
        <v/>
      </c>
      <c r="L43" s="21">
        <f>J43-K43</f>
        <v/>
      </c>
    </row>
    <row r="44">
      <c r="A44" s="27" t="n">
        <v>17</v>
      </c>
      <c r="B44" s="15">
        <f>'1 - INPUT'!$B$9+A44</f>
        <v/>
      </c>
      <c r="C44" s="21">
        <f>IF(A44=1,$D$10-$D$15-$D$17,IF(A44=2,$D$10-$D$16,IF(A44&lt;=$D$13,$D$10,$D$10-$D$14)))</f>
        <v/>
      </c>
      <c r="D44" s="21">
        <f>L43</f>
        <v/>
      </c>
      <c r="E44" s="21">
        <f>(E43-H43)*(1-$D$12)</f>
        <v/>
      </c>
      <c r="F44" s="23">
        <f>IF(D44&lt;=0,0,1-E44/D44)</f>
        <v/>
      </c>
      <c r="G44" s="21">
        <f>IF(D44&lt;=0,0,IF(C44&gt;0,C44/(1-$D$11*F44),C44))</f>
        <v/>
      </c>
      <c r="H44" s="21">
        <f>IF(C44&gt;0,G44*(1-F44),G44)</f>
        <v/>
      </c>
      <c r="I44" s="16">
        <f>IF(A44=$D$21,'1 - INPUT'!$B$31,IF(A44=$D$22,'1 - INPUT'!$B$32,$D$20))</f>
        <v/>
      </c>
      <c r="J44" s="21">
        <f>(D44-G44)*(1+I44)</f>
        <v/>
      </c>
      <c r="K44" s="21">
        <f>$D$12*J44</f>
        <v/>
      </c>
      <c r="L44" s="21">
        <f>J44-K44</f>
        <v/>
      </c>
    </row>
    <row r="45">
      <c r="A45" s="27" t="n">
        <v>18</v>
      </c>
      <c r="B45" s="15">
        <f>'1 - INPUT'!$B$9+A45</f>
        <v/>
      </c>
      <c r="C45" s="21">
        <f>IF(A45=1,$D$10-$D$15-$D$17,IF(A45=2,$D$10-$D$16,IF(A45&lt;=$D$13,$D$10,$D$10-$D$14)))</f>
        <v/>
      </c>
      <c r="D45" s="21">
        <f>L44</f>
        <v/>
      </c>
      <c r="E45" s="21">
        <f>(E44-H44)*(1-$D$12)</f>
        <v/>
      </c>
      <c r="F45" s="23">
        <f>IF(D45&lt;=0,0,1-E45/D45)</f>
        <v/>
      </c>
      <c r="G45" s="21">
        <f>IF(D45&lt;=0,0,IF(C45&gt;0,C45/(1-$D$11*F45),C45))</f>
        <v/>
      </c>
      <c r="H45" s="21">
        <f>IF(C45&gt;0,G45*(1-F45),G45)</f>
        <v/>
      </c>
      <c r="I45" s="16">
        <f>IF(A45=$D$21,'1 - INPUT'!$B$31,IF(A45=$D$22,'1 - INPUT'!$B$32,$D$20))</f>
        <v/>
      </c>
      <c r="J45" s="21">
        <f>(D45-G45)*(1+I45)</f>
        <v/>
      </c>
      <c r="K45" s="21">
        <f>$D$12*J45</f>
        <v/>
      </c>
      <c r="L45" s="21">
        <f>J45-K45</f>
        <v/>
      </c>
    </row>
    <row r="46">
      <c r="A46" s="27" t="n">
        <v>19</v>
      </c>
      <c r="B46" s="15">
        <f>'1 - INPUT'!$B$9+A46</f>
        <v/>
      </c>
      <c r="C46" s="21">
        <f>IF(A46=1,$D$10-$D$15-$D$17,IF(A46=2,$D$10-$D$16,IF(A46&lt;=$D$13,$D$10,$D$10-$D$14)))</f>
        <v/>
      </c>
      <c r="D46" s="21">
        <f>L45</f>
        <v/>
      </c>
      <c r="E46" s="21">
        <f>(E45-H45)*(1-$D$12)</f>
        <v/>
      </c>
      <c r="F46" s="23">
        <f>IF(D46&lt;=0,0,1-E46/D46)</f>
        <v/>
      </c>
      <c r="G46" s="21">
        <f>IF(D46&lt;=0,0,IF(C46&gt;0,C46/(1-$D$11*F46),C46))</f>
        <v/>
      </c>
      <c r="H46" s="21">
        <f>IF(C46&gt;0,G46*(1-F46),G46)</f>
        <v/>
      </c>
      <c r="I46" s="16">
        <f>IF(A46=$D$21,'1 - INPUT'!$B$31,IF(A46=$D$22,'1 - INPUT'!$B$32,$D$20))</f>
        <v/>
      </c>
      <c r="J46" s="21">
        <f>(D46-G46)*(1+I46)</f>
        <v/>
      </c>
      <c r="K46" s="21">
        <f>$D$12*J46</f>
        <v/>
      </c>
      <c r="L46" s="21">
        <f>J46-K46</f>
        <v/>
      </c>
    </row>
    <row r="47">
      <c r="A47" s="27" t="n">
        <v>20</v>
      </c>
      <c r="B47" s="15">
        <f>'1 - INPUT'!$B$9+A47</f>
        <v/>
      </c>
      <c r="C47" s="21">
        <f>IF(A47=1,$D$10-$D$15-$D$17,IF(A47=2,$D$10-$D$16,IF(A47&lt;=$D$13,$D$10,$D$10-$D$14)))</f>
        <v/>
      </c>
      <c r="D47" s="21">
        <f>L46</f>
        <v/>
      </c>
      <c r="E47" s="21">
        <f>(E46-H46)*(1-$D$12)</f>
        <v/>
      </c>
      <c r="F47" s="23">
        <f>IF(D47&lt;=0,0,1-E47/D47)</f>
        <v/>
      </c>
      <c r="G47" s="21">
        <f>IF(D47&lt;=0,0,IF(C47&gt;0,C47/(1-$D$11*F47),C47))</f>
        <v/>
      </c>
      <c r="H47" s="21">
        <f>IF(C47&gt;0,G47*(1-F47),G47)</f>
        <v/>
      </c>
      <c r="I47" s="16">
        <f>IF(A47=$D$21,'1 - INPUT'!$B$31,IF(A47=$D$22,'1 - INPUT'!$B$32,$D$20))</f>
        <v/>
      </c>
      <c r="J47" s="21">
        <f>(D47-G47)*(1+I47)</f>
        <v/>
      </c>
      <c r="K47" s="21">
        <f>$D$12*J47</f>
        <v/>
      </c>
      <c r="L47" s="21">
        <f>J47-K47</f>
        <v/>
      </c>
    </row>
    <row r="48">
      <c r="A48" s="27" t="n">
        <v>21</v>
      </c>
      <c r="B48" s="15">
        <f>'1 - INPUT'!$B$9+A48</f>
        <v/>
      </c>
      <c r="C48" s="21">
        <f>IF(A48=1,$D$10-$D$15-$D$17,IF(A48=2,$D$10-$D$16,IF(A48&lt;=$D$13,$D$10,$D$10-$D$14)))</f>
        <v/>
      </c>
      <c r="D48" s="21">
        <f>L47</f>
        <v/>
      </c>
      <c r="E48" s="21">
        <f>(E47-H47)*(1-$D$12)</f>
        <v/>
      </c>
      <c r="F48" s="23">
        <f>IF(D48&lt;=0,0,1-E48/D48)</f>
        <v/>
      </c>
      <c r="G48" s="21">
        <f>IF(D48&lt;=0,0,IF(C48&gt;0,C48/(1-$D$11*F48),C48))</f>
        <v/>
      </c>
      <c r="H48" s="21">
        <f>IF(C48&gt;0,G48*(1-F48),G48)</f>
        <v/>
      </c>
      <c r="I48" s="16">
        <f>IF(A48=$D$21,'1 - INPUT'!$B$31,IF(A48=$D$22,'1 - INPUT'!$B$32,$D$20))</f>
        <v/>
      </c>
      <c r="J48" s="21">
        <f>(D48-G48)*(1+I48)</f>
        <v/>
      </c>
      <c r="K48" s="21">
        <f>$D$12*J48</f>
        <v/>
      </c>
      <c r="L48" s="21">
        <f>J48-K48</f>
        <v/>
      </c>
    </row>
    <row r="49">
      <c r="A49" s="27" t="n">
        <v>22</v>
      </c>
      <c r="B49" s="15">
        <f>'1 - INPUT'!$B$9+A49</f>
        <v/>
      </c>
      <c r="C49" s="21">
        <f>IF(A49=1,$D$10-$D$15-$D$17,IF(A49=2,$D$10-$D$16,IF(A49&lt;=$D$13,$D$10,$D$10-$D$14)))</f>
        <v/>
      </c>
      <c r="D49" s="21">
        <f>L48</f>
        <v/>
      </c>
      <c r="E49" s="21">
        <f>(E48-H48)*(1-$D$12)</f>
        <v/>
      </c>
      <c r="F49" s="23">
        <f>IF(D49&lt;=0,0,1-E49/D49)</f>
        <v/>
      </c>
      <c r="G49" s="21">
        <f>IF(D49&lt;=0,0,IF(C49&gt;0,C49/(1-$D$11*F49),C49))</f>
        <v/>
      </c>
      <c r="H49" s="21">
        <f>IF(C49&gt;0,G49*(1-F49),G49)</f>
        <v/>
      </c>
      <c r="I49" s="16">
        <f>IF(A49=$D$21,'1 - INPUT'!$B$31,IF(A49=$D$22,'1 - INPUT'!$B$32,$D$20))</f>
        <v/>
      </c>
      <c r="J49" s="21">
        <f>(D49-G49)*(1+I49)</f>
        <v/>
      </c>
      <c r="K49" s="21">
        <f>$D$12*J49</f>
        <v/>
      </c>
      <c r="L49" s="21">
        <f>J49-K49</f>
        <v/>
      </c>
    </row>
    <row r="50">
      <c r="A50" s="27" t="n">
        <v>23</v>
      </c>
      <c r="B50" s="15">
        <f>'1 - INPUT'!$B$9+A50</f>
        <v/>
      </c>
      <c r="C50" s="21">
        <f>IF(A50=1,$D$10-$D$15-$D$17,IF(A50=2,$D$10-$D$16,IF(A50&lt;=$D$13,$D$10,$D$10-$D$14)))</f>
        <v/>
      </c>
      <c r="D50" s="21">
        <f>L49</f>
        <v/>
      </c>
      <c r="E50" s="21">
        <f>(E49-H49)*(1-$D$12)</f>
        <v/>
      </c>
      <c r="F50" s="23">
        <f>IF(D50&lt;=0,0,1-E50/D50)</f>
        <v/>
      </c>
      <c r="G50" s="21">
        <f>IF(D50&lt;=0,0,IF(C50&gt;0,C50/(1-$D$11*F50),C50))</f>
        <v/>
      </c>
      <c r="H50" s="21">
        <f>IF(C50&gt;0,G50*(1-F50),G50)</f>
        <v/>
      </c>
      <c r="I50" s="16">
        <f>IF(A50=$D$21,'1 - INPUT'!$B$31,IF(A50=$D$22,'1 - INPUT'!$B$32,$D$20))</f>
        <v/>
      </c>
      <c r="J50" s="21">
        <f>(D50-G50)*(1+I50)</f>
        <v/>
      </c>
      <c r="K50" s="21">
        <f>$D$12*J50</f>
        <v/>
      </c>
      <c r="L50" s="21">
        <f>J50-K50</f>
        <v/>
      </c>
    </row>
    <row r="51">
      <c r="A51" s="27" t="n">
        <v>24</v>
      </c>
      <c r="B51" s="15">
        <f>'1 - INPUT'!$B$9+A51</f>
        <v/>
      </c>
      <c r="C51" s="21">
        <f>IF(A51=1,$D$10-$D$15-$D$17,IF(A51=2,$D$10-$D$16,IF(A51&lt;=$D$13,$D$10,$D$10-$D$14)))</f>
        <v/>
      </c>
      <c r="D51" s="21">
        <f>L50</f>
        <v/>
      </c>
      <c r="E51" s="21">
        <f>(E50-H50)*(1-$D$12)</f>
        <v/>
      </c>
      <c r="F51" s="23">
        <f>IF(D51&lt;=0,0,1-E51/D51)</f>
        <v/>
      </c>
      <c r="G51" s="21">
        <f>IF(D51&lt;=0,0,IF(C51&gt;0,C51/(1-$D$11*F51),C51))</f>
        <v/>
      </c>
      <c r="H51" s="21">
        <f>IF(C51&gt;0,G51*(1-F51),G51)</f>
        <v/>
      </c>
      <c r="I51" s="16">
        <f>IF(A51=$D$21,'1 - INPUT'!$B$31,IF(A51=$D$22,'1 - INPUT'!$B$32,$D$20))</f>
        <v/>
      </c>
      <c r="J51" s="21">
        <f>(D51-G51)*(1+I51)</f>
        <v/>
      </c>
      <c r="K51" s="21">
        <f>$D$12*J51</f>
        <v/>
      </c>
      <c r="L51" s="21">
        <f>J51-K51</f>
        <v/>
      </c>
    </row>
    <row r="52">
      <c r="A52" s="27" t="n">
        <v>25</v>
      </c>
      <c r="B52" s="15">
        <f>'1 - INPUT'!$B$9+A52</f>
        <v/>
      </c>
      <c r="C52" s="21">
        <f>IF(A52=1,$D$10-$D$15-$D$17,IF(A52=2,$D$10-$D$16,IF(A52&lt;=$D$13,$D$10,$D$10-$D$14)))</f>
        <v/>
      </c>
      <c r="D52" s="21">
        <f>L51</f>
        <v/>
      </c>
      <c r="E52" s="21">
        <f>(E51-H51)*(1-$D$12)</f>
        <v/>
      </c>
      <c r="F52" s="23">
        <f>IF(D52&lt;=0,0,1-E52/D52)</f>
        <v/>
      </c>
      <c r="G52" s="21">
        <f>IF(D52&lt;=0,0,IF(C52&gt;0,C52/(1-$D$11*F52),C52))</f>
        <v/>
      </c>
      <c r="H52" s="21">
        <f>IF(C52&gt;0,G52*(1-F52),G52)</f>
        <v/>
      </c>
      <c r="I52" s="16">
        <f>IF(A52=$D$21,'1 - INPUT'!$B$31,IF(A52=$D$22,'1 - INPUT'!$B$32,$D$20))</f>
        <v/>
      </c>
      <c r="J52" s="21">
        <f>(D52-G52)*(1+I52)</f>
        <v/>
      </c>
      <c r="K52" s="21">
        <f>$D$12*J52</f>
        <v/>
      </c>
      <c r="L52" s="21">
        <f>J52-K52</f>
        <v/>
      </c>
    </row>
    <row r="53">
      <c r="A53" s="27" t="n">
        <v>26</v>
      </c>
      <c r="B53" s="15">
        <f>'1 - INPUT'!$B$9+A53</f>
        <v/>
      </c>
      <c r="C53" s="21">
        <f>IF(A53=1,$D$10-$D$15-$D$17,IF(A53=2,$D$10-$D$16,IF(A53&lt;=$D$13,$D$10,$D$10-$D$14)))</f>
        <v/>
      </c>
      <c r="D53" s="21">
        <f>L52</f>
        <v/>
      </c>
      <c r="E53" s="21">
        <f>(E52-H52)*(1-$D$12)</f>
        <v/>
      </c>
      <c r="F53" s="23">
        <f>IF(D53&lt;=0,0,1-E53/D53)</f>
        <v/>
      </c>
      <c r="G53" s="21">
        <f>IF(D53&lt;=0,0,IF(C53&gt;0,C53/(1-$D$11*F53),C53))</f>
        <v/>
      </c>
      <c r="H53" s="21">
        <f>IF(C53&gt;0,G53*(1-F53),G53)</f>
        <v/>
      </c>
      <c r="I53" s="16">
        <f>IF(A53=$D$21,'1 - INPUT'!$B$31,IF(A53=$D$22,'1 - INPUT'!$B$32,$D$20))</f>
        <v/>
      </c>
      <c r="J53" s="21">
        <f>(D53-G53)*(1+I53)</f>
        <v/>
      </c>
      <c r="K53" s="21">
        <f>$D$12*J53</f>
        <v/>
      </c>
      <c r="L53" s="21">
        <f>J53-K53</f>
        <v/>
      </c>
    </row>
    <row r="54">
      <c r="A54" s="27" t="n">
        <v>27</v>
      </c>
      <c r="B54" s="15">
        <f>'1 - INPUT'!$B$9+A54</f>
        <v/>
      </c>
      <c r="C54" s="21">
        <f>IF(A54=1,$D$10-$D$15-$D$17,IF(A54=2,$D$10-$D$16,IF(A54&lt;=$D$13,$D$10,$D$10-$D$14)))</f>
        <v/>
      </c>
      <c r="D54" s="21">
        <f>L53</f>
        <v/>
      </c>
      <c r="E54" s="21">
        <f>(E53-H53)*(1-$D$12)</f>
        <v/>
      </c>
      <c r="F54" s="23">
        <f>IF(D54&lt;=0,0,1-E54/D54)</f>
        <v/>
      </c>
      <c r="G54" s="21">
        <f>IF(D54&lt;=0,0,IF(C54&gt;0,C54/(1-$D$11*F54),C54))</f>
        <v/>
      </c>
      <c r="H54" s="21">
        <f>IF(C54&gt;0,G54*(1-F54),G54)</f>
        <v/>
      </c>
      <c r="I54" s="16">
        <f>IF(A54=$D$21,'1 - INPUT'!$B$31,IF(A54=$D$22,'1 - INPUT'!$B$32,$D$20))</f>
        <v/>
      </c>
      <c r="J54" s="21">
        <f>(D54-G54)*(1+I54)</f>
        <v/>
      </c>
      <c r="K54" s="21">
        <f>$D$12*J54</f>
        <v/>
      </c>
      <c r="L54" s="21">
        <f>J54-K54</f>
        <v/>
      </c>
    </row>
    <row r="55">
      <c r="A55" s="27" t="n">
        <v>28</v>
      </c>
      <c r="B55" s="15">
        <f>'1 - INPUT'!$B$9+A55</f>
        <v/>
      </c>
      <c r="C55" s="21">
        <f>IF(A55=1,$D$10-$D$15-$D$17,IF(A55=2,$D$10-$D$16,IF(A55&lt;=$D$13,$D$10,$D$10-$D$14)))</f>
        <v/>
      </c>
      <c r="D55" s="21">
        <f>L54</f>
        <v/>
      </c>
      <c r="E55" s="21">
        <f>(E54-H54)*(1-$D$12)</f>
        <v/>
      </c>
      <c r="F55" s="23">
        <f>IF(D55&lt;=0,0,1-E55/D55)</f>
        <v/>
      </c>
      <c r="G55" s="21">
        <f>IF(D55&lt;=0,0,IF(C55&gt;0,C55/(1-$D$11*F55),C55))</f>
        <v/>
      </c>
      <c r="H55" s="21">
        <f>IF(C55&gt;0,G55*(1-F55),G55)</f>
        <v/>
      </c>
      <c r="I55" s="16">
        <f>IF(A55=$D$21,'1 - INPUT'!$B$31,IF(A55=$D$22,'1 - INPUT'!$B$32,$D$20))</f>
        <v/>
      </c>
      <c r="J55" s="21">
        <f>(D55-G55)*(1+I55)</f>
        <v/>
      </c>
      <c r="K55" s="21">
        <f>$D$12*J55</f>
        <v/>
      </c>
      <c r="L55" s="21">
        <f>J55-K55</f>
        <v/>
      </c>
    </row>
    <row r="56">
      <c r="A56" s="27" t="n">
        <v>29</v>
      </c>
      <c r="B56" s="15">
        <f>'1 - INPUT'!$B$9+A56</f>
        <v/>
      </c>
      <c r="C56" s="21">
        <f>IF(A56=1,$D$10-$D$15-$D$17,IF(A56=2,$D$10-$D$16,IF(A56&lt;=$D$13,$D$10,$D$10-$D$14)))</f>
        <v/>
      </c>
      <c r="D56" s="21">
        <f>L55</f>
        <v/>
      </c>
      <c r="E56" s="21">
        <f>(E55-H55)*(1-$D$12)</f>
        <v/>
      </c>
      <c r="F56" s="23">
        <f>IF(D56&lt;=0,0,1-E56/D56)</f>
        <v/>
      </c>
      <c r="G56" s="21">
        <f>IF(D56&lt;=0,0,IF(C56&gt;0,C56/(1-$D$11*F56),C56))</f>
        <v/>
      </c>
      <c r="H56" s="21">
        <f>IF(C56&gt;0,G56*(1-F56),G56)</f>
        <v/>
      </c>
      <c r="I56" s="16">
        <f>IF(A56=$D$21,'1 - INPUT'!$B$31,IF(A56=$D$22,'1 - INPUT'!$B$32,$D$20))</f>
        <v/>
      </c>
      <c r="J56" s="21">
        <f>(D56-G56)*(1+I56)</f>
        <v/>
      </c>
      <c r="K56" s="21">
        <f>$D$12*J56</f>
        <v/>
      </c>
      <c r="L56" s="21">
        <f>J56-K56</f>
        <v/>
      </c>
    </row>
    <row r="57">
      <c r="A57" s="27" t="n">
        <v>30</v>
      </c>
      <c r="B57" s="15">
        <f>'1 - INPUT'!$B$9+A57</f>
        <v/>
      </c>
      <c r="C57" s="21">
        <f>IF(A57=1,$D$10-$D$15-$D$17,IF(A57=2,$D$10-$D$16,IF(A57&lt;=$D$13,$D$10,$D$10-$D$14)))</f>
        <v/>
      </c>
      <c r="D57" s="21">
        <f>L56</f>
        <v/>
      </c>
      <c r="E57" s="21">
        <f>(E56-H56)*(1-$D$12)</f>
        <v/>
      </c>
      <c r="F57" s="23">
        <f>IF(D57&lt;=0,0,1-E57/D57)</f>
        <v/>
      </c>
      <c r="G57" s="21">
        <f>IF(D57&lt;=0,0,IF(C57&gt;0,C57/(1-$D$11*F57),C57))</f>
        <v/>
      </c>
      <c r="H57" s="21">
        <f>IF(C57&gt;0,G57*(1-F57),G57)</f>
        <v/>
      </c>
      <c r="I57" s="16">
        <f>IF(A57=$D$21,'1 - INPUT'!$B$31,IF(A57=$D$22,'1 - INPUT'!$B$32,$D$20))</f>
        <v/>
      </c>
      <c r="J57" s="21">
        <f>(D57-G57)*(1+I57)</f>
        <v/>
      </c>
      <c r="K57" s="21">
        <f>$D$12*J57</f>
        <v/>
      </c>
      <c r="L57" s="21">
        <f>J57-K57</f>
        <v/>
      </c>
    </row>
    <row r="58">
      <c r="A58" s="27" t="n">
        <v>31</v>
      </c>
      <c r="B58" s="15">
        <f>'1 - INPUT'!$B$9+A58</f>
        <v/>
      </c>
      <c r="C58" s="21">
        <f>IF(A58=1,$D$10-$D$15-$D$17,IF(A58=2,$D$10-$D$16,IF(A58&lt;=$D$13,$D$10,$D$10-$D$14)))</f>
        <v/>
      </c>
      <c r="D58" s="21">
        <f>L57</f>
        <v/>
      </c>
      <c r="E58" s="21">
        <f>(E57-H57)*(1-$D$12)</f>
        <v/>
      </c>
      <c r="F58" s="23">
        <f>IF(D58&lt;=0,0,1-E58/D58)</f>
        <v/>
      </c>
      <c r="G58" s="21">
        <f>IF(D58&lt;=0,0,IF(C58&gt;0,C58/(1-$D$11*F58),C58))</f>
        <v/>
      </c>
      <c r="H58" s="21">
        <f>IF(C58&gt;0,G58*(1-F58),G58)</f>
        <v/>
      </c>
      <c r="I58" s="16">
        <f>IF(A58=$D$21,'1 - INPUT'!$B$31,IF(A58=$D$22,'1 - INPUT'!$B$32,$D$20))</f>
        <v/>
      </c>
      <c r="J58" s="21">
        <f>(D58-G58)*(1+I58)</f>
        <v/>
      </c>
      <c r="K58" s="21">
        <f>$D$12*J58</f>
        <v/>
      </c>
      <c r="L58" s="21">
        <f>J58-K58</f>
        <v/>
      </c>
    </row>
    <row r="59">
      <c r="A59" s="27" t="n">
        <v>32</v>
      </c>
      <c r="B59" s="15">
        <f>'1 - INPUT'!$B$9+A59</f>
        <v/>
      </c>
      <c r="C59" s="21">
        <f>IF(A59=1,$D$10-$D$15-$D$17,IF(A59=2,$D$10-$D$16,IF(A59&lt;=$D$13,$D$10,$D$10-$D$14)))</f>
        <v/>
      </c>
      <c r="D59" s="21">
        <f>L58</f>
        <v/>
      </c>
      <c r="E59" s="21">
        <f>(E58-H58)*(1-$D$12)</f>
        <v/>
      </c>
      <c r="F59" s="23">
        <f>IF(D59&lt;=0,0,1-E59/D59)</f>
        <v/>
      </c>
      <c r="G59" s="21">
        <f>IF(D59&lt;=0,0,IF(C59&gt;0,C59/(1-$D$11*F59),C59))</f>
        <v/>
      </c>
      <c r="H59" s="21">
        <f>IF(C59&gt;0,G59*(1-F59),G59)</f>
        <v/>
      </c>
      <c r="I59" s="16">
        <f>IF(A59=$D$21,'1 - INPUT'!$B$31,IF(A59=$D$22,'1 - INPUT'!$B$32,$D$20))</f>
        <v/>
      </c>
      <c r="J59" s="21">
        <f>(D59-G59)*(1+I59)</f>
        <v/>
      </c>
      <c r="K59" s="21">
        <f>$D$12*J59</f>
        <v/>
      </c>
      <c r="L59" s="21">
        <f>J59-K59</f>
        <v/>
      </c>
    </row>
    <row r="60">
      <c r="A60" s="27" t="n">
        <v>33</v>
      </c>
      <c r="B60" s="15">
        <f>'1 - INPUT'!$B$9+A60</f>
        <v/>
      </c>
      <c r="C60" s="21">
        <f>IF(A60=1,$D$10-$D$15-$D$17,IF(A60=2,$D$10-$D$16,IF(A60&lt;=$D$13,$D$10,$D$10-$D$14)))</f>
        <v/>
      </c>
      <c r="D60" s="21">
        <f>L59</f>
        <v/>
      </c>
      <c r="E60" s="21">
        <f>(E59-H59)*(1-$D$12)</f>
        <v/>
      </c>
      <c r="F60" s="23">
        <f>IF(D60&lt;=0,0,1-E60/D60)</f>
        <v/>
      </c>
      <c r="G60" s="21">
        <f>IF(D60&lt;=0,0,IF(C60&gt;0,C60/(1-$D$11*F60),C60))</f>
        <v/>
      </c>
      <c r="H60" s="21">
        <f>IF(C60&gt;0,G60*(1-F60),G60)</f>
        <v/>
      </c>
      <c r="I60" s="16">
        <f>IF(A60=$D$21,'1 - INPUT'!$B$31,IF(A60=$D$22,'1 - INPUT'!$B$32,$D$20))</f>
        <v/>
      </c>
      <c r="J60" s="21">
        <f>(D60-G60)*(1+I60)</f>
        <v/>
      </c>
      <c r="K60" s="21">
        <f>$D$12*J60</f>
        <v/>
      </c>
      <c r="L60" s="21">
        <f>J60-K60</f>
        <v/>
      </c>
    </row>
    <row r="61">
      <c r="A61" s="27" t="n">
        <v>34</v>
      </c>
      <c r="B61" s="15">
        <f>'1 - INPUT'!$B$9+A61</f>
        <v/>
      </c>
      <c r="C61" s="21">
        <f>IF(A61=1,$D$10-$D$15-$D$17,IF(A61=2,$D$10-$D$16,IF(A61&lt;=$D$13,$D$10,$D$10-$D$14)))</f>
        <v/>
      </c>
      <c r="D61" s="21">
        <f>L60</f>
        <v/>
      </c>
      <c r="E61" s="21">
        <f>(E60-H60)*(1-$D$12)</f>
        <v/>
      </c>
      <c r="F61" s="23">
        <f>IF(D61&lt;=0,0,1-E61/D61)</f>
        <v/>
      </c>
      <c r="G61" s="21">
        <f>IF(D61&lt;=0,0,IF(C61&gt;0,C61/(1-$D$11*F61),C61))</f>
        <v/>
      </c>
      <c r="H61" s="21">
        <f>IF(C61&gt;0,G61*(1-F61),G61)</f>
        <v/>
      </c>
      <c r="I61" s="16">
        <f>IF(A61=$D$21,'1 - INPUT'!$B$31,IF(A61=$D$22,'1 - INPUT'!$B$32,$D$20))</f>
        <v/>
      </c>
      <c r="J61" s="21">
        <f>(D61-G61)*(1+I61)</f>
        <v/>
      </c>
      <c r="K61" s="21">
        <f>$D$12*J61</f>
        <v/>
      </c>
      <c r="L61" s="21">
        <f>J61-K61</f>
        <v/>
      </c>
    </row>
    <row r="62">
      <c r="A62" s="27" t="n">
        <v>35</v>
      </c>
      <c r="B62" s="15">
        <f>'1 - INPUT'!$B$9+A62</f>
        <v/>
      </c>
      <c r="C62" s="21">
        <f>IF(A62=1,$D$10-$D$15-$D$17,IF(A62=2,$D$10-$D$16,IF(A62&lt;=$D$13,$D$10,$D$10-$D$14)))</f>
        <v/>
      </c>
      <c r="D62" s="21">
        <f>L61</f>
        <v/>
      </c>
      <c r="E62" s="21">
        <f>(E61-H61)*(1-$D$12)</f>
        <v/>
      </c>
      <c r="F62" s="23">
        <f>IF(D62&lt;=0,0,1-E62/D62)</f>
        <v/>
      </c>
      <c r="G62" s="21">
        <f>IF(D62&lt;=0,0,IF(C62&gt;0,C62/(1-$D$11*F62),C62))</f>
        <v/>
      </c>
      <c r="H62" s="21">
        <f>IF(C62&gt;0,G62*(1-F62),G62)</f>
        <v/>
      </c>
      <c r="I62" s="16">
        <f>IF(A62=$D$21,'1 - INPUT'!$B$31,IF(A62=$D$22,'1 - INPUT'!$B$32,$D$20))</f>
        <v/>
      </c>
      <c r="J62" s="21">
        <f>(D62-G62)*(1+I62)</f>
        <v/>
      </c>
      <c r="K62" s="21">
        <f>$D$12*J62</f>
        <v/>
      </c>
      <c r="L62" s="21">
        <f>J62-K62</f>
        <v/>
      </c>
    </row>
    <row r="63">
      <c r="A63" s="27" t="n">
        <v>36</v>
      </c>
      <c r="B63" s="15">
        <f>'1 - INPUT'!$B$9+A63</f>
        <v/>
      </c>
      <c r="C63" s="21">
        <f>IF(A63=1,$D$10-$D$15-$D$17,IF(A63=2,$D$10-$D$16,IF(A63&lt;=$D$13,$D$10,$D$10-$D$14)))</f>
        <v/>
      </c>
      <c r="D63" s="21">
        <f>L62</f>
        <v/>
      </c>
      <c r="E63" s="21">
        <f>(E62-H62)*(1-$D$12)</f>
        <v/>
      </c>
      <c r="F63" s="23">
        <f>IF(D63&lt;=0,0,1-E63/D63)</f>
        <v/>
      </c>
      <c r="G63" s="21">
        <f>IF(D63&lt;=0,0,IF(C63&gt;0,C63/(1-$D$11*F63),C63))</f>
        <v/>
      </c>
      <c r="H63" s="21">
        <f>IF(C63&gt;0,G63*(1-F63),G63)</f>
        <v/>
      </c>
      <c r="I63" s="16">
        <f>IF(A63=$D$21,'1 - INPUT'!$B$31,IF(A63=$D$22,'1 - INPUT'!$B$32,$D$20))</f>
        <v/>
      </c>
      <c r="J63" s="21">
        <f>(D63-G63)*(1+I63)</f>
        <v/>
      </c>
      <c r="K63" s="21">
        <f>$D$12*J63</f>
        <v/>
      </c>
      <c r="L63" s="21">
        <f>J63-K63</f>
        <v/>
      </c>
    </row>
    <row r="64">
      <c r="A64" s="27" t="n">
        <v>37</v>
      </c>
      <c r="B64" s="15">
        <f>'1 - INPUT'!$B$9+A64</f>
        <v/>
      </c>
      <c r="C64" s="21">
        <f>IF(A64=1,$D$10-$D$15-$D$17,IF(A64=2,$D$10-$D$16,IF(A64&lt;=$D$13,$D$10,$D$10-$D$14)))</f>
        <v/>
      </c>
      <c r="D64" s="21">
        <f>L63</f>
        <v/>
      </c>
      <c r="E64" s="21">
        <f>(E63-H63)*(1-$D$12)</f>
        <v/>
      </c>
      <c r="F64" s="23">
        <f>IF(D64&lt;=0,0,1-E64/D64)</f>
        <v/>
      </c>
      <c r="G64" s="21">
        <f>IF(D64&lt;=0,0,IF(C64&gt;0,C64/(1-$D$11*F64),C64))</f>
        <v/>
      </c>
      <c r="H64" s="21">
        <f>IF(C64&gt;0,G64*(1-F64),G64)</f>
        <v/>
      </c>
      <c r="I64" s="16">
        <f>IF(A64=$D$21,'1 - INPUT'!$B$31,IF(A64=$D$22,'1 - INPUT'!$B$32,$D$20))</f>
        <v/>
      </c>
      <c r="J64" s="21">
        <f>(D64-G64)*(1+I64)</f>
        <v/>
      </c>
      <c r="K64" s="21">
        <f>$D$12*J64</f>
        <v/>
      </c>
      <c r="L64" s="21">
        <f>J64-K64</f>
        <v/>
      </c>
    </row>
    <row r="65">
      <c r="A65" s="27" t="n">
        <v>38</v>
      </c>
      <c r="B65" s="15">
        <f>'1 - INPUT'!$B$9+A65</f>
        <v/>
      </c>
      <c r="C65" s="21">
        <f>IF(A65=1,$D$10-$D$15-$D$17,IF(A65=2,$D$10-$D$16,IF(A65&lt;=$D$13,$D$10,$D$10-$D$14)))</f>
        <v/>
      </c>
      <c r="D65" s="21">
        <f>L64</f>
        <v/>
      </c>
      <c r="E65" s="21">
        <f>(E64-H64)*(1-$D$12)</f>
        <v/>
      </c>
      <c r="F65" s="23">
        <f>IF(D65&lt;=0,0,1-E65/D65)</f>
        <v/>
      </c>
      <c r="G65" s="21">
        <f>IF(D65&lt;=0,0,IF(C65&gt;0,C65/(1-$D$11*F65),C65))</f>
        <v/>
      </c>
      <c r="H65" s="21">
        <f>IF(C65&gt;0,G65*(1-F65),G65)</f>
        <v/>
      </c>
      <c r="I65" s="16">
        <f>IF(A65=$D$21,'1 - INPUT'!$B$31,IF(A65=$D$22,'1 - INPUT'!$B$32,$D$20))</f>
        <v/>
      </c>
      <c r="J65" s="21">
        <f>(D65-G65)*(1+I65)</f>
        <v/>
      </c>
      <c r="K65" s="21">
        <f>$D$12*J65</f>
        <v/>
      </c>
      <c r="L65" s="21">
        <f>J65-K65</f>
        <v/>
      </c>
    </row>
    <row r="66">
      <c r="A66" s="27" t="n">
        <v>39</v>
      </c>
      <c r="B66" s="15">
        <f>'1 - INPUT'!$B$9+A66</f>
        <v/>
      </c>
      <c r="C66" s="21">
        <f>IF(A66=1,$D$10-$D$15-$D$17,IF(A66=2,$D$10-$D$16,IF(A66&lt;=$D$13,$D$10,$D$10-$D$14)))</f>
        <v/>
      </c>
      <c r="D66" s="21">
        <f>L65</f>
        <v/>
      </c>
      <c r="E66" s="21">
        <f>(E65-H65)*(1-$D$12)</f>
        <v/>
      </c>
      <c r="F66" s="23">
        <f>IF(D66&lt;=0,0,1-E66/D66)</f>
        <v/>
      </c>
      <c r="G66" s="21">
        <f>IF(D66&lt;=0,0,IF(C66&gt;0,C66/(1-$D$11*F66),C66))</f>
        <v/>
      </c>
      <c r="H66" s="21">
        <f>IF(C66&gt;0,G66*(1-F66),G66)</f>
        <v/>
      </c>
      <c r="I66" s="16">
        <f>IF(A66=$D$21,'1 - INPUT'!$B$31,IF(A66=$D$22,'1 - INPUT'!$B$32,$D$20))</f>
        <v/>
      </c>
      <c r="J66" s="21">
        <f>(D66-G66)*(1+I66)</f>
        <v/>
      </c>
      <c r="K66" s="21">
        <f>$D$12*J66</f>
        <v/>
      </c>
      <c r="L66" s="21">
        <f>J66-K66</f>
        <v/>
      </c>
    </row>
    <row r="67">
      <c r="A67" s="27" t="n">
        <v>40</v>
      </c>
      <c r="B67" s="15">
        <f>'1 - INPUT'!$B$9+A67</f>
        <v/>
      </c>
      <c r="C67" s="21">
        <f>IF(A67=1,$D$10-$D$15-$D$17,IF(A67=2,$D$10-$D$16,IF(A67&lt;=$D$13,$D$10,$D$10-$D$14)))</f>
        <v/>
      </c>
      <c r="D67" s="21">
        <f>L66</f>
        <v/>
      </c>
      <c r="E67" s="21">
        <f>(E66-H66)*(1-$D$12)</f>
        <v/>
      </c>
      <c r="F67" s="23">
        <f>IF(D67&lt;=0,0,1-E67/D67)</f>
        <v/>
      </c>
      <c r="G67" s="21">
        <f>IF(D67&lt;=0,0,IF(C67&gt;0,C67/(1-$D$11*F67),C67))</f>
        <v/>
      </c>
      <c r="H67" s="21">
        <f>IF(C67&gt;0,G67*(1-F67),G67)</f>
        <v/>
      </c>
      <c r="I67" s="16">
        <f>IF(A67=$D$21,'1 - INPUT'!$B$31,IF(A67=$D$22,'1 - INPUT'!$B$32,$D$20))</f>
        <v/>
      </c>
      <c r="J67" s="21">
        <f>(D67-G67)*(1+I67)</f>
        <v/>
      </c>
      <c r="K67" s="21">
        <f>$D$12*J67</f>
        <v/>
      </c>
      <c r="L67" s="21">
        <f>J67-K67</f>
        <v/>
      </c>
    </row>
    <row r="68">
      <c r="A68" s="27" t="n">
        <v>41</v>
      </c>
      <c r="B68" s="15">
        <f>'1 - INPUT'!$B$9+A68</f>
        <v/>
      </c>
      <c r="C68" s="21">
        <f>IF(A68=1,$D$10-$D$15-$D$17,IF(A68=2,$D$10-$D$16,IF(A68&lt;=$D$13,$D$10,$D$10-$D$14)))</f>
        <v/>
      </c>
      <c r="D68" s="21">
        <f>L67</f>
        <v/>
      </c>
      <c r="E68" s="21">
        <f>(E67-H67)*(1-$D$12)</f>
        <v/>
      </c>
      <c r="F68" s="23">
        <f>IF(D68&lt;=0,0,1-E68/D68)</f>
        <v/>
      </c>
      <c r="G68" s="21">
        <f>IF(D68&lt;=0,0,IF(C68&gt;0,C68/(1-$D$11*F68),C68))</f>
        <v/>
      </c>
      <c r="H68" s="21">
        <f>IF(C68&gt;0,G68*(1-F68),G68)</f>
        <v/>
      </c>
      <c r="I68" s="16">
        <f>IF(A68=$D$21,'1 - INPUT'!$B$31,IF(A68=$D$22,'1 - INPUT'!$B$32,$D$20))</f>
        <v/>
      </c>
      <c r="J68" s="21">
        <f>(D68-G68)*(1+I68)</f>
        <v/>
      </c>
      <c r="K68" s="21">
        <f>$D$12*J68</f>
        <v/>
      </c>
      <c r="L68" s="21">
        <f>J68-K68</f>
        <v/>
      </c>
    </row>
    <row r="69">
      <c r="A69" s="27" t="n">
        <v>42</v>
      </c>
      <c r="B69" s="15">
        <f>'1 - INPUT'!$B$9+A69</f>
        <v/>
      </c>
      <c r="C69" s="21">
        <f>IF(A69=1,$D$10-$D$15-$D$17,IF(A69=2,$D$10-$D$16,IF(A69&lt;=$D$13,$D$10,$D$10-$D$14)))</f>
        <v/>
      </c>
      <c r="D69" s="21">
        <f>L68</f>
        <v/>
      </c>
      <c r="E69" s="21">
        <f>(E68-H68)*(1-$D$12)</f>
        <v/>
      </c>
      <c r="F69" s="23">
        <f>IF(D69&lt;=0,0,1-E69/D69)</f>
        <v/>
      </c>
      <c r="G69" s="21">
        <f>IF(D69&lt;=0,0,IF(C69&gt;0,C69/(1-$D$11*F69),C69))</f>
        <v/>
      </c>
      <c r="H69" s="21">
        <f>IF(C69&gt;0,G69*(1-F69),G69)</f>
        <v/>
      </c>
      <c r="I69" s="16">
        <f>IF(A69=$D$21,'1 - INPUT'!$B$31,IF(A69=$D$22,'1 - INPUT'!$B$32,$D$20))</f>
        <v/>
      </c>
      <c r="J69" s="21">
        <f>(D69-G69)*(1+I69)</f>
        <v/>
      </c>
      <c r="K69" s="21">
        <f>$D$12*J69</f>
        <v/>
      </c>
      <c r="L69" s="21">
        <f>J69-K69</f>
        <v/>
      </c>
    </row>
    <row r="70">
      <c r="A70" s="27" t="n">
        <v>43</v>
      </c>
      <c r="B70" s="15">
        <f>'1 - INPUT'!$B$9+A70</f>
        <v/>
      </c>
      <c r="C70" s="21">
        <f>IF(A70=1,$D$10-$D$15-$D$17,IF(A70=2,$D$10-$D$16,IF(A70&lt;=$D$13,$D$10,$D$10-$D$14)))</f>
        <v/>
      </c>
      <c r="D70" s="21">
        <f>L69</f>
        <v/>
      </c>
      <c r="E70" s="21">
        <f>(E69-H69)*(1-$D$12)</f>
        <v/>
      </c>
      <c r="F70" s="23">
        <f>IF(D70&lt;=0,0,1-E70/D70)</f>
        <v/>
      </c>
      <c r="G70" s="21">
        <f>IF(D70&lt;=0,0,IF(C70&gt;0,C70/(1-$D$11*F70),C70))</f>
        <v/>
      </c>
      <c r="H70" s="21">
        <f>IF(C70&gt;0,G70*(1-F70),G70)</f>
        <v/>
      </c>
      <c r="I70" s="16">
        <f>IF(A70=$D$21,'1 - INPUT'!$B$31,IF(A70=$D$22,'1 - INPUT'!$B$32,$D$20))</f>
        <v/>
      </c>
      <c r="J70" s="21">
        <f>(D70-G70)*(1+I70)</f>
        <v/>
      </c>
      <c r="K70" s="21">
        <f>$D$12*J70</f>
        <v/>
      </c>
      <c r="L70" s="21">
        <f>J70-K70</f>
        <v/>
      </c>
    </row>
    <row r="71">
      <c r="A71" s="27" t="n">
        <v>44</v>
      </c>
      <c r="B71" s="15">
        <f>'1 - INPUT'!$B$9+A71</f>
        <v/>
      </c>
      <c r="C71" s="21">
        <f>IF(A71=1,$D$10-$D$15-$D$17,IF(A71=2,$D$10-$D$16,IF(A71&lt;=$D$13,$D$10,$D$10-$D$14)))</f>
        <v/>
      </c>
      <c r="D71" s="21">
        <f>L70</f>
        <v/>
      </c>
      <c r="E71" s="21">
        <f>(E70-H70)*(1-$D$12)</f>
        <v/>
      </c>
      <c r="F71" s="23">
        <f>IF(D71&lt;=0,0,1-E71/D71)</f>
        <v/>
      </c>
      <c r="G71" s="21">
        <f>IF(D71&lt;=0,0,IF(C71&gt;0,C71/(1-$D$11*F71),C71))</f>
        <v/>
      </c>
      <c r="H71" s="21">
        <f>IF(C71&gt;0,G71*(1-F71),G71)</f>
        <v/>
      </c>
      <c r="I71" s="16">
        <f>IF(A71=$D$21,'1 - INPUT'!$B$31,IF(A71=$D$22,'1 - INPUT'!$B$32,$D$20))</f>
        <v/>
      </c>
      <c r="J71" s="21">
        <f>(D71-G71)*(1+I71)</f>
        <v/>
      </c>
      <c r="K71" s="21">
        <f>$D$12*J71</f>
        <v/>
      </c>
      <c r="L71" s="21">
        <f>J71-K71</f>
        <v/>
      </c>
    </row>
    <row r="72" ht="26" customHeight="1">
      <c r="A72" s="8" t="inlineStr">
        <is>
          <t>PATRIMONIO RESIDUO ALLA FINE DEL PIANO</t>
        </is>
      </c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14" t="n"/>
      <c r="L72" s="26">
        <f>L71</f>
        <v/>
      </c>
    </row>
    <row r="73" ht="45" customHeight="1">
      <c r="A73" s="10" t="inlineStr">
        <is>
          <t>RICERCA OBIETTIVO — la spesa massima sostenibile e il capitale necessario non hanno formula chiusa: si risolvono per tentativi. Dati &gt; Analisi di simulazione &gt; Ricerca obiettivo. Per la SPESA MASSIMA: imposta la cella L71, al valore 0, cambiando la cella D6. Per il CAPITALE NECESSARIO: imposta la cella L71, al valore 0, cambiando la cella D5. Le due tabelle qui sotto sono già risolte così, cella per cella.</t>
        </is>
      </c>
    </row>
    <row r="74"/>
    <row r="75">
      <c r="A75" s="7" t="inlineStr">
        <is>
          <t>CAPITALE NECESSARIO E SPESA MASSIMA — quattro rendimenti per quattro ordini</t>
        </is>
      </c>
    </row>
    <row r="76">
      <c r="A76" s="4" t="inlineStr">
        <is>
          <t>CAPITALE NECESSARIO OGGI per la spesa del foglio INPUT</t>
        </is>
      </c>
    </row>
    <row r="77" ht="30" customHeight="1">
      <c r="A77" s="24" t="inlineStr">
        <is>
          <t>Media geom.
reale</t>
        </is>
      </c>
      <c r="B77" s="24" t="inlineStr">
        <is>
          <t>costante</t>
        </is>
      </c>
      <c r="C77" s="24" t="inlineStr">
        <is>
          <t>crolli all'inizio</t>
        </is>
      </c>
      <c r="D77" s="24" t="inlineStr">
        <is>
          <t>crolli a metà</t>
        </is>
      </c>
      <c r="E77" s="24" t="inlineStr">
        <is>
          <t>crolli alla fine</t>
        </is>
      </c>
    </row>
    <row r="78">
      <c r="A78" s="8" t="inlineStr">
        <is>
          <t>0%</t>
        </is>
      </c>
      <c r="B78" s="12" t="n">
        <v>1498994.94</v>
      </c>
      <c r="C78" s="12" t="n">
        <v>2024563.46</v>
      </c>
      <c r="D78" s="12" t="n">
        <v>1457011.39</v>
      </c>
      <c r="E78" s="12" t="n">
        <v>1195870.03</v>
      </c>
    </row>
    <row r="79">
      <c r="A79" s="8" t="inlineStr">
        <is>
          <t>1%</t>
        </is>
      </c>
      <c r="B79" s="12" t="n">
        <v>1291288.4</v>
      </c>
      <c r="C79" s="12" t="n">
        <v>1797195.68</v>
      </c>
      <c r="D79" s="12" t="n">
        <v>1245907.14</v>
      </c>
      <c r="E79" s="12" t="n">
        <v>1030425.45</v>
      </c>
    </row>
    <row r="80">
      <c r="A80" s="8" t="inlineStr">
        <is>
          <t>2%</t>
        </is>
      </c>
      <c r="B80" s="12" t="n">
        <v>1118763.01</v>
      </c>
      <c r="C80" s="12" t="n">
        <v>1604082.23</v>
      </c>
      <c r="D80" s="12" t="n">
        <v>1070290.41</v>
      </c>
      <c r="E80" s="12" t="n">
        <v>895921.66</v>
      </c>
    </row>
    <row r="81">
      <c r="A81" s="8" t="inlineStr">
        <is>
          <t>3%</t>
        </is>
      </c>
      <c r="B81" s="12" t="n">
        <v>976541.4</v>
      </c>
      <c r="C81" s="12" t="n">
        <v>1441399.35</v>
      </c>
      <c r="D81" s="12" t="n">
        <v>925731.36</v>
      </c>
      <c r="E81" s="12" t="n">
        <v>786445.8199999999</v>
      </c>
    </row>
    <row r="82"/>
    <row r="83">
      <c r="A83" s="4" t="inlineStr">
        <is>
          <t>SPESA MASSIMA SOSTENIBILE con il patrimonio del foglio INPUT</t>
        </is>
      </c>
    </row>
    <row r="84" ht="30" customHeight="1">
      <c r="A84" s="24" t="inlineStr">
        <is>
          <t>Media geom.
reale</t>
        </is>
      </c>
      <c r="B84" s="24" t="inlineStr">
        <is>
          <t>costante</t>
        </is>
      </c>
      <c r="C84" s="24" t="inlineStr">
        <is>
          <t>crolli all'inizio</t>
        </is>
      </c>
      <c r="D84" s="24" t="inlineStr">
        <is>
          <t>crolli a metà</t>
        </is>
      </c>
      <c r="E84" s="24" t="inlineStr">
        <is>
          <t>crolli alla fine</t>
        </is>
      </c>
    </row>
    <row r="85">
      <c r="A85" s="8" t="inlineStr">
        <is>
          <t>0%</t>
        </is>
      </c>
      <c r="B85" s="12" t="n">
        <v>47036.48</v>
      </c>
      <c r="C85" s="12" t="n">
        <v>37746.67</v>
      </c>
      <c r="D85" s="12" t="n">
        <v>47804.63</v>
      </c>
      <c r="E85" s="12" t="n">
        <v>56440.66</v>
      </c>
    </row>
    <row r="86">
      <c r="A86" s="8" t="inlineStr">
        <is>
          <t>1%</t>
        </is>
      </c>
      <c r="B86" s="12" t="n">
        <v>52946.99</v>
      </c>
      <c r="C86" s="12" t="n">
        <v>41155.48</v>
      </c>
      <c r="D86" s="12" t="n">
        <v>53937.06</v>
      </c>
      <c r="E86" s="12" t="n">
        <v>64317.15</v>
      </c>
    </row>
    <row r="87">
      <c r="A87" s="8" t="inlineStr">
        <is>
          <t>2%</t>
        </is>
      </c>
      <c r="B87" s="12" t="n">
        <v>59810.48</v>
      </c>
      <c r="C87" s="12" t="n">
        <v>44997.96</v>
      </c>
      <c r="D87" s="12" t="n">
        <v>61163</v>
      </c>
      <c r="E87" s="12" t="n">
        <v>73183.14999999999</v>
      </c>
    </row>
    <row r="88">
      <c r="A88" s="8" t="inlineStr">
        <is>
          <t>3%</t>
        </is>
      </c>
      <c r="B88" s="12" t="n">
        <v>67579.02</v>
      </c>
      <c r="C88" s="12" t="n">
        <v>49220.28</v>
      </c>
      <c r="D88" s="12" t="n">
        <v>69470.67999999999</v>
      </c>
      <c r="E88" s="12" t="n">
        <v>82914.45</v>
      </c>
    </row>
    <row r="89"/>
    <row r="90">
      <c r="A90" s="8" t="inlineStr">
        <is>
          <t>Celle scoperte (capitale richiesto &gt; patrimonio)</t>
        </is>
      </c>
      <c r="B90" s="36" t="n"/>
      <c r="C90" s="14" t="n"/>
      <c r="D90" s="15">
        <f>COUNTIF(B78:E81,"&gt;"&amp;$D$7)</f>
        <v/>
      </c>
    </row>
    <row r="91">
      <c r="A91" s="8" t="inlineStr">
        <is>
          <t>Scenari che reggono, su sedici</t>
        </is>
      </c>
      <c r="B91" s="36" t="n"/>
      <c r="C91" s="14" t="n"/>
      <c r="D91" s="15">
        <f>16-D90</f>
        <v/>
      </c>
    </row>
    <row r="92" ht="32" customHeight="1">
      <c r="A92" s="8" t="inlineStr">
        <is>
          <t>SEMAFORO</t>
        </is>
      </c>
      <c r="B92" s="36" t="n"/>
      <c r="C92" s="14" t="n"/>
      <c r="D92" s="39">
        <f>IF(D90=0,"VERDE — il patrimonio copre tutti e sedici gli scenari costruiti",IF(AND($D$7&gt;=B78,$D$7&gt;=C81),"GIALLO — copre lo zero per cento costante e il tre per cento con i crolli all'inizio, ma non tutte e sedici le celle","ROSSO — il patrimonio non copre nemmeno lo scenario centrale"))</f>
        <v/>
      </c>
      <c r="E92" s="36" t="n"/>
      <c r="F92" s="36" t="n"/>
      <c r="G92" s="36" t="n"/>
      <c r="H92" s="36" t="n"/>
      <c r="I92" s="36" t="n"/>
      <c r="J92" s="36" t="n"/>
      <c r="K92" s="36" t="n"/>
      <c r="L92" s="14" t="n"/>
    </row>
    <row r="93" ht="45" customHeight="1">
      <c r="A93" s="10" t="inlineStr">
        <is>
          <t>Le due celle rosse sono la media reale ZERO e la media reale UNO per cento, in entrambi i casi con i crolli concentrati all'inizio. Sono due su sedici: il piano regge in quattordici degli scenari costruiti, e si rompe in due. Non «in ogni scenario», e non «nel peggiore in assoluto»: in quattordici dei sedici che ho costruito.</t>
        </is>
      </c>
    </row>
    <row r="94" ht="45" customHeight="1">
      <c r="A94" s="10" t="inlineStr">
        <is>
          <t>COSTO DELL'ORDINE, a parità di media geometrica del tre per cento reale: la spesa massima passa da 49.220 € con i crolli all'inizio a 82.914 € con i crolli alla fine. Trentatremilaseicento euro l'anno, prodotti solo dall'ordine. Contro i crolli a metà il divario è di ventimiladuecento.</t>
        </is>
      </c>
    </row>
    <row r="95" ht="45" customHeight="1">
      <c r="A95" s="10" t="inlineStr">
        <is>
          <t>POSIZIONI DEI CROLLI, dichiarate: anni 1-2 (inizio), 22-23 (metà), 43-44 (fine); primo crollo -35%, secondo -20%. Le colonne a rendimento COSTANTE riproducono il modello del dossier all'euro; le tre colonne con i crolli se ne discostano fra lo 0,3% e l'1,3% perché il dossier non dichiarava le posizioni. Fa fede questo foglio, che è calcolato dal motore delle quarantaquattro righe qui sopra.</t>
        </is>
      </c>
    </row>
    <row r="96"/>
    <row r="97">
      <c r="A97" s="7" t="inlineStr">
        <is>
          <t>LA RIGA-INGREDIENTE — chi esce adesso e chi è già fermo</t>
        </is>
      </c>
    </row>
    <row r="98">
      <c r="A98" s="24" t="inlineStr">
        <is>
          <t>Situazione</t>
        </is>
      </c>
      <c r="B98" s="24" t="inlineStr">
        <is>
          <t>Capitale necessario oggi</t>
        </is>
      </c>
      <c r="C98" s="24" t="inlineStr">
        <is>
          <t>Differenza</t>
        </is>
      </c>
    </row>
    <row r="99">
      <c r="A99" s="8" t="inlineStr">
        <is>
          <t>Esce ADESSO: incassa NASPI e TFR nei primi due anni</t>
        </is>
      </c>
      <c r="B99" s="12" t="n">
        <v>976541</v>
      </c>
      <c r="C99" s="38" t="inlineStr">
        <is>
          <t>—</t>
        </is>
      </c>
    </row>
    <row r="100">
      <c r="A100" s="8" t="inlineStr">
        <is>
          <t>È GIÀ FERMO: nessuna NASPI, nessun TFR</t>
        </is>
      </c>
      <c r="B100" s="12" t="n">
        <v>1027185</v>
      </c>
      <c r="C100" s="12">
        <f>B100-B99</f>
        <v/>
      </c>
    </row>
    <row r="101" ht="30" customHeight="1">
      <c r="A101" s="10" t="inlineStr">
        <is>
          <t>I ventiquattro mesi di indennità e la liquidazione valgono 46.981 € netti, che lordizzati alla latente di oggi fanno 50.955 €. Tolti dal conto, il capitale necessario al tre per cento reale sale da 976.500 a 1.027.200 €. Chi è già fermo aggiunge circa cinquantamila euro.</t>
        </is>
      </c>
    </row>
    <row r="102"/>
    <row r="103">
      <c r="A103" s="7" t="inlineStr">
        <is>
          <t>SENSIBILITÀ ALLA PLUSVALENZA LATENTE INIZIALE</t>
        </is>
      </c>
    </row>
    <row r="104" ht="30" customHeight="1">
      <c r="A104" s="24" t="inlineStr">
        <is>
          <t>Latente iniziale</t>
        </is>
      </c>
      <c r="B104" s="24" t="inlineStr">
        <is>
          <t>Capitale necessario a r = 0%</t>
        </is>
      </c>
      <c r="C104" s="24" t="inlineStr">
        <is>
          <t>Spesa massima a r = 0%</t>
        </is>
      </c>
      <c r="D104" s="24" t="inlineStr">
        <is>
          <t>Spesa massima a r = 3%</t>
        </is>
      </c>
    </row>
    <row r="105">
      <c r="A105" s="23" t="n">
        <v>0</v>
      </c>
      <c r="B105" s="12" t="n">
        <v>1382073</v>
      </c>
      <c r="C105" s="12" t="n">
        <v>50007</v>
      </c>
      <c r="D105" s="12" t="n">
        <v>70943</v>
      </c>
    </row>
    <row r="106">
      <c r="A106" s="23" t="n">
        <v>0.3</v>
      </c>
      <c r="B106" s="12" t="n">
        <v>1498995</v>
      </c>
      <c r="C106" s="12" t="n">
        <v>47036</v>
      </c>
      <c r="D106" s="12" t="n">
        <v>67579</v>
      </c>
    </row>
    <row r="107">
      <c r="A107" s="23" t="n">
        <v>0.5</v>
      </c>
      <c r="B107" s="12" t="n">
        <v>1588590</v>
      </c>
      <c r="C107" s="12" t="n">
        <v>45056</v>
      </c>
      <c r="D107" s="12" t="n">
        <v>65314</v>
      </c>
    </row>
    <row r="108">
      <c r="A108" s="23" t="n">
        <v>0.65</v>
      </c>
      <c r="B108" s="12" t="n">
        <v>1663145</v>
      </c>
      <c r="C108" s="12" t="n">
        <v>43571</v>
      </c>
      <c r="D108" s="12" t="n">
        <v>63601</v>
      </c>
    </row>
    <row r="109" ht="45" customHeight="1">
      <c r="A109" s="10" t="inlineStr">
        <is>
          <t>La latente conta, ma meno di quanto sembra, e conta dove c'è margine: anche partendo dal sessantacinque per cento la spesa massima a rendimento reale zero resta sopra i quarantatremila euro. La ragione è nella vendita a costo medio ponderato: a rendimento zero la quota di plusvalenza non si muove di un decimale.</t>
        </is>
      </c>
    </row>
  </sheetData>
  <mergeCells count="40">
    <mergeCell ref="A90:C90"/>
    <mergeCell ref="A75:L75"/>
    <mergeCell ref="A18:C18"/>
    <mergeCell ref="A21:C21"/>
    <mergeCell ref="A12:C12"/>
    <mergeCell ref="A26:L26"/>
    <mergeCell ref="A95:L95"/>
    <mergeCell ref="A2:L2"/>
    <mergeCell ref="A101:L101"/>
    <mergeCell ref="A76:F76"/>
    <mergeCell ref="A5:C5"/>
    <mergeCell ref="A23:C23"/>
    <mergeCell ref="A8:C8"/>
    <mergeCell ref="A14:C14"/>
    <mergeCell ref="A22:C22"/>
    <mergeCell ref="A17:C17"/>
    <mergeCell ref="A97:L97"/>
    <mergeCell ref="A91:C91"/>
    <mergeCell ref="A20:C20"/>
    <mergeCell ref="A109:L109"/>
    <mergeCell ref="A4:L4"/>
    <mergeCell ref="D92:L92"/>
    <mergeCell ref="A10:C10"/>
    <mergeCell ref="A13:C13"/>
    <mergeCell ref="A19:C19"/>
    <mergeCell ref="A93:L93"/>
    <mergeCell ref="A9:C9"/>
    <mergeCell ref="A83:F83"/>
    <mergeCell ref="A92:C92"/>
    <mergeCell ref="A15:C15"/>
    <mergeCell ref="A24:L24"/>
    <mergeCell ref="A73:L73"/>
    <mergeCell ref="A11:C11"/>
    <mergeCell ref="A72:K72"/>
    <mergeCell ref="A1:L1"/>
    <mergeCell ref="A6:C6"/>
    <mergeCell ref="A94:L94"/>
    <mergeCell ref="A103:L103"/>
    <mergeCell ref="A7:C7"/>
    <mergeCell ref="A16:C16"/>
  </mergeCells>
  <conditionalFormatting sqref="B78:E81">
    <cfRule type="cellIs" priority="1" operator="greaterThan" dxfId="0">
      <formula>$D$7</formula>
    </cfRule>
    <cfRule type="cellIs" priority="2" operator="lessThanOrEqual" dxfId="1">
      <formula>$D$7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7" customWidth="1" min="4" max="4"/>
    <col width="3" customWidth="1" min="5" max="5"/>
    <col width="56" customWidth="1" min="6" max="6"/>
  </cols>
  <sheetData>
    <row r="1" ht="25" customHeight="1">
      <c r="A1" s="1" t="inlineStr">
        <is>
          <t>6 — PROSECUZIONE VOLONTARIA: quanto costa, quanto vale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IL COSTO</t>
        </is>
      </c>
    </row>
    <row r="5">
      <c r="A5" s="8" t="inlineStr">
        <is>
          <t>Retribuzione lorda annua di riferimento</t>
        </is>
      </c>
      <c r="B5" s="12">
        <f>'1 - INPUT'!B5</f>
        <v/>
      </c>
    </row>
    <row r="6">
      <c r="A6" s="8" t="inlineStr">
        <is>
          <t>Aliquota IVS</t>
        </is>
      </c>
      <c r="B6" s="17" t="n">
        <v>0.33</v>
      </c>
    </row>
    <row r="7">
      <c r="A7" s="8" t="inlineStr">
        <is>
          <t>Prima fascia di retribuzione pensionabile 2026</t>
        </is>
      </c>
      <c r="B7" s="9" t="n">
        <v>56224</v>
      </c>
    </row>
    <row r="8">
      <c r="A8" s="8" t="inlineStr">
        <is>
          <t>Aliquota aggiuntiva oltre la prima fascia</t>
        </is>
      </c>
      <c r="B8" s="17" t="n">
        <v>0.01</v>
      </c>
    </row>
    <row r="9" ht="45" customHeight="1">
      <c r="A9" s="8" t="inlineStr">
        <is>
          <t>COSTO ANNUO</t>
        </is>
      </c>
      <c r="B9" s="30">
        <f>B5*B6+MAX(0,B5-B7)*B8</f>
        <v/>
      </c>
      <c r="F9" s="10" t="inlineStr">
        <is>
          <t>Con 50.000 € si è sotto la prima fascia: niente aliquota aggiuntiva. La regola resta applicata simmetricamente.</t>
        </is>
      </c>
    </row>
    <row r="10">
      <c r="A10" s="8" t="inlineStr">
        <is>
          <t>Anni di prosecuzione volontaria</t>
        </is>
      </c>
      <c r="B10" s="29" t="n">
        <v>18.83</v>
      </c>
    </row>
    <row r="11">
      <c r="A11" s="8" t="inlineStr">
        <is>
          <t>Numero di versamenti (per il valore attuale)</t>
        </is>
      </c>
      <c r="B11" s="11" t="n">
        <v>19</v>
      </c>
    </row>
    <row r="12" ht="45" customHeight="1">
      <c r="A12" s="8" t="inlineStr">
        <is>
          <t>Primo versamento utile</t>
        </is>
      </c>
      <c r="B12" s="13">
        <f>"mese "&amp;('2 - NASPI'!C11+1)&amp;" — durante la NASPI non si versa"</f>
        <v/>
      </c>
      <c r="C12" s="36" t="n"/>
      <c r="D12" s="14" t="n"/>
      <c r="F12" s="10" t="inlineStr">
        <is>
          <t>I ventiquattro mesi di indennità sono già coperti da contribuzione figurativa (art. 12 c. 1 D.Lgs. 22/2015): versare lì sarebbe soldi buttati.</t>
        </is>
      </c>
    </row>
    <row r="13" ht="45" customHeight="1">
      <c r="A13" s="10" t="inlineStr">
        <is>
          <t>REQUISITI (L. 18 febbraio 1983 n. 47, art. 1 cc. 3 e 4, richiamati per gli altri regimi dall'art. 5 cc. 2 e 2-bis del D.Lgs. 184/1997): 260 contributi settimanali qualunque sia l'epoca del versamento, oppure 156 nel quinquennio precedente la domanda. I requisiti si perfezionano con contribuzione effettiva: la figurativa è di regola esclusa, salvo eccezioni tassative (cassa integrazione, TBC, aspettativa sindacale o politica).</t>
        </is>
      </c>
    </row>
    <row r="14"/>
    <row r="15">
      <c r="A15" s="7" t="inlineStr">
        <is>
          <t>IL BENEFICIO LORDO</t>
        </is>
      </c>
    </row>
    <row r="16" ht="30" customHeight="1">
      <c r="A16" s="8" t="inlineStr">
        <is>
          <t>Rivalutazione reale del montante</t>
        </is>
      </c>
      <c r="B16" s="17" t="n">
        <v>0.006</v>
      </c>
      <c r="F16" s="10" t="inlineStr">
        <is>
          <t>Parametro del modello, banda dichiarata 0,0% - 1,2% reale. Non è il rendimento realizzato 2006-2025.</t>
        </is>
      </c>
    </row>
    <row r="17">
      <c r="A17" s="8" t="inlineStr">
        <is>
          <t>Montante aggiuntivo a fine versamenti</t>
        </is>
      </c>
      <c r="B17" s="21">
        <f>B9*((1+B16)^B10-1)/B16</f>
        <v/>
      </c>
    </row>
    <row r="18">
      <c r="A18" s="8" t="inlineStr">
        <is>
          <t>Coefficiente di trasformazione</t>
        </is>
      </c>
      <c r="B18" s="16">
        <f>'1 - INPUT'!B15</f>
        <v/>
      </c>
    </row>
    <row r="19">
      <c r="A19" s="8" t="inlineStr">
        <is>
          <t>PENSIONE LORDA AGGIUNTIVA (annua)</t>
        </is>
      </c>
      <c r="B19" s="21">
        <f>B17*B18</f>
        <v/>
      </c>
    </row>
    <row r="20">
      <c r="A20" s="8" t="inlineStr">
        <is>
          <t>Incremento lordo di UN anno di versamenti</t>
        </is>
      </c>
      <c r="B20" s="21">
        <f>B9*(1+B16)^B10*B18</f>
        <v/>
      </c>
    </row>
    <row r="21" ht="30" customHeight="1">
      <c r="A21" s="8" t="inlineStr">
        <is>
          <t>PAREGGIO LORDO (anni)</t>
        </is>
      </c>
      <c r="B21" s="40">
        <f>B9/B20</f>
        <v/>
      </c>
      <c r="F21" s="10" t="inlineStr">
        <is>
          <t>È l'inverso del prodotto fra coefficiente e rivalutazione: non dipende da quanto versi.</t>
        </is>
      </c>
    </row>
    <row r="22"/>
    <row r="23">
      <c r="A23" s="7" t="inlineStr">
        <is>
          <t>IL BENEFICIO NETTO — modello fiscale della pensione</t>
        </is>
      </c>
    </row>
    <row r="24" ht="30" customHeight="1">
      <c r="A24" s="24" t="inlineStr">
        <is>
          <t>Voce</t>
        </is>
      </c>
      <c r="B24" s="24" t="inlineStr">
        <is>
          <t>Pensione base</t>
        </is>
      </c>
      <c r="C24" s="24" t="inlineStr">
        <is>
          <t>Base + incremento pieno</t>
        </is>
      </c>
      <c r="D24" s="24" t="inlineStr">
        <is>
          <t>Base + un anno</t>
        </is>
      </c>
    </row>
    <row r="25">
      <c r="A25" s="8" t="inlineStr">
        <is>
          <t>Pensione lorda annua</t>
        </is>
      </c>
      <c r="B25" s="22" t="n">
        <v>26135.85</v>
      </c>
      <c r="C25" s="21">
        <f>B25+B19</f>
        <v/>
      </c>
      <c r="D25" s="21">
        <f>B25+B20</f>
        <v/>
      </c>
    </row>
    <row r="26">
      <c r="A26" s="8" t="inlineStr">
        <is>
          <t>IRPEF lorda (scaglioni 2026)</t>
        </is>
      </c>
      <c r="B26" s="21">
        <f>(MIN(B25,28000)*0.23+MAX(0,MIN(B25,50000)-28000)*0.33+MAX(0,B25-50000)*0.43)</f>
        <v/>
      </c>
      <c r="C26" s="21">
        <f>(MIN(C25,28000)*0.23+MAX(0,MIN(C25,50000)-28000)*0.33+MAX(0,C25-50000)*0.43)</f>
        <v/>
      </c>
      <c r="D26" s="21">
        <f>(MIN(D25,28000)*0.23+MAX(0,MIN(D25,50000)-28000)*0.33+MAX(0,D25-50000)*0.43)</f>
        <v/>
      </c>
    </row>
    <row r="27">
      <c r="A27" s="8" t="inlineStr">
        <is>
          <t>Detrazione art. 13 c. 3 TUIR</t>
        </is>
      </c>
      <c r="B27" s="21">
        <f>IF(B25&lt;=8500,1955,IF(B25&lt;=28000,700+1255*(28000-B25)/19500,IF(B25&lt;=50000,700*(50000-B25)/22000,0)))</f>
        <v/>
      </c>
      <c r="C27" s="21">
        <f>IF(C25&lt;=8500,1955,IF(C25&lt;=28000,700+1255*(28000-C25)/19500,IF(C25&lt;=50000,700*(50000-C25)/22000,0)))</f>
        <v/>
      </c>
      <c r="D27" s="21">
        <f>IF(D25&lt;=8500,1955,IF(D25&lt;=28000,700+1255*(28000-D25)/19500,IF(D25&lt;=50000,700*(50000-D25)/22000,0)))</f>
        <v/>
      </c>
    </row>
    <row r="28">
      <c r="A28" s="8" t="inlineStr">
        <is>
          <t>IRPEF netta</t>
        </is>
      </c>
      <c r="B28" s="21">
        <f>MAX(0,B26-B27)</f>
        <v/>
      </c>
      <c r="C28" s="21">
        <f>MAX(0,C26-C27)</f>
        <v/>
      </c>
      <c r="D28" s="21">
        <f>MAX(0,D26-D27)</f>
        <v/>
      </c>
    </row>
    <row r="29">
      <c r="A29" s="8" t="inlineStr">
        <is>
          <t>Addizionali (2%)</t>
        </is>
      </c>
      <c r="B29" s="21">
        <f>0.02*B25</f>
        <v/>
      </c>
      <c r="C29" s="21">
        <f>0.02*C25</f>
        <v/>
      </c>
      <c r="D29" s="21">
        <f>0.02*D25</f>
        <v/>
      </c>
    </row>
    <row r="30">
      <c r="A30" s="8" t="inlineStr">
        <is>
          <t>PENSIONE NETTA</t>
        </is>
      </c>
      <c r="B30" s="21">
        <f>B25-B28-B29</f>
        <v/>
      </c>
      <c r="C30" s="21">
        <f>C25-C28-C29</f>
        <v/>
      </c>
      <c r="D30" s="21">
        <f>D25-D28-D29</f>
        <v/>
      </c>
    </row>
    <row r="31">
      <c r="A31" s="8" t="inlineStr">
        <is>
          <t>INCREMENTO NETTO (differenza finita)</t>
        </is>
      </c>
      <c r="C31" s="21">
        <f>C30-B30</f>
        <v/>
      </c>
      <c r="D31" s="21">
        <f>D30-B30</f>
        <v/>
      </c>
    </row>
    <row r="32" ht="45" customHeight="1">
      <c r="A32" s="8" t="inlineStr">
        <is>
          <t>Aliquota marginale effettiva</t>
        </is>
      </c>
      <c r="B32" s="37">
        <f>1-(D30-B30)/(D25-B25)</f>
        <v/>
      </c>
      <c r="F32" s="10" t="inlineStr">
        <is>
          <t>Non si digita: esce per differenza finita. 23% di IRPEF, più il 6,436% della detrazione da pensione che si consuma (1.255/19.500), più il 2% di addizionali.</t>
        </is>
      </c>
    </row>
    <row r="33" ht="60" customHeight="1">
      <c r="A33" s="8" t="inlineStr">
        <is>
          <t>PAREGGIO NETTO (anni)</t>
        </is>
      </c>
      <c r="B33" s="34">
        <f>B9/(D30-B30)</f>
        <v/>
      </c>
      <c r="F33" s="10" t="inlineStr">
        <is>
          <t>Vita residua attesa a 69 anni: 18,1 anni (totale), 16,8 (maschi), 19,3 (femmine) — stima 2025, consolidamento dicembre 2026. Il verdetto NON poggia su questo numero.</t>
        </is>
      </c>
    </row>
    <row r="34"/>
    <row r="35">
      <c r="A35" s="7" t="inlineStr">
        <is>
          <t>IL CONFRONTO IN VALORE ATTUALE — ed è qui che si decide</t>
        </is>
      </c>
    </row>
    <row r="36">
      <c r="A36" s="8" t="inlineStr">
        <is>
          <t>Anni di erogazione della pensione</t>
        </is>
      </c>
      <c r="B36" s="15">
        <f>'1 - INPUT'!B16-('1 - INPUT'!B9+'1 - INPUT'!B14)</f>
        <v/>
      </c>
    </row>
    <row r="37">
      <c r="A37" s="8" t="inlineStr">
        <is>
          <t>Anni di attesa prima della decorrenza</t>
        </is>
      </c>
      <c r="B37" s="15">
        <f>'1 - INPUT'!B14</f>
        <v/>
      </c>
    </row>
    <row r="38">
      <c r="A38" s="24" t="inlineStr">
        <is>
          <t>Tasso di sconto reale</t>
        </is>
      </c>
      <c r="B38" s="24" t="inlineStr">
        <is>
          <t>1%</t>
        </is>
      </c>
      <c r="C38" s="24" t="inlineStr">
        <is>
          <t>2%</t>
        </is>
      </c>
      <c r="D38" s="24" t="inlineStr">
        <is>
          <t>3%</t>
        </is>
      </c>
    </row>
    <row r="39">
      <c r="A39" s="8" t="inlineStr">
        <is>
          <t>Valore attuale del COSTO</t>
        </is>
      </c>
      <c r="B39" s="12">
        <f>$B$9*(1-(1+0.01)^-$B$11)/0.01*(1+0.01)^-2</f>
        <v/>
      </c>
      <c r="C39" s="12">
        <f>$B$9*(1-(1+0.02)^-$B$11)/0.02*(1+0.02)^-2</f>
        <v/>
      </c>
      <c r="D39" s="12">
        <f>$B$9*(1-(1+0.03)^-$B$11)/0.03*(1+0.03)^-2</f>
        <v/>
      </c>
    </row>
    <row r="40">
      <c r="A40" s="8" t="inlineStr">
        <is>
          <t>Valore attuale del BENEFICIO</t>
        </is>
      </c>
      <c r="B40" s="12">
        <f>($C$30-$B$30)*(1-(1+0.01)^-$B$36)/0.01*(1+0.01)^-$B$37</f>
        <v/>
      </c>
      <c r="C40" s="12">
        <f>($C$30-$B$30)*(1-(1+0.02)^-$B$36)/0.02*(1+0.02)^-$B$37</f>
        <v/>
      </c>
      <c r="D40" s="12">
        <f>($C$30-$B$30)*(1-(1+0.03)^-$B$36)/0.03*(1+0.03)^-$B$37</f>
        <v/>
      </c>
    </row>
    <row r="41">
      <c r="A41" s="8" t="inlineStr">
        <is>
          <t>EURO SPESI PER COMPRARNE UNO</t>
        </is>
      </c>
      <c r="B41" s="41">
        <f>B39/B40</f>
        <v/>
      </c>
      <c r="C41" s="41">
        <f>C39/C40</f>
        <v/>
      </c>
      <c r="D41" s="41">
        <f>D39/D40</f>
        <v/>
      </c>
    </row>
    <row r="42" ht="45" customHeight="1">
      <c r="A42" s="10" t="inlineStr">
        <is>
          <t>VERDETTO — non conviene. Al tre per cento reale servono due euro e sei per comprarne uno; all'uno per cento il conto si avvicina al pareggio, un euro e trentasette. Due clausole obbligatorie: si sta scontando una rendita pubblica indicizzata e vitalizia con il tasso di un portafoglio rischioso, e il beneficio è troncato a novantadue anni — chi vive di più continua a incassare, ma i volontari li ha già pagati tutti.</t>
        </is>
      </c>
    </row>
    <row r="43" ht="30" customHeight="1">
      <c r="A43" s="10" t="inlineStr">
        <is>
          <t>ECCEZIONE, e non è un dettaglio: chi non raggiunge il DIRITTO alla pensione — non ha i venti anni di contributi, o non arriva alla soglia di importo — ha un problema diverso, e lì i volontari sono la cosa più redditizia che esista. Questo foglio parla di chi il diritto ce l'ha già.</t>
        </is>
      </c>
    </row>
  </sheetData>
  <mergeCells count="10">
    <mergeCell ref="A2:F2"/>
    <mergeCell ref="A42:F42"/>
    <mergeCell ref="A13:F13"/>
    <mergeCell ref="A1:F1"/>
    <mergeCell ref="A23:F23"/>
    <mergeCell ref="A35:F35"/>
    <mergeCell ref="A4:F4"/>
    <mergeCell ref="B12:D12"/>
    <mergeCell ref="A15:F15"/>
    <mergeCell ref="A43:F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2" customWidth="1" min="3" max="3"/>
    <col width="34" customWidth="1" min="4" max="4"/>
  </cols>
  <sheetData>
    <row r="1" ht="25" customHeight="1">
      <c r="A1" s="1" t="inlineStr">
        <is>
          <t>7 — PARAMETRI 2026, con la fonte di ciascuno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 ht="26" customHeight="1">
      <c r="A4" s="24" t="inlineStr">
        <is>
          <t>Parametro</t>
        </is>
      </c>
      <c r="B4" s="24" t="inlineStr">
        <is>
          <t>Valore</t>
        </is>
      </c>
      <c r="C4" s="24" t="inlineStr">
        <is>
          <t>Riferimento normativo / fonte</t>
        </is>
      </c>
      <c r="D4" s="24" t="inlineStr">
        <is>
          <t>deperibilità</t>
        </is>
      </c>
    </row>
    <row r="5">
      <c r="A5" s="42" t="inlineStr">
        <is>
          <t>— NASPI —</t>
        </is>
      </c>
    </row>
    <row r="6" ht="30" customHeight="1">
      <c r="A6" s="8" t="inlineStr">
        <is>
          <t>Massimale mensile</t>
        </is>
      </c>
      <c r="B6" s="33" t="inlineStr">
        <is>
          <t>1.584,70 €</t>
        </is>
      </c>
      <c r="C6" s="33" t="inlineStr">
        <is>
          <t>Art. 4 c. 1 D.Lgs. 22/2015; importo rivalutato per il 2026</t>
        </is>
      </c>
      <c r="D6" s="33" t="inlineStr">
        <is>
          <t>Refresh gennaio 2027</t>
        </is>
      </c>
    </row>
    <row r="7" ht="30" customHeight="1">
      <c r="A7" s="8" t="inlineStr">
        <is>
          <t>Soglia di riferimento (75% / 25%)</t>
        </is>
      </c>
      <c r="B7" s="33" t="inlineStr">
        <is>
          <t>1.456,90 €</t>
        </is>
      </c>
      <c r="C7" s="33" t="inlineStr">
        <is>
          <t>Art. 4 c. 1 D.Lgs. 22/2015</t>
        </is>
      </c>
      <c r="D7" s="33" t="inlineStr">
        <is>
          <t>Refresh gennaio 2027</t>
        </is>
      </c>
    </row>
    <row r="8" ht="30" customHeight="1">
      <c r="A8" s="8" t="inlineStr">
        <is>
          <t>Retribuzione oltre cui si è al massimale</t>
        </is>
      </c>
      <c r="B8" s="33" t="inlineStr">
        <is>
          <t>circa 41.100 € lordi/anno</t>
        </is>
      </c>
      <c r="C8" s="33" t="inlineStr">
        <is>
          <t>Derivata dai due parametri qui sopra</t>
        </is>
      </c>
      <c r="D8" s="33" t="inlineStr">
        <is>
          <t>Refresh gennaio 2027</t>
        </is>
      </c>
    </row>
    <row r="9" ht="30" customHeight="1">
      <c r="A9" s="8" t="inlineStr">
        <is>
          <t>Durata massima</t>
        </is>
      </c>
      <c r="B9" s="33" t="inlineStr">
        <is>
          <t>24 mesi</t>
        </is>
      </c>
      <c r="C9" s="33" t="inlineStr">
        <is>
          <t>Art. 5 c. 1 D.Lgs. 22/2015; il tetto delle 78 settimane è abrogato dall'art. 43 c. 3 D.Lgs. 148/2015</t>
        </is>
      </c>
      <c r="D9" s="33" t="inlineStr">
        <is>
          <t>Stabile</t>
        </is>
      </c>
    </row>
    <row r="10" ht="30" customHeight="1">
      <c r="A10" s="8" t="inlineStr">
        <is>
          <t>Riduzione mensile</t>
        </is>
      </c>
      <c r="B10" s="33" t="inlineStr">
        <is>
          <t>3% dal sesto mese</t>
        </is>
      </c>
      <c r="C10" s="33" t="inlineStr">
        <is>
          <t>Art. 4 c. 3 D.Lgs. 22/2015</t>
        </is>
      </c>
      <c r="D10" s="33" t="inlineStr">
        <is>
          <t>Stabile</t>
        </is>
      </c>
    </row>
    <row r="11" ht="30" customHeight="1">
      <c r="A11" s="8" t="inlineStr">
        <is>
          <t>Decorrenza</t>
        </is>
      </c>
      <c r="B11" s="33" t="inlineStr">
        <is>
          <t>dall'ottavo giorno; domanda entro 68 giorni</t>
        </is>
      </c>
      <c r="C11" s="33" t="inlineStr">
        <is>
          <t>Art. 6 c. 1 D.Lgs. 22/2015 (i 68 giorni); art. 6 c. 2 (l'ottavo giorno)</t>
        </is>
      </c>
      <c r="D11" s="33" t="inlineStr">
        <is>
          <t>Stabile</t>
        </is>
      </c>
    </row>
    <row r="12" ht="30" customHeight="1">
      <c r="A12" s="8" t="inlineStr">
        <is>
          <t>Contribuzione figurativa</t>
        </is>
      </c>
      <c r="B12" s="33" t="inlineStr">
        <is>
          <t>1,4 volte il massimale = 2.218,58 €/mese</t>
        </is>
      </c>
      <c r="C12" s="33" t="inlineStr">
        <is>
          <t>Art. 12 c. 1 D.Lgs. 22/2015</t>
        </is>
      </c>
      <c r="D12" s="33" t="inlineStr">
        <is>
          <t>Refresh gennaio 2027</t>
        </is>
      </c>
    </row>
    <row r="13" ht="30" customHeight="1">
      <c r="A13" s="8" t="inlineStr">
        <is>
          <t>compatibilità con lavoro autonomo</t>
        </is>
      </c>
      <c r="B13" s="33" t="inlineStr">
        <is>
          <t>5.500 €/anno</t>
        </is>
      </c>
      <c r="C13" s="33" t="inlineStr">
        <is>
          <t>Art. 10 D.Lgs. 22/2015, che rinvia alle detrazioni dell'art. 13 c. 5 TUIR; soglia tabellata dal messaggio INPS n. 1414 del 9 aprile 2024</t>
        </is>
      </c>
      <c r="D13" s="33" t="inlineStr">
        <is>
          <t>Refresh gennaio 2027</t>
        </is>
      </c>
    </row>
    <row r="14" ht="30" customHeight="1">
      <c r="A14" s="8" t="inlineStr">
        <is>
          <t>compatibilità con lavoro subordinato</t>
        </is>
      </c>
      <c r="B14" s="33" t="inlineStr">
        <is>
          <t>8.500 €/anno</t>
        </is>
      </c>
      <c r="C14" s="33" t="inlineStr">
        <is>
          <t>Art. 9 D.Lgs. 22/2015, che rinvia all'art. 13 TUIR; messaggio INPS n. 1414 del 9 aprile 2024</t>
        </is>
      </c>
      <c r="D14" s="33" t="inlineStr">
        <is>
          <t>Refresh gennaio 2027</t>
        </is>
      </c>
    </row>
    <row r="15" ht="30" customHeight="1">
      <c r="A15" s="8" t="inlineStr">
        <is>
          <t>Regola della compatibilità</t>
        </is>
      </c>
      <c r="B15" s="33" t="inlineStr">
        <is>
          <t>entro soglia: riduzione dell'80% del reddito; oltre soglia: decadenza</t>
        </is>
      </c>
      <c r="C15" s="33" t="inlineStr">
        <is>
          <t>Artt. 9 e 10 D.Lgs. 22/2015</t>
        </is>
      </c>
      <c r="D15" s="33" t="inlineStr">
        <is>
          <t>Stabile</t>
        </is>
      </c>
    </row>
    <row r="16" ht="30" customHeight="1">
      <c r="A16" s="8" t="inlineStr">
        <is>
          <t>Adempimenti</t>
        </is>
      </c>
      <c r="B16" s="33" t="inlineStr">
        <is>
          <t>NASPI-COM entro 30 giorni a pena di decadenza; autodichiarazione del reddito entro il 31 marzo dell'anno successivo</t>
        </is>
      </c>
      <c r="C16" s="33" t="inlineStr">
        <is>
          <t>Prassi INPS</t>
        </is>
      </c>
      <c r="D16" s="33" t="inlineStr">
        <is>
          <t>Stabile</t>
        </is>
      </c>
    </row>
    <row r="17" ht="30" customHeight="1">
      <c r="A17" s="8" t="inlineStr">
        <is>
          <t>Certificazione unica</t>
        </is>
      </c>
      <c r="B17" s="33" t="inlineStr">
        <is>
          <t>—</t>
        </is>
      </c>
      <c r="C17" s="33" t="inlineStr">
        <is>
          <t>Circolare INPS n. 40 del 3 aprile 2026 (correzione CU dal 31/3/2026)</t>
        </is>
      </c>
      <c r="D17" s="33" t="inlineStr">
        <is>
          <t>Annuale</t>
        </is>
      </c>
    </row>
    <row r="18">
      <c r="A18" s="42" t="inlineStr">
        <is>
          <t>— IRPEF E BONUS —</t>
        </is>
      </c>
    </row>
    <row r="19" ht="30" customHeight="1">
      <c r="A19" s="8" t="inlineStr">
        <is>
          <t>Scaglioni IRPEF</t>
        </is>
      </c>
      <c r="B19" s="33" t="inlineStr">
        <is>
          <t>23% fino a 28.000 · 33% fino a 50.000 · 43% oltre</t>
        </is>
      </c>
      <c r="C19" s="33" t="inlineStr">
        <is>
          <t>Art. 11 TUIR come modificato dalla Legge di Bilancio 2026</t>
        </is>
      </c>
      <c r="D19" s="33" t="inlineStr">
        <is>
          <t>Refresh gennaio 2027 + rinumerazione TUIR</t>
        </is>
      </c>
    </row>
    <row r="20" ht="30" customHeight="1">
      <c r="A20" s="8" t="inlineStr">
        <is>
          <t>Addizionali regionale e comunale</t>
        </is>
      </c>
      <c r="B20" s="33" t="inlineStr">
        <is>
          <t>2,0% (ipotesi di lavoro)</t>
        </is>
      </c>
      <c r="C20" s="33" t="inlineStr">
        <is>
          <t>Varia per comune e regione: va sostituita con la propria</t>
        </is>
      </c>
      <c r="D20" s="33" t="inlineStr">
        <is>
          <t>Da personalizzare</t>
        </is>
      </c>
    </row>
    <row r="21" ht="30" customHeight="1">
      <c r="A21" s="8" t="inlineStr">
        <is>
          <t>Detrazione da lavoro dipendente</t>
        </is>
      </c>
      <c r="B21" s="33" t="inlineStr">
        <is>
          <t>1.955 fino a 15.000; 1.910 + 1.190 x (28.000 - R)/13.000 fino a 28.000; 1.910 x (50.000 - R)/22.000 fino a 50.000</t>
        </is>
      </c>
      <c r="C21" s="33" t="inlineStr">
        <is>
          <t>Art. 13 c. 1 TUIR</t>
        </is>
      </c>
      <c r="D21" s="33" t="inlineStr">
        <is>
          <t>Refresh gennaio 2027 + rinumerazione TUIR</t>
        </is>
      </c>
    </row>
    <row r="22" ht="30" customHeight="1">
      <c r="A22" s="8" t="inlineStr">
        <is>
          <t>Detrazione da pensione</t>
        </is>
      </c>
      <c r="B22" s="33" t="inlineStr">
        <is>
          <t>1.955 fino a 8.500; 700 + 1.255 x (28.000 - R)/19.500 fino a 28.000; 700 x (50.000 - R)/22.000 fino a 50.000</t>
        </is>
      </c>
      <c r="C22" s="33" t="inlineStr">
        <is>
          <t>Art. 13 c. 3 TUIR</t>
        </is>
      </c>
      <c r="D22" s="33" t="inlineStr">
        <is>
          <t>Refresh gennaio 2027 + rinumerazione TUIR</t>
        </is>
      </c>
    </row>
    <row r="23" ht="30" customHeight="1">
      <c r="A23" s="8" t="inlineStr">
        <is>
          <t>Trattamento integrativo</t>
        </is>
      </c>
      <c r="B23" s="33" t="inlineStr">
        <is>
          <t>1.200 €/anno</t>
        </is>
      </c>
      <c r="C23" s="33" t="inlineStr">
        <is>
          <t>D.L. 3/2020, non soppresso dalla L. 207/2024; erogato automaticamente dall'INPS sulla NASPI (circolare INPS n. 96/2020)</t>
        </is>
      </c>
      <c r="D23" s="33" t="inlineStr">
        <is>
          <t>Refresh gennaio 2027</t>
        </is>
      </c>
    </row>
    <row r="24" ht="30" customHeight="1">
      <c r="A24" s="8" t="inlineStr">
        <is>
          <t>Somma integrativa sul cuneo</t>
        </is>
      </c>
      <c r="B24" s="33" t="inlineStr">
        <is>
          <t>7,1% fino a 8.500 · 5,3% fino a 15.000 · 4,8% fino a 20.000</t>
        </is>
      </c>
      <c r="C24" s="33" t="inlineStr">
        <is>
          <t>Art. 1 cc. 4-9 L. 207/2024. applicabilità ai proventi sostitutivi del reddito di lavoro dipendente: FAQ Agenzia delle Entrate del 30 aprile 2026</t>
        </is>
      </c>
      <c r="D24" s="33" t="inlineStr">
        <is>
          <t>Refresh gennaio 2027</t>
        </is>
      </c>
    </row>
    <row r="25" ht="30" customHeight="1">
      <c r="A25" s="8" t="inlineStr">
        <is>
          <t>Ulteriore detrazione</t>
        </is>
      </c>
      <c r="B25" s="33" t="inlineStr">
        <is>
          <t>1.000 € fra 20.000 e 32.000, decrescente fino a 40.000</t>
        </is>
      </c>
      <c r="C25" s="33" t="inlineStr">
        <is>
          <t>Art. 1 L. 207/2024</t>
        </is>
      </c>
      <c r="D25" s="33" t="inlineStr">
        <is>
          <t>Refresh gennaio 2027</t>
        </is>
      </c>
    </row>
    <row r="26" ht="30" customHeight="1">
      <c r="A26" s="8" t="inlineStr">
        <is>
          <t>La somma integrativa NON è cassa mensile</t>
        </is>
      </c>
      <c r="B26" s="33" t="inlineStr">
        <is>
          <t>si recupera in dichiarazione</t>
        </is>
      </c>
      <c r="C26" s="33" t="inlineStr">
        <is>
          <t>Decisione D23 del dossier: convenzione unica di sola cassa nella finestra dei 24 mesi</t>
        </is>
      </c>
      <c r="D26" s="33" t="inlineStr">
        <is>
          <t>Stabile</t>
        </is>
      </c>
    </row>
    <row r="27">
      <c r="A27" s="42" t="inlineStr">
        <is>
          <t>— TFR —</t>
        </is>
      </c>
    </row>
    <row r="28" ht="30" customHeight="1">
      <c r="A28" s="8" t="inlineStr">
        <is>
          <t>Quota annua</t>
        </is>
      </c>
      <c r="B28" s="33" t="inlineStr">
        <is>
          <t>retribuzione / 13,5 meno lo 0,50%</t>
        </is>
      </c>
      <c r="C28" s="33" t="inlineStr">
        <is>
          <t>Art. 2120 c.c.</t>
        </is>
      </c>
      <c r="D28" s="33" t="inlineStr">
        <is>
          <t>Stabile</t>
        </is>
      </c>
    </row>
    <row r="29" ht="30" customHeight="1">
      <c r="A29" s="8" t="inlineStr">
        <is>
          <t>Rivalutazione</t>
        </is>
      </c>
      <c r="B29" s="33" t="inlineStr">
        <is>
          <t>1,5% fisso + 75% dell'inflazione</t>
        </is>
      </c>
      <c r="C29" s="33" t="inlineStr">
        <is>
          <t>Art. 2120 c.c.; imposta sostitutiva del 17% sulle rivalutazioni</t>
        </is>
      </c>
      <c r="D29" s="33" t="inlineStr">
        <is>
          <t>Annuale</t>
        </is>
      </c>
    </row>
    <row r="30" ht="30" customHeight="1">
      <c r="A30" s="8" t="inlineStr">
        <is>
          <t>Termine di pagamento</t>
        </is>
      </c>
      <c r="B30" s="33" t="inlineStr">
        <is>
          <t>fra 30 e 60 giorni, secondo il CCNL</t>
        </is>
      </c>
      <c r="C30" s="33" t="inlineStr">
        <is>
          <t>Non fissato dall'art. 2120 c.c.: lo fissano i contratti collettivi</t>
        </is>
      </c>
      <c r="D30" s="33" t="inlineStr">
        <is>
          <t>Per contratto</t>
        </is>
      </c>
    </row>
    <row r="31" ht="30" customHeight="1">
      <c r="A31" s="8" t="inlineStr">
        <is>
          <t>Tassazione separata</t>
        </is>
      </c>
      <c r="B31" s="33" t="inlineStr">
        <is>
          <t>aliquota media sul reddito di riferimento</t>
        </is>
      </c>
      <c r="C31" s="33" t="inlineStr">
        <is>
          <t>Art. 19 TUIR — reddito di riferimento = (imponibile / anni) x 12</t>
        </is>
      </c>
      <c r="D31" s="33" t="inlineStr">
        <is>
          <t>Rinumerazione TUIR dal 1/1/2027</t>
        </is>
      </c>
    </row>
    <row r="32" ht="30" customHeight="1">
      <c r="A32" s="8" t="inlineStr">
        <is>
          <t>Clausola di salvaguardia</t>
        </is>
      </c>
      <c r="B32" s="33" t="inlineStr">
        <is>
          <t>scaglioni 2006: 23% fino a 26.000, 33% fino a 33.500, 39% fino a 100.000, 43% oltre; si applica se più favorevole</t>
        </is>
      </c>
      <c r="C32" s="33" t="inlineStr">
        <is>
          <t>Art. 1 c. 9 L. 296/2006</t>
        </is>
      </c>
      <c r="D32" s="33" t="inlineStr">
        <is>
          <t>RINUMERATA nell'art. 21 c. 11 del D.Lgs. 117/2026 — NON abrogata</t>
        </is>
      </c>
    </row>
    <row r="33" ht="30" customHeight="1">
      <c r="A33" s="8" t="inlineStr">
        <is>
          <t>Detrazione TFR</t>
        </is>
      </c>
      <c r="B33" s="33" t="inlineStr">
        <is>
          <t>70 € fino a 7.500; decrescente fino a 28.000; 50 € fra 28.000 e 30.000</t>
        </is>
      </c>
      <c r="C33" s="33" t="inlineStr">
        <is>
          <t>D.M. 20 marzo 2008, in attuazione dell'art. 2 c. 514 L. 244/2007</t>
        </is>
      </c>
      <c r="D33" s="33" t="inlineStr">
        <is>
          <t>Stabile</t>
        </is>
      </c>
    </row>
    <row r="34">
      <c r="A34" s="42" t="inlineStr">
        <is>
          <t>— FONDO PENSIONE —</t>
        </is>
      </c>
    </row>
    <row r="35" ht="30" customHeight="1">
      <c r="A35" s="8" t="inlineStr">
        <is>
          <t>Riscatto per inoccupazione 12-48 mesi</t>
        </is>
      </c>
      <c r="B35" s="33" t="inlineStr">
        <is>
          <t>50% della posizione, dal 15% al 9%</t>
        </is>
      </c>
      <c r="C35" s="33" t="inlineStr">
        <is>
          <t>Art. 14 c. 2 lett. b) D.Lgs. 252/2005</t>
        </is>
      </c>
      <c r="D35" s="33" t="inlineStr">
        <is>
          <t>Stabile</t>
        </is>
      </c>
    </row>
    <row r="36" ht="30" customHeight="1">
      <c r="A36" s="8" t="inlineStr">
        <is>
          <t>Riscatto per inoccupazione oltre 48 mesi</t>
        </is>
      </c>
      <c r="B36" s="33" t="inlineStr">
        <is>
          <t>totale, dal 15% al 9%</t>
        </is>
      </c>
      <c r="C36" s="33" t="inlineStr">
        <is>
          <t>Art. 14 c. 2 lett. c) D.Lgs. 252/2005</t>
        </is>
      </c>
      <c r="D36" s="33" t="inlineStr">
        <is>
          <t>Stabile</t>
        </is>
      </c>
    </row>
    <row r="37" ht="30" customHeight="1">
      <c r="A37" s="8" t="inlineStr">
        <is>
          <t>Divieto quinquennale</t>
        </is>
      </c>
      <c r="B37" s="33" t="inlineStr">
        <is>
          <t>il riscatto totale non è esercitabile nel quinquennio precedente la maturazione dei requisiti: si applica l'art. 11 c. 4</t>
        </is>
      </c>
      <c r="C37" s="33" t="inlineStr">
        <is>
          <t>Art. 14 c. 2 lett. c), seconda parte, D.Lgs. 252/2005</t>
        </is>
      </c>
      <c r="D37" s="33" t="inlineStr">
        <is>
          <t>Stabile</t>
        </is>
      </c>
    </row>
    <row r="38" ht="30" customHeight="1">
      <c r="A38" s="8" t="inlineStr">
        <is>
          <t>Riscatto per cause diverse</t>
        </is>
      </c>
      <c r="B38" s="33" t="inlineStr">
        <is>
          <t>totale, 23%</t>
        </is>
      </c>
      <c r="C38" s="33" t="inlineStr">
        <is>
          <t>Art. 14 c. 5 D.Lgs. 252/2005</t>
        </is>
      </c>
      <c r="D38" s="33" t="inlineStr">
        <is>
          <t>Stabile</t>
        </is>
      </c>
    </row>
    <row r="39" ht="30" customHeight="1">
      <c r="A39" s="8" t="inlineStr">
        <is>
          <t>RITA — comma 4</t>
        </is>
      </c>
      <c r="B39" s="33" t="inlineStr">
        <is>
          <t>5 anni dalla vecchiaia E 20 anni di contributi obbligatori</t>
        </is>
      </c>
      <c r="C39" s="33" t="inlineStr">
        <is>
          <t>Art. 11 c. 4 D.Lgs. 252/2005</t>
        </is>
      </c>
      <c r="D39" s="33" t="inlineStr">
        <is>
          <t>Stabile</t>
        </is>
      </c>
    </row>
    <row r="40" ht="30" customHeight="1">
      <c r="A40" s="8" t="inlineStr">
        <is>
          <t>RITA — comma 4-bis</t>
        </is>
      </c>
      <c r="B40" s="33" t="inlineStr">
        <is>
          <t>inoccupazione oltre 24 mesi, 10 anni dalla vecchiaia; NON chiede i 20 anni</t>
        </is>
      </c>
      <c r="C40" s="33" t="inlineStr">
        <is>
          <t>Art. 11 c. 4-bis D.Lgs. 252/2005</t>
        </is>
      </c>
      <c r="D40" s="33" t="inlineStr">
        <is>
          <t>Stabile</t>
        </is>
      </c>
    </row>
    <row r="41">
      <c r="A41" s="42" t="inlineStr">
        <is>
          <t>— PENSIONE E VOLONTARI —</t>
        </is>
      </c>
    </row>
    <row r="42" ht="30" customHeight="1">
      <c r="A42" s="8" t="inlineStr">
        <is>
          <t>Requisito di vecchiaia proiettato</t>
        </is>
      </c>
      <c r="B42" s="33" t="inlineStr">
        <is>
          <t>68 anni e 10 mesi nel biennio 2047-48</t>
        </is>
      </c>
      <c r="C42" s="33" t="inlineStr">
        <is>
          <t>Ragioneria Generale dello Stato, Rapporto n. 26, App. 3 Tab. A3.2, Nota di aggiornamento dicembre 2025, base demografica ISTAT 2024</t>
        </is>
      </c>
      <c r="D42" s="33" t="inlineStr">
        <is>
          <t>Proiezione: si aggiorna ogni due anni</t>
        </is>
      </c>
    </row>
    <row r="43" ht="30" customHeight="1">
      <c r="A43" s="8" t="inlineStr">
        <is>
          <t>Coefficiente di trasformazione</t>
        </is>
      </c>
      <c r="B43" s="33" t="inlineStr">
        <is>
          <t>5,988% a 68 anni e 10 mesi</t>
        </is>
      </c>
      <c r="C43" s="33" t="inlineStr">
        <is>
          <t>Coefficienti 2025-2026, interpolati</t>
        </is>
      </c>
      <c r="D43" s="33" t="inlineStr">
        <is>
          <t>Refresh biennale</t>
        </is>
      </c>
    </row>
    <row r="44" ht="30" customHeight="1">
      <c r="A44" s="8" t="inlineStr">
        <is>
          <t>Rivalutazione reale del montante</t>
        </is>
      </c>
      <c r="B44" s="33" t="inlineStr">
        <is>
          <t>0,6% (banda 0,0% - 1,2%)</t>
        </is>
      </c>
      <c r="C44" s="33" t="inlineStr">
        <is>
          <t>Parametro del modello, coerente con il video sulla soglia dei 64 anni</t>
        </is>
      </c>
      <c r="D44" s="33" t="inlineStr">
        <is>
          <t>Stabile</t>
        </is>
      </c>
    </row>
    <row r="45" ht="30" customHeight="1">
      <c r="A45" s="8" t="inlineStr">
        <is>
          <t>Requisiti dei volontari</t>
        </is>
      </c>
      <c r="B45" s="33" t="inlineStr">
        <is>
          <t>260 contributi settimanali in qualunque epoca, oppure 156 nel quinquennio precedente</t>
        </is>
      </c>
      <c r="C45" s="33" t="inlineStr">
        <is>
          <t>L. 18 febbraio 1983 n. 47, art. 1 cc. 3 e 4, richiamati dall'art. 5 cc. 2 e 2-bis del D.Lgs. 184/1997</t>
        </is>
      </c>
      <c r="D45" s="33" t="inlineStr">
        <is>
          <t>Stabile</t>
        </is>
      </c>
    </row>
    <row r="46" ht="30" customHeight="1">
      <c r="A46" s="8" t="inlineStr">
        <is>
          <t>Durante la NASPI non si versa</t>
        </is>
      </c>
      <c r="B46" s="33" t="inlineStr">
        <is>
          <t>periodo coperto da figurativa</t>
        </is>
      </c>
      <c r="C46" s="33" t="inlineStr">
        <is>
          <t>Circolare INPS n. 50/2008</t>
        </is>
      </c>
      <c r="D46" s="33" t="inlineStr">
        <is>
          <t>Stabile</t>
        </is>
      </c>
    </row>
    <row r="47" ht="30" customHeight="1">
      <c r="A47" s="8" t="inlineStr">
        <is>
          <t>Prima fascia di retribuzione pensionabile</t>
        </is>
      </c>
      <c r="B47" s="33" t="inlineStr">
        <is>
          <t>56.224 € (aliquota +1% oltre)</t>
        </is>
      </c>
      <c r="C47" s="33" t="inlineStr">
        <is>
          <t>Aliquota aggiuntiva art. 3-ter D.L. 384/1992</t>
        </is>
      </c>
      <c r="D47" s="33" t="inlineStr">
        <is>
          <t>Refresh gennaio 2027</t>
        </is>
      </c>
    </row>
    <row r="48">
      <c r="A48" s="42" t="inlineStr">
        <is>
          <t>— PORTAFOGLIO —</t>
        </is>
      </c>
    </row>
    <row r="49" ht="30" customHeight="1">
      <c r="A49" s="8" t="inlineStr">
        <is>
          <t>Aliquota sulle plusvalenze</t>
        </is>
      </c>
      <c r="B49" s="33" t="inlineStr">
        <is>
          <t>26%</t>
        </is>
      </c>
      <c r="C49" s="33" t="inlineStr">
        <is>
          <t>Art. 5 D.Lgs. 461/1997; vendita a costo medio ponderato per gli ETF armonizzati, art. 26-quinquies D.P.R. 600/1973</t>
        </is>
      </c>
      <c r="D49" s="33" t="inlineStr">
        <is>
          <t>Stabile</t>
        </is>
      </c>
    </row>
    <row r="50" ht="30" customHeight="1">
      <c r="A50" s="8" t="inlineStr">
        <is>
          <t>Imposta di bollo</t>
        </is>
      </c>
      <c r="B50" s="33" t="inlineStr">
        <is>
          <t>0,2% del patrimonio di fine anno</t>
        </is>
      </c>
      <c r="C50" s="33" t="inlineStr">
        <is>
          <t>Art. 13 c. 2-ter Tariffa allegata al D.P.R. 642/1972</t>
        </is>
      </c>
      <c r="D50" s="33" t="inlineStr">
        <is>
          <t>Stabile</t>
        </is>
      </c>
    </row>
    <row r="51" ht="30" customHeight="1">
      <c r="A51" s="8" t="inlineStr">
        <is>
          <t>Ancora di spesa ISTAT</t>
        </is>
      </c>
      <c r="B51" s="33" t="inlineStr">
        <is>
          <t>persona sola 35-64 anni: 2.097 €/mese</t>
        </is>
      </c>
      <c r="C51" s="33" t="inlineStr">
        <is>
          <t>ISTAT, spesa media mensile delle famiglie — include l'affitto figurativo</t>
        </is>
      </c>
      <c r="D51" s="33" t="inlineStr">
        <is>
          <t>Annuale</t>
        </is>
      </c>
    </row>
    <row r="52"/>
    <row r="53">
      <c r="A53" s="7" t="inlineStr">
        <is>
          <t>LE DUE SCADENZE DI QUESTO FOGLIO</t>
        </is>
      </c>
    </row>
    <row r="54" ht="45" customHeight="1">
      <c r="A54" s="10" t="inlineStr">
        <is>
          <t>PRIMA SCADENZA — gennaio 2027. Si rivalutano il massimale e la soglia della NASPI, i coefficienti di trasformazione, gli scaglioni e le detrazioni IRPEF, gli importi del trattamento e della somma integrativa, la prima fascia di retribuzione pensionabile. I numeri di questo foglio sono al 2026: da gennaio vanno rifatti.</t>
        </is>
      </c>
    </row>
    <row r="55" ht="60" customHeight="1">
      <c r="A55" s="10" t="inlineStr">
        <is>
          <t>SECONDA SCADENZA — 1 gennaio 2027, nuovo TUIR. Il D.Lgs. 19 giugno 2026 n. 117 (Gazzetta Ufficiale n. 152 del 3 luglio 2026, S.O. 26/L) si applica dalle imposte del 2027 e RINUMERA gli articoli del testo unico. La clausola di salvaguardia sul trattamento di fine rapporto NON viene abrogata: viene TRAVASATA nell'art. 21 comma 11 del D.Lgs. 117/2026. Chi legge «art. 19 TUIR» o «art. 1 c. 9 L. 296/2006» in questo foglio deve sapere che dal 2027 la stessa regola si cita con la nuova numerazione — la regola, però, resta quella.</t>
        </is>
      </c>
    </row>
    <row r="56" ht="60" customHeight="1">
      <c r="A56" s="10" t="inlineStr">
        <is>
          <t>FONTI CHE NON COMPAIONO IN QUESTO FOGLIO, e non per dimenticanza: la somma integrativa sui proventi sostitutivi si cita con le FAQ dell'Agenzia delle Entrate del 30 aprile 2026 e non con la circolare del 2025 sul cuneo, che di quel punto non parla; per le certificazioni uniche vale la circolare INPS n. 40 del 3 aprile 2026; i requisiti dei volontari stanno nella L. 47/1983 e non nell'art. 6 del D.Lgs. 184/1997; la contribuzione figurativa è l'art. 12 comma 1, non il comma 2.</t>
        </is>
      </c>
    </row>
  </sheetData>
  <mergeCells count="12">
    <mergeCell ref="A1:D1"/>
    <mergeCell ref="A5:D5"/>
    <mergeCell ref="A18:D18"/>
    <mergeCell ref="A27:D27"/>
    <mergeCell ref="A56:D56"/>
    <mergeCell ref="A53:D53"/>
    <mergeCell ref="A34:D34"/>
    <mergeCell ref="A48:D48"/>
    <mergeCell ref="A54:D54"/>
    <mergeCell ref="A55:D55"/>
    <mergeCell ref="A41:D4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2026-08-16T16:16:26Z</dcterms:created>
  <dcterms:modified xmlns:dcterms="http://purl.org/dc/terms/" xmlns:xsi="http://www.w3.org/2001/XMLSchema-instance" xsi:type="dcterms:W3CDTF">2026-08-16T16:16:26Z</dcterms:modified>
</cp:coreProperties>
</file>