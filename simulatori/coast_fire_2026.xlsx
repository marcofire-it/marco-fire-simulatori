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3995"/>
  </bookViews>
  <sheets>
    <sheet name="0-Indice" sheetId="1" r:id="rId1"/>
    <sheet name="1-Input" sheetId="2" r:id="rId2"/>
    <sheet name="P-Parametri" sheetId="3" r:id="rId3"/>
    <sheet name="2-Cruscotto" sheetId="4" r:id="rId4"/>
    <sheet name="3-Griglia" sheetId="5" r:id="rId5"/>
    <sheet name="4-Traiettoria" sheetId="6" r:id="rId6"/>
    <sheet name="5-Caso" sheetId="7" r:id="rId7"/>
    <sheet name="6-Anticipata" sheetId="8" r:id="rId8"/>
    <sheet name="7-Denominatori" sheetId="9" r:id="rId9"/>
    <sheet name="8-Fabbisogno" sheetId="10" r:id="rId10"/>
    <sheet name="9-Ordine" sheetId="11" r:id="rId11"/>
  </sheets>
  <calcPr calcId="144525"/>
</workbook>
</file>

<file path=xl/calcChain.xml><?xml version="1.0" encoding="utf-8"?>
<calcChain xmlns="http://schemas.openxmlformats.org/spreadsheetml/2006/main">
  <c r="A77" i="11" l="1"/>
  <c r="D77" i="11" s="1"/>
  <c r="A76" i="11"/>
  <c r="D76" i="11" s="1"/>
  <c r="A75" i="11"/>
  <c r="B75" i="11" s="1"/>
  <c r="A74" i="11"/>
  <c r="A73" i="11"/>
  <c r="D73" i="11" s="1"/>
  <c r="A72" i="11"/>
  <c r="D72" i="11" s="1"/>
  <c r="A71" i="11"/>
  <c r="D71" i="11" s="1"/>
  <c r="A70" i="11"/>
  <c r="D70" i="11" s="1"/>
  <c r="A69" i="11"/>
  <c r="D69" i="11" s="1"/>
  <c r="A68" i="11"/>
  <c r="B68" i="11" s="1"/>
  <c r="A67" i="11"/>
  <c r="B67" i="11" s="1"/>
  <c r="A66" i="11"/>
  <c r="D66" i="11" s="1"/>
  <c r="A65" i="11"/>
  <c r="B65" i="11" s="1"/>
  <c r="A64" i="11"/>
  <c r="D64" i="11" s="1"/>
  <c r="A63" i="11"/>
  <c r="B63" i="11" s="1"/>
  <c r="A62" i="11"/>
  <c r="B62" i="11" s="1"/>
  <c r="A61" i="11"/>
  <c r="D61" i="11" s="1"/>
  <c r="A60" i="11"/>
  <c r="D60" i="11" s="1"/>
  <c r="A59" i="11"/>
  <c r="B59" i="11" s="1"/>
  <c r="A58" i="11"/>
  <c r="A57" i="11"/>
  <c r="D57" i="11" s="1"/>
  <c r="A56" i="11"/>
  <c r="D56" i="11" s="1"/>
  <c r="A55" i="11"/>
  <c r="D55" i="11" s="1"/>
  <c r="A54" i="11"/>
  <c r="D54" i="11" s="1"/>
  <c r="A53" i="11"/>
  <c r="D53" i="11" s="1"/>
  <c r="E53" i="11" s="1"/>
  <c r="E54" i="11" s="1"/>
  <c r="E55" i="11" s="1"/>
  <c r="E56" i="11" s="1"/>
  <c r="E57" i="11" s="1"/>
  <c r="C46" i="11"/>
  <c r="B46" i="11"/>
  <c r="D46" i="11" s="1"/>
  <c r="D41" i="11"/>
  <c r="D42" i="11" s="1"/>
  <c r="A38" i="11"/>
  <c r="I38" i="11" s="1"/>
  <c r="A37" i="11"/>
  <c r="F37" i="11" s="1"/>
  <c r="A36" i="11"/>
  <c r="L36" i="11" s="1"/>
  <c r="A35" i="11"/>
  <c r="L35" i="11" s="1"/>
  <c r="A34" i="11"/>
  <c r="L34" i="11" s="1"/>
  <c r="A33" i="11"/>
  <c r="F33" i="11" s="1"/>
  <c r="A32" i="11"/>
  <c r="A31" i="11"/>
  <c r="F31" i="11" s="1"/>
  <c r="A30" i="11"/>
  <c r="L30" i="11" s="1"/>
  <c r="A29" i="11"/>
  <c r="L29" i="11" s="1"/>
  <c r="A28" i="11"/>
  <c r="F28" i="11" s="1"/>
  <c r="A27" i="11"/>
  <c r="L27" i="11" s="1"/>
  <c r="A26" i="11"/>
  <c r="F26" i="11" s="1"/>
  <c r="A25" i="11"/>
  <c r="L25" i="11" s="1"/>
  <c r="A24" i="11"/>
  <c r="F24" i="11" s="1"/>
  <c r="A23" i="11"/>
  <c r="F23" i="11" s="1"/>
  <c r="A22" i="11"/>
  <c r="I22" i="11" s="1"/>
  <c r="A21" i="11"/>
  <c r="A20" i="11"/>
  <c r="L20" i="11" s="1"/>
  <c r="A19" i="11"/>
  <c r="F19" i="11" s="1"/>
  <c r="A18" i="11"/>
  <c r="A17" i="11"/>
  <c r="A16" i="11"/>
  <c r="A15" i="11"/>
  <c r="F15" i="11" s="1"/>
  <c r="A14" i="11"/>
  <c r="I14" i="11" s="1"/>
  <c r="A13" i="11"/>
  <c r="A12" i="11"/>
  <c r="F12" i="11" s="1"/>
  <c r="A11" i="11"/>
  <c r="A10" i="11"/>
  <c r="F10" i="11" s="1"/>
  <c r="L9" i="11"/>
  <c r="A9" i="11"/>
  <c r="I9" i="11" s="1"/>
  <c r="A8" i="11"/>
  <c r="E7" i="11"/>
  <c r="D7" i="11"/>
  <c r="D8" i="11" s="1"/>
  <c r="D9" i="11" s="1"/>
  <c r="D10" i="11" s="1"/>
  <c r="D11" i="11" s="1"/>
  <c r="D12" i="11" s="1"/>
  <c r="D13" i="11" s="1"/>
  <c r="D14" i="11" s="1"/>
  <c r="D15" i="11" s="1"/>
  <c r="D16" i="11" s="1"/>
  <c r="D17" i="11" s="1"/>
  <c r="D18" i="11" s="1"/>
  <c r="D19" i="11" s="1"/>
  <c r="D20" i="11" s="1"/>
  <c r="D21" i="11" s="1"/>
  <c r="D22" i="11" s="1"/>
  <c r="D23" i="11" s="1"/>
  <c r="D24" i="11" s="1"/>
  <c r="D25" i="11" s="1"/>
  <c r="D26" i="11" s="1"/>
  <c r="D27" i="11" s="1"/>
  <c r="D28" i="11" s="1"/>
  <c r="D29" i="11" s="1"/>
  <c r="D30" i="11" s="1"/>
  <c r="D31" i="11" s="1"/>
  <c r="D32" i="11" s="1"/>
  <c r="D33" i="11" s="1"/>
  <c r="D34" i="11" s="1"/>
  <c r="D35" i="11" s="1"/>
  <c r="D36" i="11" s="1"/>
  <c r="D37" i="11" s="1"/>
  <c r="D38" i="11" s="1"/>
  <c r="B42" i="11" s="1"/>
  <c r="C7" i="11"/>
  <c r="C8" i="11" s="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B41" i="11" s="1"/>
  <c r="A7" i="11"/>
  <c r="L7" i="11" s="1"/>
  <c r="A64" i="10"/>
  <c r="A63" i="10"/>
  <c r="A62" i="10"/>
  <c r="A61" i="10"/>
  <c r="A60" i="10"/>
  <c r="A52" i="10"/>
  <c r="A51" i="10"/>
  <c r="A50" i="10"/>
  <c r="A49" i="10"/>
  <c r="A48" i="10"/>
  <c r="A47" i="10"/>
  <c r="A46" i="10"/>
  <c r="A45" i="10"/>
  <c r="A44" i="10"/>
  <c r="A43" i="10"/>
  <c r="A42" i="10"/>
  <c r="A41" i="10"/>
  <c r="A40" i="10"/>
  <c r="B31" i="10"/>
  <c r="B32" i="10" s="1"/>
  <c r="A20" i="10"/>
  <c r="A19" i="10"/>
  <c r="A18" i="10"/>
  <c r="A17" i="10"/>
  <c r="A16" i="10"/>
  <c r="A15" i="10"/>
  <c r="A14" i="10"/>
  <c r="B11" i="9"/>
  <c r="B10" i="9"/>
  <c r="B9" i="9"/>
  <c r="B7" i="9"/>
  <c r="B5" i="9"/>
  <c r="B8" i="9" s="1"/>
  <c r="B32" i="8"/>
  <c r="B30" i="8"/>
  <c r="A26" i="8"/>
  <c r="A25" i="8"/>
  <c r="A23" i="8"/>
  <c r="A22" i="8"/>
  <c r="B12" i="8"/>
  <c r="B11" i="8"/>
  <c r="B57" i="7"/>
  <c r="B58" i="7" s="1"/>
  <c r="B52" i="7"/>
  <c r="A48" i="7"/>
  <c r="G48" i="7" s="1"/>
  <c r="H48" i="7" s="1"/>
  <c r="A47" i="7"/>
  <c r="B47" i="7" s="1"/>
  <c r="C47" i="7" s="1"/>
  <c r="A46" i="7"/>
  <c r="G46" i="7" s="1"/>
  <c r="H46" i="7" s="1"/>
  <c r="A45" i="7"/>
  <c r="B45" i="7" s="1"/>
  <c r="C45" i="7" s="1"/>
  <c r="A44" i="7"/>
  <c r="G44" i="7" s="1"/>
  <c r="H44" i="7" s="1"/>
  <c r="A43" i="7"/>
  <c r="G43" i="7" s="1"/>
  <c r="H43" i="7" s="1"/>
  <c r="A42" i="7"/>
  <c r="G42" i="7" s="1"/>
  <c r="H42" i="7" s="1"/>
  <c r="A41" i="7"/>
  <c r="G41" i="7" s="1"/>
  <c r="H41" i="7" s="1"/>
  <c r="A40" i="7"/>
  <c r="G40" i="7" s="1"/>
  <c r="H40" i="7" s="1"/>
  <c r="B34" i="7"/>
  <c r="B24" i="7"/>
  <c r="C24" i="7" s="1"/>
  <c r="C22" i="7"/>
  <c r="B22" i="7"/>
  <c r="B21" i="7"/>
  <c r="B28" i="7" s="1"/>
  <c r="B29" i="7" s="1"/>
  <c r="B5" i="7"/>
  <c r="B71" i="6"/>
  <c r="B72" i="6" s="1"/>
  <c r="B73" i="6" s="1"/>
  <c r="B70"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D6" i="6"/>
  <c r="B6" i="6"/>
  <c r="A6" i="6"/>
  <c r="C49" i="5"/>
  <c r="C50" i="5" s="1"/>
  <c r="B49" i="5"/>
  <c r="B50" i="5" s="1"/>
  <c r="B44" i="5"/>
  <c r="B11" i="4" s="1"/>
  <c r="B40" i="5"/>
  <c r="B10" i="4" s="1"/>
  <c r="B39" i="5"/>
  <c r="H35" i="5"/>
  <c r="G35" i="5"/>
  <c r="F35" i="5"/>
  <c r="D35" i="5"/>
  <c r="C35" i="5"/>
  <c r="B35" i="5"/>
  <c r="H34" i="5"/>
  <c r="G34" i="5"/>
  <c r="F34" i="5"/>
  <c r="D34" i="5"/>
  <c r="C34" i="5"/>
  <c r="B34" i="5"/>
  <c r="H32" i="5"/>
  <c r="G32" i="5"/>
  <c r="F32" i="5"/>
  <c r="D32" i="5"/>
  <c r="C32" i="5"/>
  <c r="B32" i="5"/>
  <c r="H31" i="5"/>
  <c r="G31" i="5"/>
  <c r="F31" i="5"/>
  <c r="D31" i="5"/>
  <c r="C31" i="5"/>
  <c r="B31" i="5"/>
  <c r="H30" i="5"/>
  <c r="G30" i="5"/>
  <c r="F30" i="5"/>
  <c r="D30" i="5"/>
  <c r="C30" i="5"/>
  <c r="B30" i="5"/>
  <c r="H29" i="5"/>
  <c r="G29" i="5"/>
  <c r="F29" i="5"/>
  <c r="D29" i="5"/>
  <c r="C29" i="5"/>
  <c r="B29" i="5"/>
  <c r="H24" i="5"/>
  <c r="G24" i="5"/>
  <c r="F24" i="5"/>
  <c r="D24" i="5"/>
  <c r="C24" i="5"/>
  <c r="B24" i="5"/>
  <c r="H23" i="5"/>
  <c r="G23" i="5"/>
  <c r="F23" i="5"/>
  <c r="D23" i="5"/>
  <c r="C23" i="5"/>
  <c r="B23" i="5"/>
  <c r="H21" i="5"/>
  <c r="G21" i="5"/>
  <c r="F21" i="5"/>
  <c r="D21" i="5"/>
  <c r="C21" i="5"/>
  <c r="B21" i="5"/>
  <c r="H20" i="5"/>
  <c r="G20" i="5"/>
  <c r="F20" i="5"/>
  <c r="D20" i="5"/>
  <c r="C20" i="5"/>
  <c r="B20" i="5"/>
  <c r="H19" i="5"/>
  <c r="G19" i="5"/>
  <c r="F19" i="5"/>
  <c r="D19" i="5"/>
  <c r="C19" i="5"/>
  <c r="B19" i="5"/>
  <c r="H18" i="5"/>
  <c r="G18" i="5"/>
  <c r="F18" i="5"/>
  <c r="D18" i="5"/>
  <c r="C18" i="5"/>
  <c r="B18" i="5"/>
  <c r="H12" i="5"/>
  <c r="G12" i="5"/>
  <c r="F12" i="5"/>
  <c r="D12" i="5"/>
  <c r="C12" i="5"/>
  <c r="B12" i="5"/>
  <c r="H11" i="5"/>
  <c r="G11" i="5"/>
  <c r="F11" i="5"/>
  <c r="D11" i="5"/>
  <c r="C11" i="5"/>
  <c r="B11" i="5"/>
  <c r="H9" i="5"/>
  <c r="G9" i="5"/>
  <c r="F9" i="5"/>
  <c r="D9" i="5"/>
  <c r="C9" i="5"/>
  <c r="B9" i="5"/>
  <c r="H8" i="5"/>
  <c r="G8" i="5"/>
  <c r="F8" i="5"/>
  <c r="D8" i="5"/>
  <c r="C8" i="5"/>
  <c r="B8" i="5"/>
  <c r="H7" i="5"/>
  <c r="G7" i="5"/>
  <c r="F7" i="5"/>
  <c r="D7" i="5"/>
  <c r="C7" i="5"/>
  <c r="B7" i="5"/>
  <c r="H6" i="5"/>
  <c r="G6" i="5"/>
  <c r="F6" i="5"/>
  <c r="D6" i="5"/>
  <c r="C6" i="5"/>
  <c r="B6" i="5"/>
  <c r="B6" i="4"/>
  <c r="B5" i="4"/>
  <c r="B7" i="4" s="1"/>
  <c r="B14" i="4" s="1"/>
  <c r="B9" i="3"/>
  <c r="B10" i="3" s="1"/>
  <c r="B40" i="2"/>
  <c r="B39" i="2"/>
  <c r="B34" i="2"/>
  <c r="B38" i="2" s="1"/>
  <c r="B5" i="10" s="1"/>
  <c r="B33" i="2"/>
  <c r="E19" i="5" s="1"/>
  <c r="B32" i="2"/>
  <c r="G10" i="5" s="1"/>
  <c r="B31" i="2"/>
  <c r="B30" i="2"/>
  <c r="I15" i="11" l="1"/>
  <c r="L15" i="11"/>
  <c r="B12" i="9"/>
  <c r="B13" i="9" s="1"/>
  <c r="C25" i="9" s="1"/>
  <c r="D59" i="11"/>
  <c r="C24" i="9"/>
  <c r="F10" i="5"/>
  <c r="H22" i="5"/>
  <c r="F9" i="11"/>
  <c r="D68" i="11"/>
  <c r="G22" i="5"/>
  <c r="B18" i="9"/>
  <c r="C18" i="9" s="1"/>
  <c r="B19" i="9"/>
  <c r="C19" i="9" s="1"/>
  <c r="E23" i="5"/>
  <c r="E32" i="5"/>
  <c r="I24" i="11"/>
  <c r="B40" i="7"/>
  <c r="C40" i="7" s="1"/>
  <c r="I25" i="11"/>
  <c r="B45" i="5"/>
  <c r="C11" i="4" s="1"/>
  <c r="B6" i="7"/>
  <c r="B7" i="7" s="1"/>
  <c r="I19" i="11"/>
  <c r="L19" i="11"/>
  <c r="E34" i="5"/>
  <c r="E8" i="11"/>
  <c r="E9" i="11" s="1"/>
  <c r="E10" i="11" s="1"/>
  <c r="E11" i="11" s="1"/>
  <c r="E12" i="11" s="1"/>
  <c r="E13" i="11" s="1"/>
  <c r="E14" i="11" s="1"/>
  <c r="E15" i="11" s="1"/>
  <c r="E16" i="11" s="1"/>
  <c r="E17" i="11" s="1"/>
  <c r="E18" i="11" s="1"/>
  <c r="E19" i="11" s="1"/>
  <c r="E20" i="11" s="1"/>
  <c r="E21" i="11" s="1"/>
  <c r="E22" i="11" s="1"/>
  <c r="E23" i="11" s="1"/>
  <c r="E24" i="11" s="1"/>
  <c r="E25" i="11" s="1"/>
  <c r="E26" i="11" s="1"/>
  <c r="E27" i="11" s="1"/>
  <c r="E28" i="11" s="1"/>
  <c r="E29" i="11" s="1"/>
  <c r="E30" i="11" s="1"/>
  <c r="E31" i="11" s="1"/>
  <c r="E32" i="11" s="1"/>
  <c r="E33" i="11" s="1"/>
  <c r="E34" i="11" s="1"/>
  <c r="E35" i="11" s="1"/>
  <c r="E36" i="11" s="1"/>
  <c r="E37" i="11" s="1"/>
  <c r="E38" i="11" s="1"/>
  <c r="B53" i="11"/>
  <c r="C53" i="11" s="1"/>
  <c r="B6" i="10"/>
  <c r="B33" i="10" s="1"/>
  <c r="I35" i="11"/>
  <c r="F38" i="11"/>
  <c r="L31" i="11"/>
  <c r="B5" i="8"/>
  <c r="B7" i="8" s="1"/>
  <c r="B33" i="8" s="1"/>
  <c r="E18" i="5"/>
  <c r="B42" i="5"/>
  <c r="D62" i="11"/>
  <c r="F35" i="11"/>
  <c r="I20" i="11"/>
  <c r="L14" i="11"/>
  <c r="F30" i="11"/>
  <c r="I36" i="11"/>
  <c r="B57" i="11"/>
  <c r="B66" i="11"/>
  <c r="D75" i="11"/>
  <c r="E20" i="5"/>
  <c r="L24" i="11"/>
  <c r="L38" i="11"/>
  <c r="E7" i="5"/>
  <c r="F25" i="11"/>
  <c r="C21" i="7"/>
  <c r="F7" i="11"/>
  <c r="F20" i="11"/>
  <c r="B64" i="11"/>
  <c r="E8" i="5"/>
  <c r="I7" i="11"/>
  <c r="K7" i="11" s="1"/>
  <c r="F14" i="11"/>
  <c r="B23" i="7"/>
  <c r="F36" i="11"/>
  <c r="G47" i="7"/>
  <c r="H47" i="7" s="1"/>
  <c r="B6" i="9"/>
  <c r="I30" i="11"/>
  <c r="B20" i="9"/>
  <c r="C20" i="9" s="1"/>
  <c r="I31" i="11"/>
  <c r="B69" i="11"/>
  <c r="L10" i="11"/>
  <c r="B73" i="11"/>
  <c r="E31" i="5"/>
  <c r="D65" i="11"/>
  <c r="E29" i="5"/>
  <c r="B31" i="7"/>
  <c r="B30" i="7"/>
  <c r="B32" i="7" s="1"/>
  <c r="L13" i="11"/>
  <c r="I13" i="11"/>
  <c r="F13" i="11"/>
  <c r="I16" i="11"/>
  <c r="F16" i="11"/>
  <c r="L16" i="11"/>
  <c r="B44" i="7"/>
  <c r="C44" i="7" s="1"/>
  <c r="B48" i="7"/>
  <c r="C48" i="7" s="1"/>
  <c r="B70" i="11"/>
  <c r="L23" i="11"/>
  <c r="I23" i="11"/>
  <c r="B41" i="7"/>
  <c r="C41" i="7" s="1"/>
  <c r="I26" i="11"/>
  <c r="J7" i="11"/>
  <c r="F11" i="11"/>
  <c r="I11" i="11"/>
  <c r="L11" i="11"/>
  <c r="L26" i="11"/>
  <c r="H10" i="5"/>
  <c r="B46" i="7"/>
  <c r="C46" i="7" s="1"/>
  <c r="I8" i="11"/>
  <c r="F8" i="11"/>
  <c r="L18" i="11"/>
  <c r="I18" i="11"/>
  <c r="F18" i="11"/>
  <c r="B74" i="11"/>
  <c r="D74" i="11"/>
  <c r="B48" i="5"/>
  <c r="L8" i="11"/>
  <c r="F21" i="11"/>
  <c r="L21" i="11"/>
  <c r="L28" i="11"/>
  <c r="I28" i="11"/>
  <c r="B61" i="11"/>
  <c r="B8" i="4"/>
  <c r="E45" i="7"/>
  <c r="C33" i="5"/>
  <c r="D22" i="5"/>
  <c r="E10" i="5"/>
  <c r="B33" i="5"/>
  <c r="C22" i="5"/>
  <c r="D10" i="5"/>
  <c r="B22" i="5"/>
  <c r="C10" i="5"/>
  <c r="B10" i="5"/>
  <c r="B12" i="4"/>
  <c r="E47" i="7"/>
  <c r="H33" i="5"/>
  <c r="E22" i="5"/>
  <c r="G33" i="5"/>
  <c r="F33" i="5"/>
  <c r="E33" i="5"/>
  <c r="B53" i="7"/>
  <c r="E44" i="7"/>
  <c r="D33" i="5"/>
  <c r="B46" i="5"/>
  <c r="B43" i="7"/>
  <c r="C43" i="7" s="1"/>
  <c r="I21" i="11"/>
  <c r="G45" i="7"/>
  <c r="H45" i="7" s="1"/>
  <c r="F22" i="5"/>
  <c r="B25" i="9"/>
  <c r="D58" i="11"/>
  <c r="E58" i="11" s="1"/>
  <c r="E59" i="11" s="1"/>
  <c r="E60" i="11" s="1"/>
  <c r="E61" i="11" s="1"/>
  <c r="B58" i="11"/>
  <c r="I32" i="11"/>
  <c r="F32" i="11"/>
  <c r="B54" i="11"/>
  <c r="B42" i="7"/>
  <c r="C42" i="7" s="1"/>
  <c r="L17" i="11"/>
  <c r="I17" i="11"/>
  <c r="F34" i="11"/>
  <c r="L37" i="11"/>
  <c r="D63" i="11"/>
  <c r="D67" i="11"/>
  <c r="B72" i="11"/>
  <c r="B76" i="11"/>
  <c r="E11" i="5"/>
  <c r="L12" i="11"/>
  <c r="I12" i="11"/>
  <c r="F29" i="11"/>
  <c r="L32" i="11"/>
  <c r="E21" i="5"/>
  <c r="B56" i="11"/>
  <c r="B60" i="11"/>
  <c r="B35" i="2"/>
  <c r="B50" i="6" s="1"/>
  <c r="B36" i="2"/>
  <c r="B37" i="2" s="1"/>
  <c r="N7" i="11"/>
  <c r="M7" i="11"/>
  <c r="I10" i="11"/>
  <c r="F22" i="11"/>
  <c r="I34" i="11"/>
  <c r="I27" i="11"/>
  <c r="F27" i="11"/>
  <c r="I37" i="11"/>
  <c r="E35" i="5"/>
  <c r="E24" i="5"/>
  <c r="E12" i="5"/>
  <c r="E30" i="5"/>
  <c r="E6" i="5"/>
  <c r="C40" i="2"/>
  <c r="E9" i="5"/>
  <c r="B41" i="5"/>
  <c r="F17" i="11"/>
  <c r="L22" i="11"/>
  <c r="I29" i="11"/>
  <c r="L33" i="11"/>
  <c r="I33" i="11"/>
  <c r="B77" i="11"/>
  <c r="B55" i="11"/>
  <c r="B71" i="11"/>
  <c r="C54" i="11" l="1"/>
  <c r="B8" i="8"/>
  <c r="B9" i="8" s="1"/>
  <c r="B10" i="8" s="1"/>
  <c r="E48" i="7"/>
  <c r="B9" i="7"/>
  <c r="B11" i="7"/>
  <c r="B8" i="7"/>
  <c r="B10" i="7"/>
  <c r="E40" i="7"/>
  <c r="G7" i="11"/>
  <c r="G8" i="11" s="1"/>
  <c r="G9" i="11" s="1"/>
  <c r="G10" i="11" s="1"/>
  <c r="G11" i="11" s="1"/>
  <c r="G12" i="11" s="1"/>
  <c r="G13" i="11" s="1"/>
  <c r="G14" i="11" s="1"/>
  <c r="G15" i="11" s="1"/>
  <c r="G16" i="11" s="1"/>
  <c r="G17" i="11" s="1"/>
  <c r="G18" i="11" s="1"/>
  <c r="G19" i="11" s="1"/>
  <c r="G20" i="11" s="1"/>
  <c r="G21" i="11" s="1"/>
  <c r="G22" i="11" s="1"/>
  <c r="G23" i="11" s="1"/>
  <c r="G24" i="11" s="1"/>
  <c r="G25" i="11" s="1"/>
  <c r="G26" i="11" s="1"/>
  <c r="G27" i="11" s="1"/>
  <c r="G28" i="11" s="1"/>
  <c r="G29" i="11" s="1"/>
  <c r="G30" i="11" s="1"/>
  <c r="G31" i="11" s="1"/>
  <c r="G32" i="11" s="1"/>
  <c r="G33" i="11" s="1"/>
  <c r="G34" i="11" s="1"/>
  <c r="G35" i="11" s="1"/>
  <c r="G36" i="11" s="1"/>
  <c r="G37" i="11" s="1"/>
  <c r="G38" i="11" s="1"/>
  <c r="B43" i="11" s="1"/>
  <c r="H7" i="11"/>
  <c r="H8" i="11" s="1"/>
  <c r="A13" i="10"/>
  <c r="B24" i="9"/>
  <c r="E62" i="11"/>
  <c r="E63" i="11" s="1"/>
  <c r="E64" i="11" s="1"/>
  <c r="E65" i="11" s="1"/>
  <c r="E66" i="11" s="1"/>
  <c r="E67" i="11" s="1"/>
  <c r="E68" i="11" s="1"/>
  <c r="E69" i="11" s="1"/>
  <c r="E70" i="11" s="1"/>
  <c r="E71" i="11" s="1"/>
  <c r="E72" i="11" s="1"/>
  <c r="E73" i="11" s="1"/>
  <c r="E74" i="11" s="1"/>
  <c r="E75" i="11" s="1"/>
  <c r="E76" i="11" s="1"/>
  <c r="E77" i="11" s="1"/>
  <c r="C78" i="11" s="1"/>
  <c r="B6" i="8"/>
  <c r="B13" i="8" s="1"/>
  <c r="B26" i="8" s="1"/>
  <c r="D23" i="7"/>
  <c r="E43" i="7"/>
  <c r="M8" i="11"/>
  <c r="M9" i="11" s="1"/>
  <c r="M10" i="11" s="1"/>
  <c r="M11" i="11" s="1"/>
  <c r="M12" i="11" s="1"/>
  <c r="M13" i="11" s="1"/>
  <c r="M14" i="11" s="1"/>
  <c r="M15" i="11" s="1"/>
  <c r="M16" i="11" s="1"/>
  <c r="M17" i="11" s="1"/>
  <c r="M18" i="11" s="1"/>
  <c r="M19" i="11" s="1"/>
  <c r="M20" i="11" s="1"/>
  <c r="M21" i="11" s="1"/>
  <c r="M22" i="11" s="1"/>
  <c r="M23" i="11" s="1"/>
  <c r="M24" i="11" s="1"/>
  <c r="M25" i="11" s="1"/>
  <c r="M26" i="11" s="1"/>
  <c r="M27" i="11" s="1"/>
  <c r="M28" i="11" s="1"/>
  <c r="M29" i="11" s="1"/>
  <c r="M30" i="11" s="1"/>
  <c r="M31" i="11" s="1"/>
  <c r="M32" i="11" s="1"/>
  <c r="M33" i="11" s="1"/>
  <c r="M34" i="11" s="1"/>
  <c r="M35" i="11" s="1"/>
  <c r="M36" i="11" s="1"/>
  <c r="M37" i="11" s="1"/>
  <c r="M38" i="11" s="1"/>
  <c r="D43" i="11" s="1"/>
  <c r="N8" i="11"/>
  <c r="K8" i="11"/>
  <c r="C47" i="5"/>
  <c r="B47" i="5"/>
  <c r="E41" i="7"/>
  <c r="C43" i="5"/>
  <c r="C9" i="4" s="1"/>
  <c r="B43" i="5"/>
  <c r="B9" i="4" s="1"/>
  <c r="C24" i="8"/>
  <c r="B31" i="8"/>
  <c r="C22" i="8"/>
  <c r="C26" i="8"/>
  <c r="C23" i="8"/>
  <c r="C25" i="8"/>
  <c r="E42" i="7"/>
  <c r="J8" i="11"/>
  <c r="J9" i="11" s="1"/>
  <c r="J10" i="11" s="1"/>
  <c r="J11" i="11" s="1"/>
  <c r="J12" i="11" s="1"/>
  <c r="J13" i="11" s="1"/>
  <c r="J14" i="11" s="1"/>
  <c r="J15" i="11" s="1"/>
  <c r="J16" i="11" s="1"/>
  <c r="J17" i="11" s="1"/>
  <c r="J18" i="11" s="1"/>
  <c r="J19" i="11" s="1"/>
  <c r="J20" i="11" s="1"/>
  <c r="J21" i="11" s="1"/>
  <c r="J22" i="11" s="1"/>
  <c r="J23" i="11" s="1"/>
  <c r="J24" i="11" s="1"/>
  <c r="J25" i="11" s="1"/>
  <c r="J26" i="11" s="1"/>
  <c r="J27" i="11" s="1"/>
  <c r="J28" i="11" s="1"/>
  <c r="J29" i="11" s="1"/>
  <c r="J30" i="11" s="1"/>
  <c r="J31" i="11" s="1"/>
  <c r="J32" i="11" s="1"/>
  <c r="J33" i="11" s="1"/>
  <c r="J34" i="11" s="1"/>
  <c r="J35" i="11" s="1"/>
  <c r="J36" i="11" s="1"/>
  <c r="J37" i="11" s="1"/>
  <c r="J38" i="11" s="1"/>
  <c r="C43" i="11" s="1"/>
  <c r="C19" i="7"/>
  <c r="B19" i="7"/>
  <c r="C55" i="11"/>
  <c r="C56" i="11" s="1"/>
  <c r="C57" i="11" s="1"/>
  <c r="C58" i="11" s="1"/>
  <c r="C59" i="11" s="1"/>
  <c r="C60" i="11" s="1"/>
  <c r="C61" i="11" s="1"/>
  <c r="C62" i="11" s="1"/>
  <c r="C63" i="11" s="1"/>
  <c r="C64" i="11" s="1"/>
  <c r="C65" i="11" s="1"/>
  <c r="C66" i="11" s="1"/>
  <c r="C67" i="11" s="1"/>
  <c r="C68" i="11" s="1"/>
  <c r="C69" i="11" s="1"/>
  <c r="C70" i="11" s="1"/>
  <c r="C71" i="11" s="1"/>
  <c r="C72" i="11" s="1"/>
  <c r="C73" i="11" s="1"/>
  <c r="C74" i="11" s="1"/>
  <c r="C75" i="11" s="1"/>
  <c r="C76" i="11" s="1"/>
  <c r="C77" i="11" s="1"/>
  <c r="B78" i="11" s="1"/>
  <c r="B52" i="6"/>
  <c r="B53" i="6" s="1"/>
  <c r="C32" i="6"/>
  <c r="C16" i="6"/>
  <c r="C39" i="6"/>
  <c r="C23" i="6"/>
  <c r="C7" i="6"/>
  <c r="C30" i="6"/>
  <c r="C14" i="6"/>
  <c r="B49" i="6"/>
  <c r="C37" i="6"/>
  <c r="C21" i="6"/>
  <c r="B56" i="10"/>
  <c r="B65" i="6"/>
  <c r="C13" i="6"/>
  <c r="C28" i="6"/>
  <c r="C17" i="6"/>
  <c r="C15" i="6"/>
  <c r="B60" i="6"/>
  <c r="C12" i="6"/>
  <c r="C19" i="6"/>
  <c r="C8" i="6"/>
  <c r="B59" i="6"/>
  <c r="C10" i="6"/>
  <c r="C6" i="6"/>
  <c r="E6" i="6" s="1"/>
  <c r="B23" i="10"/>
  <c r="B61" i="6"/>
  <c r="C41" i="6"/>
  <c r="B58" i="6"/>
  <c r="B27" i="4"/>
  <c r="C33" i="6"/>
  <c r="C11" i="6"/>
  <c r="B57" i="10"/>
  <c r="C25" i="6"/>
  <c r="C34" i="6"/>
  <c r="C24" i="6"/>
  <c r="C18" i="6"/>
  <c r="C36" i="6"/>
  <c r="C26" i="6"/>
  <c r="C20" i="6"/>
  <c r="C29" i="6"/>
  <c r="B28" i="4"/>
  <c r="C38" i="6"/>
  <c r="B7" i="10"/>
  <c r="B8" i="10" s="1"/>
  <c r="C31" i="6"/>
  <c r="C35" i="6"/>
  <c r="E7" i="10"/>
  <c r="E8" i="10" s="1"/>
  <c r="C22" i="6"/>
  <c r="C9" i="6"/>
  <c r="C27" i="6"/>
  <c r="C65" i="6"/>
  <c r="C40" i="6"/>
  <c r="E46" i="7"/>
  <c r="H9" i="11" l="1"/>
  <c r="H10" i="11" s="1"/>
  <c r="H11" i="11" s="1"/>
  <c r="H12" i="11" s="1"/>
  <c r="H13" i="11" s="1"/>
  <c r="H14" i="11" s="1"/>
  <c r="H15" i="11" s="1"/>
  <c r="H16" i="11" s="1"/>
  <c r="H17" i="11" s="1"/>
  <c r="H18" i="11" s="1"/>
  <c r="H19" i="11" s="1"/>
  <c r="H20" i="11" s="1"/>
  <c r="H21" i="11" s="1"/>
  <c r="H22" i="11" s="1"/>
  <c r="H23" i="11" s="1"/>
  <c r="H24" i="11" s="1"/>
  <c r="H25" i="11" s="1"/>
  <c r="H26" i="11" s="1"/>
  <c r="H27" i="11" s="1"/>
  <c r="H28" i="11" s="1"/>
  <c r="H29" i="11" s="1"/>
  <c r="H30" i="11" s="1"/>
  <c r="H31" i="11" s="1"/>
  <c r="H32" i="11" s="1"/>
  <c r="H33" i="11" s="1"/>
  <c r="H34" i="11" s="1"/>
  <c r="H35" i="11" s="1"/>
  <c r="H36" i="11" s="1"/>
  <c r="H37" i="11" s="1"/>
  <c r="H38" i="11" s="1"/>
  <c r="B44" i="11" s="1"/>
  <c r="B22" i="8"/>
  <c r="B23" i="8"/>
  <c r="B12" i="7"/>
  <c r="B25" i="8"/>
  <c r="D25" i="8" s="1"/>
  <c r="N9" i="11"/>
  <c r="N10" i="11" s="1"/>
  <c r="N11" i="11" s="1"/>
  <c r="N12" i="11" s="1"/>
  <c r="N13" i="11" s="1"/>
  <c r="N14" i="11" s="1"/>
  <c r="N15" i="11" s="1"/>
  <c r="N16" i="11" s="1"/>
  <c r="N17" i="11" s="1"/>
  <c r="N18" i="11" s="1"/>
  <c r="N19" i="11" s="1"/>
  <c r="N20" i="11" s="1"/>
  <c r="N21" i="11" s="1"/>
  <c r="N22" i="11" s="1"/>
  <c r="N23" i="11" s="1"/>
  <c r="N24" i="11" s="1"/>
  <c r="N25" i="11" s="1"/>
  <c r="N26" i="11" s="1"/>
  <c r="N27" i="11" s="1"/>
  <c r="N28" i="11" s="1"/>
  <c r="N29" i="11" s="1"/>
  <c r="N30" i="11" s="1"/>
  <c r="N31" i="11" s="1"/>
  <c r="N32" i="11" s="1"/>
  <c r="N33" i="11" s="1"/>
  <c r="N34" i="11" s="1"/>
  <c r="N35" i="11" s="1"/>
  <c r="N36" i="11" s="1"/>
  <c r="N37" i="11" s="1"/>
  <c r="N38" i="11" s="1"/>
  <c r="D44" i="11" s="1"/>
  <c r="B17" i="8"/>
  <c r="A24" i="8" s="1"/>
  <c r="B24" i="8" s="1"/>
  <c r="D24" i="8" s="1"/>
  <c r="B14" i="8"/>
  <c r="D26" i="8"/>
  <c r="B34" i="8"/>
  <c r="D22" i="8"/>
  <c r="B24" i="10"/>
  <c r="B25" i="10" s="1"/>
  <c r="B26" i="10" s="1"/>
  <c r="F6" i="6"/>
  <c r="G6" i="6" s="1"/>
  <c r="I6" i="6" s="1"/>
  <c r="D7" i="6" s="1"/>
  <c r="C63" i="10"/>
  <c r="C62" i="10"/>
  <c r="C64" i="10"/>
  <c r="C61" i="10"/>
  <c r="C60" i="10"/>
  <c r="B31" i="4"/>
  <c r="B63" i="6"/>
  <c r="C31" i="4"/>
  <c r="B64" i="6"/>
  <c r="B62" i="6"/>
  <c r="B63" i="10"/>
  <c r="B65" i="10"/>
  <c r="B13" i="4" s="1"/>
  <c r="B64" i="10"/>
  <c r="B62" i="10"/>
  <c r="B61" i="10"/>
  <c r="B60" i="10"/>
  <c r="B45" i="11"/>
  <c r="B32" i="4" s="1"/>
  <c r="F23" i="7"/>
  <c r="E23" i="7"/>
  <c r="B32" i="9"/>
  <c r="C32" i="9" s="1"/>
  <c r="D23" i="8"/>
  <c r="K9" i="11"/>
  <c r="K10" i="11" s="1"/>
  <c r="K11" i="11" s="1"/>
  <c r="K12" i="11" s="1"/>
  <c r="K13" i="11" s="1"/>
  <c r="K14" i="11" s="1"/>
  <c r="K15" i="11" s="1"/>
  <c r="K16" i="11" s="1"/>
  <c r="K17" i="11" s="1"/>
  <c r="K18" i="11" s="1"/>
  <c r="K19" i="11" s="1"/>
  <c r="K20" i="11" s="1"/>
  <c r="K21" i="11" s="1"/>
  <c r="K22" i="11" s="1"/>
  <c r="K23" i="11" s="1"/>
  <c r="K24" i="11" s="1"/>
  <c r="K25" i="11" s="1"/>
  <c r="K26" i="11" s="1"/>
  <c r="K27" i="11" s="1"/>
  <c r="K28" i="11" s="1"/>
  <c r="K29" i="11" s="1"/>
  <c r="K30" i="11" s="1"/>
  <c r="K31" i="11" s="1"/>
  <c r="K32" i="11" s="1"/>
  <c r="K33" i="11" s="1"/>
  <c r="K34" i="11" s="1"/>
  <c r="K35" i="11" s="1"/>
  <c r="K36" i="11" s="1"/>
  <c r="K37" i="11" s="1"/>
  <c r="K38" i="11" s="1"/>
  <c r="C44" i="11" s="1"/>
  <c r="B15" i="8" l="1"/>
  <c r="B16" i="8"/>
  <c r="B13" i="7"/>
  <c r="B14" i="7"/>
  <c r="B44" i="6"/>
  <c r="B30" i="4" s="1"/>
  <c r="H6" i="6"/>
  <c r="E7" i="6"/>
  <c r="F44" i="7" l="1"/>
  <c r="I44" i="7" s="1"/>
  <c r="F48" i="7"/>
  <c r="I48" i="7" s="1"/>
  <c r="D42" i="7"/>
  <c r="F40" i="7"/>
  <c r="I40" i="7" s="1"/>
  <c r="D45" i="7"/>
  <c r="F43" i="7"/>
  <c r="I43" i="7" s="1"/>
  <c r="B54" i="7"/>
  <c r="D43" i="7"/>
  <c r="F42" i="7"/>
  <c r="I42" i="7" s="1"/>
  <c r="D44" i="7"/>
  <c r="D41" i="7"/>
  <c r="F45" i="7"/>
  <c r="I45" i="7" s="1"/>
  <c r="C23" i="7"/>
  <c r="D47" i="7"/>
  <c r="F47" i="7"/>
  <c r="I47" i="7" s="1"/>
  <c r="B55" i="7"/>
  <c r="B15" i="7"/>
  <c r="F46" i="7"/>
  <c r="I46" i="7" s="1"/>
  <c r="D22" i="7"/>
  <c r="D40" i="7"/>
  <c r="D24" i="7"/>
  <c r="D21" i="7"/>
  <c r="D46" i="7"/>
  <c r="D48" i="7"/>
  <c r="D19" i="7"/>
  <c r="F41" i="7"/>
  <c r="I41" i="7" s="1"/>
  <c r="F7" i="6"/>
  <c r="G7" i="6"/>
  <c r="H7" i="6"/>
  <c r="B27" i="10" l="1"/>
  <c r="E19" i="7"/>
  <c r="B50" i="10"/>
  <c r="B48" i="10"/>
  <c r="D25" i="9"/>
  <c r="D26" i="9"/>
  <c r="B13" i="10"/>
  <c r="D18" i="9"/>
  <c r="B18" i="10"/>
  <c r="B41" i="10"/>
  <c r="B34" i="10"/>
  <c r="B17" i="10"/>
  <c r="B17" i="4"/>
  <c r="B47" i="10"/>
  <c r="G19" i="7"/>
  <c r="B20" i="10"/>
  <c r="D20" i="9"/>
  <c r="B46" i="10"/>
  <c r="B44" i="10"/>
  <c r="B16" i="10"/>
  <c r="B42" i="10"/>
  <c r="B19" i="10"/>
  <c r="B45" i="10"/>
  <c r="B51" i="10"/>
  <c r="B49" i="10"/>
  <c r="B43" i="10"/>
  <c r="D24" i="9"/>
  <c r="B14" i="10"/>
  <c r="B15" i="10"/>
  <c r="D19" i="9"/>
  <c r="B52" i="10"/>
  <c r="F19" i="7"/>
  <c r="B40" i="10"/>
  <c r="I7" i="6"/>
  <c r="D8" i="6" s="1"/>
  <c r="F22" i="7"/>
  <c r="E22" i="7"/>
  <c r="G22" i="7"/>
  <c r="B30" i="9"/>
  <c r="C30" i="9" s="1"/>
  <c r="B31" i="9"/>
  <c r="C31" i="9" s="1"/>
  <c r="G21" i="7"/>
  <c r="F21" i="7"/>
  <c r="B33" i="7"/>
  <c r="E21" i="7"/>
  <c r="G23" i="7"/>
  <c r="B56" i="7"/>
  <c r="B19" i="4"/>
  <c r="C19" i="4"/>
  <c r="C26" i="9"/>
  <c r="B26" i="9"/>
  <c r="F24" i="7"/>
  <c r="E24" i="7"/>
  <c r="G24" i="7"/>
  <c r="E8" i="6"/>
  <c r="E15" i="10" l="1"/>
  <c r="C15" i="10"/>
  <c r="D15" i="10" s="1"/>
  <c r="F15" i="10" s="1"/>
  <c r="B35" i="10"/>
  <c r="B36" i="10"/>
  <c r="C18" i="10"/>
  <c r="D18" i="10" s="1"/>
  <c r="F18" i="10" s="1"/>
  <c r="E18" i="10"/>
  <c r="B33" i="9"/>
  <c r="B21" i="4" s="1"/>
  <c r="C33" i="9"/>
  <c r="B20" i="4"/>
  <c r="B18" i="4"/>
  <c r="C43" i="10"/>
  <c r="F43" i="10"/>
  <c r="E43" i="10"/>
  <c r="D43" i="10"/>
  <c r="F51" i="10"/>
  <c r="E51" i="10"/>
  <c r="D51" i="10"/>
  <c r="C51" i="10"/>
  <c r="C19" i="10"/>
  <c r="D19" i="10" s="1"/>
  <c r="F19" i="10" s="1"/>
  <c r="E19" i="10"/>
  <c r="D44" i="10"/>
  <c r="F44" i="10"/>
  <c r="E44" i="10"/>
  <c r="C44" i="10"/>
  <c r="F52" i="10"/>
  <c r="C52" i="10"/>
  <c r="E52" i="10"/>
  <c r="D52" i="10"/>
  <c r="C14" i="10"/>
  <c r="D14" i="10" s="1"/>
  <c r="F14" i="10" s="1"/>
  <c r="E14" i="10"/>
  <c r="C13" i="10"/>
  <c r="D13" i="10" s="1"/>
  <c r="F13" i="10" s="1"/>
  <c r="E13" i="10"/>
  <c r="F48" i="10"/>
  <c r="E48" i="10"/>
  <c r="D48" i="10"/>
  <c r="C48" i="10"/>
  <c r="E46" i="10"/>
  <c r="F46" i="10"/>
  <c r="C46" i="10"/>
  <c r="D46" i="10"/>
  <c r="C20" i="10"/>
  <c r="E20" i="10"/>
  <c r="F47" i="10"/>
  <c r="C47" i="10"/>
  <c r="E47" i="10"/>
  <c r="D47" i="10"/>
  <c r="E17" i="10"/>
  <c r="C17" i="10"/>
  <c r="D17" i="10" s="1"/>
  <c r="F17" i="10" s="1"/>
  <c r="E41" i="10"/>
  <c r="F41" i="10"/>
  <c r="D41" i="10"/>
  <c r="C41" i="10"/>
  <c r="E49" i="10"/>
  <c r="D49" i="10"/>
  <c r="C49" i="10"/>
  <c r="F49" i="10"/>
  <c r="D45" i="10"/>
  <c r="E45" i="10"/>
  <c r="C45" i="10"/>
  <c r="F45" i="10"/>
  <c r="F42" i="10"/>
  <c r="E42" i="10"/>
  <c r="D42" i="10"/>
  <c r="C42" i="10"/>
  <c r="C16" i="10"/>
  <c r="D16" i="10" s="1"/>
  <c r="F16" i="10" s="1"/>
  <c r="E16" i="10"/>
  <c r="D50" i="10"/>
  <c r="C50" i="10"/>
  <c r="F50" i="10"/>
  <c r="E50" i="10"/>
  <c r="F40" i="10"/>
  <c r="D40" i="10"/>
  <c r="E40" i="10"/>
  <c r="C40" i="10"/>
  <c r="B29" i="10"/>
  <c r="B28" i="10"/>
  <c r="F8" i="6"/>
  <c r="G8" i="6" s="1"/>
  <c r="H8" i="6" s="1"/>
  <c r="B34" i="9" l="1"/>
  <c r="C21" i="4"/>
  <c r="B24" i="4"/>
  <c r="D20" i="10"/>
  <c r="I8" i="6"/>
  <c r="D9" i="6" s="1"/>
  <c r="F20" i="10" l="1"/>
  <c r="B22" i="4"/>
  <c r="B23" i="4" s="1"/>
  <c r="E9" i="6"/>
  <c r="F9" i="6" l="1"/>
  <c r="G9" i="6" s="1"/>
  <c r="H9" i="6" s="1"/>
  <c r="I9" i="6" l="1"/>
  <c r="D10" i="6" s="1"/>
  <c r="E10" i="6" l="1"/>
  <c r="F10" i="6" l="1"/>
  <c r="G10" i="6"/>
  <c r="H10" i="6" s="1"/>
  <c r="I10" i="6" l="1"/>
  <c r="D11" i="6" s="1"/>
  <c r="E11" i="6"/>
  <c r="F11" i="6" s="1"/>
  <c r="G11" i="6" l="1"/>
  <c r="H11" i="6" s="1"/>
  <c r="I11" i="6" l="1"/>
  <c r="D12" i="6" s="1"/>
  <c r="E12" i="6" l="1"/>
  <c r="F12" i="6" l="1"/>
  <c r="G12" i="6" l="1"/>
  <c r="H12" i="6" s="1"/>
  <c r="I12" i="6" l="1"/>
  <c r="D13" i="6" s="1"/>
  <c r="E13" i="6" l="1"/>
  <c r="F13" i="6" l="1"/>
  <c r="G13" i="6"/>
  <c r="H13" i="6" s="1"/>
  <c r="I13" i="6" l="1"/>
  <c r="D14" i="6" s="1"/>
  <c r="E14" i="6"/>
  <c r="F14" i="6"/>
  <c r="G14" i="6" l="1"/>
  <c r="H14" i="6" s="1"/>
  <c r="I14" i="6" l="1"/>
  <c r="D15" i="6" s="1"/>
  <c r="E15" i="6" l="1"/>
  <c r="F15" i="6" l="1"/>
  <c r="G15" i="6" s="1"/>
  <c r="H15" i="6" s="1"/>
  <c r="I15" i="6" l="1"/>
  <c r="D16" i="6" s="1"/>
  <c r="E16" i="6"/>
  <c r="F16" i="6" l="1"/>
  <c r="G16" i="6" s="1"/>
  <c r="H16" i="6" l="1"/>
  <c r="I16" i="6"/>
  <c r="D17" i="6" s="1"/>
  <c r="E17" i="6" l="1"/>
  <c r="F17" i="6" l="1"/>
  <c r="G17" i="6" s="1"/>
  <c r="H17" i="6" s="1"/>
  <c r="I17" i="6" l="1"/>
  <c r="D18" i="6" s="1"/>
  <c r="E18" i="6"/>
  <c r="F18" i="6" l="1"/>
  <c r="G18" i="6"/>
  <c r="H18" i="6" s="1"/>
  <c r="I18" i="6" l="1"/>
  <c r="D19" i="6" s="1"/>
  <c r="E19" i="6"/>
  <c r="F19" i="6" l="1"/>
  <c r="G19" i="6" l="1"/>
  <c r="H19" i="6" s="1"/>
  <c r="I19" i="6" l="1"/>
  <c r="D20" i="6" s="1"/>
  <c r="E20" i="6" l="1"/>
  <c r="F20" i="6" l="1"/>
  <c r="G20" i="6" l="1"/>
  <c r="H20" i="6" s="1"/>
  <c r="I20" i="6" l="1"/>
  <c r="D21" i="6" s="1"/>
  <c r="E21" i="6" l="1"/>
  <c r="F21" i="6" s="1"/>
  <c r="G21" i="6" l="1"/>
  <c r="H21" i="6" s="1"/>
  <c r="I21" i="6" l="1"/>
  <c r="D22" i="6" s="1"/>
  <c r="E22" i="6" l="1"/>
  <c r="F22" i="6"/>
  <c r="G22" i="6" l="1"/>
  <c r="H22" i="6" s="1"/>
  <c r="I22" i="6" l="1"/>
  <c r="D23" i="6" s="1"/>
  <c r="E23" i="6" l="1"/>
  <c r="F23" i="6" s="1"/>
  <c r="G23" i="6" l="1"/>
  <c r="H23" i="6" s="1"/>
  <c r="I23" i="6"/>
  <c r="D24" i="6" s="1"/>
  <c r="E24" i="6" l="1"/>
  <c r="F24" i="6" l="1"/>
  <c r="G24" i="6" l="1"/>
  <c r="H24" i="6" s="1"/>
  <c r="I24" i="6" l="1"/>
  <c r="D25" i="6" s="1"/>
  <c r="E25" i="6" l="1"/>
  <c r="F25" i="6" l="1"/>
  <c r="G25" i="6" s="1"/>
  <c r="H25" i="6" l="1"/>
  <c r="I25" i="6"/>
  <c r="D26" i="6" s="1"/>
  <c r="E26" i="6" l="1"/>
  <c r="F26" i="6" l="1"/>
  <c r="G26" i="6"/>
  <c r="H26" i="6" s="1"/>
  <c r="I26" i="6" l="1"/>
  <c r="D27" i="6" s="1"/>
  <c r="E27" i="6"/>
  <c r="F27" i="6" l="1"/>
  <c r="G27" i="6" s="1"/>
  <c r="H27" i="6" l="1"/>
  <c r="I27" i="6"/>
  <c r="D28" i="6" s="1"/>
  <c r="E28" i="6" l="1"/>
  <c r="F28" i="6" l="1"/>
  <c r="G28" i="6" l="1"/>
  <c r="H28" i="6" s="1"/>
  <c r="I28" i="6" l="1"/>
  <c r="D29" i="6" s="1"/>
  <c r="E29" i="6" l="1"/>
  <c r="F29" i="6" l="1"/>
  <c r="G29" i="6"/>
  <c r="H29" i="6" s="1"/>
  <c r="I29" i="6" l="1"/>
  <c r="D30" i="6" s="1"/>
  <c r="E30" i="6"/>
  <c r="F30" i="6"/>
  <c r="G30" i="6" l="1"/>
  <c r="H30" i="6" s="1"/>
  <c r="I30" i="6" l="1"/>
  <c r="D31" i="6" s="1"/>
  <c r="E31" i="6" l="1"/>
  <c r="F31" i="6"/>
  <c r="G31" i="6" s="1"/>
  <c r="H31" i="6" s="1"/>
  <c r="I31" i="6" l="1"/>
  <c r="D32" i="6" s="1"/>
  <c r="E32" i="6" l="1"/>
  <c r="F32" i="6" l="1"/>
  <c r="G32" i="6" l="1"/>
  <c r="H32" i="6" s="1"/>
  <c r="I32" i="6" l="1"/>
  <c r="D33" i="6" s="1"/>
  <c r="E33" i="6" l="1"/>
  <c r="F33" i="6" l="1"/>
  <c r="G33" i="6"/>
  <c r="H33" i="6" s="1"/>
  <c r="I33" i="6" l="1"/>
  <c r="D34" i="6" s="1"/>
  <c r="E34" i="6"/>
  <c r="F34" i="6" l="1"/>
  <c r="G34" i="6"/>
  <c r="H34" i="6" s="1"/>
  <c r="I34" i="6" l="1"/>
  <c r="D35" i="6" s="1"/>
  <c r="E35" i="6"/>
  <c r="F35" i="6" l="1"/>
  <c r="G35" i="6" l="1"/>
  <c r="H35" i="6" s="1"/>
  <c r="I35" i="6" l="1"/>
  <c r="D36" i="6" s="1"/>
  <c r="E36" i="6" l="1"/>
  <c r="F36" i="6" s="1"/>
  <c r="G36" i="6" l="1"/>
  <c r="H36" i="6" s="1"/>
  <c r="I36" i="6"/>
  <c r="D37" i="6" s="1"/>
  <c r="E37" i="6" l="1"/>
  <c r="F37" i="6" s="1"/>
  <c r="G37" i="6" l="1"/>
  <c r="H37" i="6" s="1"/>
  <c r="I37" i="6"/>
  <c r="D38" i="6" s="1"/>
  <c r="E38" i="6" l="1"/>
  <c r="F38" i="6" l="1"/>
  <c r="G38" i="6" l="1"/>
  <c r="H38" i="6" s="1"/>
  <c r="I38" i="6" l="1"/>
  <c r="D39" i="6" s="1"/>
  <c r="E39" i="6" l="1"/>
  <c r="F39" i="6" l="1"/>
  <c r="G39" i="6" l="1"/>
  <c r="B45" i="6" l="1"/>
  <c r="H39" i="6"/>
  <c r="I39" i="6"/>
  <c r="D40" i="6" s="1"/>
  <c r="E40" i="6" l="1"/>
  <c r="F40" i="6"/>
  <c r="G40" i="6" s="1"/>
  <c r="H40" i="6" s="1"/>
  <c r="I40" i="6" l="1"/>
  <c r="D41" i="6" s="1"/>
  <c r="E41" i="6" l="1"/>
  <c r="F41" i="6" l="1"/>
  <c r="G41" i="6" l="1"/>
  <c r="H41" i="6" s="1"/>
  <c r="B46" i="6" s="1"/>
  <c r="B47" i="6" l="1"/>
  <c r="B29" i="4"/>
  <c r="I41" i="6"/>
  <c r="B48" i="6" s="1"/>
  <c r="B51" i="6" s="1"/>
</calcChain>
</file>

<file path=xl/sharedStrings.xml><?xml version="1.0" encoding="utf-8"?>
<sst xmlns="http://schemas.openxmlformats.org/spreadsheetml/2006/main" count="510" uniqueCount="449">
  <si>
    <t>Marco FIRE — Coast FIRE: il fabbisogno residuo (caso Matteo, 2026)</t>
  </si>
  <si>
    <t>Strumento informativo / divulgativo. NON è consulenza finanziaria. I valori sono indicativi al 2026 e vanno verificati col tuo consulente.</t>
  </si>
  <si>
    <t>Indice</t>
  </si>
  <si>
    <t>1-Input</t>
  </si>
  <si>
    <t>I 21 input del caso, stato abitativo compreso, e i derivati</t>
  </si>
  <si>
    <t>P-Parametri</t>
  </si>
  <si>
    <t>Parametri normativi e di fonte: aliquote, tassi di sostituzione RGS, ISTAT</t>
  </si>
  <si>
    <t>2-Cruscotto</t>
  </si>
  <si>
    <t>I due verdetti affiancati: il gap in banda e il fabbisogno residuo</t>
  </si>
  <si>
    <t>3-Griglia</t>
  </si>
  <si>
    <t>Capitale necessario oggi e gap, per tasso × anni mancanti</t>
  </si>
  <si>
    <t>4-Traiettoria</t>
  </si>
  <si>
    <t>Anno per anno: bollo, montante, dispersione, accumulazione contro distribuzione</t>
  </si>
  <si>
    <t>5-Caso</t>
  </si>
  <si>
    <t>Motore fiscale, le due chiusure sull'anzianita', il vincolo aritmetico</t>
  </si>
  <si>
    <t>6-Anticipata</t>
  </si>
  <si>
    <t>La soglia di importo della porta breve e la via della previdenza complementare</t>
  </si>
  <si>
    <t>7-Denominatori</t>
  </si>
  <si>
    <t>La spesa ISTAT, l'affitto figurativo e la spesa del caso: i due metri</t>
  </si>
  <si>
    <t>8-Fabbisogno</t>
  </si>
  <si>
    <t>Il capitale che serve davvero, la scala del taglio, i versamenti residui</t>
  </si>
  <si>
    <t>9-Ordine</t>
  </si>
  <si>
    <t>L'ordine dei rendimenti: riordinali e guarda il totale non muoversi</t>
  </si>
  <si>
    <t>Come usare</t>
  </si>
  <si>
    <t>1. Le celle GIALLE sono input — modificale coi tuoi numeri.</t>
  </si>
  <si>
    <t>2. Le celle VERDI sono output — si aggiornano automaticamente.</t>
  </si>
  <si>
    <t>3. Tutti i numeri di default sono al 2026 da fonti pubbliche.</t>
  </si>
  <si>
    <t>4. Niente codice nascosto: l'Excel è solo formule modificabili.</t>
  </si>
  <si>
    <t>Fonti dati</t>
  </si>
  <si>
    <t>• Ragioneria generale dello Stato, «Le tendenze di medio-lungo periodo del sistema pensionistico e socio-sanitario — Aggiornamento 2025», Rapporto n. 26, Capitolo 6: Tab. 6.1 p. 166 (tassi di sostituzione lordi, eta' e anzianita'), Tab. 6.3 p. 173 (netti), Tab. 6.2.a p. 168 (sensitivita'), p. 160 (eta' di ingresso e carriere discontinue)</t>
  </si>
  <si>
    <t>• IRPEF 2026 (23% / 33% / 43%) — L. 199/2025; detrazioni art. 13 TUIR c. 1, 1.1, 3 e 3-bis; ulteriore detrazione L. 207/2024 art. 1 c. 6</t>
  </si>
  <si>
    <t>• INPS, circolare n. 153 del 19/12/2025 e Allegato n. 2: assegno sociale 546,24 €/mese; importo soglia 2026 della pensione anticipata contributiva 1.638,72 €/mese (valori provvisori)</t>
  </si>
  <si>
    <t>• ISTAT, «Le spese per i consumi delle famiglie — Anno 2024», 7/10/2025, prospetto p. 15: persona sola 65 anni e piu' 1.794,07 €/mese; glossario, voce «Affitto figurativo» (componente NON monetaria)</t>
  </si>
  <si>
    <t>• Imposta di bollo 0,20% sul valore di mercato di fine anno — art. 13 c. 2-ter Tariffa Parte I, DPR 642/1972; esclusi i fondi pensione</t>
  </si>
  <si>
    <t>• Capital gain 26% — art. 3 c. 1 D.L. 66/2014; titoli di Stato 12,5%</t>
  </si>
  <si>
    <t>• Rendimenti reali lordi: azionario mondiale 5,2% (1900-2024, comunicato UBS 4/3/2025), USA 6,6% (1900-2025), Italia 2,1% (1900-2022); dev. std mondiale 17,4% — Dimson-Marsh-Staunton / UBS Global Investment Returns Yearbook</t>
  </si>
  <si>
    <t>• Premio azionario prospettico 3,0-3,5% geometrico sopra il cash reale — Dimson, Marsh e Staunton, «The Worldwide Equity Premium: A Smaller Puzzle», 2006, dati 1900-2005 [secondaria qualificata, claim datato]</t>
  </si>
  <si>
    <t>• Anarkulova, Cederburg, O'Doherty e Sias, JPEF 24(3), 2025: prelievo sicuro 2,31%</t>
  </si>
  <si>
    <t>Aggiornamenti: github.com/marcofire-it/marco-fire-simulatori</t>
  </si>
  <si>
    <t>Gli input del caso — cambia una cella gialla e tutti i verdi si muovono</t>
  </si>
  <si>
    <t>INPUT</t>
  </si>
  <si>
    <t>(1) Eta' attuale</t>
  </si>
  <si>
    <t>(2) Anno di nascita</t>
  </si>
  <si>
    <t>(3) Eta' di ingresso nel mercato del lavoro</t>
  </si>
  <si>
    <t>(4) Capitale investito oggi</t>
  </si>
  <si>
    <t>(5) Retribuzione lorda annua (RAL)</t>
  </si>
  <si>
    <t>(6) Obiettivo dichiarato</t>
  </si>
  <si>
    <t>(7) Rendimento reale NETTO del coast — menu 2,31 / 2,45 / 3,00 / 3,30 / 4,00 / 4,78 / 5,00 / 7,00%</t>
  </si>
  <si>
    <t>(8) Pavimento prudente (convenzione di canale)</t>
  </si>
  <si>
    <t>(9) STATO ABITATIVO — 1 = vive in AFFITTO (tutta la spesa e' cassa), 0 = casa di proprieta'</t>
  </si>
  <si>
    <t>(10) Se proprietario: quota della divisione abitazione che e' affitto figurativo</t>
  </si>
  <si>
    <t>(11) Chiusura sull'anzianita' — 1 = analista (carriera continua), 0 = RGS p. 160 (carriera discontinua)</t>
  </si>
  <si>
    <t>(12) Fattore di realismo sulla pensione (cursore 0-120%)</t>
  </si>
  <si>
    <t>(13) Convenzione di prelievo — 1 = coda fino a 92 anni, 0 = capitale intatto</t>
  </si>
  <si>
    <t>(14) Tasso reale di decumulo dopo la pensione (convenzione ereditata dal catalogo)</t>
  </si>
  <si>
    <t>(15) Crescita reale del PIL (rivaluta la soglia della porta breve)</t>
  </si>
  <si>
    <t>(16) Deviazione standard annua del portafoglio</t>
  </si>
  <si>
    <t>(17) Rendimento da dividendo (per il confronto accumulazione / distribuzione)</t>
  </si>
  <si>
    <t>(18) Aliquota di bollo applicata — 0,20% conto titoli / 0,00% fondo pensione</t>
  </si>
  <si>
    <t>(19) Spesa annua attesa alla pensione (euro di oggi, netta)</t>
  </si>
  <si>
    <t>(20) Porta di uscita — 1 = vecchiaia proiettata, 0 = anticipata contributiva</t>
  </si>
  <si>
    <t>(21) Per quanti anni versare, per chiudere il buco</t>
  </si>
  <si>
    <t>LO STATO ABITATIVO E' UNA VARIABILE OBBLIGATORIA DELLA SCHEDA-CASO, non un dettaglio. La spesa media ISTAT include gli affitti figurativi, che sono una componente NON MONETARIA: confrontarla con una pensione, che invece e' cassa, e' omogeneo solo se si dichiara come si vive. Nel caso di questo video Matteo VIVE IN AFFITTO, quindi la sua spesa e' tutta monetaria e il confronto e' diretto. Metti 0 e guarda il foglio 7: il denominatore si accorcia e la copertura sale.</t>
  </si>
  <si>
    <t>DERIVATI — nessuna costante, tutto ricalcolato</t>
  </si>
  <si>
    <t>Grandezza</t>
  </si>
  <si>
    <t>Valore</t>
  </si>
  <si>
    <t>Come si ottiene</t>
  </si>
  <si>
    <t>Rendimento reale LORDO implicito del coast</t>
  </si>
  <si>
    <t>si sceglie il netto, si deriva il lordo: i costi si tolgono una volta sola</t>
  </si>
  <si>
    <t>Rendimento reale LORDO implicito del pavimento</t>
  </si>
  <si>
    <t>Rendimento REALIZZATO netto dell'azionario mondiale (per guardare indietro)</t>
  </si>
  <si>
    <t>5,20% lordo 1900-2024, al netto di TER e bollo contati una volta sola</t>
  </si>
  <si>
    <t>Eta' dell'anticipata contributiva (vecchiaia - 3 anni + finestra di 3 mesi)</t>
  </si>
  <si>
    <t>Eta' di uscita selezionata</t>
  </si>
  <si>
    <t>Anni mancanti alla pensione (n del coast)</t>
  </si>
  <si>
    <t>Anzianita' contributiva all'uscita, con carriera continua</t>
  </si>
  <si>
    <t>Anzianita' della chiusura adottata</t>
  </si>
  <si>
    <t>con la chiusura RGS di p. 160 l'anzianita' tabellata non si tocca</t>
  </si>
  <si>
    <t>Coda di decumulo (dall'uscita all'eta' terminale)</t>
  </si>
  <si>
    <t>Anni di accumulo alle spalle (dall'ingresso a oggi)</t>
  </si>
  <si>
    <t>Anni mancanti sulla porta lunga / sulla porta breve</t>
  </si>
  <si>
    <t>CONVENZIONI DICHIARATE. Tutto e' in euro reali di oggi (inflazione di modello 2%) e al netto delle imposte, salvo dove e' scritto «lordo». I versamenti in accumulo entrano a FINE anno; il prelievo in decumulo e' ANTICIPATO (inizio anno). Il tasso di decumulo del 3,00% e' una CONVENZIONE ereditata dal catalogo e non e' netto secondo la disciplina dei costi applicata all'accumulo: la riga di stress al 2,45% e' nel foglio 8.</t>
  </si>
  <si>
    <t>IPOTESI DI MODELLO, DICHIARATA: la retribuzione lorda e' costante in EURO REALI dai 25 anni all'uscita. Il tasso di risparmio che ne discende e' un EQUIVALENTE COSTANTE, non il risparmio effettivo di ogni singolo anno. Una carriera crescente 28.000 -&gt; 44.000 abbassa il tasso di sostituzione e alza il tasso di risparmio dei primi anni: il foglio 5 mostra la sensibilita'.</t>
  </si>
  <si>
    <t>Parametri normativi e di fonte</t>
  </si>
  <si>
    <t>Le uniche costanti del modello, oltre agli input gialli del foglio 1, stanno qui. Tutti gli altri fogli le referenziano: non c'e' nessun valore incollato nelle celle verdi.</t>
  </si>
  <si>
    <t>IRPEF 2026 (L. 199/2025) e detrazioni — fotografia di oggi</t>
  </si>
  <si>
    <t>Primo scaglione — limite / aliquota</t>
  </si>
  <si>
    <t>Secondo scaglione — limite / aliquota</t>
  </si>
  <si>
    <t>Terzo scaglione — aliquota oltre il secondo limite</t>
  </si>
  <si>
    <t>Imposta cumulata fino al primo scaglione</t>
  </si>
  <si>
    <t>Imposta cumulata fino al secondo scaglione</t>
  </si>
  <si>
    <t>Addizionali regionali e comunali (ipotesi di canale)</t>
  </si>
  <si>
    <t>Detrazione lavoro dipendente — importo fino alla soglia bassa / soglia</t>
  </si>
  <si>
    <t>Detrazione lavoro 15.000-28.000 — base / incremento / ampiezza</t>
  </si>
  <si>
    <t>Detrazione lavoro 28.000-50.000 — base / ampiezza</t>
  </si>
  <si>
    <t>Detrazione art. 13 comma 1.1 — importo / da / a</t>
  </si>
  <si>
    <t>Ulteriore detrazione L. 207/2024 c. 6 — importo / soglia / plateau / azzeramento</t>
  </si>
  <si>
    <t>Detrazione da pensione — importo massimo / soglia bassa</t>
  </si>
  <si>
    <t>Detrazione da pensione 8.500-28.000 — base / incremento / ampiezza</t>
  </si>
  <si>
    <t>Detrazione da pensione 28.000-50.000 — base / ampiezza</t>
  </si>
  <si>
    <t>Detrazione art. 13 comma 3-bis — importo / da / a</t>
  </si>
  <si>
    <t>Contributi a carico del lavoratore</t>
  </si>
  <si>
    <t>Previdenza obbligatoria — PROIEZIONI RGS, non norme</t>
  </si>
  <si>
    <t>Tasso di sostituzione NETTO tabellato, vecchiaia 2060 (Tab. 6.3, p. 173)</t>
  </si>
  <si>
    <t>Tasso di sostituzione LORDO tabellato, vecchiaia 2060 (Tab. 6.1, p. 166)</t>
  </si>
  <si>
    <t>Anzianita' contributiva RGS della riga Vecchiaia (39 anni e 8 mesi)</t>
  </si>
  <si>
    <t>Tasso di sostituzione NETTO tabellato, anticipato 2060 (Tab. 6.3)</t>
  </si>
  <si>
    <t>Tasso di sostituzione LORDO tabellato, anticipato 2060 (Tab. 6.1)</t>
  </si>
  <si>
    <t>Anzianita' RGS della riga Pensionamento anticipato (36 anni e 11 mesi)</t>
  </si>
  <si>
    <t>Eta' di vecchiaia proiettata per la coorte (69 anni e 8 mesi)</t>
  </si>
  <si>
    <t>Anticipata contributiva — anni sotto la vecchiaia / finestra (anni)</t>
  </si>
  <si>
    <t>Assegno sociale 2026 (€/mese, valore provvisorio)</t>
  </si>
  <si>
    <t>Soglia di importo — moltiplicatore fino al 2029 / dal 2030 / anno del salto</t>
  </si>
  <si>
    <t>Mensilita' della pensione ai fini della soglia di importo</t>
  </si>
  <si>
    <t>Via della previdenza complementare — anni di contributi in piu' dal 2025 / dal 2030</t>
  </si>
  <si>
    <t>Requisito della pensione anticipata ordinaria al 2060 (45 anni e 9 mesi)</t>
  </si>
  <si>
    <t>Fiscalita' finanziaria e costi</t>
  </si>
  <si>
    <t>Imposta sostitutiva sulle plusvalenze</t>
  </si>
  <si>
    <t>Imposta di bollo — aliquota ordinaria</t>
  </si>
  <si>
    <t>TER dell'ETF azionario globale (ipotesi di canale)</t>
  </si>
  <si>
    <t>Mercato — rendimenti REALI LORDI, con la finestra dichiarata</t>
  </si>
  <si>
    <t>Azionario mondiale, storico realizzato 1900-2024</t>
  </si>
  <si>
    <t>Azionario USA, storico realizzato 1900-2025</t>
  </si>
  <si>
    <t>Azionario Italia, storico realizzato 1900-2022</t>
  </si>
  <si>
    <t>Premio azionario prospettico geometrico — minimo / massimo</t>
  </si>
  <si>
    <t>Cash reale atteso</t>
  </si>
  <si>
    <t>Deviazione standard annua dell'azionario mondiale</t>
  </si>
  <si>
    <t>Quantile della banda al 90% (z)</t>
  </si>
  <si>
    <t>Prelievo sicuro Anarkulova et al. 2025 (riga di stress)</t>
  </si>
  <si>
    <t>ISTAT — spese per consumi 2024 (pubblicate il 7/10/2025)</t>
  </si>
  <si>
    <t>Persona sola 65 anni e piu' (€/mese)</t>
  </si>
  <si>
    <t>Peso della divisione «Abitazione, acqua, elettricita', gas» sulla spesa</t>
  </si>
  <si>
    <t>Persona sola 35-64 anni (€/mese)</t>
  </si>
  <si>
    <t>Media di tutte le famiglie (€/mese)</t>
  </si>
  <si>
    <t>Convenzioni del caso e parametri della dimostrazione</t>
  </si>
  <si>
    <t>Eta' terminale del decumulo (convenzione di canale)</t>
  </si>
  <si>
    <t>Tasso di decumulo della riga di stress</t>
  </si>
  <si>
    <t>Dimostrazione dell'ordine — crollo 1 / crollo 2 / rendimento degli altri anni</t>
  </si>
  <si>
    <t>Dimostrazione dell'ordine — numero di anni</t>
  </si>
  <si>
    <t>Ordine A — anni dei due crolli</t>
  </si>
  <si>
    <t>Ordine B — anni dei due crolli</t>
  </si>
  <si>
    <t>Ordine C — anni dei due crolli</t>
  </si>
  <si>
    <t>Contro-esempio con prelievi — capitale / prelievo / anni / rendimento</t>
  </si>
  <si>
    <t>Anno di riferimento del modello</t>
  </si>
  <si>
    <t>REFRESH GENNAIO 2027 — OBBLIGATORIO. I coefficienti di trasformazione e le tabelle che li incorporano sono quelli del DM 20/11/2024, validi per il biennio 2025-2026: vanno rifatti alla pubblicazione del decreto successivo, e con essi i tassi di sostituzione qui riportati.</t>
  </si>
  <si>
    <t>I REQUISITI OLTRE IL 2026 SONO PROIEZIONI DELLA RAGIONERIA GENERALE DELLO STATO, NON NORME. Il quadro vigente si ferma a 67 anni nel 2026, 67 e un mese nel 2027, 67 e tre mesi dal 2028 (L. 199/2025 art. 1 c. 185). I 69 anni e 8 mesi e i 66 anni e 11 mesi di questo foglio sono proiezioni per coorte e possono cambiare a ogni legge di bilancio.</t>
  </si>
  <si>
    <t>LA FISCALITA' E' UNA FOTOGRAFIA DEL 2026, NON UN REGIME STABILE. Il D.Lgs. 117/2026 (entrata in vigore 4/7/2026) RICODIFICA il TUIR: l'art. 377 fissa la decorrenza degli effetti al 1° gennaio 2027 e l'art. 376 c. 1 abroga da quella data gli artt. 1-191 del TUIR, ma il c. 2 porta la clausola di continuita' — i rinvii alle norme abrogate valgono verso il testo unico. E' RICODIFICAZIONE, NON SOPPRESSIONE. Per tutto il 2026 valgono le norme qui riportate.</t>
  </si>
  <si>
    <t>Le due righe della RGS non descrivono la stessa persona. La riga «Vecchiaia» e' dichiarata dalla fonte (p. 160-161) per quella parte di lavoratori che accede al pensionamento piu' tardi «in quanto non in condizione di usufruire dei canali di pensionamento anticipato»; la riga «Pensionamento anticipato» e' costruita ipotizzando in deroga un reddito sufficiente a superare la soglia di importo. Qui la vecchiaia e' usata come caso di pianificazione perche' e' il requisito che si matura comunque.</t>
  </si>
  <si>
    <t>L'assegno sociale di 546,24 €/mese e l'importo soglia di 1.638,72 €/mese vengono dall'Allegato n. 2 alla circolare INPS 153/2025, che li marca come VALORI PROVVISORI.</t>
  </si>
  <si>
    <t>I due verdetti, affiancati</t>
  </si>
  <si>
    <t>VERDETTO A — sul numero che si e' dato</t>
  </si>
  <si>
    <t>Capitale necessario oggi, al tasso del coast e sulla porta lunga</t>
  </si>
  <si>
    <t>Capitale attuale</t>
  </si>
  <si>
    <t>IL GAP, al tasso del coast e sulla porta lunga</t>
  </si>
  <si>
    <t>Il gap in percentuale di quel che servirebbe</t>
  </si>
  <si>
    <t>LA BANDA DEL GAP — dal minimo al massimo delle quattro letture</t>
  </si>
  <si>
    <t>La lettura al pavimento prudente, porta lunga</t>
  </si>
  <si>
    <t>il gap non va mai detto senza il tasso accanto: e' una banda, non un numero</t>
  </si>
  <si>
    <t>Tasso di pareggio, porta lunga / porta breve</t>
  </si>
  <si>
    <t>Rendimento reale netto storico dell'azionario mondiale</t>
  </si>
  <si>
    <t>Versamento annuo per chiudere il buco, sul numero di anni scelto</t>
  </si>
  <si>
    <t>VERDETTO A</t>
  </si>
  <si>
    <t>VERDETTO B — sul fabbisogno che resta dopo la pensione</t>
  </si>
  <si>
    <t>Pensione netta proiettata, chiusura adottata</t>
  </si>
  <si>
    <t>La stessa, al mese</t>
  </si>
  <si>
    <t>Spesa del caso, €/anno e €/mese</t>
  </si>
  <si>
    <t>COPERTURA DELLA PENSIONE SULLA SPESA DEL CASO</t>
  </si>
  <si>
    <t>il denominatore e' un dato del caso, non un aggregato nazionale</t>
  </si>
  <si>
    <t>Copertura sulla spesa media ISTAT — banda, dal basso all'alto</t>
  </si>
  <si>
    <t>Capitale coast necessario oggi per la spesa attesa del foglio 1</t>
  </si>
  <si>
    <t>Il capitale attuale copre il fabbisogno residuo?</t>
  </si>
  <si>
    <t>Semaforo — copre al tasso del coast, al pavimento e allo stress?</t>
  </si>
  <si>
    <t>IL MONTANTE, E QUANTO COSTA TENERLO FERMO</t>
  </si>
  <si>
    <t>Montante alla pensione, coast puro</t>
  </si>
  <si>
    <t>Montante al pavimento prudente</t>
  </si>
  <si>
    <t>Bollo cumulato su tutto l'orizzonte</t>
  </si>
  <si>
    <t>Bollo del primo anno</t>
  </si>
  <si>
    <t>Banda al 90% del rendimento annualizzato (pavimento) — basso / alto</t>
  </si>
  <si>
    <t>L'ordine dei rendimenti conta? Scarto fra i tre ordini</t>
  </si>
  <si>
    <t>COME LEGGERE QUESTO FOGLIO. Il verdetto A e il verdetto B rispondono a due domande diverse. Il primo dice se il capitale basta all'obiettivo che il risparmiatore si e' dato; il secondo dice quanto capitale serve DAVVERO, cioe' oltre a cio' che gia' esiste — e cio' che gia' esiste, in Italia, e' una pensione pubblica obbligatoria che nessun calcolatore americano mette nel conto. La pensione e' la ragione per cui il numero da raggiungere e' molto piu' piccolo di quello dei calcolatori, non la ragione per cui non serve raggiungerlo.</t>
  </si>
  <si>
    <t>Ogni numero di questo foglio e' una formula che ricalcola dagli input gialli del foglio 1 e dai parametri del foglio P. Cambia lo stato abitativo, la chiusura sull'anzianita', il tasso o l'eta' di ingresso e guarda dove va il verdetto: e' il modo per vedere quanta parte del risultato e' un dato e quanta e' un'ipotesi.</t>
  </si>
  <si>
    <t>Capitale necessario oggi, e il gap: tasso × anni mancanti</t>
  </si>
  <si>
    <t>GRIGLIA A — capitale necessario oggi per l'obiettivo dichiarato</t>
  </si>
  <si>
    <t>Rendimento reale netto \ anni mancanti</t>
  </si>
  <si>
    <t>10</t>
  </si>
  <si>
    <t>20</t>
  </si>
  <si>
    <t>25</t>
  </si>
  <si>
    <t>porta breve</t>
  </si>
  <si>
    <t>32 (il draft)</t>
  </si>
  <si>
    <t>porta lunga</t>
  </si>
  <si>
    <t>35</t>
  </si>
  <si>
    <t>Nota</t>
  </si>
  <si>
    <t>2,31% — prelievo sicuro Anarkulova (stress)</t>
  </si>
  <si>
    <t>3,00% — pavimento prudente, convenzione di canale</t>
  </si>
  <si>
    <t>3,30% — IL TASSO DEL COAST (100% azionario globale)</t>
  </si>
  <si>
    <t>4,00%</t>
  </si>
  <si>
    <t>4,78% — storico realizzato mondiale, al netto</t>
  </si>
  <si>
    <t>5,00% — il «prudente» dei calcolatori</t>
  </si>
  <si>
    <t>7,00% — l'«ottimista» dei calcolatori</t>
  </si>
  <si>
    <t>Le colonne «porta breve» e «porta lunga» sono la banda dell'orizzonte: per chi ha 35 anni oggi nessuna delle due porte e' a 67 anni.</t>
  </si>
  <si>
    <t>GRIGLIA B — il gap: quanto manca al capitale di oggi</t>
  </si>
  <si>
    <t>GRIGLIA C — il gap in percentuale del capitale che servirebbe</t>
  </si>
  <si>
    <t>LA BANDA DEL GAP, E IL TASSO DI PAREGGIO</t>
  </si>
  <si>
    <t>Gap al tasso del coast, porta lunga</t>
  </si>
  <si>
    <t>Gap al pavimento prudente, porta lunga</t>
  </si>
  <si>
    <t>Gap al tasso del coast, porta breve</t>
  </si>
  <si>
    <t>Gap al pavimento prudente, porta breve</t>
  </si>
  <si>
    <t>LA BANDA DEL GAP — minimo / massimo</t>
  </si>
  <si>
    <t>Tasso di pareggio sulla porta lunga (senza versare piu' nulla)</t>
  </si>
  <si>
    <t>Tasso di pareggio sulla porta breve</t>
  </si>
  <si>
    <t>Rendimento reale netto storico dell'azionario mondiale, per confronto</t>
  </si>
  <si>
    <t>Margine sulla porta lunga / sulla porta breve, in punti base</t>
  </si>
  <si>
    <t>Premio azionario lordo implicito nel tasso del coast</t>
  </si>
  <si>
    <t>Premio implicito nel 5% / nel 7% dei calcolatori</t>
  </si>
  <si>
    <t>Quante volte la stima prospettica massima</t>
  </si>
  <si>
    <t>Il tasso di pareggio sulla porta breve e il rendimento storico netto dell'azionario mondiale sono praticamente identici — e quel secondo numero dipende dal TER che si assume, che qui e' un'ipotesi di canale dichiarata: cambiando il TER la vicinanza si sposta. Il confronto resta forte per quello che dice: servirebbe il rendimento del miglior secolo azionario documentato, senza margine.</t>
  </si>
  <si>
    <t>Anno per anno: quanto costa tenere fermo il capitale</t>
  </si>
  <si>
    <t>TRAIETTORIA DEL COAST PURO — nessun versamento, nessun prelievo</t>
  </si>
  <si>
    <t>Anno</t>
  </si>
  <si>
    <t>Eta'</t>
  </si>
  <si>
    <t>Quota di anno</t>
  </si>
  <si>
    <t>Patrimonio a inizio anno</t>
  </si>
  <si>
    <t>Rendimento lordo</t>
  </si>
  <si>
    <t>Costo TER</t>
  </si>
  <si>
    <t>Bollo dell'anno</t>
  </si>
  <si>
    <t>Bollo cumulato</t>
  </si>
  <si>
    <t>Patrimonio a fine anno</t>
  </si>
  <si>
    <t>IL COSTO DEL BOLLO</t>
  </si>
  <si>
    <t>Bollo del trentaquattresimo anno</t>
  </si>
  <si>
    <t>BOLLO CUMULATO su tutto l'orizzonte</t>
  </si>
  <si>
    <t>Bollo cumulato in % del capitale iniziale</t>
  </si>
  <si>
    <t>MONTANTE ALLA PENSIONE (coast puro)</t>
  </si>
  <si>
    <t>Controprova in forma chiusa: capitale × (1 + tasso netto)^n</t>
  </si>
  <si>
    <t>Montante se il bollo non fosse dovuto (fondo pensione)</t>
  </si>
  <si>
    <t>Quanto vale l'esclusione dei fondi pensione dal bollo, su questo orizzonte</t>
  </si>
  <si>
    <t>Capitale in piu' che il bollo richiede OGGI, per lo stesso obiettivo</t>
  </si>
  <si>
    <t>Lo stesso, in percentuale</t>
  </si>
  <si>
    <t>L'imposta di bollo non e' statica: si paga sul valore di fine anno, quindi cresce col montante. La norma esclude espressamente i fondi pensione e i fondi sanitari.</t>
  </si>
  <si>
    <t>LA DISPERSIONE — modello illustrativo, non probabilistico</t>
  </si>
  <si>
    <t>Mediana del montante (al tasso del coast)</t>
  </si>
  <si>
    <t>Mediana del montante (al pavimento prudente)</t>
  </si>
  <si>
    <t>Rendimento annualizzato — estremo basso della banda al 90% (pavimento)</t>
  </si>
  <si>
    <t>Rendimento annualizzato — estremo alto della banda al 90% (pavimento)</t>
  </si>
  <si>
    <t>Larghezza della forchetta, in punti percentuali</t>
  </si>
  <si>
    <t>Quinto percentile del montante (pavimento)</t>
  </si>
  <si>
    <t>Novantacinquesimo percentile del montante (pavimento)</t>
  </si>
  <si>
    <t>Banda al 90% del rendimento annualizzato al tasso del coast</t>
  </si>
  <si>
    <t>MODELLO I.I.D., ILLUSTRATIVO E NON PROBABILISTICO. Sovrastima la dispersione perche' ignora il ritorno alla media, e la sottostima sul lato valutario perche' la deviazione standard usata e' quella di un indice mondiale in dollari. Il tasso centrale non e' una previsione: e' il centro di una forchetta larga dieci punti.</t>
  </si>
  <si>
    <t>ACCUMULAZIONE CONTRO DISTRIBUZIONE — il costo analitico</t>
  </si>
  <si>
    <t>Rendimento da dividendo assunto</t>
  </si>
  <si>
    <t>COSTO ANNUO DELLA DISTRIBUZIONE = imposta × rendimento da dividendo</t>
  </si>
  <si>
    <t>In quota del rendimento reale netto del coast</t>
  </si>
  <si>
    <t>Uno su quanto del rendimento</t>
  </si>
  <si>
    <t>Il costo annuo della distribuzione e' una grandezza ANALITICA ed esatta: l'imposta sostitutiva applicata al rendimento da dividendo. Il montante differenziale, invece, dipende dal rendimento da dividendo assunto, che e' un'ipotesi: per questo il numero che vale e' quello analitico.</t>
  </si>
  <si>
    <t>Il caso: dal lordo al netto, la pensione in due chiusure, il vincolo aritmetico</t>
  </si>
  <si>
    <t>IL MOTORE FISCALE — dalla RAL al netto (IRPEF 2026)</t>
  </si>
  <si>
    <t>Retribuzione lorda annua</t>
  </si>
  <si>
    <t>Imponibile IRPEF</t>
  </si>
  <si>
    <t>IRPEF lorda</t>
  </si>
  <si>
    <t>Detrazione per lavoro dipendente (art. 13 c. 1)</t>
  </si>
  <si>
    <t>Detrazione art. 13 c. 1.1 (+65 € fra 25.000 e 35.000)</t>
  </si>
  <si>
    <t>Ulteriore detrazione L. 207/2024 c. 6</t>
  </si>
  <si>
    <t>IRPEF netta</t>
  </si>
  <si>
    <t>Addizionali (non dovute se l'IRPEF netta e' zero)</t>
  </si>
  <si>
    <t>NETTO ANNUO</t>
  </si>
  <si>
    <t>Netto mensile</t>
  </si>
  <si>
    <t>LA PENSIONE — DUE CHIUSURE SULL'ANZIANITA', ENTRAMBE COMPATIBILI CON LA FONTE</t>
  </si>
  <si>
    <t>Chiusura sull'anzianita'</t>
  </si>
  <si>
    <t>Anzianita' all'uscita</t>
  </si>
  <si>
    <t>Tasso di sostituzione netto</t>
  </si>
  <si>
    <t>Pensione netta €/anno</t>
  </si>
  <si>
    <t>€/mese</t>
  </si>
  <si>
    <t>Copertura della spesa ISTAT</t>
  </si>
  <si>
    <t>Copertura della spesa del caso</t>
  </si>
  <si>
    <t>ADOTTATA (input 11)</t>
  </si>
  <si>
    <t>Le quattro chiusure a confronto — la banda del verdetto B</t>
  </si>
  <si>
    <t>1) Analista — ingresso a 25, carriera continua, scalatura lineare dell'anzianita' (la scalatura e' dell'analista, non della Ragioneria)</t>
  </si>
  <si>
    <t>2) RGS p. 160 — ingresso a 25 con CARRIERA DISCONTINUA e perdita di contribuzione: l'anzianita' tabellata di 39 anni e 8 mesi non si tocca, e nemmeno il tasso di sostituzione</t>
  </si>
  <si>
    <t>3) Controprova lordo -&gt; netto: il netto che il regime fiscale di oggi produrrebbe sulla pensione lorda scalata</t>
  </si>
  <si>
    <t>4) Ingresso a 22 anni, carriera continua (l'estremo alto)</t>
  </si>
  <si>
    <t>L'ANZIANITA' CONTRIBUTIVA E' UN'IPOTESI, NON UN DATO. La Ragioneria, a p. 160, scrive che «eta' di ingresso inferiori sono compatibili con i calcoli rappresentati nella misura in cui si assumono carriere discontinue con perdita di contribuzione corrispondente al periodo di anticipo»: un ingresso a 25 anni con cinque anni di contribuzione persa sta GIA' DENTRO le tabelle, con l'anzianita' di 39 anni e 8 mesi e il tasso di sostituzione netto tabellato non toccato. La riga 1 e la riga 2 sono entrambe autorizzate dalla fonte, e producono da sole tutta la larghezza della banda.</t>
  </si>
  <si>
    <t>CONTROPROVA LORDO -&gt; NETTO SULLA PENSIONE</t>
  </si>
  <si>
    <t>Tasso di sostituzione LORDO scalato</t>
  </si>
  <si>
    <t>Pensione lorda annua</t>
  </si>
  <si>
    <t>IRPEF lorda sulla pensione</t>
  </si>
  <si>
    <t>Detrazione per redditi di pensione (art. 13 c. 3 e 3-bis)</t>
  </si>
  <si>
    <t>NETTO della pensione per via fiscale diretta</t>
  </si>
  <si>
    <t>Scarto rispetto al metodo adottato (netto di oggi × TS netto scalato)</t>
  </si>
  <si>
    <t>Pensione LORDA mensile della porta breve, su 13 mensilita'</t>
  </si>
  <si>
    <t>Il modello CONGELA GLI SCAGLIONI IRPEF in euro reali fino al 2060, che e' esattamente l'ipotesi che la Ragioneria dichiara di aver evitato costruendo i coefficienti di raccordo netto/lordo. La controprova qui sopra e' quindi un risultato di QUESTO modello — il netto che il regime fiscale di oggi produrrebbe su quella pensione — e non una conferma della fonte.</t>
  </si>
  <si>
    <t>COERENZA DEL CASO — IL VINCOLO ARITMETICO  180.000 = R × s(35 − i; rho)</t>
  </si>
  <si>
    <t>Eta' di ingresso, capitale a 35 anni e tasso di risparmio non sono tre scelte indipendenti: sono tre facce della stessa equazione. Fissati due qualsiasi, il terzo e' determinato. E l'eta' di ingresso decide anche la pensione, perche' fissa l'anzianita' contributiva. L'accumulo e' un fatto passato: il tasso con cui lo si ricostruisce e' quello REALIZZATO, non quello prospettico.</t>
  </si>
  <si>
    <t>Eta' di ingresso</t>
  </si>
  <si>
    <t>Anni di accumulo</t>
  </si>
  <si>
    <t>R richiesto @ pavimento</t>
  </si>
  <si>
    <t>in % del netto</t>
  </si>
  <si>
    <t>R richiesto @ realizzato</t>
  </si>
  <si>
    <t>Anzianita' a 69a8m</t>
  </si>
  <si>
    <t>TS netto scalato</t>
  </si>
  <si>
    <t>Il caso esiste?</t>
  </si>
  <si>
    <t>Con ingresso a 30 anni — l'ipotesi con cui la Ragioneria costruisce i suoi tassi di sostituzione — il risparmio richiesto supera il netto: quel caso NON ESISTE. E' la ragione per cui l'eta' di ingresso di questo caso e' 25. Nota che l'aritmetica esclude 28 e 30, non 22, 23 e 24, che darebbero tassi di risparmio piu' bassi: la ragione che seleziona il 25 e' che a 22 si aprirebbe una terza porta — la pensione anticipata ordinaria, che al 2060 chiede 45 anni e 9 mesi — e questo caso non la tratta. E' una ragione editoriale, ed e' dichiarata come tale.</t>
  </si>
  <si>
    <t>LA CHIUSURA ADOTTATA</t>
  </si>
  <si>
    <t>Eta' di ingresso adottata</t>
  </si>
  <si>
    <t>Risparmio reale annuo equivalente richiesto dal vincolo</t>
  </si>
  <si>
    <t>Tasso di risparmio implicito, in % del netto</t>
  </si>
  <si>
    <t>SPESA DEL CASO (netto meno risparmio), €/anno</t>
  </si>
  <si>
    <t>Spesa del caso, €/mese</t>
  </si>
  <si>
    <t>Eta' a cui matura la pensione anticipata ordinaria (terza porta)</t>
  </si>
  <si>
    <t>La terza porta si apre prima della vecchiaia?</t>
  </si>
  <si>
    <t>Il tasso di risparmio qui sopra e' un EQUIVALENTE COSTANTE in euro reali, non il risparmio effettivo di ciascun anno. Con una carriera realmente crescente il profilo sarebbe piu' pesante all'inizio: con una RAL che sale da 28.000 a 44.000 nei dieci anni, lo stesso risparmio pesa quasi due terzi del netto a 25 anni. La Tab. 6.2.a della Ragioneria mostra inoltre che il tasso di sostituzione e' piu' sensibile alla DINAMICA RETRIBUTIVA (±5 punti) che all'anzianita' (±3 punti): una carriera piatta lo alza, una carriera veloce lo abbassa.</t>
  </si>
  <si>
    <t>La porta breve: la soglia di importo dell'anticipata contributiva</t>
  </si>
  <si>
    <t>IL TEST DI IMPORTO</t>
  </si>
  <si>
    <t>Eta' della porta breve (vecchiaia meno tre anni, piu' la finestra)</t>
  </si>
  <si>
    <t>Anno di decorrenza</t>
  </si>
  <si>
    <t>Anzianita' contributiva alla porta breve</t>
  </si>
  <si>
    <t>Tasso di sostituzione LORDO scalato sull'anticipata</t>
  </si>
  <si>
    <t>Pensione lorda annua della porta breve</t>
  </si>
  <si>
    <t>Pensione lorda mensile, su 13 mensilita'</t>
  </si>
  <si>
    <t>Soglia 2026 = moltiplicatore attuale × assegno sociale</t>
  </si>
  <si>
    <t>Soglia in euro di oggi dopo il salto del moltiplicatore</t>
  </si>
  <si>
    <t>Anni di indicizzazione dalla base al pensionamento</t>
  </si>
  <si>
    <t>SOGLIA PROIETTATA all'anno di decorrenza</t>
  </si>
  <si>
    <t>Margine della pensione sulla soglia</t>
  </si>
  <si>
    <t>Semaforo</t>
  </si>
  <si>
    <t>PUNTO DI INDIFFERENZA sulla crescita reale del PIL</t>
  </si>
  <si>
    <t>La soglia si indicizza sulla media mobile quinquennale del tasso di crescita del PIL, senza sospensioni: si rivaluta anche fra il 2026 e l'anno del salto, e il salto del moltiplicatore e' un fattore che si somma all'indicizzazione, non la sostituisce. Ipotesi dichiarata: l'indicizzazione e' letta come REALE, coerentemente col fatto che tutto il modello e' in euro reali. Se fosse nominale, la soglia crescerebbe di piu' e la porta si chiuderebbe prima.</t>
  </si>
  <si>
    <t>LA SCALA DELLA CRESCITA DEL PIL</t>
  </si>
  <si>
    <t>Crescita reale del PIL</t>
  </si>
  <si>
    <t>Soglia proiettata (euro di oggi)</t>
  </si>
  <si>
    <t>Pensione lorda mensile</t>
  </si>
  <si>
    <t>Esito</t>
  </si>
  <si>
    <t>LA SECONDA VIA PER SUPERARE LA SOGLIA</t>
  </si>
  <si>
    <t>Rendita annua da previdenza complementare che si vuole computare</t>
  </si>
  <si>
    <t>Rendita mensile, su 13 mensilita'</t>
  </si>
  <si>
    <t>Pensione mensile computata, con la rendita</t>
  </si>
  <si>
    <t>Requisito contributivo maggiorato richiesto da questa via</t>
  </si>
  <si>
    <t>Anzianita' del caso alla porta breve — soddisfa il requisito maggiorato?</t>
  </si>
  <si>
    <t>Con la rendita computata, la porta breve si apre?</t>
  </si>
  <si>
    <t>La fonte descrive una seconda via: la rendita maturata nella previdenza complementare puo' essere computata per raggiungere la soglia di importo minimo. E' subordinata a un incremento del requisito contributivo minimo di cinque anni dal 2025 e di altri cinque dal 2030, e al DIVIETO DI CUMULO fra pensione e reddito da lavoro. Nel caso di questo video il capitale sta in ETF e non in un fondo pensione, quindi questa via non si applica: la cella gialla e' zero. Un fondo pensione non fa risparmiare soltanto lo 0,20% l'anno di bollo — la sua rendita puo' contare per aprire la porta breve.</t>
  </si>
  <si>
    <t>I requisiti e le soglie oltre il 2026 sono PROIEZIONI della Ragioneria generale dello Stato, non norme in vigore. Il moltiplicatore della soglia si e' gia' mosso una volta: assumere che resti fermo per trent'anni e' un'ipotesi, non un dato.</t>
  </si>
  <si>
    <t>Due denominatori, non uno: la spesa ISTAT e la spesa del caso</t>
  </si>
  <si>
    <t>IL DENOMINATORE ISTAT, E QUANTO DI ESSO E' DAVVERO CASSA</t>
  </si>
  <si>
    <t>Spesa media mensile — persona sola 65 anni e piu' (come pubblicata)</t>
  </si>
  <si>
    <t>La stessa, su base annua</t>
  </si>
  <si>
    <t>Peso della divisione «Abitazione, acqua, elettricita', gas»</t>
  </si>
  <si>
    <t>La divisione abitazione, in euro al mese</t>
  </si>
  <si>
    <t>Quota della divisione che e' affitto figurativo (non monetaria)</t>
  </si>
  <si>
    <t>Componente NON MONETARIA, in euro al mese</t>
  </si>
  <si>
    <t>Stato abitativo del caso</t>
  </si>
  <si>
    <t>DENOMINATORE IN CASSA, €/anno</t>
  </si>
  <si>
    <t>Denominatore in cassa, €/mese</t>
  </si>
  <si>
    <t>L'aggregato ISTAT «spesa media mensile per consumi» INCLUDE GLI AFFITTI FIGURATIVI. Glossario del report: «e' una componente non monetaria della spesa per consumi delle famiglie che vivono in abitazione di proprieta', usufrutto o in uso gratuito [...]; rappresenta il costo che queste dovrebbero sostenere per prendere in affitto un'unita' abitativa con caratteristiche identiche a quella in cui vivono». Chi ha la casa pagata NON spende in cassa quella cifra. Confrontare una pensione — che e' cassa — con questo aggregato e' omogeneo SOLO se si dichiara lo stato abitativo. Nel caso di questo video lo stato abitativo e' l'affitto, quindi il confronto e' diretto e la riga 10 vale zero.</t>
  </si>
  <si>
    <t>LA SENSIBILITA' ALLO STATO ABITATIVO</t>
  </si>
  <si>
    <t>Ipotesi sulla componente non monetaria</t>
  </si>
  <si>
    <t>Spesa in cassa €/mese</t>
  </si>
  <si>
    <t>Spesa in cassa €/anno</t>
  </si>
  <si>
    <t>Copertura della pensione adottata</t>
  </si>
  <si>
    <t>Vive in affitto: nessuna componente non monetaria</t>
  </si>
  <si>
    <t>Proprietario, meta' della divisione abitazione</t>
  </si>
  <si>
    <t>Proprietario, due terzi della divisione abitazione</t>
  </si>
  <si>
    <t>I DUE METRI, AFFIANCATI</t>
  </si>
  <si>
    <t>Denominatore</t>
  </si>
  <si>
    <t>€/anno</t>
  </si>
  <si>
    <t>Che cosa misura</t>
  </si>
  <si>
    <t>Spesa media ISTAT, persona sola 65 anni e piu'</t>
  </si>
  <si>
    <t>un aggregato nazionale, che comprende una componente non monetaria</t>
  </si>
  <si>
    <t>Spesa ISTAT depurata della componente non monetaria</t>
  </si>
  <si>
    <t>lo stesso aggregato, ridotto a cio' che esce davvero dal conto</t>
  </si>
  <si>
    <t>SPESA DEL CASO — il tenore di vita che questa persona ha oggi</t>
  </si>
  <si>
    <t>un dato del caso, non un aggregato: e' il denominatore piu' verificabile</t>
  </si>
  <si>
    <t>LA BANDA DELLA COPERTURA SULLA SPESA ISTAT — le chiusure nominate</t>
  </si>
  <si>
    <t>Chiusura</t>
  </si>
  <si>
    <t>RGS p. 160 — ingresso a 25 con carriera discontinua (estremo basso)</t>
  </si>
  <si>
    <t>Analista — ingresso a 25 con carriera continua e scalatura lineare</t>
  </si>
  <si>
    <t>Controprova lordo -&gt; netto col regime fiscale di oggi (estremo alto)</t>
  </si>
  <si>
    <t>BANDA — estremo basso / estremo alto</t>
  </si>
  <si>
    <t>Larghezza della banda, in punti percentuali</t>
  </si>
  <si>
    <t>La copertura della spesa ISTAT non e' un numero: e' una banda, e la sua larghezza e' prodotta per intero da una scelta sull'anzianita' che la fonte lascia aperta. All'estremo basso la pensione copre quella spesa per un pelo. Questo e' il motivo per cui il denominatore che conta e' quello della riga 26: la spesa del caso e' un dato verificabile, l'aggregato nazionale misura un'altra cosa.</t>
  </si>
  <si>
    <t>QUELLO CHE QUESTO NON VUOL DIRE. Non vuol dire che la pensione basti e che il capitale sia facoltativo. La spesa del caso e' il tenore di un risparmiatore che mette via quasi meta' dello stipendio, non quello che vorra' a settant'anni; ed e' una proiezione al 2060 su parametri che si toccano a ogni legge di bilancio. Vuol dire un'altra cosa: la pensione pubblica e' la ragione per cui il numero da raggiungere e' molto piu' piccolo di quello che propongono i calcolatori americani — non la ragione per cui non serve raggiungerlo.</t>
  </si>
  <si>
    <t>Il capitale che serve davvero: il fabbisogno RESIDUO dopo la pensione</t>
  </si>
  <si>
    <t>LE GRANDEZZE DEL DECUMULO</t>
  </si>
  <si>
    <t>Fattore di rendita anticipata sulla coda</t>
  </si>
  <si>
    <t>Plusvalenza latente di un capitale accumulato da zero base (floor a zero)</t>
  </si>
  <si>
    <t>La stessa latente, letta al pavimento prudente</t>
  </si>
  <si>
    <t>Fattore di lordizzazione del prelievo</t>
  </si>
  <si>
    <t>Il fattore di lordizzazione al pavimento prudente</t>
  </si>
  <si>
    <t>LA LATENTE E' DERIVATA, NON POSTULATA, ed e' invariante di scala: per un capitale che cresce da una base di costo iniziale senza altri versamenti vale 1 − (1+r)^−n, quindi non dipende da quanto capitale si mette. Il FLOOR A ZERO e' dichiarato: una latente negativa non ha significato fiscale qui, e il fattore di lordizzazione non puo' scendere sotto 1. Il prelievo LORDO montante × tasso non e' spendibile: contiene l'imposta sostitutiva sulla plusvalenza.</t>
  </si>
  <si>
    <t>IL CAPITALE COAST NECESSARIO OGGI, AL NETTO DELLA PENSIONE</t>
  </si>
  <si>
    <t>Spesa annua attesa alla pensione</t>
  </si>
  <si>
    <t>Fabbisogno residuo dopo la pensione</t>
  </si>
  <si>
    <t>Capitale necessario all'uscita, al pavimento prudente</t>
  </si>
  <si>
    <t>CAPITALE NECESSARIO OGGI, al pavimento prudente</t>
  </si>
  <si>
    <t>Capitale necessario oggi, al tasso del coast</t>
  </si>
  <si>
    <t>Il capitale attuale copre?</t>
  </si>
  <si>
    <t>LA COLONNA D E' LA LETTURA AL PAVIMENTO PRUDENTE, ed e' la convenzione con cui il dossier costruisce questa tabella: il fabbisogno residuo si sconta al 3,00%, non al tasso del coast. La colonna E porta la lettura al tasso del coast, che e' piu' favorevole di circa il nove per cento. Le due letture vanno sempre insieme: un fabbisogno residuo senza il tasso accanto non e' un numero.</t>
  </si>
  <si>
    <t>COSA SOSTIENE IL CAPITALE, CON LA PENSIONE CONTATA</t>
  </si>
  <si>
    <t>Montante alla pensione, in coast puro</t>
  </si>
  <si>
    <t>Plusvalenza latente su quel montante</t>
  </si>
  <si>
    <t>Fattore di lordizzazione</t>
  </si>
  <si>
    <t>Prelievo netto sostenibile (convenzione selezionata)</t>
  </si>
  <si>
    <t>SPESA MASSIMA SOSTENIBILE = prelievo netto + pensione</t>
  </si>
  <si>
    <t>In quante volte la spesa media ISTAT</t>
  </si>
  <si>
    <t>E se il capitale fosse l'obiettivo dichiarato?</t>
  </si>
  <si>
    <t>Latente su quel montante (base di costo = capitale di oggi)</t>
  </si>
  <si>
    <t>Prelievo netto sostenibile</t>
  </si>
  <si>
    <t>COSA SOSTIENE DAVVERO L'OBIETTIVO, con la pensione contata</t>
  </si>
  <si>
    <t>LA SCALA DEL TAGLIO ALLA PENSIONE — fino a zero</t>
  </si>
  <si>
    <t>Pensione al… (in % della proiezione)</t>
  </si>
  <si>
    <t>Spesa sostenibile, coda fino all'eta' terminale</t>
  </si>
  <si>
    <t>Spesa sostenibile, capitale intatto</t>
  </si>
  <si>
    <t>Spesa sostenibile con il tasso di stress</t>
  </si>
  <si>
    <t>Il tasso di decumulo del 3,00% e' una CONVENZIONE ereditata dal catalogo, dichiarata come tale: non e' netto secondo la stessa disciplina dei costi applicata all'accumulo. La colonna della riga di stress mostra che cosa succede applicando anche al decumulo quella disciplina.</t>
  </si>
  <si>
    <t>I VERSAMENTI RESIDUI CHE CHIUDONO IL BUCO</t>
  </si>
  <si>
    <t>Shortfall a scadenza, al tasso del coast</t>
  </si>
  <si>
    <t>Shortfall a scadenza, al pavimento prudente</t>
  </si>
  <si>
    <t>Per quanti anni versare</t>
  </si>
  <si>
    <t>Versamento annuo @ tasso del coast</t>
  </si>
  <si>
    <t>Versamento annuo @ pavimento prudente</t>
  </si>
  <si>
    <t>Versamento annuo per il numero di anni scelto nel foglio 1</t>
  </si>
  <si>
    <t>Convenzione: versamenti a FINE anno, capitalizzati fino alla scadenza sullo shortfall a scadenza. Non e' un fallimento: e' un aggiustamento.</t>
  </si>
  <si>
    <t>LA COLONNA GIALLA E' TUA. I rendimenti della colonna B sono lo stesso insieme di numeri in un ordine qualsiasi: riordinali come vuoi — trascinali, invertili, mettili a caso — e guarda le due celle del montante finale. Non si muovono. Per un capitale senza flussi il valore finale e' un prodotto, e il prodotto e' commutativo: il rischio di sequenza NON SI APPLICA. Le tre colonne a destra sono gli stessi rendimenti in tre ordini fissi, calcolati per formula, e danno lo stesso montante.</t>
  </si>
  <si>
    <t>LA DIMOSTRAZIONE</t>
  </si>
  <si>
    <t>Rendimento (riordinabile)</t>
  </si>
  <si>
    <t>Montante — il tuo ordine</t>
  </si>
  <si>
    <t>Montante col bollo — il tuo ordine</t>
  </si>
  <si>
    <t>Ordine A</t>
  </si>
  <si>
    <t>Montante col bollo</t>
  </si>
  <si>
    <t>Bollo cum.</t>
  </si>
  <si>
    <t>Ordine B</t>
  </si>
  <si>
    <t>Ordine C</t>
  </si>
  <si>
    <t>I TOTALI — e sono gli stessi</t>
  </si>
  <si>
    <t>MONTANTE FINALE SENZA BOLLO — il tuo ordine</t>
  </si>
  <si>
    <t>Controprova in forma chiusa (prodotto dei fattori)</t>
  </si>
  <si>
    <t>MONTANTE FINALE COL BOLLO — il tuo ordine</t>
  </si>
  <si>
    <t>Controprova in forma chiusa</t>
  </si>
  <si>
    <t>Montante col bollo — ordine A / ordine B / ordine C</t>
  </si>
  <si>
    <t>Bollo cumulato — ordine A / ordine B / ordine C</t>
  </si>
  <si>
    <t>Scarto massimo fra i tre ordini, in euro</t>
  </si>
  <si>
    <t>Il tuo ordine usa lo stesso insieme di rendimenti? (somma di controllo)</t>
  </si>
  <si>
    <t>Il bollo PAGATO IN EURO dipende dall'ordine — chi crolla tardi ha avuto piu' patrimonio prima e ha pagato di piu' — ma il patrimonio finale no, perche' quel maggior bollo e' esattamente compensato dal maggior patrimonio su cui e' stato pagato. Un costo proporzionale e' un fattore moltiplicativo come tutti gli altri.</t>
  </si>
  <si>
    <t>COSA ROMPE DAVVERO LA COMMUTATIVITA': qualunque flusso, versamento o prelievo; i costi FISSI in euro, che non sono proporzionali; le imposte realizzate in corso d'opera; e il comportamento dell'investitore, che e' la vera variabile di ordine.</t>
  </si>
  <si>
    <t>IL CONTRO-ESEMPIO: aggiungi i prelievi e cambia tutto</t>
  </si>
  <si>
    <t>Ordine A — crolli all'inizio</t>
  </si>
  <si>
    <t>Capitale, ordine A</t>
  </si>
  <si>
    <t>Ordine B — crolli alla fine</t>
  </si>
  <si>
    <t>Capitale, ordine B</t>
  </si>
  <si>
    <t>CAPITALE FINALE — crolli all'inizio / crolli alla fine</t>
  </si>
  <si>
    <t>Stessi rendimenti, stesso insieme, un solo cambiamento: c'e' un prelievo. Convenzione dichiarata: prelievo a INIZIO anno. E' qui che il rischio di sequenza esiste davvero — e non nel coast puro.</t>
  </si>
  <si>
    <t>Perche' allora un crollo vicino al traguardo fa piu' male, se il montante e' lo stesso? Non e' matematica, e' REVERSIBILITA': al secondo anno hai trent'anni per rimettere mano al piano; al trentaquattresimo hai le stesse cifre e nessuna leva.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</si>
</sst>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quot; €&quot;"/>
    <numFmt numFmtId="165" formatCode="0.0%"/>
    <numFmt numFmtId="166" formatCode="0.0000%"/>
    <numFmt numFmtId="167" formatCode="0.0000"/>
    <numFmt numFmtId="168" formatCode="#,##0.00&quot; €&quot;"/>
    <numFmt numFmtId="169" formatCode="0.00&quot;×&quot;"/>
    <numFmt numFmtId="170" formatCode="0.000000"/>
  </numFmts>
  <fonts count="8">
    <font>
      <sz val="11"/>
      <color theme="1"/>
      <name val="Calibri"/>
      <family val="2"/>
      <scheme val="minor"/>
    </font>
    <font>
      <b/>
      <sz val="16"/>
      <color rgb="FF1E40AF"/>
      <name val="Calibri"/>
    </font>
    <font>
      <i/>
      <sz val="10"/>
      <color rgb="FF991B1B"/>
      <name val="Calibri"/>
    </font>
    <font>
      <b/>
      <sz val="14"/>
      <name val="Calibri"/>
    </font>
    <font>
      <b/>
      <sz val="11"/>
      <name val="Calibri"/>
    </font>
    <font>
      <sz val="11"/>
      <name val="Calibri"/>
    </font>
    <font>
      <i/>
      <sz val="9"/>
      <color rgb="FF666666"/>
      <name val="Calibri"/>
    </font>
    <font>
      <b/>
      <sz val="13"/>
      <color rgb="FFFFFFFF"/>
      <name val="Calibri"/>
    </font>
  </fonts>
  <fills count="8">
    <fill>
      <patternFill patternType="none"/>
    </fill>
    <fill>
      <patternFill patternType="gray125"/>
    </fill>
    <fill>
      <patternFill patternType="solid">
        <fgColor rgb="FFFEE2E2"/>
      </patternFill>
    </fill>
    <fill>
      <patternFill patternType="solid">
        <fgColor rgb="FF1E40AF"/>
      </patternFill>
    </fill>
    <fill>
      <patternFill patternType="solid">
        <fgColor rgb="FFFFF59D"/>
      </patternFill>
    </fill>
    <fill>
      <patternFill patternType="solid">
        <fgColor rgb="FFFAFAFA"/>
      </patternFill>
    </fill>
    <fill>
      <patternFill patternType="solid">
        <fgColor rgb="FFC8E6C9"/>
      </patternFill>
    </fill>
    <fill>
      <patternFill patternType="solid">
        <fgColor rgb="FFDBEAFE"/>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1">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4" fillId="0" borderId="1" xfId="0" applyFont="1" applyBorder="1" applyAlignment="1">
      <alignment horizontal="left" vertical="center" wrapText="1"/>
    </xf>
    <xf numFmtId="1" fontId="5" fillId="4" borderId="1" xfId="0" applyNumberFormat="1" applyFont="1" applyFill="1" applyBorder="1" applyAlignment="1">
      <alignment horizontal="right" vertical="center"/>
    </xf>
    <xf numFmtId="164" fontId="5" fillId="4" borderId="1" xfId="0" applyNumberFormat="1" applyFont="1" applyFill="1" applyBorder="1" applyAlignment="1">
      <alignment horizontal="right" vertical="center"/>
    </xf>
    <xf numFmtId="10" fontId="5" fillId="4"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0" fontId="6" fillId="5" borderId="0" xfId="0" applyFont="1" applyFill="1" applyAlignment="1">
      <alignment horizontal="left" vertical="center" wrapText="1"/>
    </xf>
    <xf numFmtId="166" fontId="5" fillId="6" borderId="1" xfId="0" applyNumberFormat="1" applyFont="1" applyFill="1" applyBorder="1" applyAlignment="1">
      <alignment horizontal="right" vertical="center"/>
    </xf>
    <xf numFmtId="2" fontId="5" fillId="6" borderId="1" xfId="0" applyNumberFormat="1" applyFont="1" applyFill="1" applyBorder="1" applyAlignment="1">
      <alignment horizontal="right" vertical="center"/>
    </xf>
    <xf numFmtId="167" fontId="5" fillId="6" borderId="1" xfId="0" applyNumberFormat="1" applyFont="1" applyFill="1" applyBorder="1" applyAlignment="1">
      <alignment horizontal="right" vertical="center"/>
    </xf>
    <xf numFmtId="1" fontId="5" fillId="6" borderId="1" xfId="0" applyNumberFormat="1" applyFont="1" applyFill="1" applyBorder="1" applyAlignment="1">
      <alignment horizontal="right" vertical="center"/>
    </xf>
    <xf numFmtId="168" fontId="5" fillId="6" borderId="1" xfId="0" applyNumberFormat="1" applyFont="1" applyFill="1" applyBorder="1" applyAlignment="1">
      <alignment horizontal="right" vertical="center"/>
    </xf>
    <xf numFmtId="167" fontId="5" fillId="4" borderId="1" xfId="0" applyNumberFormat="1" applyFont="1" applyFill="1" applyBorder="1" applyAlignment="1">
      <alignment horizontal="right" vertical="center"/>
    </xf>
    <xf numFmtId="2" fontId="5" fillId="4" borderId="1" xfId="0" applyNumberFormat="1" applyFont="1" applyFill="1" applyBorder="1" applyAlignment="1">
      <alignment horizontal="right" vertical="center"/>
    </xf>
    <xf numFmtId="168" fontId="5" fillId="4"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0" fontId="5" fillId="6" borderId="1" xfId="0" applyNumberFormat="1" applyFont="1" applyFill="1" applyBorder="1" applyAlignment="1">
      <alignment horizontal="right" vertical="center"/>
    </xf>
    <xf numFmtId="0" fontId="5" fillId="6" borderId="1" xfId="0" applyFont="1" applyFill="1" applyBorder="1" applyAlignment="1">
      <alignment horizontal="right" vertical="center"/>
    </xf>
    <xf numFmtId="0" fontId="4" fillId="7" borderId="1" xfId="0" applyFont="1" applyFill="1" applyBorder="1" applyAlignment="1">
      <alignment horizontal="center" vertical="center" wrapText="1"/>
    </xf>
    <xf numFmtId="164" fontId="5" fillId="6" borderId="1" xfId="0" applyNumberFormat="1" applyFont="1" applyFill="1" applyBorder="1" applyAlignment="1">
      <alignment horizontal="right" vertical="center"/>
    </xf>
    <xf numFmtId="169" fontId="5" fillId="6" borderId="1" xfId="0" applyNumberFormat="1" applyFont="1" applyFill="1" applyBorder="1" applyAlignment="1">
      <alignment horizontal="right" vertical="center"/>
    </xf>
    <xf numFmtId="170" fontId="5" fillId="6" borderId="1" xfId="0" applyNumberFormat="1" applyFont="1" applyFill="1" applyBorder="1" applyAlignment="1">
      <alignment horizontal="right" vertical="center"/>
    </xf>
    <xf numFmtId="0" fontId="2" fillId="2" borderId="0" xfId="0" applyFont="1" applyFill="1" applyAlignment="1">
      <alignment horizontal="left" vertical="center" wrapText="1"/>
    </xf>
    <xf numFmtId="0" fontId="0" fillId="0" borderId="0" xfId="0"/>
    <xf numFmtId="0" fontId="1" fillId="0" borderId="0" xfId="0" applyFont="1"/>
    <xf numFmtId="0" fontId="7" fillId="3" borderId="0" xfId="0" applyFont="1" applyFill="1" applyAlignment="1">
      <alignment horizontal="center" vertical="center" wrapText="1"/>
    </xf>
    <xf numFmtId="0" fontId="6" fillId="5"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workbookViewId="0">
      <selection sqref="A1:B1"/>
    </sheetView>
  </sheetViews>
  <sheetFormatPr defaultRowHeight="15"/>
  <cols>
    <col min="1" max="1" width="60" customWidth="1"/>
    <col min="2" max="2" width="30" customWidth="1"/>
  </cols>
  <sheetData>
    <row r="1" spans="1:2" ht="32.1" customHeight="1">
      <c r="A1" s="28" t="s">
        <v>0</v>
      </c>
      <c r="B1" s="27"/>
    </row>
    <row r="2" spans="1:2" ht="32.1" customHeight="1">
      <c r="A2" s="26" t="s">
        <v>1</v>
      </c>
      <c r="B2" s="27"/>
    </row>
    <row r="4" spans="1:2" ht="18.75">
      <c r="A4" s="1" t="s">
        <v>2</v>
      </c>
    </row>
    <row r="5" spans="1:2" ht="21.95" customHeight="1">
      <c r="A5" s="2" t="s">
        <v>3</v>
      </c>
      <c r="B5" s="3" t="s">
        <v>4</v>
      </c>
    </row>
    <row r="6" spans="1:2" ht="21.95" customHeight="1">
      <c r="A6" s="2" t="s">
        <v>5</v>
      </c>
      <c r="B6" s="3" t="s">
        <v>6</v>
      </c>
    </row>
    <row r="7" spans="1:2" ht="21.95" customHeight="1">
      <c r="A7" s="2" t="s">
        <v>7</v>
      </c>
      <c r="B7" s="3" t="s">
        <v>8</v>
      </c>
    </row>
    <row r="8" spans="1:2" ht="21.95" customHeight="1">
      <c r="A8" s="2" t="s">
        <v>9</v>
      </c>
      <c r="B8" s="3" t="s">
        <v>10</v>
      </c>
    </row>
    <row r="9" spans="1:2" ht="21.95" customHeight="1">
      <c r="A9" s="2" t="s">
        <v>11</v>
      </c>
      <c r="B9" s="3" t="s">
        <v>12</v>
      </c>
    </row>
    <row r="10" spans="1:2" ht="21.95" customHeight="1">
      <c r="A10" s="2" t="s">
        <v>13</v>
      </c>
      <c r="B10" s="3" t="s">
        <v>14</v>
      </c>
    </row>
    <row r="11" spans="1:2" ht="21.95" customHeight="1">
      <c r="A11" s="2" t="s">
        <v>15</v>
      </c>
      <c r="B11" s="3" t="s">
        <v>16</v>
      </c>
    </row>
    <row r="12" spans="1:2" ht="21.95" customHeight="1">
      <c r="A12" s="2" t="s">
        <v>17</v>
      </c>
      <c r="B12" s="3" t="s">
        <v>18</v>
      </c>
    </row>
    <row r="13" spans="1:2" ht="21.95" customHeight="1">
      <c r="A13" s="2" t="s">
        <v>19</v>
      </c>
      <c r="B13" s="3" t="s">
        <v>20</v>
      </c>
    </row>
    <row r="14" spans="1:2" ht="21.95" customHeight="1">
      <c r="A14" s="2" t="s">
        <v>21</v>
      </c>
      <c r="B14" s="3" t="s">
        <v>22</v>
      </c>
    </row>
    <row r="16" spans="1:2" ht="18.75">
      <c r="A16" s="1" t="s">
        <v>23</v>
      </c>
    </row>
    <row r="17" spans="1:1">
      <c r="A17" s="3" t="s">
        <v>24</v>
      </c>
    </row>
    <row r="18" spans="1:1">
      <c r="A18" s="3" t="s">
        <v>25</v>
      </c>
    </row>
    <row r="19" spans="1:1">
      <c r="A19" s="3" t="s">
        <v>26</v>
      </c>
    </row>
    <row r="20" spans="1:1">
      <c r="A20" s="3" t="s">
        <v>27</v>
      </c>
    </row>
    <row r="22" spans="1:1" ht="18.75">
      <c r="A22" s="1" t="s">
        <v>28</v>
      </c>
    </row>
    <row r="23" spans="1:1">
      <c r="A23" s="3" t="s">
        <v>29</v>
      </c>
    </row>
    <row r="24" spans="1:1">
      <c r="A24" s="3" t="s">
        <v>30</v>
      </c>
    </row>
    <row r="25" spans="1:1">
      <c r="A25" s="3" t="s">
        <v>31</v>
      </c>
    </row>
    <row r="26" spans="1:1">
      <c r="A26" s="3" t="s">
        <v>32</v>
      </c>
    </row>
    <row r="27" spans="1:1">
      <c r="A27" s="3" t="s">
        <v>33</v>
      </c>
    </row>
    <row r="28" spans="1:1">
      <c r="A28" s="3" t="s">
        <v>34</v>
      </c>
    </row>
    <row r="29" spans="1:1">
      <c r="A29" s="3" t="s">
        <v>35</v>
      </c>
    </row>
    <row r="30" spans="1:1">
      <c r="A30" s="3" t="s">
        <v>36</v>
      </c>
    </row>
    <row r="31" spans="1:1">
      <c r="A31" s="3" t="s">
        <v>37</v>
      </c>
    </row>
    <row r="33" spans="1:1">
      <c r="A33" s="4" t="s">
        <v>38</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sheetViews>
  <sheetFormatPr defaultRowHeight="15"/>
  <cols>
    <col min="1" max="1" width="62" customWidth="1"/>
    <col min="2" max="2" width="18" customWidth="1"/>
    <col min="3" max="3" width="14" customWidth="1"/>
    <col min="4" max="4" width="6" customWidth="1"/>
    <col min="5" max="5" width="52" customWidth="1"/>
  </cols>
  <sheetData>
    <row r="1" spans="1:5" ht="24.95" customHeight="1">
      <c r="A1" s="28" t="s">
        <v>39</v>
      </c>
      <c r="B1" s="27"/>
      <c r="C1" s="27"/>
      <c r="D1" s="27"/>
      <c r="E1" s="27"/>
    </row>
    <row r="2" spans="1:5" ht="32.1" customHeight="1">
      <c r="A2" s="26" t="s">
        <v>1</v>
      </c>
      <c r="B2" s="27"/>
      <c r="C2" s="27"/>
      <c r="D2" s="27"/>
      <c r="E2" s="27"/>
    </row>
    <row r="4" spans="1:5">
      <c r="A4" s="29" t="s">
        <v>40</v>
      </c>
      <c r="B4" s="27"/>
      <c r="C4" s="27"/>
      <c r="D4" s="27"/>
      <c r="E4" s="27"/>
    </row>
    <row r="5" spans="1:5">
      <c r="A5" s="5" t="s">
        <v>41</v>
      </c>
      <c r="B5" s="6">
        <v>35</v>
      </c>
    </row>
    <row r="6" spans="1:5">
      <c r="A6" s="5" t="s">
        <v>42</v>
      </c>
      <c r="B6" s="6">
        <v>1991</v>
      </c>
    </row>
    <row r="7" spans="1:5">
      <c r="A7" s="5" t="s">
        <v>43</v>
      </c>
      <c r="B7" s="6">
        <v>25</v>
      </c>
    </row>
    <row r="8" spans="1:5">
      <c r="A8" s="5" t="s">
        <v>44</v>
      </c>
      <c r="B8" s="7">
        <v>180000</v>
      </c>
    </row>
    <row r="9" spans="1:5">
      <c r="A9" s="5" t="s">
        <v>45</v>
      </c>
      <c r="B9" s="7">
        <v>44000</v>
      </c>
    </row>
    <row r="10" spans="1:5">
      <c r="A10" s="5" t="s">
        <v>46</v>
      </c>
      <c r="B10" s="7">
        <v>800000</v>
      </c>
    </row>
    <row r="11" spans="1:5" ht="30">
      <c r="A11" s="5" t="s">
        <v>47</v>
      </c>
      <c r="B11" s="8">
        <v>3.3000000000000002E-2</v>
      </c>
    </row>
    <row r="12" spans="1:5">
      <c r="A12" s="5" t="s">
        <v>48</v>
      </c>
      <c r="B12" s="8">
        <v>0.03</v>
      </c>
    </row>
    <row r="13" spans="1:5" ht="30">
      <c r="A13" s="5" t="s">
        <v>49</v>
      </c>
      <c r="B13" s="6">
        <v>1</v>
      </c>
    </row>
    <row r="14" spans="1:5" ht="30">
      <c r="A14" s="5" t="s">
        <v>50</v>
      </c>
      <c r="B14" s="8">
        <v>0.66669999999999996</v>
      </c>
    </row>
    <row r="15" spans="1:5" ht="30">
      <c r="A15" s="5" t="s">
        <v>51</v>
      </c>
      <c r="B15" s="6">
        <v>1</v>
      </c>
    </row>
    <row r="16" spans="1:5">
      <c r="A16" s="5" t="s">
        <v>52</v>
      </c>
      <c r="B16" s="9">
        <v>1</v>
      </c>
    </row>
    <row r="17" spans="1:5" ht="30">
      <c r="A17" s="5" t="s">
        <v>53</v>
      </c>
      <c r="B17" s="6">
        <v>1</v>
      </c>
    </row>
    <row r="18" spans="1:5" ht="30">
      <c r="A18" s="5" t="s">
        <v>54</v>
      </c>
      <c r="B18" s="8">
        <v>0.03</v>
      </c>
    </row>
    <row r="19" spans="1:5">
      <c r="A19" s="5" t="s">
        <v>55</v>
      </c>
      <c r="B19" s="8">
        <v>0.01</v>
      </c>
    </row>
    <row r="20" spans="1:5">
      <c r="A20" s="5" t="s">
        <v>56</v>
      </c>
      <c r="B20" s="8">
        <v>0.17399999999999999</v>
      </c>
    </row>
    <row r="21" spans="1:5" ht="30">
      <c r="A21" s="5" t="s">
        <v>57</v>
      </c>
      <c r="B21" s="8">
        <v>0.02</v>
      </c>
    </row>
    <row r="22" spans="1:5" ht="30">
      <c r="A22" s="5" t="s">
        <v>58</v>
      </c>
      <c r="B22" s="8">
        <v>2E-3</v>
      </c>
    </row>
    <row r="23" spans="1:5">
      <c r="A23" s="5" t="s">
        <v>59</v>
      </c>
      <c r="B23" s="7">
        <v>30000</v>
      </c>
    </row>
    <row r="24" spans="1:5" ht="30">
      <c r="A24" s="5" t="s">
        <v>60</v>
      </c>
      <c r="B24" s="6">
        <v>1</v>
      </c>
    </row>
    <row r="25" spans="1:5">
      <c r="A25" s="5" t="s">
        <v>61</v>
      </c>
      <c r="B25" s="6">
        <v>10</v>
      </c>
    </row>
    <row r="26" spans="1:5" ht="60" customHeight="1">
      <c r="A26" s="30" t="s">
        <v>62</v>
      </c>
      <c r="B26" s="27"/>
      <c r="C26" s="27"/>
      <c r="D26" s="27"/>
      <c r="E26" s="27"/>
    </row>
    <row r="28" spans="1:5">
      <c r="A28" s="29" t="s">
        <v>63</v>
      </c>
      <c r="B28" s="27"/>
      <c r="C28" s="27"/>
      <c r="D28" s="27"/>
      <c r="E28" s="27"/>
    </row>
    <row r="29" spans="1:5">
      <c r="A29" s="5" t="s">
        <v>64</v>
      </c>
      <c r="B29" s="5" t="s">
        <v>65</v>
      </c>
      <c r="E29" s="5" t="s">
        <v>66</v>
      </c>
    </row>
    <row r="30" spans="1:5" ht="30" customHeight="1">
      <c r="A30" s="5" t="s">
        <v>67</v>
      </c>
      <c r="B30" s="11">
        <f>(1+B11)/((1-'P-Parametri'!$B$41)*(1-B22))-1</f>
        <v>3.7144429138838753E-2</v>
      </c>
      <c r="E30" s="10" t="s">
        <v>68</v>
      </c>
    </row>
    <row r="31" spans="1:5">
      <c r="A31" s="5" t="s">
        <v>69</v>
      </c>
      <c r="B31" s="11">
        <f>(1+B12)/((1-'P-Parametri'!$B$41)*(1-B22))-1</f>
        <v>3.4132393042598297E-2</v>
      </c>
    </row>
    <row r="32" spans="1:5" ht="30" customHeight="1">
      <c r="A32" s="5" t="s">
        <v>70</v>
      </c>
      <c r="B32" s="11">
        <f>(1+'P-Parametri'!$B$44)*(1-'P-Parametri'!$B$41)*(1-B22)-1</f>
        <v>4.779620799999984E-2</v>
      </c>
      <c r="E32" s="10" t="s">
        <v>71</v>
      </c>
    </row>
    <row r="33" spans="1:5" ht="30">
      <c r="A33" s="5" t="s">
        <v>72</v>
      </c>
      <c r="B33" s="12">
        <f>'P-Parametri'!$B$30-'P-Parametri'!$B$31+'P-Parametri'!$C$31</f>
        <v>66.95</v>
      </c>
    </row>
    <row r="34" spans="1:5">
      <c r="A34" s="5" t="s">
        <v>73</v>
      </c>
      <c r="B34" s="12">
        <f>IF(B24=1,'P-Parametri'!$B$30,B33)</f>
        <v>69.7</v>
      </c>
    </row>
    <row r="35" spans="1:5">
      <c r="A35" s="5" t="s">
        <v>74</v>
      </c>
      <c r="B35" s="12">
        <f>B34-B5</f>
        <v>34.700000000000003</v>
      </c>
    </row>
    <row r="36" spans="1:5">
      <c r="A36" s="5" t="s">
        <v>75</v>
      </c>
      <c r="B36" s="13">
        <f>B34-B7</f>
        <v>44.7</v>
      </c>
    </row>
    <row r="37" spans="1:5" ht="30" customHeight="1">
      <c r="A37" s="5" t="s">
        <v>76</v>
      </c>
      <c r="B37" s="13">
        <f>IF(B15=1,B36,IF(B24=1,'P-Parametri'!$B$26,'P-Parametri'!$B$29))</f>
        <v>44.7</v>
      </c>
      <c r="E37" s="10" t="s">
        <v>77</v>
      </c>
    </row>
    <row r="38" spans="1:5">
      <c r="A38" s="5" t="s">
        <v>78</v>
      </c>
      <c r="B38" s="12">
        <f>'P-Parametri'!$B$60-B34</f>
        <v>22.299999999999997</v>
      </c>
    </row>
    <row r="39" spans="1:5">
      <c r="A39" s="5" t="s">
        <v>79</v>
      </c>
      <c r="B39" s="14">
        <f>B5-B7</f>
        <v>10</v>
      </c>
    </row>
    <row r="40" spans="1:5">
      <c r="A40" s="5" t="s">
        <v>80</v>
      </c>
      <c r="B40" s="12">
        <f>'P-Parametri'!$B$30-B5</f>
        <v>34.700000000000003</v>
      </c>
      <c r="C40" s="12">
        <f>B33-B5</f>
        <v>31.950000000000003</v>
      </c>
    </row>
    <row r="42" spans="1:5" ht="45" customHeight="1">
      <c r="A42" s="30" t="s">
        <v>81</v>
      </c>
      <c r="B42" s="27"/>
      <c r="C42" s="27"/>
      <c r="D42" s="27"/>
      <c r="E42" s="27"/>
    </row>
    <row r="43" spans="1:5" ht="45" customHeight="1">
      <c r="A43" s="30" t="s">
        <v>82</v>
      </c>
      <c r="B43" s="27"/>
      <c r="C43" s="27"/>
      <c r="D43" s="27"/>
      <c r="E43" s="27"/>
    </row>
  </sheetData>
  <mergeCells count="7">
    <mergeCell ref="A1:E1"/>
    <mergeCell ref="A4:E4"/>
    <mergeCell ref="A26:E26"/>
    <mergeCell ref="A43:E43"/>
    <mergeCell ref="A2:E2"/>
    <mergeCell ref="A28:E28"/>
    <mergeCell ref="A42:E4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workbookViewId="0"/>
  </sheetViews>
  <sheetFormatPr defaultRowHeight="15"/>
  <cols>
    <col min="1" max="1" width="58" customWidth="1"/>
    <col min="2" max="5" width="16" customWidth="1"/>
    <col min="6" max="6" width="44" customWidth="1"/>
  </cols>
  <sheetData>
    <row r="1" spans="1:6" ht="24.95" customHeight="1">
      <c r="A1" s="28" t="s">
        <v>83</v>
      </c>
      <c r="B1" s="27"/>
      <c r="C1" s="27"/>
      <c r="D1" s="27"/>
      <c r="E1" s="27"/>
      <c r="F1" s="27"/>
    </row>
    <row r="2" spans="1:6" ht="32.1" customHeight="1">
      <c r="A2" s="26" t="s">
        <v>1</v>
      </c>
      <c r="B2" s="27"/>
      <c r="C2" s="27"/>
      <c r="D2" s="27"/>
      <c r="E2" s="27"/>
      <c r="F2" s="27"/>
    </row>
    <row r="3" spans="1:6" ht="30" customHeight="1">
      <c r="A3" s="30" t="s">
        <v>84</v>
      </c>
      <c r="B3" s="27"/>
      <c r="C3" s="27"/>
      <c r="D3" s="27"/>
      <c r="E3" s="27"/>
      <c r="F3" s="27"/>
    </row>
    <row r="5" spans="1:6">
      <c r="A5" s="29" t="s">
        <v>85</v>
      </c>
      <c r="B5" s="27"/>
      <c r="C5" s="27"/>
      <c r="D5" s="27"/>
      <c r="E5" s="27"/>
      <c r="F5" s="27"/>
    </row>
    <row r="6" spans="1:6">
      <c r="A6" s="5" t="s">
        <v>86</v>
      </c>
      <c r="B6" s="7">
        <v>28000</v>
      </c>
      <c r="C6" s="8">
        <v>0.23</v>
      </c>
    </row>
    <row r="7" spans="1:6">
      <c r="A7" s="5" t="s">
        <v>87</v>
      </c>
      <c r="B7" s="7">
        <v>50000</v>
      </c>
      <c r="C7" s="8">
        <v>0.33</v>
      </c>
    </row>
    <row r="8" spans="1:6">
      <c r="A8" s="5" t="s">
        <v>88</v>
      </c>
      <c r="C8" s="8">
        <v>0.43</v>
      </c>
    </row>
    <row r="9" spans="1:6">
      <c r="A9" s="5" t="s">
        <v>89</v>
      </c>
      <c r="B9" s="15">
        <f>B6*C6</f>
        <v>6440</v>
      </c>
    </row>
    <row r="10" spans="1:6">
      <c r="A10" s="5" t="s">
        <v>90</v>
      </c>
      <c r="B10" s="15">
        <f>B9+(B7-B6)*C7</f>
        <v>13700</v>
      </c>
    </row>
    <row r="11" spans="1:6">
      <c r="A11" s="5" t="s">
        <v>91</v>
      </c>
      <c r="B11" s="8">
        <v>0.02</v>
      </c>
    </row>
    <row r="12" spans="1:6" ht="30">
      <c r="A12" s="5" t="s">
        <v>92</v>
      </c>
      <c r="B12" s="7">
        <v>1955</v>
      </c>
      <c r="C12" s="7">
        <v>15000</v>
      </c>
    </row>
    <row r="13" spans="1:6" ht="30">
      <c r="A13" s="5" t="s">
        <v>93</v>
      </c>
      <c r="B13" s="7">
        <v>1910</v>
      </c>
      <c r="C13" s="7">
        <v>1190</v>
      </c>
      <c r="D13" s="7">
        <v>13000</v>
      </c>
    </row>
    <row r="14" spans="1:6">
      <c r="A14" s="5" t="s">
        <v>94</v>
      </c>
      <c r="B14" s="7">
        <v>1910</v>
      </c>
      <c r="C14" s="7">
        <v>22000</v>
      </c>
    </row>
    <row r="15" spans="1:6">
      <c r="A15" s="5" t="s">
        <v>95</v>
      </c>
      <c r="B15" s="7">
        <v>65</v>
      </c>
      <c r="C15" s="7">
        <v>25000</v>
      </c>
      <c r="D15" s="7">
        <v>35000</v>
      </c>
    </row>
    <row r="16" spans="1:6" ht="30">
      <c r="A16" s="5" t="s">
        <v>96</v>
      </c>
      <c r="B16" s="7">
        <v>1000</v>
      </c>
      <c r="C16" s="7">
        <v>20000</v>
      </c>
      <c r="D16" s="7">
        <v>32000</v>
      </c>
      <c r="E16" s="7">
        <v>40000</v>
      </c>
    </row>
    <row r="17" spans="1:6">
      <c r="A17" s="5" t="s">
        <v>97</v>
      </c>
      <c r="B17" s="7">
        <v>1955</v>
      </c>
      <c r="C17" s="7">
        <v>8500</v>
      </c>
    </row>
    <row r="18" spans="1:6" ht="30">
      <c r="A18" s="5" t="s">
        <v>98</v>
      </c>
      <c r="B18" s="7">
        <v>700</v>
      </c>
      <c r="C18" s="7">
        <v>1255</v>
      </c>
      <c r="D18" s="7">
        <v>19500</v>
      </c>
    </row>
    <row r="19" spans="1:6">
      <c r="A19" s="5" t="s">
        <v>99</v>
      </c>
      <c r="B19" s="7">
        <v>700</v>
      </c>
      <c r="C19" s="7">
        <v>22000</v>
      </c>
    </row>
    <row r="20" spans="1:6">
      <c r="A20" s="5" t="s">
        <v>100</v>
      </c>
      <c r="B20" s="7">
        <v>50</v>
      </c>
      <c r="C20" s="7">
        <v>25000</v>
      </c>
      <c r="D20" s="7">
        <v>29000</v>
      </c>
    </row>
    <row r="21" spans="1:6">
      <c r="A21" s="5" t="s">
        <v>101</v>
      </c>
      <c r="B21" s="8">
        <v>9.1899999999999996E-2</v>
      </c>
    </row>
    <row r="23" spans="1:6">
      <c r="A23" s="29" t="s">
        <v>102</v>
      </c>
      <c r="B23" s="27"/>
      <c r="C23" s="27"/>
      <c r="D23" s="27"/>
      <c r="E23" s="27"/>
      <c r="F23" s="27"/>
    </row>
    <row r="24" spans="1:6" ht="30">
      <c r="A24" s="5" t="s">
        <v>103</v>
      </c>
      <c r="B24" s="8">
        <v>0.72799999999999998</v>
      </c>
    </row>
    <row r="25" spans="1:6" ht="30">
      <c r="A25" s="5" t="s">
        <v>104</v>
      </c>
      <c r="B25" s="8">
        <v>0.67600000000000005</v>
      </c>
    </row>
    <row r="26" spans="1:6" ht="30">
      <c r="A26" s="5" t="s">
        <v>105</v>
      </c>
      <c r="B26" s="16">
        <v>39.666699999999999</v>
      </c>
    </row>
    <row r="27" spans="1:6" ht="30">
      <c r="A27" s="5" t="s">
        <v>106</v>
      </c>
      <c r="B27" s="8">
        <v>0.63</v>
      </c>
    </row>
    <row r="28" spans="1:6" ht="30">
      <c r="A28" s="5" t="s">
        <v>107</v>
      </c>
      <c r="B28" s="8">
        <v>0.57099999999999995</v>
      </c>
    </row>
    <row r="29" spans="1:6" ht="30">
      <c r="A29" s="5" t="s">
        <v>108</v>
      </c>
      <c r="B29" s="16">
        <v>36.916699999999999</v>
      </c>
    </row>
    <row r="30" spans="1:6">
      <c r="A30" s="5" t="s">
        <v>109</v>
      </c>
      <c r="B30" s="17">
        <v>69.7</v>
      </c>
    </row>
    <row r="31" spans="1:6" ht="30">
      <c r="A31" s="5" t="s">
        <v>110</v>
      </c>
      <c r="B31" s="6">
        <v>3</v>
      </c>
      <c r="C31" s="17">
        <v>0.25</v>
      </c>
    </row>
    <row r="32" spans="1:6">
      <c r="A32" s="5" t="s">
        <v>111</v>
      </c>
      <c r="B32" s="18">
        <v>546.24</v>
      </c>
    </row>
    <row r="33" spans="1:6" ht="30">
      <c r="A33" s="5" t="s">
        <v>112</v>
      </c>
      <c r="B33" s="17">
        <v>3</v>
      </c>
      <c r="C33" s="17">
        <v>3.2</v>
      </c>
      <c r="D33" s="6">
        <v>2030</v>
      </c>
    </row>
    <row r="34" spans="1:6">
      <c r="A34" s="5" t="s">
        <v>113</v>
      </c>
      <c r="B34" s="6">
        <v>13</v>
      </c>
    </row>
    <row r="35" spans="1:6" ht="30">
      <c r="A35" s="5" t="s">
        <v>114</v>
      </c>
      <c r="B35" s="6">
        <v>5</v>
      </c>
      <c r="C35" s="6">
        <v>5</v>
      </c>
    </row>
    <row r="36" spans="1:6" ht="30">
      <c r="A36" s="5" t="s">
        <v>115</v>
      </c>
      <c r="B36" s="17">
        <v>45.75</v>
      </c>
    </row>
    <row r="38" spans="1:6">
      <c r="A38" s="29" t="s">
        <v>116</v>
      </c>
      <c r="B38" s="27"/>
      <c r="C38" s="27"/>
      <c r="D38" s="27"/>
      <c r="E38" s="27"/>
      <c r="F38" s="27"/>
    </row>
    <row r="39" spans="1:6">
      <c r="A39" s="5" t="s">
        <v>117</v>
      </c>
      <c r="B39" s="8">
        <v>0.26</v>
      </c>
    </row>
    <row r="40" spans="1:6">
      <c r="A40" s="5" t="s">
        <v>118</v>
      </c>
      <c r="B40" s="8">
        <v>2E-3</v>
      </c>
    </row>
    <row r="41" spans="1:6">
      <c r="A41" s="5" t="s">
        <v>119</v>
      </c>
      <c r="B41" s="8">
        <v>2E-3</v>
      </c>
    </row>
    <row r="43" spans="1:6">
      <c r="A43" s="29" t="s">
        <v>120</v>
      </c>
      <c r="B43" s="27"/>
      <c r="C43" s="27"/>
      <c r="D43" s="27"/>
      <c r="E43" s="27"/>
      <c r="F43" s="27"/>
    </row>
    <row r="44" spans="1:6">
      <c r="A44" s="5" t="s">
        <v>121</v>
      </c>
      <c r="B44" s="8">
        <v>5.1999999999999998E-2</v>
      </c>
    </row>
    <row r="45" spans="1:6">
      <c r="A45" s="5" t="s">
        <v>122</v>
      </c>
      <c r="B45" s="8">
        <v>6.6000000000000003E-2</v>
      </c>
    </row>
    <row r="46" spans="1:6">
      <c r="A46" s="5" t="s">
        <v>123</v>
      </c>
      <c r="B46" s="8">
        <v>2.1000000000000001E-2</v>
      </c>
    </row>
    <row r="47" spans="1:6">
      <c r="A47" s="5" t="s">
        <v>124</v>
      </c>
      <c r="B47" s="8">
        <v>0.03</v>
      </c>
      <c r="C47" s="8">
        <v>3.5000000000000003E-2</v>
      </c>
    </row>
    <row r="48" spans="1:6">
      <c r="A48" s="5" t="s">
        <v>125</v>
      </c>
      <c r="B48" s="8">
        <v>5.0000000000000001E-3</v>
      </c>
    </row>
    <row r="49" spans="1:6">
      <c r="A49" s="5" t="s">
        <v>126</v>
      </c>
      <c r="B49" s="8">
        <v>0.17399999999999999</v>
      </c>
    </row>
    <row r="50" spans="1:6">
      <c r="A50" s="5" t="s">
        <v>127</v>
      </c>
      <c r="B50" s="16">
        <v>1.645</v>
      </c>
    </row>
    <row r="51" spans="1:6">
      <c r="A51" s="5" t="s">
        <v>128</v>
      </c>
      <c r="B51" s="8">
        <v>2.3099999999999999E-2</v>
      </c>
    </row>
    <row r="53" spans="1:6">
      <c r="A53" s="29" t="s">
        <v>129</v>
      </c>
      <c r="B53" s="27"/>
      <c r="C53" s="27"/>
      <c r="D53" s="27"/>
      <c r="E53" s="27"/>
      <c r="F53" s="27"/>
    </row>
    <row r="54" spans="1:6">
      <c r="A54" s="5" t="s">
        <v>130</v>
      </c>
      <c r="B54" s="18">
        <v>1794.07</v>
      </c>
    </row>
    <row r="55" spans="1:6" ht="30">
      <c r="A55" s="5" t="s">
        <v>131</v>
      </c>
      <c r="B55" s="8">
        <v>0.48199999999999998</v>
      </c>
    </row>
    <row r="56" spans="1:6">
      <c r="A56" s="5" t="s">
        <v>132</v>
      </c>
      <c r="B56" s="18">
        <v>2096.96</v>
      </c>
    </row>
    <row r="57" spans="1:6">
      <c r="A57" s="5" t="s">
        <v>133</v>
      </c>
      <c r="B57" s="18">
        <v>2755</v>
      </c>
    </row>
    <row r="59" spans="1:6">
      <c r="A59" s="29" t="s">
        <v>134</v>
      </c>
      <c r="B59" s="27"/>
      <c r="C59" s="27"/>
      <c r="D59" s="27"/>
      <c r="E59" s="27"/>
      <c r="F59" s="27"/>
    </row>
    <row r="60" spans="1:6">
      <c r="A60" s="5" t="s">
        <v>135</v>
      </c>
      <c r="B60" s="6">
        <v>92</v>
      </c>
    </row>
    <row r="61" spans="1:6">
      <c r="A61" s="5" t="s">
        <v>136</v>
      </c>
      <c r="B61" s="8">
        <v>2.4500000000000001E-2</v>
      </c>
    </row>
    <row r="62" spans="1:6" ht="30">
      <c r="A62" s="5" t="s">
        <v>137</v>
      </c>
      <c r="B62" s="8">
        <v>-0.35</v>
      </c>
      <c r="C62" s="8">
        <v>-0.2</v>
      </c>
      <c r="D62" s="8">
        <v>0.03</v>
      </c>
    </row>
    <row r="63" spans="1:6">
      <c r="A63" s="5" t="s">
        <v>138</v>
      </c>
      <c r="B63" s="6">
        <v>32</v>
      </c>
    </row>
    <row r="64" spans="1:6">
      <c r="A64" s="5" t="s">
        <v>139</v>
      </c>
      <c r="B64" s="6">
        <v>2</v>
      </c>
      <c r="C64" s="6">
        <v>3</v>
      </c>
    </row>
    <row r="65" spans="1:6">
      <c r="A65" s="5" t="s">
        <v>140</v>
      </c>
      <c r="B65" s="6">
        <v>16</v>
      </c>
      <c r="C65" s="6">
        <v>17</v>
      </c>
    </row>
    <row r="66" spans="1:6">
      <c r="A66" s="5" t="s">
        <v>141</v>
      </c>
      <c r="B66" s="6">
        <v>30</v>
      </c>
      <c r="C66" s="6">
        <v>31</v>
      </c>
    </row>
    <row r="67" spans="1:6" ht="30">
      <c r="A67" s="5" t="s">
        <v>142</v>
      </c>
      <c r="B67" s="7">
        <v>1000000</v>
      </c>
      <c r="C67" s="7">
        <v>40000</v>
      </c>
      <c r="D67" s="6">
        <v>25</v>
      </c>
      <c r="E67" s="8">
        <v>0.05</v>
      </c>
    </row>
    <row r="68" spans="1:6">
      <c r="A68" s="5" t="s">
        <v>143</v>
      </c>
      <c r="B68" s="6">
        <v>2026</v>
      </c>
    </row>
    <row r="70" spans="1:6" ht="30" customHeight="1">
      <c r="A70" s="30" t="s">
        <v>144</v>
      </c>
      <c r="B70" s="27"/>
      <c r="C70" s="27"/>
      <c r="D70" s="27"/>
      <c r="E70" s="27"/>
      <c r="F70" s="27"/>
    </row>
    <row r="71" spans="1:6" ht="45" customHeight="1">
      <c r="A71" s="30" t="s">
        <v>145</v>
      </c>
      <c r="B71" s="27"/>
      <c r="C71" s="27"/>
      <c r="D71" s="27"/>
      <c r="E71" s="27"/>
      <c r="F71" s="27"/>
    </row>
    <row r="72" spans="1:6" ht="45" customHeight="1">
      <c r="A72" s="30" t="s">
        <v>146</v>
      </c>
      <c r="B72" s="27"/>
      <c r="C72" s="27"/>
      <c r="D72" s="27"/>
      <c r="E72" s="27"/>
      <c r="F72" s="27"/>
    </row>
    <row r="73" spans="1:6" ht="60" customHeight="1">
      <c r="A73" s="30" t="s">
        <v>147</v>
      </c>
      <c r="B73" s="27"/>
      <c r="C73" s="27"/>
      <c r="D73" s="27"/>
      <c r="E73" s="27"/>
      <c r="F73" s="27"/>
    </row>
    <row r="74" spans="1:6" ht="30" customHeight="1">
      <c r="A74" s="30" t="s">
        <v>148</v>
      </c>
      <c r="B74" s="27"/>
      <c r="C74" s="27"/>
      <c r="D74" s="27"/>
      <c r="E74" s="27"/>
      <c r="F74" s="27"/>
    </row>
  </sheetData>
  <mergeCells count="14">
    <mergeCell ref="A74:F74"/>
    <mergeCell ref="A3:F3"/>
    <mergeCell ref="A53:F53"/>
    <mergeCell ref="A72:F72"/>
    <mergeCell ref="A59:F59"/>
    <mergeCell ref="A43:F43"/>
    <mergeCell ref="A38:F38"/>
    <mergeCell ref="A2:F2"/>
    <mergeCell ref="A71:F71"/>
    <mergeCell ref="A73:F73"/>
    <mergeCell ref="A1:F1"/>
    <mergeCell ref="A23:F23"/>
    <mergeCell ref="A5:F5"/>
    <mergeCell ref="A70:F7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sheetViews>
  <sheetFormatPr defaultRowHeight="15"/>
  <cols>
    <col min="1" max="1" width="58" customWidth="1"/>
    <col min="2" max="5" width="22" customWidth="1"/>
    <col min="6" max="6" width="46" customWidth="1"/>
  </cols>
  <sheetData>
    <row r="1" spans="1:6" ht="24.95" customHeight="1">
      <c r="A1" s="28" t="s">
        <v>149</v>
      </c>
      <c r="B1" s="27"/>
      <c r="C1" s="27"/>
      <c r="D1" s="27"/>
      <c r="E1" s="27"/>
      <c r="F1" s="27"/>
    </row>
    <row r="2" spans="1:6" ht="32.1" customHeight="1">
      <c r="A2" s="26" t="s">
        <v>1</v>
      </c>
      <c r="B2" s="27"/>
      <c r="C2" s="27"/>
      <c r="D2" s="27"/>
      <c r="E2" s="27"/>
      <c r="F2" s="27"/>
    </row>
    <row r="4" spans="1:6">
      <c r="A4" s="29" t="s">
        <v>150</v>
      </c>
      <c r="B4" s="27"/>
      <c r="C4" s="27"/>
      <c r="D4" s="27"/>
      <c r="E4" s="27"/>
      <c r="F4" s="27"/>
    </row>
    <row r="5" spans="1:6">
      <c r="A5" s="5" t="s">
        <v>151</v>
      </c>
      <c r="B5" s="15">
        <f>'1-Input'!$B$10/(1+'1-Input'!$B$11)^('P-Parametri'!$B$30-'1-Input'!$B$5)</f>
        <v>259303.76956277573</v>
      </c>
    </row>
    <row r="6" spans="1:6">
      <c r="A6" s="5" t="s">
        <v>152</v>
      </c>
      <c r="B6" s="15">
        <f>'1-Input'!$B$8</f>
        <v>180000</v>
      </c>
    </row>
    <row r="7" spans="1:6">
      <c r="A7" s="5" t="s">
        <v>153</v>
      </c>
      <c r="B7" s="15">
        <f>B5-B6</f>
        <v>79303.769562775735</v>
      </c>
    </row>
    <row r="8" spans="1:6">
      <c r="A8" s="5" t="s">
        <v>154</v>
      </c>
      <c r="B8" s="19">
        <f>B7/B5</f>
        <v>0.30583346202985612</v>
      </c>
    </row>
    <row r="9" spans="1:6" ht="30">
      <c r="A9" s="5" t="s">
        <v>155</v>
      </c>
      <c r="B9" s="15">
        <f>'3-Griglia'!$B$43</f>
        <v>79303.769562775735</v>
      </c>
      <c r="C9" s="15">
        <f>'3-Griglia'!$C$43</f>
        <v>131129.11787951016</v>
      </c>
    </row>
    <row r="10" spans="1:6" ht="30" customHeight="1">
      <c r="A10" s="5" t="s">
        <v>156</v>
      </c>
      <c r="B10" s="15">
        <f>'3-Griglia'!$B$40</f>
        <v>106839.05941645557</v>
      </c>
      <c r="F10" s="10" t="s">
        <v>157</v>
      </c>
    </row>
    <row r="11" spans="1:6">
      <c r="A11" s="5" t="s">
        <v>158</v>
      </c>
      <c r="B11" s="20">
        <f>'3-Griglia'!$B$44</f>
        <v>4.3924503553228522E-2</v>
      </c>
      <c r="C11" s="20">
        <f>'3-Griglia'!$B$45</f>
        <v>4.7794169638356587E-2</v>
      </c>
    </row>
    <row r="12" spans="1:6">
      <c r="A12" s="5" t="s">
        <v>159</v>
      </c>
      <c r="B12" s="20">
        <f>'1-Input'!$B$32</f>
        <v>4.779620799999984E-2</v>
      </c>
    </row>
    <row r="13" spans="1:6" ht="30">
      <c r="A13" s="5" t="s">
        <v>160</v>
      </c>
      <c r="B13" s="15">
        <f>'8-Fabbisogno'!$B$65</f>
        <v>9439.7144294539394</v>
      </c>
    </row>
    <row r="14" spans="1:6">
      <c r="A14" s="5" t="s">
        <v>161</v>
      </c>
      <c r="B14" s="21" t="str">
        <f>IF(B7&lt;=0,"SI' — il capitale attuale basta","NO — al canone di questo canale il capitale attuale non basta")</f>
        <v>NO — al canone di questo canale il capitale attuale non basta</v>
      </c>
    </row>
    <row r="16" spans="1:6">
      <c r="A16" s="29" t="s">
        <v>162</v>
      </c>
      <c r="B16" s="27"/>
      <c r="C16" s="27"/>
      <c r="D16" s="27"/>
      <c r="E16" s="27"/>
      <c r="F16" s="27"/>
    </row>
    <row r="17" spans="1:6">
      <c r="A17" s="5" t="s">
        <v>163</v>
      </c>
      <c r="B17" s="15">
        <f>'5-Caso'!$D$19</f>
        <v>24323.384780219363</v>
      </c>
    </row>
    <row r="18" spans="1:6">
      <c r="A18" s="5" t="s">
        <v>164</v>
      </c>
      <c r="B18" s="15">
        <f>B17/12</f>
        <v>2026.948731684947</v>
      </c>
    </row>
    <row r="19" spans="1:6">
      <c r="A19" s="5" t="s">
        <v>165</v>
      </c>
      <c r="B19" s="15">
        <f>'5-Caso'!$B$55</f>
        <v>15190.392659128052</v>
      </c>
      <c r="C19" s="15">
        <f>'5-Caso'!$B$55/12</f>
        <v>1265.8660549273377</v>
      </c>
    </row>
    <row r="20" spans="1:6" ht="30" customHeight="1">
      <c r="A20" s="5" t="s">
        <v>166</v>
      </c>
      <c r="B20" s="19">
        <f>B17/'5-Caso'!$B$55</f>
        <v>1.6012347623945855</v>
      </c>
      <c r="F20" s="10" t="s">
        <v>167</v>
      </c>
    </row>
    <row r="21" spans="1:6">
      <c r="A21" s="5" t="s">
        <v>168</v>
      </c>
      <c r="B21" s="19">
        <f>'7-Denominatori'!$B$33</f>
        <v>1.0025866754633235</v>
      </c>
      <c r="C21" s="19">
        <f>'7-Denominatori'!$C$33</f>
        <v>1.1664008554635279</v>
      </c>
    </row>
    <row r="22" spans="1:6">
      <c r="A22" s="5" t="s">
        <v>169</v>
      </c>
      <c r="B22" s="15">
        <f>'8-Fabbisogno'!$D$20</f>
        <v>40484.001279924261</v>
      </c>
    </row>
    <row r="23" spans="1:6">
      <c r="A23" s="5" t="s">
        <v>170</v>
      </c>
      <c r="B23" s="21" t="str">
        <f>IF(B22&lt;=0,"SI' — la pensione da sola copre quella spesa",IF(B6&gt;=B22,"SI'","NO"))</f>
        <v>SI'</v>
      </c>
    </row>
    <row r="24" spans="1:6" ht="30">
      <c r="A24" s="5" t="s">
        <v>171</v>
      </c>
      <c r="B24" s="21" t="str">
        <f>IF(AND('1-Input'!$B$8&gt;=MAX(0,'8-Fabbisogno'!$C$20)/(1+'1-Input'!$B$12)^'1-Input'!$B$35,'1-Input'!$B$8&gt;=MAX(0,'8-Fabbisogno'!$C$20)/(1+'P-Parametri'!$B$51)^'1-Input'!$B$35),"VERDE — copre anche nelle letture prudenti",IF('1-Input'!$B$8&gt;=B22,"GIALLO — copre solo al tasso del coast","ROSSO — non copre"))</f>
        <v>VERDE — copre anche nelle letture prudenti</v>
      </c>
    </row>
    <row r="26" spans="1:6">
      <c r="A26" s="29" t="s">
        <v>172</v>
      </c>
      <c r="B26" s="27"/>
      <c r="C26" s="27"/>
      <c r="D26" s="27"/>
      <c r="E26" s="27"/>
      <c r="F26" s="27"/>
    </row>
    <row r="27" spans="1:6">
      <c r="A27" s="5" t="s">
        <v>173</v>
      </c>
      <c r="B27" s="15">
        <f>'1-Input'!$B$8*(1+'1-Input'!$B$11)^'1-Input'!$B$35</f>
        <v>555333.23037611507</v>
      </c>
    </row>
    <row r="28" spans="1:6">
      <c r="A28" s="5" t="s">
        <v>174</v>
      </c>
      <c r="B28" s="15">
        <f>'1-Input'!$B$8*(1+'1-Input'!$B$12)^'1-Input'!$B$35</f>
        <v>502023.67938645848</v>
      </c>
    </row>
    <row r="29" spans="1:6">
      <c r="A29" s="5" t="s">
        <v>175</v>
      </c>
      <c r="B29" s="15">
        <f>'4-Traiettoria'!$B$46</f>
        <v>23541.205817393911</v>
      </c>
    </row>
    <row r="30" spans="1:6">
      <c r="A30" s="5" t="s">
        <v>176</v>
      </c>
      <c r="B30" s="15">
        <f>'4-Traiettoria'!$B$44</f>
        <v>372.62525050100237</v>
      </c>
    </row>
    <row r="31" spans="1:6" ht="30">
      <c r="A31" s="5" t="s">
        <v>177</v>
      </c>
      <c r="B31" s="20">
        <f>'4-Traiettoria'!$B$60</f>
        <v>-1.885163363404796E-2</v>
      </c>
      <c r="C31" s="20">
        <f>'4-Traiettoria'!$B$61</f>
        <v>8.1283969242529341E-2</v>
      </c>
    </row>
    <row r="32" spans="1:6">
      <c r="A32" s="5" t="s">
        <v>178</v>
      </c>
      <c r="B32" s="15">
        <f>'9-Ordine'!$B$45</f>
        <v>0</v>
      </c>
    </row>
    <row r="34" spans="1:6" ht="45" customHeight="1">
      <c r="A34" s="30" t="s">
        <v>179</v>
      </c>
      <c r="B34" s="27"/>
      <c r="C34" s="27"/>
      <c r="D34" s="27"/>
      <c r="E34" s="27"/>
      <c r="F34" s="27"/>
    </row>
    <row r="35" spans="1:6" ht="30" customHeight="1">
      <c r="A35" s="30" t="s">
        <v>180</v>
      </c>
      <c r="B35" s="27"/>
      <c r="C35" s="27"/>
      <c r="D35" s="27"/>
      <c r="E35" s="27"/>
      <c r="F35" s="27"/>
    </row>
  </sheetData>
  <mergeCells count="7">
    <mergeCell ref="A2:F2"/>
    <mergeCell ref="A16:F16"/>
    <mergeCell ref="A1:F1"/>
    <mergeCell ref="A34:F34"/>
    <mergeCell ref="A35:F35"/>
    <mergeCell ref="A4:F4"/>
    <mergeCell ref="A26:F2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heetViews>
  <sheetFormatPr defaultRowHeight="15"/>
  <cols>
    <col min="1" max="1" width="50" customWidth="1"/>
    <col min="2" max="4" width="16" customWidth="1"/>
    <col min="5" max="5" width="18" customWidth="1"/>
    <col min="6" max="6" width="16" customWidth="1"/>
    <col min="7" max="7" width="18" customWidth="1"/>
    <col min="8" max="8" width="16" customWidth="1"/>
    <col min="9" max="9" width="40" customWidth="1"/>
  </cols>
  <sheetData>
    <row r="1" spans="1:9" ht="24.95" customHeight="1">
      <c r="A1" s="28" t="s">
        <v>181</v>
      </c>
      <c r="B1" s="27"/>
      <c r="C1" s="27"/>
      <c r="D1" s="27"/>
      <c r="E1" s="27"/>
      <c r="F1" s="27"/>
      <c r="G1" s="27"/>
      <c r="H1" s="27"/>
      <c r="I1" s="27"/>
    </row>
    <row r="2" spans="1:9" ht="32.1" customHeight="1">
      <c r="A2" s="26" t="s">
        <v>1</v>
      </c>
      <c r="B2" s="27"/>
      <c r="C2" s="27"/>
      <c r="D2" s="27"/>
      <c r="E2" s="27"/>
      <c r="F2" s="27"/>
      <c r="G2" s="27"/>
      <c r="H2" s="27"/>
      <c r="I2" s="27"/>
    </row>
    <row r="4" spans="1:9">
      <c r="A4" s="29" t="s">
        <v>182</v>
      </c>
      <c r="B4" s="27"/>
      <c r="C4" s="27"/>
      <c r="D4" s="27"/>
      <c r="E4" s="27"/>
      <c r="F4" s="27"/>
      <c r="G4" s="27"/>
      <c r="H4" s="27"/>
      <c r="I4" s="27"/>
    </row>
    <row r="5" spans="1:9">
      <c r="A5" s="22" t="s">
        <v>183</v>
      </c>
      <c r="B5" s="22" t="s">
        <v>184</v>
      </c>
      <c r="C5" s="22" t="s">
        <v>185</v>
      </c>
      <c r="D5" s="22" t="s">
        <v>186</v>
      </c>
      <c r="E5" s="22" t="s">
        <v>187</v>
      </c>
      <c r="F5" s="22" t="s">
        <v>188</v>
      </c>
      <c r="G5" s="22" t="s">
        <v>189</v>
      </c>
      <c r="H5" s="22" t="s">
        <v>190</v>
      </c>
      <c r="I5" s="22" t="s">
        <v>191</v>
      </c>
    </row>
    <row r="6" spans="1:9">
      <c r="A6" s="5" t="s">
        <v>192</v>
      </c>
      <c r="B6" s="23">
        <f>'1-Input'!$B$10/(1+'P-Parametri'!$B$51)^(10)</f>
        <v>636662.30950540293</v>
      </c>
      <c r="C6" s="23">
        <f>'1-Input'!$B$10/(1+'P-Parametri'!$B$51)^(20)</f>
        <v>506673.62043094181</v>
      </c>
      <c r="D6" s="23">
        <f>'1-Input'!$B$10/(1+'P-Parametri'!$B$51)^(25)</f>
        <v>451999.41252096125</v>
      </c>
      <c r="E6" s="23">
        <f>'1-Input'!$B$10/(1+'P-Parametri'!$B$51)^('1-Input'!$B$33-'1-Input'!$B$5)</f>
        <v>385662.29552587325</v>
      </c>
      <c r="F6" s="23">
        <f>'1-Input'!$B$10/(1+'P-Parametri'!$B$51)^(32)</f>
        <v>385222.17385021609</v>
      </c>
      <c r="G6" s="23">
        <f>'1-Input'!$B$10/(1+'P-Parametri'!$B$51)^('P-Parametri'!$B$30-'1-Input'!$B$5)</f>
        <v>362186.65889590955</v>
      </c>
      <c r="H6" s="23">
        <f>'1-Input'!$B$10/(1+'P-Parametri'!$B$51)^(35)</f>
        <v>359713.73733835062</v>
      </c>
    </row>
    <row r="7" spans="1:9">
      <c r="A7" s="5" t="s">
        <v>193</v>
      </c>
      <c r="B7" s="23">
        <f>'1-Input'!$B$10/(1+'1-Input'!$B$12)^(10)</f>
        <v>595275.13191738015</v>
      </c>
      <c r="C7" s="23">
        <f>'1-Input'!$B$10/(1+'1-Input'!$B$12)^(20)</f>
        <v>442940.60334906797</v>
      </c>
      <c r="D7" s="23">
        <f>'1-Input'!$B$10/(1+'1-Input'!$B$12)^(25)</f>
        <v>382084.45540932775</v>
      </c>
      <c r="E7" s="23">
        <f>'1-Input'!$B$10/(1+'1-Input'!$B$12)^('1-Input'!$B$33-'1-Input'!$B$5)</f>
        <v>311129.11787951016</v>
      </c>
      <c r="F7" s="23">
        <f>'1-Input'!$B$10/(1+'1-Input'!$B$12)^(32)</f>
        <v>310669.62730957259</v>
      </c>
      <c r="G7" s="23">
        <f>'1-Input'!$B$10/(1+'1-Input'!$B$12)^('P-Parametri'!$B$30-'1-Input'!$B$5)</f>
        <v>286839.05941645557</v>
      </c>
      <c r="H7" s="23">
        <f>'1-Input'!$B$10/(1+'1-Input'!$B$12)^(35)</f>
        <v>284306.7182467099</v>
      </c>
    </row>
    <row r="8" spans="1:9">
      <c r="A8" s="5" t="s">
        <v>194</v>
      </c>
      <c r="B8" s="23">
        <f>'1-Input'!$B$10/(1+'1-Input'!$B$11)^(10)</f>
        <v>578211.56221371086</v>
      </c>
      <c r="C8" s="23">
        <f>'1-Input'!$B$10/(1+'1-Input'!$B$11)^(20)</f>
        <v>417910.76334702503</v>
      </c>
      <c r="D8" s="23">
        <f>'1-Input'!$B$10/(1+'1-Input'!$B$11)^(25)</f>
        <v>355289.15328414144</v>
      </c>
      <c r="E8" s="23">
        <f>'1-Input'!$B$10/(1+'1-Input'!$B$11)^('1-Input'!$B$33-'1-Input'!$B$5)</f>
        <v>283520.66212148493</v>
      </c>
      <c r="F8" s="23">
        <f>'1-Input'!$B$10/(1+'1-Input'!$B$11)^(32)</f>
        <v>283060.779537611</v>
      </c>
      <c r="G8" s="23">
        <f>'1-Input'!$B$10/(1+'1-Input'!$B$11)^('P-Parametri'!$B$30-'1-Input'!$B$5)</f>
        <v>259303.76956277573</v>
      </c>
      <c r="H8" s="23">
        <f>'1-Input'!$B$10/(1+'1-Input'!$B$11)^(35)</f>
        <v>256790.37044751251</v>
      </c>
    </row>
    <row r="9" spans="1:9">
      <c r="A9" s="5" t="s">
        <v>195</v>
      </c>
      <c r="B9" s="23">
        <f>'1-Input'!$B$10/(1+0.04)^(10)</f>
        <v>540451.33506063884</v>
      </c>
      <c r="C9" s="23">
        <f>'1-Input'!$B$10/(1+0.04)^(20)</f>
        <v>365109.55696103367</v>
      </c>
      <c r="D9" s="23">
        <f>'1-Input'!$B$10/(1+0.04)^(25)</f>
        <v>300093.44180317101</v>
      </c>
      <c r="E9" s="23">
        <f>'1-Input'!$B$10/(1+0.04)^('1-Input'!$B$33-'1-Input'!$B$5)</f>
        <v>228493.99786055845</v>
      </c>
      <c r="F9" s="23">
        <f>'1-Input'!$B$10/(1+0.04)^(32)</f>
        <v>228046.35205134636</v>
      </c>
      <c r="G9" s="23">
        <f>'1-Input'!$B$10/(1+0.04)^('P-Parametri'!$B$30-'1-Input'!$B$5)</f>
        <v>205131.85782057006</v>
      </c>
      <c r="H9" s="23">
        <f>'1-Input'!$B$10/(1+0.04)^(35)</f>
        <v>202732.37658183242</v>
      </c>
    </row>
    <row r="10" spans="1:9">
      <c r="A10" s="5" t="s">
        <v>196</v>
      </c>
      <c r="B10" s="23">
        <f>'1-Input'!$B$10/(1+'1-Input'!$B$32)^(10)</f>
        <v>501558.69424233766</v>
      </c>
      <c r="C10" s="23">
        <f>'1-Input'!$B$10/(1+'1-Input'!$B$32)^(20)</f>
        <v>314451.40471259842</v>
      </c>
      <c r="D10" s="23">
        <f>'1-Input'!$B$10/(1+'1-Input'!$B$32)^(25)</f>
        <v>248982.84619627858</v>
      </c>
      <c r="E10" s="23">
        <f>'1-Input'!$B$10/(1+'1-Input'!$B$32)^('1-Input'!$B$33-'1-Input'!$B$5)</f>
        <v>179988.81245721108</v>
      </c>
      <c r="F10" s="23">
        <f>'1-Input'!$B$10/(1+'1-Input'!$B$32)^(32)</f>
        <v>179569.12665276625</v>
      </c>
      <c r="G10" s="23">
        <f>'1-Input'!$B$10/(1+'1-Input'!$B$32)^('P-Parametri'!$B$30-'1-Input'!$B$5)</f>
        <v>158301.21565007832</v>
      </c>
      <c r="H10" s="23">
        <f>'1-Input'!$B$10/(1+'1-Input'!$B$32)^(35)</f>
        <v>156099.38903368285</v>
      </c>
    </row>
    <row r="11" spans="1:9">
      <c r="A11" s="5" t="s">
        <v>197</v>
      </c>
      <c r="B11" s="23">
        <f>'1-Input'!$B$10/(1+0.05)^(10)</f>
        <v>491130.60283260746</v>
      </c>
      <c r="C11" s="23">
        <f>'1-Input'!$B$10/(1+0.05)^(20)</f>
        <v>301511.58629840048</v>
      </c>
      <c r="D11" s="23">
        <f>'1-Input'!$B$10/(1+0.05)^(25)</f>
        <v>236242.21735820969</v>
      </c>
      <c r="E11" s="23">
        <f>'1-Input'!$B$10/(1+0.05)^('1-Input'!$B$33-'1-Input'!$B$5)</f>
        <v>168303.00944259611</v>
      </c>
      <c r="F11" s="23">
        <f>'1-Input'!$B$10/(1+0.05)^(32)</f>
        <v>167892.93326502174</v>
      </c>
      <c r="G11" s="23">
        <f>'1-Input'!$B$10/(1+0.05)^('P-Parametri'!$B$30-'1-Input'!$B$5)</f>
        <v>147170.68431451332</v>
      </c>
      <c r="H11" s="23">
        <f>'1-Input'!$B$10/(1+0.05)^(35)</f>
        <v>145032.22828206173</v>
      </c>
    </row>
    <row r="12" spans="1:9">
      <c r="A12" s="5" t="s">
        <v>198</v>
      </c>
      <c r="B12" s="23">
        <f>'1-Input'!$B$10/(1+0.07)^(10)</f>
        <v>406679.43370777421</v>
      </c>
      <c r="C12" s="23">
        <f>'1-Input'!$B$10/(1+0.07)^(20)</f>
        <v>206735.20225109495</v>
      </c>
      <c r="D12" s="23">
        <f>'1-Input'!$B$10/(1+0.07)^(25)</f>
        <v>147399.34201779167</v>
      </c>
      <c r="E12" s="23">
        <f>'1-Input'!$B$10/(1+0.07)^('1-Input'!$B$33-'1-Input'!$B$5)</f>
        <v>92103.957223060424</v>
      </c>
      <c r="F12" s="23">
        <f>'1-Input'!$B$10/(1+0.07)^(32)</f>
        <v>91792.902195538336</v>
      </c>
      <c r="G12" s="23">
        <f>'1-Input'!$B$10/(1+0.07)^('P-Parametri'!$B$30-'1-Input'!$B$5)</f>
        <v>76466.797394145149</v>
      </c>
      <c r="H12" s="23">
        <f>'1-Input'!$B$10/(1+0.07)^(35)</f>
        <v>74930.35117586756</v>
      </c>
    </row>
    <row r="14" spans="1:9" ht="15" customHeight="1">
      <c r="A14" s="30" t="s">
        <v>199</v>
      </c>
      <c r="B14" s="27"/>
      <c r="C14" s="27"/>
      <c r="D14" s="27"/>
      <c r="E14" s="27"/>
      <c r="F14" s="27"/>
      <c r="G14" s="27"/>
      <c r="H14" s="27"/>
      <c r="I14" s="27"/>
    </row>
    <row r="16" spans="1:9">
      <c r="A16" s="29" t="s">
        <v>200</v>
      </c>
      <c r="B16" s="27"/>
      <c r="C16" s="27"/>
      <c r="D16" s="27"/>
      <c r="E16" s="27"/>
      <c r="F16" s="27"/>
      <c r="G16" s="27"/>
      <c r="H16" s="27"/>
      <c r="I16" s="27"/>
    </row>
    <row r="17" spans="1:9">
      <c r="A17" s="22" t="s">
        <v>183</v>
      </c>
      <c r="B17" s="22" t="s">
        <v>184</v>
      </c>
      <c r="C17" s="22" t="s">
        <v>185</v>
      </c>
      <c r="D17" s="22" t="s">
        <v>186</v>
      </c>
      <c r="E17" s="22" t="s">
        <v>187</v>
      </c>
      <c r="F17" s="22" t="s">
        <v>188</v>
      </c>
      <c r="G17" s="22" t="s">
        <v>189</v>
      </c>
      <c r="H17" s="22" t="s">
        <v>190</v>
      </c>
    </row>
    <row r="18" spans="1:9">
      <c r="A18" s="5" t="s">
        <v>192</v>
      </c>
      <c r="B18" s="23">
        <f>'1-Input'!$B$10/(1+'P-Parametri'!$B$51)^(10)-'1-Input'!$B$8</f>
        <v>456662.30950540293</v>
      </c>
      <c r="C18" s="23">
        <f>'1-Input'!$B$10/(1+'P-Parametri'!$B$51)^(20)-'1-Input'!$B$8</f>
        <v>326673.62043094181</v>
      </c>
      <c r="D18" s="23">
        <f>'1-Input'!$B$10/(1+'P-Parametri'!$B$51)^(25)-'1-Input'!$B$8</f>
        <v>271999.41252096125</v>
      </c>
      <c r="E18" s="23">
        <f>'1-Input'!$B$10/(1+'P-Parametri'!$B$51)^('1-Input'!$B$33-'1-Input'!$B$5)-'1-Input'!$B$8</f>
        <v>205662.29552587325</v>
      </c>
      <c r="F18" s="23">
        <f>'1-Input'!$B$10/(1+'P-Parametri'!$B$51)^(32)-'1-Input'!$B$8</f>
        <v>205222.17385021609</v>
      </c>
      <c r="G18" s="23">
        <f>'1-Input'!$B$10/(1+'P-Parametri'!$B$51)^('P-Parametri'!$B$30-'1-Input'!$B$5)-'1-Input'!$B$8</f>
        <v>182186.65889590955</v>
      </c>
      <c r="H18" s="23">
        <f>'1-Input'!$B$10/(1+'P-Parametri'!$B$51)^(35)-'1-Input'!$B$8</f>
        <v>179713.73733835062</v>
      </c>
    </row>
    <row r="19" spans="1:9">
      <c r="A19" s="5" t="s">
        <v>193</v>
      </c>
      <c r="B19" s="23">
        <f>'1-Input'!$B$10/(1+'1-Input'!$B$12)^(10)-'1-Input'!$B$8</f>
        <v>415275.13191738015</v>
      </c>
      <c r="C19" s="23">
        <f>'1-Input'!$B$10/(1+'1-Input'!$B$12)^(20)-'1-Input'!$B$8</f>
        <v>262940.60334906797</v>
      </c>
      <c r="D19" s="23">
        <f>'1-Input'!$B$10/(1+'1-Input'!$B$12)^(25)-'1-Input'!$B$8</f>
        <v>202084.45540932775</v>
      </c>
      <c r="E19" s="23">
        <f>'1-Input'!$B$10/(1+'1-Input'!$B$12)^('1-Input'!$B$33-'1-Input'!$B$5)-'1-Input'!$B$8</f>
        <v>131129.11787951016</v>
      </c>
      <c r="F19" s="23">
        <f>'1-Input'!$B$10/(1+'1-Input'!$B$12)^(32)-'1-Input'!$B$8</f>
        <v>130669.62730957259</v>
      </c>
      <c r="G19" s="23">
        <f>'1-Input'!$B$10/(1+'1-Input'!$B$12)^('P-Parametri'!$B$30-'1-Input'!$B$5)-'1-Input'!$B$8</f>
        <v>106839.05941645557</v>
      </c>
      <c r="H19" s="23">
        <f>'1-Input'!$B$10/(1+'1-Input'!$B$12)^(35)-'1-Input'!$B$8</f>
        <v>104306.7182467099</v>
      </c>
    </row>
    <row r="20" spans="1:9">
      <c r="A20" s="5" t="s">
        <v>194</v>
      </c>
      <c r="B20" s="23">
        <f>'1-Input'!$B$10/(1+'1-Input'!$B$11)^(10)-'1-Input'!$B$8</f>
        <v>398211.56221371086</v>
      </c>
      <c r="C20" s="23">
        <f>'1-Input'!$B$10/(1+'1-Input'!$B$11)^(20)-'1-Input'!$B$8</f>
        <v>237910.76334702503</v>
      </c>
      <c r="D20" s="23">
        <f>'1-Input'!$B$10/(1+'1-Input'!$B$11)^(25)-'1-Input'!$B$8</f>
        <v>175289.15328414144</v>
      </c>
      <c r="E20" s="23">
        <f>'1-Input'!$B$10/(1+'1-Input'!$B$11)^('1-Input'!$B$33-'1-Input'!$B$5)-'1-Input'!$B$8</f>
        <v>103520.66212148493</v>
      </c>
      <c r="F20" s="23">
        <f>'1-Input'!$B$10/(1+'1-Input'!$B$11)^(32)-'1-Input'!$B$8</f>
        <v>103060.779537611</v>
      </c>
      <c r="G20" s="23">
        <f>'1-Input'!$B$10/(1+'1-Input'!$B$11)^('P-Parametri'!$B$30-'1-Input'!$B$5)-'1-Input'!$B$8</f>
        <v>79303.769562775735</v>
      </c>
      <c r="H20" s="23">
        <f>'1-Input'!$B$10/(1+'1-Input'!$B$11)^(35)-'1-Input'!$B$8</f>
        <v>76790.370447512512</v>
      </c>
    </row>
    <row r="21" spans="1:9">
      <c r="A21" s="5" t="s">
        <v>195</v>
      </c>
      <c r="B21" s="23">
        <f>'1-Input'!$B$10/(1+0.04)^(10)-'1-Input'!$B$8</f>
        <v>360451.33506063884</v>
      </c>
      <c r="C21" s="23">
        <f>'1-Input'!$B$10/(1+0.04)^(20)-'1-Input'!$B$8</f>
        <v>185109.55696103367</v>
      </c>
      <c r="D21" s="23">
        <f>'1-Input'!$B$10/(1+0.04)^(25)-'1-Input'!$B$8</f>
        <v>120093.44180317101</v>
      </c>
      <c r="E21" s="23">
        <f>'1-Input'!$B$10/(1+0.04)^('1-Input'!$B$33-'1-Input'!$B$5)-'1-Input'!$B$8</f>
        <v>48493.997860558447</v>
      </c>
      <c r="F21" s="23">
        <f>'1-Input'!$B$10/(1+0.04)^(32)-'1-Input'!$B$8</f>
        <v>48046.352051346359</v>
      </c>
      <c r="G21" s="23">
        <f>'1-Input'!$B$10/(1+0.04)^('P-Parametri'!$B$30-'1-Input'!$B$5)-'1-Input'!$B$8</f>
        <v>25131.857820570061</v>
      </c>
      <c r="H21" s="23">
        <f>'1-Input'!$B$10/(1+0.04)^(35)-'1-Input'!$B$8</f>
        <v>22732.376581832417</v>
      </c>
    </row>
    <row r="22" spans="1:9">
      <c r="A22" s="5" t="s">
        <v>196</v>
      </c>
      <c r="B22" s="23">
        <f>'1-Input'!$B$10/(1+'1-Input'!$B$32)^(10)-'1-Input'!$B$8</f>
        <v>321558.69424233766</v>
      </c>
      <c r="C22" s="23">
        <f>'1-Input'!$B$10/(1+'1-Input'!$B$32)^(20)-'1-Input'!$B$8</f>
        <v>134451.40471259842</v>
      </c>
      <c r="D22" s="23">
        <f>'1-Input'!$B$10/(1+'1-Input'!$B$32)^(25)-'1-Input'!$B$8</f>
        <v>68982.84619627858</v>
      </c>
      <c r="E22" s="23">
        <f>'1-Input'!$B$10/(1+'1-Input'!$B$32)^('1-Input'!$B$33-'1-Input'!$B$5)-'1-Input'!$B$8</f>
        <v>-11.187542788917199</v>
      </c>
      <c r="F22" s="23">
        <f>'1-Input'!$B$10/(1+'1-Input'!$B$32)^(32)-'1-Input'!$B$8</f>
        <v>-430.87334723374806</v>
      </c>
      <c r="G22" s="23">
        <f>'1-Input'!$B$10/(1+'1-Input'!$B$32)^('P-Parametri'!$B$30-'1-Input'!$B$5)-'1-Input'!$B$8</f>
        <v>-21698.784349921683</v>
      </c>
      <c r="H22" s="23">
        <f>'1-Input'!$B$10/(1+'1-Input'!$B$32)^(35)-'1-Input'!$B$8</f>
        <v>-23900.610966317152</v>
      </c>
    </row>
    <row r="23" spans="1:9">
      <c r="A23" s="5" t="s">
        <v>197</v>
      </c>
      <c r="B23" s="23">
        <f>'1-Input'!$B$10/(1+0.05)^(10)-'1-Input'!$B$8</f>
        <v>311130.60283260746</v>
      </c>
      <c r="C23" s="23">
        <f>'1-Input'!$B$10/(1+0.05)^(20)-'1-Input'!$B$8</f>
        <v>121511.58629840048</v>
      </c>
      <c r="D23" s="23">
        <f>'1-Input'!$B$10/(1+0.05)^(25)-'1-Input'!$B$8</f>
        <v>56242.217358209688</v>
      </c>
      <c r="E23" s="23">
        <f>'1-Input'!$B$10/(1+0.05)^('1-Input'!$B$33-'1-Input'!$B$5)-'1-Input'!$B$8</f>
        <v>-11696.990557403886</v>
      </c>
      <c r="F23" s="23">
        <f>'1-Input'!$B$10/(1+0.05)^(32)-'1-Input'!$B$8</f>
        <v>-12107.06673497826</v>
      </c>
      <c r="G23" s="23">
        <f>'1-Input'!$B$10/(1+0.05)^('P-Parametri'!$B$30-'1-Input'!$B$5)-'1-Input'!$B$8</f>
        <v>-32829.315685486683</v>
      </c>
      <c r="H23" s="23">
        <f>'1-Input'!$B$10/(1+0.05)^(35)-'1-Input'!$B$8</f>
        <v>-34967.771717938274</v>
      </c>
    </row>
    <row r="24" spans="1:9">
      <c r="A24" s="5" t="s">
        <v>198</v>
      </c>
      <c r="B24" s="23">
        <f>'1-Input'!$B$10/(1+0.07)^(10)-'1-Input'!$B$8</f>
        <v>226679.43370777421</v>
      </c>
      <c r="C24" s="23">
        <f>'1-Input'!$B$10/(1+0.07)^(20)-'1-Input'!$B$8</f>
        <v>26735.202251094946</v>
      </c>
      <c r="D24" s="23">
        <f>'1-Input'!$B$10/(1+0.07)^(25)-'1-Input'!$B$8</f>
        <v>-32600.657982208329</v>
      </c>
      <c r="E24" s="23">
        <f>'1-Input'!$B$10/(1+0.07)^('1-Input'!$B$33-'1-Input'!$B$5)-'1-Input'!$B$8</f>
        <v>-87896.042776939576</v>
      </c>
      <c r="F24" s="23">
        <f>'1-Input'!$B$10/(1+0.07)^(32)-'1-Input'!$B$8</f>
        <v>-88207.097804461664</v>
      </c>
      <c r="G24" s="23">
        <f>'1-Input'!$B$10/(1+0.07)^('P-Parametri'!$B$30-'1-Input'!$B$5)-'1-Input'!$B$8</f>
        <v>-103533.20260585485</v>
      </c>
      <c r="H24" s="23">
        <f>'1-Input'!$B$10/(1+0.07)^(35)-'1-Input'!$B$8</f>
        <v>-105069.64882413244</v>
      </c>
    </row>
    <row r="27" spans="1:9">
      <c r="A27" s="29" t="s">
        <v>201</v>
      </c>
      <c r="B27" s="27"/>
      <c r="C27" s="27"/>
      <c r="D27" s="27"/>
      <c r="E27" s="27"/>
      <c r="F27" s="27"/>
      <c r="G27" s="27"/>
      <c r="H27" s="27"/>
      <c r="I27" s="27"/>
    </row>
    <row r="28" spans="1:9">
      <c r="A28" s="22" t="s">
        <v>183</v>
      </c>
      <c r="B28" s="22" t="s">
        <v>184</v>
      </c>
      <c r="C28" s="22" t="s">
        <v>185</v>
      </c>
      <c r="D28" s="22" t="s">
        <v>186</v>
      </c>
      <c r="E28" s="22" t="s">
        <v>187</v>
      </c>
      <c r="F28" s="22" t="s">
        <v>188</v>
      </c>
      <c r="G28" s="22" t="s">
        <v>189</v>
      </c>
      <c r="H28" s="22" t="s">
        <v>190</v>
      </c>
    </row>
    <row r="29" spans="1:9">
      <c r="A29" s="5" t="s">
        <v>192</v>
      </c>
      <c r="B29" s="19">
        <f>1-'1-Input'!$B$8/('1-Input'!$B$10/(1+'P-Parametri'!$B$51)^(10))</f>
        <v>0.71727555202720472</v>
      </c>
      <c r="C29" s="19">
        <f>1-'1-Input'!$B$8/('1-Input'!$B$10/(1+'P-Parametri'!$B$51)^(20))</f>
        <v>0.64474171785990286</v>
      </c>
      <c r="D29" s="19">
        <f>1-'1-Input'!$B$8/('1-Input'!$B$10/(1+'P-Parametri'!$B$51)^(25))</f>
        <v>0.60176939391120876</v>
      </c>
      <c r="E29" s="19">
        <f>1-'1-Input'!$B$8/('1-Input'!$B$10/(1+'P-Parametri'!$B$51)^('1-Input'!$B$33-'1-Input'!$B$5))</f>
        <v>0.53327042314427087</v>
      </c>
      <c r="F29" s="19">
        <f>1-'1-Input'!$B$8/('1-Input'!$B$10/(1+'P-Parametri'!$B$51)^(32))</f>
        <v>0.53273717813038335</v>
      </c>
      <c r="G29" s="19">
        <f>1-'1-Input'!$B$8/('1-Input'!$B$10/(1+'P-Parametri'!$B$51)^('P-Parametri'!$B$30-'1-Input'!$B$5))</f>
        <v>0.50301869055941406</v>
      </c>
      <c r="H29" s="19">
        <f>1-'1-Input'!$B$8/('1-Input'!$B$10/(1+'P-Parametri'!$B$51)^(35))</f>
        <v>0.49960209656744337</v>
      </c>
    </row>
    <row r="30" spans="1:9">
      <c r="A30" s="5" t="s">
        <v>193</v>
      </c>
      <c r="B30" s="19">
        <f>1-'1-Input'!$B$8/('1-Input'!$B$10/(1+'1-Input'!$B$12)^(10))</f>
        <v>0.69761881464757258</v>
      </c>
      <c r="C30" s="19">
        <f>1-'1-Input'!$B$8/('1-Input'!$B$10/(1+'1-Input'!$B$12)^(20))</f>
        <v>0.59362497219938204</v>
      </c>
      <c r="D30" s="19">
        <f>1-'1-Input'!$B$8/('1-Input'!$B$10/(1+'1-Input'!$B$12)^(25))</f>
        <v>0.52889996582780197</v>
      </c>
      <c r="E30" s="19">
        <f>1-'1-Input'!$B$8/('1-Input'!$B$10/(1+'1-Input'!$B$12)^('1-Input'!$B$33-'1-Input'!$B$5))</f>
        <v>0.42146205656743463</v>
      </c>
      <c r="F30" s="19">
        <f>1-'1-Input'!$B$8/('1-Input'!$B$10/(1+'1-Input'!$B$12)^(32))</f>
        <v>0.42060637997085049</v>
      </c>
      <c r="G30" s="19">
        <f>1-'1-Input'!$B$8/('1-Input'!$B$10/(1+'1-Input'!$B$12)^('P-Parametri'!$B$30-'1-Input'!$B$5))</f>
        <v>0.37247040076692695</v>
      </c>
      <c r="H30" s="19">
        <f>1-'1-Input'!$B$8/('1-Input'!$B$10/(1+'1-Input'!$B$12)^(35))</f>
        <v>0.36688094776640745</v>
      </c>
    </row>
    <row r="31" spans="1:9">
      <c r="A31" s="5" t="s">
        <v>194</v>
      </c>
      <c r="B31" s="19">
        <f>1-'1-Input'!$B$8/('1-Input'!$B$10/(1+'1-Input'!$B$11)^(10))</f>
        <v>0.68869526006906312</v>
      </c>
      <c r="C31" s="19">
        <f>1-'1-Input'!$B$8/('1-Input'!$B$10/(1+'1-Input'!$B$11)^(20))</f>
        <v>0.56928603954014112</v>
      </c>
      <c r="D31" s="19">
        <f>1-'1-Input'!$B$8/('1-Input'!$B$10/(1+'1-Input'!$B$11)^(25))</f>
        <v>0.49337040453907266</v>
      </c>
      <c r="E31" s="19">
        <f>1-'1-Input'!$B$8/('1-Input'!$B$10/(1+'1-Input'!$B$11)^('1-Input'!$B$33-'1-Input'!$B$5))</f>
        <v>0.36512563615955318</v>
      </c>
      <c r="F31" s="19">
        <f>1-'1-Input'!$B$8/('1-Input'!$B$10/(1+'1-Input'!$B$11)^(32))</f>
        <v>0.36409416983152576</v>
      </c>
      <c r="G31" s="19">
        <f>1-'1-Input'!$B$8/('1-Input'!$B$10/(1+'1-Input'!$B$11)^('P-Parametri'!$B$30-'1-Input'!$B$5))</f>
        <v>0.30583346202985617</v>
      </c>
      <c r="H31" s="19">
        <f>1-'1-Input'!$B$8/('1-Input'!$B$10/(1+'1-Input'!$B$11)^(35))</f>
        <v>0.29903913574986773</v>
      </c>
    </row>
    <row r="32" spans="1:9">
      <c r="A32" s="5" t="s">
        <v>195</v>
      </c>
      <c r="B32" s="19">
        <f>1-'1-Input'!$B$8/('1-Input'!$B$10/(1+0.04)^(10))</f>
        <v>0.6669450358933724</v>
      </c>
      <c r="C32" s="19">
        <f>1-'1-Input'!$B$8/('1-Input'!$B$10/(1+0.04)^(20))</f>
        <v>0.50699729281748018</v>
      </c>
      <c r="D32" s="19">
        <f>1-'1-Input'!$B$8/('1-Input'!$B$10/(1+0.04)^(25))</f>
        <v>0.40018682541532968</v>
      </c>
      <c r="E32" s="19">
        <f>1-'1-Input'!$B$8/('1-Input'!$B$10/(1+0.04)^('1-Input'!$B$33-'1-Input'!$B$5))</f>
        <v>0.21223313660148113</v>
      </c>
      <c r="F32" s="19">
        <f>1-'1-Input'!$B$8/('1-Input'!$B$10/(1+0.04)^(32))</f>
        <v>0.21068678195969726</v>
      </c>
      <c r="G32" s="19">
        <f>1-'1-Input'!$B$8/('1-Input'!$B$10/(1+0.04)^('P-Parametri'!$B$30-'1-Input'!$B$5))</f>
        <v>0.1225156252548204</v>
      </c>
      <c r="H32" s="19">
        <f>1-'1-Input'!$B$8/('1-Input'!$B$10/(1+0.04)^(35))</f>
        <v>0.11212997630231281</v>
      </c>
    </row>
    <row r="33" spans="1:9">
      <c r="A33" s="5" t="s">
        <v>196</v>
      </c>
      <c r="B33" s="19">
        <f>1-'1-Input'!$B$8/('1-Input'!$B$10/(1+'1-Input'!$B$32)^(10))</f>
        <v>0.6411187722068884</v>
      </c>
      <c r="C33" s="19">
        <f>1-'1-Input'!$B$8/('1-Input'!$B$10/(1+'1-Input'!$B$32)^(20))</f>
        <v>0.42757450816759435</v>
      </c>
      <c r="D33" s="19">
        <f>1-'1-Input'!$B$8/('1-Input'!$B$10/(1+'1-Input'!$B$32)^(25))</f>
        <v>0.27705862974149598</v>
      </c>
      <c r="E33" s="19">
        <f>1-'1-Input'!$B$8/('1-Input'!$B$10/(1+'1-Input'!$B$32)^('1-Input'!$B$33-'1-Input'!$B$5))</f>
        <v>-6.2156878731345344E-5</v>
      </c>
      <c r="F33" s="19">
        <f>1-'1-Input'!$B$8/('1-Input'!$B$10/(1+'1-Input'!$B$32)^(32))</f>
        <v>-2.3994845621035932E-3</v>
      </c>
      <c r="G33" s="19">
        <f>1-'1-Input'!$B$8/('1-Input'!$B$10/(1+'1-Input'!$B$32)^('P-Parametri'!$B$30-'1-Input'!$B$5))</f>
        <v>-0.13707275879603098</v>
      </c>
      <c r="H33" s="19">
        <f>1-'1-Input'!$B$8/('1-Input'!$B$10/(1+'1-Input'!$B$32)^(35))</f>
        <v>-0.15311149591469531</v>
      </c>
    </row>
    <row r="34" spans="1:9">
      <c r="A34" s="5" t="s">
        <v>197</v>
      </c>
      <c r="B34" s="19">
        <f>1-'1-Input'!$B$8/('1-Input'!$B$10/(1+0.05)^(10))</f>
        <v>0.63349870897507565</v>
      </c>
      <c r="C34" s="19">
        <f>1-'1-Input'!$B$8/('1-Input'!$B$10/(1+0.05)^(20))</f>
        <v>0.40300801634250527</v>
      </c>
      <c r="D34" s="19">
        <f>1-'1-Input'!$B$8/('1-Input'!$B$10/(1+0.05)^(25))</f>
        <v>0.23807013829763823</v>
      </c>
      <c r="E34" s="19">
        <f>1-'1-Input'!$B$8/('1-Input'!$B$10/(1+0.05)^('1-Input'!$B$33-'1-Input'!$B$5))</f>
        <v>-6.949959240861614E-2</v>
      </c>
      <c r="F34" s="19">
        <f>1-'1-Input'!$B$8/('1-Input'!$B$10/(1+0.05)^(32))</f>
        <v>-7.2111830435811486E-2</v>
      </c>
      <c r="G34" s="19">
        <f>1-'1-Input'!$B$8/('1-Input'!$B$10/(1+0.05)^('P-Parametri'!$B$30-'1-Input'!$B$5))</f>
        <v>-0.22306966797360483</v>
      </c>
      <c r="H34" s="19">
        <f>1-'1-Input'!$B$8/('1-Input'!$B$10/(1+0.05)^(35))</f>
        <v>-0.24110345770825647</v>
      </c>
    </row>
    <row r="35" spans="1:9">
      <c r="A35" s="5" t="s">
        <v>198</v>
      </c>
      <c r="B35" s="19">
        <f>1-'1-Input'!$B$8/('1-Input'!$B$10/(1+0.07)^(10))</f>
        <v>0.55739094460984773</v>
      </c>
      <c r="C35" s="19">
        <f>1-'1-Input'!$B$8/('1-Input'!$B$10/(1+0.07)^(20))</f>
        <v>0.12932099594060953</v>
      </c>
      <c r="D35" s="19">
        <f>1-'1-Input'!$B$8/('1-Input'!$B$10/(1+0.07)^(25))</f>
        <v>-0.22117234402765051</v>
      </c>
      <c r="E35" s="19">
        <f>1-'1-Input'!$B$8/('1-Input'!$B$10/(1+0.07)^('1-Input'!$B$33-'1-Input'!$B$5))</f>
        <v>-0.9543134239506128</v>
      </c>
      <c r="F35" s="19">
        <f>1-'1-Input'!$B$8/('1-Input'!$B$10/(1+0.07)^(32))</f>
        <v>-0.96093592962734586</v>
      </c>
      <c r="G35" s="19">
        <f>1-'1-Input'!$B$8/('1-Input'!$B$10/(1+0.07)^('P-Parametri'!$B$30-'1-Input'!$B$5))</f>
        <v>-1.3539628457590158</v>
      </c>
      <c r="H35" s="19">
        <f>1-'1-Input'!$B$8/('1-Input'!$B$10/(1+0.07)^(35))</f>
        <v>-1.4022308340384728</v>
      </c>
    </row>
    <row r="38" spans="1:9">
      <c r="A38" s="29" t="s">
        <v>202</v>
      </c>
      <c r="B38" s="27"/>
      <c r="C38" s="27"/>
      <c r="D38" s="27"/>
      <c r="E38" s="27"/>
      <c r="F38" s="27"/>
      <c r="G38" s="27"/>
      <c r="H38" s="27"/>
      <c r="I38" s="27"/>
    </row>
    <row r="39" spans="1:9">
      <c r="A39" s="5" t="s">
        <v>203</v>
      </c>
      <c r="B39" s="15">
        <f>'1-Input'!$B$10/(1+'1-Input'!$B$11)^('P-Parametri'!$B$30-'1-Input'!$B$5)-'1-Input'!$B$8</f>
        <v>79303.769562775735</v>
      </c>
    </row>
    <row r="40" spans="1:9">
      <c r="A40" s="5" t="s">
        <v>204</v>
      </c>
      <c r="B40" s="15">
        <f>'1-Input'!$B$10/(1+'1-Input'!$B$12)^('P-Parametri'!$B$30-'1-Input'!$B$5)-'1-Input'!$B$8</f>
        <v>106839.05941645557</v>
      </c>
    </row>
    <row r="41" spans="1:9">
      <c r="A41" s="5" t="s">
        <v>205</v>
      </c>
      <c r="B41" s="15">
        <f>'1-Input'!$B$10/(1+'1-Input'!$B$11)^('1-Input'!$B$33-'1-Input'!$B$5)-'1-Input'!$B$8</f>
        <v>103520.66212148493</v>
      </c>
    </row>
    <row r="42" spans="1:9">
      <c r="A42" s="5" t="s">
        <v>206</v>
      </c>
      <c r="B42" s="15">
        <f>'1-Input'!$B$10/(1+'1-Input'!$B$12)^('1-Input'!$B$33-'1-Input'!$B$5)-'1-Input'!$B$8</f>
        <v>131129.11787951016</v>
      </c>
    </row>
    <row r="43" spans="1:9">
      <c r="A43" s="5" t="s">
        <v>207</v>
      </c>
      <c r="B43" s="15">
        <f>MIN(B39:B42)</f>
        <v>79303.769562775735</v>
      </c>
      <c r="C43" s="15">
        <f>MAX(B39:B42)</f>
        <v>131129.11787951016</v>
      </c>
    </row>
    <row r="44" spans="1:9" ht="30">
      <c r="A44" s="5" t="s">
        <v>208</v>
      </c>
      <c r="B44" s="11">
        <f>('1-Input'!$B$10/'1-Input'!$B$8)^(1/('P-Parametri'!$B$30-'1-Input'!$B$5))-1</f>
        <v>4.3924503553228522E-2</v>
      </c>
    </row>
    <row r="45" spans="1:9">
      <c r="A45" s="5" t="s">
        <v>209</v>
      </c>
      <c r="B45" s="11">
        <f>('1-Input'!$B$10/'1-Input'!$B$8)^(1/('1-Input'!$B$33-'1-Input'!$B$5))-1</f>
        <v>4.7794169638356587E-2</v>
      </c>
    </row>
    <row r="46" spans="1:9" ht="30">
      <c r="A46" s="5" t="s">
        <v>210</v>
      </c>
      <c r="B46" s="11">
        <f>'1-Input'!$B$32</f>
        <v>4.779620799999984E-2</v>
      </c>
    </row>
    <row r="47" spans="1:9" ht="30">
      <c r="A47" s="5" t="s">
        <v>211</v>
      </c>
      <c r="B47" s="12">
        <f>(B46-B44)*10000</f>
        <v>38.71704446771318</v>
      </c>
      <c r="C47" s="12">
        <f>(B46-B45)*10000</f>
        <v>2.0383616432528839E-2</v>
      </c>
    </row>
    <row r="48" spans="1:9">
      <c r="A48" s="5" t="s">
        <v>212</v>
      </c>
      <c r="B48" s="11">
        <f>'1-Input'!$B$30-'P-Parametri'!$B$48</f>
        <v>3.2144429138838755E-2</v>
      </c>
    </row>
    <row r="49" spans="1:9">
      <c r="A49" s="5" t="s">
        <v>213</v>
      </c>
      <c r="B49" s="11">
        <f>(1.05)/((1-'P-Parametri'!$B$41)*(1-'1-Input'!$B$22))-1-'P-Parametri'!$B$48</f>
        <v>4.9212633684202152E-2</v>
      </c>
      <c r="C49" s="11">
        <f>(1.07)/((1-'P-Parametri'!$B$41)*(1-'1-Input'!$B$22))-1-'P-Parametri'!$B$48</f>
        <v>6.9292874325805998E-2</v>
      </c>
    </row>
    <row r="50" spans="1:9">
      <c r="A50" s="5" t="s">
        <v>214</v>
      </c>
      <c r="B50" s="24">
        <f>B49/'P-Parametri'!$C$47</f>
        <v>1.4060752481200613</v>
      </c>
      <c r="C50" s="24">
        <f>C49/'P-Parametri'!$C$47</f>
        <v>1.9797964093087426</v>
      </c>
    </row>
    <row r="52" spans="1:9" ht="30" customHeight="1">
      <c r="A52" s="30" t="s">
        <v>215</v>
      </c>
      <c r="B52" s="27"/>
      <c r="C52" s="27"/>
      <c r="D52" s="27"/>
      <c r="E52" s="27"/>
      <c r="F52" s="27"/>
      <c r="G52" s="27"/>
      <c r="H52" s="27"/>
      <c r="I52" s="27"/>
    </row>
  </sheetData>
  <mergeCells count="8">
    <mergeCell ref="A52:I52"/>
    <mergeCell ref="A2:I2"/>
    <mergeCell ref="A14:I14"/>
    <mergeCell ref="A1:I1"/>
    <mergeCell ref="A27:I27"/>
    <mergeCell ref="A4:I4"/>
    <mergeCell ref="A38:I38"/>
    <mergeCell ref="A16:I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workbookViewId="0"/>
  </sheetViews>
  <sheetFormatPr defaultRowHeight="15"/>
  <cols>
    <col min="1" max="2" width="10" customWidth="1"/>
    <col min="3" max="3" width="12" customWidth="1"/>
    <col min="4" max="4" width="20" customWidth="1"/>
    <col min="5" max="6" width="16" customWidth="1"/>
    <col min="7" max="7" width="18" customWidth="1"/>
    <col min="8" max="9" width="20" customWidth="1"/>
    <col min="10" max="10" width="44" customWidth="1"/>
  </cols>
  <sheetData>
    <row r="1" spans="1:10" ht="24.95" customHeight="1">
      <c r="A1" s="28" t="s">
        <v>216</v>
      </c>
      <c r="B1" s="27"/>
      <c r="C1" s="27"/>
      <c r="D1" s="27"/>
      <c r="E1" s="27"/>
      <c r="F1" s="27"/>
      <c r="G1" s="27"/>
      <c r="H1" s="27"/>
      <c r="I1" s="27"/>
      <c r="J1" s="27"/>
    </row>
    <row r="2" spans="1:10" ht="32.1" customHeight="1">
      <c r="A2" s="26" t="s">
        <v>1</v>
      </c>
      <c r="B2" s="27"/>
      <c r="C2" s="27"/>
      <c r="D2" s="27"/>
      <c r="E2" s="27"/>
      <c r="F2" s="27"/>
      <c r="G2" s="27"/>
      <c r="H2" s="27"/>
      <c r="I2" s="27"/>
      <c r="J2" s="27"/>
    </row>
    <row r="4" spans="1:10">
      <c r="A4" s="29" t="s">
        <v>217</v>
      </c>
      <c r="B4" s="27"/>
      <c r="C4" s="27"/>
      <c r="D4" s="27"/>
      <c r="E4" s="27"/>
      <c r="F4" s="27"/>
      <c r="G4" s="27"/>
      <c r="H4" s="27"/>
      <c r="I4" s="27"/>
      <c r="J4" s="27"/>
    </row>
    <row r="5" spans="1:10" ht="30">
      <c r="A5" s="22" t="s">
        <v>218</v>
      </c>
      <c r="B5" s="22" t="s">
        <v>219</v>
      </c>
      <c r="C5" s="22" t="s">
        <v>220</v>
      </c>
      <c r="D5" s="22" t="s">
        <v>221</v>
      </c>
      <c r="E5" s="22" t="s">
        <v>222</v>
      </c>
      <c r="F5" s="22" t="s">
        <v>223</v>
      </c>
      <c r="G5" s="22" t="s">
        <v>224</v>
      </c>
      <c r="H5" s="22" t="s">
        <v>225</v>
      </c>
      <c r="I5" s="22" t="s">
        <v>226</v>
      </c>
    </row>
    <row r="6" spans="1:10">
      <c r="A6" s="14">
        <f>'P-Parametri'!$B$68+0</f>
        <v>2026</v>
      </c>
      <c r="B6" s="14">
        <f>'1-Input'!$B$5+0</f>
        <v>35</v>
      </c>
      <c r="C6" s="13">
        <f>MAX(0,MIN(1,'1-Input'!$B$35-0))</f>
        <v>1</v>
      </c>
      <c r="D6" s="15">
        <f>'1-Input'!$B$8</f>
        <v>180000</v>
      </c>
      <c r="E6" s="15">
        <f>D6*((1+'1-Input'!$B$30)^C6-1)</f>
        <v>6685.9972449909756</v>
      </c>
      <c r="F6" s="15">
        <f>(D6+E6)*(1-(1-'P-Parametri'!$B$41)^C6)</f>
        <v>373.37199448998228</v>
      </c>
      <c r="G6" s="15">
        <f>(D6+E6-F6)*(1-(1-'1-Input'!$B$22)^C6)</f>
        <v>372.62525050100237</v>
      </c>
      <c r="H6" s="15">
        <f>G6</f>
        <v>372.62525050100237</v>
      </c>
      <c r="I6" s="15">
        <f t="shared" ref="I6:I41" si="0">D6+E6-F6-G6</f>
        <v>185940</v>
      </c>
    </row>
    <row r="7" spans="1:10">
      <c r="A7" s="14">
        <f>'P-Parametri'!$B$68+1</f>
        <v>2027</v>
      </c>
      <c r="B7" s="14">
        <f>'1-Input'!$B$5+1</f>
        <v>36</v>
      </c>
      <c r="C7" s="13">
        <f>MAX(0,MIN(1,'1-Input'!$B$35-1))</f>
        <v>1</v>
      </c>
      <c r="D7" s="15">
        <f t="shared" ref="D7:D41" si="1">I6</f>
        <v>185940</v>
      </c>
      <c r="E7" s="15">
        <f>D7*((1+'1-Input'!$B$30)^C7-1)</f>
        <v>6906.6351540756777</v>
      </c>
      <c r="F7" s="15">
        <f>(D7+E7)*(1-(1-'P-Parametri'!$B$41)^C7)</f>
        <v>385.69327030815174</v>
      </c>
      <c r="G7" s="15">
        <f>(D7+E7-F7)*(1-(1-'1-Input'!$B$22)^C7)</f>
        <v>384.92188376753546</v>
      </c>
      <c r="H7" s="15">
        <f t="shared" ref="H7:H41" si="2">H6+G7</f>
        <v>757.54713426853777</v>
      </c>
      <c r="I7" s="15">
        <f t="shared" si="0"/>
        <v>192076.02000000002</v>
      </c>
    </row>
    <row r="8" spans="1:10">
      <c r="A8" s="14">
        <f>'P-Parametri'!$B$68+2</f>
        <v>2028</v>
      </c>
      <c r="B8" s="14">
        <f>'1-Input'!$B$5+2</f>
        <v>37</v>
      </c>
      <c r="C8" s="13">
        <f>MAX(0,MIN(1,'1-Input'!$B$35-2))</f>
        <v>1</v>
      </c>
      <c r="D8" s="15">
        <f t="shared" si="1"/>
        <v>192076.02000000002</v>
      </c>
      <c r="E8" s="15">
        <f>D8*((1+'1-Input'!$B$30)^C8-1)</f>
        <v>7134.5541141601761</v>
      </c>
      <c r="F8" s="15">
        <f>(D8+E8)*(1-(1-'P-Parametri'!$B$41)^C8)</f>
        <v>398.42114822832076</v>
      </c>
      <c r="G8" s="15">
        <f>(D8+E8-F8)*(1-(1-'1-Input'!$B$22)^C8)</f>
        <v>397.62430593186411</v>
      </c>
      <c r="H8" s="15">
        <f t="shared" si="2"/>
        <v>1155.1714402004018</v>
      </c>
      <c r="I8" s="15">
        <f t="shared" si="0"/>
        <v>198414.52866000004</v>
      </c>
    </row>
    <row r="9" spans="1:10">
      <c r="A9" s="14">
        <f>'P-Parametri'!$B$68+3</f>
        <v>2029</v>
      </c>
      <c r="B9" s="14">
        <f>'1-Input'!$B$5+3</f>
        <v>38</v>
      </c>
      <c r="C9" s="13">
        <f>MAX(0,MIN(1,'1-Input'!$B$35-3))</f>
        <v>1</v>
      </c>
      <c r="D9" s="15">
        <f t="shared" si="1"/>
        <v>198414.52866000004</v>
      </c>
      <c r="E9" s="15">
        <f>D9*((1+'1-Input'!$B$30)^C9-1)</f>
        <v>7369.9943999274619</v>
      </c>
      <c r="F9" s="15">
        <f>(D9+E9)*(1-(1-'P-Parametri'!$B$41)^C9)</f>
        <v>411.56904611985539</v>
      </c>
      <c r="G9" s="15">
        <f>(D9+E9-F9)*(1-(1-'1-Input'!$B$22)^C9)</f>
        <v>410.74590802761566</v>
      </c>
      <c r="H9" s="15">
        <f t="shared" si="2"/>
        <v>1565.9173482280175</v>
      </c>
      <c r="I9" s="15">
        <f t="shared" si="0"/>
        <v>204962.20810578004</v>
      </c>
    </row>
    <row r="10" spans="1:10">
      <c r="A10" s="14">
        <f>'P-Parametri'!$B$68+4</f>
        <v>2030</v>
      </c>
      <c r="B10" s="14">
        <f>'1-Input'!$B$5+4</f>
        <v>39</v>
      </c>
      <c r="C10" s="13">
        <f>MAX(0,MIN(1,'1-Input'!$B$35-4))</f>
        <v>1</v>
      </c>
      <c r="D10" s="15">
        <f t="shared" si="1"/>
        <v>204962.20810578004</v>
      </c>
      <c r="E10" s="15">
        <f>D10*((1+'1-Input'!$B$30)^C10-1)</f>
        <v>7613.204215125068</v>
      </c>
      <c r="F10" s="15">
        <f>(D10+E10)*(1-(1-'P-Parametri'!$B$41)^C10)</f>
        <v>425.15082464181057</v>
      </c>
      <c r="G10" s="15">
        <f>(D10+E10-F10)*(1-(1-'1-Input'!$B$22)^C10)</f>
        <v>424.30052299252696</v>
      </c>
      <c r="H10" s="15">
        <f t="shared" si="2"/>
        <v>1990.2178712205446</v>
      </c>
      <c r="I10" s="15">
        <f t="shared" si="0"/>
        <v>211725.96097327076</v>
      </c>
    </row>
    <row r="11" spans="1:10">
      <c r="A11" s="14">
        <f>'P-Parametri'!$B$68+5</f>
        <v>2031</v>
      </c>
      <c r="B11" s="14">
        <f>'1-Input'!$B$5+5</f>
        <v>40</v>
      </c>
      <c r="C11" s="13">
        <f>MAX(0,MIN(1,'1-Input'!$B$35-5))</f>
        <v>1</v>
      </c>
      <c r="D11" s="15">
        <f t="shared" si="1"/>
        <v>211725.96097327076</v>
      </c>
      <c r="E11" s="15">
        <f>D11*((1+'1-Input'!$B$30)^C11-1)</f>
        <v>7864.4399542241954</v>
      </c>
      <c r="F11" s="15">
        <f>(D11+E11)*(1-(1-'P-Parametri'!$B$41)^C11)</f>
        <v>439.18080185499031</v>
      </c>
      <c r="G11" s="15">
        <f>(D11+E11-F11)*(1-(1-'1-Input'!$B$22)^C11)</f>
        <v>438.3024402512803</v>
      </c>
      <c r="H11" s="15">
        <f t="shared" si="2"/>
        <v>2428.5203114718247</v>
      </c>
      <c r="I11" s="15">
        <f t="shared" si="0"/>
        <v>218712.91768538867</v>
      </c>
    </row>
    <row r="12" spans="1:10">
      <c r="A12" s="14">
        <f>'P-Parametri'!$B$68+6</f>
        <v>2032</v>
      </c>
      <c r="B12" s="14">
        <f>'1-Input'!$B$5+6</f>
        <v>41</v>
      </c>
      <c r="C12" s="13">
        <f>MAX(0,MIN(1,'1-Input'!$B$35-6))</f>
        <v>1</v>
      </c>
      <c r="D12" s="15">
        <f t="shared" si="1"/>
        <v>218712.91768538867</v>
      </c>
      <c r="E12" s="15">
        <f>D12*((1+'1-Input'!$B$30)^C12-1)</f>
        <v>8123.9664727135923</v>
      </c>
      <c r="F12" s="15">
        <f>(D12+E12)*(1-(1-'P-Parametri'!$B$41)^C12)</f>
        <v>453.67376831620493</v>
      </c>
      <c r="G12" s="15">
        <f>(D12+E12-F12)*(1-(1-'1-Input'!$B$22)^C12)</f>
        <v>452.76642077957257</v>
      </c>
      <c r="H12" s="15">
        <f t="shared" si="2"/>
        <v>2881.2867322513971</v>
      </c>
      <c r="I12" s="15">
        <f t="shared" si="0"/>
        <v>225930.4439690065</v>
      </c>
    </row>
    <row r="13" spans="1:10">
      <c r="A13" s="14">
        <f>'P-Parametri'!$B$68+7</f>
        <v>2033</v>
      </c>
      <c r="B13" s="14">
        <f>'1-Input'!$B$5+7</f>
        <v>42</v>
      </c>
      <c r="C13" s="13">
        <f>MAX(0,MIN(1,'1-Input'!$B$35-7))</f>
        <v>1</v>
      </c>
      <c r="D13" s="15">
        <f t="shared" si="1"/>
        <v>225930.4439690065</v>
      </c>
      <c r="E13" s="15">
        <f>D13*((1+'1-Input'!$B$30)^C13-1)</f>
        <v>8392.0573663131418</v>
      </c>
      <c r="F13" s="15">
        <f>(D13+E13)*(1-(1-'P-Parametri'!$B$41)^C13)</f>
        <v>468.64500267063971</v>
      </c>
      <c r="G13" s="15">
        <f>(D13+E13-F13)*(1-(1-'1-Input'!$B$22)^C13)</f>
        <v>467.70771266529846</v>
      </c>
      <c r="H13" s="15">
        <f t="shared" si="2"/>
        <v>3348.9944449166956</v>
      </c>
      <c r="I13" s="15">
        <f t="shared" si="0"/>
        <v>233386.14861998372</v>
      </c>
    </row>
    <row r="14" spans="1:10">
      <c r="A14" s="14">
        <f>'P-Parametri'!$B$68+8</f>
        <v>2034</v>
      </c>
      <c r="B14" s="14">
        <f>'1-Input'!$B$5+8</f>
        <v>43</v>
      </c>
      <c r="C14" s="13">
        <f>MAX(0,MIN(1,'1-Input'!$B$35-8))</f>
        <v>1</v>
      </c>
      <c r="D14" s="15">
        <f t="shared" si="1"/>
        <v>233386.14861998372</v>
      </c>
      <c r="E14" s="15">
        <f>D14*((1+'1-Input'!$B$30)^C14-1)</f>
        <v>8668.9952594014758</v>
      </c>
      <c r="F14" s="15">
        <f>(D14+E14)*(1-(1-'P-Parametri'!$B$41)^C14)</f>
        <v>484.11028775877082</v>
      </c>
      <c r="G14" s="15">
        <f>(D14+E14-F14)*(1-(1-'1-Input'!$B$22)^C14)</f>
        <v>483.14206718325329</v>
      </c>
      <c r="H14" s="15">
        <f t="shared" si="2"/>
        <v>3832.136512099949</v>
      </c>
      <c r="I14" s="15">
        <f t="shared" si="0"/>
        <v>241087.89152444317</v>
      </c>
    </row>
    <row r="15" spans="1:10">
      <c r="A15" s="14">
        <f>'P-Parametri'!$B$68+9</f>
        <v>2035</v>
      </c>
      <c r="B15" s="14">
        <f>'1-Input'!$B$5+9</f>
        <v>44</v>
      </c>
      <c r="C15" s="13">
        <f>MAX(0,MIN(1,'1-Input'!$B$35-9))</f>
        <v>1</v>
      </c>
      <c r="D15" s="15">
        <f t="shared" si="1"/>
        <v>241087.89152444317</v>
      </c>
      <c r="E15" s="15">
        <f>D15*((1+'1-Input'!$B$30)^C15-1)</f>
        <v>8955.0721029617234</v>
      </c>
      <c r="F15" s="15">
        <f>(D15+E15)*(1-(1-'P-Parametri'!$B$41)^C15)</f>
        <v>500.0859272548102</v>
      </c>
      <c r="G15" s="15">
        <f>(D15+E15-F15)*(1-(1-'1-Input'!$B$22)^C15)</f>
        <v>499.08575540030057</v>
      </c>
      <c r="H15" s="15">
        <f t="shared" si="2"/>
        <v>4331.2222675002495</v>
      </c>
      <c r="I15" s="15">
        <f t="shared" si="0"/>
        <v>249043.79194474977</v>
      </c>
    </row>
    <row r="16" spans="1:10">
      <c r="A16" s="14">
        <f>'P-Parametri'!$B$68+10</f>
        <v>2036</v>
      </c>
      <c r="B16" s="14">
        <f>'1-Input'!$B$5+10</f>
        <v>45</v>
      </c>
      <c r="C16" s="13">
        <f>MAX(0,MIN(1,'1-Input'!$B$35-10))</f>
        <v>1</v>
      </c>
      <c r="D16" s="15">
        <f t="shared" si="1"/>
        <v>249043.79194474977</v>
      </c>
      <c r="E16" s="15">
        <f>D16*((1+'1-Input'!$B$30)^C16-1)</f>
        <v>9250.589482359459</v>
      </c>
      <c r="F16" s="15">
        <f>(D16+E16)*(1-(1-'P-Parametri'!$B$41)^C16)</f>
        <v>516.58876285421888</v>
      </c>
      <c r="G16" s="15">
        <f>(D16+E16-F16)*(1-(1-'1-Input'!$B$22)^C16)</f>
        <v>515.55558532851046</v>
      </c>
      <c r="H16" s="15">
        <f t="shared" si="2"/>
        <v>4846.7778528287599</v>
      </c>
      <c r="I16" s="15">
        <f t="shared" si="0"/>
        <v>257262.2370789265</v>
      </c>
    </row>
    <row r="17" spans="1:9">
      <c r="A17" s="14">
        <f>'P-Parametri'!$B$68+11</f>
        <v>2037</v>
      </c>
      <c r="B17" s="14">
        <f>'1-Input'!$B$5+11</f>
        <v>46</v>
      </c>
      <c r="C17" s="13">
        <f>MAX(0,MIN(1,'1-Input'!$B$35-11))</f>
        <v>1</v>
      </c>
      <c r="D17" s="15">
        <f t="shared" si="1"/>
        <v>257262.2370789265</v>
      </c>
      <c r="E17" s="15">
        <f>D17*((1+'1-Input'!$B$30)^C17-1)</f>
        <v>9555.8589352773215</v>
      </c>
      <c r="F17" s="15">
        <f>(D17+E17)*(1-(1-'P-Parametri'!$B$41)^C17)</f>
        <v>533.63619202840812</v>
      </c>
      <c r="G17" s="15">
        <f>(D17+E17-F17)*(1-(1-'1-Input'!$B$22)^C17)</f>
        <v>532.56891964435124</v>
      </c>
      <c r="H17" s="15">
        <f t="shared" si="2"/>
        <v>5379.3467724731108</v>
      </c>
      <c r="I17" s="15">
        <f t="shared" si="0"/>
        <v>265751.89090253104</v>
      </c>
    </row>
    <row r="18" spans="1:9">
      <c r="A18" s="14">
        <f>'P-Parametri'!$B$68+12</f>
        <v>2038</v>
      </c>
      <c r="B18" s="14">
        <f>'1-Input'!$B$5+12</f>
        <v>47</v>
      </c>
      <c r="C18" s="13">
        <f>MAX(0,MIN(1,'1-Input'!$B$35-12))</f>
        <v>1</v>
      </c>
      <c r="D18" s="15">
        <f t="shared" si="1"/>
        <v>265751.89090253104</v>
      </c>
      <c r="E18" s="15">
        <f>D18*((1+'1-Input'!$B$30)^C18-1)</f>
        <v>9871.2022801414714</v>
      </c>
      <c r="F18" s="15">
        <f>(D18+E18)*(1-(1-'P-Parametri'!$B$41)^C18)</f>
        <v>551.24618636534547</v>
      </c>
      <c r="G18" s="15">
        <f>(D18+E18-F18)*(1-(1-'1-Input'!$B$22)^C18)</f>
        <v>550.14369399261477</v>
      </c>
      <c r="H18" s="15">
        <f t="shared" si="2"/>
        <v>5929.4904664657261</v>
      </c>
      <c r="I18" s="15">
        <f t="shared" si="0"/>
        <v>274521.7033023145</v>
      </c>
    </row>
    <row r="19" spans="1:9">
      <c r="A19" s="14">
        <f>'P-Parametri'!$B$68+13</f>
        <v>2039</v>
      </c>
      <c r="B19" s="14">
        <f>'1-Input'!$B$5+13</f>
        <v>48</v>
      </c>
      <c r="C19" s="13">
        <f>MAX(0,MIN(1,'1-Input'!$B$35-13))</f>
        <v>1</v>
      </c>
      <c r="D19" s="15">
        <f t="shared" si="1"/>
        <v>274521.7033023145</v>
      </c>
      <c r="E19" s="15">
        <f>D19*((1+'1-Input'!$B$30)^C19-1)</f>
        <v>10196.951955386137</v>
      </c>
      <c r="F19" s="15">
        <f>(D19+E19)*(1-(1-'P-Parametri'!$B$41)^C19)</f>
        <v>569.4373105154018</v>
      </c>
      <c r="G19" s="15">
        <f>(D19+E19-F19)*(1-(1-'1-Input'!$B$22)^C19)</f>
        <v>568.2984358943711</v>
      </c>
      <c r="H19" s="15">
        <f t="shared" si="2"/>
        <v>6497.7889023600974</v>
      </c>
      <c r="I19" s="15">
        <f t="shared" si="0"/>
        <v>283580.91951129091</v>
      </c>
    </row>
    <row r="20" spans="1:9">
      <c r="A20" s="14">
        <f>'P-Parametri'!$B$68+14</f>
        <v>2040</v>
      </c>
      <c r="B20" s="14">
        <f>'1-Input'!$B$5+14</f>
        <v>49</v>
      </c>
      <c r="C20" s="13">
        <f>MAX(0,MIN(1,'1-Input'!$B$35-14))</f>
        <v>1</v>
      </c>
      <c r="D20" s="15">
        <f t="shared" si="1"/>
        <v>283580.91951129091</v>
      </c>
      <c r="E20" s="15">
        <f>D20*((1+'1-Input'!$B$30)^C20-1)</f>
        <v>10533.451369913881</v>
      </c>
      <c r="F20" s="15">
        <f>(D20+E20)*(1-(1-'P-Parametri'!$B$41)^C20)</f>
        <v>588.2287417624101</v>
      </c>
      <c r="G20" s="15">
        <f>(D20+E20-F20)*(1-(1-'1-Input'!$B$22)^C20)</f>
        <v>587.05228427888528</v>
      </c>
      <c r="H20" s="15">
        <f t="shared" si="2"/>
        <v>7084.8411866389824</v>
      </c>
      <c r="I20" s="15">
        <f t="shared" si="0"/>
        <v>292939.08985516347</v>
      </c>
    </row>
    <row r="21" spans="1:9">
      <c r="A21" s="14">
        <f>'P-Parametri'!$B$68+15</f>
        <v>2041</v>
      </c>
      <c r="B21" s="14">
        <f>'1-Input'!$B$5+15</f>
        <v>50</v>
      </c>
      <c r="C21" s="13">
        <f>MAX(0,MIN(1,'1-Input'!$B$35-15))</f>
        <v>1</v>
      </c>
      <c r="D21" s="15">
        <f t="shared" si="1"/>
        <v>292939.08985516347</v>
      </c>
      <c r="E21" s="15">
        <f>D21*((1+'1-Input'!$B$30)^C21-1)</f>
        <v>10881.055265121038</v>
      </c>
      <c r="F21" s="15">
        <f>(D21+E21)*(1-(1-'P-Parametri'!$B$41)^C21)</f>
        <v>607.64029024056958</v>
      </c>
      <c r="G21" s="15">
        <f>(D21+E21-F21)*(1-(1-'1-Input'!$B$22)^C21)</f>
        <v>606.42500966008845</v>
      </c>
      <c r="H21" s="15">
        <f t="shared" si="2"/>
        <v>7691.2661962990705</v>
      </c>
      <c r="I21" s="15">
        <f t="shared" si="0"/>
        <v>302606.07982038386</v>
      </c>
    </row>
    <row r="22" spans="1:9">
      <c r="A22" s="14">
        <f>'P-Parametri'!$B$68+16</f>
        <v>2042</v>
      </c>
      <c r="B22" s="14">
        <f>'1-Input'!$B$5+16</f>
        <v>51</v>
      </c>
      <c r="C22" s="13">
        <f>MAX(0,MIN(1,'1-Input'!$B$35-16))</f>
        <v>1</v>
      </c>
      <c r="D22" s="15">
        <f t="shared" si="1"/>
        <v>302606.07982038386</v>
      </c>
      <c r="E22" s="15">
        <f>D22*((1+'1-Input'!$B$30)^C22-1)</f>
        <v>11240.130088870032</v>
      </c>
      <c r="F22" s="15">
        <f>(D22+E22)*(1-(1-'P-Parametri'!$B$41)^C22)</f>
        <v>627.69241981850826</v>
      </c>
      <c r="G22" s="15">
        <f>(D22+E22-F22)*(1-(1-'1-Input'!$B$22)^C22)</f>
        <v>626.43703497887134</v>
      </c>
      <c r="H22" s="15">
        <f t="shared" si="2"/>
        <v>8317.7032312779411</v>
      </c>
      <c r="I22" s="15">
        <f t="shared" si="0"/>
        <v>312592.0804544565</v>
      </c>
    </row>
    <row r="23" spans="1:9">
      <c r="A23" s="14">
        <f>'P-Parametri'!$B$68+17</f>
        <v>2043</v>
      </c>
      <c r="B23" s="14">
        <f>'1-Input'!$B$5+17</f>
        <v>52</v>
      </c>
      <c r="C23" s="13">
        <f>MAX(0,MIN(1,'1-Input'!$B$35-17))</f>
        <v>1</v>
      </c>
      <c r="D23" s="15">
        <f t="shared" si="1"/>
        <v>312592.0804544565</v>
      </c>
      <c r="E23" s="15">
        <f>D23*((1+'1-Input'!$B$30)^C23-1)</f>
        <v>11611.054381802742</v>
      </c>
      <c r="F23" s="15">
        <f>(D23+E23)*(1-(1-'P-Parametri'!$B$41)^C23)</f>
        <v>648.4062696725191</v>
      </c>
      <c r="G23" s="15">
        <f>(D23+E23-F23)*(1-(1-'1-Input'!$B$22)^C23)</f>
        <v>647.10945713317403</v>
      </c>
      <c r="H23" s="15">
        <f t="shared" si="2"/>
        <v>8964.8126884111152</v>
      </c>
      <c r="I23" s="15">
        <f t="shared" si="0"/>
        <v>322907.61910945358</v>
      </c>
    </row>
    <row r="24" spans="1:9">
      <c r="A24" s="14">
        <f>'P-Parametri'!$B$68+18</f>
        <v>2044</v>
      </c>
      <c r="B24" s="14">
        <f>'1-Input'!$B$5+18</f>
        <v>53</v>
      </c>
      <c r="C24" s="13">
        <f>MAX(0,MIN(1,'1-Input'!$B$35-18))</f>
        <v>1</v>
      </c>
      <c r="D24" s="15">
        <f t="shared" si="1"/>
        <v>322907.61910945358</v>
      </c>
      <c r="E24" s="15">
        <f>D24*((1+'1-Input'!$B$30)^C24-1)</f>
        <v>11994.219176402232</v>
      </c>
      <c r="F24" s="15">
        <f>(D24+E24)*(1-(1-'P-Parametri'!$B$41)^C24)</f>
        <v>669.80367657171223</v>
      </c>
      <c r="G24" s="15">
        <f>(D24+E24-F24)*(1-(1-'1-Input'!$B$22)^C24)</f>
        <v>668.46406921856885</v>
      </c>
      <c r="H24" s="15">
        <f t="shared" si="2"/>
        <v>9633.2767576296847</v>
      </c>
      <c r="I24" s="15">
        <f t="shared" si="0"/>
        <v>333563.57054006559</v>
      </c>
    </row>
    <row r="25" spans="1:9">
      <c r="A25" s="14">
        <f>'P-Parametri'!$B$68+19</f>
        <v>2045</v>
      </c>
      <c r="B25" s="14">
        <f>'1-Input'!$B$5+19</f>
        <v>54</v>
      </c>
      <c r="C25" s="13">
        <f>MAX(0,MIN(1,'1-Input'!$B$35-19))</f>
        <v>1</v>
      </c>
      <c r="D25" s="15">
        <f t="shared" si="1"/>
        <v>333563.57054006559</v>
      </c>
      <c r="E25" s="15">
        <f>D25*((1+'1-Input'!$B$30)^C25-1)</f>
        <v>12390.028409223507</v>
      </c>
      <c r="F25" s="15">
        <f>(D25+E25)*(1-(1-'P-Parametri'!$B$41)^C25)</f>
        <v>691.90719789857872</v>
      </c>
      <c r="G25" s="15">
        <f>(D25+E25-F25)*(1-(1-'1-Input'!$B$22)^C25)</f>
        <v>690.52338350278148</v>
      </c>
      <c r="H25" s="15">
        <f t="shared" si="2"/>
        <v>10323.800141132466</v>
      </c>
      <c r="I25" s="15">
        <f t="shared" si="0"/>
        <v>344571.16836788767</v>
      </c>
    </row>
    <row r="26" spans="1:9">
      <c r="A26" s="14">
        <f>'P-Parametri'!$B$68+20</f>
        <v>2046</v>
      </c>
      <c r="B26" s="14">
        <f>'1-Input'!$B$5+20</f>
        <v>55</v>
      </c>
      <c r="C26" s="13">
        <f>MAX(0,MIN(1,'1-Input'!$B$35-20))</f>
        <v>1</v>
      </c>
      <c r="D26" s="15">
        <f t="shared" si="1"/>
        <v>344571.16836788767</v>
      </c>
      <c r="E26" s="15">
        <f>D26*((1+'1-Input'!$B$30)^C26-1)</f>
        <v>12798.899346727881</v>
      </c>
      <c r="F26" s="15">
        <f>(D26+E26)*(1-(1-'P-Parametri'!$B$41)^C26)</f>
        <v>714.74013542923171</v>
      </c>
      <c r="G26" s="15">
        <f>(D26+E26-F26)*(1-(1-'1-Input'!$B$22)^C26)</f>
        <v>713.31065515837327</v>
      </c>
      <c r="H26" s="15">
        <f t="shared" si="2"/>
        <v>11037.110796290839</v>
      </c>
      <c r="I26" s="15">
        <f t="shared" si="0"/>
        <v>355942.01692402794</v>
      </c>
    </row>
    <row r="27" spans="1:9">
      <c r="A27" s="14">
        <f>'P-Parametri'!$B$68+21</f>
        <v>2047</v>
      </c>
      <c r="B27" s="14">
        <f>'1-Input'!$B$5+21</f>
        <v>56</v>
      </c>
      <c r="C27" s="13">
        <f>MAX(0,MIN(1,'1-Input'!$B$35-21))</f>
        <v>1</v>
      </c>
      <c r="D27" s="15">
        <f t="shared" si="1"/>
        <v>355942.01692402794</v>
      </c>
      <c r="E27" s="15">
        <f>D27*((1+'1-Input'!$B$30)^C27-1)</f>
        <v>13221.263025169899</v>
      </c>
      <c r="F27" s="15">
        <f>(D27+E27)*(1-(1-'P-Parametri'!$B$41)^C27)</f>
        <v>738.32655989839634</v>
      </c>
      <c r="G27" s="15">
        <f>(D27+E27-F27)*(1-(1-'1-Input'!$B$22)^C27)</f>
        <v>736.84990677859957</v>
      </c>
      <c r="H27" s="15">
        <f t="shared" si="2"/>
        <v>11773.960703069439</v>
      </c>
      <c r="I27" s="15">
        <f t="shared" si="0"/>
        <v>367688.10348252085</v>
      </c>
    </row>
    <row r="28" spans="1:9">
      <c r="A28" s="14">
        <f>'P-Parametri'!$B$68+22</f>
        <v>2048</v>
      </c>
      <c r="B28" s="14">
        <f>'1-Input'!$B$5+22</f>
        <v>57</v>
      </c>
      <c r="C28" s="13">
        <f>MAX(0,MIN(1,'1-Input'!$B$35-22))</f>
        <v>1</v>
      </c>
      <c r="D28" s="15">
        <f t="shared" si="1"/>
        <v>367688.10348252085</v>
      </c>
      <c r="E28" s="15">
        <f>D28*((1+'1-Input'!$B$30)^C28-1)</f>
        <v>13657.564705000506</v>
      </c>
      <c r="F28" s="15">
        <f>(D28+E28)*(1-(1-'P-Parametri'!$B$41)^C28)</f>
        <v>762.69133637504331</v>
      </c>
      <c r="G28" s="15">
        <f>(D28+E28-F28)*(1-(1-'1-Input'!$B$22)^C28)</f>
        <v>761.16595370229334</v>
      </c>
      <c r="H28" s="15">
        <f t="shared" si="2"/>
        <v>12535.126656771732</v>
      </c>
      <c r="I28" s="15">
        <f t="shared" si="0"/>
        <v>379821.81089744403</v>
      </c>
    </row>
    <row r="29" spans="1:9">
      <c r="A29" s="14">
        <f>'P-Parametri'!$B$68+23</f>
        <v>2049</v>
      </c>
      <c r="B29" s="14">
        <f>'1-Input'!$B$5+23</f>
        <v>58</v>
      </c>
      <c r="C29" s="13">
        <f>MAX(0,MIN(1,'1-Input'!$B$35-23))</f>
        <v>1</v>
      </c>
      <c r="D29" s="15">
        <f t="shared" si="1"/>
        <v>379821.81089744403</v>
      </c>
      <c r="E29" s="15">
        <f>D29*((1+'1-Input'!$B$30)^C29-1)</f>
        <v>14108.264340265523</v>
      </c>
      <c r="F29" s="15">
        <f>(D29+E29)*(1-(1-'P-Parametri'!$B$41)^C29)</f>
        <v>787.8601504754198</v>
      </c>
      <c r="G29" s="15">
        <f>(D29+E29-F29)*(1-(1-'1-Input'!$B$22)^C29)</f>
        <v>786.28443017446898</v>
      </c>
      <c r="H29" s="15">
        <f t="shared" si="2"/>
        <v>13321.411086946202</v>
      </c>
      <c r="I29" s="15">
        <f t="shared" si="0"/>
        <v>392355.93065705971</v>
      </c>
    </row>
    <row r="30" spans="1:9">
      <c r="A30" s="14">
        <f>'P-Parametri'!$B$68+24</f>
        <v>2050</v>
      </c>
      <c r="B30" s="14">
        <f>'1-Input'!$B$5+24</f>
        <v>59</v>
      </c>
      <c r="C30" s="13">
        <f>MAX(0,MIN(1,'1-Input'!$B$35-24))</f>
        <v>1</v>
      </c>
      <c r="D30" s="15">
        <f t="shared" si="1"/>
        <v>392355.93065705971</v>
      </c>
      <c r="E30" s="15">
        <f>D30*((1+'1-Input'!$B$30)^C30-1)</f>
        <v>14573.837063494286</v>
      </c>
      <c r="F30" s="15">
        <f>(D30+E30)*(1-(1-'P-Parametri'!$B$41)^C30)</f>
        <v>813.85953544110873</v>
      </c>
      <c r="G30" s="15">
        <f>(D30+E30-F30)*(1-(1-'1-Input'!$B$22)^C30)</f>
        <v>812.23181637022662</v>
      </c>
      <c r="H30" s="15">
        <f t="shared" si="2"/>
        <v>14133.642903316428</v>
      </c>
      <c r="I30" s="15">
        <f t="shared" si="0"/>
        <v>405303.67636874272</v>
      </c>
    </row>
    <row r="31" spans="1:9">
      <c r="A31" s="14">
        <f>'P-Parametri'!$B$68+25</f>
        <v>2051</v>
      </c>
      <c r="B31" s="14">
        <f>'1-Input'!$B$5+25</f>
        <v>60</v>
      </c>
      <c r="C31" s="13">
        <f>MAX(0,MIN(1,'1-Input'!$B$35-25))</f>
        <v>1</v>
      </c>
      <c r="D31" s="15">
        <f t="shared" si="1"/>
        <v>405303.67636874272</v>
      </c>
      <c r="E31" s="15">
        <f>D31*((1+'1-Input'!$B$30)^C31-1)</f>
        <v>15054.773686589599</v>
      </c>
      <c r="F31" s="15">
        <f>(D31+E31)*(1-(1-'P-Parametri'!$B$41)^C31)</f>
        <v>840.71690011066539</v>
      </c>
      <c r="G31" s="15">
        <f>(D31+E31-F31)*(1-(1-'1-Input'!$B$22)^C31)</f>
        <v>839.03546631044412</v>
      </c>
      <c r="H31" s="15">
        <f t="shared" si="2"/>
        <v>14972.678369626872</v>
      </c>
      <c r="I31" s="15">
        <f t="shared" si="0"/>
        <v>418678.69768891123</v>
      </c>
    </row>
    <row r="32" spans="1:9">
      <c r="A32" s="14">
        <f>'P-Parametri'!$B$68+26</f>
        <v>2052</v>
      </c>
      <c r="B32" s="14">
        <f>'1-Input'!$B$5+26</f>
        <v>61</v>
      </c>
      <c r="C32" s="13">
        <f>MAX(0,MIN(1,'1-Input'!$B$35-26))</f>
        <v>1</v>
      </c>
      <c r="D32" s="15">
        <f t="shared" si="1"/>
        <v>418678.69768891123</v>
      </c>
      <c r="E32" s="15">
        <f>D32*((1+'1-Input'!$B$30)^C32-1)</f>
        <v>15551.581218247054</v>
      </c>
      <c r="F32" s="15">
        <f>(D32+E32)*(1-(1-'P-Parametri'!$B$41)^C32)</f>
        <v>868.46055781431733</v>
      </c>
      <c r="G32" s="15">
        <f>(D32+E32-F32)*(1-(1-'1-Input'!$B$22)^C32)</f>
        <v>866.72363669868867</v>
      </c>
      <c r="H32" s="15">
        <f t="shared" si="2"/>
        <v>15839.402006325561</v>
      </c>
      <c r="I32" s="15">
        <f t="shared" si="0"/>
        <v>432495.09471264528</v>
      </c>
    </row>
    <row r="33" spans="1:10">
      <c r="A33" s="14">
        <f>'P-Parametri'!$B$68+27</f>
        <v>2053</v>
      </c>
      <c r="B33" s="14">
        <f>'1-Input'!$B$5+27</f>
        <v>62</v>
      </c>
      <c r="C33" s="13">
        <f>MAX(0,MIN(1,'1-Input'!$B$35-27))</f>
        <v>1</v>
      </c>
      <c r="D33" s="15">
        <f t="shared" si="1"/>
        <v>432495.09471264528</v>
      </c>
      <c r="E33" s="15">
        <f>D33*((1+'1-Input'!$B$30)^C33-1)</f>
        <v>16064.783398449208</v>
      </c>
      <c r="F33" s="15">
        <f>(D33+E33)*(1-(1-'P-Parametri'!$B$41)^C33)</f>
        <v>897.11975622218972</v>
      </c>
      <c r="G33" s="15">
        <f>(D33+E33-F33)*(1-(1-'1-Input'!$B$22)^C33)</f>
        <v>895.32551670974533</v>
      </c>
      <c r="H33" s="15">
        <f t="shared" si="2"/>
        <v>16734.727523035308</v>
      </c>
      <c r="I33" s="15">
        <f t="shared" si="0"/>
        <v>446767.43283816252</v>
      </c>
    </row>
    <row r="34" spans="1:10">
      <c r="A34" s="14">
        <f>'P-Parametri'!$B$68+28</f>
        <v>2054</v>
      </c>
      <c r="B34" s="14">
        <f>'1-Input'!$B$5+28</f>
        <v>63</v>
      </c>
      <c r="C34" s="13">
        <f>MAX(0,MIN(1,'1-Input'!$B$35-28))</f>
        <v>1</v>
      </c>
      <c r="D34" s="15">
        <f t="shared" si="1"/>
        <v>446767.43283816252</v>
      </c>
      <c r="E34" s="15">
        <f>D34*((1+'1-Input'!$B$30)^C34-1)</f>
        <v>16594.921250598029</v>
      </c>
      <c r="F34" s="15">
        <f>(D34+E34)*(1-(1-'P-Parametri'!$B$41)^C34)</f>
        <v>926.72470817752196</v>
      </c>
      <c r="G34" s="15">
        <f>(D34+E34-F34)*(1-(1-'1-Input'!$B$22)^C34)</f>
        <v>924.87125876116693</v>
      </c>
      <c r="H34" s="15">
        <f t="shared" si="2"/>
        <v>17659.598781796474</v>
      </c>
      <c r="I34" s="15">
        <f t="shared" si="0"/>
        <v>461510.75812182191</v>
      </c>
    </row>
    <row r="35" spans="1:10">
      <c r="A35" s="14">
        <f>'P-Parametri'!$B$68+29</f>
        <v>2055</v>
      </c>
      <c r="B35" s="14">
        <f>'1-Input'!$B$5+29</f>
        <v>64</v>
      </c>
      <c r="C35" s="13">
        <f>MAX(0,MIN(1,'1-Input'!$B$35-29))</f>
        <v>1</v>
      </c>
      <c r="D35" s="15">
        <f t="shared" si="1"/>
        <v>461510.75812182191</v>
      </c>
      <c r="E35" s="15">
        <f>D35*((1+'1-Input'!$B$30)^C35-1)</f>
        <v>17142.553651867765</v>
      </c>
      <c r="F35" s="15">
        <f>(D35+E35)*(1-(1-'P-Parametri'!$B$41)^C35)</f>
        <v>957.30662354738024</v>
      </c>
      <c r="G35" s="15">
        <f>(D35+E35-F35)*(1-(1-'1-Input'!$B$22)^C35)</f>
        <v>955.39201030028551</v>
      </c>
      <c r="H35" s="15">
        <f t="shared" si="2"/>
        <v>18614.99079209676</v>
      </c>
      <c r="I35" s="15">
        <f t="shared" si="0"/>
        <v>476740.613139842</v>
      </c>
    </row>
    <row r="36" spans="1:10">
      <c r="A36" s="14">
        <f>'P-Parametri'!$B$68+30</f>
        <v>2056</v>
      </c>
      <c r="B36" s="14">
        <f>'1-Input'!$B$5+30</f>
        <v>65</v>
      </c>
      <c r="C36" s="13">
        <f>MAX(0,MIN(1,'1-Input'!$B$35-30))</f>
        <v>1</v>
      </c>
      <c r="D36" s="15">
        <f t="shared" si="1"/>
        <v>476740.613139842</v>
      </c>
      <c r="E36" s="15">
        <f>D36*((1+'1-Input'!$B$30)^C36-1)</f>
        <v>17708.257922379402</v>
      </c>
      <c r="F36" s="15">
        <f>(D36+E36)*(1-(1-'P-Parametri'!$B$41)^C36)</f>
        <v>988.89774212444365</v>
      </c>
      <c r="G36" s="15">
        <f>(D36+E36-F36)*(1-(1-'1-Input'!$B$22)^C36)</f>
        <v>986.91994664019478</v>
      </c>
      <c r="H36" s="15">
        <f t="shared" si="2"/>
        <v>19601.910738736955</v>
      </c>
      <c r="I36" s="15">
        <f t="shared" si="0"/>
        <v>492473.05337345676</v>
      </c>
    </row>
    <row r="37" spans="1:10">
      <c r="A37" s="14">
        <f>'P-Parametri'!$B$68+31</f>
        <v>2057</v>
      </c>
      <c r="B37" s="14">
        <f>'1-Input'!$B$5+31</f>
        <v>66</v>
      </c>
      <c r="C37" s="13">
        <f>MAX(0,MIN(1,'1-Input'!$B$35-31))</f>
        <v>1</v>
      </c>
      <c r="D37" s="15">
        <f t="shared" si="1"/>
        <v>492473.05337345676</v>
      </c>
      <c r="E37" s="15">
        <f>D37*((1+'1-Input'!$B$30)^C37-1)</f>
        <v>18292.630433817918</v>
      </c>
      <c r="F37" s="15">
        <f>(D37+E37)*(1-(1-'P-Parametri'!$B$41)^C37)</f>
        <v>1021.5313676145503</v>
      </c>
      <c r="G37" s="15">
        <f>(D37+E37-F37)*(1-(1-'1-Input'!$B$22)^C37)</f>
        <v>1019.4883048793212</v>
      </c>
      <c r="H37" s="15">
        <f t="shared" si="2"/>
        <v>20621.399043616275</v>
      </c>
      <c r="I37" s="15">
        <f t="shared" si="0"/>
        <v>508724.66413478076</v>
      </c>
    </row>
    <row r="38" spans="1:10">
      <c r="A38" s="14">
        <f>'P-Parametri'!$B$68+32</f>
        <v>2058</v>
      </c>
      <c r="B38" s="14">
        <f>'1-Input'!$B$5+32</f>
        <v>67</v>
      </c>
      <c r="C38" s="13">
        <f>MAX(0,MIN(1,'1-Input'!$B$35-32))</f>
        <v>1</v>
      </c>
      <c r="D38" s="15">
        <f t="shared" si="1"/>
        <v>508724.66413478076</v>
      </c>
      <c r="E38" s="15">
        <f>D38*((1+'1-Input'!$B$30)^C38-1)</f>
        <v>18896.287238133908</v>
      </c>
      <c r="F38" s="15">
        <f>(D38+E38)*(1-(1-'P-Parametri'!$B$41)^C38)</f>
        <v>1055.2419027458304</v>
      </c>
      <c r="G38" s="15">
        <f>(D38+E38-F38)*(1-(1-'1-Input'!$B$22)^C38)</f>
        <v>1053.1314189403388</v>
      </c>
      <c r="H38" s="15">
        <f t="shared" si="2"/>
        <v>21674.530462556613</v>
      </c>
      <c r="I38" s="15">
        <f t="shared" si="0"/>
        <v>525512.57805122854</v>
      </c>
    </row>
    <row r="39" spans="1:10">
      <c r="A39" s="14">
        <f>'P-Parametri'!$B$68+33</f>
        <v>2059</v>
      </c>
      <c r="B39" s="14">
        <f>'1-Input'!$B$5+33</f>
        <v>68</v>
      </c>
      <c r="C39" s="13">
        <f>MAX(0,MIN(1,'1-Input'!$B$35-33))</f>
        <v>1</v>
      </c>
      <c r="D39" s="15">
        <f t="shared" si="1"/>
        <v>525512.57805122854</v>
      </c>
      <c r="E39" s="15">
        <f>D39*((1+'1-Input'!$B$30)^C39-1)</f>
        <v>19519.864716992328</v>
      </c>
      <c r="F39" s="15">
        <f>(D39+E39)*(1-(1-'P-Parametri'!$B$41)^C39)</f>
        <v>1090.0648855364427</v>
      </c>
      <c r="G39" s="15">
        <f>(D39+E39-F39)*(1-(1-'1-Input'!$B$22)^C39)</f>
        <v>1087.8847557653698</v>
      </c>
      <c r="H39" s="15">
        <f t="shared" si="2"/>
        <v>22762.415218321985</v>
      </c>
      <c r="I39" s="15">
        <f t="shared" si="0"/>
        <v>542854.49312691914</v>
      </c>
    </row>
    <row r="40" spans="1:10">
      <c r="A40" s="14">
        <f>'P-Parametri'!$B$68+34</f>
        <v>2060</v>
      </c>
      <c r="B40" s="14">
        <f>'1-Input'!$B$5+34</f>
        <v>69</v>
      </c>
      <c r="C40" s="13">
        <f>MAX(0,MIN(1,'1-Input'!$B$35-34))</f>
        <v>0.70000000000000284</v>
      </c>
      <c r="D40" s="15">
        <f t="shared" si="1"/>
        <v>542854.49312691914</v>
      </c>
      <c r="E40" s="15">
        <f>D40*((1+'1-Input'!$B$30)^C40-1)</f>
        <v>14037.410611043762</v>
      </c>
      <c r="F40" s="15">
        <f>(D40+E40)*(1-(1-'P-Parametri'!$B$41)^C40)</f>
        <v>779.88276277477519</v>
      </c>
      <c r="G40" s="15">
        <f>(D40+E40-F40)*(1-(1-'1-Input'!$B$22)^C40)</f>
        <v>778.79059907192584</v>
      </c>
      <c r="H40" s="15">
        <f t="shared" si="2"/>
        <v>23541.205817393911</v>
      </c>
      <c r="I40" s="15">
        <f t="shared" si="0"/>
        <v>555333.23037611623</v>
      </c>
    </row>
    <row r="41" spans="1:10">
      <c r="A41" s="14">
        <f>'P-Parametri'!$B$68+35</f>
        <v>2061</v>
      </c>
      <c r="B41" s="14">
        <f>'1-Input'!$B$5+35</f>
        <v>70</v>
      </c>
      <c r="C41" s="13">
        <f>MAX(0,MIN(1,'1-Input'!$B$35-35))</f>
        <v>0</v>
      </c>
      <c r="D41" s="15">
        <f t="shared" si="1"/>
        <v>555333.23037611623</v>
      </c>
      <c r="E41" s="15">
        <f>D41*((1+'1-Input'!$B$30)^C41-1)</f>
        <v>0</v>
      </c>
      <c r="F41" s="15">
        <f>(D41+E41)*(1-(1-'P-Parametri'!$B$41)^C41)</f>
        <v>0</v>
      </c>
      <c r="G41" s="15">
        <f>(D41+E41-F41)*(1-(1-'1-Input'!$B$22)^C41)</f>
        <v>0</v>
      </c>
      <c r="H41" s="15">
        <f t="shared" si="2"/>
        <v>23541.205817393911</v>
      </c>
      <c r="I41" s="15">
        <f t="shared" si="0"/>
        <v>555333.23037611623</v>
      </c>
    </row>
    <row r="43" spans="1:10">
      <c r="A43" s="29" t="s">
        <v>227</v>
      </c>
      <c r="B43" s="27"/>
      <c r="C43" s="27"/>
      <c r="D43" s="27"/>
      <c r="E43" s="27"/>
      <c r="F43" s="27"/>
      <c r="G43" s="27"/>
      <c r="H43" s="27"/>
      <c r="I43" s="27"/>
      <c r="J43" s="27"/>
    </row>
    <row r="44" spans="1:10" ht="45">
      <c r="A44" s="5" t="s">
        <v>176</v>
      </c>
      <c r="B44" s="15">
        <f>G6</f>
        <v>372.62525050100237</v>
      </c>
    </row>
    <row r="45" spans="1:10" ht="60">
      <c r="A45" s="5" t="s">
        <v>228</v>
      </c>
      <c r="B45" s="15">
        <f>G39</f>
        <v>1087.8847557653698</v>
      </c>
    </row>
    <row r="46" spans="1:10" ht="75">
      <c r="A46" s="5" t="s">
        <v>229</v>
      </c>
      <c r="B46" s="15">
        <f>H41</f>
        <v>23541.205817393911</v>
      </c>
    </row>
    <row r="47" spans="1:10" ht="75">
      <c r="A47" s="5" t="s">
        <v>230</v>
      </c>
      <c r="B47" s="19">
        <f>B46/'1-Input'!$B$8</f>
        <v>0.13078447676329952</v>
      </c>
    </row>
    <row r="48" spans="1:10" ht="75">
      <c r="A48" s="5" t="s">
        <v>231</v>
      </c>
      <c r="B48" s="15">
        <f>I41</f>
        <v>555333.23037611623</v>
      </c>
    </row>
    <row r="49" spans="1:10" ht="105">
      <c r="A49" s="5" t="s">
        <v>232</v>
      </c>
      <c r="B49" s="15">
        <f>'1-Input'!$B$8*(1+'1-Input'!$B$11)^'1-Input'!$B$35</f>
        <v>555333.23037611507</v>
      </c>
    </row>
    <row r="50" spans="1:10" ht="90">
      <c r="A50" s="5" t="s">
        <v>233</v>
      </c>
      <c r="B50" s="15">
        <f>'1-Input'!$B$8*((1+'1-Input'!$B$30)*(1-'P-Parametri'!$B$41))^'1-Input'!$B$35</f>
        <v>595283.54683456756</v>
      </c>
    </row>
    <row r="51" spans="1:10" ht="135">
      <c r="A51" s="5" t="s">
        <v>234</v>
      </c>
      <c r="B51" s="15">
        <f>B50-B48</f>
        <v>39950.316458451329</v>
      </c>
    </row>
    <row r="52" spans="1:10" ht="120">
      <c r="A52" s="5" t="s">
        <v>235</v>
      </c>
      <c r="B52" s="15">
        <f>'1-Input'!$B$10/(1+'1-Input'!$B$11)^'1-Input'!$B$35-'1-Input'!$B$10/(1+((1+'1-Input'!$B$11)/(1-'1-Input'!$B$22)-1))^'1-Input'!$B$35</f>
        <v>17402.240844700224</v>
      </c>
    </row>
    <row r="53" spans="1:10" ht="60">
      <c r="A53" s="5" t="s">
        <v>236</v>
      </c>
      <c r="B53" s="20">
        <f>B52/('1-Input'!$B$10/(1+((1+'1-Input'!$B$11)/(1-'1-Input'!$B$22)-1))^'1-Input'!$B$35)</f>
        <v>7.1939358700712011E-2</v>
      </c>
    </row>
    <row r="55" spans="1:10" ht="15" customHeight="1">
      <c r="A55" s="30" t="s">
        <v>237</v>
      </c>
      <c r="B55" s="27"/>
      <c r="C55" s="27"/>
      <c r="D55" s="27"/>
      <c r="E55" s="27"/>
      <c r="F55" s="27"/>
      <c r="G55" s="27"/>
      <c r="H55" s="27"/>
      <c r="I55" s="27"/>
      <c r="J55" s="27"/>
    </row>
    <row r="57" spans="1:10">
      <c r="A57" s="29" t="s">
        <v>238</v>
      </c>
      <c r="B57" s="27"/>
      <c r="C57" s="27"/>
      <c r="D57" s="27"/>
      <c r="E57" s="27"/>
      <c r="F57" s="27"/>
      <c r="G57" s="27"/>
      <c r="H57" s="27"/>
      <c r="I57" s="27"/>
      <c r="J57" s="27"/>
    </row>
    <row r="58" spans="1:10" ht="75">
      <c r="A58" s="5" t="s">
        <v>239</v>
      </c>
      <c r="B58" s="15">
        <f>'1-Input'!$B$8*(1+'1-Input'!$B$11)^'1-Input'!$B$35</f>
        <v>555333.23037611507</v>
      </c>
    </row>
    <row r="59" spans="1:10" ht="105">
      <c r="A59" s="5" t="s">
        <v>240</v>
      </c>
      <c r="B59" s="15">
        <f>'1-Input'!$B$8*(1+'1-Input'!$B$12)^'1-Input'!$B$35</f>
        <v>502023.67938645848</v>
      </c>
    </row>
    <row r="60" spans="1:10" ht="165">
      <c r="A60" s="5" t="s">
        <v>241</v>
      </c>
      <c r="B60" s="20">
        <f>EXP(LN(1+'1-Input'!$B$12)-'P-Parametri'!$B$50*'1-Input'!$B$20/SQRT('1-Input'!$B$35))-1</f>
        <v>-1.885163363404796E-2</v>
      </c>
    </row>
    <row r="61" spans="1:10" ht="150">
      <c r="A61" s="5" t="s">
        <v>242</v>
      </c>
      <c r="B61" s="20">
        <f>EXP(LN(1+'1-Input'!$B$12)+'P-Parametri'!$B$50*'1-Input'!$B$20/SQRT('1-Input'!$B$35))-1</f>
        <v>8.1283969242529341E-2</v>
      </c>
    </row>
    <row r="62" spans="1:10" ht="90">
      <c r="A62" s="5" t="s">
        <v>243</v>
      </c>
      <c r="B62" s="12">
        <f>(B61-B60)*100</f>
        <v>10.013560287657731</v>
      </c>
    </row>
    <row r="63" spans="1:10" ht="90">
      <c r="A63" s="5" t="s">
        <v>244</v>
      </c>
      <c r="B63" s="15">
        <f>'1-Input'!$B$8*(1+B60)^'1-Input'!$B$35</f>
        <v>92996.387256411646</v>
      </c>
    </row>
    <row r="64" spans="1:10" ht="105">
      <c r="A64" s="5" t="s">
        <v>245</v>
      </c>
      <c r="B64" s="15">
        <f>'1-Input'!$B$8*(1+B61)^'1-Input'!$B$35</f>
        <v>2710081.3493950125</v>
      </c>
    </row>
    <row r="65" spans="1:10" ht="120">
      <c r="A65" s="5" t="s">
        <v>246</v>
      </c>
      <c r="B65" s="20">
        <f>EXP(LN(1+'1-Input'!$B$11)-'P-Parametri'!$B$50*'1-Input'!$B$20/SQRT('1-Input'!$B$35))-1</f>
        <v>-1.5993919945603507E-2</v>
      </c>
      <c r="C65" s="20">
        <f>EXP(LN(1+'1-Input'!$B$11)+'P-Parametri'!$B$50*'1-Input'!$B$20/SQRT('1-Input'!$B$35))-1</f>
        <v>8.4433340026730752E-2</v>
      </c>
    </row>
    <row r="67" spans="1:10" ht="30" customHeight="1">
      <c r="A67" s="30" t="s">
        <v>247</v>
      </c>
      <c r="B67" s="27"/>
      <c r="C67" s="27"/>
      <c r="D67" s="27"/>
      <c r="E67" s="27"/>
      <c r="F67" s="27"/>
      <c r="G67" s="27"/>
      <c r="H67" s="27"/>
      <c r="I67" s="27"/>
      <c r="J67" s="27"/>
    </row>
    <row r="69" spans="1:10">
      <c r="A69" s="29" t="s">
        <v>248</v>
      </c>
      <c r="B69" s="27"/>
      <c r="C69" s="27"/>
      <c r="D69" s="27"/>
      <c r="E69" s="27"/>
      <c r="F69" s="27"/>
      <c r="G69" s="27"/>
      <c r="H69" s="27"/>
      <c r="I69" s="27"/>
      <c r="J69" s="27"/>
    </row>
    <row r="70" spans="1:10" ht="60">
      <c r="A70" s="5" t="s">
        <v>249</v>
      </c>
      <c r="B70" s="20">
        <f>'1-Input'!$B$21</f>
        <v>0.02</v>
      </c>
    </row>
    <row r="71" spans="1:10" ht="135">
      <c r="A71" s="5" t="s">
        <v>250</v>
      </c>
      <c r="B71" s="20">
        <f>'P-Parametri'!$B$39*'1-Input'!$B$21</f>
        <v>5.2000000000000006E-3</v>
      </c>
    </row>
    <row r="72" spans="1:10" ht="90">
      <c r="A72" s="5" t="s">
        <v>251</v>
      </c>
      <c r="B72" s="19">
        <f>B71/'1-Input'!$B$11</f>
        <v>0.15757575757575759</v>
      </c>
    </row>
    <row r="73" spans="1:10" ht="75">
      <c r="A73" s="5" t="s">
        <v>252</v>
      </c>
      <c r="B73" s="24">
        <f>1/B72</f>
        <v>6.3461538461538458</v>
      </c>
    </row>
    <row r="74" spans="1:10" ht="30" customHeight="1">
      <c r="A74" s="30" t="s">
        <v>253</v>
      </c>
      <c r="B74" s="27"/>
      <c r="C74" s="27"/>
      <c r="D74" s="27"/>
      <c r="E74" s="27"/>
      <c r="F74" s="27"/>
      <c r="G74" s="27"/>
      <c r="H74" s="27"/>
      <c r="I74" s="27"/>
      <c r="J74" s="27"/>
    </row>
  </sheetData>
  <mergeCells count="9">
    <mergeCell ref="A1:J1"/>
    <mergeCell ref="A74:J74"/>
    <mergeCell ref="A67:J67"/>
    <mergeCell ref="A55:J55"/>
    <mergeCell ref="A69:J69"/>
    <mergeCell ref="A4:J4"/>
    <mergeCell ref="A43:J43"/>
    <mergeCell ref="A57:J57"/>
    <mergeCell ref="A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cols>
    <col min="1" max="1" width="60" customWidth="1"/>
    <col min="2" max="2" width="18" customWidth="1"/>
    <col min="3" max="3" width="16" customWidth="1"/>
    <col min="4" max="4" width="18" customWidth="1"/>
    <col min="5" max="5" width="16" customWidth="1"/>
    <col min="6" max="6" width="18" customWidth="1"/>
    <col min="7" max="8" width="16" customWidth="1"/>
    <col min="9" max="9" width="22" customWidth="1"/>
  </cols>
  <sheetData>
    <row r="1" spans="1:9" ht="24.95" customHeight="1">
      <c r="A1" s="28" t="s">
        <v>254</v>
      </c>
      <c r="B1" s="27"/>
      <c r="C1" s="27"/>
      <c r="D1" s="27"/>
      <c r="E1" s="27"/>
      <c r="F1" s="27"/>
      <c r="G1" s="27"/>
      <c r="H1" s="27"/>
      <c r="I1" s="27"/>
    </row>
    <row r="2" spans="1:9" ht="32.1" customHeight="1">
      <c r="A2" s="26" t="s">
        <v>1</v>
      </c>
      <c r="B2" s="27"/>
      <c r="C2" s="27"/>
      <c r="D2" s="27"/>
      <c r="E2" s="27"/>
      <c r="F2" s="27"/>
      <c r="G2" s="27"/>
      <c r="H2" s="27"/>
      <c r="I2" s="27"/>
    </row>
    <row r="4" spans="1:9">
      <c r="A4" s="29" t="s">
        <v>255</v>
      </c>
      <c r="B4" s="27"/>
      <c r="C4" s="27"/>
      <c r="D4" s="27"/>
      <c r="E4" s="27"/>
      <c r="F4" s="27"/>
      <c r="G4" s="27"/>
      <c r="H4" s="27"/>
      <c r="I4" s="27"/>
    </row>
    <row r="5" spans="1:9">
      <c r="A5" s="5" t="s">
        <v>256</v>
      </c>
      <c r="B5" s="15">
        <f>'1-Input'!$B$9</f>
        <v>44000</v>
      </c>
    </row>
    <row r="6" spans="1:9">
      <c r="A6" s="5" t="s">
        <v>101</v>
      </c>
      <c r="B6" s="15">
        <f>B5*'P-Parametri'!$B$21</f>
        <v>4043.6</v>
      </c>
    </row>
    <row r="7" spans="1:9">
      <c r="A7" s="5" t="s">
        <v>257</v>
      </c>
      <c r="B7" s="15">
        <f>B5-B6</f>
        <v>39956.400000000001</v>
      </c>
    </row>
    <row r="8" spans="1:9">
      <c r="A8" s="5" t="s">
        <v>258</v>
      </c>
      <c r="B8" s="15">
        <f>IF(B7&lt;='P-Parametri'!$B$6,'P-Parametri'!$C$6*B7,IF(B7&lt;='P-Parametri'!$B$7,'P-Parametri'!$B$9+'P-Parametri'!$C$7*(B7-'P-Parametri'!$B$6),'P-Parametri'!$B$10+'P-Parametri'!$C$8*(B7-'P-Parametri'!$B$7)))</f>
        <v>10385.612000000001</v>
      </c>
    </row>
    <row r="9" spans="1:9">
      <c r="A9" s="5" t="s">
        <v>259</v>
      </c>
      <c r="B9" s="15">
        <f>IF(B7&lt;='P-Parametri'!$C$12,'P-Parametri'!$B$12,IF(B7&lt;='P-Parametri'!$B$6,'P-Parametri'!$B$13+'P-Parametri'!$C$13*('P-Parametri'!$B$6-B7)/'P-Parametri'!$D$13,IF(B7&lt;='P-Parametri'!$B$7,'P-Parametri'!$B$14*('P-Parametri'!$B$7-B7)/'P-Parametri'!$C$14,0)))</f>
        <v>871.96709090909076</v>
      </c>
    </row>
    <row r="10" spans="1:9">
      <c r="A10" s="5" t="s">
        <v>260</v>
      </c>
      <c r="B10" s="15">
        <f>IF(AND(B7&gt;'P-Parametri'!$C$15,B7&lt;='P-Parametri'!$D$15),'P-Parametri'!$B$15,0)</f>
        <v>0</v>
      </c>
    </row>
    <row r="11" spans="1:9">
      <c r="A11" s="5" t="s">
        <v>261</v>
      </c>
      <c r="B11" s="15">
        <f>IF(B7&lt;='P-Parametri'!$C$16,0,IF(B7&lt;='P-Parametri'!$D$16,'P-Parametri'!$B$16,IF(B7&lt;'P-Parametri'!$E$16,'P-Parametri'!$B$16*('P-Parametri'!$E$16-B7)/('P-Parametri'!$E$16-'P-Parametri'!$D$16),0)))</f>
        <v>5.4499999999998181</v>
      </c>
    </row>
    <row r="12" spans="1:9">
      <c r="A12" s="5" t="s">
        <v>262</v>
      </c>
      <c r="B12" s="15">
        <f>MAX(0,B8-B9-B10-B11)</f>
        <v>9508.1949090909111</v>
      </c>
    </row>
    <row r="13" spans="1:9">
      <c r="A13" s="5" t="s">
        <v>263</v>
      </c>
      <c r="B13" s="15">
        <f>IF(B12&lt;=0,0,'P-Parametri'!$B$11*B7)</f>
        <v>799.12800000000004</v>
      </c>
    </row>
    <row r="14" spans="1:9">
      <c r="A14" s="5" t="s">
        <v>264</v>
      </c>
      <c r="B14" s="15">
        <f>B7-B12-B13</f>
        <v>29649.07709090909</v>
      </c>
    </row>
    <row r="15" spans="1:9">
      <c r="A15" s="5" t="s">
        <v>265</v>
      </c>
      <c r="B15" s="15">
        <f>B14/12</f>
        <v>2470.7564242424241</v>
      </c>
    </row>
    <row r="17" spans="1:9">
      <c r="A17" s="29" t="s">
        <v>266</v>
      </c>
      <c r="B17" s="27"/>
      <c r="C17" s="27"/>
      <c r="D17" s="27"/>
      <c r="E17" s="27"/>
      <c r="F17" s="27"/>
      <c r="G17" s="27"/>
      <c r="H17" s="27"/>
      <c r="I17" s="27"/>
    </row>
    <row r="18" spans="1:9" ht="45">
      <c r="A18" s="22" t="s">
        <v>267</v>
      </c>
      <c r="B18" s="22" t="s">
        <v>268</v>
      </c>
      <c r="C18" s="22" t="s">
        <v>269</v>
      </c>
      <c r="D18" s="22" t="s">
        <v>270</v>
      </c>
      <c r="E18" s="22" t="s">
        <v>271</v>
      </c>
      <c r="F18" s="22" t="s">
        <v>272</v>
      </c>
      <c r="G18" s="22" t="s">
        <v>273</v>
      </c>
    </row>
    <row r="19" spans="1:9">
      <c r="A19" s="5" t="s">
        <v>274</v>
      </c>
      <c r="B19" s="13">
        <f>'1-Input'!$B$37</f>
        <v>44.7</v>
      </c>
      <c r="C19" s="11">
        <f>IF('1-Input'!$B$15=1,IF('1-Input'!$B$24=1,'P-Parametri'!$B$24,'P-Parametri'!$B$27)*'1-Input'!$B$37/IF('1-Input'!$B$24=1,'P-Parametri'!$B$26,'P-Parametri'!$B$29),IF('1-Input'!$B$24=1,'P-Parametri'!$B$24,'P-Parametri'!$B$27))</f>
        <v>0.82037578119682264</v>
      </c>
      <c r="D19" s="15">
        <f>B14*C19*'1-Input'!$B$16</f>
        <v>24323.384780219363</v>
      </c>
      <c r="E19" s="15">
        <f>D19/12</f>
        <v>2026.948731684947</v>
      </c>
      <c r="F19" s="19">
        <f>D19/'7-Denominatori'!$B$6</f>
        <v>1.1298047075559743</v>
      </c>
      <c r="G19" s="19">
        <f>D19/B55</f>
        <v>1.6012347623945855</v>
      </c>
    </row>
    <row r="20" spans="1:9">
      <c r="A20" s="5" t="s">
        <v>275</v>
      </c>
    </row>
    <row r="21" spans="1:9" ht="30">
      <c r="A21" s="5" t="s">
        <v>276</v>
      </c>
      <c r="B21" s="13">
        <f>'P-Parametri'!$B$30-'1-Input'!$B$7</f>
        <v>44.7</v>
      </c>
      <c r="C21" s="11">
        <f>'P-Parametri'!$B$24*B21/'P-Parametri'!$B$26</f>
        <v>0.82037578119682264</v>
      </c>
      <c r="D21" s="15">
        <f>B14*C21</f>
        <v>24323.384780219363</v>
      </c>
      <c r="E21" s="15">
        <f>D21/12</f>
        <v>2026.948731684947</v>
      </c>
      <c r="F21" s="19">
        <f>D21/'7-Denominatori'!$B$6</f>
        <v>1.1298047075559743</v>
      </c>
      <c r="G21" s="19">
        <f>D21/B55</f>
        <v>1.6012347623945855</v>
      </c>
    </row>
    <row r="22" spans="1:9" ht="45">
      <c r="A22" s="5" t="s">
        <v>277</v>
      </c>
      <c r="B22" s="13">
        <f>'P-Parametri'!$B$26</f>
        <v>39.666699999999999</v>
      </c>
      <c r="C22" s="11">
        <f>'P-Parametri'!$B$24</f>
        <v>0.72799999999999998</v>
      </c>
      <c r="D22" s="15">
        <f>B14*C22</f>
        <v>21584.528122181815</v>
      </c>
      <c r="E22" s="15">
        <f>D22/12</f>
        <v>1798.7106768484846</v>
      </c>
      <c r="F22" s="19">
        <f>D22/'7-Denominatori'!$B$6</f>
        <v>1.0025866754633235</v>
      </c>
      <c r="G22" s="19">
        <f>D22/B55</f>
        <v>1.4209328624044135</v>
      </c>
    </row>
    <row r="23" spans="1:9" ht="30">
      <c r="A23" s="5" t="s">
        <v>278</v>
      </c>
      <c r="B23" s="13">
        <f>B21</f>
        <v>44.7</v>
      </c>
      <c r="C23" s="11">
        <f>D23/B14</f>
        <v>0.84694904047576425</v>
      </c>
      <c r="D23" s="15">
        <f>B32</f>
        <v>25111.257393137417</v>
      </c>
      <c r="E23" s="15">
        <f>D23/12</f>
        <v>2092.6047827614516</v>
      </c>
      <c r="F23" s="19">
        <f>D23/'7-Denominatori'!$B$6</f>
        <v>1.1664008554635279</v>
      </c>
      <c r="G23" s="19">
        <f>D23/B55</f>
        <v>1.6531012697718397</v>
      </c>
    </row>
    <row r="24" spans="1:9">
      <c r="A24" s="5" t="s">
        <v>279</v>
      </c>
      <c r="B24" s="13">
        <f>'P-Parametri'!$B$30-22</f>
        <v>47.7</v>
      </c>
      <c r="C24" s="11">
        <f>'P-Parametri'!$B$24*B24/'P-Parametri'!$B$26</f>
        <v>0.87543455845835427</v>
      </c>
      <c r="D24" s="15">
        <f>B14*C24</f>
        <v>25955.826711777707</v>
      </c>
      <c r="E24" s="15">
        <f>D24/12</f>
        <v>2162.9855593148091</v>
      </c>
      <c r="F24" s="19">
        <f>D24/'7-Denominatori'!$B$6</f>
        <v>1.2056305268550329</v>
      </c>
      <c r="G24" s="19">
        <f>D24/B55</f>
        <v>1.7087001826895241</v>
      </c>
    </row>
    <row r="25" spans="1:9" ht="60" customHeight="1">
      <c r="A25" s="30" t="s">
        <v>280</v>
      </c>
      <c r="B25" s="27"/>
      <c r="C25" s="27"/>
      <c r="D25" s="27"/>
      <c r="E25" s="27"/>
      <c r="F25" s="27"/>
      <c r="G25" s="27"/>
      <c r="H25" s="27"/>
      <c r="I25" s="27"/>
    </row>
    <row r="27" spans="1:9">
      <c r="A27" s="29" t="s">
        <v>281</v>
      </c>
      <c r="B27" s="27"/>
      <c r="C27" s="27"/>
      <c r="D27" s="27"/>
      <c r="E27" s="27"/>
      <c r="F27" s="27"/>
      <c r="G27" s="27"/>
      <c r="H27" s="27"/>
      <c r="I27" s="27"/>
    </row>
    <row r="28" spans="1:9">
      <c r="A28" s="5" t="s">
        <v>282</v>
      </c>
      <c r="B28" s="11">
        <f>'P-Parametri'!$B$25*B21/'P-Parametri'!$B$26</f>
        <v>0.7617775111113354</v>
      </c>
    </row>
    <row r="29" spans="1:9">
      <c r="A29" s="5" t="s">
        <v>283</v>
      </c>
      <c r="B29" s="15">
        <f>'1-Input'!$B$9*B28</f>
        <v>33518.21048889876</v>
      </c>
    </row>
    <row r="30" spans="1:9">
      <c r="A30" s="5" t="s">
        <v>284</v>
      </c>
      <c r="B30" s="15">
        <f>IF(B29&lt;='P-Parametri'!$B$6,'P-Parametri'!$C$6*B29,IF(B29&lt;='P-Parametri'!$B$7,'P-Parametri'!$B$9+'P-Parametri'!$C$7*(B29-'P-Parametri'!$B$6),'P-Parametri'!$B$10+'P-Parametri'!$C$8*(B29-'P-Parametri'!$B$7)))</f>
        <v>8261.0094613365909</v>
      </c>
    </row>
    <row r="31" spans="1:9">
      <c r="A31" s="5" t="s">
        <v>285</v>
      </c>
      <c r="B31" s="15">
        <f>IF(B29&lt;='P-Parametri'!$C$17,'P-Parametri'!$B$17,IF(B29&lt;='P-Parametri'!$B$6,'P-Parametri'!$B$18+'P-Parametri'!$C$18*('P-Parametri'!$B$6-B29)/'P-Parametri'!$D$18,IF(B29&lt;='P-Parametri'!$B$7,'P-Parametri'!$B$19*('P-Parametri'!$B$7-B29)/'P-Parametri'!$C$19,0)))+IF(AND(B29&gt;'P-Parametri'!$C$20,B29&lt;'P-Parametri'!$D$20),'P-Parametri'!$B$20,0)</f>
        <v>524.42057535322124</v>
      </c>
    </row>
    <row r="32" spans="1:9">
      <c r="A32" s="5" t="s">
        <v>286</v>
      </c>
      <c r="B32" s="15">
        <f>B29-MAX(0,B30-B31)-IF(MAX(0,B30-B31)&lt;=0,0,'P-Parametri'!$B$11*B29)</f>
        <v>25111.257393137417</v>
      </c>
    </row>
    <row r="33" spans="1:9" ht="30">
      <c r="A33" s="5" t="s">
        <v>287</v>
      </c>
      <c r="B33" s="20">
        <f>B32/D21-1</f>
        <v>3.239156967819623E-2</v>
      </c>
    </row>
    <row r="34" spans="1:9">
      <c r="A34" s="5" t="s">
        <v>288</v>
      </c>
      <c r="B34" s="15">
        <f>'1-Input'!$B$9*'P-Parametri'!$B$28*('P-Parametri'!$B$30-'P-Parametri'!$B$31+'P-Parametri'!$C$31-'1-Input'!$B$7)/'P-Parametri'!$B$29/'P-Parametri'!$B$34</f>
        <v>2196.1122035451535</v>
      </c>
    </row>
    <row r="35" spans="1:9" ht="30" customHeight="1">
      <c r="A35" s="30" t="s">
        <v>289</v>
      </c>
      <c r="B35" s="27"/>
      <c r="C35" s="27"/>
      <c r="D35" s="27"/>
      <c r="E35" s="27"/>
      <c r="F35" s="27"/>
      <c r="G35" s="27"/>
      <c r="H35" s="27"/>
      <c r="I35" s="27"/>
    </row>
    <row r="37" spans="1:9">
      <c r="A37" s="29" t="s">
        <v>290</v>
      </c>
      <c r="B37" s="27"/>
      <c r="C37" s="27"/>
      <c r="D37" s="27"/>
      <c r="E37" s="27"/>
      <c r="F37" s="27"/>
      <c r="G37" s="27"/>
      <c r="H37" s="27"/>
      <c r="I37" s="27"/>
    </row>
    <row r="38" spans="1:9" ht="30" customHeight="1">
      <c r="A38" s="30" t="s">
        <v>291</v>
      </c>
      <c r="B38" s="27"/>
      <c r="C38" s="27"/>
      <c r="D38" s="27"/>
      <c r="E38" s="27"/>
      <c r="F38" s="27"/>
      <c r="G38" s="27"/>
      <c r="H38" s="27"/>
      <c r="I38" s="27"/>
    </row>
    <row r="39" spans="1:9" ht="30">
      <c r="A39" s="22" t="s">
        <v>292</v>
      </c>
      <c r="B39" s="22" t="s">
        <v>293</v>
      </c>
      <c r="C39" s="22" t="s">
        <v>294</v>
      </c>
      <c r="D39" s="22" t="s">
        <v>295</v>
      </c>
      <c r="E39" s="22" t="s">
        <v>296</v>
      </c>
      <c r="F39" s="22" t="s">
        <v>295</v>
      </c>
      <c r="G39" s="22" t="s">
        <v>297</v>
      </c>
      <c r="H39" s="22" t="s">
        <v>298</v>
      </c>
      <c r="I39" s="22" t="s">
        <v>299</v>
      </c>
    </row>
    <row r="40" spans="1:9">
      <c r="A40" s="14">
        <f>22</f>
        <v>22</v>
      </c>
      <c r="B40" s="14">
        <f>'1-Input'!$B$5-A40</f>
        <v>13</v>
      </c>
      <c r="C40" s="15">
        <f>'1-Input'!$B$8/(IF('1-Input'!$B$12=0,B40,((1+'1-Input'!$B$12)^B40-1)/'1-Input'!$B$12))</f>
        <v>11525.317911959053</v>
      </c>
      <c r="D40" s="19">
        <f t="shared" ref="D40:D48" si="0">C40/$B$14</f>
        <v>0.38872433960154906</v>
      </c>
      <c r="E40" s="15">
        <f>'1-Input'!$B$8/(IF('1-Input'!$B$32=0,B40,((1+'1-Input'!$B$32)^B40-1)/'1-Input'!$B$32))</f>
        <v>10305.323208631309</v>
      </c>
      <c r="F40" s="19">
        <f t="shared" ref="F40:F48" si="1">E40/$B$14</f>
        <v>0.34757652580663617</v>
      </c>
      <c r="G40" s="13">
        <f>'P-Parametri'!$B$30-A40</f>
        <v>47.7</v>
      </c>
      <c r="H40" s="20">
        <f>'P-Parametri'!$B$24*G40/'P-Parametri'!$B$26</f>
        <v>0.87543455845835427</v>
      </c>
      <c r="I40" s="21" t="str">
        <f t="shared" ref="I40:I48" si="2">IF(F40&gt;=1,"IMPOSSIBILE — oltre il 100% del netto",IF(F40&gt;0.7,"ALLARME — sopra il 70% del netto","possibile"))</f>
        <v>possibile</v>
      </c>
    </row>
    <row r="41" spans="1:9">
      <c r="A41" s="14">
        <f>23</f>
        <v>23</v>
      </c>
      <c r="B41" s="14">
        <f>'1-Input'!$B$5-A41</f>
        <v>12</v>
      </c>
      <c r="C41" s="15">
        <f>'1-Input'!$B$8/(IF('1-Input'!$B$12=0,B41,((1+'1-Input'!$B$12)^B41-1)/'1-Input'!$B$12))</f>
        <v>12683.175385133354</v>
      </c>
      <c r="D41" s="19">
        <f t="shared" si="0"/>
        <v>0.42777639743202095</v>
      </c>
      <c r="E41" s="15">
        <f>'1-Input'!$B$8/(IF('1-Input'!$B$32=0,B41,((1+'1-Input'!$B$32)^B41-1)/'1-Input'!$B$32))</f>
        <v>11453.618824053468</v>
      </c>
      <c r="F41" s="19">
        <f t="shared" si="1"/>
        <v>0.38630608261210742</v>
      </c>
      <c r="G41" s="13">
        <f>'P-Parametri'!$B$30-A41</f>
        <v>46.7</v>
      </c>
      <c r="H41" s="20">
        <f>'P-Parametri'!$B$24*G41/'P-Parametri'!$B$26</f>
        <v>0.85708163270451032</v>
      </c>
      <c r="I41" s="21" t="str">
        <f t="shared" si="2"/>
        <v>possibile</v>
      </c>
    </row>
    <row r="42" spans="1:9">
      <c r="A42" s="14">
        <f>24</f>
        <v>24</v>
      </c>
      <c r="B42" s="14">
        <f>'1-Input'!$B$5-A42</f>
        <v>11</v>
      </c>
      <c r="C42" s="15">
        <f>'1-Input'!$B$8/(IF('1-Input'!$B$12=0,B42,((1+'1-Input'!$B$12)^B42-1)/'1-Input'!$B$12))</f>
        <v>14053.940611270647</v>
      </c>
      <c r="D42" s="19">
        <f t="shared" si="0"/>
        <v>0.47400937871283094</v>
      </c>
      <c r="E42" s="15">
        <f>'1-Input'!$B$8/(IF('1-Input'!$B$32=0,B42,((1+'1-Input'!$B$32)^B42-1)/'1-Input'!$B$32))</f>
        <v>12816.593817310626</v>
      </c>
      <c r="F42" s="19">
        <f t="shared" si="1"/>
        <v>0.43227631598827782</v>
      </c>
      <c r="G42" s="13">
        <f>'P-Parametri'!$B$30-A42</f>
        <v>45.7</v>
      </c>
      <c r="H42" s="20">
        <f>'P-Parametri'!$B$24*G42/'P-Parametri'!$B$26</f>
        <v>0.83872870695066659</v>
      </c>
      <c r="I42" s="21" t="str">
        <f t="shared" si="2"/>
        <v>possibile</v>
      </c>
    </row>
    <row r="43" spans="1:9">
      <c r="A43" s="14">
        <f>25</f>
        <v>25</v>
      </c>
      <c r="B43" s="14">
        <f>'1-Input'!$B$5-A43</f>
        <v>10</v>
      </c>
      <c r="C43" s="15">
        <f>'1-Input'!$B$8/(IF('1-Input'!$B$12=0,B43,((1+'1-Input'!$B$12)^B43-1)/'1-Input'!$B$12))</f>
        <v>15701.491188928732</v>
      </c>
      <c r="D43" s="19">
        <f t="shared" si="0"/>
        <v>0.52957773831493316</v>
      </c>
      <c r="E43" s="15">
        <f>'1-Input'!$B$8/(IF('1-Input'!$B$32=0,B43,((1+'1-Input'!$B$32)^B43-1)/'1-Input'!$B$32))</f>
        <v>14458.684431781037</v>
      </c>
      <c r="F43" s="19">
        <f t="shared" si="1"/>
        <v>0.48766052270187915</v>
      </c>
      <c r="G43" s="13">
        <f>'P-Parametri'!$B$30-A43</f>
        <v>44.7</v>
      </c>
      <c r="H43" s="20">
        <f>'P-Parametri'!$B$24*G43/'P-Parametri'!$B$26</f>
        <v>0.82037578119682264</v>
      </c>
      <c r="I43" s="21" t="str">
        <f t="shared" si="2"/>
        <v>possibile</v>
      </c>
    </row>
    <row r="44" spans="1:9">
      <c r="A44" s="14">
        <f>26</f>
        <v>26</v>
      </c>
      <c r="B44" s="14">
        <f>'1-Input'!$B$5-A44</f>
        <v>9</v>
      </c>
      <c r="C44" s="15">
        <f>'1-Input'!$B$8/(IF('1-Input'!$B$12=0,B44,((1+'1-Input'!$B$12)^B44-1)/'1-Input'!$B$12))</f>
        <v>17718.094263258616</v>
      </c>
      <c r="D44" s="19">
        <f t="shared" si="0"/>
        <v>0.59759344983764384</v>
      </c>
      <c r="E44" s="15">
        <f>'1-Input'!$B$8/(IF('1-Input'!$B$32=0,B44,((1+'1-Input'!$B$32)^B44-1)/'1-Input'!$B$32))</f>
        <v>16472.962295193411</v>
      </c>
      <c r="F44" s="19">
        <f t="shared" si="1"/>
        <v>0.55559780983011775</v>
      </c>
      <c r="G44" s="13">
        <f>'P-Parametri'!$B$30-A44</f>
        <v>43.7</v>
      </c>
      <c r="H44" s="20">
        <f>'P-Parametri'!$B$24*G44/'P-Parametri'!$B$26</f>
        <v>0.80202285544297869</v>
      </c>
      <c r="I44" s="21" t="str">
        <f t="shared" si="2"/>
        <v>possibile</v>
      </c>
    </row>
    <row r="45" spans="1:9">
      <c r="A45" s="14">
        <f>27</f>
        <v>27</v>
      </c>
      <c r="B45" s="14">
        <f>'1-Input'!$B$5-A45</f>
        <v>8</v>
      </c>
      <c r="C45" s="15">
        <f>'1-Input'!$B$8/(IF('1-Input'!$B$12=0,B45,((1+'1-Input'!$B$12)^B45-1)/'1-Input'!$B$12))</f>
        <v>20242.149988903064</v>
      </c>
      <c r="D45" s="19">
        <f t="shared" si="0"/>
        <v>0.68272445468832654</v>
      </c>
      <c r="E45" s="15">
        <f>'1-Input'!$B$8/(IF('1-Input'!$B$32=0,B45,((1+'1-Input'!$B$32)^B45-1)/'1-Input'!$B$32))</f>
        <v>18999.031478487992</v>
      </c>
      <c r="F45" s="19">
        <f t="shared" si="1"/>
        <v>0.6407967243038879</v>
      </c>
      <c r="G45" s="13">
        <f>'P-Parametri'!$B$30-A45</f>
        <v>42.7</v>
      </c>
      <c r="H45" s="20">
        <f>'P-Parametri'!$B$24*G45/'P-Parametri'!$B$26</f>
        <v>0.78366992968913485</v>
      </c>
      <c r="I45" s="21" t="str">
        <f t="shared" si="2"/>
        <v>possibile</v>
      </c>
    </row>
    <row r="46" spans="1:9">
      <c r="A46" s="14">
        <f>28</f>
        <v>28</v>
      </c>
      <c r="B46" s="14">
        <f>'1-Input'!$B$5-A46</f>
        <v>7</v>
      </c>
      <c r="C46" s="15">
        <f>'1-Input'!$B$8/(IF('1-Input'!$B$12=0,B46,((1+'1-Input'!$B$12)^B46-1)/'1-Input'!$B$12))</f>
        <v>23491.143675768963</v>
      </c>
      <c r="D46" s="19">
        <f t="shared" si="0"/>
        <v>0.79230606752922328</v>
      </c>
      <c r="E46" s="15">
        <f>'1-Input'!$B$8/(IF('1-Input'!$B$32=0,B46,((1+'1-Input'!$B$32)^B46-1)/'1-Input'!$B$32))</f>
        <v>22256.265896382156</v>
      </c>
      <c r="F46" s="19">
        <f t="shared" si="1"/>
        <v>0.75065627938909119</v>
      </c>
      <c r="G46" s="13">
        <f>'P-Parametri'!$B$30-A46</f>
        <v>41.7</v>
      </c>
      <c r="H46" s="20">
        <f>'P-Parametri'!$B$24*G46/'P-Parametri'!$B$26</f>
        <v>0.7653170039352909</v>
      </c>
      <c r="I46" s="21" t="str">
        <f t="shared" si="2"/>
        <v>ALLARME — sopra il 70% del netto</v>
      </c>
    </row>
    <row r="47" spans="1:9">
      <c r="A47" s="14">
        <f>29</f>
        <v>29</v>
      </c>
      <c r="B47" s="14">
        <f>'1-Input'!$B$5-A47</f>
        <v>6</v>
      </c>
      <c r="C47" s="15">
        <f>'1-Input'!$B$8/(IF('1-Input'!$B$12=0,B47,((1+'1-Input'!$B$12)^B47-1)/'1-Input'!$B$12))</f>
        <v>27827.55008103191</v>
      </c>
      <c r="D47" s="19">
        <f t="shared" si="0"/>
        <v>0.93856378718662747</v>
      </c>
      <c r="E47" s="15">
        <f>'1-Input'!$B$8/(IF('1-Input'!$B$32=0,B47,((1+'1-Input'!$B$32)^B47-1)/'1-Input'!$B$32))</f>
        <v>26610.284115165618</v>
      </c>
      <c r="F47" s="19">
        <f t="shared" si="1"/>
        <v>0.89750800787403873</v>
      </c>
      <c r="G47" s="13">
        <f>'P-Parametri'!$B$30-A47</f>
        <v>40.700000000000003</v>
      </c>
      <c r="H47" s="20">
        <f>'P-Parametri'!$B$24*G47/'P-Parametri'!$B$26</f>
        <v>0.74696407818144694</v>
      </c>
      <c r="I47" s="21" t="str">
        <f t="shared" si="2"/>
        <v>ALLARME — sopra il 70% del netto</v>
      </c>
    </row>
    <row r="48" spans="1:9">
      <c r="A48" s="14">
        <f>30</f>
        <v>30</v>
      </c>
      <c r="B48" s="14">
        <f>'1-Input'!$B$5-A48</f>
        <v>5</v>
      </c>
      <c r="C48" s="15">
        <f>'1-Input'!$B$8/(IF('1-Input'!$B$12=0,B48,((1+'1-Input'!$B$12)^B48-1)/'1-Input'!$B$12))</f>
        <v>33903.822852103709</v>
      </c>
      <c r="D48" s="19">
        <f t="shared" si="0"/>
        <v>1.1435034806698654</v>
      </c>
      <c r="E48" s="15">
        <f>'1-Input'!$B$8/(IF('1-Input'!$B$32=0,B48,((1+'1-Input'!$B$32)^B48-1)/'1-Input'!$B$32))</f>
        <v>32719.193938068787</v>
      </c>
      <c r="F48" s="19">
        <f t="shared" si="1"/>
        <v>1.1035484793589425</v>
      </c>
      <c r="G48" s="13">
        <f>'P-Parametri'!$B$30-A48</f>
        <v>39.700000000000003</v>
      </c>
      <c r="H48" s="20">
        <f>'P-Parametri'!$B$24*G48/'P-Parametri'!$B$26</f>
        <v>0.7286111524276031</v>
      </c>
      <c r="I48" s="21" t="str">
        <f t="shared" si="2"/>
        <v>IMPOSSIBILE — oltre il 100% del netto</v>
      </c>
    </row>
    <row r="49" spans="1:9" ht="45" customHeight="1">
      <c r="A49" s="30" t="s">
        <v>300</v>
      </c>
      <c r="B49" s="27"/>
      <c r="C49" s="27"/>
      <c r="D49" s="27"/>
      <c r="E49" s="27"/>
      <c r="F49" s="27"/>
      <c r="G49" s="27"/>
      <c r="H49" s="27"/>
      <c r="I49" s="27"/>
    </row>
    <row r="51" spans="1:9">
      <c r="A51" s="29" t="s">
        <v>301</v>
      </c>
      <c r="B51" s="27"/>
      <c r="C51" s="27"/>
      <c r="D51" s="27"/>
      <c r="E51" s="27"/>
      <c r="F51" s="27"/>
      <c r="G51" s="27"/>
      <c r="H51" s="27"/>
      <c r="I51" s="27"/>
    </row>
    <row r="52" spans="1:9">
      <c r="A52" s="5" t="s">
        <v>302</v>
      </c>
      <c r="B52" s="14">
        <f>'1-Input'!$B$7</f>
        <v>25</v>
      </c>
    </row>
    <row r="53" spans="1:9">
      <c r="A53" s="5" t="s">
        <v>303</v>
      </c>
      <c r="B53" s="15">
        <f>'1-Input'!$B$8/(IF('1-Input'!$B$32=0,'1-Input'!$B$39,((1+'1-Input'!$B$32)^'1-Input'!$B$39-1)/'1-Input'!$B$32))</f>
        <v>14458.684431781037</v>
      </c>
    </row>
    <row r="54" spans="1:9">
      <c r="A54" s="5" t="s">
        <v>304</v>
      </c>
      <c r="B54" s="20">
        <f>B53/B14</f>
        <v>0.48766052270187915</v>
      </c>
    </row>
    <row r="55" spans="1:9">
      <c r="A55" s="5" t="s">
        <v>305</v>
      </c>
      <c r="B55" s="15">
        <f>B14-B53</f>
        <v>15190.392659128052</v>
      </c>
    </row>
    <row r="56" spans="1:9">
      <c r="A56" s="5" t="s">
        <v>306</v>
      </c>
      <c r="B56" s="15">
        <f>B55/12</f>
        <v>1265.8660549273377</v>
      </c>
    </row>
    <row r="57" spans="1:9">
      <c r="A57" s="5" t="s">
        <v>307</v>
      </c>
      <c r="B57" s="12">
        <f>'1-Input'!$B$7+'P-Parametri'!$B$36</f>
        <v>70.75</v>
      </c>
    </row>
    <row r="58" spans="1:9">
      <c r="A58" s="5" t="s">
        <v>308</v>
      </c>
      <c r="B58" s="21" t="str">
        <f>IF(B57&lt;'P-Parametri'!$B$30,"SI — le porte diventerebbero tre","NO — le porte restano due")</f>
        <v>NO — le porte restano due</v>
      </c>
    </row>
    <row r="60" spans="1:9" ht="45" customHeight="1">
      <c r="A60" s="30" t="s">
        <v>309</v>
      </c>
      <c r="B60" s="27"/>
      <c r="C60" s="27"/>
      <c r="D60" s="27"/>
      <c r="E60" s="27"/>
      <c r="F60" s="27"/>
      <c r="G60" s="27"/>
      <c r="H60" s="27"/>
      <c r="I60" s="27"/>
    </row>
  </sheetData>
  <mergeCells count="12">
    <mergeCell ref="A60:I60"/>
    <mergeCell ref="A1:I1"/>
    <mergeCell ref="A17:I17"/>
    <mergeCell ref="A27:I27"/>
    <mergeCell ref="A35:I35"/>
    <mergeCell ref="A4:I4"/>
    <mergeCell ref="A38:I38"/>
    <mergeCell ref="A25:I25"/>
    <mergeCell ref="A2:I2"/>
    <mergeCell ref="A49:I49"/>
    <mergeCell ref="A51:I51"/>
    <mergeCell ref="A37:I3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heetViews>
  <sheetFormatPr defaultRowHeight="15"/>
  <cols>
    <col min="1" max="1" width="58" customWidth="1"/>
    <col min="2" max="5" width="20" customWidth="1"/>
    <col min="6" max="6" width="44" customWidth="1"/>
  </cols>
  <sheetData>
    <row r="1" spans="1:6" ht="24.95" customHeight="1">
      <c r="A1" s="28" t="s">
        <v>310</v>
      </c>
      <c r="B1" s="27"/>
      <c r="C1" s="27"/>
      <c r="D1" s="27"/>
      <c r="E1" s="27"/>
      <c r="F1" s="27"/>
    </row>
    <row r="2" spans="1:6" ht="32.1" customHeight="1">
      <c r="A2" s="26" t="s">
        <v>1</v>
      </c>
      <c r="B2" s="27"/>
      <c r="C2" s="27"/>
      <c r="D2" s="27"/>
      <c r="E2" s="27"/>
      <c r="F2" s="27"/>
    </row>
    <row r="4" spans="1:6">
      <c r="A4" s="29" t="s">
        <v>311</v>
      </c>
      <c r="B4" s="27"/>
      <c r="C4" s="27"/>
      <c r="D4" s="27"/>
      <c r="E4" s="27"/>
      <c r="F4" s="27"/>
    </row>
    <row r="5" spans="1:6">
      <c r="A5" s="5" t="s">
        <v>312</v>
      </c>
      <c r="B5" s="12">
        <f>'1-Input'!$B$33</f>
        <v>66.95</v>
      </c>
    </row>
    <row r="6" spans="1:6">
      <c r="A6" s="5" t="s">
        <v>313</v>
      </c>
      <c r="B6" s="14">
        <f>'1-Input'!$B$6+B5</f>
        <v>2057.9499999999998</v>
      </c>
    </row>
    <row r="7" spans="1:6">
      <c r="A7" s="5" t="s">
        <v>314</v>
      </c>
      <c r="B7" s="13">
        <f>B5-'1-Input'!$B$7</f>
        <v>41.95</v>
      </c>
    </row>
    <row r="8" spans="1:6">
      <c r="A8" s="5" t="s">
        <v>315</v>
      </c>
      <c r="B8" s="11">
        <f>'P-Parametri'!$B$28*B7/'P-Parametri'!$B$29</f>
        <v>0.64885133286561369</v>
      </c>
    </row>
    <row r="9" spans="1:6">
      <c r="A9" s="5" t="s">
        <v>316</v>
      </c>
      <c r="B9" s="15">
        <f>'1-Input'!$B$9*B8</f>
        <v>28549.458646087001</v>
      </c>
    </row>
    <row r="10" spans="1:6">
      <c r="A10" s="5" t="s">
        <v>317</v>
      </c>
      <c r="B10" s="15">
        <f>B9/'P-Parametri'!$B$34</f>
        <v>2196.112203545154</v>
      </c>
    </row>
    <row r="11" spans="1:6">
      <c r="A11" s="5" t="s">
        <v>318</v>
      </c>
      <c r="B11" s="15">
        <f>'P-Parametri'!$B$33*'P-Parametri'!$B$32</f>
        <v>1638.72</v>
      </c>
    </row>
    <row r="12" spans="1:6">
      <c r="A12" s="5" t="s">
        <v>319</v>
      </c>
      <c r="B12" s="15">
        <f>'P-Parametri'!$C$33*'P-Parametri'!$B$32</f>
        <v>1747.9680000000001</v>
      </c>
    </row>
    <row r="13" spans="1:6">
      <c r="A13" s="5" t="s">
        <v>320</v>
      </c>
      <c r="B13" s="14">
        <f>B6-'P-Parametri'!$B$68</f>
        <v>31.949999999999818</v>
      </c>
    </row>
    <row r="14" spans="1:6">
      <c r="A14" s="5" t="s">
        <v>321</v>
      </c>
      <c r="B14" s="15">
        <f>B11*(1+'1-Input'!$B$19)^B13*('P-Parametri'!$C$33/'P-Parametri'!$B$33)</f>
        <v>2402.1568978324067</v>
      </c>
    </row>
    <row r="15" spans="1:6">
      <c r="A15" s="5" t="s">
        <v>322</v>
      </c>
      <c r="B15" s="19">
        <f>B10/B14-1</f>
        <v>-8.5774869440533918E-2</v>
      </c>
    </row>
    <row r="16" spans="1:6">
      <c r="A16" s="5" t="s">
        <v>323</v>
      </c>
      <c r="B16" s="21" t="str">
        <f>IF(B10&gt;=B14,"VERDE — la porta breve resta aperta","ROSSO — la porta breve si chiude: la pensione non raggiunge la soglia")</f>
        <v>ROSSO — la porta breve si chiude: la pensione non raggiunge la soglia</v>
      </c>
    </row>
    <row r="17" spans="1:6">
      <c r="A17" s="5" t="s">
        <v>324</v>
      </c>
      <c r="B17" s="11">
        <f>(B10/(B11*('P-Parametri'!$C$33/'P-Parametri'!$B$33)))^(1/B13)-1</f>
        <v>7.1690700304265498E-3</v>
      </c>
    </row>
    <row r="18" spans="1:6" ht="45" customHeight="1">
      <c r="A18" s="30" t="s">
        <v>325</v>
      </c>
      <c r="B18" s="27"/>
      <c r="C18" s="27"/>
      <c r="D18" s="27"/>
      <c r="E18" s="27"/>
      <c r="F18" s="27"/>
    </row>
    <row r="20" spans="1:6">
      <c r="A20" s="29" t="s">
        <v>326</v>
      </c>
      <c r="B20" s="27"/>
      <c r="C20" s="27"/>
      <c r="D20" s="27"/>
      <c r="E20" s="27"/>
      <c r="F20" s="27"/>
    </row>
    <row r="21" spans="1:6" ht="30">
      <c r="A21" s="22" t="s">
        <v>327</v>
      </c>
      <c r="B21" s="22" t="s">
        <v>328</v>
      </c>
      <c r="C21" s="22" t="s">
        <v>329</v>
      </c>
      <c r="D21" s="22" t="s">
        <v>330</v>
      </c>
    </row>
    <row r="22" spans="1:6">
      <c r="A22" s="11">
        <f>0</f>
        <v>0</v>
      </c>
      <c r="B22" s="15">
        <f>$B$11*(1+A22)^$B$13*('P-Parametri'!$C$33/'P-Parametri'!$B$33)</f>
        <v>1747.9680000000001</v>
      </c>
      <c r="C22" s="15">
        <f>$B$10</f>
        <v>2196.112203545154</v>
      </c>
      <c r="D22" s="21" t="str">
        <f>IF(C22&gt;B22+0.5,"passa",IF(ABS(C22-B22)&lt;=0.5,"punto di indifferenza","non passa"))</f>
        <v>passa</v>
      </c>
    </row>
    <row r="23" spans="1:6">
      <c r="A23" s="11">
        <f>0.005</f>
        <v>5.0000000000000001E-3</v>
      </c>
      <c r="B23" s="15">
        <f>$B$11*(1+A23)^$B$13*('P-Parametri'!$C$33/'P-Parametri'!$B$33)</f>
        <v>2049.9305647177871</v>
      </c>
      <c r="C23" s="15">
        <f>$B$10</f>
        <v>2196.112203545154</v>
      </c>
      <c r="D23" s="21" t="str">
        <f>IF(C23&gt;B23+0.5,"passa",IF(ABS(C23-B23)&lt;=0.5,"punto di indifferenza","non passa"))</f>
        <v>passa</v>
      </c>
    </row>
    <row r="24" spans="1:6">
      <c r="A24" s="11">
        <f>$B$17</f>
        <v>7.1690700304265498E-3</v>
      </c>
      <c r="B24" s="15">
        <f>$B$11*(1+A24)^$B$13*('P-Parametri'!$C$33/'P-Parametri'!$B$33)</f>
        <v>2196.1122035451572</v>
      </c>
      <c r="C24" s="15">
        <f>$B$10</f>
        <v>2196.112203545154</v>
      </c>
      <c r="D24" s="21" t="str">
        <f>IF(C24&gt;B24+0.5,"passa",IF(ABS(C24-B24)&lt;=0.5,"punto di indifferenza","non passa"))</f>
        <v>punto di indifferenza</v>
      </c>
    </row>
    <row r="25" spans="1:6">
      <c r="A25" s="11">
        <f>0.01</f>
        <v>0.01</v>
      </c>
      <c r="B25" s="15">
        <f>$B$11*(1+A25)^$B$13*('P-Parametri'!$C$33/'P-Parametri'!$B$33)</f>
        <v>2402.1568978324067</v>
      </c>
      <c r="C25" s="15">
        <f>$B$10</f>
        <v>2196.112203545154</v>
      </c>
      <c r="D25" s="21" t="str">
        <f>IF(C25&gt;B25+0.5,"passa",IF(ABS(C25-B25)&lt;=0.5,"punto di indifferenza","non passa"))</f>
        <v>non passa</v>
      </c>
    </row>
    <row r="26" spans="1:6">
      <c r="A26" s="11">
        <f>0.015</f>
        <v>1.4999999999999999E-2</v>
      </c>
      <c r="B26" s="15">
        <f>$B$11*(1+A26)^$B$13*('P-Parametri'!$C$33/'P-Parametri'!$B$33)</f>
        <v>2812.7007411228442</v>
      </c>
      <c r="C26" s="15">
        <f>$B$10</f>
        <v>2196.112203545154</v>
      </c>
      <c r="D26" s="21" t="str">
        <f>IF(C26&gt;B26+0.5,"passa",IF(ABS(C26-B26)&lt;=0.5,"punto di indifferenza","non passa"))</f>
        <v>non passa</v>
      </c>
    </row>
    <row r="28" spans="1:6">
      <c r="A28" s="29" t="s">
        <v>331</v>
      </c>
      <c r="B28" s="27"/>
      <c r="C28" s="27"/>
      <c r="D28" s="27"/>
      <c r="E28" s="27"/>
      <c r="F28" s="27"/>
    </row>
    <row r="29" spans="1:6" ht="30">
      <c r="A29" s="5" t="s">
        <v>332</v>
      </c>
      <c r="B29" s="7">
        <v>0</v>
      </c>
    </row>
    <row r="30" spans="1:6">
      <c r="A30" s="5" t="s">
        <v>333</v>
      </c>
      <c r="B30" s="15">
        <f>B29/'P-Parametri'!$B$34</f>
        <v>0</v>
      </c>
    </row>
    <row r="31" spans="1:6">
      <c r="A31" s="5" t="s">
        <v>334</v>
      </c>
      <c r="B31" s="15">
        <f>B10+B30</f>
        <v>2196.112203545154</v>
      </c>
    </row>
    <row r="32" spans="1:6">
      <c r="A32" s="5" t="s">
        <v>335</v>
      </c>
      <c r="B32" s="14">
        <f>20+'P-Parametri'!$B$35+'P-Parametri'!$C$35</f>
        <v>30</v>
      </c>
    </row>
    <row r="33" spans="1:6" ht="30">
      <c r="A33" s="5" t="s">
        <v>336</v>
      </c>
      <c r="B33" s="21" t="str">
        <f>IF(B7&gt;=B32,"si'","no")</f>
        <v>si'</v>
      </c>
    </row>
    <row r="34" spans="1:6">
      <c r="A34" s="5" t="s">
        <v>337</v>
      </c>
      <c r="B34" s="21" t="str">
        <f>IF(AND(B7&gt;=B32,B31&gt;=B14),"si', ma con il divieto di cumulo fra pensione e reddito da lavoro","no")</f>
        <v>no</v>
      </c>
    </row>
    <row r="35" spans="1:6" ht="60" customHeight="1">
      <c r="A35" s="30" t="s">
        <v>338</v>
      </c>
      <c r="B35" s="27"/>
      <c r="C35" s="27"/>
      <c r="D35" s="27"/>
      <c r="E35" s="27"/>
      <c r="F35" s="27"/>
    </row>
    <row r="36" spans="1:6" ht="30" customHeight="1">
      <c r="A36" s="30" t="s">
        <v>339</v>
      </c>
      <c r="B36" s="27"/>
      <c r="C36" s="27"/>
      <c r="D36" s="27"/>
      <c r="E36" s="27"/>
      <c r="F36" s="27"/>
    </row>
  </sheetData>
  <mergeCells count="8">
    <mergeCell ref="A2:F2"/>
    <mergeCell ref="A28:F28"/>
    <mergeCell ref="A36:F36"/>
    <mergeCell ref="A1:F1"/>
    <mergeCell ref="A18:F18"/>
    <mergeCell ref="A4:F4"/>
    <mergeCell ref="A35:F35"/>
    <mergeCell ref="A20:F2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heetViews>
  <sheetFormatPr defaultRowHeight="15"/>
  <cols>
    <col min="1" max="1" width="62" customWidth="1"/>
    <col min="2" max="5" width="20" customWidth="1"/>
    <col min="6" max="6" width="44" customWidth="1"/>
  </cols>
  <sheetData>
    <row r="1" spans="1:6" ht="24.95" customHeight="1">
      <c r="A1" s="28" t="s">
        <v>340</v>
      </c>
      <c r="B1" s="27"/>
      <c r="C1" s="27"/>
      <c r="D1" s="27"/>
      <c r="E1" s="27"/>
      <c r="F1" s="27"/>
    </row>
    <row r="2" spans="1:6" ht="32.1" customHeight="1">
      <c r="A2" s="26" t="s">
        <v>1</v>
      </c>
      <c r="B2" s="27"/>
      <c r="C2" s="27"/>
      <c r="D2" s="27"/>
      <c r="E2" s="27"/>
      <c r="F2" s="27"/>
    </row>
    <row r="4" spans="1:6">
      <c r="A4" s="29" t="s">
        <v>341</v>
      </c>
      <c r="B4" s="27"/>
      <c r="C4" s="27"/>
      <c r="D4" s="27"/>
      <c r="E4" s="27"/>
      <c r="F4" s="27"/>
    </row>
    <row r="5" spans="1:6" ht="30">
      <c r="A5" s="5" t="s">
        <v>342</v>
      </c>
      <c r="B5" s="15">
        <f>'P-Parametri'!$B$54</f>
        <v>1794.07</v>
      </c>
    </row>
    <row r="6" spans="1:6">
      <c r="A6" s="5" t="s">
        <v>343</v>
      </c>
      <c r="B6" s="15">
        <f>B5*12</f>
        <v>21528.84</v>
      </c>
    </row>
    <row r="7" spans="1:6">
      <c r="A7" s="5" t="s">
        <v>344</v>
      </c>
      <c r="B7" s="19">
        <f>'P-Parametri'!$B$55</f>
        <v>0.48199999999999998</v>
      </c>
    </row>
    <row r="8" spans="1:6">
      <c r="A8" s="5" t="s">
        <v>345</v>
      </c>
      <c r="B8" s="15">
        <f>B5*B7</f>
        <v>864.74173999999994</v>
      </c>
    </row>
    <row r="9" spans="1:6">
      <c r="A9" s="5" t="s">
        <v>346</v>
      </c>
      <c r="B9" s="19">
        <f>'1-Input'!$B$14</f>
        <v>0.66669999999999996</v>
      </c>
    </row>
    <row r="10" spans="1:6">
      <c r="A10" s="5" t="s">
        <v>347</v>
      </c>
      <c r="B10" s="15">
        <f>IF('1-Input'!$B$13=1,0,B8*B9)</f>
        <v>0</v>
      </c>
    </row>
    <row r="11" spans="1:6">
      <c r="A11" s="5" t="s">
        <v>348</v>
      </c>
      <c r="B11" s="21" t="str">
        <f>IF('1-Input'!$B$13=1,"AFFITTO — la spesa e' tutta monetaria","CASA DI PROPRIETA' — una parte della spesa non e' cassa")</f>
        <v>AFFITTO — la spesa e' tutta monetaria</v>
      </c>
    </row>
    <row r="12" spans="1:6">
      <c r="A12" s="5" t="s">
        <v>349</v>
      </c>
      <c r="B12" s="15">
        <f>(B5-B10)*12</f>
        <v>21528.84</v>
      </c>
    </row>
    <row r="13" spans="1:6">
      <c r="A13" s="5" t="s">
        <v>350</v>
      </c>
      <c r="B13" s="15">
        <f>B12/12</f>
        <v>1794.07</v>
      </c>
    </row>
    <row r="14" spans="1:6" ht="60" customHeight="1">
      <c r="A14" s="30" t="s">
        <v>351</v>
      </c>
      <c r="B14" s="27"/>
      <c r="C14" s="27"/>
      <c r="D14" s="27"/>
      <c r="E14" s="27"/>
      <c r="F14" s="27"/>
    </row>
    <row r="16" spans="1:6">
      <c r="A16" s="29" t="s">
        <v>352</v>
      </c>
      <c r="B16" s="27"/>
      <c r="C16" s="27"/>
      <c r="D16" s="27"/>
      <c r="E16" s="27"/>
      <c r="F16" s="27"/>
    </row>
    <row r="17" spans="1:6" ht="30">
      <c r="A17" s="22" t="s">
        <v>353</v>
      </c>
      <c r="B17" s="22" t="s">
        <v>354</v>
      </c>
      <c r="C17" s="22" t="s">
        <v>355</v>
      </c>
      <c r="D17" s="22" t="s">
        <v>356</v>
      </c>
    </row>
    <row r="18" spans="1:6">
      <c r="A18" s="5" t="s">
        <v>357</v>
      </c>
      <c r="B18" s="15">
        <f>$B$5-$B$8*(0)</f>
        <v>1794.07</v>
      </c>
      <c r="C18" s="15">
        <f>B18*12</f>
        <v>21528.84</v>
      </c>
      <c r="D18" s="19">
        <f>'5-Caso'!$D$19/C18</f>
        <v>1.1298047075559743</v>
      </c>
    </row>
    <row r="19" spans="1:6">
      <c r="A19" s="5" t="s">
        <v>358</v>
      </c>
      <c r="B19" s="15">
        <f>$B$5-$B$8*(0.5)</f>
        <v>1361.69913</v>
      </c>
      <c r="C19" s="15">
        <f>B19*12</f>
        <v>16340.38956</v>
      </c>
      <c r="D19" s="19">
        <f>'5-Caso'!$D$19/C19</f>
        <v>1.4885437517206515</v>
      </c>
    </row>
    <row r="20" spans="1:6">
      <c r="A20" s="5" t="s">
        <v>359</v>
      </c>
      <c r="B20" s="15">
        <f>$B$5-$B$8*(B9)</f>
        <v>1217.5466819419999</v>
      </c>
      <c r="C20" s="15">
        <f>B20*12</f>
        <v>14610.560183303998</v>
      </c>
      <c r="D20" s="19">
        <f>'5-Caso'!$D$19/C20</f>
        <v>1.6647811223565918</v>
      </c>
    </row>
    <row r="22" spans="1:6">
      <c r="A22" s="29" t="s">
        <v>360</v>
      </c>
      <c r="B22" s="27"/>
      <c r="C22" s="27"/>
      <c r="D22" s="27"/>
      <c r="E22" s="27"/>
      <c r="F22" s="27"/>
    </row>
    <row r="23" spans="1:6" ht="30">
      <c r="A23" s="22" t="s">
        <v>361</v>
      </c>
      <c r="B23" s="22" t="s">
        <v>362</v>
      </c>
      <c r="C23" s="22" t="s">
        <v>271</v>
      </c>
      <c r="D23" s="22" t="s">
        <v>356</v>
      </c>
      <c r="E23" s="22" t="s">
        <v>363</v>
      </c>
    </row>
    <row r="24" spans="1:6" ht="60" customHeight="1">
      <c r="A24" s="5" t="s">
        <v>364</v>
      </c>
      <c r="B24" s="15">
        <f>B6</f>
        <v>21528.84</v>
      </c>
      <c r="C24" s="15">
        <f>B5</f>
        <v>1794.07</v>
      </c>
      <c r="D24" s="19">
        <f>'5-Caso'!$D$19/B24</f>
        <v>1.1298047075559743</v>
      </c>
      <c r="E24" s="10" t="s">
        <v>365</v>
      </c>
    </row>
    <row r="25" spans="1:6" ht="60" customHeight="1">
      <c r="A25" s="5" t="s">
        <v>366</v>
      </c>
      <c r="B25" s="15">
        <f>B12</f>
        <v>21528.84</v>
      </c>
      <c r="C25" s="15">
        <f>B13</f>
        <v>1794.07</v>
      </c>
      <c r="D25" s="19">
        <f>'5-Caso'!$D$19/B25</f>
        <v>1.1298047075559743</v>
      </c>
      <c r="E25" s="10" t="s">
        <v>367</v>
      </c>
    </row>
    <row r="26" spans="1:6" ht="60" customHeight="1">
      <c r="A26" s="5" t="s">
        <v>368</v>
      </c>
      <c r="B26" s="15">
        <f>'5-Caso'!$B$55</f>
        <v>15190.392659128052</v>
      </c>
      <c r="C26" s="15">
        <f>'5-Caso'!$B$55/12</f>
        <v>1265.8660549273377</v>
      </c>
      <c r="D26" s="19">
        <f>'5-Caso'!$D$19/B26</f>
        <v>1.6012347623945855</v>
      </c>
      <c r="E26" s="10" t="s">
        <v>369</v>
      </c>
    </row>
    <row r="28" spans="1:6">
      <c r="A28" s="29" t="s">
        <v>370</v>
      </c>
      <c r="B28" s="27"/>
      <c r="C28" s="27"/>
      <c r="D28" s="27"/>
      <c r="E28" s="27"/>
      <c r="F28" s="27"/>
    </row>
    <row r="29" spans="1:6" ht="30">
      <c r="A29" s="22" t="s">
        <v>371</v>
      </c>
      <c r="B29" s="22" t="s">
        <v>270</v>
      </c>
      <c r="C29" s="22" t="s">
        <v>272</v>
      </c>
    </row>
    <row r="30" spans="1:6" ht="30">
      <c r="A30" s="5" t="s">
        <v>372</v>
      </c>
      <c r="B30" s="15">
        <f>'5-Caso'!$D$22</f>
        <v>21584.528122181815</v>
      </c>
      <c r="C30" s="19">
        <f>B30/$B$6</f>
        <v>1.0025866754633235</v>
      </c>
    </row>
    <row r="31" spans="1:6">
      <c r="A31" s="5" t="s">
        <v>373</v>
      </c>
      <c r="B31" s="15">
        <f>'5-Caso'!$D$21</f>
        <v>24323.384780219363</v>
      </c>
      <c r="C31" s="19">
        <f>B31/$B$6</f>
        <v>1.1298047075559743</v>
      </c>
    </row>
    <row r="32" spans="1:6">
      <c r="A32" s="5" t="s">
        <v>374</v>
      </c>
      <c r="B32" s="15">
        <f>'5-Caso'!$D$23</f>
        <v>25111.257393137417</v>
      </c>
      <c r="C32" s="19">
        <f>B32/$B$6</f>
        <v>1.1664008554635279</v>
      </c>
    </row>
    <row r="33" spans="1:6">
      <c r="A33" s="5" t="s">
        <v>375</v>
      </c>
      <c r="B33" s="19">
        <f>MIN(C30:C32)</f>
        <v>1.0025866754633235</v>
      </c>
      <c r="C33" s="19">
        <f>MAX(C30:C32)</f>
        <v>1.1664008554635279</v>
      </c>
    </row>
    <row r="34" spans="1:6">
      <c r="A34" s="5" t="s">
        <v>376</v>
      </c>
      <c r="B34" s="12">
        <f>(C33-B33)*100</f>
        <v>16.381418000020442</v>
      </c>
    </row>
    <row r="35" spans="1:6" ht="45" customHeight="1">
      <c r="A35" s="30" t="s">
        <v>377</v>
      </c>
      <c r="B35" s="27"/>
      <c r="C35" s="27"/>
      <c r="D35" s="27"/>
      <c r="E35" s="27"/>
      <c r="F35" s="27"/>
    </row>
    <row r="36" spans="1:6" ht="60" customHeight="1">
      <c r="A36" s="30" t="s">
        <v>378</v>
      </c>
      <c r="B36" s="27"/>
      <c r="C36" s="27"/>
      <c r="D36" s="27"/>
      <c r="E36" s="27"/>
      <c r="F36" s="27"/>
    </row>
  </sheetData>
  <mergeCells count="9">
    <mergeCell ref="A1:F1"/>
    <mergeCell ref="A22:F22"/>
    <mergeCell ref="A35:F35"/>
    <mergeCell ref="A4:F4"/>
    <mergeCell ref="A2:F2"/>
    <mergeCell ref="A16:F16"/>
    <mergeCell ref="A28:F28"/>
    <mergeCell ref="A36:F36"/>
    <mergeCell ref="A14:F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5"/>
  <cols>
    <col min="1" max="1" width="56" customWidth="1"/>
    <col min="2" max="6" width="20" customWidth="1"/>
    <col min="7" max="7" width="44" customWidth="1"/>
  </cols>
  <sheetData>
    <row r="1" spans="1:7" ht="24.95" customHeight="1">
      <c r="A1" s="28" t="s">
        <v>379</v>
      </c>
      <c r="B1" s="27"/>
      <c r="C1" s="27"/>
      <c r="D1" s="27"/>
      <c r="E1" s="27"/>
      <c r="F1" s="27"/>
      <c r="G1" s="27"/>
    </row>
    <row r="2" spans="1:7" ht="32.1" customHeight="1">
      <c r="A2" s="26" t="s">
        <v>1</v>
      </c>
      <c r="B2" s="27"/>
      <c r="C2" s="27"/>
      <c r="D2" s="27"/>
      <c r="E2" s="27"/>
      <c r="F2" s="27"/>
      <c r="G2" s="27"/>
    </row>
    <row r="4" spans="1:7">
      <c r="A4" s="29" t="s">
        <v>380</v>
      </c>
      <c r="B4" s="27"/>
      <c r="C4" s="27"/>
      <c r="D4" s="27"/>
      <c r="E4" s="27"/>
      <c r="F4" s="27"/>
      <c r="G4" s="27"/>
    </row>
    <row r="5" spans="1:7">
      <c r="A5" s="5" t="s">
        <v>78</v>
      </c>
      <c r="B5" s="12">
        <f>'1-Input'!$B$38</f>
        <v>22.299999999999997</v>
      </c>
    </row>
    <row r="6" spans="1:7">
      <c r="A6" s="5" t="s">
        <v>381</v>
      </c>
      <c r="B6" s="13">
        <f>IF('1-Input'!$B$18=0,'1-Input'!$B$38,(1-(1+'1-Input'!$B$18)^(-'1-Input'!$B$38))/'1-Input'!$B$18*(1+'1-Input'!$B$18))</f>
        <v>16.573214838021585</v>
      </c>
    </row>
    <row r="7" spans="1:7" ht="45">
      <c r="A7" s="5" t="s">
        <v>382</v>
      </c>
      <c r="B7" s="11">
        <f>MAX(0,1-(1+'1-Input'!$B$11)^(-'1-Input'!$B$35))</f>
        <v>0.67587028804653038</v>
      </c>
      <c r="D7" s="5" t="s">
        <v>383</v>
      </c>
      <c r="E7" s="11">
        <f>MAX(0,1-(1+'1-Input'!$B$12)^(-'1-Input'!$B$35))</f>
        <v>0.64145117572943056</v>
      </c>
    </row>
    <row r="8" spans="1:7" ht="45">
      <c r="A8" s="5" t="s">
        <v>384</v>
      </c>
      <c r="B8" s="25">
        <f>1/(1-'P-Parametri'!$B$39*B7)</f>
        <v>1.2131892228750762</v>
      </c>
      <c r="D8" s="5" t="s">
        <v>385</v>
      </c>
      <c r="E8" s="25">
        <f>1/(1-'P-Parametri'!$B$39*E7)</f>
        <v>1.2001593413483442</v>
      </c>
    </row>
    <row r="9" spans="1:7" ht="45" customHeight="1">
      <c r="A9" s="30" t="s">
        <v>386</v>
      </c>
      <c r="B9" s="27"/>
      <c r="C9" s="27"/>
      <c r="D9" s="27"/>
      <c r="E9" s="27"/>
      <c r="F9" s="27"/>
      <c r="G9" s="27"/>
    </row>
    <row r="11" spans="1:7">
      <c r="A11" s="29" t="s">
        <v>387</v>
      </c>
      <c r="B11" s="27"/>
      <c r="C11" s="27"/>
      <c r="D11" s="27"/>
      <c r="E11" s="27"/>
      <c r="F11" s="27"/>
      <c r="G11" s="27"/>
    </row>
    <row r="12" spans="1:7" ht="60">
      <c r="A12" s="22" t="s">
        <v>388</v>
      </c>
      <c r="B12" s="22" t="s">
        <v>389</v>
      </c>
      <c r="C12" s="22" t="s">
        <v>390</v>
      </c>
      <c r="D12" s="22" t="s">
        <v>391</v>
      </c>
      <c r="E12" s="22" t="s">
        <v>392</v>
      </c>
      <c r="F12" s="22" t="s">
        <v>393</v>
      </c>
    </row>
    <row r="13" spans="1:7">
      <c r="A13" s="15">
        <f>'7-Denominatori'!$B$6</f>
        <v>21528.84</v>
      </c>
      <c r="B13" s="15">
        <f>MAX(0,A13-'5-Caso'!$D$19)</f>
        <v>0</v>
      </c>
      <c r="C13" s="15">
        <f>IF('1-Input'!$B$17=1,B13*$B$6*$E$8,B13/'1-Input'!$B$18*$E$8)</f>
        <v>0</v>
      </c>
      <c r="D13" s="15">
        <f>C13/(1+'1-Input'!$B$12)^'1-Input'!$B$35</f>
        <v>0</v>
      </c>
      <c r="E13" s="15">
        <f>IF('1-Input'!$B$17=1,B13*$B$6*$B$8,B13/'1-Input'!$B$18*$B$8)/(1+'1-Input'!$B$11)^'1-Input'!$B$35</f>
        <v>0</v>
      </c>
      <c r="F13" s="21" t="str">
        <f>IF(D13&lt;=0,"la pensione basta da sola",IF('1-Input'!$B$8&gt;=D13,"si'","no"))</f>
        <v>la pensione basta da sola</v>
      </c>
    </row>
    <row r="14" spans="1:7">
      <c r="A14" s="15">
        <f>24000</f>
        <v>24000</v>
      </c>
      <c r="B14" s="15">
        <f>MAX(0,A14-'5-Caso'!$D$19)</f>
        <v>0</v>
      </c>
      <c r="C14" s="15">
        <f>IF('1-Input'!$B$17=1,B14*$B$6*$E$8,B14/'1-Input'!$B$18*$E$8)</f>
        <v>0</v>
      </c>
      <c r="D14" s="15">
        <f>C14/(1+'1-Input'!$B$12)^'1-Input'!$B$35</f>
        <v>0</v>
      </c>
      <c r="E14" s="15">
        <f>IF('1-Input'!$B$17=1,B14*$B$6*$B$8,B14/'1-Input'!$B$18*$B$8)/(1+'1-Input'!$B$11)^'1-Input'!$B$35</f>
        <v>0</v>
      </c>
      <c r="F14" s="21" t="str">
        <f>IF(D14&lt;=0,"la pensione basta da sola",IF('1-Input'!$B$8&gt;=D14,"si'","no"))</f>
        <v>la pensione basta da sola</v>
      </c>
    </row>
    <row r="15" spans="1:7">
      <c r="A15" s="15">
        <f>26000</f>
        <v>26000</v>
      </c>
      <c r="B15" s="15">
        <f>MAX(0,A15-'5-Caso'!$D$19)</f>
        <v>1676.6152197806368</v>
      </c>
      <c r="C15" s="15">
        <f>IF('1-Input'!$B$17=1,B15*$B$6*$E$8,B15/'1-Input'!$B$18*$E$8)</f>
        <v>33348.712688533138</v>
      </c>
      <c r="D15" s="15">
        <f>C15/(1+'1-Input'!$B$12)^'1-Input'!$B$35</f>
        <v>11957.141725410578</v>
      </c>
      <c r="E15" s="15">
        <f>IF('1-Input'!$B$17=1,B15*$B$6*$B$8,B15/'1-Input'!$B$18*$B$8)/(1+'1-Input'!$B$11)^'1-Input'!$B$35</f>
        <v>10926.663064022674</v>
      </c>
      <c r="F15" s="21" t="str">
        <f>IF(D15&lt;=0,"la pensione basta da sola",IF('1-Input'!$B$8&gt;=D15,"si'","no"))</f>
        <v>si'</v>
      </c>
    </row>
    <row r="16" spans="1:7">
      <c r="A16" s="15">
        <f>30000</f>
        <v>30000</v>
      </c>
      <c r="B16" s="15">
        <f>MAX(0,A16-'5-Caso'!$D$19)</f>
        <v>5676.6152197806368</v>
      </c>
      <c r="C16" s="15">
        <f>IF('1-Input'!$B$17=1,B16*$B$6*$E$8,B16/'1-Input'!$B$18*$E$8)</f>
        <v>112910.70710463151</v>
      </c>
      <c r="D16" s="15">
        <f>C16/(1+'1-Input'!$B$12)^'1-Input'!$B$35</f>
        <v>40484.001279924261</v>
      </c>
      <c r="E16" s="15">
        <f>IF('1-Input'!$B$17=1,B16*$B$6*$B$8,B16/'1-Input'!$B$18*$B$8)/(1+'1-Input'!$B$11)^'1-Input'!$B$35</f>
        <v>36995.048785708503</v>
      </c>
      <c r="F16" s="21" t="str">
        <f>IF(D16&lt;=0,"la pensione basta da sola",IF('1-Input'!$B$8&gt;=D16,"si'","no"))</f>
        <v>si'</v>
      </c>
    </row>
    <row r="17" spans="1:7">
      <c r="A17" s="15">
        <f>32000</f>
        <v>32000</v>
      </c>
      <c r="B17" s="15">
        <f>MAX(0,A17-'5-Caso'!$D$19)</f>
        <v>7676.6152197806368</v>
      </c>
      <c r="C17" s="15">
        <f>IF('1-Input'!$B$17=1,B17*$B$6*$E$8,B17/'1-Input'!$B$18*$E$8)</f>
        <v>152691.70431268067</v>
      </c>
      <c r="D17" s="15">
        <f>C17/(1+'1-Input'!$B$12)^'1-Input'!$B$35</f>
        <v>54747.431057181093</v>
      </c>
      <c r="E17" s="15">
        <f>IF('1-Input'!$B$17=1,B17*$B$6*$B$8,B17/'1-Input'!$B$18*$B$8)/(1+'1-Input'!$B$11)^'1-Input'!$B$35</f>
        <v>50029.241646551411</v>
      </c>
      <c r="F17" s="21" t="str">
        <f>IF(D17&lt;=0,"la pensione basta da sola",IF('1-Input'!$B$8&gt;=D17,"si'","no"))</f>
        <v>si'</v>
      </c>
    </row>
    <row r="18" spans="1:7">
      <c r="A18" s="15">
        <f>36000</f>
        <v>36000</v>
      </c>
      <c r="B18" s="15">
        <f>MAX(0,A18-'5-Caso'!$D$19)</f>
        <v>11676.615219780637</v>
      </c>
      <c r="C18" s="15">
        <f>IF('1-Input'!$B$17=1,B18*$B$6*$E$8,B18/'1-Input'!$B$18*$E$8)</f>
        <v>232253.69872877907</v>
      </c>
      <c r="D18" s="15">
        <f>C18/(1+'1-Input'!$B$12)^'1-Input'!$B$35</f>
        <v>83274.290611694785</v>
      </c>
      <c r="E18" s="15">
        <f>IF('1-Input'!$B$17=1,B18*$B$6*$B$8,B18/'1-Input'!$B$18*$B$8)/(1+'1-Input'!$B$11)^'1-Input'!$B$35</f>
        <v>76097.627368237241</v>
      </c>
      <c r="F18" s="21" t="str">
        <f>IF(D18&lt;=0,"la pensione basta da sola",IF('1-Input'!$B$8&gt;=D18,"si'","no"))</f>
        <v>si'</v>
      </c>
    </row>
    <row r="19" spans="1:7">
      <c r="A19" s="15">
        <f>45000</f>
        <v>45000</v>
      </c>
      <c r="B19" s="15">
        <f>MAX(0,A19-'5-Caso'!$D$19)</f>
        <v>20676.615219780637</v>
      </c>
      <c r="C19" s="15">
        <f>IF('1-Input'!$B$17=1,B19*$B$6*$E$8,B19/'1-Input'!$B$18*$E$8)</f>
        <v>411268.18616500037</v>
      </c>
      <c r="D19" s="15">
        <f>C19/(1+'1-Input'!$B$12)^'1-Input'!$B$35</f>
        <v>147459.72460935055</v>
      </c>
      <c r="E19" s="15">
        <f>IF('1-Input'!$B$17=1,B19*$B$6*$B$8,B19/'1-Input'!$B$18*$B$8)/(1+'1-Input'!$B$11)^'1-Input'!$B$35</f>
        <v>134751.49524203036</v>
      </c>
      <c r="F19" s="21" t="str">
        <f>IF(D19&lt;=0,"la pensione basta da sola",IF('1-Input'!$B$8&gt;=D19,"si'","no"))</f>
        <v>si'</v>
      </c>
    </row>
    <row r="20" spans="1:7">
      <c r="A20" s="15">
        <f>'1-Input'!$B$23</f>
        <v>30000</v>
      </c>
      <c r="B20" s="15">
        <f>MAX(0,A20-'5-Caso'!$D$19)</f>
        <v>5676.6152197806368</v>
      </c>
      <c r="C20" s="15">
        <f>IF('1-Input'!$B$17=1,B20*$B$6*$E$8,B20/'1-Input'!$B$18*$E$8)</f>
        <v>112910.70710463151</v>
      </c>
      <c r="D20" s="15">
        <f>C20/(1+'1-Input'!$B$12)^'1-Input'!$B$35</f>
        <v>40484.001279924261</v>
      </c>
      <c r="E20" s="15">
        <f>IF('1-Input'!$B$17=1,B20*$B$6*$B$8,B20/'1-Input'!$B$18*$B$8)/(1+'1-Input'!$B$11)^'1-Input'!$B$35</f>
        <v>36995.048785708503</v>
      </c>
      <c r="F20" s="21" t="str">
        <f>IF(D20&lt;=0,"la pensione basta da sola",IF('1-Input'!$B$8&gt;=D20,"si'","no"))</f>
        <v>si'</v>
      </c>
    </row>
    <row r="21" spans="1:7" ht="45" customHeight="1">
      <c r="A21" s="30" t="s">
        <v>394</v>
      </c>
      <c r="B21" s="27"/>
      <c r="C21" s="27"/>
      <c r="D21" s="27"/>
      <c r="E21" s="27"/>
      <c r="F21" s="27"/>
      <c r="G21" s="27"/>
    </row>
    <row r="22" spans="1:7">
      <c r="A22" s="29" t="s">
        <v>395</v>
      </c>
      <c r="B22" s="27"/>
      <c r="C22" s="27"/>
      <c r="D22" s="27"/>
      <c r="E22" s="27"/>
      <c r="F22" s="27"/>
      <c r="G22" s="27"/>
    </row>
    <row r="23" spans="1:7">
      <c r="A23" s="5" t="s">
        <v>396</v>
      </c>
      <c r="B23" s="15">
        <f>'1-Input'!$B$8*(1+'1-Input'!$B$11)^'1-Input'!$B$35</f>
        <v>555333.23037611507</v>
      </c>
    </row>
    <row r="24" spans="1:7">
      <c r="A24" s="5" t="s">
        <v>397</v>
      </c>
      <c r="B24" s="20">
        <f>MAX(0,(B23-'1-Input'!$B$8)/B23)</f>
        <v>0.67587028804653027</v>
      </c>
    </row>
    <row r="25" spans="1:7">
      <c r="A25" s="5" t="s">
        <v>398</v>
      </c>
      <c r="B25" s="25">
        <f>1/(1-'P-Parametri'!$B$39*B24)</f>
        <v>1.2131892228750762</v>
      </c>
    </row>
    <row r="26" spans="1:7">
      <c r="A26" s="5" t="s">
        <v>399</v>
      </c>
      <c r="B26" s="15">
        <f>IF('1-Input'!$B$17=1,B23/($B$6*B25),B23*'1-Input'!$B$18/B25)</f>
        <v>27619.661903385324</v>
      </c>
    </row>
    <row r="27" spans="1:7">
      <c r="A27" s="5" t="s">
        <v>400</v>
      </c>
      <c r="B27" s="15">
        <f>B26+'5-Caso'!$D$19</f>
        <v>51943.046683604683</v>
      </c>
    </row>
    <row r="28" spans="1:7">
      <c r="A28" s="5" t="s">
        <v>164</v>
      </c>
      <c r="B28" s="15">
        <f>B27/12</f>
        <v>4328.5872236337236</v>
      </c>
    </row>
    <row r="29" spans="1:7">
      <c r="A29" s="5" t="s">
        <v>401</v>
      </c>
      <c r="B29" s="24">
        <f>B27/'7-Denominatori'!$B$6</f>
        <v>2.4127192493234508</v>
      </c>
    </row>
    <row r="31" spans="1:7">
      <c r="A31" s="5" t="s">
        <v>402</v>
      </c>
      <c r="B31" s="15">
        <f>'1-Input'!$B$10</f>
        <v>800000</v>
      </c>
    </row>
    <row r="32" spans="1:7">
      <c r="A32" s="5" t="s">
        <v>403</v>
      </c>
      <c r="B32" s="20">
        <f>MAX(0,(B31-'1-Input'!$B$8)/B31)</f>
        <v>0.77500000000000002</v>
      </c>
    </row>
    <row r="33" spans="1:7">
      <c r="A33" s="5" t="s">
        <v>404</v>
      </c>
      <c r="B33" s="15">
        <f>IF('1-Input'!$B$17=1,B31/($B$6*(1/(1-'P-Parametri'!$B$39*B32))),B31*'1-Input'!$B$18/(1/(1-'P-Parametri'!$B$39*B32)))</f>
        <v>38544.121116109076</v>
      </c>
    </row>
    <row r="34" spans="1:7" ht="30">
      <c r="A34" s="5" t="s">
        <v>405</v>
      </c>
      <c r="B34" s="15">
        <f>B33+'5-Caso'!$D$19</f>
        <v>62867.505896328439</v>
      </c>
    </row>
    <row r="35" spans="1:7">
      <c r="A35" s="5" t="s">
        <v>164</v>
      </c>
      <c r="B35" s="15">
        <f>B34/12</f>
        <v>5238.9588246940366</v>
      </c>
    </row>
    <row r="36" spans="1:7">
      <c r="A36" s="5" t="s">
        <v>401</v>
      </c>
      <c r="B36" s="24">
        <f>B34/'7-Denominatori'!$B$6</f>
        <v>2.9201529620884563</v>
      </c>
    </row>
    <row r="38" spans="1:7">
      <c r="A38" s="29" t="s">
        <v>406</v>
      </c>
      <c r="B38" s="27"/>
      <c r="C38" s="27"/>
      <c r="D38" s="27"/>
      <c r="E38" s="27"/>
      <c r="F38" s="27"/>
      <c r="G38" s="27"/>
    </row>
    <row r="39" spans="1:7" ht="45">
      <c r="A39" s="22" t="s">
        <v>407</v>
      </c>
      <c r="B39" s="22" t="s">
        <v>270</v>
      </c>
      <c r="C39" s="22" t="s">
        <v>408</v>
      </c>
      <c r="D39" s="22" t="s">
        <v>409</v>
      </c>
      <c r="E39" s="22" t="s">
        <v>410</v>
      </c>
      <c r="F39" s="22" t="s">
        <v>272</v>
      </c>
    </row>
    <row r="40" spans="1:7">
      <c r="A40" s="19">
        <f>1.2-0.1*0</f>
        <v>1.2</v>
      </c>
      <c r="B40" s="15">
        <f>'5-Caso'!$D$19/'1-Input'!$B$16*A40</f>
        <v>29188.061736263237</v>
      </c>
      <c r="C40" s="15">
        <f t="shared" ref="C40:C52" si="0">B40+$B$23/($B$6*$B$25)</f>
        <v>56807.72363964856</v>
      </c>
      <c r="D40" s="15">
        <f>B40+$B$23*'1-Input'!$B$18/$B$25</f>
        <v>42920.459450612994</v>
      </c>
      <c r="E40" s="15">
        <f>B40+$B$23/((IF('P-Parametri'!$B$61=0,'1-Input'!$B$38,(1-(1+'P-Parametri'!$B$61)^(-'1-Input'!$B$38))/'P-Parametri'!$B$61*(1+'P-Parametri'!$B$61)))*$B$25)</f>
        <v>55431.692770093883</v>
      </c>
      <c r="F40" s="19">
        <f>B40/'7-Denominatori'!$B$6</f>
        <v>1.3557656490671692</v>
      </c>
    </row>
    <row r="41" spans="1:7">
      <c r="A41" s="19">
        <f>1.2-0.1*1</f>
        <v>1.0999999999999999</v>
      </c>
      <c r="B41" s="15">
        <f>'5-Caso'!$D$19/'1-Input'!$B$16*A41</f>
        <v>26755.723258241298</v>
      </c>
      <c r="C41" s="15">
        <f t="shared" si="0"/>
        <v>54375.385161626618</v>
      </c>
      <c r="D41" s="15">
        <f>B41+$B$23*'1-Input'!$B$18/$B$25</f>
        <v>40488.120972591052</v>
      </c>
      <c r="E41" s="15">
        <f>B41+$B$23/((IF('P-Parametri'!$B$61=0,'1-Input'!$B$38,(1-(1+'P-Parametri'!$B$61)^(-'1-Input'!$B$38))/'P-Parametri'!$B$61*(1+'P-Parametri'!$B$61)))*$B$25)</f>
        <v>52999.354292071948</v>
      </c>
      <c r="F41" s="19">
        <f>B41/'7-Denominatori'!$B$6</f>
        <v>1.2427851783115718</v>
      </c>
    </row>
    <row r="42" spans="1:7">
      <c r="A42" s="19">
        <f>1.2-0.1*2</f>
        <v>1</v>
      </c>
      <c r="B42" s="15">
        <f>'5-Caso'!$D$19/'1-Input'!$B$16*A42</f>
        <v>24323.384780219363</v>
      </c>
      <c r="C42" s="15">
        <f t="shared" si="0"/>
        <v>51943.046683604683</v>
      </c>
      <c r="D42" s="15">
        <f>B42+$B$23*'1-Input'!$B$18/$B$25</f>
        <v>38055.782494569117</v>
      </c>
      <c r="E42" s="15">
        <f>B42+$B$23/((IF('P-Parametri'!$B$61=0,'1-Input'!$B$38,(1-(1+'P-Parametri'!$B$61)^(-'1-Input'!$B$38))/'P-Parametri'!$B$61*(1+'P-Parametri'!$B$61)))*$B$25)</f>
        <v>50567.015814050013</v>
      </c>
      <c r="F42" s="19">
        <f>B42/'7-Denominatori'!$B$6</f>
        <v>1.1298047075559743</v>
      </c>
    </row>
    <row r="43" spans="1:7">
      <c r="A43" s="19">
        <f>1.2-0.1*3</f>
        <v>0.89999999999999991</v>
      </c>
      <c r="B43" s="15">
        <f>'5-Caso'!$D$19/'1-Input'!$B$16*A43</f>
        <v>21891.046302197425</v>
      </c>
      <c r="C43" s="15">
        <f t="shared" si="0"/>
        <v>49510.708205582749</v>
      </c>
      <c r="D43" s="15">
        <f>B43+$B$23*'1-Input'!$B$18/$B$25</f>
        <v>35623.444016547175</v>
      </c>
      <c r="E43" s="15">
        <f>B43+$B$23/((IF('P-Parametri'!$B$61=0,'1-Input'!$B$38,(1-(1+'P-Parametri'!$B$61)^(-'1-Input'!$B$38))/'P-Parametri'!$B$61*(1+'P-Parametri'!$B$61)))*$B$25)</f>
        <v>48134.677336028071</v>
      </c>
      <c r="F43" s="19">
        <f>B43/'7-Denominatori'!$B$6</f>
        <v>1.0168242368003768</v>
      </c>
    </row>
    <row r="44" spans="1:7">
      <c r="A44" s="19">
        <f>1.2-0.1*4</f>
        <v>0.79999999999999993</v>
      </c>
      <c r="B44" s="15">
        <f>'5-Caso'!$D$19/'1-Input'!$B$16*A44</f>
        <v>19458.70782417549</v>
      </c>
      <c r="C44" s="15">
        <f t="shared" si="0"/>
        <v>47078.369727560814</v>
      </c>
      <c r="D44" s="15">
        <f>B44+$B$23*'1-Input'!$B$18/$B$25</f>
        <v>33191.10553852524</v>
      </c>
      <c r="E44" s="15">
        <f>B44+$B$23/((IF('P-Parametri'!$B$61=0,'1-Input'!$B$38,(1-(1+'P-Parametri'!$B$61)^(-'1-Input'!$B$38))/'P-Parametri'!$B$61*(1+'P-Parametri'!$B$61)))*$B$25)</f>
        <v>45702.338858006136</v>
      </c>
      <c r="F44" s="19">
        <f>B44/'7-Denominatori'!$B$6</f>
        <v>0.90384376604477945</v>
      </c>
    </row>
    <row r="45" spans="1:7">
      <c r="A45" s="19">
        <f>1.2-0.1*5</f>
        <v>0.7</v>
      </c>
      <c r="B45" s="15">
        <f>'5-Caso'!$D$19/'1-Input'!$B$16*A45</f>
        <v>17026.369346153555</v>
      </c>
      <c r="C45" s="15">
        <f t="shared" si="0"/>
        <v>44646.031249538879</v>
      </c>
      <c r="D45" s="15">
        <f>B45+$B$23*'1-Input'!$B$18/$B$25</f>
        <v>30758.767060503309</v>
      </c>
      <c r="E45" s="15">
        <f>B45+$B$23/((IF('P-Parametri'!$B$61=0,'1-Input'!$B$38,(1-(1+'P-Parametri'!$B$61)^(-'1-Input'!$B$38))/'P-Parametri'!$B$61*(1+'P-Parametri'!$B$61)))*$B$25)</f>
        <v>43270.000379984202</v>
      </c>
      <c r="F45" s="19">
        <f>B45/'7-Denominatori'!$B$6</f>
        <v>0.79086329528918209</v>
      </c>
    </row>
    <row r="46" spans="1:7">
      <c r="A46" s="19">
        <f>1.2-0.1*6</f>
        <v>0.59999999999999987</v>
      </c>
      <c r="B46" s="15">
        <f>'5-Caso'!$D$19/'1-Input'!$B$16*A46</f>
        <v>14594.030868131615</v>
      </c>
      <c r="C46" s="15">
        <f t="shared" si="0"/>
        <v>42213.692771516937</v>
      </c>
      <c r="D46" s="15">
        <f>B46+$B$23*'1-Input'!$B$18/$B$25</f>
        <v>28326.428582481371</v>
      </c>
      <c r="E46" s="15">
        <f>B46+$B$23/((IF('P-Parametri'!$B$61=0,'1-Input'!$B$38,(1-(1+'P-Parametri'!$B$61)^(-'1-Input'!$B$38))/'P-Parametri'!$B$61*(1+'P-Parametri'!$B$61)))*$B$25)</f>
        <v>40837.661901962259</v>
      </c>
      <c r="F46" s="19">
        <f>B46/'7-Denominatori'!$B$6</f>
        <v>0.6778828245335845</v>
      </c>
    </row>
    <row r="47" spans="1:7">
      <c r="A47" s="19">
        <f>1.2-0.1*7</f>
        <v>0.49999999999999989</v>
      </c>
      <c r="B47" s="15">
        <f>'5-Caso'!$D$19/'1-Input'!$B$16*A47</f>
        <v>12161.69239010968</v>
      </c>
      <c r="C47" s="15">
        <f t="shared" si="0"/>
        <v>39781.354293495002</v>
      </c>
      <c r="D47" s="15">
        <f>B47+$B$23*'1-Input'!$B$18/$B$25</f>
        <v>25894.090104459436</v>
      </c>
      <c r="E47" s="15">
        <f>B47+$B$23/((IF('P-Parametri'!$B$61=0,'1-Input'!$B$38,(1-(1+'P-Parametri'!$B$61)^(-'1-Input'!$B$38))/'P-Parametri'!$B$61*(1+'P-Parametri'!$B$61)))*$B$25)</f>
        <v>38405.323423940325</v>
      </c>
      <c r="F47" s="19">
        <f>B47/'7-Denominatori'!$B$6</f>
        <v>0.56490235377798714</v>
      </c>
    </row>
    <row r="48" spans="1:7">
      <c r="A48" s="19">
        <f>1.2-0.1*8</f>
        <v>0.39999999999999991</v>
      </c>
      <c r="B48" s="15">
        <f>'5-Caso'!$D$19/'1-Input'!$B$16*A48</f>
        <v>9729.3539120877431</v>
      </c>
      <c r="C48" s="15">
        <f t="shared" si="0"/>
        <v>37349.015815473067</v>
      </c>
      <c r="D48" s="15">
        <f>B48+$B$23*'1-Input'!$B$18/$B$25</f>
        <v>23461.751626437497</v>
      </c>
      <c r="E48" s="15">
        <f>B48+$B$23/((IF('P-Parametri'!$B$61=0,'1-Input'!$B$38,(1-(1+'P-Parametri'!$B$61)^(-'1-Input'!$B$38))/'P-Parametri'!$B$61*(1+'P-Parametri'!$B$61)))*$B$25)</f>
        <v>35972.98494591839</v>
      </c>
      <c r="F48" s="19">
        <f>B48/'7-Denominatori'!$B$6</f>
        <v>0.45192188302238961</v>
      </c>
    </row>
    <row r="49" spans="1:7">
      <c r="A49" s="19">
        <f>1.2-0.1*9</f>
        <v>0.29999999999999993</v>
      </c>
      <c r="B49" s="15">
        <f>'5-Caso'!$D$19/'1-Input'!$B$16*A49</f>
        <v>7297.0154340658073</v>
      </c>
      <c r="C49" s="15">
        <f t="shared" si="0"/>
        <v>34916.677337451132</v>
      </c>
      <c r="D49" s="15">
        <f>B49+$B$23*'1-Input'!$B$18/$B$25</f>
        <v>21029.413148415562</v>
      </c>
      <c r="E49" s="15">
        <f>B49+$B$23/((IF('P-Parametri'!$B$61=0,'1-Input'!$B$38,(1-(1+'P-Parametri'!$B$61)^(-'1-Input'!$B$38))/'P-Parametri'!$B$61*(1+'P-Parametri'!$B$61)))*$B$25)</f>
        <v>33540.646467896455</v>
      </c>
      <c r="F49" s="19">
        <f>B49/'7-Denominatori'!$B$6</f>
        <v>0.33894141226679225</v>
      </c>
    </row>
    <row r="50" spans="1:7">
      <c r="A50" s="19">
        <f>1.2-0.1*10</f>
        <v>0.19999999999999996</v>
      </c>
      <c r="B50" s="15">
        <f>'5-Caso'!$D$19/'1-Input'!$B$16*A50</f>
        <v>4864.6769560438715</v>
      </c>
      <c r="C50" s="15">
        <f t="shared" si="0"/>
        <v>32484.338859429197</v>
      </c>
      <c r="D50" s="15">
        <f>B50+$B$23*'1-Input'!$B$18/$B$25</f>
        <v>18597.074670393624</v>
      </c>
      <c r="E50" s="15">
        <f>B50+$B$23/((IF('P-Parametri'!$B$61=0,'1-Input'!$B$38,(1-(1+'P-Parametri'!$B$61)^(-'1-Input'!$B$38))/'P-Parametri'!$B$61*(1+'P-Parametri'!$B$61)))*$B$25)</f>
        <v>31108.30798987452</v>
      </c>
      <c r="F50" s="19">
        <f>B50/'7-Denominatori'!$B$6</f>
        <v>0.22596094151119481</v>
      </c>
    </row>
    <row r="51" spans="1:7">
      <c r="A51" s="19">
        <f>1.2-0.1*11</f>
        <v>9.9999999999999867E-2</v>
      </c>
      <c r="B51" s="15">
        <f>'5-Caso'!$D$19/'1-Input'!$B$16*A51</f>
        <v>2432.338478021933</v>
      </c>
      <c r="C51" s="15">
        <f t="shared" si="0"/>
        <v>30052.000381407255</v>
      </c>
      <c r="D51" s="15">
        <f>B51+$B$23*'1-Input'!$B$18/$B$25</f>
        <v>16164.736192371687</v>
      </c>
      <c r="E51" s="15">
        <f>B51+$B$23/((IF('P-Parametri'!$B$61=0,'1-Input'!$B$38,(1-(1+'P-Parametri'!$B$61)^(-'1-Input'!$B$38))/'P-Parametri'!$B$61*(1+'P-Parametri'!$B$61)))*$B$25)</f>
        <v>28675.969511852578</v>
      </c>
      <c r="F51" s="19">
        <f>B51/'7-Denominatori'!$B$6</f>
        <v>0.11298047075559728</v>
      </c>
    </row>
    <row r="52" spans="1:7">
      <c r="A52" s="19">
        <f>1.2-0.1*12</f>
        <v>0</v>
      </c>
      <c r="B52" s="15">
        <f>'5-Caso'!$D$19/'1-Input'!$B$16*A52</f>
        <v>0</v>
      </c>
      <c r="C52" s="15">
        <f t="shared" si="0"/>
        <v>27619.661903385324</v>
      </c>
      <c r="D52" s="15">
        <f>B52+$B$23*'1-Input'!$B$18/$B$25</f>
        <v>13732.397714349754</v>
      </c>
      <c r="E52" s="15">
        <f>B52+$B$23/((IF('P-Parametri'!$B$61=0,'1-Input'!$B$38,(1-(1+'P-Parametri'!$B$61)^(-'1-Input'!$B$38))/'P-Parametri'!$B$61*(1+'P-Parametri'!$B$61)))*$B$25)</f>
        <v>26243.631033830647</v>
      </c>
      <c r="F52" s="19">
        <f>B52/'7-Denominatori'!$B$6</f>
        <v>0</v>
      </c>
    </row>
    <row r="53" spans="1:7" ht="30" customHeight="1">
      <c r="A53" s="30" t="s">
        <v>411</v>
      </c>
      <c r="B53" s="27"/>
      <c r="C53" s="27"/>
      <c r="D53" s="27"/>
      <c r="E53" s="27"/>
      <c r="F53" s="27"/>
      <c r="G53" s="27"/>
    </row>
    <row r="55" spans="1:7">
      <c r="A55" s="29" t="s">
        <v>412</v>
      </c>
      <c r="B55" s="27"/>
      <c r="C55" s="27"/>
      <c r="D55" s="27"/>
      <c r="E55" s="27"/>
      <c r="F55" s="27"/>
      <c r="G55" s="27"/>
    </row>
    <row r="56" spans="1:7">
      <c r="A56" s="5" t="s">
        <v>413</v>
      </c>
      <c r="B56" s="15">
        <f>'1-Input'!$B$10-'1-Input'!$B$8*(1+'1-Input'!$B$11)^'1-Input'!$B$35</f>
        <v>244666.76962388493</v>
      </c>
    </row>
    <row r="57" spans="1:7">
      <c r="A57" s="5" t="s">
        <v>414</v>
      </c>
      <c r="B57" s="15">
        <f>'1-Input'!$B$10-'1-Input'!$B$8*(1+'1-Input'!$B$12)^'1-Input'!$B$35</f>
        <v>297976.32061354152</v>
      </c>
    </row>
    <row r="59" spans="1:7" ht="45">
      <c r="A59" s="22" t="s">
        <v>415</v>
      </c>
      <c r="B59" s="22" t="s">
        <v>416</v>
      </c>
      <c r="C59" s="22" t="s">
        <v>417</v>
      </c>
    </row>
    <row r="60" spans="1:7">
      <c r="A60" s="14">
        <f>5</f>
        <v>5</v>
      </c>
      <c r="B60" s="15">
        <f>$B$56/((IF('1-Input'!$B$11=0,A60,((1+'1-Input'!$B$11)^A60-1)/'1-Input'!$B$11))*(1+'1-Input'!$B$11)^('1-Input'!$B$35-A60))</f>
        <v>17464.940006378885</v>
      </c>
      <c r="C60" s="15">
        <f>$B$57/((IF('1-Input'!$B$12=0,A60,((1+'1-Input'!$B$12)^A60-1)/'1-Input'!$B$12))*(1+'1-Input'!$B$12)^('1-Input'!$B$35-A60))</f>
        <v>23328.797027720855</v>
      </c>
    </row>
    <row r="61" spans="1:7">
      <c r="A61" s="14">
        <f>10</f>
        <v>10</v>
      </c>
      <c r="B61" s="15">
        <f>$B$56/((IF('1-Input'!$B$11=0,A61,((1+'1-Input'!$B$11)^A61-1)/'1-Input'!$B$11))*(1+'1-Input'!$B$11)^('1-Input'!$B$35-A61))</f>
        <v>9439.7144294539394</v>
      </c>
      <c r="C61" s="15">
        <f>$B$57/((IF('1-Input'!$B$12=0,A61,((1+'1-Input'!$B$12)^A61-1)/'1-Input'!$B$12))*(1+'1-Input'!$B$12)^('1-Input'!$B$35-A61))</f>
        <v>12524.797060609839</v>
      </c>
    </row>
    <row r="62" spans="1:7">
      <c r="A62" s="14">
        <f>15</f>
        <v>15</v>
      </c>
      <c r="B62" s="15">
        <f>$B$56/((IF('1-Input'!$B$11=0,A62,((1+'1-Input'!$B$11)^A62-1)/'1-Input'!$B$11))*(1+'1-Input'!$B$11)^('1-Input'!$B$35-A62))</f>
        <v>6787.9840854982394</v>
      </c>
      <c r="C62" s="15">
        <f>$B$57/((IF('1-Input'!$B$12=0,A62,((1+'1-Input'!$B$12)^A62-1)/'1-Input'!$B$12))*(1+'1-Input'!$B$12)^('1-Input'!$B$35-A62))</f>
        <v>8949.5426671237019</v>
      </c>
    </row>
    <row r="63" spans="1:7">
      <c r="A63" s="14">
        <f>20</f>
        <v>20</v>
      </c>
      <c r="B63" s="15">
        <f>$B$56/((IF('1-Input'!$B$11=0,A63,((1+'1-Input'!$B$11)^A63-1)/'1-Input'!$B$11))*(1+'1-Input'!$B$11)^('1-Input'!$B$35-A63))</f>
        <v>5479.3993539230978</v>
      </c>
      <c r="C63" s="15">
        <f>$B$57/((IF('1-Input'!$B$12=0,A63,((1+'1-Input'!$B$12)^A63-1)/'1-Input'!$B$12))*(1+'1-Input'!$B$12)^('1-Input'!$B$35-A63))</f>
        <v>7181.2629776599451</v>
      </c>
    </row>
    <row r="64" spans="1:7">
      <c r="A64" s="14">
        <f>34</f>
        <v>34</v>
      </c>
      <c r="B64" s="15">
        <f>$B$56/((IF('1-Input'!$B$11=0,A64,((1+'1-Input'!$B$11)^A64-1)/'1-Input'!$B$11))*(1+'1-Input'!$B$11)^('1-Input'!$B$35-A64))</f>
        <v>3915.2428278237885</v>
      </c>
      <c r="C64" s="15">
        <f>$B$57/((IF('1-Input'!$B$12=0,A64,((1+'1-Input'!$B$12)^A64-1)/'1-Input'!$B$12))*(1+'1-Input'!$B$12)^('1-Input'!$B$35-A64))</f>
        <v>5055.8340506961722</v>
      </c>
    </row>
    <row r="65" spans="1:7">
      <c r="A65" s="5" t="s">
        <v>418</v>
      </c>
      <c r="B65" s="15">
        <f>$B$56/((IF('1-Input'!$B$11=0,'1-Input'!$B$25,((1+'1-Input'!$B$11)^'1-Input'!$B$25-1)/'1-Input'!$B$11))*(1+'1-Input'!$B$11)^('1-Input'!$B$35-'1-Input'!$B$25))</f>
        <v>9439.7144294539394</v>
      </c>
    </row>
    <row r="66" spans="1:7" ht="15" customHeight="1">
      <c r="A66" s="30" t="s">
        <v>419</v>
      </c>
      <c r="B66" s="27"/>
      <c r="C66" s="27"/>
      <c r="D66" s="27"/>
      <c r="E66" s="27"/>
      <c r="F66" s="27"/>
      <c r="G66" s="27"/>
    </row>
  </sheetData>
  <mergeCells count="11">
    <mergeCell ref="A66:G66"/>
    <mergeCell ref="A1:G1"/>
    <mergeCell ref="A9:G9"/>
    <mergeCell ref="A21:G21"/>
    <mergeCell ref="A22:G22"/>
    <mergeCell ref="A53:G53"/>
    <mergeCell ref="A55:G55"/>
    <mergeCell ref="A4:G4"/>
    <mergeCell ref="A38:G38"/>
    <mergeCell ref="A2:G2"/>
    <mergeCell ref="A11:G1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workbookViewId="0"/>
  </sheetViews>
  <sheetFormatPr defaultRowHeight="15"/>
  <cols>
    <col min="1" max="1" width="8" customWidth="1"/>
    <col min="2" max="2" width="22" customWidth="1"/>
    <col min="3" max="4" width="20" customWidth="1"/>
    <col min="5" max="5" width="14" customWidth="1"/>
    <col min="6" max="7" width="20" customWidth="1"/>
    <col min="8" max="8" width="14" customWidth="1"/>
    <col min="9" max="10" width="20" customWidth="1"/>
    <col min="11" max="11" width="14" customWidth="1"/>
    <col min="12" max="13" width="20" customWidth="1"/>
    <col min="14" max="14" width="14" customWidth="1"/>
  </cols>
  <sheetData>
    <row r="1" spans="1:14" ht="24.95" customHeight="1">
      <c r="A1" s="28" t="s">
        <v>22</v>
      </c>
      <c r="B1" s="27"/>
      <c r="C1" s="27"/>
      <c r="D1" s="27"/>
      <c r="E1" s="27"/>
      <c r="F1" s="27"/>
      <c r="G1" s="27"/>
      <c r="H1" s="27"/>
      <c r="I1" s="27"/>
      <c r="J1" s="27"/>
      <c r="K1" s="27"/>
      <c r="L1" s="27"/>
      <c r="M1" s="27"/>
    </row>
    <row r="2" spans="1:14" ht="32.1" customHeight="1">
      <c r="A2" s="26" t="s">
        <v>1</v>
      </c>
      <c r="B2" s="27"/>
      <c r="C2" s="27"/>
      <c r="D2" s="27"/>
      <c r="E2" s="27"/>
      <c r="F2" s="27"/>
      <c r="G2" s="27"/>
      <c r="H2" s="27"/>
      <c r="I2" s="27"/>
      <c r="J2" s="27"/>
      <c r="K2" s="27"/>
      <c r="L2" s="27"/>
      <c r="M2" s="27"/>
    </row>
    <row r="3" spans="1:14" ht="45" customHeight="1">
      <c r="A3" s="30" t="s">
        <v>420</v>
      </c>
      <c r="B3" s="27"/>
      <c r="C3" s="27"/>
      <c r="D3" s="27"/>
      <c r="E3" s="27"/>
      <c r="F3" s="27"/>
      <c r="G3" s="27"/>
      <c r="H3" s="27"/>
      <c r="I3" s="27"/>
      <c r="J3" s="27"/>
      <c r="K3" s="27"/>
      <c r="L3" s="27"/>
      <c r="M3" s="27"/>
    </row>
    <row r="5" spans="1:14">
      <c r="A5" s="29" t="s">
        <v>421</v>
      </c>
      <c r="B5" s="27"/>
      <c r="C5" s="27"/>
      <c r="D5" s="27"/>
      <c r="E5" s="27"/>
      <c r="F5" s="27"/>
      <c r="G5" s="27"/>
      <c r="H5" s="27"/>
      <c r="I5" s="27"/>
      <c r="J5" s="27"/>
      <c r="K5" s="27"/>
      <c r="L5" s="27"/>
      <c r="M5" s="27"/>
    </row>
    <row r="6" spans="1:14" ht="30">
      <c r="A6" s="22" t="s">
        <v>218</v>
      </c>
      <c r="B6" s="22" t="s">
        <v>422</v>
      </c>
      <c r="C6" s="22" t="s">
        <v>423</v>
      </c>
      <c r="D6" s="22" t="s">
        <v>424</v>
      </c>
      <c r="E6" s="22" t="s">
        <v>225</v>
      </c>
      <c r="F6" s="22" t="s">
        <v>425</v>
      </c>
      <c r="G6" s="22" t="s">
        <v>426</v>
      </c>
      <c r="H6" s="22" t="s">
        <v>427</v>
      </c>
      <c r="I6" s="22" t="s">
        <v>428</v>
      </c>
      <c r="J6" s="22" t="s">
        <v>426</v>
      </c>
      <c r="K6" s="22" t="s">
        <v>427</v>
      </c>
      <c r="L6" s="22" t="s">
        <v>429</v>
      </c>
      <c r="M6" s="22" t="s">
        <v>426</v>
      </c>
      <c r="N6" s="22" t="s">
        <v>427</v>
      </c>
    </row>
    <row r="7" spans="1:14">
      <c r="A7" s="14">
        <f>1</f>
        <v>1</v>
      </c>
      <c r="B7" s="8">
        <v>0.03</v>
      </c>
      <c r="C7" s="15">
        <f>'1-Input'!$B$8*(1+B7)</f>
        <v>185400</v>
      </c>
      <c r="D7" s="15">
        <f>'1-Input'!$B$8*(1+B7)*(1-'P-Parametri'!$B$40)</f>
        <v>185029.2</v>
      </c>
      <c r="E7" s="15">
        <f>'1-Input'!$B$8*(1+B7)*'P-Parametri'!$B$40</f>
        <v>370.8</v>
      </c>
      <c r="F7" s="20">
        <f>IF(A7='P-Parametri'!$B$64,'P-Parametri'!$B$62,IF(A7='P-Parametri'!$C$64,'P-Parametri'!$C$62,'P-Parametri'!$D$62))</f>
        <v>0.03</v>
      </c>
      <c r="G7" s="15">
        <f>'1-Input'!$B$8*(1+F7)*(1-'P-Parametri'!$B$40)</f>
        <v>185029.2</v>
      </c>
      <c r="H7" s="15">
        <f>'1-Input'!$B$8*(1+F7)*'P-Parametri'!$B$40</f>
        <v>370.8</v>
      </c>
      <c r="I7" s="20">
        <f>IF(A7='P-Parametri'!$B$65,'P-Parametri'!$B$62,IF(A7='P-Parametri'!$C$65,'P-Parametri'!$C$62,'P-Parametri'!$D$62))</f>
        <v>0.03</v>
      </c>
      <c r="J7" s="15">
        <f>'1-Input'!$B$8*(1+I7)*(1-'P-Parametri'!$B$40)</f>
        <v>185029.2</v>
      </c>
      <c r="K7" s="15">
        <f>'1-Input'!$B$8*(1+I7)*'P-Parametri'!$B$40</f>
        <v>370.8</v>
      </c>
      <c r="L7" s="20">
        <f>IF(A7='P-Parametri'!$B$66,'P-Parametri'!$B$62,IF(A7='P-Parametri'!$C$66,'P-Parametri'!$C$62,'P-Parametri'!$D$62))</f>
        <v>0.03</v>
      </c>
      <c r="M7" s="15">
        <f>'1-Input'!$B$8*(1+L7)*(1-'P-Parametri'!$B$40)</f>
        <v>185029.2</v>
      </c>
      <c r="N7" s="15">
        <f>'1-Input'!$B$8*(1+L7)*'P-Parametri'!$B$40</f>
        <v>370.8</v>
      </c>
    </row>
    <row r="8" spans="1:14">
      <c r="A8" s="14">
        <f>2</f>
        <v>2</v>
      </c>
      <c r="B8" s="8">
        <v>-0.35</v>
      </c>
      <c r="C8" s="15">
        <f t="shared" ref="C8:C38" si="0">C7*(1+B8)</f>
        <v>120510</v>
      </c>
      <c r="D8" s="15">
        <f>D7*(1+B8)*(1-'P-Parametri'!$B$40)</f>
        <v>120028.44204000001</v>
      </c>
      <c r="E8" s="15">
        <f>E7+D7*(1+B8)*'P-Parametri'!$B$40</f>
        <v>611.33796000000007</v>
      </c>
      <c r="F8" s="20">
        <f>IF(A8='P-Parametri'!$B$64,'P-Parametri'!$B$62,IF(A8='P-Parametri'!$C$64,'P-Parametri'!$C$62,'P-Parametri'!$D$62))</f>
        <v>-0.35</v>
      </c>
      <c r="G8" s="15">
        <f>G7*(1+F8)*(1-'P-Parametri'!$B$40)</f>
        <v>120028.44204000001</v>
      </c>
      <c r="H8" s="15">
        <f>H7+G7*(1+F8)*'P-Parametri'!$B$40</f>
        <v>611.33796000000007</v>
      </c>
      <c r="I8" s="20">
        <f>IF(A8='P-Parametri'!$B$65,'P-Parametri'!$B$62,IF(A8='P-Parametri'!$C$65,'P-Parametri'!$C$62,'P-Parametri'!$D$62))</f>
        <v>0.03</v>
      </c>
      <c r="J8" s="15">
        <f>J7*(1+I8)*(1-'P-Parametri'!$B$40)</f>
        <v>190198.91584800003</v>
      </c>
      <c r="K8" s="15">
        <f>K7+J7*(1+I8)*'P-Parametri'!$B$40</f>
        <v>751.96015200000011</v>
      </c>
      <c r="L8" s="20">
        <f>IF(A8='P-Parametri'!$B$66,'P-Parametri'!$B$62,IF(A8='P-Parametri'!$C$66,'P-Parametri'!$C$62,'P-Parametri'!$D$62))</f>
        <v>0.03</v>
      </c>
      <c r="M8" s="15">
        <f>M7*(1+L8)*(1-'P-Parametri'!$B$40)</f>
        <v>190198.91584800003</v>
      </c>
      <c r="N8" s="15">
        <f>N7+M7*(1+L8)*'P-Parametri'!$B$40</f>
        <v>751.96015200000011</v>
      </c>
    </row>
    <row r="9" spans="1:14">
      <c r="A9" s="14">
        <f>3</f>
        <v>3</v>
      </c>
      <c r="B9" s="8">
        <v>-0.2</v>
      </c>
      <c r="C9" s="15">
        <f t="shared" si="0"/>
        <v>96408</v>
      </c>
      <c r="D9" s="15">
        <f>D8*(1+B9)*(1-'P-Parametri'!$B$40)</f>
        <v>95830.708124736004</v>
      </c>
      <c r="E9" s="15">
        <f>E8+D8*(1+B9)*'P-Parametri'!$B$40</f>
        <v>803.38346726400005</v>
      </c>
      <c r="F9" s="20">
        <f>IF(A9='P-Parametri'!$B$64,'P-Parametri'!$B$62,IF(A9='P-Parametri'!$C$64,'P-Parametri'!$C$62,'P-Parametri'!$D$62))</f>
        <v>-0.2</v>
      </c>
      <c r="G9" s="15">
        <f>G8*(1+F9)*(1-'P-Parametri'!$B$40)</f>
        <v>95830.708124736004</v>
      </c>
      <c r="H9" s="15">
        <f>H8+G8*(1+F9)*'P-Parametri'!$B$40</f>
        <v>803.38346726400005</v>
      </c>
      <c r="I9" s="20">
        <f>IF(A9='P-Parametri'!$B$65,'P-Parametri'!$B$62,IF(A9='P-Parametri'!$C$65,'P-Parametri'!$C$62,'P-Parametri'!$D$62))</f>
        <v>0.03</v>
      </c>
      <c r="J9" s="15">
        <f>J8*(1+I9)*(1-'P-Parametri'!$B$40)</f>
        <v>195513.07355679316</v>
      </c>
      <c r="K9" s="15">
        <f>K8+J8*(1+I9)*'P-Parametri'!$B$40</f>
        <v>1143.7699186468801</v>
      </c>
      <c r="L9" s="20">
        <f>IF(A9='P-Parametri'!$B$66,'P-Parametri'!$B$62,IF(A9='P-Parametri'!$C$66,'P-Parametri'!$C$62,'P-Parametri'!$D$62))</f>
        <v>0.03</v>
      </c>
      <c r="M9" s="15">
        <f>M8*(1+L9)*(1-'P-Parametri'!$B$40)</f>
        <v>195513.07355679316</v>
      </c>
      <c r="N9" s="15">
        <f>N8+M8*(1+L9)*'P-Parametri'!$B$40</f>
        <v>1143.7699186468801</v>
      </c>
    </row>
    <row r="10" spans="1:14">
      <c r="A10" s="14">
        <f>4</f>
        <v>4</v>
      </c>
      <c r="B10" s="8">
        <v>0.03</v>
      </c>
      <c r="C10" s="15">
        <f t="shared" si="0"/>
        <v>99300.24</v>
      </c>
      <c r="D10" s="15">
        <f>D9*(1+B10)*(1-'P-Parametri'!$B$40)</f>
        <v>98508.218109741123</v>
      </c>
      <c r="E10" s="15">
        <f>E9+D9*(1+B10)*'P-Parametri'!$B$40</f>
        <v>1000.7947260009562</v>
      </c>
      <c r="F10" s="20">
        <f>IF(A10='P-Parametri'!$B$64,'P-Parametri'!$B$62,IF(A10='P-Parametri'!$C$64,'P-Parametri'!$C$62,'P-Parametri'!$D$62))</f>
        <v>0.03</v>
      </c>
      <c r="G10" s="15">
        <f>G9*(1+F10)*(1-'P-Parametri'!$B$40)</f>
        <v>98508.218109741123</v>
      </c>
      <c r="H10" s="15">
        <f>H9+G9*(1+F10)*'P-Parametri'!$B$40</f>
        <v>1000.7947260009562</v>
      </c>
      <c r="I10" s="20">
        <f>IF(A10='P-Parametri'!$B$65,'P-Parametri'!$B$62,IF(A10='P-Parametri'!$C$65,'P-Parametri'!$C$62,'P-Parametri'!$D$62))</f>
        <v>0.03</v>
      </c>
      <c r="J10" s="15">
        <f>J9*(1+I10)*(1-'P-Parametri'!$B$40)</f>
        <v>200975.70883196997</v>
      </c>
      <c r="K10" s="15">
        <f>K9+J9*(1+I10)*'P-Parametri'!$B$40</f>
        <v>1546.526850173874</v>
      </c>
      <c r="L10" s="20">
        <f>IF(A10='P-Parametri'!$B$66,'P-Parametri'!$B$62,IF(A10='P-Parametri'!$C$66,'P-Parametri'!$C$62,'P-Parametri'!$D$62))</f>
        <v>0.03</v>
      </c>
      <c r="M10" s="15">
        <f>M9*(1+L10)*(1-'P-Parametri'!$B$40)</f>
        <v>200975.70883196997</v>
      </c>
      <c r="N10" s="15">
        <f>N9+M9*(1+L10)*'P-Parametri'!$B$40</f>
        <v>1546.526850173874</v>
      </c>
    </row>
    <row r="11" spans="1:14">
      <c r="A11" s="14">
        <f>5</f>
        <v>5</v>
      </c>
      <c r="B11" s="8">
        <v>0.03</v>
      </c>
      <c r="C11" s="15">
        <f t="shared" si="0"/>
        <v>102279.24720000001</v>
      </c>
      <c r="D11" s="15">
        <f>D10*(1+B11)*(1-'P-Parametri'!$B$40)</f>
        <v>101260.53772372729</v>
      </c>
      <c r="E11" s="15">
        <f>E10+D10*(1+B11)*'P-Parametri'!$B$40</f>
        <v>1203.721655307023</v>
      </c>
      <c r="F11" s="20">
        <f>IF(A11='P-Parametri'!$B$64,'P-Parametri'!$B$62,IF(A11='P-Parametri'!$C$64,'P-Parametri'!$C$62,'P-Parametri'!$D$62))</f>
        <v>0.03</v>
      </c>
      <c r="G11" s="15">
        <f>G10*(1+F11)*(1-'P-Parametri'!$B$40)</f>
        <v>101260.53772372729</v>
      </c>
      <c r="H11" s="15">
        <f>H10+G10*(1+F11)*'P-Parametri'!$B$40</f>
        <v>1203.721655307023</v>
      </c>
      <c r="I11" s="20">
        <f>IF(A11='P-Parametri'!$B$65,'P-Parametri'!$B$62,IF(A11='P-Parametri'!$C$65,'P-Parametri'!$C$62,'P-Parametri'!$D$62))</f>
        <v>0.03</v>
      </c>
      <c r="J11" s="15">
        <f>J10*(1+I11)*(1-'P-Parametri'!$B$40)</f>
        <v>206590.97013673521</v>
      </c>
      <c r="K11" s="15">
        <f>K10+J10*(1+I11)*'P-Parametri'!$B$40</f>
        <v>1960.5368103677322</v>
      </c>
      <c r="L11" s="20">
        <f>IF(A11='P-Parametri'!$B$66,'P-Parametri'!$B$62,IF(A11='P-Parametri'!$C$66,'P-Parametri'!$C$62,'P-Parametri'!$D$62))</f>
        <v>0.03</v>
      </c>
      <c r="M11" s="15">
        <f>M10*(1+L11)*(1-'P-Parametri'!$B$40)</f>
        <v>206590.97013673521</v>
      </c>
      <c r="N11" s="15">
        <f>N10+M10*(1+L11)*'P-Parametri'!$B$40</f>
        <v>1960.5368103677322</v>
      </c>
    </row>
    <row r="12" spans="1:14">
      <c r="A12" s="14">
        <f>6</f>
        <v>6</v>
      </c>
      <c r="B12" s="8">
        <v>0.03</v>
      </c>
      <c r="C12" s="15">
        <f t="shared" si="0"/>
        <v>105347.62461600002</v>
      </c>
      <c r="D12" s="15">
        <f>D11*(1+B12)*(1-'P-Parametri'!$B$40)</f>
        <v>104089.75714772823</v>
      </c>
      <c r="E12" s="15">
        <f>E11+D11*(1+B12)*'P-Parametri'!$B$40</f>
        <v>1412.3183630179012</v>
      </c>
      <c r="F12" s="20">
        <f>IF(A12='P-Parametri'!$B$64,'P-Parametri'!$B$62,IF(A12='P-Parametri'!$C$64,'P-Parametri'!$C$62,'P-Parametri'!$D$62))</f>
        <v>0.03</v>
      </c>
      <c r="G12" s="15">
        <f>G11*(1+F12)*(1-'P-Parametri'!$B$40)</f>
        <v>104089.75714772823</v>
      </c>
      <c r="H12" s="15">
        <f>H11+G11*(1+F12)*'P-Parametri'!$B$40</f>
        <v>1412.3183630179012</v>
      </c>
      <c r="I12" s="20">
        <f>IF(A12='P-Parametri'!$B$65,'P-Parametri'!$B$62,IF(A12='P-Parametri'!$C$65,'P-Parametri'!$C$62,'P-Parametri'!$D$62))</f>
        <v>0.03</v>
      </c>
      <c r="J12" s="15">
        <f>J11*(1+I12)*(1-'P-Parametri'!$B$40)</f>
        <v>212363.12184235561</v>
      </c>
      <c r="K12" s="15">
        <f>K11+J11*(1+I12)*'P-Parametri'!$B$40</f>
        <v>2386.1142088494066</v>
      </c>
      <c r="L12" s="20">
        <f>IF(A12='P-Parametri'!$B$66,'P-Parametri'!$B$62,IF(A12='P-Parametri'!$C$66,'P-Parametri'!$C$62,'P-Parametri'!$D$62))</f>
        <v>0.03</v>
      </c>
      <c r="M12" s="15">
        <f>M11*(1+L12)*(1-'P-Parametri'!$B$40)</f>
        <v>212363.12184235561</v>
      </c>
      <c r="N12" s="15">
        <f>N11+M11*(1+L12)*'P-Parametri'!$B$40</f>
        <v>2386.1142088494066</v>
      </c>
    </row>
    <row r="13" spans="1:14">
      <c r="A13" s="14">
        <f>7</f>
        <v>7</v>
      </c>
      <c r="B13" s="8">
        <v>0.03</v>
      </c>
      <c r="C13" s="15">
        <f t="shared" si="0"/>
        <v>108508.05335448001</v>
      </c>
      <c r="D13" s="15">
        <f>D12*(1+B13)*(1-'P-Parametri'!$B$40)</f>
        <v>106998.02496243575</v>
      </c>
      <c r="E13" s="15">
        <f>E12+D12*(1+B13)*'P-Parametri'!$B$40</f>
        <v>1626.7432627422213</v>
      </c>
      <c r="F13" s="20">
        <f>IF(A13='P-Parametri'!$B$64,'P-Parametri'!$B$62,IF(A13='P-Parametri'!$C$64,'P-Parametri'!$C$62,'P-Parametri'!$D$62))</f>
        <v>0.03</v>
      </c>
      <c r="G13" s="15">
        <f>G12*(1+F13)*(1-'P-Parametri'!$B$40)</f>
        <v>106998.02496243575</v>
      </c>
      <c r="H13" s="15">
        <f>H12+G12*(1+F13)*'P-Parametri'!$B$40</f>
        <v>1626.7432627422213</v>
      </c>
      <c r="I13" s="20">
        <f>IF(A13='P-Parametri'!$B$65,'P-Parametri'!$B$62,IF(A13='P-Parametri'!$C$65,'P-Parametri'!$C$62,'P-Parametri'!$D$62))</f>
        <v>0.03</v>
      </c>
      <c r="J13" s="15">
        <f>J12*(1+I13)*(1-'P-Parametri'!$B$40)</f>
        <v>218296.54746663105</v>
      </c>
      <c r="K13" s="15">
        <f>K12+J12*(1+I13)*'P-Parametri'!$B$40</f>
        <v>2823.5822398446594</v>
      </c>
      <c r="L13" s="20">
        <f>IF(A13='P-Parametri'!$B$66,'P-Parametri'!$B$62,IF(A13='P-Parametri'!$C$66,'P-Parametri'!$C$62,'P-Parametri'!$D$62))</f>
        <v>0.03</v>
      </c>
      <c r="M13" s="15">
        <f>M12*(1+L13)*(1-'P-Parametri'!$B$40)</f>
        <v>218296.54746663105</v>
      </c>
      <c r="N13" s="15">
        <f>N12+M12*(1+L13)*'P-Parametri'!$B$40</f>
        <v>2823.5822398446594</v>
      </c>
    </row>
    <row r="14" spans="1:14">
      <c r="A14" s="14">
        <f>8</f>
        <v>8</v>
      </c>
      <c r="B14" s="8">
        <v>0.03</v>
      </c>
      <c r="C14" s="15">
        <f t="shared" si="0"/>
        <v>111763.29495511441</v>
      </c>
      <c r="D14" s="15">
        <f>D13*(1+B14)*(1-'P-Parametri'!$B$40)</f>
        <v>109987.54977988622</v>
      </c>
      <c r="E14" s="15">
        <f>E13+D13*(1+B14)*'P-Parametri'!$B$40</f>
        <v>1847.1591941648389</v>
      </c>
      <c r="F14" s="20">
        <f>IF(A14='P-Parametri'!$B$64,'P-Parametri'!$B$62,IF(A14='P-Parametri'!$C$64,'P-Parametri'!$C$62,'P-Parametri'!$D$62))</f>
        <v>0.03</v>
      </c>
      <c r="G14" s="15">
        <f>G13*(1+F14)*(1-'P-Parametri'!$B$40)</f>
        <v>109987.54977988622</v>
      </c>
      <c r="H14" s="15">
        <f>H13+G13*(1+F14)*'P-Parametri'!$B$40</f>
        <v>1847.1591941648389</v>
      </c>
      <c r="I14" s="20">
        <f>IF(A14='P-Parametri'!$B$65,'P-Parametri'!$B$62,IF(A14='P-Parametri'!$C$65,'P-Parametri'!$C$62,'P-Parametri'!$D$62))</f>
        <v>0.03</v>
      </c>
      <c r="J14" s="15">
        <f>J13*(1+I14)*(1-'P-Parametri'!$B$40)</f>
        <v>224395.75300284871</v>
      </c>
      <c r="K14" s="15">
        <f>K13+J13*(1+I14)*'P-Parametri'!$B$40</f>
        <v>3273.2731276259192</v>
      </c>
      <c r="L14" s="20">
        <f>IF(A14='P-Parametri'!$B$66,'P-Parametri'!$B$62,IF(A14='P-Parametri'!$C$66,'P-Parametri'!$C$62,'P-Parametri'!$D$62))</f>
        <v>0.03</v>
      </c>
      <c r="M14" s="15">
        <f>M13*(1+L14)*(1-'P-Parametri'!$B$40)</f>
        <v>224395.75300284871</v>
      </c>
      <c r="N14" s="15">
        <f>N13+M13*(1+L14)*'P-Parametri'!$B$40</f>
        <v>3273.2731276259192</v>
      </c>
    </row>
    <row r="15" spans="1:14">
      <c r="A15" s="14">
        <f>9</f>
        <v>9</v>
      </c>
      <c r="B15" s="8">
        <v>0.03</v>
      </c>
      <c r="C15" s="15">
        <f t="shared" si="0"/>
        <v>115116.19380376785</v>
      </c>
      <c r="D15" s="15">
        <f>D14*(1+B15)*(1-'P-Parametri'!$B$40)</f>
        <v>113060.60192073624</v>
      </c>
      <c r="E15" s="15">
        <f>E14+D14*(1+B15)*'P-Parametri'!$B$40</f>
        <v>2073.7335467114044</v>
      </c>
      <c r="F15" s="20">
        <f>IF(A15='P-Parametri'!$B$64,'P-Parametri'!$B$62,IF(A15='P-Parametri'!$C$64,'P-Parametri'!$C$62,'P-Parametri'!$D$62))</f>
        <v>0.03</v>
      </c>
      <c r="G15" s="15">
        <f>G14*(1+F15)*(1-'P-Parametri'!$B$40)</f>
        <v>113060.60192073624</v>
      </c>
      <c r="H15" s="15">
        <f>H14+G14*(1+F15)*'P-Parametri'!$B$40</f>
        <v>2073.7335467114044</v>
      </c>
      <c r="I15" s="20">
        <f>IF(A15='P-Parametri'!$B$65,'P-Parametri'!$B$62,IF(A15='P-Parametri'!$C$65,'P-Parametri'!$C$62,'P-Parametri'!$D$62))</f>
        <v>0.03</v>
      </c>
      <c r="J15" s="15">
        <f>J14*(1+I15)*(1-'P-Parametri'!$B$40)</f>
        <v>230665.37034174829</v>
      </c>
      <c r="K15" s="15">
        <f>K14+J14*(1+I15)*'P-Parametri'!$B$40</f>
        <v>3735.5283788117877</v>
      </c>
      <c r="L15" s="20">
        <f>IF(A15='P-Parametri'!$B$66,'P-Parametri'!$B$62,IF(A15='P-Parametri'!$C$66,'P-Parametri'!$C$62,'P-Parametri'!$D$62))</f>
        <v>0.03</v>
      </c>
      <c r="M15" s="15">
        <f>M14*(1+L15)*(1-'P-Parametri'!$B$40)</f>
        <v>230665.37034174829</v>
      </c>
      <c r="N15" s="15">
        <f>N14+M14*(1+L15)*'P-Parametri'!$B$40</f>
        <v>3735.5283788117877</v>
      </c>
    </row>
    <row r="16" spans="1:14">
      <c r="A16" s="14">
        <f>10</f>
        <v>10</v>
      </c>
      <c r="B16" s="8">
        <v>0.03</v>
      </c>
      <c r="C16" s="15">
        <f t="shared" si="0"/>
        <v>118569.67961788089</v>
      </c>
      <c r="D16" s="15">
        <f>D15*(1+B16)*(1-'P-Parametri'!$B$40)</f>
        <v>116219.51513840162</v>
      </c>
      <c r="E16" s="15">
        <f>E15+D15*(1+B16)*'P-Parametri'!$B$40</f>
        <v>2306.6383866681213</v>
      </c>
      <c r="F16" s="20">
        <f>IF(A16='P-Parametri'!$B$64,'P-Parametri'!$B$62,IF(A16='P-Parametri'!$C$64,'P-Parametri'!$C$62,'P-Parametri'!$D$62))</f>
        <v>0.03</v>
      </c>
      <c r="G16" s="15">
        <f>G15*(1+F16)*(1-'P-Parametri'!$B$40)</f>
        <v>116219.51513840162</v>
      </c>
      <c r="H16" s="15">
        <f>H15+G15*(1+F16)*'P-Parametri'!$B$40</f>
        <v>2306.6383866681213</v>
      </c>
      <c r="I16" s="20">
        <f>IF(A16='P-Parametri'!$B$65,'P-Parametri'!$B$62,IF(A16='P-Parametri'!$C$65,'P-Parametri'!$C$62,'P-Parametri'!$D$62))</f>
        <v>0.03</v>
      </c>
      <c r="J16" s="15">
        <f>J15*(1+I16)*(1-'P-Parametri'!$B$40)</f>
        <v>237110.16078909673</v>
      </c>
      <c r="K16" s="15">
        <f>K15+J15*(1+I16)*'P-Parametri'!$B$40</f>
        <v>4210.6990417157895</v>
      </c>
      <c r="L16" s="20">
        <f>IF(A16='P-Parametri'!$B$66,'P-Parametri'!$B$62,IF(A16='P-Parametri'!$C$66,'P-Parametri'!$C$62,'P-Parametri'!$D$62))</f>
        <v>0.03</v>
      </c>
      <c r="M16" s="15">
        <f>M15*(1+L16)*(1-'P-Parametri'!$B$40)</f>
        <v>237110.16078909673</v>
      </c>
      <c r="N16" s="15">
        <f>N15+M15*(1+L16)*'P-Parametri'!$B$40</f>
        <v>4210.6990417157895</v>
      </c>
    </row>
    <row r="17" spans="1:14">
      <c r="A17" s="14">
        <f>11</f>
        <v>11</v>
      </c>
      <c r="B17" s="8">
        <v>0.03</v>
      </c>
      <c r="C17" s="15">
        <f t="shared" si="0"/>
        <v>122126.77000641731</v>
      </c>
      <c r="D17" s="15">
        <f>D16*(1+B17)*(1-'P-Parametri'!$B$40)</f>
        <v>119466.68839136856</v>
      </c>
      <c r="E17" s="15">
        <f>E16+D16*(1+B17)*'P-Parametri'!$B$40</f>
        <v>2546.0505878532285</v>
      </c>
      <c r="F17" s="20">
        <f>IF(A17='P-Parametri'!$B$64,'P-Parametri'!$B$62,IF(A17='P-Parametri'!$C$64,'P-Parametri'!$C$62,'P-Parametri'!$D$62))</f>
        <v>0.03</v>
      </c>
      <c r="G17" s="15">
        <f>G16*(1+F17)*(1-'P-Parametri'!$B$40)</f>
        <v>119466.68839136856</v>
      </c>
      <c r="H17" s="15">
        <f>H16+G16*(1+F17)*'P-Parametri'!$B$40</f>
        <v>2546.0505878532285</v>
      </c>
      <c r="I17" s="20">
        <f>IF(A17='P-Parametri'!$B$65,'P-Parametri'!$B$62,IF(A17='P-Parametri'!$C$65,'P-Parametri'!$C$62,'P-Parametri'!$D$62))</f>
        <v>0.03</v>
      </c>
      <c r="J17" s="15">
        <f>J16*(1+I17)*(1-'P-Parametri'!$B$40)</f>
        <v>243735.01868154408</v>
      </c>
      <c r="K17" s="15">
        <f>K16+J16*(1+I17)*'P-Parametri'!$B$40</f>
        <v>4699.1459729413291</v>
      </c>
      <c r="L17" s="20">
        <f>IF(A17='P-Parametri'!$B$66,'P-Parametri'!$B$62,IF(A17='P-Parametri'!$C$66,'P-Parametri'!$C$62,'P-Parametri'!$D$62))</f>
        <v>0.03</v>
      </c>
      <c r="M17" s="15">
        <f>M16*(1+L17)*(1-'P-Parametri'!$B$40)</f>
        <v>243735.01868154408</v>
      </c>
      <c r="N17" s="15">
        <f>N16+M16*(1+L17)*'P-Parametri'!$B$40</f>
        <v>4699.1459729413291</v>
      </c>
    </row>
    <row r="18" spans="1:14">
      <c r="A18" s="14">
        <f>12</f>
        <v>12</v>
      </c>
      <c r="B18" s="8">
        <v>0.03</v>
      </c>
      <c r="C18" s="15">
        <f t="shared" si="0"/>
        <v>125790.57310660984</v>
      </c>
      <c r="D18" s="15">
        <f>D17*(1+B18)*(1-'P-Parametri'!$B$40)</f>
        <v>122804.58766502341</v>
      </c>
      <c r="E18" s="15">
        <f>E17+D17*(1+B18)*'P-Parametri'!$B$40</f>
        <v>2792.151965939448</v>
      </c>
      <c r="F18" s="20">
        <f>IF(A18='P-Parametri'!$B$64,'P-Parametri'!$B$62,IF(A18='P-Parametri'!$C$64,'P-Parametri'!$C$62,'P-Parametri'!$D$62))</f>
        <v>0.03</v>
      </c>
      <c r="G18" s="15">
        <f>G17*(1+F18)*(1-'P-Parametri'!$B$40)</f>
        <v>122804.58766502341</v>
      </c>
      <c r="H18" s="15">
        <f>H17+G17*(1+F18)*'P-Parametri'!$B$40</f>
        <v>2792.151965939448</v>
      </c>
      <c r="I18" s="20">
        <f>IF(A18='P-Parametri'!$B$65,'P-Parametri'!$B$62,IF(A18='P-Parametri'!$C$65,'P-Parametri'!$C$62,'P-Parametri'!$D$62))</f>
        <v>0.03</v>
      </c>
      <c r="J18" s="15">
        <f>J17*(1+I18)*(1-'P-Parametri'!$B$40)</f>
        <v>250544.97510350644</v>
      </c>
      <c r="K18" s="15">
        <f>K17+J17*(1+I18)*'P-Parametri'!$B$40</f>
        <v>5201.2401114253098</v>
      </c>
      <c r="L18" s="20">
        <f>IF(A18='P-Parametri'!$B$66,'P-Parametri'!$B$62,IF(A18='P-Parametri'!$C$66,'P-Parametri'!$C$62,'P-Parametri'!$D$62))</f>
        <v>0.03</v>
      </c>
      <c r="M18" s="15">
        <f>M17*(1+L18)*(1-'P-Parametri'!$B$40)</f>
        <v>250544.97510350644</v>
      </c>
      <c r="N18" s="15">
        <f>N17+M17*(1+L18)*'P-Parametri'!$B$40</f>
        <v>5201.2401114253098</v>
      </c>
    </row>
    <row r="19" spans="1:14">
      <c r="A19" s="14">
        <f>13</f>
        <v>13</v>
      </c>
      <c r="B19" s="8">
        <v>0.03</v>
      </c>
      <c r="C19" s="15">
        <f t="shared" si="0"/>
        <v>129564.29029980814</v>
      </c>
      <c r="D19" s="15">
        <f>D18*(1+B19)*(1-'P-Parametri'!$B$40)</f>
        <v>126235.74784438417</v>
      </c>
      <c r="E19" s="15">
        <f>E18+D18*(1+B19)*'P-Parametri'!$B$40</f>
        <v>3045.1294165293962</v>
      </c>
      <c r="F19" s="20">
        <f>IF(A19='P-Parametri'!$B$64,'P-Parametri'!$B$62,IF(A19='P-Parametri'!$C$64,'P-Parametri'!$C$62,'P-Parametri'!$D$62))</f>
        <v>0.03</v>
      </c>
      <c r="G19" s="15">
        <f>G18*(1+F19)*(1-'P-Parametri'!$B$40)</f>
        <v>126235.74784438417</v>
      </c>
      <c r="H19" s="15">
        <f>H18+G18*(1+F19)*'P-Parametri'!$B$40</f>
        <v>3045.1294165293962</v>
      </c>
      <c r="I19" s="20">
        <f>IF(A19='P-Parametri'!$B$65,'P-Parametri'!$B$62,IF(A19='P-Parametri'!$C$65,'P-Parametri'!$C$62,'P-Parametri'!$D$62))</f>
        <v>0.03</v>
      </c>
      <c r="J19" s="15">
        <f>J18*(1+I19)*(1-'P-Parametri'!$B$40)</f>
        <v>257545.20170789841</v>
      </c>
      <c r="K19" s="15">
        <f>K18+J18*(1+I19)*'P-Parametri'!$B$40</f>
        <v>5717.3627601385333</v>
      </c>
      <c r="L19" s="20">
        <f>IF(A19='P-Parametri'!$B$66,'P-Parametri'!$B$62,IF(A19='P-Parametri'!$C$66,'P-Parametri'!$C$62,'P-Parametri'!$D$62))</f>
        <v>0.03</v>
      </c>
      <c r="M19" s="15">
        <f>M18*(1+L19)*(1-'P-Parametri'!$B$40)</f>
        <v>257545.20170789841</v>
      </c>
      <c r="N19" s="15">
        <f>N18+M18*(1+L19)*'P-Parametri'!$B$40</f>
        <v>5717.3627601385333</v>
      </c>
    </row>
    <row r="20" spans="1:14">
      <c r="A20" s="14">
        <f>14</f>
        <v>14</v>
      </c>
      <c r="B20" s="8">
        <v>0.03</v>
      </c>
      <c r="C20" s="15">
        <f t="shared" si="0"/>
        <v>133451.21900880238</v>
      </c>
      <c r="D20" s="15">
        <f>D19*(1+B20)*(1-'P-Parametri'!$B$40)</f>
        <v>129762.77463915627</v>
      </c>
      <c r="E20" s="15">
        <f>E19+D19*(1+B20)*'P-Parametri'!$B$40</f>
        <v>3305.1750570888275</v>
      </c>
      <c r="F20" s="20">
        <f>IF(A20='P-Parametri'!$B$64,'P-Parametri'!$B$62,IF(A20='P-Parametri'!$C$64,'P-Parametri'!$C$62,'P-Parametri'!$D$62))</f>
        <v>0.03</v>
      </c>
      <c r="G20" s="15">
        <f>G19*(1+F20)*(1-'P-Parametri'!$B$40)</f>
        <v>129762.77463915627</v>
      </c>
      <c r="H20" s="15">
        <f>H19+G19*(1+F20)*'P-Parametri'!$B$40</f>
        <v>3305.1750570888275</v>
      </c>
      <c r="I20" s="20">
        <f>IF(A20='P-Parametri'!$B$65,'P-Parametri'!$B$62,IF(A20='P-Parametri'!$C$65,'P-Parametri'!$C$62,'P-Parametri'!$D$62))</f>
        <v>0.03</v>
      </c>
      <c r="J20" s="15">
        <f>J19*(1+I20)*(1-'P-Parametri'!$B$40)</f>
        <v>264741.01464361709</v>
      </c>
      <c r="K20" s="15">
        <f>K19+J19*(1+I20)*'P-Parametri'!$B$40</f>
        <v>6247.9058756568038</v>
      </c>
      <c r="L20" s="20">
        <f>IF(A20='P-Parametri'!$B$66,'P-Parametri'!$B$62,IF(A20='P-Parametri'!$C$66,'P-Parametri'!$C$62,'P-Parametri'!$D$62))</f>
        <v>0.03</v>
      </c>
      <c r="M20" s="15">
        <f>M19*(1+L20)*(1-'P-Parametri'!$B$40)</f>
        <v>264741.01464361709</v>
      </c>
      <c r="N20" s="15">
        <f>N19+M19*(1+L20)*'P-Parametri'!$B$40</f>
        <v>6247.9058756568038</v>
      </c>
    </row>
    <row r="21" spans="1:14">
      <c r="A21" s="14">
        <f>15</f>
        <v>15</v>
      </c>
      <c r="B21" s="8">
        <v>0.03</v>
      </c>
      <c r="C21" s="15">
        <f t="shared" si="0"/>
        <v>137454.75557906646</v>
      </c>
      <c r="D21" s="15">
        <f>D20*(1+B21)*(1-'P-Parametri'!$B$40)</f>
        <v>133388.3465625743</v>
      </c>
      <c r="E21" s="15">
        <f>E20+D20*(1+B21)*'P-Parametri'!$B$40</f>
        <v>3572.4863728454893</v>
      </c>
      <c r="F21" s="20">
        <f>IF(A21='P-Parametri'!$B$64,'P-Parametri'!$B$62,IF(A21='P-Parametri'!$C$64,'P-Parametri'!$C$62,'P-Parametri'!$D$62))</f>
        <v>0.03</v>
      </c>
      <c r="G21" s="15">
        <f>G20*(1+F21)*(1-'P-Parametri'!$B$40)</f>
        <v>133388.3465625743</v>
      </c>
      <c r="H21" s="15">
        <f>H20+G20*(1+F21)*'P-Parametri'!$B$40</f>
        <v>3572.4863728454893</v>
      </c>
      <c r="I21" s="20">
        <f>IF(A21='P-Parametri'!$B$65,'P-Parametri'!$B$62,IF(A21='P-Parametri'!$C$65,'P-Parametri'!$C$62,'P-Parametri'!$D$62))</f>
        <v>0.03</v>
      </c>
      <c r="J21" s="15">
        <f>J20*(1+I21)*(1-'P-Parametri'!$B$40)</f>
        <v>272137.87859275972</v>
      </c>
      <c r="K21" s="15">
        <f>K20+J20*(1+I21)*'P-Parametri'!$B$40</f>
        <v>6793.272365822655</v>
      </c>
      <c r="L21" s="20">
        <f>IF(A21='P-Parametri'!$B$66,'P-Parametri'!$B$62,IF(A21='P-Parametri'!$C$66,'P-Parametri'!$C$62,'P-Parametri'!$D$62))</f>
        <v>0.03</v>
      </c>
      <c r="M21" s="15">
        <f>M20*(1+L21)*(1-'P-Parametri'!$B$40)</f>
        <v>272137.87859275972</v>
      </c>
      <c r="N21" s="15">
        <f>N20+M20*(1+L21)*'P-Parametri'!$B$40</f>
        <v>6793.272365822655</v>
      </c>
    </row>
    <row r="22" spans="1:14">
      <c r="A22" s="14">
        <f>16</f>
        <v>16</v>
      </c>
      <c r="B22" s="8">
        <v>0.03</v>
      </c>
      <c r="C22" s="15">
        <f t="shared" si="0"/>
        <v>141578.39824643845</v>
      </c>
      <c r="D22" s="15">
        <f>D21*(1+B22)*(1-'P-Parametri'!$B$40)</f>
        <v>137115.21696553263</v>
      </c>
      <c r="E22" s="15">
        <f>E21+D21*(1+B22)*'P-Parametri'!$B$40</f>
        <v>3847.2663667643924</v>
      </c>
      <c r="F22" s="20">
        <f>IF(A22='P-Parametri'!$B$64,'P-Parametri'!$B$62,IF(A22='P-Parametri'!$C$64,'P-Parametri'!$C$62,'P-Parametri'!$D$62))</f>
        <v>0.03</v>
      </c>
      <c r="G22" s="15">
        <f>G21*(1+F22)*(1-'P-Parametri'!$B$40)</f>
        <v>137115.21696553263</v>
      </c>
      <c r="H22" s="15">
        <f>H21+G21*(1+F22)*'P-Parametri'!$B$40</f>
        <v>3847.2663667643924</v>
      </c>
      <c r="I22" s="20">
        <f>IF(A22='P-Parametri'!$B$65,'P-Parametri'!$B$62,IF(A22='P-Parametri'!$C$65,'P-Parametri'!$C$62,'P-Parametri'!$D$62))</f>
        <v>-0.35</v>
      </c>
      <c r="J22" s="15">
        <f>J21*(1+I22)*(1-'P-Parametri'!$B$40)</f>
        <v>176535.84184312323</v>
      </c>
      <c r="K22" s="15">
        <f>K21+J21*(1+I22)*'P-Parametri'!$B$40</f>
        <v>7147.0516079932431</v>
      </c>
      <c r="L22" s="20">
        <f>IF(A22='P-Parametri'!$B$66,'P-Parametri'!$B$62,IF(A22='P-Parametri'!$C$66,'P-Parametri'!$C$62,'P-Parametri'!$D$62))</f>
        <v>0.03</v>
      </c>
      <c r="M22" s="15">
        <f>M21*(1+L22)*(1-'P-Parametri'!$B$40)</f>
        <v>279741.41092064144</v>
      </c>
      <c r="N22" s="15">
        <f>N21+M21*(1+L22)*'P-Parametri'!$B$40</f>
        <v>7353.8763957237397</v>
      </c>
    </row>
    <row r="23" spans="1:14">
      <c r="A23" s="14">
        <f>17</f>
        <v>17</v>
      </c>
      <c r="B23" s="8">
        <v>0.03</v>
      </c>
      <c r="C23" s="15">
        <f t="shared" si="0"/>
        <v>145825.7501938316</v>
      </c>
      <c r="D23" s="15">
        <f>D22*(1+B23)*(1-'P-Parametri'!$B$40)</f>
        <v>140946.21612754962</v>
      </c>
      <c r="E23" s="15">
        <f>E22+D22*(1+B23)*'P-Parametri'!$B$40</f>
        <v>4129.7237137133898</v>
      </c>
      <c r="F23" s="20">
        <f>IF(A23='P-Parametri'!$B$64,'P-Parametri'!$B$62,IF(A23='P-Parametri'!$C$64,'P-Parametri'!$C$62,'P-Parametri'!$D$62))</f>
        <v>0.03</v>
      </c>
      <c r="G23" s="15">
        <f>G22*(1+F23)*(1-'P-Parametri'!$B$40)</f>
        <v>140946.21612754962</v>
      </c>
      <c r="H23" s="15">
        <f>H22+G22*(1+F23)*'P-Parametri'!$B$40</f>
        <v>4129.7237137133898</v>
      </c>
      <c r="I23" s="20">
        <f>IF(A23='P-Parametri'!$B$65,'P-Parametri'!$B$62,IF(A23='P-Parametri'!$C$65,'P-Parametri'!$C$62,'P-Parametri'!$D$62))</f>
        <v>-0.2</v>
      </c>
      <c r="J23" s="15">
        <f>J22*(1+I23)*(1-'P-Parametri'!$B$40)</f>
        <v>140946.21612754959</v>
      </c>
      <c r="K23" s="15">
        <f>K22+J22*(1+I23)*'P-Parametri'!$B$40</f>
        <v>7429.5089549422401</v>
      </c>
      <c r="L23" s="20">
        <f>IF(A23='P-Parametri'!$B$66,'P-Parametri'!$B$62,IF(A23='P-Parametri'!$C$66,'P-Parametri'!$C$62,'P-Parametri'!$D$62))</f>
        <v>0.03</v>
      </c>
      <c r="M23" s="15">
        <f>M22*(1+L23)*(1-'P-Parametri'!$B$40)</f>
        <v>287557.38594176417</v>
      </c>
      <c r="N23" s="15">
        <f>N22+M22*(1+L23)*'P-Parametri'!$B$40</f>
        <v>7930.1437022202608</v>
      </c>
    </row>
    <row r="24" spans="1:14">
      <c r="A24" s="14">
        <f>18</f>
        <v>18</v>
      </c>
      <c r="B24" s="8">
        <v>0.03</v>
      </c>
      <c r="C24" s="15">
        <f t="shared" si="0"/>
        <v>150200.52269964656</v>
      </c>
      <c r="D24" s="15">
        <f>D23*(1+B24)*(1-'P-Parametri'!$B$40)</f>
        <v>144884.25340615335</v>
      </c>
      <c r="E24" s="15">
        <f>E23+D23*(1+B24)*'P-Parametri'!$B$40</f>
        <v>4420.0729189361418</v>
      </c>
      <c r="F24" s="20">
        <f>IF(A24='P-Parametri'!$B$64,'P-Parametri'!$B$62,IF(A24='P-Parametri'!$C$64,'P-Parametri'!$C$62,'P-Parametri'!$D$62))</f>
        <v>0.03</v>
      </c>
      <c r="G24" s="15">
        <f>G23*(1+F24)*(1-'P-Parametri'!$B$40)</f>
        <v>144884.25340615335</v>
      </c>
      <c r="H24" s="15">
        <f>H23+G23*(1+F24)*'P-Parametri'!$B$40</f>
        <v>4420.0729189361418</v>
      </c>
      <c r="I24" s="20">
        <f>IF(A24='P-Parametri'!$B$65,'P-Parametri'!$B$62,IF(A24='P-Parametri'!$C$65,'P-Parametri'!$C$62,'P-Parametri'!$D$62))</f>
        <v>0.03</v>
      </c>
      <c r="J24" s="15">
        <f>J23*(1+I24)*(1-'P-Parametri'!$B$40)</f>
        <v>144884.25340615332</v>
      </c>
      <c r="K24" s="15">
        <f>K23+J23*(1+I24)*'P-Parametri'!$B$40</f>
        <v>7719.8581601649921</v>
      </c>
      <c r="L24" s="20">
        <f>IF(A24='P-Parametri'!$B$66,'P-Parametri'!$B$62,IF(A24='P-Parametri'!$C$66,'P-Parametri'!$C$62,'P-Parametri'!$D$62))</f>
        <v>0.03</v>
      </c>
      <c r="M24" s="15">
        <f>M23*(1+L24)*(1-'P-Parametri'!$B$40)</f>
        <v>295591.73930497706</v>
      </c>
      <c r="N24" s="15">
        <f>N23+M23*(1+L24)*'P-Parametri'!$B$40</f>
        <v>8522.5119172602954</v>
      </c>
    </row>
    <row r="25" spans="1:14">
      <c r="A25" s="14">
        <f>19</f>
        <v>19</v>
      </c>
      <c r="B25" s="8">
        <v>0.03</v>
      </c>
      <c r="C25" s="15">
        <f t="shared" si="0"/>
        <v>154706.53838063596</v>
      </c>
      <c r="D25" s="15">
        <f>D24*(1+B25)*(1-'P-Parametri'!$B$40)</f>
        <v>148932.31944632126</v>
      </c>
      <c r="E25" s="15">
        <f>E24+D24*(1+B25)*'P-Parametri'!$B$40</f>
        <v>4718.5344809528178</v>
      </c>
      <c r="F25" s="20">
        <f>IF(A25='P-Parametri'!$B$64,'P-Parametri'!$B$62,IF(A25='P-Parametri'!$C$64,'P-Parametri'!$C$62,'P-Parametri'!$D$62))</f>
        <v>0.03</v>
      </c>
      <c r="G25" s="15">
        <f>G24*(1+F25)*(1-'P-Parametri'!$B$40)</f>
        <v>148932.31944632126</v>
      </c>
      <c r="H25" s="15">
        <f>H24+G24*(1+F25)*'P-Parametri'!$B$40</f>
        <v>4718.5344809528178</v>
      </c>
      <c r="I25" s="20">
        <f>IF(A25='P-Parametri'!$B$65,'P-Parametri'!$B$62,IF(A25='P-Parametri'!$C$65,'P-Parametri'!$C$62,'P-Parametri'!$D$62))</f>
        <v>0.03</v>
      </c>
      <c r="J25" s="15">
        <f>J24*(1+I25)*(1-'P-Parametri'!$B$40)</f>
        <v>148932.31944632123</v>
      </c>
      <c r="K25" s="15">
        <f>K24+J24*(1+I25)*'P-Parametri'!$B$40</f>
        <v>8018.3197221816681</v>
      </c>
      <c r="L25" s="20">
        <f>IF(A25='P-Parametri'!$B$66,'P-Parametri'!$B$62,IF(A25='P-Parametri'!$C$66,'P-Parametri'!$C$62,'P-Parametri'!$D$62))</f>
        <v>0.03</v>
      </c>
      <c r="M25" s="15">
        <f>M24*(1+L25)*(1-'P-Parametri'!$B$40)</f>
        <v>303850.57250115811</v>
      </c>
      <c r="N25" s="15">
        <f>N24+M24*(1+L25)*'P-Parametri'!$B$40</f>
        <v>9131.4309002285481</v>
      </c>
    </row>
    <row r="26" spans="1:14">
      <c r="A26" s="14">
        <f>20</f>
        <v>20</v>
      </c>
      <c r="B26" s="8">
        <v>0.03</v>
      </c>
      <c r="C26" s="15">
        <f t="shared" si="0"/>
        <v>159347.73453205504</v>
      </c>
      <c r="D26" s="15">
        <f>D25*(1+B26)*(1-'P-Parametri'!$B$40)</f>
        <v>153093.48845165147</v>
      </c>
      <c r="E26" s="15">
        <f>E25+D25*(1+B26)*'P-Parametri'!$B$40</f>
        <v>5025.33505901224</v>
      </c>
      <c r="F26" s="20">
        <f>IF(A26='P-Parametri'!$B$64,'P-Parametri'!$B$62,IF(A26='P-Parametri'!$C$64,'P-Parametri'!$C$62,'P-Parametri'!$D$62))</f>
        <v>0.03</v>
      </c>
      <c r="G26" s="15">
        <f>G25*(1+F26)*(1-'P-Parametri'!$B$40)</f>
        <v>153093.48845165147</v>
      </c>
      <c r="H26" s="15">
        <f>H25+G25*(1+F26)*'P-Parametri'!$B$40</f>
        <v>5025.33505901224</v>
      </c>
      <c r="I26" s="20">
        <f>IF(A26='P-Parametri'!$B$65,'P-Parametri'!$B$62,IF(A26='P-Parametri'!$C$65,'P-Parametri'!$C$62,'P-Parametri'!$D$62))</f>
        <v>0.03</v>
      </c>
      <c r="J26" s="15">
        <f>J25*(1+I26)*(1-'P-Parametri'!$B$40)</f>
        <v>153093.48845165144</v>
      </c>
      <c r="K26" s="15">
        <f>K25+J25*(1+I26)*'P-Parametri'!$B$40</f>
        <v>8325.1203002410894</v>
      </c>
      <c r="L26" s="20">
        <f>IF(A26='P-Parametri'!$B$66,'P-Parametri'!$B$62,IF(A26='P-Parametri'!$C$66,'P-Parametri'!$C$62,'P-Parametri'!$D$62))</f>
        <v>0.03</v>
      </c>
      <c r="M26" s="15">
        <f>M25*(1+L26)*(1-'P-Parametri'!$B$40)</f>
        <v>312340.15749684046</v>
      </c>
      <c r="N26" s="15">
        <f>N25+M25*(1+L26)*'P-Parametri'!$B$40</f>
        <v>9757.3630795809331</v>
      </c>
    </row>
    <row r="27" spans="1:14">
      <c r="A27" s="14">
        <f>21</f>
        <v>21</v>
      </c>
      <c r="B27" s="8">
        <v>0.03</v>
      </c>
      <c r="C27" s="15">
        <f t="shared" si="0"/>
        <v>164128.16656801669</v>
      </c>
      <c r="D27" s="15">
        <f>D26*(1+B27)*(1-'P-Parametri'!$B$40)</f>
        <v>157370.92051899061</v>
      </c>
      <c r="E27" s="15">
        <f>E26+D26*(1+B27)*'P-Parametri'!$B$40</f>
        <v>5340.707645222642</v>
      </c>
      <c r="F27" s="20">
        <f>IF(A27='P-Parametri'!$B$64,'P-Parametri'!$B$62,IF(A27='P-Parametri'!$C$64,'P-Parametri'!$C$62,'P-Parametri'!$D$62))</f>
        <v>0.03</v>
      </c>
      <c r="G27" s="15">
        <f>G26*(1+F27)*(1-'P-Parametri'!$B$40)</f>
        <v>157370.92051899061</v>
      </c>
      <c r="H27" s="15">
        <f>H26+G26*(1+F27)*'P-Parametri'!$B$40</f>
        <v>5340.707645222642</v>
      </c>
      <c r="I27" s="20">
        <f>IF(A27='P-Parametri'!$B$65,'P-Parametri'!$B$62,IF(A27='P-Parametri'!$C$65,'P-Parametri'!$C$62,'P-Parametri'!$D$62))</f>
        <v>0.03</v>
      </c>
      <c r="J27" s="15">
        <f>J26*(1+I27)*(1-'P-Parametri'!$B$40)</f>
        <v>157370.92051899058</v>
      </c>
      <c r="K27" s="15">
        <f>K26+J26*(1+I27)*'P-Parametri'!$B$40</f>
        <v>8640.4928864514914</v>
      </c>
      <c r="L27" s="20">
        <f>IF(A27='P-Parametri'!$B$66,'P-Parametri'!$B$62,IF(A27='P-Parametri'!$C$66,'P-Parametri'!$C$62,'P-Parametri'!$D$62))</f>
        <v>0.03</v>
      </c>
      <c r="M27" s="15">
        <f>M26*(1+L27)*(1-'P-Parametri'!$B$40)</f>
        <v>321066.94149730215</v>
      </c>
      <c r="N27" s="15">
        <f>N26+M26*(1+L27)*'P-Parametri'!$B$40</f>
        <v>10400.783804024424</v>
      </c>
    </row>
    <row r="28" spans="1:14">
      <c r="A28" s="14">
        <f>22</f>
        <v>22</v>
      </c>
      <c r="B28" s="8">
        <v>0.03</v>
      </c>
      <c r="C28" s="15">
        <f t="shared" si="0"/>
        <v>169052.01156505718</v>
      </c>
      <c r="D28" s="15">
        <f>D27*(1+B28)*(1-'P-Parametri'!$B$40)</f>
        <v>161767.86403829118</v>
      </c>
      <c r="E28" s="15">
        <f>E27+D27*(1+B28)*'P-Parametri'!$B$40</f>
        <v>5664.8917414917623</v>
      </c>
      <c r="F28" s="20">
        <f>IF(A28='P-Parametri'!$B$64,'P-Parametri'!$B$62,IF(A28='P-Parametri'!$C$64,'P-Parametri'!$C$62,'P-Parametri'!$D$62))</f>
        <v>0.03</v>
      </c>
      <c r="G28" s="15">
        <f>G27*(1+F28)*(1-'P-Parametri'!$B$40)</f>
        <v>161767.86403829118</v>
      </c>
      <c r="H28" s="15">
        <f>H27+G27*(1+F28)*'P-Parametri'!$B$40</f>
        <v>5664.8917414917623</v>
      </c>
      <c r="I28" s="20">
        <f>IF(A28='P-Parametri'!$B$65,'P-Parametri'!$B$62,IF(A28='P-Parametri'!$C$65,'P-Parametri'!$C$62,'P-Parametri'!$D$62))</f>
        <v>0.03</v>
      </c>
      <c r="J28" s="15">
        <f>J27*(1+I28)*(1-'P-Parametri'!$B$40)</f>
        <v>161767.86403829115</v>
      </c>
      <c r="K28" s="15">
        <f>K27+J27*(1+I28)*'P-Parametri'!$B$40</f>
        <v>8964.6769827206117</v>
      </c>
      <c r="L28" s="20">
        <f>IF(A28='P-Parametri'!$B$66,'P-Parametri'!$B$62,IF(A28='P-Parametri'!$C$66,'P-Parametri'!$C$62,'P-Parametri'!$D$62))</f>
        <v>0.03</v>
      </c>
      <c r="M28" s="15">
        <f>M27*(1+L28)*(1-'P-Parametri'!$B$40)</f>
        <v>330037.55184273678</v>
      </c>
      <c r="N28" s="15">
        <f>N27+M27*(1+L28)*'P-Parametri'!$B$40</f>
        <v>11062.181703508866</v>
      </c>
    </row>
    <row r="29" spans="1:14">
      <c r="A29" s="14">
        <f>23</f>
        <v>23</v>
      </c>
      <c r="B29" s="8">
        <v>0.03</v>
      </c>
      <c r="C29" s="15">
        <f t="shared" si="0"/>
        <v>174123.57191200889</v>
      </c>
      <c r="D29" s="15">
        <f>D28*(1+B29)*(1-'P-Parametri'!$B$40)</f>
        <v>166287.65815952106</v>
      </c>
      <c r="E29" s="15">
        <f>E28+D28*(1+B29)*'P-Parametri'!$B$40</f>
        <v>5998.1335414106425</v>
      </c>
      <c r="F29" s="20">
        <f>IF(A29='P-Parametri'!$B$64,'P-Parametri'!$B$62,IF(A29='P-Parametri'!$C$64,'P-Parametri'!$C$62,'P-Parametri'!$D$62))</f>
        <v>0.03</v>
      </c>
      <c r="G29" s="15">
        <f>G28*(1+F29)*(1-'P-Parametri'!$B$40)</f>
        <v>166287.65815952106</v>
      </c>
      <c r="H29" s="15">
        <f>H28+G28*(1+F29)*'P-Parametri'!$B$40</f>
        <v>5998.1335414106425</v>
      </c>
      <c r="I29" s="20">
        <f>IF(A29='P-Parametri'!$B$65,'P-Parametri'!$B$62,IF(A29='P-Parametri'!$C$65,'P-Parametri'!$C$62,'P-Parametri'!$D$62))</f>
        <v>0.03</v>
      </c>
      <c r="J29" s="15">
        <f>J28*(1+I29)*(1-'P-Parametri'!$B$40)</f>
        <v>166287.65815952103</v>
      </c>
      <c r="K29" s="15">
        <f>K28+J28*(1+I29)*'P-Parametri'!$B$40</f>
        <v>9297.9187826394918</v>
      </c>
      <c r="L29" s="20">
        <f>IF(A29='P-Parametri'!$B$66,'P-Parametri'!$B$62,IF(A29='P-Parametri'!$C$66,'P-Parametri'!$C$62,'P-Parametri'!$D$62))</f>
        <v>0.03</v>
      </c>
      <c r="M29" s="15">
        <f>M28*(1+L29)*(1-'P-Parametri'!$B$40)</f>
        <v>339258.80104122282</v>
      </c>
      <c r="N29" s="15">
        <f>N28+M28*(1+L29)*'P-Parametri'!$B$40</f>
        <v>11742.059060304904</v>
      </c>
    </row>
    <row r="30" spans="1:14">
      <c r="A30" s="14">
        <f>24</f>
        <v>24</v>
      </c>
      <c r="B30" s="8">
        <v>0.03</v>
      </c>
      <c r="C30" s="15">
        <f t="shared" si="0"/>
        <v>179347.27906936916</v>
      </c>
      <c r="D30" s="15">
        <f>D29*(1+B30)*(1-'P-Parametri'!$B$40)</f>
        <v>170933.73532849809</v>
      </c>
      <c r="E30" s="15">
        <f>E29+D29*(1+B30)*'P-Parametri'!$B$40</f>
        <v>6340.6861172192557</v>
      </c>
      <c r="F30" s="20">
        <f>IF(A30='P-Parametri'!$B$64,'P-Parametri'!$B$62,IF(A30='P-Parametri'!$C$64,'P-Parametri'!$C$62,'P-Parametri'!$D$62))</f>
        <v>0.03</v>
      </c>
      <c r="G30" s="15">
        <f>G29*(1+F30)*(1-'P-Parametri'!$B$40)</f>
        <v>170933.73532849809</v>
      </c>
      <c r="H30" s="15">
        <f>H29+G29*(1+F30)*'P-Parametri'!$B$40</f>
        <v>6340.6861172192557</v>
      </c>
      <c r="I30" s="20">
        <f>IF(A30='P-Parametri'!$B$65,'P-Parametri'!$B$62,IF(A30='P-Parametri'!$C$65,'P-Parametri'!$C$62,'P-Parametri'!$D$62))</f>
        <v>0.03</v>
      </c>
      <c r="J30" s="15">
        <f>J29*(1+I30)*(1-'P-Parametri'!$B$40)</f>
        <v>170933.73532849806</v>
      </c>
      <c r="K30" s="15">
        <f>K29+J29*(1+I30)*'P-Parametri'!$B$40</f>
        <v>9640.4713584481051</v>
      </c>
      <c r="L30" s="20">
        <f>IF(A30='P-Parametri'!$B$66,'P-Parametri'!$B$62,IF(A30='P-Parametri'!$C$66,'P-Parametri'!$C$62,'P-Parametri'!$D$62))</f>
        <v>0.03</v>
      </c>
      <c r="M30" s="15">
        <f>M29*(1+L30)*(1-'P-Parametri'!$B$40)</f>
        <v>348737.69194231462</v>
      </c>
      <c r="N30" s="15">
        <f>N29+M29*(1+L30)*'P-Parametri'!$B$40</f>
        <v>12440.932190449823</v>
      </c>
    </row>
    <row r="31" spans="1:14">
      <c r="A31" s="14">
        <f>25</f>
        <v>25</v>
      </c>
      <c r="B31" s="8">
        <v>0.03</v>
      </c>
      <c r="C31" s="15">
        <f t="shared" si="0"/>
        <v>184727.69744145023</v>
      </c>
      <c r="D31" s="15">
        <f>D30*(1+B31)*(1-'P-Parametri'!$B$40)</f>
        <v>175709.62389357635</v>
      </c>
      <c r="E31" s="15">
        <f>E30+D30*(1+B31)*'P-Parametri'!$B$40</f>
        <v>6692.8096119959619</v>
      </c>
      <c r="F31" s="20">
        <f>IF(A31='P-Parametri'!$B$64,'P-Parametri'!$B$62,IF(A31='P-Parametri'!$C$64,'P-Parametri'!$C$62,'P-Parametri'!$D$62))</f>
        <v>0.03</v>
      </c>
      <c r="G31" s="15">
        <f>G30*(1+F31)*(1-'P-Parametri'!$B$40)</f>
        <v>175709.62389357635</v>
      </c>
      <c r="H31" s="15">
        <f>H30+G30*(1+F31)*'P-Parametri'!$B$40</f>
        <v>6692.8096119959619</v>
      </c>
      <c r="I31" s="20">
        <f>IF(A31='P-Parametri'!$B$65,'P-Parametri'!$B$62,IF(A31='P-Parametri'!$C$65,'P-Parametri'!$C$62,'P-Parametri'!$D$62))</f>
        <v>0.03</v>
      </c>
      <c r="J31" s="15">
        <f>J30*(1+I31)*(1-'P-Parametri'!$B$40)</f>
        <v>175709.62389357632</v>
      </c>
      <c r="K31" s="15">
        <f>K30+J30*(1+I31)*'P-Parametri'!$B$40</f>
        <v>9992.5948532248112</v>
      </c>
      <c r="L31" s="20">
        <f>IF(A31='P-Parametri'!$B$66,'P-Parametri'!$B$62,IF(A31='P-Parametri'!$C$66,'P-Parametri'!$C$62,'P-Parametri'!$D$62))</f>
        <v>0.03</v>
      </c>
      <c r="M31" s="15">
        <f>M30*(1+L31)*(1-'P-Parametri'!$B$40)</f>
        <v>358481.42305518291</v>
      </c>
      <c r="N31" s="15">
        <f>N30+M30*(1+L31)*'P-Parametri'!$B$40</f>
        <v>13159.331835850991</v>
      </c>
    </row>
    <row r="32" spans="1:14">
      <c r="A32" s="14">
        <f>26</f>
        <v>26</v>
      </c>
      <c r="B32" s="8">
        <v>0.03</v>
      </c>
      <c r="C32" s="15">
        <f t="shared" si="0"/>
        <v>190269.52836469375</v>
      </c>
      <c r="D32" s="15">
        <f>D31*(1+B32)*(1-'P-Parametri'!$B$40)</f>
        <v>180618.95078516289</v>
      </c>
      <c r="E32" s="15">
        <f>E31+D31*(1+B32)*'P-Parametri'!$B$40</f>
        <v>7054.7714372167293</v>
      </c>
      <c r="F32" s="20">
        <f>IF(A32='P-Parametri'!$B$64,'P-Parametri'!$B$62,IF(A32='P-Parametri'!$C$64,'P-Parametri'!$C$62,'P-Parametri'!$D$62))</f>
        <v>0.03</v>
      </c>
      <c r="G32" s="15">
        <f>G31*(1+F32)*(1-'P-Parametri'!$B$40)</f>
        <v>180618.95078516289</v>
      </c>
      <c r="H32" s="15">
        <f>H31+G31*(1+F32)*'P-Parametri'!$B$40</f>
        <v>7054.7714372167293</v>
      </c>
      <c r="I32" s="20">
        <f>IF(A32='P-Parametri'!$B$65,'P-Parametri'!$B$62,IF(A32='P-Parametri'!$C$65,'P-Parametri'!$C$62,'P-Parametri'!$D$62))</f>
        <v>0.03</v>
      </c>
      <c r="J32" s="15">
        <f>J31*(1+I32)*(1-'P-Parametri'!$B$40)</f>
        <v>180618.95078516286</v>
      </c>
      <c r="K32" s="15">
        <f>K31+J31*(1+I32)*'P-Parametri'!$B$40</f>
        <v>10354.556678445579</v>
      </c>
      <c r="L32" s="20">
        <f>IF(A32='P-Parametri'!$B$66,'P-Parametri'!$B$62,IF(A32='P-Parametri'!$C$66,'P-Parametri'!$C$62,'P-Parametri'!$D$62))</f>
        <v>0.03</v>
      </c>
      <c r="M32" s="15">
        <f>M31*(1+L32)*(1-'P-Parametri'!$B$40)</f>
        <v>368497.39401534473</v>
      </c>
      <c r="N32" s="15">
        <f>N31+M31*(1+L32)*'P-Parametri'!$B$40</f>
        <v>13897.803567344668</v>
      </c>
    </row>
    <row r="33" spans="1:14">
      <c r="A33" s="14">
        <f>27</f>
        <v>27</v>
      </c>
      <c r="B33" s="8">
        <v>0.03</v>
      </c>
      <c r="C33" s="15">
        <f t="shared" si="0"/>
        <v>195977.61421563456</v>
      </c>
      <c r="D33" s="15">
        <f>D32*(1+B33)*(1-'P-Parametri'!$B$40)</f>
        <v>185665.44427010033</v>
      </c>
      <c r="E33" s="15">
        <f>E32+D32*(1+B33)*'P-Parametri'!$B$40</f>
        <v>7426.8464758341652</v>
      </c>
      <c r="F33" s="20">
        <f>IF(A33='P-Parametri'!$B$64,'P-Parametri'!$B$62,IF(A33='P-Parametri'!$C$64,'P-Parametri'!$C$62,'P-Parametri'!$D$62))</f>
        <v>0.03</v>
      </c>
      <c r="G33" s="15">
        <f>G32*(1+F33)*(1-'P-Parametri'!$B$40)</f>
        <v>185665.44427010033</v>
      </c>
      <c r="H33" s="15">
        <f>H32+G32*(1+F33)*'P-Parametri'!$B$40</f>
        <v>7426.8464758341652</v>
      </c>
      <c r="I33" s="20">
        <f>IF(A33='P-Parametri'!$B$65,'P-Parametri'!$B$62,IF(A33='P-Parametri'!$C$65,'P-Parametri'!$C$62,'P-Parametri'!$D$62))</f>
        <v>0.03</v>
      </c>
      <c r="J33" s="15">
        <f>J32*(1+I33)*(1-'P-Parametri'!$B$40)</f>
        <v>185665.4442701003</v>
      </c>
      <c r="K33" s="15">
        <f>K32+J32*(1+I33)*'P-Parametri'!$B$40</f>
        <v>10726.631717063014</v>
      </c>
      <c r="L33" s="20">
        <f>IF(A33='P-Parametri'!$B$66,'P-Parametri'!$B$62,IF(A33='P-Parametri'!$C$66,'P-Parametri'!$C$62,'P-Parametri'!$D$62))</f>
        <v>0.03</v>
      </c>
      <c r="M33" s="15">
        <f>M32*(1+L33)*(1-'P-Parametri'!$B$40)</f>
        <v>378793.21120413346</v>
      </c>
      <c r="N33" s="15">
        <f>N32+M32*(1+L33)*'P-Parametri'!$B$40</f>
        <v>14656.908199016278</v>
      </c>
    </row>
    <row r="34" spans="1:14">
      <c r="A34" s="14">
        <f>28</f>
        <v>28</v>
      </c>
      <c r="B34" s="8">
        <v>0.03</v>
      </c>
      <c r="C34" s="15">
        <f t="shared" si="0"/>
        <v>201856.94264210359</v>
      </c>
      <c r="D34" s="15">
        <f>D33*(1+B34)*(1-'P-Parametri'!$B$40)</f>
        <v>190852.93678300694</v>
      </c>
      <c r="E34" s="15">
        <f>E33+D33*(1+B34)*'P-Parametri'!$B$40</f>
        <v>7809.3172910305721</v>
      </c>
      <c r="F34" s="20">
        <f>IF(A34='P-Parametri'!$B$64,'P-Parametri'!$B$62,IF(A34='P-Parametri'!$C$64,'P-Parametri'!$C$62,'P-Parametri'!$D$62))</f>
        <v>0.03</v>
      </c>
      <c r="G34" s="15">
        <f>G33*(1+F34)*(1-'P-Parametri'!$B$40)</f>
        <v>190852.93678300694</v>
      </c>
      <c r="H34" s="15">
        <f>H33+G33*(1+F34)*'P-Parametri'!$B$40</f>
        <v>7809.3172910305721</v>
      </c>
      <c r="I34" s="20">
        <f>IF(A34='P-Parametri'!$B$65,'P-Parametri'!$B$62,IF(A34='P-Parametri'!$C$65,'P-Parametri'!$C$62,'P-Parametri'!$D$62))</f>
        <v>0.03</v>
      </c>
      <c r="J34" s="15">
        <f>J33*(1+I34)*(1-'P-Parametri'!$B$40)</f>
        <v>190852.93678300691</v>
      </c>
      <c r="K34" s="15">
        <f>K33+J33*(1+I34)*'P-Parametri'!$B$40</f>
        <v>11109.10253225942</v>
      </c>
      <c r="L34" s="20">
        <f>IF(A34='P-Parametri'!$B$66,'P-Parametri'!$B$62,IF(A34='P-Parametri'!$C$66,'P-Parametri'!$C$62,'P-Parametri'!$D$62))</f>
        <v>0.03</v>
      </c>
      <c r="M34" s="15">
        <f>M33*(1+L34)*(1-'P-Parametri'!$B$40)</f>
        <v>389376.69352517696</v>
      </c>
      <c r="N34" s="15">
        <f>N33+M33*(1+L34)*'P-Parametri'!$B$40</f>
        <v>15437.222214096793</v>
      </c>
    </row>
    <row r="35" spans="1:14">
      <c r="A35" s="14">
        <f>29</f>
        <v>29</v>
      </c>
      <c r="B35" s="8">
        <v>0.03</v>
      </c>
      <c r="C35" s="15">
        <f t="shared" si="0"/>
        <v>207912.6509213667</v>
      </c>
      <c r="D35" s="15">
        <f>D34*(1+B35)*(1-'P-Parametri'!$B$40)</f>
        <v>196185.36783672415</v>
      </c>
      <c r="E35" s="15">
        <f>E34+D34*(1+B35)*'P-Parametri'!$B$40</f>
        <v>8202.4743408035665</v>
      </c>
      <c r="F35" s="20">
        <f>IF(A35='P-Parametri'!$B$64,'P-Parametri'!$B$62,IF(A35='P-Parametri'!$C$64,'P-Parametri'!$C$62,'P-Parametri'!$D$62))</f>
        <v>0.03</v>
      </c>
      <c r="G35" s="15">
        <f>G34*(1+F35)*(1-'P-Parametri'!$B$40)</f>
        <v>196185.36783672415</v>
      </c>
      <c r="H35" s="15">
        <f>H34+G34*(1+F35)*'P-Parametri'!$B$40</f>
        <v>8202.4743408035665</v>
      </c>
      <c r="I35" s="20">
        <f>IF(A35='P-Parametri'!$B$65,'P-Parametri'!$B$62,IF(A35='P-Parametri'!$C$65,'P-Parametri'!$C$62,'P-Parametri'!$D$62))</f>
        <v>0.03</v>
      </c>
      <c r="J35" s="15">
        <f>J34*(1+I35)*(1-'P-Parametri'!$B$40)</f>
        <v>196185.36783672412</v>
      </c>
      <c r="K35" s="15">
        <f>K34+J34*(1+I35)*'P-Parametri'!$B$40</f>
        <v>11502.259582032413</v>
      </c>
      <c r="L35" s="20">
        <f>IF(A35='P-Parametri'!$B$66,'P-Parametri'!$B$62,IF(A35='P-Parametri'!$C$66,'P-Parametri'!$C$62,'P-Parametri'!$D$62))</f>
        <v>0.03</v>
      </c>
      <c r="M35" s="15">
        <f>M34*(1+L35)*(1-'P-Parametri'!$B$40)</f>
        <v>400255.87834227039</v>
      </c>
      <c r="N35" s="15">
        <f>N34+M34*(1+L35)*'P-Parametri'!$B$40</f>
        <v>16239.338202758658</v>
      </c>
    </row>
    <row r="36" spans="1:14">
      <c r="A36" s="14">
        <f>30</f>
        <v>30</v>
      </c>
      <c r="B36" s="8">
        <v>0.03</v>
      </c>
      <c r="C36" s="15">
        <f t="shared" si="0"/>
        <v>214150.0304490077</v>
      </c>
      <c r="D36" s="15">
        <f>D35*(1+B36)*(1-'P-Parametri'!$B$40)</f>
        <v>201666.78701408225</v>
      </c>
      <c r="E36" s="15">
        <f>E35+D35*(1+B36)*'P-Parametri'!$B$40</f>
        <v>8606.616198547219</v>
      </c>
      <c r="F36" s="20">
        <f>IF(A36='P-Parametri'!$B$64,'P-Parametri'!$B$62,IF(A36='P-Parametri'!$C$64,'P-Parametri'!$C$62,'P-Parametri'!$D$62))</f>
        <v>0.03</v>
      </c>
      <c r="G36" s="15">
        <f>G35*(1+F36)*(1-'P-Parametri'!$B$40)</f>
        <v>201666.78701408225</v>
      </c>
      <c r="H36" s="15">
        <f>H35+G35*(1+F36)*'P-Parametri'!$B$40</f>
        <v>8606.616198547219</v>
      </c>
      <c r="I36" s="20">
        <f>IF(A36='P-Parametri'!$B$65,'P-Parametri'!$B$62,IF(A36='P-Parametri'!$C$65,'P-Parametri'!$C$62,'P-Parametri'!$D$62))</f>
        <v>0.03</v>
      </c>
      <c r="J36" s="15">
        <f>J35*(1+I36)*(1-'P-Parametri'!$B$40)</f>
        <v>201666.78701408222</v>
      </c>
      <c r="K36" s="15">
        <f>K35+J35*(1+I36)*'P-Parametri'!$B$40</f>
        <v>11906.401439776066</v>
      </c>
      <c r="L36" s="20">
        <f>IF(A36='P-Parametri'!$B$66,'P-Parametri'!$B$62,IF(A36='P-Parametri'!$C$66,'P-Parametri'!$C$62,'P-Parametri'!$D$62))</f>
        <v>-0.35</v>
      </c>
      <c r="M36" s="15">
        <f>M35*(1+L36)*(1-'P-Parametri'!$B$40)</f>
        <v>259645.98828063082</v>
      </c>
      <c r="N36" s="15">
        <f>N35+M35*(1+L36)*'P-Parametri'!$B$40</f>
        <v>16759.67084460361</v>
      </c>
    </row>
    <row r="37" spans="1:14">
      <c r="A37" s="14">
        <f>31</f>
        <v>31</v>
      </c>
      <c r="B37" s="8">
        <v>0.03</v>
      </c>
      <c r="C37" s="15">
        <f t="shared" si="0"/>
        <v>220574.53136247792</v>
      </c>
      <c r="D37" s="15">
        <f>D36*(1+B37)*(1-'P-Parametri'!$B$40)</f>
        <v>207301.35704325573</v>
      </c>
      <c r="E37" s="15">
        <f>E36+D36*(1+B37)*'P-Parametri'!$B$40</f>
        <v>9022.0497797962289</v>
      </c>
      <c r="F37" s="20">
        <f>IF(A37='P-Parametri'!$B$64,'P-Parametri'!$B$62,IF(A37='P-Parametri'!$C$64,'P-Parametri'!$C$62,'P-Parametri'!$D$62))</f>
        <v>0.03</v>
      </c>
      <c r="G37" s="15">
        <f>G36*(1+F37)*(1-'P-Parametri'!$B$40)</f>
        <v>207301.35704325573</v>
      </c>
      <c r="H37" s="15">
        <f>H36+G36*(1+F37)*'P-Parametri'!$B$40</f>
        <v>9022.0497797962289</v>
      </c>
      <c r="I37" s="20">
        <f>IF(A37='P-Parametri'!$B$65,'P-Parametri'!$B$62,IF(A37='P-Parametri'!$C$65,'P-Parametri'!$C$62,'P-Parametri'!$D$62))</f>
        <v>0.03</v>
      </c>
      <c r="J37" s="15">
        <f>J36*(1+I37)*(1-'P-Parametri'!$B$40)</f>
        <v>207301.3570432557</v>
      </c>
      <c r="K37" s="15">
        <f>K36+J36*(1+I37)*'P-Parametri'!$B$40</f>
        <v>12321.835021025076</v>
      </c>
      <c r="L37" s="20">
        <f>IF(A37='P-Parametri'!$B$66,'P-Parametri'!$B$62,IF(A37='P-Parametri'!$C$66,'P-Parametri'!$C$62,'P-Parametri'!$D$62))</f>
        <v>-0.2</v>
      </c>
      <c r="M37" s="15">
        <f>M36*(1+L37)*(1-'P-Parametri'!$B$40)</f>
        <v>207301.35704325567</v>
      </c>
      <c r="N37" s="15">
        <f>N36+M36*(1+L37)*'P-Parametri'!$B$40</f>
        <v>17175.10442585262</v>
      </c>
    </row>
    <row r="38" spans="1:14">
      <c r="A38" s="14">
        <f>32</f>
        <v>32</v>
      </c>
      <c r="B38" s="8">
        <v>0.03</v>
      </c>
      <c r="C38" s="15">
        <f t="shared" si="0"/>
        <v>227191.76730335227</v>
      </c>
      <c r="D38" s="15">
        <f>D37*(1+B38)*(1-'P-Parametri'!$B$40)</f>
        <v>213093.35695904429</v>
      </c>
      <c r="E38" s="15">
        <f>E37+D37*(1+B38)*'P-Parametri'!$B$40</f>
        <v>9449.0905753053357</v>
      </c>
      <c r="F38" s="20">
        <f>IF(A38='P-Parametri'!$B$64,'P-Parametri'!$B$62,IF(A38='P-Parametri'!$C$64,'P-Parametri'!$C$62,'P-Parametri'!$D$62))</f>
        <v>0.03</v>
      </c>
      <c r="G38" s="15">
        <f>G37*(1+F38)*(1-'P-Parametri'!$B$40)</f>
        <v>213093.35695904429</v>
      </c>
      <c r="H38" s="15">
        <f>H37+G37*(1+F38)*'P-Parametri'!$B$40</f>
        <v>9449.0905753053357</v>
      </c>
      <c r="I38" s="20">
        <f>IF(A38='P-Parametri'!$B$65,'P-Parametri'!$B$62,IF(A38='P-Parametri'!$C$65,'P-Parametri'!$C$62,'P-Parametri'!$D$62))</f>
        <v>0.03</v>
      </c>
      <c r="J38" s="15">
        <f>J37*(1+I38)*(1-'P-Parametri'!$B$40)</f>
        <v>213093.35695904426</v>
      </c>
      <c r="K38" s="15">
        <f>K37+J37*(1+I38)*'P-Parametri'!$B$40</f>
        <v>12748.875816534182</v>
      </c>
      <c r="L38" s="20">
        <f>IF(A38='P-Parametri'!$B$66,'P-Parametri'!$B$62,IF(A38='P-Parametri'!$C$66,'P-Parametri'!$C$62,'P-Parametri'!$D$62))</f>
        <v>0.03</v>
      </c>
      <c r="M38" s="15">
        <f>M37*(1+L38)*(1-'P-Parametri'!$B$40)</f>
        <v>213093.35695904423</v>
      </c>
      <c r="N38" s="15">
        <f>N37+M37*(1+L38)*'P-Parametri'!$B$40</f>
        <v>17602.145221361727</v>
      </c>
    </row>
    <row r="40" spans="1:14">
      <c r="A40" s="29" t="s">
        <v>430</v>
      </c>
      <c r="B40" s="27"/>
      <c r="C40" s="27"/>
      <c r="D40" s="27"/>
      <c r="E40" s="27"/>
      <c r="F40" s="27"/>
      <c r="G40" s="27"/>
      <c r="H40" s="27"/>
      <c r="I40" s="27"/>
      <c r="J40" s="27"/>
      <c r="K40" s="27"/>
      <c r="L40" s="27"/>
      <c r="M40" s="27"/>
    </row>
    <row r="41" spans="1:14" ht="105">
      <c r="A41" s="5" t="s">
        <v>431</v>
      </c>
      <c r="B41" s="15">
        <f>C38</f>
        <v>227191.76730335227</v>
      </c>
      <c r="C41" s="5" t="s">
        <v>432</v>
      </c>
      <c r="D41" s="15">
        <f>'1-Input'!$B$8*(1+'P-Parametri'!$D$62)^('P-Parametri'!$B$63-2)*(1+'P-Parametri'!$B$62)*(1+'P-Parametri'!$C$62)</f>
        <v>227191.76730335213</v>
      </c>
    </row>
    <row r="42" spans="1:14" ht="105">
      <c r="A42" s="5" t="s">
        <v>433</v>
      </c>
      <c r="B42" s="15">
        <f>D38</f>
        <v>213093.35695904429</v>
      </c>
      <c r="C42" s="5" t="s">
        <v>434</v>
      </c>
      <c r="D42" s="15">
        <f>D41*(1-'P-Parametri'!$B$40)^'P-Parametri'!$B$63</f>
        <v>213093.35695904412</v>
      </c>
    </row>
    <row r="43" spans="1:14" ht="135">
      <c r="A43" s="5" t="s">
        <v>435</v>
      </c>
      <c r="B43" s="15">
        <f>G38</f>
        <v>213093.35695904429</v>
      </c>
      <c r="C43" s="15">
        <f>J38</f>
        <v>213093.35695904426</v>
      </c>
      <c r="D43" s="15">
        <f>M38</f>
        <v>213093.35695904423</v>
      </c>
    </row>
    <row r="44" spans="1:14" ht="135">
      <c r="A44" s="5" t="s">
        <v>436</v>
      </c>
      <c r="B44" s="15">
        <f>H38</f>
        <v>9449.0905753053357</v>
      </c>
      <c r="C44" s="15">
        <f>K38</f>
        <v>12748.875816534182</v>
      </c>
      <c r="D44" s="15">
        <f>N38</f>
        <v>17602.145221361727</v>
      </c>
    </row>
    <row r="45" spans="1:14" ht="90">
      <c r="A45" s="5" t="s">
        <v>437</v>
      </c>
      <c r="B45" s="15">
        <f>MAX(B43:D43)-MIN(B43:D43)</f>
        <v>0</v>
      </c>
    </row>
    <row r="46" spans="1:14" ht="180">
      <c r="A46" s="5" t="s">
        <v>438</v>
      </c>
      <c r="B46" s="25">
        <f>SUM(B7:B38)</f>
        <v>0.3500000000000002</v>
      </c>
      <c r="C46" s="25">
        <f>'P-Parametri'!$D$62*('P-Parametri'!$B$63-2)+'P-Parametri'!$B$62+'P-Parametri'!$C$62</f>
        <v>0.34999999999999992</v>
      </c>
      <c r="D46" s="21" t="str">
        <f>IF(ABS(B46-C46)&lt;0.0000001,"si' — stesso insieme","NO — hai cambiato i rendimenti, non solo l'ordine")</f>
        <v>si' — stesso insieme</v>
      </c>
    </row>
    <row r="48" spans="1:14" ht="30" customHeight="1">
      <c r="A48" s="30" t="s">
        <v>439</v>
      </c>
      <c r="B48" s="27"/>
      <c r="C48" s="27"/>
      <c r="D48" s="27"/>
      <c r="E48" s="27"/>
      <c r="F48" s="27"/>
      <c r="G48" s="27"/>
      <c r="H48" s="27"/>
      <c r="I48" s="27"/>
      <c r="J48" s="27"/>
      <c r="K48" s="27"/>
      <c r="L48" s="27"/>
      <c r="M48" s="27"/>
    </row>
    <row r="49" spans="1:13" ht="30" customHeight="1">
      <c r="A49" s="30" t="s">
        <v>440</v>
      </c>
      <c r="B49" s="27"/>
      <c r="C49" s="27"/>
      <c r="D49" s="27"/>
      <c r="E49" s="27"/>
      <c r="F49" s="27"/>
      <c r="G49" s="27"/>
      <c r="H49" s="27"/>
      <c r="I49" s="27"/>
      <c r="J49" s="27"/>
      <c r="K49" s="27"/>
      <c r="L49" s="27"/>
      <c r="M49" s="27"/>
    </row>
    <row r="51" spans="1:13">
      <c r="A51" s="29" t="s">
        <v>441</v>
      </c>
      <c r="B51" s="27"/>
      <c r="C51" s="27"/>
      <c r="D51" s="27"/>
      <c r="E51" s="27"/>
      <c r="F51" s="27"/>
      <c r="G51" s="27"/>
      <c r="H51" s="27"/>
      <c r="I51" s="27"/>
      <c r="J51" s="27"/>
      <c r="K51" s="27"/>
      <c r="L51" s="27"/>
      <c r="M51" s="27"/>
    </row>
    <row r="52" spans="1:13" ht="30">
      <c r="A52" s="22" t="s">
        <v>218</v>
      </c>
      <c r="B52" s="22" t="s">
        <v>442</v>
      </c>
      <c r="C52" s="22" t="s">
        <v>443</v>
      </c>
      <c r="D52" s="22" t="s">
        <v>444</v>
      </c>
      <c r="E52" s="22" t="s">
        <v>445</v>
      </c>
    </row>
    <row r="53" spans="1:13">
      <c r="A53" s="14">
        <f>1</f>
        <v>1</v>
      </c>
      <c r="B53" s="20">
        <f>IF(A53&lt;=2,IF(A53=1,'P-Parametri'!$B$62,'P-Parametri'!$C$62),'P-Parametri'!$E$67)</f>
        <v>-0.35</v>
      </c>
      <c r="C53" s="15">
        <f>MAX(0,'P-Parametri'!$B$67-'P-Parametri'!$C$67)*(1+B53)</f>
        <v>624000</v>
      </c>
      <c r="D53" s="20">
        <f>IF(A53&gt;='P-Parametri'!$D$67-1,IF(A53='P-Parametri'!$D$67-1,'P-Parametri'!$B$62,'P-Parametri'!$C$62),'P-Parametri'!$E$67)</f>
        <v>0.05</v>
      </c>
      <c r="E53" s="15">
        <f>MAX(0,'P-Parametri'!$B$67-'P-Parametri'!$C$67)*(1+D53)</f>
        <v>1008000</v>
      </c>
    </row>
    <row r="54" spans="1:13">
      <c r="A54" s="14">
        <f>2</f>
        <v>2</v>
      </c>
      <c r="B54" s="20">
        <f>IF(A54&lt;=2,IF(A54=1,'P-Parametri'!$B$62,'P-Parametri'!$C$62),'P-Parametri'!$E$67)</f>
        <v>-0.2</v>
      </c>
      <c r="C54" s="15">
        <f>MAX(0,C53-'P-Parametri'!$C$67)*(1+B54)</f>
        <v>467200</v>
      </c>
      <c r="D54" s="20">
        <f>IF(A54&gt;='P-Parametri'!$D$67-1,IF(A54='P-Parametri'!$D$67-1,'P-Parametri'!$B$62,'P-Parametri'!$C$62),'P-Parametri'!$E$67)</f>
        <v>0.05</v>
      </c>
      <c r="E54" s="15">
        <f>MAX(0,E53-'P-Parametri'!$C$67)*(1+D54)</f>
        <v>1016400</v>
      </c>
    </row>
    <row r="55" spans="1:13">
      <c r="A55" s="14">
        <f>3</f>
        <v>3</v>
      </c>
      <c r="B55" s="20">
        <f>IF(A55&lt;=2,IF(A55=1,'P-Parametri'!$B$62,'P-Parametri'!$C$62),'P-Parametri'!$E$67)</f>
        <v>0.05</v>
      </c>
      <c r="C55" s="15">
        <f>MAX(0,C54-'P-Parametri'!$C$67)*(1+B55)</f>
        <v>448560</v>
      </c>
      <c r="D55" s="20">
        <f>IF(A55&gt;='P-Parametri'!$D$67-1,IF(A55='P-Parametri'!$D$67-1,'P-Parametri'!$B$62,'P-Parametri'!$C$62),'P-Parametri'!$E$67)</f>
        <v>0.05</v>
      </c>
      <c r="E55" s="15">
        <f>MAX(0,E54-'P-Parametri'!$C$67)*(1+D55)</f>
        <v>1025220</v>
      </c>
    </row>
    <row r="56" spans="1:13">
      <c r="A56" s="14">
        <f>4</f>
        <v>4</v>
      </c>
      <c r="B56" s="20">
        <f>IF(A56&lt;=2,IF(A56=1,'P-Parametri'!$B$62,'P-Parametri'!$C$62),'P-Parametri'!$E$67)</f>
        <v>0.05</v>
      </c>
      <c r="C56" s="15">
        <f>MAX(0,C55-'P-Parametri'!$C$67)*(1+B56)</f>
        <v>428988</v>
      </c>
      <c r="D56" s="20">
        <f>IF(A56&gt;='P-Parametri'!$D$67-1,IF(A56='P-Parametri'!$D$67-1,'P-Parametri'!$B$62,'P-Parametri'!$C$62),'P-Parametri'!$E$67)</f>
        <v>0.05</v>
      </c>
      <c r="E56" s="15">
        <f>MAX(0,E55-'P-Parametri'!$C$67)*(1+D56)</f>
        <v>1034481</v>
      </c>
    </row>
    <row r="57" spans="1:13">
      <c r="A57" s="14">
        <f>5</f>
        <v>5</v>
      </c>
      <c r="B57" s="20">
        <f>IF(A57&lt;=2,IF(A57=1,'P-Parametri'!$B$62,'P-Parametri'!$C$62),'P-Parametri'!$E$67)</f>
        <v>0.05</v>
      </c>
      <c r="C57" s="15">
        <f>MAX(0,C56-'P-Parametri'!$C$67)*(1+B57)</f>
        <v>408437.4</v>
      </c>
      <c r="D57" s="20">
        <f>IF(A57&gt;='P-Parametri'!$D$67-1,IF(A57='P-Parametri'!$D$67-1,'P-Parametri'!$B$62,'P-Parametri'!$C$62),'P-Parametri'!$E$67)</f>
        <v>0.05</v>
      </c>
      <c r="E57" s="15">
        <f>MAX(0,E56-'P-Parametri'!$C$67)*(1+D57)</f>
        <v>1044205.05</v>
      </c>
    </row>
    <row r="58" spans="1:13">
      <c r="A58" s="14">
        <f>6</f>
        <v>6</v>
      </c>
      <c r="B58" s="20">
        <f>IF(A58&lt;=2,IF(A58=1,'P-Parametri'!$B$62,'P-Parametri'!$C$62),'P-Parametri'!$E$67)</f>
        <v>0.05</v>
      </c>
      <c r="C58" s="15">
        <f>MAX(0,C57-'P-Parametri'!$C$67)*(1+B58)</f>
        <v>386859.27</v>
      </c>
      <c r="D58" s="20">
        <f>IF(A58&gt;='P-Parametri'!$D$67-1,IF(A58='P-Parametri'!$D$67-1,'P-Parametri'!$B$62,'P-Parametri'!$C$62),'P-Parametri'!$E$67)</f>
        <v>0.05</v>
      </c>
      <c r="E58" s="15">
        <f>MAX(0,E57-'P-Parametri'!$C$67)*(1+D58)</f>
        <v>1054415.3025</v>
      </c>
    </row>
    <row r="59" spans="1:13">
      <c r="A59" s="14">
        <f>7</f>
        <v>7</v>
      </c>
      <c r="B59" s="20">
        <f>IF(A59&lt;=2,IF(A59=1,'P-Parametri'!$B$62,'P-Parametri'!$C$62),'P-Parametri'!$E$67)</f>
        <v>0.05</v>
      </c>
      <c r="C59" s="15">
        <f>MAX(0,C58-'P-Parametri'!$C$67)*(1+B59)</f>
        <v>364202.23350000003</v>
      </c>
      <c r="D59" s="20">
        <f>IF(A59&gt;='P-Parametri'!$D$67-1,IF(A59='P-Parametri'!$D$67-1,'P-Parametri'!$B$62,'P-Parametri'!$C$62),'P-Parametri'!$E$67)</f>
        <v>0.05</v>
      </c>
      <c r="E59" s="15">
        <f>MAX(0,E58-'P-Parametri'!$C$67)*(1+D59)</f>
        <v>1065136.0676250001</v>
      </c>
    </row>
    <row r="60" spans="1:13">
      <c r="A60" s="14">
        <f>8</f>
        <v>8</v>
      </c>
      <c r="B60" s="20">
        <f>IF(A60&lt;=2,IF(A60=1,'P-Parametri'!$B$62,'P-Parametri'!$C$62),'P-Parametri'!$E$67)</f>
        <v>0.05</v>
      </c>
      <c r="C60" s="15">
        <f>MAX(0,C59-'P-Parametri'!$C$67)*(1+B60)</f>
        <v>340412.34517500002</v>
      </c>
      <c r="D60" s="20">
        <f>IF(A60&gt;='P-Parametri'!$D$67-1,IF(A60='P-Parametri'!$D$67-1,'P-Parametri'!$B$62,'P-Parametri'!$C$62),'P-Parametri'!$E$67)</f>
        <v>0.05</v>
      </c>
      <c r="E60" s="15">
        <f>MAX(0,E59-'P-Parametri'!$C$67)*(1+D60)</f>
        <v>1076392.8710062501</v>
      </c>
    </row>
    <row r="61" spans="1:13">
      <c r="A61" s="14">
        <f>9</f>
        <v>9</v>
      </c>
      <c r="B61" s="20">
        <f>IF(A61&lt;=2,IF(A61=1,'P-Parametri'!$B$62,'P-Parametri'!$C$62),'P-Parametri'!$E$67)</f>
        <v>0.05</v>
      </c>
      <c r="C61" s="15">
        <f>MAX(0,C60-'P-Parametri'!$C$67)*(1+B61)</f>
        <v>315432.96243375004</v>
      </c>
      <c r="D61" s="20">
        <f>IF(A61&gt;='P-Parametri'!$D$67-1,IF(A61='P-Parametri'!$D$67-1,'P-Parametri'!$B$62,'P-Parametri'!$C$62),'P-Parametri'!$E$67)</f>
        <v>0.05</v>
      </c>
      <c r="E61" s="15">
        <f>MAX(0,E60-'P-Parametri'!$C$67)*(1+D61)</f>
        <v>1088212.5145565628</v>
      </c>
    </row>
    <row r="62" spans="1:13">
      <c r="A62" s="14">
        <f>10</f>
        <v>10</v>
      </c>
      <c r="B62" s="20">
        <f>IF(A62&lt;=2,IF(A62=1,'P-Parametri'!$B$62,'P-Parametri'!$C$62),'P-Parametri'!$E$67)</f>
        <v>0.05</v>
      </c>
      <c r="C62" s="15">
        <f>MAX(0,C61-'P-Parametri'!$C$67)*(1+B62)</f>
        <v>289204.61055543757</v>
      </c>
      <c r="D62" s="20">
        <f>IF(A62&gt;='P-Parametri'!$D$67-1,IF(A62='P-Parametri'!$D$67-1,'P-Parametri'!$B$62,'P-Parametri'!$C$62),'P-Parametri'!$E$67)</f>
        <v>0.05</v>
      </c>
      <c r="E62" s="15">
        <f>MAX(0,E61-'P-Parametri'!$C$67)*(1+D62)</f>
        <v>1100623.1402843909</v>
      </c>
    </row>
    <row r="63" spans="1:13">
      <c r="A63" s="14">
        <f>11</f>
        <v>11</v>
      </c>
      <c r="B63" s="20">
        <f>IF(A63&lt;=2,IF(A63=1,'P-Parametri'!$B$62,'P-Parametri'!$C$62),'P-Parametri'!$E$67)</f>
        <v>0.05</v>
      </c>
      <c r="C63" s="15">
        <f>MAX(0,C62-'P-Parametri'!$C$67)*(1+B63)</f>
        <v>261664.84108320947</v>
      </c>
      <c r="D63" s="20">
        <f>IF(A63&gt;='P-Parametri'!$D$67-1,IF(A63='P-Parametri'!$D$67-1,'P-Parametri'!$B$62,'P-Parametri'!$C$62),'P-Parametri'!$E$67)</f>
        <v>0.05</v>
      </c>
      <c r="E63" s="15">
        <f>MAX(0,E62-'P-Parametri'!$C$67)*(1+D63)</f>
        <v>1113654.2972986104</v>
      </c>
    </row>
    <row r="64" spans="1:13">
      <c r="A64" s="14">
        <f>12</f>
        <v>12</v>
      </c>
      <c r="B64" s="20">
        <f>IF(A64&lt;=2,IF(A64=1,'P-Parametri'!$B$62,'P-Parametri'!$C$62),'P-Parametri'!$E$67)</f>
        <v>0.05</v>
      </c>
      <c r="C64" s="15">
        <f>MAX(0,C63-'P-Parametri'!$C$67)*(1+B64)</f>
        <v>232748.08313736995</v>
      </c>
      <c r="D64" s="20">
        <f>IF(A64&gt;='P-Parametri'!$D$67-1,IF(A64='P-Parametri'!$D$67-1,'P-Parametri'!$B$62,'P-Parametri'!$C$62),'P-Parametri'!$E$67)</f>
        <v>0.05</v>
      </c>
      <c r="E64" s="15">
        <f>MAX(0,E63-'P-Parametri'!$C$67)*(1+D64)</f>
        <v>1127337.012163541</v>
      </c>
    </row>
    <row r="65" spans="1:13">
      <c r="A65" s="14">
        <f>13</f>
        <v>13</v>
      </c>
      <c r="B65" s="20">
        <f>IF(A65&lt;=2,IF(A65=1,'P-Parametri'!$B$62,'P-Parametri'!$C$62),'P-Parametri'!$E$67)</f>
        <v>0.05</v>
      </c>
      <c r="C65" s="15">
        <f>MAX(0,C64-'P-Parametri'!$C$67)*(1+B65)</f>
        <v>202385.48729423844</v>
      </c>
      <c r="D65" s="20">
        <f>IF(A65&gt;='P-Parametri'!$D$67-1,IF(A65='P-Parametri'!$D$67-1,'P-Parametri'!$B$62,'P-Parametri'!$C$62),'P-Parametri'!$E$67)</f>
        <v>0.05</v>
      </c>
      <c r="E65" s="15">
        <f>MAX(0,E64-'P-Parametri'!$C$67)*(1+D65)</f>
        <v>1141703.8627717181</v>
      </c>
    </row>
    <row r="66" spans="1:13">
      <c r="A66" s="14">
        <f>14</f>
        <v>14</v>
      </c>
      <c r="B66" s="20">
        <f>IF(A66&lt;=2,IF(A66=1,'P-Parametri'!$B$62,'P-Parametri'!$C$62),'P-Parametri'!$E$67)</f>
        <v>0.05</v>
      </c>
      <c r="C66" s="15">
        <f>MAX(0,C65-'P-Parametri'!$C$67)*(1+B66)</f>
        <v>170504.76165895036</v>
      </c>
      <c r="D66" s="20">
        <f>IF(A66&gt;='P-Parametri'!$D$67-1,IF(A66='P-Parametri'!$D$67-1,'P-Parametri'!$B$62,'P-Parametri'!$C$62),'P-Parametri'!$E$67)</f>
        <v>0.05</v>
      </c>
      <c r="E66" s="15">
        <f>MAX(0,E65-'P-Parametri'!$C$67)*(1+D66)</f>
        <v>1156789.055910304</v>
      </c>
    </row>
    <row r="67" spans="1:13">
      <c r="A67" s="14">
        <f>15</f>
        <v>15</v>
      </c>
      <c r="B67" s="20">
        <f>IF(A67&lt;=2,IF(A67=1,'P-Parametri'!$B$62,'P-Parametri'!$C$62),'P-Parametri'!$E$67)</f>
        <v>0.05</v>
      </c>
      <c r="C67" s="15">
        <f>MAX(0,C66-'P-Parametri'!$C$67)*(1+B67)</f>
        <v>137029.99974189789</v>
      </c>
      <c r="D67" s="20">
        <f>IF(A67&gt;='P-Parametri'!$D$67-1,IF(A67='P-Parametri'!$D$67-1,'P-Parametri'!$B$62,'P-Parametri'!$C$62),'P-Parametri'!$E$67)</f>
        <v>0.05</v>
      </c>
      <c r="E67" s="15">
        <f>MAX(0,E66-'P-Parametri'!$C$67)*(1+D67)</f>
        <v>1172628.5087058193</v>
      </c>
    </row>
    <row r="68" spans="1:13">
      <c r="A68" s="14">
        <f>16</f>
        <v>16</v>
      </c>
      <c r="B68" s="20">
        <f>IF(A68&lt;=2,IF(A68=1,'P-Parametri'!$B$62,'P-Parametri'!$C$62),'P-Parametri'!$E$67)</f>
        <v>0.05</v>
      </c>
      <c r="C68" s="15">
        <f>MAX(0,C67-'P-Parametri'!$C$67)*(1+B68)</f>
        <v>101881.49972899279</v>
      </c>
      <c r="D68" s="20">
        <f>IF(A68&gt;='P-Parametri'!$D$67-1,IF(A68='P-Parametri'!$D$67-1,'P-Parametri'!$B$62,'P-Parametri'!$C$62),'P-Parametri'!$E$67)</f>
        <v>0.05</v>
      </c>
      <c r="E68" s="15">
        <f>MAX(0,E67-'P-Parametri'!$C$67)*(1+D68)</f>
        <v>1189259.9341411102</v>
      </c>
    </row>
    <row r="69" spans="1:13">
      <c r="A69" s="14">
        <f>17</f>
        <v>17</v>
      </c>
      <c r="B69" s="20">
        <f>IF(A69&lt;=2,IF(A69=1,'P-Parametri'!$B$62,'P-Parametri'!$C$62),'P-Parametri'!$E$67)</f>
        <v>0.05</v>
      </c>
      <c r="C69" s="15">
        <f>MAX(0,C68-'P-Parametri'!$C$67)*(1+B69)</f>
        <v>64975.574715442424</v>
      </c>
      <c r="D69" s="20">
        <f>IF(A69&gt;='P-Parametri'!$D$67-1,IF(A69='P-Parametri'!$D$67-1,'P-Parametri'!$B$62,'P-Parametri'!$C$62),'P-Parametri'!$E$67)</f>
        <v>0.05</v>
      </c>
      <c r="E69" s="15">
        <f>MAX(0,E68-'P-Parametri'!$C$67)*(1+D69)</f>
        <v>1206722.9308481656</v>
      </c>
    </row>
    <row r="70" spans="1:13">
      <c r="A70" s="14">
        <f>18</f>
        <v>18</v>
      </c>
      <c r="B70" s="20">
        <f>IF(A70&lt;=2,IF(A70=1,'P-Parametri'!$B$62,'P-Parametri'!$C$62),'P-Parametri'!$E$67)</f>
        <v>0.05</v>
      </c>
      <c r="C70" s="15">
        <f>MAX(0,C69-'P-Parametri'!$C$67)*(1+B70)</f>
        <v>26224.353451214545</v>
      </c>
      <c r="D70" s="20">
        <f>IF(A70&gt;='P-Parametri'!$D$67-1,IF(A70='P-Parametri'!$D$67-1,'P-Parametri'!$B$62,'P-Parametri'!$C$62),'P-Parametri'!$E$67)</f>
        <v>0.05</v>
      </c>
      <c r="E70" s="15">
        <f>MAX(0,E69-'P-Parametri'!$C$67)*(1+D70)</f>
        <v>1225059.0773905739</v>
      </c>
    </row>
    <row r="71" spans="1:13">
      <c r="A71" s="14">
        <f>19</f>
        <v>19</v>
      </c>
      <c r="B71" s="20">
        <f>IF(A71&lt;=2,IF(A71=1,'P-Parametri'!$B$62,'P-Parametri'!$C$62),'P-Parametri'!$E$67)</f>
        <v>0.05</v>
      </c>
      <c r="C71" s="15">
        <f>MAX(0,C70-'P-Parametri'!$C$67)*(1+B71)</f>
        <v>0</v>
      </c>
      <c r="D71" s="20">
        <f>IF(A71&gt;='P-Parametri'!$D$67-1,IF(A71='P-Parametri'!$D$67-1,'P-Parametri'!$B$62,'P-Parametri'!$C$62),'P-Parametri'!$E$67)</f>
        <v>0.05</v>
      </c>
      <c r="E71" s="15">
        <f>MAX(0,E70-'P-Parametri'!$C$67)*(1+D71)</f>
        <v>1244312.0312601028</v>
      </c>
    </row>
    <row r="72" spans="1:13">
      <c r="A72" s="14">
        <f>20</f>
        <v>20</v>
      </c>
      <c r="B72" s="20">
        <f>IF(A72&lt;=2,IF(A72=1,'P-Parametri'!$B$62,'P-Parametri'!$C$62),'P-Parametri'!$E$67)</f>
        <v>0.05</v>
      </c>
      <c r="C72" s="15">
        <f>MAX(0,C71-'P-Parametri'!$C$67)*(1+B72)</f>
        <v>0</v>
      </c>
      <c r="D72" s="20">
        <f>IF(A72&gt;='P-Parametri'!$D$67-1,IF(A72='P-Parametri'!$D$67-1,'P-Parametri'!$B$62,'P-Parametri'!$C$62),'P-Parametri'!$E$67)</f>
        <v>0.05</v>
      </c>
      <c r="E72" s="15">
        <f>MAX(0,E71-'P-Parametri'!$C$67)*(1+D72)</f>
        <v>1264527.632823108</v>
      </c>
    </row>
    <row r="73" spans="1:13">
      <c r="A73" s="14">
        <f>21</f>
        <v>21</v>
      </c>
      <c r="B73" s="20">
        <f>IF(A73&lt;=2,IF(A73=1,'P-Parametri'!$B$62,'P-Parametri'!$C$62),'P-Parametri'!$E$67)</f>
        <v>0.05</v>
      </c>
      <c r="C73" s="15">
        <f>MAX(0,C72-'P-Parametri'!$C$67)*(1+B73)</f>
        <v>0</v>
      </c>
      <c r="D73" s="20">
        <f>IF(A73&gt;='P-Parametri'!$D$67-1,IF(A73='P-Parametri'!$D$67-1,'P-Parametri'!$B$62,'P-Parametri'!$C$62),'P-Parametri'!$E$67)</f>
        <v>0.05</v>
      </c>
      <c r="E73" s="15">
        <f>MAX(0,E72-'P-Parametri'!$C$67)*(1+D73)</f>
        <v>1285754.0144642633</v>
      </c>
    </row>
    <row r="74" spans="1:13">
      <c r="A74" s="14">
        <f>22</f>
        <v>22</v>
      </c>
      <c r="B74" s="20">
        <f>IF(A74&lt;=2,IF(A74=1,'P-Parametri'!$B$62,'P-Parametri'!$C$62),'P-Parametri'!$E$67)</f>
        <v>0.05</v>
      </c>
      <c r="C74" s="15">
        <f>MAX(0,C73-'P-Parametri'!$C$67)*(1+B74)</f>
        <v>0</v>
      </c>
      <c r="D74" s="20">
        <f>IF(A74&gt;='P-Parametri'!$D$67-1,IF(A74='P-Parametri'!$D$67-1,'P-Parametri'!$B$62,'P-Parametri'!$C$62),'P-Parametri'!$E$67)</f>
        <v>0.05</v>
      </c>
      <c r="E74" s="15">
        <f>MAX(0,E73-'P-Parametri'!$C$67)*(1+D74)</f>
        <v>1308041.7151874765</v>
      </c>
    </row>
    <row r="75" spans="1:13">
      <c r="A75" s="14">
        <f>23</f>
        <v>23</v>
      </c>
      <c r="B75" s="20">
        <f>IF(A75&lt;=2,IF(A75=1,'P-Parametri'!$B$62,'P-Parametri'!$C$62),'P-Parametri'!$E$67)</f>
        <v>0.05</v>
      </c>
      <c r="C75" s="15">
        <f>MAX(0,C74-'P-Parametri'!$C$67)*(1+B75)</f>
        <v>0</v>
      </c>
      <c r="D75" s="20">
        <f>IF(A75&gt;='P-Parametri'!$D$67-1,IF(A75='P-Parametri'!$D$67-1,'P-Parametri'!$B$62,'P-Parametri'!$C$62),'P-Parametri'!$E$67)</f>
        <v>0.05</v>
      </c>
      <c r="E75" s="15">
        <f>MAX(0,E74-'P-Parametri'!$C$67)*(1+D75)</f>
        <v>1331443.8009468503</v>
      </c>
    </row>
    <row r="76" spans="1:13">
      <c r="A76" s="14">
        <f>24</f>
        <v>24</v>
      </c>
      <c r="B76" s="20">
        <f>IF(A76&lt;=2,IF(A76=1,'P-Parametri'!$B$62,'P-Parametri'!$C$62),'P-Parametri'!$E$67)</f>
        <v>0.05</v>
      </c>
      <c r="C76" s="15">
        <f>MAX(0,C75-'P-Parametri'!$C$67)*(1+B76)</f>
        <v>0</v>
      </c>
      <c r="D76" s="20">
        <f>IF(A76&gt;='P-Parametri'!$D$67-1,IF(A76='P-Parametri'!$D$67-1,'P-Parametri'!$B$62,'P-Parametri'!$C$62),'P-Parametri'!$E$67)</f>
        <v>-0.35</v>
      </c>
      <c r="E76" s="15">
        <f>MAX(0,E75-'P-Parametri'!$C$67)*(1+D76)</f>
        <v>839438.47061545274</v>
      </c>
    </row>
    <row r="77" spans="1:13">
      <c r="A77" s="14">
        <f>25</f>
        <v>25</v>
      </c>
      <c r="B77" s="20">
        <f>IF(A77&lt;=2,IF(A77=1,'P-Parametri'!$B$62,'P-Parametri'!$C$62),'P-Parametri'!$E$67)</f>
        <v>0.05</v>
      </c>
      <c r="C77" s="15">
        <f>MAX(0,C76-'P-Parametri'!$C$67)*(1+B77)</f>
        <v>0</v>
      </c>
      <c r="D77" s="20">
        <f>IF(A77&gt;='P-Parametri'!$D$67-1,IF(A77='P-Parametri'!$D$67-1,'P-Parametri'!$B$62,'P-Parametri'!$C$62),'P-Parametri'!$E$67)</f>
        <v>-0.2</v>
      </c>
      <c r="E77" s="15">
        <f>MAX(0,E76-'P-Parametri'!$C$67)*(1+D77)</f>
        <v>639550.77649236226</v>
      </c>
    </row>
    <row r="78" spans="1:13" ht="135">
      <c r="A78" s="5" t="s">
        <v>446</v>
      </c>
      <c r="B78" s="15">
        <f>C77</f>
        <v>0</v>
      </c>
      <c r="C78" s="15">
        <f>E77</f>
        <v>639550.77649236226</v>
      </c>
    </row>
    <row r="79" spans="1:13" ht="15" customHeight="1">
      <c r="A79" s="30" t="s">
        <v>447</v>
      </c>
      <c r="B79" s="27"/>
      <c r="C79" s="27"/>
      <c r="D79" s="27"/>
      <c r="E79" s="27"/>
      <c r="F79" s="27"/>
      <c r="G79" s="27"/>
      <c r="H79" s="27"/>
      <c r="I79" s="27"/>
      <c r="J79" s="27"/>
      <c r="K79" s="27"/>
      <c r="L79" s="27"/>
      <c r="M79" s="27"/>
    </row>
    <row r="80" spans="1:13" ht="30" customHeight="1">
      <c r="A80" s="30" t="s">
        <v>448</v>
      </c>
      <c r="B80" s="27"/>
      <c r="C80" s="27"/>
      <c r="D80" s="27"/>
      <c r="E80" s="27"/>
      <c r="F80" s="27"/>
      <c r="G80" s="27"/>
      <c r="H80" s="27"/>
      <c r="I80" s="27"/>
      <c r="J80" s="27"/>
      <c r="K80" s="27"/>
      <c r="L80" s="27"/>
      <c r="M80" s="27"/>
    </row>
  </sheetData>
  <mergeCells count="10">
    <mergeCell ref="A1:M1"/>
    <mergeCell ref="A5:M5"/>
    <mergeCell ref="A80:M80"/>
    <mergeCell ref="A79:M79"/>
    <mergeCell ref="A40:M40"/>
    <mergeCell ref="A51:M51"/>
    <mergeCell ref="A48:M48"/>
    <mergeCell ref="A3:M3"/>
    <mergeCell ref="A2:M2"/>
    <mergeCell ref="A49:M4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0-Indice</vt:lpstr>
      <vt:lpstr>1-Input</vt:lpstr>
      <vt:lpstr>P-Parametri</vt:lpstr>
      <vt:lpstr>2-Cruscotto</vt:lpstr>
      <vt:lpstr>3-Griglia</vt:lpstr>
      <vt:lpstr>4-Traiettoria</vt:lpstr>
      <vt:lpstr>5-Caso</vt:lpstr>
      <vt:lpstr>6-Anticipata</vt:lpstr>
      <vt:lpstr>7-Denominatori</vt:lpstr>
      <vt:lpstr>8-Fabbisogno</vt:lpstr>
      <vt:lpstr>9-Ordine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Ruggiero</cp:lastModifiedBy>
  <dcterms:created xsi:type="dcterms:W3CDTF">2026-09-09T10:29:25Z</dcterms:created>
  <dcterms:modified xsi:type="dcterms:W3CDTF">2026-09-09T10:29:26Z</dcterms:modified>
</cp:coreProperties>
</file>